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<sst xmlns="http://schemas.openxmlformats.org/spreadsheetml/2006/main" count="19" uniqueCount="17">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</sst>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34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50.6</v>
      </c>
      <c r="C2" s="1" t="n">
        <v>-42.9</v>
      </c>
      <c r="D2" s="1" t="n">
        <v>-15.9</v>
      </c>
      <c r="E2" s="2" t="n">
        <v>1.1</v>
      </c>
      <c r="F2" s="2" t="n">
        <v>2</v>
      </c>
      <c r="G2" s="2" t="n">
        <v>50.2</v>
      </c>
      <c r="H2" s="2" t="n">
        <v>-43.5</v>
      </c>
      <c r="I2" s="2" t="n">
        <v>-16.6</v>
      </c>
      <c r="J2" s="2" t="n">
        <v>4.975712713</v>
      </c>
      <c r="L2" s="3" t="n">
        <v>2.5</v>
      </c>
      <c r="M2" s="5" t="n">
        <f aca="false">COUNTIFS($J$2:$J$2000,"&lt;=2.5",$E$2:$E$2000,"&lt;=0.5")</f>
        <v>0</v>
      </c>
      <c r="N2" s="5" t="n">
        <f aca="false">COUNTIFS($J$2:$J$2000,"&lt;=2.5",$E$2:$E$2000,"&lt;=1")-SUM(M2)</f>
        <v>0</v>
      </c>
      <c r="O2" s="5" t="n">
        <f aca="false">COUNTIFS($J$2:$J$2000,"&lt;=2.5",$E$2:$E$2000,"&lt;=1.5")-SUM(M2:N2)</f>
        <v>0</v>
      </c>
      <c r="P2" s="5" t="n">
        <f aca="false">COUNTIFS($J$2:$J$2000,"&lt;=2.5",$E$2:$E$2000,"&lt;=2")-SUM(M2:O2)</f>
        <v>0</v>
      </c>
      <c r="Q2" s="5" t="n">
        <f aca="false">COUNTIFS($J$2:$J$2000,"&lt;=2.5",$E$2:$E$2000,"&lt;=2.5")-SUM(M2:P2)</f>
        <v>0</v>
      </c>
      <c r="R2" s="5" t="n">
        <f aca="false">COUNTIFS($J$2:$J$2000,"&lt;=2.5",$E$2:$E$2000,"&lt;=3")-SUM(M2:Q2)</f>
        <v>0</v>
      </c>
      <c r="S2" s="5" t="n">
        <f aca="false">COUNTIFS($J$2:$J$2000,"&lt;=2.5",$E$2:$E$2000,"&lt;=3.5")-SUM(M2:R2)</f>
        <v>0</v>
      </c>
      <c r="T2" s="5" t="n">
        <f aca="false">COUNTIFS($J$2:$J$2000,"&lt;=2.5",$E$2:$E$2000,"&lt;=4")-SUM(M2:S2)</f>
        <v>0</v>
      </c>
      <c r="U2" s="5" t="n">
        <f aca="false">COUNTIFS($J$2:$J$2000,"&lt;=2.5",$E$2:$E$2000,"&lt;=4.5")-SUM(M2:T2)</f>
        <v>0</v>
      </c>
      <c r="V2" s="5" t="n">
        <f aca="false">COUNTIFS($J$2:$J$2000,"&lt;=2.5",$E$2:$E$2000,"&lt;=5")-SUM(M2:U2)</f>
        <v>0</v>
      </c>
      <c r="W2" s="5" t="n">
        <f aca="false">COUNTIFS($J$2:$J$2000,"&lt;=2.5",$E$2:$E$2000,"&gt;5")</f>
        <v>0</v>
      </c>
      <c r="X2" s="0" t="n">
        <f aca="false">SUM(M2:W2)</f>
        <v>0</v>
      </c>
      <c r="Y2" s="0" t="n">
        <f aca="false">COUNT(J2:J2000)</f>
        <v>339</v>
      </c>
    </row>
    <row r="3" customFormat="false" ht="15.8" hidden="false" customHeight="false" outlineLevel="0" collapsed="false">
      <c r="A3" s="1" t="n">
        <v>2</v>
      </c>
      <c r="B3" s="1" t="n">
        <v>50.2</v>
      </c>
      <c r="C3" s="1" t="n">
        <v>-43.5</v>
      </c>
      <c r="D3" s="1" t="n">
        <v>-16.6</v>
      </c>
      <c r="E3" s="2" t="n">
        <v>1.1</v>
      </c>
      <c r="F3" s="2" t="n">
        <v>1</v>
      </c>
      <c r="G3" s="2" t="n">
        <v>50.6</v>
      </c>
      <c r="H3" s="2" t="n">
        <v>-42.9</v>
      </c>
      <c r="I3" s="2" t="n">
        <v>-15.9</v>
      </c>
      <c r="J3" s="2" t="n">
        <v>5.178737008</v>
      </c>
      <c r="L3" s="3" t="n">
        <v>5</v>
      </c>
      <c r="M3" s="5" t="n">
        <f aca="false">COUNTIFS($J$2:$J$2000,"&lt;=5",$E$2:$E$2000,"&lt;=0.5")-SUM(M2)</f>
        <v>2</v>
      </c>
      <c r="N3" s="5" t="n">
        <f aca="false">COUNTIFS($J$2:$J$2000,"&lt;=5",$E$2:$E$2000,"&lt;=1")-SUM(N2,$M$2:M3)</f>
        <v>0</v>
      </c>
      <c r="O3" s="5" t="n">
        <f aca="false">COUNTIFS($J$2:$J$2000,"&lt;=5",$E$2:$E$2000,"&lt;=1.5")-SUM(O2,$M$2:N3)</f>
        <v>7</v>
      </c>
      <c r="P3" s="5" t="n">
        <f aca="false">COUNTIFS($J$2:$J$2000,"&lt;=5",$E$2:$E$2000,"&lt;=2")-SUM(P2,$M$2:O3)</f>
        <v>0</v>
      </c>
      <c r="Q3" s="5" t="n">
        <f aca="false">COUNTIFS($J$2:$J$2000,"&lt;=5",$E$2:$E$2000,"&lt;=2.5")-SUM(Q2,$M$2:P3)</f>
        <v>2</v>
      </c>
      <c r="R3" s="5" t="n">
        <f aca="false">COUNTIFS($J$2:$J$2000,"&lt;=5",$E$2:$E$2000,"&lt;=3")-SUM(R2,$M$2:Q3)</f>
        <v>2</v>
      </c>
      <c r="S3" s="5" t="n">
        <f aca="false">COUNTIFS($J$2:$J$2000,"&lt;=5",$E$2:$E$2000,"&lt;=3.5")-SUM(S2,$M$2:R3)</f>
        <v>0</v>
      </c>
      <c r="T3" s="5" t="n">
        <f aca="false">COUNTIFS($J$2:$J$2000,"&lt;=5",$E$2:$E$2000,"&lt;=4")-SUM(T2,$M$2:S3)</f>
        <v>0</v>
      </c>
      <c r="U3" s="5" t="n">
        <f aca="false">COUNTIFS($J$2:$J$2000,"&lt;=5",$E$2:$E$2000,"&lt;=4.5")-SUM(U2,$M$2:T3)</f>
        <v>0</v>
      </c>
      <c r="V3" s="5" t="n">
        <f aca="false">COUNTIFS($J$2:$J$2000,"&lt;=5",$E$2:$E$2000,"&lt;=5")-SUM(V2,$M$2:U3)</f>
        <v>0</v>
      </c>
      <c r="W3" s="5" t="n">
        <f aca="false">COUNTIFS($J$2:$J$2000,"&lt;=5",$E$2:$E$2000,"&gt;5")-SUM(W2)</f>
        <v>0</v>
      </c>
      <c r="X3" s="0" t="n">
        <f aca="false">SUM(M3:W3)</f>
        <v>13</v>
      </c>
      <c r="Y3" s="6" t="s">
        <v>14</v>
      </c>
    </row>
    <row r="4" customFormat="false" ht="15.8" hidden="false" customHeight="false" outlineLevel="0" collapsed="false">
      <c r="A4" s="1" t="n">
        <v>3</v>
      </c>
      <c r="B4" s="1" t="n">
        <v>55</v>
      </c>
      <c r="C4" s="1" t="n">
        <v>-45.9</v>
      </c>
      <c r="D4" s="1" t="n">
        <v>-15.5</v>
      </c>
      <c r="E4" s="2" t="n">
        <v>2.3</v>
      </c>
      <c r="F4" s="2" t="n">
        <v>4</v>
      </c>
      <c r="G4" s="2" t="n">
        <v>52.9</v>
      </c>
      <c r="H4" s="2" t="n">
        <v>-46.9</v>
      </c>
      <c r="I4" s="2" t="n">
        <v>-15.9</v>
      </c>
      <c r="J4" s="2" t="n">
        <v>7.782860464</v>
      </c>
      <c r="L4" s="3" t="n">
        <v>7.5</v>
      </c>
      <c r="M4" s="5" t="n">
        <f aca="false">COUNTIFS($J$2:$J$2000,"&lt;=7.5",$E$2:$E$2000,"&lt;=0.5")-SUM(M$2:M3)</f>
        <v>0</v>
      </c>
      <c r="N4" s="5" t="n">
        <f aca="false">COUNTIFS($J$2:$J$2000,"&lt;=7.5",$E$2:$E$2000,"&lt;=1")-SUM($N$2:N3,$M2:M4)</f>
        <v>3</v>
      </c>
      <c r="O4" s="5" t="n">
        <f aca="false">COUNTIFS($J$2:$J$2000,"&lt;=7.5",$E$2:$E$2000,"&lt;=1.5")-SUM($O$2:O3,$M2:N4)</f>
        <v>13</v>
      </c>
      <c r="P4" s="5" t="n">
        <f aca="false">COUNTIFS($J$2:$J$2000,"&lt;=7.5",$E$2:$E$2000,"&lt;=2")-SUM($P$2:P3,$M2:O4)</f>
        <v>9</v>
      </c>
      <c r="Q4" s="5" t="n">
        <f aca="false">COUNTIFS($J$2:$J$2000,"&lt;=7.5",$E$2:$E$2000,"&lt;=2.5")-SUM($Q$2:Q3,$M2:P4)</f>
        <v>2</v>
      </c>
      <c r="R4" s="5" t="n">
        <f aca="false">COUNTIFS($J$2:$J$2000,"&lt;=7.5",$E$2:$E$2000,"&lt;=3")-SUM($R$2:R3,$M2:Q4)</f>
        <v>1</v>
      </c>
      <c r="S4" s="5" t="n">
        <f aca="false">COUNTIFS($J$2:$J$2000,"&lt;=7.5",$E$2:$E$2000,"&lt;=3.5")-SUM($S$2:S3,$M2:R4)</f>
        <v>0</v>
      </c>
      <c r="T4" s="5" t="n">
        <f aca="false">COUNTIFS($J$2:$J$2000,"&lt;=7.5",$E$2:$E$2000,"&lt;=4")-SUM($T$2:T3,$M2:S4)</f>
        <v>1</v>
      </c>
      <c r="U4" s="5" t="n">
        <f aca="false">COUNTIFS($J$2:$J$2000,"&lt;=7.5",$E$2:$E$2000,"&lt;=4.5")-SUM($U$2:U3,$M2:T4)</f>
        <v>0</v>
      </c>
      <c r="V4" s="5" t="n">
        <f aca="false">COUNTIFS($J$2:$J$2000,"&lt;=7.5",$E$2:$E$2000,"&lt;=5")-SUM($V$2:V3,$M2:U4)</f>
        <v>0</v>
      </c>
      <c r="W4" s="5" t="n">
        <f aca="false">COUNTIFS($J$2:$J$2000,"&lt;=7.5",$E$2:$E$2000,"&gt;5")-SUM(W$2:W3)</f>
        <v>0</v>
      </c>
      <c r="X4" s="0" t="n">
        <f aca="false">SUM(M4:W4)</f>
        <v>29</v>
      </c>
      <c r="Y4" s="0" t="n">
        <f aca="false">SUM(X2:X25)</f>
        <v>339</v>
      </c>
    </row>
    <row r="5" customFormat="false" ht="15.8" hidden="false" customHeight="false" outlineLevel="0" collapsed="false">
      <c r="A5" s="1" t="n">
        <v>4</v>
      </c>
      <c r="B5" s="1" t="n">
        <v>52.9</v>
      </c>
      <c r="C5" s="1" t="n">
        <v>-46.9</v>
      </c>
      <c r="D5" s="1" t="n">
        <v>-15.9</v>
      </c>
      <c r="E5" s="2" t="n">
        <v>2.1</v>
      </c>
      <c r="F5" s="2" t="n">
        <v>23</v>
      </c>
      <c r="G5" s="2" t="n">
        <v>51.5</v>
      </c>
      <c r="H5" s="2" t="n">
        <v>-46.2</v>
      </c>
      <c r="I5" s="2" t="n">
        <v>-17.4</v>
      </c>
      <c r="J5" s="2" t="n">
        <v>8.06540247</v>
      </c>
      <c r="L5" s="3" t="n">
        <v>10</v>
      </c>
      <c r="M5" s="5" t="n">
        <f aca="false">COUNTIFS($J$2:$J$2000,"&lt;=10",$E$2:$E$2000,"&lt;=0.5")-SUM(M$2:M4)</f>
        <v>2</v>
      </c>
      <c r="N5" s="5" t="n">
        <f aca="false">COUNTIFS($J$2:$J$2000,"&lt;=10",$E$2:$E$2000,"&lt;=1")-SUM(N$2:N4,$M2:M5)</f>
        <v>8</v>
      </c>
      <c r="O5" s="5" t="n">
        <f aca="false">COUNTIFS($J$2:$J$2000,"&lt;=10",$E$2:$E$2000,"&lt;=1.5")-SUM(O$2:O4,$M2:N5)</f>
        <v>9</v>
      </c>
      <c r="P5" s="5" t="n">
        <f aca="false">COUNTIFS($J$2:$J$2000,"&lt;=10",$E$2:$E$2000,"&lt;=2")-SUM(P$2:P4,$M2:O5)</f>
        <v>16</v>
      </c>
      <c r="Q5" s="5" t="n">
        <f aca="false">COUNTIFS($J$2:$J$2000,"&lt;=10",$E$2:$E$2000,"&lt;=2.5")-SUM(Q$2:Q4,$M2:P5)</f>
        <v>8</v>
      </c>
      <c r="R5" s="5" t="n">
        <f aca="false">COUNTIFS($J$2:$J$2000,"&lt;=10",$E$2:$E$2000,"&lt;=3")-SUM(R$2:R4,$M2:Q5)</f>
        <v>1</v>
      </c>
      <c r="S5" s="5" t="n">
        <f aca="false">COUNTIFS($J$2:$J$2000,"&lt;=10",$E$2:$E$2000,"&lt;=3.5")-SUM(S$2:S4,$M2:R5)</f>
        <v>0</v>
      </c>
      <c r="T5" s="5" t="n">
        <f aca="false">COUNTIFS($J$2:$J$2000,"&lt;=10",$E$2:$E$2000,"&lt;=4")-SUM(T$2:T4,$M2:S5)</f>
        <v>0</v>
      </c>
      <c r="U5" s="5" t="n">
        <f aca="false">COUNTIFS($J$2:$J$2000,"&lt;=10",$E$2:$E$2000,"&lt;=4.5")-SUM(U$2:U4,$M2:T5)</f>
        <v>0</v>
      </c>
      <c r="V5" s="5" t="n">
        <f aca="false">COUNTIFS($J$2:$J$2000,"&lt;=10",$E$2:$E$2000,"&lt;=5")-SUM(V$2:V4,$M2:U5)</f>
        <v>0</v>
      </c>
      <c r="W5" s="5" t="n">
        <f aca="false">COUNTIFS($J$2:$J$2000,"&lt;=10",$E$2:$E$2000,"&gt;5")-SUM(W$2:W4)</f>
        <v>0</v>
      </c>
      <c r="X5" s="0" t="n">
        <f aca="false">SUM(M5:W5)</f>
        <v>44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48.5</v>
      </c>
      <c r="C6" s="1" t="n">
        <v>-46.2</v>
      </c>
      <c r="D6" s="1" t="n">
        <v>-17</v>
      </c>
      <c r="E6" s="2" t="n">
        <v>2.5</v>
      </c>
      <c r="F6" s="2" t="n">
        <v>20</v>
      </c>
      <c r="G6" s="2" t="n">
        <v>47.3</v>
      </c>
      <c r="H6" s="2" t="n">
        <v>-45</v>
      </c>
      <c r="I6" s="2" t="n">
        <v>-15.2</v>
      </c>
      <c r="J6" s="2" t="n">
        <v>8.009589066</v>
      </c>
      <c r="L6" s="3" t="n">
        <v>12.5</v>
      </c>
      <c r="M6" s="5" t="n">
        <f aca="false">COUNTIFS($J$2:$J$2000,"&lt;=12.5",$E$2:$E$2000,"&lt;=0.5")-SUM(M$2:M5)</f>
        <v>3</v>
      </c>
      <c r="N6" s="5" t="n">
        <f aca="false">COUNTIFS($J$2:$J$2000,"&lt;=12.5",$E$2:$E$2000,"&lt;=1")-SUM(N$2:N5,$M2:M6)</f>
        <v>1</v>
      </c>
      <c r="O6" s="5" t="n">
        <f aca="false">COUNTIFS($J$2:$J$2000,"&lt;=12.5",$E$2:$E$2000,"&lt;=1.5")-SUM(O$2:O5,$M2:N6)</f>
        <v>7</v>
      </c>
      <c r="P6" s="5" t="n">
        <f aca="false">COUNTIFS($J$2:$J$2000,"&lt;=12.5",$E$2:$E$2000,"&lt;=2")-SUM(P$2:P5,$M2:O6)</f>
        <v>7</v>
      </c>
      <c r="Q6" s="5" t="n">
        <f aca="false">COUNTIFS($J$2:$J$2000,"&lt;=12.5",$E$2:$E$2000,"&lt;=2.5")-SUM(Q$2:Q5,$M2:P6)</f>
        <v>17</v>
      </c>
      <c r="R6" s="5" t="n">
        <f aca="false">COUNTIFS($J$2:$J$2000,"&lt;=12.5",$E$2:$E$2000,"&lt;=3")-SUM(R$2:R5,$M2:Q6)</f>
        <v>5</v>
      </c>
      <c r="S6" s="5" t="n">
        <f aca="false">COUNTIFS($J$2:$J$2000,"&lt;=12.5",$E$2:$E$2000,"&lt;=3.5")-SUM(S$2:S5,$M2:R6)</f>
        <v>1</v>
      </c>
      <c r="T6" s="5" t="n">
        <f aca="false">COUNTIFS($J$2:$J$2000,"&lt;=12.5",$E$2:$E$2000,"&lt;=4")-SUM(T$2:T5,$M2:S6)</f>
        <v>0</v>
      </c>
      <c r="U6" s="5" t="n">
        <f aca="false">COUNTIFS($J$2:$J$2000,"&lt;=12.5",$E$2:$E$2000,"&lt;=4.5")-SUM(U$2:U5,$M2:T6)</f>
        <v>0</v>
      </c>
      <c r="V6" s="5" t="n">
        <f aca="false">COUNTIFS($J$2:$J$2000,"&lt;=12.5",$E$2:$E$2000,"&lt;=5")-SUM(V$2:V5,$M2:U6)</f>
        <v>0</v>
      </c>
      <c r="W6" s="5" t="n">
        <f aca="false">COUNTIFS($J$2:$J$2000,"&lt;=12.5",$E$2:$E$2000,"&gt;5")-SUM(W$2:W5)</f>
        <v>0</v>
      </c>
      <c r="X6" s="0" t="n">
        <f aca="false">SUM(M6:W6)</f>
        <v>41</v>
      </c>
      <c r="Y6" s="0" t="n">
        <f aca="false">SUM(M2:W25)</f>
        <v>339</v>
      </c>
    </row>
    <row r="7" customFormat="false" ht="15.8" hidden="false" customHeight="false" outlineLevel="0" collapsed="false">
      <c r="A7" s="1" t="n">
        <v>6</v>
      </c>
      <c r="B7" s="1" t="n">
        <v>52.2</v>
      </c>
      <c r="C7" s="1" t="n">
        <v>-43.7</v>
      </c>
      <c r="D7" s="1" t="n">
        <v>-16.6</v>
      </c>
      <c r="E7" s="2" t="n">
        <v>1.1</v>
      </c>
      <c r="F7" s="2" t="n">
        <v>22</v>
      </c>
      <c r="G7" s="2" t="n">
        <v>52.3</v>
      </c>
      <c r="H7" s="2" t="n">
        <v>-42.7</v>
      </c>
      <c r="I7" s="2" t="n">
        <v>-16.3</v>
      </c>
      <c r="J7" s="2" t="n">
        <v>4.874188856</v>
      </c>
      <c r="L7" s="3" t="n">
        <v>15</v>
      </c>
      <c r="M7" s="5" t="n">
        <f aca="false">COUNTIFS($J$2:$J$2000,"&lt;=15",$E$2:$E$2000,"&lt;=0.5")-SUM(M$2:M6)</f>
        <v>2</v>
      </c>
      <c r="N7" s="5" t="n">
        <f aca="false">COUNTIFS($J$2:$J$2000,"&lt;=15",$E$2:$E$2000,"&lt;=1")-SUM(N$2:N6,$M2:M7)</f>
        <v>6</v>
      </c>
      <c r="O7" s="5" t="n">
        <f aca="false">COUNTIFS($J$2:$J$2000,"&lt;=15",$E$2:$E$2000,"&lt;=1.5")-SUM(O$2:O6,$M2:N7)</f>
        <v>17</v>
      </c>
      <c r="P7" s="5" t="n">
        <f aca="false">COUNTIFS($J$2:$J$2000,"&lt;=15",$E$2:$E$2000,"&lt;=2")-SUM(P$2:P6,$M2:O7)</f>
        <v>9</v>
      </c>
      <c r="Q7" s="5" t="n">
        <f aca="false">COUNTIFS($J$2:$J$2000,"&lt;=15",$E$2:$E$2000,"&lt;=2.5")-SUM(Q$2:Q6,$M2:P7)</f>
        <v>9</v>
      </c>
      <c r="R7" s="5" t="n">
        <f aca="false">COUNTIFS($J$2:$J$2000,"&lt;=15",$E$2:$E$2000,"&lt;=3")-SUM(R$2:R6,$M2:Q7)</f>
        <v>5</v>
      </c>
      <c r="S7" s="5" t="n">
        <f aca="false">COUNTIFS($J$2:$J$2000,"&lt;=15",$E$2:$E$2000,"&lt;=3.5")-SUM(S$2:S6,$M2:R7)</f>
        <v>1</v>
      </c>
      <c r="T7" s="5" t="n">
        <f aca="false">COUNTIFS($J$2:$J$2000,"&lt;=15",$E$2:$E$2000,"&lt;=4")-SUM(T$2:T6,$M2:S7)</f>
        <v>3</v>
      </c>
      <c r="U7" s="5" t="n">
        <f aca="false">COUNTIFS($J$2:$J$2000,"&lt;=15",$E$2:$E$2000,"&lt;=4.5")-SUM(U$2:U6,$M2:T7)</f>
        <v>0</v>
      </c>
      <c r="V7" s="5" t="n">
        <f aca="false">COUNTIFS($J$2:$J$2000,"&lt;=15",$E$2:$E$2000,"&lt;=5")-SUM(V$2:V6,$M2:U7)</f>
        <v>0</v>
      </c>
      <c r="W7" s="5" t="n">
        <f aca="false">COUNTIFS($J$2:$J$2000,"&lt;=15",$E$2:$E$2000,"&gt;5")-SUM(W$2:W6)</f>
        <v>2</v>
      </c>
      <c r="X7" s="0" t="n">
        <f aca="false">SUM(M7:W7)</f>
        <v>54</v>
      </c>
    </row>
    <row r="8" customFormat="false" ht="15.8" hidden="false" customHeight="false" outlineLevel="0" collapsed="false">
      <c r="A8" s="1" t="n">
        <v>7</v>
      </c>
      <c r="B8" s="1" t="n">
        <v>47.1</v>
      </c>
      <c r="C8" s="1" t="n">
        <v>-47.7</v>
      </c>
      <c r="D8" s="1" t="n">
        <v>-13.3</v>
      </c>
      <c r="E8" s="2" t="n">
        <v>2.5</v>
      </c>
      <c r="F8" s="2" t="n">
        <v>18</v>
      </c>
      <c r="G8" s="2" t="n">
        <v>46.3</v>
      </c>
      <c r="H8" s="2" t="n">
        <v>-50</v>
      </c>
      <c r="I8" s="2" t="n">
        <v>-13.3</v>
      </c>
      <c r="J8" s="2" t="n">
        <v>11.32868558</v>
      </c>
      <c r="L8" s="3" t="n">
        <v>17.5</v>
      </c>
      <c r="M8" s="5" t="n">
        <f aca="false">COUNTIFS($J$2:$J$2000,"&lt;=17.5",$E$2:$E$2000,"&lt;=0.5")-SUM(M$2:M7)</f>
        <v>4</v>
      </c>
      <c r="N8" s="5" t="n">
        <f aca="false">COUNTIFS($J$2:$J$2000,"&lt;=17.5",$E$2:$E$2000,"&lt;=1")-SUM(N$2:N7,$M2:M8)</f>
        <v>11</v>
      </c>
      <c r="O8" s="5" t="n">
        <f aca="false">COUNTIFS($J$2:$J$2000,"&lt;=17.5",$E$2:$E$2000,"&lt;=1.5")-SUM(O$2:O7,$M2:N8)</f>
        <v>13</v>
      </c>
      <c r="P8" s="5" t="n">
        <f aca="false">COUNTIFS($J$2:$J$2000,"&lt;=17.5",$E$2:$E$2000,"&lt;=2")-SUM(P$2:P7,$M2:O8)</f>
        <v>11</v>
      </c>
      <c r="Q8" s="5" t="n">
        <f aca="false">COUNTIFS($J$2:$J$2000,"&lt;=17.5",$E$2:$E$2000,"&lt;=2.5")-SUM(Q$2:Q7,$M2:P8)</f>
        <v>8</v>
      </c>
      <c r="R8" s="5" t="n">
        <f aca="false">COUNTIFS($J$2:$J$2000,"&lt;=17.5",$E$2:$E$2000,"&lt;=3")-SUM(R$2:R7,$M2:Q8)</f>
        <v>3</v>
      </c>
      <c r="S8" s="5" t="n">
        <f aca="false">COUNTIFS($J$2:$J$2000,"&lt;=17.5",$E$2:$E$2000,"&lt;=3.5")-SUM(S$2:S7,$M2:R8)</f>
        <v>2</v>
      </c>
      <c r="T8" s="5" t="n">
        <f aca="false">COUNTIFS($J$2:$J$2000,"&lt;=17.5",$E$2:$E$2000,"&lt;=4")-SUM(T$2:T7,$M2:S8)</f>
        <v>1</v>
      </c>
      <c r="U8" s="5" t="n">
        <f aca="false">COUNTIFS($J$2:$J$2000,"&lt;=17.5",$E$2:$E$2000,"&lt;=4.5")-SUM(U$2:U7,$M2:T8)</f>
        <v>0</v>
      </c>
      <c r="V8" s="5" t="n">
        <f aca="false">COUNTIFS($J$2:$J$2000,"&lt;=17.5",$E$2:$E$2000,"&lt;=5")-SUM(V$2:V7,$M2:U8)</f>
        <v>1</v>
      </c>
      <c r="W8" s="5" t="n">
        <f aca="false">COUNTIFS($J$2:$J$2000,"&lt;=17.5",$E$2:$E$2000,"&gt;5")-SUM(W$2:W7)</f>
        <v>0</v>
      </c>
      <c r="X8" s="0" t="n">
        <f aca="false">SUM(M8:W8)</f>
        <v>54</v>
      </c>
    </row>
    <row r="9" customFormat="false" ht="15.8" hidden="false" customHeight="false" outlineLevel="0" collapsed="false">
      <c r="A9" s="1" t="n">
        <v>8</v>
      </c>
      <c r="B9" s="1" t="n">
        <v>47</v>
      </c>
      <c r="C9" s="1" t="n">
        <v>-49.3</v>
      </c>
      <c r="D9" s="1" t="n">
        <v>-15.5</v>
      </c>
      <c r="E9" s="2" t="n">
        <v>2.4</v>
      </c>
      <c r="F9" s="2" t="n">
        <v>18</v>
      </c>
      <c r="G9" s="2" t="n">
        <v>46.3</v>
      </c>
      <c r="H9" s="2" t="n">
        <v>-50</v>
      </c>
      <c r="I9" s="2" t="n">
        <v>-13.3</v>
      </c>
      <c r="J9" s="2" t="n">
        <v>11.73139877</v>
      </c>
      <c r="L9" s="3" t="n">
        <v>20</v>
      </c>
      <c r="M9" s="5" t="n">
        <f aca="false">COUNTIFS($J$2:$J$2000,"&lt;=20",$E$2:$E$2000,"&lt;=0.5")-SUM(M$2:M8)</f>
        <v>0</v>
      </c>
      <c r="N9" s="5" t="n">
        <f aca="false">COUNTIFS($J$2:$J$2000,"&lt;=20",$E$2:$E$2000,"&lt;=1")-SUM(N$2:N8,$M2:M9)</f>
        <v>3</v>
      </c>
      <c r="O9" s="5" t="n">
        <f aca="false">COUNTIFS($J$2:$J$2000,"&lt;=20",$E$2:$E$2000,"&lt;=1.5")-SUM(O$2:O8,$M2:N9)</f>
        <v>14</v>
      </c>
      <c r="P9" s="5" t="n">
        <f aca="false">COUNTIFS($J$2:$J$2000,"&lt;=20",$E$2:$E$2000,"&lt;=2")-SUM(P$2:P8,$M2:O9)</f>
        <v>5</v>
      </c>
      <c r="Q9" s="5" t="n">
        <f aca="false">COUNTIFS($J$2:$J$2000,"&lt;=20",$E$2:$E$2000,"&lt;=2.5")-SUM(Q$2:Q8,$M2:P9)</f>
        <v>6</v>
      </c>
      <c r="R9" s="5" t="n">
        <f aca="false">COUNTIFS($J$2:$J$2000,"&lt;=20",$E$2:$E$2000,"&lt;=3")-SUM(R$2:R8,$M2:Q9)</f>
        <v>4</v>
      </c>
      <c r="S9" s="5" t="n">
        <f aca="false">COUNTIFS($J$2:$J$2000,"&lt;=20",$E$2:$E$2000,"&lt;=3.5")-SUM(S$2:S8,$M2:R9)</f>
        <v>2</v>
      </c>
      <c r="T9" s="5" t="n">
        <f aca="false">COUNTIFS($J$2:$J$2000,"&lt;=20",$E$2:$E$2000,"&lt;=4")-SUM(T$2:T8,$M2:S9)</f>
        <v>0</v>
      </c>
      <c r="U9" s="5" t="n">
        <f aca="false">COUNTIFS($J$2:$J$2000,"&lt;=20",$E$2:$E$2000,"&lt;=4.5")-SUM(U$2:U8,$M2:T9)</f>
        <v>1</v>
      </c>
      <c r="V9" s="5" t="n">
        <f aca="false">COUNTIFS($J$2:$J$2000,"&lt;=20",$E$2:$E$2000,"&lt;=5")-SUM(V$2:V8,$M2:U9)</f>
        <v>0</v>
      </c>
      <c r="W9" s="5" t="n">
        <f aca="false">COUNTIFS($J$2:$J$2000,"&lt;=20",$E$2:$E$2000,"&gt;5")-SUM(W$2:W8)</f>
        <v>1</v>
      </c>
      <c r="X9" s="0" t="n">
        <f aca="false">SUM(M9:W9)</f>
        <v>36</v>
      </c>
    </row>
    <row r="10" customFormat="false" ht="15.8" hidden="false" customHeight="false" outlineLevel="0" collapsed="false">
      <c r="A10" s="1" t="n">
        <v>9</v>
      </c>
      <c r="B10" s="1" t="n">
        <v>40.7</v>
      </c>
      <c r="C10" s="1" t="n">
        <v>-51.2</v>
      </c>
      <c r="D10" s="1" t="n">
        <v>-17</v>
      </c>
      <c r="E10" s="2" t="n">
        <v>2</v>
      </c>
      <c r="F10" s="2" t="n">
        <v>10</v>
      </c>
      <c r="G10" s="2" t="n">
        <v>42.3</v>
      </c>
      <c r="H10" s="2" t="n">
        <v>-51.9</v>
      </c>
      <c r="I10" s="2" t="n">
        <v>-15.9</v>
      </c>
      <c r="J10" s="2" t="n">
        <v>16.65543506</v>
      </c>
      <c r="L10" s="3" t="n">
        <v>22.5</v>
      </c>
      <c r="M10" s="5" t="n">
        <f aca="false">COUNTIFS($J$2:$J$2000,"&lt;=22.5",$E$2:$E$2000,"&lt;=0.5")-SUM(M$2:M9)</f>
        <v>0</v>
      </c>
      <c r="N10" s="5" t="n">
        <f aca="false">COUNTIFS($J$2:$J$2000,"&lt;=22.5",$E$2:$E$2000,"&lt;=1")-SUM(N$2:N9,$M2:M10)</f>
        <v>1</v>
      </c>
      <c r="O10" s="5" t="n">
        <f aca="false">COUNTIFS($J$2:$J$2000,"&lt;=22.5",$E$2:$E$2000,"&lt;=1.5")-SUM(O$2:O9,$M2:N10)</f>
        <v>2</v>
      </c>
      <c r="P10" s="5" t="n">
        <f aca="false">COUNTIFS($J$2:$J$2000,"&lt;=22.5",$E$2:$E$2000,"&lt;=2")-SUM(P$2:P9,$M2:O10)</f>
        <v>5</v>
      </c>
      <c r="Q10" s="5" t="n">
        <f aca="false">COUNTIFS($J$2:$J$2000,"&lt;=22.5",$E$2:$E$2000,"&lt;=2.5")-SUM(Q$2:Q9,$M2:P10)</f>
        <v>4</v>
      </c>
      <c r="R10" s="5" t="n">
        <f aca="false">COUNTIFS($J$2:$J$2000,"&lt;=22.5",$E$2:$E$2000,"&lt;=3")-SUM(R$2:R9,$M2:Q10)</f>
        <v>4</v>
      </c>
      <c r="S10" s="5" t="n">
        <f aca="false">COUNTIFS($J$2:$J$2000,"&lt;=22.5",$E$2:$E$2000,"&lt;=3.5")-SUM(S$2:S9,$M2:R10)</f>
        <v>1</v>
      </c>
      <c r="T10" s="5" t="n">
        <f aca="false">COUNTIFS($J$2:$J$2000,"&lt;=22.5",$E$2:$E$2000,"&lt;=4")-SUM(T$2:T9,$M2:S10)</f>
        <v>4</v>
      </c>
      <c r="U10" s="5" t="n">
        <f aca="false">COUNTIFS($J$2:$J$2000,"&lt;=22.5",$E$2:$E$2000,"&lt;=4.5")-SUM(U$2:U9,$M2:T10)</f>
        <v>0</v>
      </c>
      <c r="V10" s="5" t="n">
        <f aca="false">COUNTIFS($J$2:$J$2000,"&lt;=22.5",$E$2:$E$2000,"&lt;=5")-SUM(V$2:V9,$M2:U10)</f>
        <v>1</v>
      </c>
      <c r="W10" s="5" t="n">
        <f aca="false">COUNTIFS($J$2:$J$2000,"&lt;=22.5",$E$2:$E$2000,"&gt;5")-SUM(W$2:W9)</f>
        <v>1</v>
      </c>
      <c r="X10" s="0" t="n">
        <f aca="false">SUM(M10:W10)</f>
        <v>23</v>
      </c>
    </row>
    <row r="11" customFormat="false" ht="15.8" hidden="false" customHeight="false" outlineLevel="0" collapsed="false">
      <c r="A11" s="1" t="n">
        <v>10</v>
      </c>
      <c r="B11" s="1" t="n">
        <v>42.3</v>
      </c>
      <c r="C11" s="1" t="n">
        <v>-51.9</v>
      </c>
      <c r="D11" s="1" t="n">
        <v>-15.9</v>
      </c>
      <c r="E11" s="2" t="n">
        <v>2</v>
      </c>
      <c r="F11" s="2" t="n">
        <v>9</v>
      </c>
      <c r="G11" s="2" t="n">
        <v>40.7</v>
      </c>
      <c r="H11" s="2" t="n">
        <v>-51.2</v>
      </c>
      <c r="I11" s="2" t="n">
        <v>-17</v>
      </c>
      <c r="J11" s="2" t="n">
        <v>16.28621248</v>
      </c>
      <c r="L11" s="3" t="n">
        <v>25</v>
      </c>
      <c r="M11" s="5" t="n">
        <f aca="false">COUNTIFS($J$2:$J$2000,"&lt;=25",$E$2:$E$2000,"&lt;=0.5")-SUM(M$2:M10)</f>
        <v>0</v>
      </c>
      <c r="N11" s="5" t="n">
        <f aca="false">COUNTIFS($J$2:$J$2000,"&lt;=25",$E$2:$E$2000,"&lt;=1")-SUM(N$2:N10,$M2:M11)</f>
        <v>2</v>
      </c>
      <c r="O11" s="5" t="n">
        <f aca="false">COUNTIFS($J$2:$J$2000,"&lt;=25",$E$2:$E$2000,"&lt;=1.5")-SUM(O$2:O10,$M2:N11)</f>
        <v>5</v>
      </c>
      <c r="P11" s="5" t="n">
        <f aca="false">COUNTIFS($J$2:$J$2000,"&lt;=25",$E$2:$E$2000,"&lt;=2")-SUM(P$2:P10,$M2:O11)</f>
        <v>8</v>
      </c>
      <c r="Q11" s="5" t="n">
        <f aca="false">COUNTIFS($J$2:$J$2000,"&lt;=25",$E$2:$E$2000,"&lt;=2.5")-SUM(Q$2:Q10,$M2:P11)</f>
        <v>1</v>
      </c>
      <c r="R11" s="5" t="n">
        <f aca="false">COUNTIFS($J$2:$J$2000,"&lt;=25",$E$2:$E$2000,"&lt;=3")-SUM(R$2:R10,$M2:Q11)</f>
        <v>2</v>
      </c>
      <c r="S11" s="5" t="n">
        <f aca="false">COUNTIFS($J$2:$J$2000,"&lt;=25",$E$2:$E$2000,"&lt;=3.5")-SUM(S$2:S10,$M2:R11)</f>
        <v>0</v>
      </c>
      <c r="T11" s="5" t="n">
        <f aca="false">COUNTIFS($J$2:$J$2000,"&lt;=25",$E$2:$E$2000,"&lt;=4")-SUM(T$2:T10,$M2:S11)</f>
        <v>0</v>
      </c>
      <c r="U11" s="5" t="n">
        <f aca="false">COUNTIFS($J$2:$J$2000,"&lt;=25",$E$2:$E$2000,"&lt;=4.5")-SUM(U$2:U10,$M2:T11)</f>
        <v>0</v>
      </c>
      <c r="V11" s="5" t="n">
        <f aca="false">COUNTIFS($J$2:$J$2000,"&lt;=25",$E$2:$E$2000,"&lt;=5")-SUM(V$2:V10,$M2:U11)</f>
        <v>0</v>
      </c>
      <c r="W11" s="5" t="n">
        <f aca="false">COUNTIFS($J$2:$J$2000,"&lt;=25",$E$2:$E$2000,"&gt;5")-SUM(W$2:W10)</f>
        <v>2</v>
      </c>
      <c r="X11" s="0" t="n">
        <f aca="false">SUM(M11:W11)</f>
        <v>20</v>
      </c>
    </row>
    <row r="12" customFormat="false" ht="15.8" hidden="false" customHeight="false" outlineLevel="0" collapsed="false">
      <c r="A12" s="1" t="n">
        <v>11</v>
      </c>
      <c r="B12" s="1" t="n">
        <v>43.6</v>
      </c>
      <c r="C12" s="1" t="n">
        <v>-49.4</v>
      </c>
      <c r="D12" s="1" t="n">
        <v>-14.8</v>
      </c>
      <c r="E12" s="2" t="n">
        <v>3</v>
      </c>
      <c r="F12" s="2" t="n">
        <v>10</v>
      </c>
      <c r="G12" s="2" t="n">
        <v>42.3</v>
      </c>
      <c r="H12" s="2" t="n">
        <v>-51.9</v>
      </c>
      <c r="I12" s="2" t="n">
        <v>-15.9</v>
      </c>
      <c r="J12" s="2" t="n">
        <v>13.89958694</v>
      </c>
      <c r="L12" s="3" t="n">
        <v>27.5</v>
      </c>
      <c r="M12" s="5" t="n">
        <f aca="false">COUNTIFS($J$2:$J$2000,"&lt;=27.5",$E$2:$E$2000,"&lt;=0.5")-SUM(M$2:M11)</f>
        <v>0</v>
      </c>
      <c r="N12" s="5" t="n">
        <f aca="false">COUNTIFS($J$2:$J$2000,"&lt;=27.5",$E$2:$E$2000,"&lt;=1")-SUM(N$2:N11,$M2:M12)</f>
        <v>2</v>
      </c>
      <c r="O12" s="5" t="n">
        <f aca="false">COUNTIFS($J$2:$J$2000,"&lt;=27.5",$E$2:$E$2000,"&lt;=1.5")-SUM(O$2:O11,$M2:N12)</f>
        <v>1</v>
      </c>
      <c r="P12" s="5" t="n">
        <f aca="false">COUNTIFS($J$2:$J$2000,"&lt;=27.5",$E$2:$E$2000,"&lt;=2")-SUM(P$2:P11,$M2:O12)</f>
        <v>3</v>
      </c>
      <c r="Q12" s="5" t="n">
        <f aca="false">COUNTIFS($J$2:$J$2000,"&lt;=27.5",$E$2:$E$2000,"&lt;=2.5")-SUM(Q$2:Q11,$M2:P12)</f>
        <v>3</v>
      </c>
      <c r="R12" s="5" t="n">
        <f aca="false">COUNTIFS($J$2:$J$2000,"&lt;=27.5",$E$2:$E$2000,"&lt;=3")-SUM(R$2:R11,$M2:Q12)</f>
        <v>0</v>
      </c>
      <c r="S12" s="5" t="n">
        <f aca="false">COUNTIFS($J$2:$J$2000,"&lt;=27.5",$E$2:$E$2000,"&lt;=3.5")-SUM(S$2:S11,$M2:R12)</f>
        <v>3</v>
      </c>
      <c r="T12" s="5" t="n">
        <f aca="false">COUNTIFS($J$2:$J$2000,"&lt;=27.5",$E$2:$E$2000,"&lt;=4")-SUM(T$2:T11,$M2:S12)</f>
        <v>0</v>
      </c>
      <c r="U12" s="5" t="n">
        <f aca="false">COUNTIFS($J$2:$J$2000,"&lt;=27.5",$E$2:$E$2000,"&lt;=4.5")-SUM(U$2:U11,$M2:T12)</f>
        <v>0</v>
      </c>
      <c r="V12" s="5" t="n">
        <f aca="false">COUNTIFS($J$2:$J$2000,"&lt;=27.5",$E$2:$E$2000,"&lt;=5")-SUM(V$2:V11,$M2:U12)</f>
        <v>0</v>
      </c>
      <c r="W12" s="5" t="n">
        <f aca="false">COUNTIFS($J$2:$J$2000,"&lt;=27.5",$E$2:$E$2000,"&gt;5")-SUM(W$2:W11)</f>
        <v>0</v>
      </c>
      <c r="X12" s="0" t="n">
        <f aca="false">SUM(M12:W12)</f>
        <v>12</v>
      </c>
    </row>
    <row r="13" customFormat="false" ht="15.8" hidden="false" customHeight="false" outlineLevel="0" collapsed="false">
      <c r="A13" s="1" t="n">
        <v>12</v>
      </c>
      <c r="B13" s="1" t="n">
        <v>44</v>
      </c>
      <c r="C13" s="1" t="n">
        <v>-44.5</v>
      </c>
      <c r="D13" s="1" t="n">
        <v>-14.1</v>
      </c>
      <c r="E13" s="2" t="n">
        <v>1.4</v>
      </c>
      <c r="F13" s="2" t="n">
        <v>13</v>
      </c>
      <c r="G13" s="2" t="n">
        <v>43.3</v>
      </c>
      <c r="H13" s="2" t="n">
        <v>-45.7</v>
      </c>
      <c r="I13" s="2" t="n">
        <v>-13.7</v>
      </c>
      <c r="J13" s="2" t="n">
        <v>10.9472059</v>
      </c>
      <c r="L13" s="3" t="n">
        <v>30</v>
      </c>
      <c r="M13" s="5" t="n">
        <f aca="false">COUNTIFS($J$2:$J$2000,"&lt;=30",$E$2:$E$2000,"&lt;=0.5")-SUM(M$2:M12)</f>
        <v>0</v>
      </c>
      <c r="N13" s="5" t="n">
        <f aca="false">COUNTIFS($J$2:$J$2000,"&lt;=30",$E$2:$E$2000,"&lt;=1")-SUM(N$2:N12,$M2:M13)</f>
        <v>0</v>
      </c>
      <c r="O13" s="5" t="n">
        <f aca="false">COUNTIFS($J$2:$J$2000,"&lt;=30",$E$2:$E$2000,"&lt;=1.5")-SUM(O$2:O12,$M2:N13)</f>
        <v>4</v>
      </c>
      <c r="P13" s="5" t="n">
        <f aca="false">COUNTIFS($J$2:$J$2000,"&lt;=30",$E$2:$E$2000,"&lt;=2")-SUM(P$2:P12,$M2:O13)</f>
        <v>2</v>
      </c>
      <c r="Q13" s="5" t="n">
        <f aca="false">COUNTIFS($J$2:$J$2000,"&lt;=30",$E$2:$E$2000,"&lt;=2.5")-SUM(Q$2:Q12,$M2:P13)</f>
        <v>1</v>
      </c>
      <c r="R13" s="5" t="n">
        <f aca="false">COUNTIFS($J$2:$J$2000,"&lt;=30",$E$2:$E$2000,"&lt;=3")-SUM(R$2:R12,$M2:Q13)</f>
        <v>1</v>
      </c>
      <c r="S13" s="5" t="n">
        <f aca="false">COUNTIFS($J$2:$J$2000,"&lt;=30",$E$2:$E$2000,"&lt;=3.5")-SUM(S$2:S12,$M2:R13)</f>
        <v>0</v>
      </c>
      <c r="T13" s="5" t="n">
        <f aca="false">COUNTIFS($J$2:$J$2000,"&lt;=30",$E$2:$E$2000,"&lt;=4")-SUM(T$2:T12,$M2:S13)</f>
        <v>0</v>
      </c>
      <c r="U13" s="5" t="n">
        <f aca="false">COUNTIFS($J$2:$J$2000,"&lt;=30",$E$2:$E$2000,"&lt;=4.5")-SUM(U$2:U12,$M2:T13)</f>
        <v>0</v>
      </c>
      <c r="V13" s="5" t="n">
        <f aca="false">COUNTIFS($J$2:$J$2000,"&lt;=30",$E$2:$E$2000,"&lt;=5")-SUM(V$2:V12,$M2:U13)</f>
        <v>0</v>
      </c>
      <c r="W13" s="5" t="n">
        <f aca="false">COUNTIFS($J$2:$J$2000,"&lt;=30",$E$2:$E$2000,"&gt;5")-SUM(W$2:W12)</f>
        <v>0</v>
      </c>
      <c r="X13" s="0" t="n">
        <f aca="false">SUM(M13:W13)</f>
        <v>8</v>
      </c>
    </row>
    <row r="14" customFormat="false" ht="15.8" hidden="false" customHeight="false" outlineLevel="0" collapsed="false">
      <c r="A14" s="1" t="n">
        <v>13</v>
      </c>
      <c r="B14" s="1" t="n">
        <v>43.3</v>
      </c>
      <c r="C14" s="1" t="n">
        <v>-45.7</v>
      </c>
      <c r="D14" s="1" t="n">
        <v>-13.7</v>
      </c>
      <c r="E14" s="2" t="n">
        <v>1.4</v>
      </c>
      <c r="F14" s="2" t="n">
        <v>12</v>
      </c>
      <c r="G14" s="2" t="n">
        <v>44</v>
      </c>
      <c r="H14" s="2" t="n">
        <v>-44.5</v>
      </c>
      <c r="I14" s="2" t="n">
        <v>-14.1</v>
      </c>
      <c r="J14" s="2" t="n">
        <v>12.23216731</v>
      </c>
      <c r="L14" s="3" t="n">
        <v>32.5</v>
      </c>
      <c r="M14" s="5" t="n">
        <f aca="false">COUNTIFS($J$2:$J$2000,"&lt;=32.5",$E$2:$E$2000,"&lt;=0.5")-SUM(M$2:M13)</f>
        <v>0</v>
      </c>
      <c r="N14" s="5" t="n">
        <f aca="false">COUNTIFS($J$2:$J$2000,"&lt;=32.5",$E$2:$E$2000,"&lt;=1")-SUM(N$2:N13,$M2:M14)</f>
        <v>0</v>
      </c>
      <c r="O14" s="5" t="n">
        <f aca="false">COUNTIFS($J$2:$J$2000,"&lt;=32.5",$E$2:$E$2000,"&lt;=1.5")-SUM(O$2:O13,$M2:N14)</f>
        <v>2</v>
      </c>
      <c r="P14" s="5" t="n">
        <f aca="false">COUNTIFS($J$2:$J$2000,"&lt;=32.5",$E$2:$E$2000,"&lt;=2")-SUM(P$2:P13,$M2:O14)</f>
        <v>0</v>
      </c>
      <c r="Q14" s="5" t="n">
        <f aca="false">COUNTIFS($J$2:$J$2000,"&lt;=32.5",$E$2:$E$2000,"&lt;=2.5")-SUM(Q$2:Q13,$M2:P14)</f>
        <v>1</v>
      </c>
      <c r="R14" s="5" t="n">
        <f aca="false">COUNTIFS($J$2:$J$2000,"&lt;=32.5",$E$2:$E$2000,"&lt;=3")-SUM(R$2:R13,$M2:Q14)</f>
        <v>0</v>
      </c>
      <c r="S14" s="5" t="n">
        <f aca="false">COUNTIFS($J$2:$J$2000,"&lt;=32.5",$E$2:$E$2000,"&lt;=3.5")-SUM(S$2:S13,$M2:R14)</f>
        <v>0</v>
      </c>
      <c r="T14" s="5" t="n">
        <f aca="false">COUNTIFS($J$2:$J$2000,"&lt;=32.5",$E$2:$E$2000,"&lt;=4")-SUM(T$2:T13,$M2:S14)</f>
        <v>0</v>
      </c>
      <c r="U14" s="5" t="n">
        <f aca="false">COUNTIFS($J$2:$J$2000,"&lt;=32.5",$E$2:$E$2000,"&lt;=4.5")-SUM(U$2:U13,$M2:T14)</f>
        <v>0</v>
      </c>
      <c r="V14" s="5" t="n">
        <f aca="false">COUNTIFS($J$2:$J$2000,"&lt;=32.5",$E$2:$E$2000,"&lt;=5")-SUM(V$2:V13,$M2:U14)</f>
        <v>0</v>
      </c>
      <c r="W14" s="5" t="n">
        <f aca="false">COUNTIFS($J$2:$J$2000,"&lt;=32.5",$E$2:$E$2000,"&gt;5")-SUM(W$2:W13)</f>
        <v>0</v>
      </c>
      <c r="X14" s="0" t="n">
        <f aca="false">SUM(M14:W14)</f>
        <v>3</v>
      </c>
    </row>
    <row r="15" customFormat="false" ht="15.8" hidden="false" customHeight="false" outlineLevel="0" collapsed="false">
      <c r="A15" s="1" t="n">
        <v>14</v>
      </c>
      <c r="B15" s="1" t="n">
        <v>45.3</v>
      </c>
      <c r="C15" s="1" t="n">
        <v>-46.7</v>
      </c>
      <c r="D15" s="1" t="n">
        <v>-8.1</v>
      </c>
      <c r="E15" s="2" t="n">
        <v>1.3</v>
      </c>
      <c r="F15" s="2" t="n">
        <v>15</v>
      </c>
      <c r="G15" s="2" t="n">
        <v>46.3</v>
      </c>
      <c r="H15" s="2" t="n">
        <v>-46</v>
      </c>
      <c r="I15" s="2" t="n">
        <v>-7.8</v>
      </c>
      <c r="J15" s="2" t="n">
        <v>14.90861218</v>
      </c>
      <c r="L15" s="3" t="n">
        <v>35</v>
      </c>
      <c r="M15" s="5" t="n">
        <f aca="false">COUNTIFS($J$2:$J$2000,"&lt;=35",$E$2:$E$2000,"&lt;=0.5")-SUM(M$2:M14)</f>
        <v>0</v>
      </c>
      <c r="N15" s="5" t="n">
        <f aca="false">COUNTIFS($J$2:$J$2000,"&lt;=35",$E$2:$E$2000,"&lt;=1")-SUM(N$2:N14,$M2:M15)</f>
        <v>0</v>
      </c>
      <c r="O15" s="5" t="n">
        <f aca="false">COUNTIFS($J$2:$J$2000,"&lt;=35",$E$2:$E$2000,"&lt;=1.5")-SUM(O$2:O14,$M2:N15)</f>
        <v>2</v>
      </c>
      <c r="P15" s="5" t="n">
        <f aca="false">COUNTIFS($J$2:$J$2000,"&lt;=35",$E$2:$E$2000,"&lt;=2")-SUM(P$2:P14,$M2:O15)</f>
        <v>0</v>
      </c>
      <c r="Q15" s="5" t="n">
        <f aca="false">COUNTIFS($J$2:$J$2000,"&lt;=35",$E$2:$E$2000,"&lt;=2.5")-SUM(Q$2:Q14,$M2:P15)</f>
        <v>0</v>
      </c>
      <c r="R15" s="5" t="n">
        <f aca="false">COUNTIFS($J$2:$J$2000,"&lt;=35",$E$2:$E$2000,"&lt;=3")-SUM(R$2:R14,$M2:Q15)</f>
        <v>0</v>
      </c>
      <c r="S15" s="5" t="n">
        <f aca="false">COUNTIFS($J$2:$J$2000,"&lt;=35",$E$2:$E$2000,"&lt;=3.5")-SUM(S$2:S14,$M2:R15)</f>
        <v>0</v>
      </c>
      <c r="T15" s="5" t="n">
        <f aca="false">COUNTIFS($J$2:$J$2000,"&lt;=35",$E$2:$E$2000,"&lt;=4")-SUM(T$2:T14,$M2:S15)</f>
        <v>0</v>
      </c>
      <c r="U15" s="5" t="n">
        <f aca="false">COUNTIFS($J$2:$J$2000,"&lt;=35",$E$2:$E$2000,"&lt;=4.5")-SUM(U$2:U14,$M2:T15)</f>
        <v>0</v>
      </c>
      <c r="V15" s="5" t="n">
        <f aca="false">COUNTIFS($J$2:$J$2000,"&lt;=35",$E$2:$E$2000,"&lt;=5")-SUM(V$2:V14,$M2:U15)</f>
        <v>0</v>
      </c>
      <c r="W15" s="5" t="n">
        <f aca="false">COUNTIFS($J$2:$J$2000,"&lt;=35",$E$2:$E$2000,"&gt;5")-SUM(W$2:W14)</f>
        <v>0</v>
      </c>
      <c r="X15" s="0" t="n">
        <f aca="false">SUM(M15:W15)</f>
        <v>2</v>
      </c>
      <c r="Y15" s="3"/>
    </row>
    <row r="16" customFormat="false" ht="15.8" hidden="false" customHeight="false" outlineLevel="0" collapsed="false">
      <c r="A16" s="1" t="n">
        <v>15</v>
      </c>
      <c r="B16" s="1" t="n">
        <v>46.3</v>
      </c>
      <c r="C16" s="1" t="n">
        <v>-46</v>
      </c>
      <c r="D16" s="1" t="n">
        <v>-7.8</v>
      </c>
      <c r="E16" s="2" t="n">
        <v>1.3</v>
      </c>
      <c r="F16" s="2" t="n">
        <v>14</v>
      </c>
      <c r="G16" s="2" t="n">
        <v>45.3</v>
      </c>
      <c r="H16" s="2" t="n">
        <v>-46.7</v>
      </c>
      <c r="I16" s="2" t="n">
        <v>-8.1</v>
      </c>
      <c r="J16" s="2" t="n">
        <v>14.35989962</v>
      </c>
      <c r="L16" s="3" t="n">
        <v>37.5</v>
      </c>
      <c r="M16" s="5" t="n">
        <f aca="false">COUNTIFS($J$2:$J$2000,"&lt;=37.5",$E$2:$E$2000,"&lt;=0.5")-SUM(M$2:M15)</f>
        <v>0</v>
      </c>
      <c r="N16" s="5" t="n">
        <f aca="false">COUNTIFS($J$2:$J$2000,"&lt;=37.5",$E$2:$E$2000,"&lt;=1")-SUM(N$2:N15,$M2:M16)</f>
        <v>0</v>
      </c>
      <c r="O16" s="5" t="n">
        <f aca="false">COUNTIFS($J$2:$J$2000,"&lt;=37.5",$E$2:$E$2000,"&lt;=1.5")-SUM(O$2:O15,$M2:N16)</f>
        <v>0</v>
      </c>
      <c r="P16" s="5" t="n">
        <f aca="false">COUNTIFS($J$2:$J$2000,"&lt;=37.5",$E$2:$E$2000,"&lt;=2")-SUM(P$2:P15,$M2:O16)</f>
        <v>0</v>
      </c>
      <c r="Q16" s="5" t="n">
        <f aca="false">COUNTIFS($J$2:$J$2000,"&lt;=37.5",$E$2:$E$2000,"&lt;=2.5")-SUM(Q$2:Q15,$M2:P16)</f>
        <v>0</v>
      </c>
      <c r="R16" s="5" t="n">
        <f aca="false">COUNTIFS($J$2:$J$2000,"&lt;=37.5",$E$2:$E$2000,"&lt;=3")-SUM(R$2:R15,$M2:Q16)</f>
        <v>0</v>
      </c>
      <c r="S16" s="5" t="n">
        <f aca="false">COUNTIFS($J$2:$J$2000,"&lt;=37.5",$E$2:$E$2000,"&lt;=3.5")-SUM(S$2:S15,$M2:R16)</f>
        <v>0</v>
      </c>
      <c r="T16" s="5" t="n">
        <f aca="false">COUNTIFS($J$2:$J$2000,"&lt;=37.5",$E$2:$E$2000,"&lt;=4")-SUM(T$2:T15,$M2:S16)</f>
        <v>0</v>
      </c>
      <c r="U16" s="5" t="n">
        <f aca="false">COUNTIFS($J$2:$J$2000,"&lt;=37.5",$E$2:$E$2000,"&lt;=4.5")-SUM(U$2:U15,$M2:T16)</f>
        <v>0</v>
      </c>
      <c r="V16" s="5" t="n">
        <f aca="false">COUNTIFS($J$2:$J$2000,"&lt;=37.5",$E$2:$E$2000,"&lt;=5")-SUM(V$2:V15,$M2:U16)</f>
        <v>0</v>
      </c>
      <c r="W16" s="5" t="n">
        <f aca="false">COUNTIFS($J$2:$J$2000,"&lt;=37.5",$E$2:$E$2000,"&gt;5")-SUM(W$2:W15)</f>
        <v>0</v>
      </c>
      <c r="X16" s="0" t="n">
        <f aca="false">SUM(M16:W16)</f>
        <v>0</v>
      </c>
    </row>
    <row r="17" customFormat="false" ht="15.8" hidden="false" customHeight="false" outlineLevel="0" collapsed="false">
      <c r="A17" s="1" t="n">
        <v>16</v>
      </c>
      <c r="B17" s="1" t="n">
        <v>45.5</v>
      </c>
      <c r="C17" s="1" t="n">
        <v>-47</v>
      </c>
      <c r="D17" s="1" t="n">
        <v>-11.1</v>
      </c>
      <c r="E17" s="2" t="n">
        <v>2.4</v>
      </c>
      <c r="F17" s="2" t="n">
        <v>17</v>
      </c>
      <c r="G17" s="2" t="n">
        <v>47.3</v>
      </c>
      <c r="H17" s="2" t="n">
        <v>-45.5</v>
      </c>
      <c r="I17" s="2" t="n">
        <v>-11.1</v>
      </c>
      <c r="J17" s="2" t="n">
        <v>12.9244078</v>
      </c>
      <c r="L17" s="3" t="n">
        <v>40</v>
      </c>
      <c r="M17" s="5" t="n">
        <f aca="false">COUNTIFS($J$2:$J$2000,"&lt;=40",$E$2:$E$2000,"&lt;=0.5")-SUM(M$2:M16)</f>
        <v>0</v>
      </c>
      <c r="N17" s="5" t="n">
        <f aca="false">COUNTIFS($J$2:$J$2000,"&lt;=40",$E$2:$E$2000,"&lt;=1")-SUM(N$2:N16,$M2:M17)</f>
        <v>0</v>
      </c>
      <c r="O17" s="5" t="n">
        <f aca="false">COUNTIFS($J$2:$J$2000,"&lt;=40",$E$2:$E$2000,"&lt;=1.5")-SUM(O$2:O16,$M2:N17)</f>
        <v>0</v>
      </c>
      <c r="P17" s="5" t="n">
        <f aca="false">COUNTIFS($J$2:$J$2000,"&lt;=40",$E$2:$E$2000,"&lt;=2")-SUM(P$2:P16,$M2:O17)</f>
        <v>0</v>
      </c>
      <c r="Q17" s="5" t="n">
        <f aca="false">COUNTIFS($J$2:$J$2000,"&lt;=40",$E$2:$E$2000,"&lt;=2.5")-SUM(Q$2:Q16,$M2:P17)</f>
        <v>0</v>
      </c>
      <c r="R17" s="5" t="n">
        <f aca="false">COUNTIFS($J$2:$J$2000,"&lt;=40",$E$2:$E$2000,"&lt;=3")-SUM(R$2:R16,$M2:Q17)</f>
        <v>0</v>
      </c>
      <c r="S17" s="5" t="n">
        <f aca="false">COUNTIFS($J$2:$J$2000,"&lt;=40",$E$2:$E$2000,"&lt;=3.5")-SUM(S$2:S16,$M2:R17)</f>
        <v>0</v>
      </c>
      <c r="T17" s="5" t="n">
        <f aca="false">COUNTIFS($J$2:$J$2000,"&lt;=40",$E$2:$E$2000,"&lt;=4")-SUM(T$2:T16,$M2:S17)</f>
        <v>0</v>
      </c>
      <c r="U17" s="5" t="n">
        <f aca="false">COUNTIFS($J$2:$J$2000,"&lt;=40",$E$2:$E$2000,"&lt;=4.5")-SUM(U$2:U16,$M2:T17)</f>
        <v>0</v>
      </c>
      <c r="V17" s="5" t="n">
        <f aca="false">COUNTIFS($J$2:$J$2000,"&lt;=40",$E$2:$E$2000,"&lt;=5")-SUM(V$2:V16,$M2:U17)</f>
        <v>0</v>
      </c>
      <c r="W17" s="5" t="n">
        <f aca="false">COUNTIFS($J$2:$J$2000,"&lt;=40",$E$2:$E$2000,"&gt;5")-SUM(W$2:W16)</f>
        <v>0</v>
      </c>
      <c r="X17" s="0" t="n">
        <f aca="false">SUM(M17:W17)</f>
        <v>0</v>
      </c>
    </row>
    <row r="18" customFormat="false" ht="15.8" hidden="false" customHeight="false" outlineLevel="0" collapsed="false">
      <c r="A18" s="1" t="n">
        <v>17</v>
      </c>
      <c r="B18" s="1" t="n">
        <v>47.3</v>
      </c>
      <c r="C18" s="1" t="n">
        <v>-45.5</v>
      </c>
      <c r="D18" s="1" t="n">
        <v>-11.1</v>
      </c>
      <c r="E18" s="2" t="n">
        <v>2.4</v>
      </c>
      <c r="F18" s="2" t="n">
        <v>16</v>
      </c>
      <c r="G18" s="2" t="n">
        <v>45.5</v>
      </c>
      <c r="H18" s="2" t="n">
        <v>-47</v>
      </c>
      <c r="I18" s="2" t="n">
        <v>-11.1</v>
      </c>
      <c r="J18" s="2" t="n">
        <v>11.19340507</v>
      </c>
      <c r="L18" s="3" t="n">
        <v>42.5</v>
      </c>
      <c r="M18" s="5" t="n">
        <f aca="false">COUNTIFS($J$2:$J$2000,"&lt;=42.5",$E$2:$E$2000,"&lt;=0.5")-SUM(M$2:M17)</f>
        <v>0</v>
      </c>
      <c r="N18" s="5" t="n">
        <f aca="false">COUNTIFS($J$2:$J$2000,"&lt;=42.5",$E$2:$E$2000,"&lt;=1")-SUM(N$2:N17,$M2:M18)</f>
        <v>0</v>
      </c>
      <c r="O18" s="5" t="n">
        <f aca="false">COUNTIFS($J$2:$J$2000,"&lt;=42.5",$E$2:$E$2000,"&lt;=1.5")-SUM(O$2:O17,$M2:N18)</f>
        <v>0</v>
      </c>
      <c r="P18" s="5" t="n">
        <f aca="false">COUNTIFS($J$2:$J$2000,"&lt;=42.5",$E$2:$E$2000,"&lt;=2")-SUM(P$2:P17,$M2:O18)</f>
        <v>0</v>
      </c>
      <c r="Q18" s="5" t="n">
        <f aca="false">COUNTIFS($J$2:$J$2000,"&lt;=42.5",$E$2:$E$2000,"&lt;=2.5")-SUM(Q$2:Q17,$M2:P18)</f>
        <v>0</v>
      </c>
      <c r="R18" s="5" t="n">
        <f aca="false">COUNTIFS($J$2:$J$2000,"&lt;=42.5",$E$2:$E$2000,"&lt;=3")-SUM(R$2:R17,$M2:Q18)</f>
        <v>0</v>
      </c>
      <c r="S18" s="5" t="n">
        <f aca="false">COUNTIFS($J$2:$J$2000,"&lt;=42.5",$E$2:$E$2000,"&lt;=3.5")-SUM(S$2:S17,$M2:R18)</f>
        <v>0</v>
      </c>
      <c r="T18" s="5" t="n">
        <f aca="false">COUNTIFS($J$2:$J$2000,"&lt;=42.5",$E$2:$E$2000,"&lt;=4")-SUM(T$2:T17,$M2:S18)</f>
        <v>0</v>
      </c>
      <c r="U18" s="5" t="n">
        <f aca="false">COUNTIFS($J$2:$J$2000,"&lt;=42.5",$E$2:$E$2000,"&lt;=4.5")-SUM(U$2:U17,$M2:T18)</f>
        <v>0</v>
      </c>
      <c r="V18" s="5" t="n">
        <f aca="false">COUNTIFS($J$2:$J$2000,"&lt;=42.5",$E$2:$E$2000,"&lt;=5")-SUM(V$2:V17,$M2:U18)</f>
        <v>0</v>
      </c>
      <c r="W18" s="5" t="n">
        <f aca="false">COUNTIFS($J$2:$J$2000,"&lt;=42.5",$E$2:$E$2000,"&gt;5")-SUM(W$2:W17)</f>
        <v>0</v>
      </c>
      <c r="X18" s="0" t="n">
        <f aca="false">SUM(M18:W18)</f>
        <v>0</v>
      </c>
    </row>
    <row r="19" customFormat="false" ht="15.8" hidden="false" customHeight="false" outlineLevel="0" collapsed="false">
      <c r="A19" s="1" t="n">
        <v>18</v>
      </c>
      <c r="B19" s="1" t="n">
        <v>46.3</v>
      </c>
      <c r="C19" s="1" t="n">
        <v>-50</v>
      </c>
      <c r="D19" s="1" t="n">
        <v>-13.3</v>
      </c>
      <c r="E19" s="2" t="n">
        <v>2.4</v>
      </c>
      <c r="F19" s="2" t="n">
        <v>8</v>
      </c>
      <c r="G19" s="2" t="n">
        <v>47</v>
      </c>
      <c r="H19" s="2" t="n">
        <v>-49.3</v>
      </c>
      <c r="I19" s="2" t="n">
        <v>-15.5</v>
      </c>
      <c r="J19" s="2" t="n">
        <v>13.43170566</v>
      </c>
      <c r="L19" s="3" t="n">
        <v>45</v>
      </c>
      <c r="M19" s="5" t="n">
        <f aca="false">COUNTIFS($J$2:$J$2000,"&lt;=45",$E$2:$E$2000,"&lt;=0.5")-SUM(M$2:M18)</f>
        <v>0</v>
      </c>
      <c r="N19" s="5" t="n">
        <f aca="false">COUNTIFS($J$2:$J$2000,"&lt;=45",$E$2:$E$2000,"&lt;=1")-SUM(N$2:N18,$M2:M19)</f>
        <v>0</v>
      </c>
      <c r="O19" s="5" t="n">
        <f aca="false">COUNTIFS($J$2:$J$2000,"&lt;=45",$E$2:$E$2000,"&lt;=1.5")-SUM(O$2:O18,$M2:N19)</f>
        <v>0</v>
      </c>
      <c r="P19" s="5" t="n">
        <f aca="false">COUNTIFS($J$2:$J$2000,"&lt;=45",$E$2:$E$2000,"&lt;=2")-SUM(P$2:P18,$M2:O19)</f>
        <v>0</v>
      </c>
      <c r="Q19" s="5" t="n">
        <f aca="false">COUNTIFS($J$2:$J$2000,"&lt;=45",$E$2:$E$2000,"&lt;=2.5")-SUM(Q$2:Q18,$M2:P19)</f>
        <v>0</v>
      </c>
      <c r="R19" s="5" t="n">
        <f aca="false">COUNTIFS($J$2:$J$2000,"&lt;=45",$E$2:$E$2000,"&lt;=3")-SUM(R$2:R18,$M2:Q19)</f>
        <v>0</v>
      </c>
      <c r="S19" s="5" t="n">
        <f aca="false">COUNTIFS($J$2:$J$2000,"&lt;=45",$E$2:$E$2000,"&lt;=3.5")-SUM(S$2:S18,$M2:R19)</f>
        <v>0</v>
      </c>
      <c r="T19" s="5" t="n">
        <f aca="false">COUNTIFS($J$2:$J$2000,"&lt;=45",$E$2:$E$2000,"&lt;=4")-SUM(T$2:T18,$M2:S19)</f>
        <v>0</v>
      </c>
      <c r="U19" s="5" t="n">
        <f aca="false">COUNTIFS($J$2:$J$2000,"&lt;=45",$E$2:$E$2000,"&lt;=4.5")-SUM(U$2:U18,$M2:T19)</f>
        <v>0</v>
      </c>
      <c r="V19" s="5" t="n">
        <f aca="false">COUNTIFS($J$2:$J$2000,"&lt;=45",$E$2:$E$2000,"&lt;=5")-SUM(V$2:V18,$M2:U19)</f>
        <v>0</v>
      </c>
      <c r="W19" s="5" t="n">
        <f aca="false">COUNTIFS($J$2:$J$2000,"&lt;=45",$E$2:$E$2000,"&gt;5")-SUM(W$2:W18)</f>
        <v>0</v>
      </c>
      <c r="X19" s="0" t="n">
        <f aca="false">SUM(M19:W19)</f>
        <v>0</v>
      </c>
    </row>
    <row r="20" customFormat="false" ht="15.8" hidden="false" customHeight="false" outlineLevel="0" collapsed="false">
      <c r="A20" s="1" t="n">
        <v>19</v>
      </c>
      <c r="B20" s="1" t="n">
        <v>47.7</v>
      </c>
      <c r="C20" s="1" t="n">
        <v>-42.3</v>
      </c>
      <c r="D20" s="1" t="n">
        <v>-14.4</v>
      </c>
      <c r="E20" s="2" t="n">
        <v>1.7</v>
      </c>
      <c r="F20" s="2" t="n">
        <v>21</v>
      </c>
      <c r="G20" s="2" t="n">
        <v>47.8</v>
      </c>
      <c r="H20" s="2" t="n">
        <v>-40.7</v>
      </c>
      <c r="I20" s="2" t="n">
        <v>-14.1</v>
      </c>
      <c r="J20" s="2" t="n">
        <v>7.177709732</v>
      </c>
      <c r="L20" s="3" t="n">
        <v>47.5</v>
      </c>
      <c r="M20" s="5" t="n">
        <f aca="false">COUNTIFS($J$2:$J$2000,"&lt;=47.5",$E$2:$E$2000,"&lt;=0.5")-SUM(M$2:M19)</f>
        <v>0</v>
      </c>
      <c r="N20" s="5" t="n">
        <f aca="false">COUNTIFS($J$2:$J$2000,"&lt;=47.5",$E$2:$E$2000,"&lt;=1")-SUM(N$2:N19,$M2:M20)</f>
        <v>0</v>
      </c>
      <c r="O20" s="5" t="n">
        <f aca="false">COUNTIFS($J$2:$J$2000,"&lt;=47.5",$E$2:$E$2000,"&lt;=1.5")-SUM(O$2:O19,$M2:N20)</f>
        <v>0</v>
      </c>
      <c r="P20" s="5" t="n">
        <f aca="false">COUNTIFS($J$2:$J$2000,"&lt;=47.5",$E$2:$E$2000,"&lt;=2")-SUM(P$2:P19,$M2:O20)</f>
        <v>0</v>
      </c>
      <c r="Q20" s="5" t="n">
        <f aca="false">COUNTIFS($J$2:$J$2000,"&lt;=47.5",$E$2:$E$2000,"&lt;=2.5")-SUM(Q$2:Q19,$M2:P20)</f>
        <v>0</v>
      </c>
      <c r="R20" s="5" t="n">
        <f aca="false">COUNTIFS($J$2:$J$2000,"&lt;=47.5",$E$2:$E$2000,"&lt;=3")-SUM(R$2:R19,$M2:Q20)</f>
        <v>0</v>
      </c>
      <c r="S20" s="5" t="n">
        <f aca="false">COUNTIFS($J$2:$J$2000,"&lt;=47.5",$E$2:$E$2000,"&lt;=3.5")-SUM(S$2:S19,$M2:R20)</f>
        <v>0</v>
      </c>
      <c r="T20" s="5" t="n">
        <f aca="false">COUNTIFS($J$2:$J$2000,"&lt;=47.5",$E$2:$E$2000,"&lt;=4")-SUM(T$2:T19,$M2:S20)</f>
        <v>0</v>
      </c>
      <c r="U20" s="5" t="n">
        <f aca="false">COUNTIFS($J$2:$J$2000,"&lt;=47.5",$E$2:$E$2000,"&lt;=4.5")-SUM(U$2:U19,$M2:T20)</f>
        <v>0</v>
      </c>
      <c r="V20" s="5" t="n">
        <f aca="false">COUNTIFS($J$2:$J$2000,"&lt;=47.5",$E$2:$E$2000,"&lt;=5")-SUM(V$2:V19,$M2:U20)</f>
        <v>0</v>
      </c>
      <c r="W20" s="5" t="n">
        <f aca="false">COUNTIFS($J$2:$J$2000,"&lt;=47.5",$E$2:$E$2000,"&gt;5")-SUM(W$2:W19)</f>
        <v>0</v>
      </c>
      <c r="X20" s="0" t="n">
        <f aca="false">SUM(M20:W20)</f>
        <v>0</v>
      </c>
    </row>
    <row r="21" customFormat="false" ht="15.8" hidden="false" customHeight="false" outlineLevel="0" collapsed="false">
      <c r="A21" s="1" t="n">
        <v>20</v>
      </c>
      <c r="B21" s="1" t="n">
        <v>47.3</v>
      </c>
      <c r="C21" s="1" t="n">
        <v>-45</v>
      </c>
      <c r="D21" s="1" t="n">
        <v>-15.2</v>
      </c>
      <c r="E21" s="2" t="n">
        <v>2.5</v>
      </c>
      <c r="F21" s="2" t="n">
        <v>5</v>
      </c>
      <c r="G21" s="2" t="n">
        <v>48.5</v>
      </c>
      <c r="H21" s="2" t="n">
        <v>-46.2</v>
      </c>
      <c r="I21" s="2" t="n">
        <v>-17</v>
      </c>
      <c r="J21" s="2" t="n">
        <v>8.424340746</v>
      </c>
      <c r="L21" s="3" t="n">
        <v>50</v>
      </c>
      <c r="M21" s="5" t="n">
        <f aca="false">COUNTIFS($J$2:$J$2000,"&lt;=50",$E$2:$E$2000,"&lt;=0.5")-SUM(M$2:M20)</f>
        <v>0</v>
      </c>
      <c r="N21" s="5" t="n">
        <f aca="false">COUNTIFS($J$2:$J$2000,"&lt;=50",$E$2:$E$2000,"&lt;=1")-SUM(N$2:N20,$M2:M21)</f>
        <v>0</v>
      </c>
      <c r="O21" s="5" t="n">
        <f aca="false">COUNTIFS($J$2:$J$2000,"&lt;=50",$E$2:$E$2000,"&lt;=1.5")-SUM(O$2:O20,$M2:N21)</f>
        <v>0</v>
      </c>
      <c r="P21" s="5" t="n">
        <f aca="false">COUNTIFS($J$2:$J$2000,"&lt;=50",$E$2:$E$2000,"&lt;=2")-SUM(P$2:P20,$M2:O21)</f>
        <v>0</v>
      </c>
      <c r="Q21" s="5" t="n">
        <f aca="false">COUNTIFS($J$2:$J$2000,"&lt;=50",$E$2:$E$2000,"&lt;=2.5")-SUM(Q$2:Q20,$M2:P21)</f>
        <v>0</v>
      </c>
      <c r="R21" s="5" t="n">
        <f aca="false">COUNTIFS($J$2:$J$2000,"&lt;=50",$E$2:$E$2000,"&lt;=3")-SUM(R$2:R20,$M2:Q21)</f>
        <v>0</v>
      </c>
      <c r="S21" s="5" t="n">
        <f aca="false">COUNTIFS($J$2:$J$2000,"&lt;=50",$E$2:$E$2000,"&lt;=3.5")-SUM(S$2:S20,$M2:R21)</f>
        <v>0</v>
      </c>
      <c r="T21" s="5" t="n">
        <f aca="false">COUNTIFS($J$2:$J$2000,"&lt;=50",$E$2:$E$2000,"&lt;=4")-SUM(T$2:T20,$M2:S21)</f>
        <v>0</v>
      </c>
      <c r="U21" s="5" t="n">
        <f aca="false">COUNTIFS($J$2:$J$2000,"&lt;=50",$E$2:$E$2000,"&lt;=4.5")-SUM(U$2:U20,$M2:T21)</f>
        <v>0</v>
      </c>
      <c r="V21" s="5" t="n">
        <f aca="false">COUNTIFS($J$2:$J$2000,"&lt;=50",$E$2:$E$2000,"&lt;=5")-SUM(V$2:V20,$M2:U21)</f>
        <v>0</v>
      </c>
      <c r="W21" s="5" t="n">
        <f aca="false">COUNTIFS($J$2:$J$2000,"&lt;=50",$E$2:$E$2000,"&gt;5")-SUM(W$2:W20)</f>
        <v>0</v>
      </c>
      <c r="X21" s="0" t="n">
        <f aca="false">SUM(M21:W21)</f>
        <v>0</v>
      </c>
    </row>
    <row r="22" customFormat="false" ht="15.8" hidden="false" customHeight="false" outlineLevel="0" collapsed="false">
      <c r="A22" s="1" t="n">
        <v>21</v>
      </c>
      <c r="B22" s="1" t="n">
        <v>47.8</v>
      </c>
      <c r="C22" s="1" t="n">
        <v>-40.7</v>
      </c>
      <c r="D22" s="1" t="n">
        <v>-14.1</v>
      </c>
      <c r="E22" s="2" t="n">
        <v>1.7</v>
      </c>
      <c r="F22" s="2" t="n">
        <v>19</v>
      </c>
      <c r="G22" s="2" t="n">
        <v>47.7</v>
      </c>
      <c r="H22" s="2" t="n">
        <v>-42.3</v>
      </c>
      <c r="I22" s="2" t="n">
        <v>-14.4</v>
      </c>
      <c r="J22" s="2" t="n">
        <v>6.863069066</v>
      </c>
      <c r="L22" s="3" t="n">
        <v>52.5</v>
      </c>
      <c r="M22" s="5" t="n">
        <f aca="false">COUNTIFS($J$2:$J$2000,"&lt;=52.5",$E$2:$E$2000,"&lt;=0.5")-SUM(M$2:M21)</f>
        <v>0</v>
      </c>
      <c r="N22" s="5" t="n">
        <f aca="false">COUNTIFS($J$2:$J$2000,"&lt;=52.5",$E$2:$E$2000,"&lt;=1")-SUM(N$2:N21,$M2:M22)</f>
        <v>0</v>
      </c>
      <c r="O22" s="5" t="n">
        <f aca="false">COUNTIFS($J$2:$J$2000,"&lt;=52.5",$E$2:$E$2000,"&lt;=1.5")-SUM(O$2:O21,$M2:N22)</f>
        <v>0</v>
      </c>
      <c r="P22" s="5" t="n">
        <f aca="false">COUNTIFS($J$2:$J$2000,"&lt;=52.5",$E$2:$E$2000,"&lt;=2")-SUM(P$2:P21,$M2:O22)</f>
        <v>0</v>
      </c>
      <c r="Q22" s="5" t="n">
        <f aca="false">COUNTIFS($J$2:$J$2000,"&lt;=52.5",$E$2:$E$2000,"&lt;=2.5")-SUM(Q$2:Q21,$M2:P22)</f>
        <v>0</v>
      </c>
      <c r="R22" s="5" t="n">
        <f aca="false">COUNTIFS($J$2:$J$2000,"&lt;=52.5",$E$2:$E$2000,"&lt;=3")-SUM(R$2:R21,$M2:Q22)</f>
        <v>0</v>
      </c>
      <c r="S22" s="5" t="n">
        <f aca="false">COUNTIFS($J$2:$J$2000,"&lt;=52.5",$E$2:$E$2000,"&lt;=3.5")-SUM(S$2:S21,$M2:R22)</f>
        <v>0</v>
      </c>
      <c r="T22" s="5" t="n">
        <f aca="false">COUNTIFS($J$2:$J$2000,"&lt;=52.5",$E$2:$E$2000,"&lt;=4")-SUM(T$2:T21,$M2:S22)</f>
        <v>0</v>
      </c>
      <c r="U22" s="5" t="n">
        <f aca="false">COUNTIFS($J$2:$J$2000,"&lt;=52.5",$E$2:$E$2000,"&lt;=4.5")-SUM(U$2:U21,$M2:T22)</f>
        <v>0</v>
      </c>
      <c r="V22" s="5" t="n">
        <f aca="false">COUNTIFS($J$2:$J$2000,"&lt;=52.5",$E$2:$E$2000,"&lt;=5")-SUM(V$2:V21,$M2:U22)</f>
        <v>0</v>
      </c>
      <c r="W22" s="5" t="n">
        <f aca="false">COUNTIFS($J$2:$J$2000,"&lt;=52.5",$E$2:$E$2000,"&gt;5")-SUM(W$2:W21)</f>
        <v>0</v>
      </c>
      <c r="X22" s="0" t="n">
        <f aca="false">SUM(M22:W22)</f>
        <v>0</v>
      </c>
    </row>
    <row r="23" customFormat="false" ht="15.8" hidden="false" customHeight="false" outlineLevel="0" collapsed="false">
      <c r="A23" s="1" t="n">
        <v>22</v>
      </c>
      <c r="B23" s="1" t="n">
        <v>52.3</v>
      </c>
      <c r="C23" s="1" t="n">
        <v>-42.7</v>
      </c>
      <c r="D23" s="1" t="n">
        <v>-16.3</v>
      </c>
      <c r="E23" s="2" t="n">
        <v>1.1</v>
      </c>
      <c r="F23" s="2" t="n">
        <v>6</v>
      </c>
      <c r="G23" s="2" t="n">
        <v>52.2</v>
      </c>
      <c r="H23" s="2" t="n">
        <v>-43.7</v>
      </c>
      <c r="I23" s="2" t="n">
        <v>-16.6</v>
      </c>
      <c r="J23" s="2" t="n">
        <v>4.232625308</v>
      </c>
      <c r="L23" s="3" t="n">
        <v>55</v>
      </c>
      <c r="M23" s="5" t="n">
        <f aca="false">COUNTIFS($J$2:$J$2000,"&lt;=55",$E$2:$E$2000,"&lt;=0.5")-SUM(M$2:M22)</f>
        <v>0</v>
      </c>
      <c r="N23" s="5" t="n">
        <f aca="false">COUNTIFS($J$2:$J$2000,"&lt;=55",$E$2:$E$2000,"&lt;=1")-SUM(N$2:N22,$M2:M23)</f>
        <v>0</v>
      </c>
      <c r="O23" s="5" t="n">
        <f aca="false">COUNTIFS($J$2:$J$2000,"&lt;=55",$E$2:$E$2000,"&lt;=1.5")-SUM(O$2:O22,$M2:N23)</f>
        <v>0</v>
      </c>
      <c r="P23" s="5" t="n">
        <f aca="false">COUNTIFS($J$2:$J$2000,"&lt;=55",$E$2:$E$2000,"&lt;=2")-SUM(P$2:P22,$M2:O23)</f>
        <v>0</v>
      </c>
      <c r="Q23" s="5" t="n">
        <f aca="false">COUNTIFS($J$2:$J$2000,"&lt;=55",$E$2:$E$2000,"&lt;=2.5")-SUM(Q$2:Q22,$M2:P23)</f>
        <v>0</v>
      </c>
      <c r="R23" s="5" t="n">
        <f aca="false">COUNTIFS($J$2:$J$2000,"&lt;=55",$E$2:$E$2000,"&lt;=3")-SUM(R$2:R22,$M2:Q23)</f>
        <v>0</v>
      </c>
      <c r="S23" s="5" t="n">
        <f aca="false">COUNTIFS($J$2:$J$2000,"&lt;=55",$E$2:$E$2000,"&lt;=3.5")-SUM(S$2:S22,$M2:R23)</f>
        <v>0</v>
      </c>
      <c r="T23" s="5" t="n">
        <f aca="false">COUNTIFS($J$2:$J$2000,"&lt;=55",$E$2:$E$2000,"&lt;=4")-SUM(T$2:T22,$M2:S23)</f>
        <v>0</v>
      </c>
      <c r="U23" s="5" t="n">
        <f aca="false">COUNTIFS($J$2:$J$2000,"&lt;=55",$E$2:$E$2000,"&lt;=4.5")-SUM(U$2:U22,$M2:T23)</f>
        <v>0</v>
      </c>
      <c r="V23" s="5" t="n">
        <f aca="false">COUNTIFS($J$2:$J$2000,"&lt;=55",$E$2:$E$2000,"&lt;=5")-SUM(V$2:V22,$M2:U23)</f>
        <v>0</v>
      </c>
      <c r="W23" s="5" t="n">
        <f aca="false">COUNTIFS($J$2:$J$2000,"&lt;=55",$E$2:$E$2000,"&gt;5")-SUM(W$2:W22)</f>
        <v>0</v>
      </c>
      <c r="X23" s="0" t="n">
        <f aca="false">SUM(M23:W23)</f>
        <v>0</v>
      </c>
    </row>
    <row r="24" customFormat="false" ht="15.8" hidden="false" customHeight="false" outlineLevel="0" collapsed="false">
      <c r="A24" s="1" t="n">
        <v>23</v>
      </c>
      <c r="B24" s="1" t="n">
        <v>51.5</v>
      </c>
      <c r="C24" s="1" t="n">
        <v>-46.2</v>
      </c>
      <c r="D24" s="1" t="n">
        <v>-17.4</v>
      </c>
      <c r="E24" s="2" t="n">
        <v>2.1</v>
      </c>
      <c r="F24" s="2" t="n">
        <v>4</v>
      </c>
      <c r="G24" s="2" t="n">
        <v>52.9</v>
      </c>
      <c r="H24" s="2" t="n">
        <v>-46.9</v>
      </c>
      <c r="I24" s="2" t="n">
        <v>-15.9</v>
      </c>
      <c r="J24" s="2" t="n">
        <v>6.957321108</v>
      </c>
      <c r="L24" s="3" t="n">
        <v>57.5</v>
      </c>
      <c r="M24" s="5" t="n">
        <f aca="false">COUNTIFS($J$2:$J$2000,"&lt;=57.5",$E$2:$E$2000,"&lt;=0.5")-SUM(M$2:M23)</f>
        <v>0</v>
      </c>
      <c r="N24" s="5" t="n">
        <f aca="false">COUNTIFS($J$2:$J$2000,"&lt;=57.5",$E$2:$E$2000,"&lt;=1")-SUM(N$2:N23,$M2:M24)</f>
        <v>0</v>
      </c>
      <c r="O24" s="5" t="n">
        <f aca="false">COUNTIFS($J$2:$J$2000,"&lt;=57.5",$E$2:$E$2000,"&lt;=1.5")-SUM(O$2:O23,$M2:N24)</f>
        <v>0</v>
      </c>
      <c r="P24" s="5" t="n">
        <f aca="false">COUNTIFS($J$2:$J$2000,"&lt;=57.5",$E$2:$E$2000,"&lt;=2")-SUM(P$2:P23,$M2:O24)</f>
        <v>0</v>
      </c>
      <c r="Q24" s="5" t="n">
        <f aca="false">COUNTIFS($J$2:$J$2000,"&lt;=57.5",$E$2:$E$2000,"&lt;=2.5")-SUM(Q$2:Q23,$M2:P24)</f>
        <v>0</v>
      </c>
      <c r="R24" s="5" t="n">
        <f aca="false">COUNTIFS($J$2:$J$2000,"&lt;=57.5",$E$2:$E$2000,"&lt;=3")-SUM(R$2:R23,$M2:Q24)</f>
        <v>0</v>
      </c>
      <c r="S24" s="5" t="n">
        <f aca="false">COUNTIFS($J$2:$J$2000,"&lt;=57.5",$E$2:$E$2000,"&lt;=3.5")-SUM(S$2:S23,$M2:R24)</f>
        <v>0</v>
      </c>
      <c r="T24" s="5" t="n">
        <f aca="false">COUNTIFS($J$2:$J$2000,"&lt;=57.5",$E$2:$E$2000,"&lt;=4")-SUM(T$2:T23,$M2:S24)</f>
        <v>0</v>
      </c>
      <c r="U24" s="5" t="n">
        <f aca="false">COUNTIFS($J$2:$J$2000,"&lt;=57.5",$E$2:$E$2000,"&lt;=4.5")-SUM(U$2:U23,$M2:T24)</f>
        <v>0</v>
      </c>
      <c r="V24" s="5" t="n">
        <f aca="false">COUNTIFS($J$2:$J$2000,"&lt;=57.5",$E$2:$E$2000,"&lt;=5")-SUM(V$2:V23,$M2:U24)</f>
        <v>0</v>
      </c>
      <c r="W24" s="5" t="n">
        <f aca="false">COUNTIFS($J$2:$J$2000,"&lt;=57.5",$E$2:$E$2000,"&gt;5")-SUM(W$2:W23)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55.4</v>
      </c>
      <c r="C25" s="1" t="n">
        <v>-43.4</v>
      </c>
      <c r="D25" s="1" t="n">
        <v>-19.2</v>
      </c>
      <c r="E25" s="2" t="n">
        <v>1.4</v>
      </c>
      <c r="F25" s="2" t="n">
        <v>234</v>
      </c>
      <c r="G25" s="2" t="n">
        <v>56.5</v>
      </c>
      <c r="H25" s="2" t="n">
        <v>-43.9</v>
      </c>
      <c r="I25" s="2" t="n">
        <v>-20</v>
      </c>
      <c r="J25" s="2" t="n">
        <v>4.934097385</v>
      </c>
      <c r="L25" s="3" t="n">
        <v>60</v>
      </c>
      <c r="M25" s="5" t="n">
        <f aca="false">COUNTIFS($J$2:$J$2000,"&lt;=60",$E$2:$E$2000,"&lt;=0.5")-SUM(M$2:M24)</f>
        <v>0</v>
      </c>
      <c r="N25" s="5" t="n">
        <f aca="false">COUNTIFS($J$2:$J$2000,"&lt;=60",$E$2:$E$2000,"&lt;=1")-SUM(N$2:N24,$M2:M25)</f>
        <v>0</v>
      </c>
      <c r="O25" s="5" t="n">
        <f aca="false">COUNTIFS($J$2:$J$2000,"&lt;=60",$E$2:$E$2000,"&lt;=1.5")-SUM(O$2:O24,$M2:N25)</f>
        <v>0</v>
      </c>
      <c r="P25" s="5" t="n">
        <f aca="false">COUNTIFS($J$2:$J$2000,"&lt;=60",$E$2:$E$2000,"&lt;=2")-SUM(P$2:P24,$M2:O25)</f>
        <v>0</v>
      </c>
      <c r="Q25" s="5" t="n">
        <f aca="false">COUNTIFS($J$2:$J$2000,"&lt;=60",$E$2:$E$2000,"&lt;=2.5")-SUM(Q$2:Q24,$M2:P25)</f>
        <v>0</v>
      </c>
      <c r="R25" s="5" t="n">
        <f aca="false">COUNTIFS($J$2:$J$2000,"&lt;=60",$E$2:$E$2000,"&lt;=3")-SUM(R$2:R24,$M2:Q25)</f>
        <v>0</v>
      </c>
      <c r="S25" s="5" t="n">
        <f aca="false">COUNTIFS($J$2:$J$2000,"&lt;=60",$E$2:$E$2000,"&lt;=3.5")-SUM(S$2:S24,$M2:R25)</f>
        <v>0</v>
      </c>
      <c r="T25" s="5" t="n">
        <f aca="false">COUNTIFS($J$2:$J$2000,"&lt;=60",$E$2:$E$2000,"&lt;=4")-SUM(T$2:T24,$M2:S25)</f>
        <v>0</v>
      </c>
      <c r="U25" s="5" t="n">
        <f aca="false">COUNTIFS($J$2:$J$2000,"&lt;=60",$E$2:$E$2000,"&lt;=4.5")-SUM(U$2:U24,$M2:T25)</f>
        <v>0</v>
      </c>
      <c r="V25" s="5" t="n">
        <f aca="false">COUNTIFS($J$2:$J$2000,"&lt;=60",$E$2:$E$2000,"&lt;=5")-SUM(V$2:V24,$M2:U25)</f>
        <v>0</v>
      </c>
      <c r="W25" s="5" t="n">
        <f aca="false">COUNTIFS($J$2:$J$2000,"&lt;=60",$E$2:$E$2000,"&gt;5")-SUM(W$2:W24)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37.3</v>
      </c>
      <c r="C26" s="1" t="n">
        <v>-41.8</v>
      </c>
      <c r="D26" s="1" t="n">
        <v>-14.1</v>
      </c>
      <c r="E26" s="2" t="n">
        <v>2.5</v>
      </c>
      <c r="F26" s="2" t="n">
        <v>26</v>
      </c>
      <c r="G26" s="2" t="n">
        <v>38.6</v>
      </c>
      <c r="H26" s="2" t="n">
        <v>-40</v>
      </c>
      <c r="I26" s="2" t="n">
        <v>-12.9</v>
      </c>
      <c r="J26" s="2" t="n">
        <v>16.03957347</v>
      </c>
      <c r="L26" s="3"/>
    </row>
    <row r="27" customFormat="false" ht="15.8" hidden="false" customHeight="false" outlineLevel="0" collapsed="false">
      <c r="A27" s="1" t="n">
        <v>26</v>
      </c>
      <c r="B27" s="1" t="n">
        <v>38.6</v>
      </c>
      <c r="C27" s="1" t="n">
        <v>-40</v>
      </c>
      <c r="D27" s="1" t="n">
        <v>-12.9</v>
      </c>
      <c r="E27" s="2" t="n">
        <v>2.3</v>
      </c>
      <c r="F27" s="2" t="n">
        <v>39</v>
      </c>
      <c r="G27" s="2" t="n">
        <v>38</v>
      </c>
      <c r="H27" s="2" t="n">
        <v>-41.7</v>
      </c>
      <c r="I27" s="2" t="n">
        <v>-11.5</v>
      </c>
      <c r="J27" s="2" t="n">
        <v>15.10347367</v>
      </c>
      <c r="L27" s="3"/>
    </row>
    <row r="28" customFormat="false" ht="15.8" hidden="false" customHeight="false" outlineLevel="0" collapsed="false">
      <c r="A28" s="1" t="n">
        <v>27</v>
      </c>
      <c r="B28" s="1" t="n">
        <v>36.5</v>
      </c>
      <c r="C28" s="1" t="n">
        <v>-39</v>
      </c>
      <c r="D28" s="1" t="n">
        <v>-11.5</v>
      </c>
      <c r="E28" s="2" t="n">
        <v>1.3</v>
      </c>
      <c r="F28" s="2" t="n">
        <v>32</v>
      </c>
      <c r="G28" s="2" t="n">
        <v>35.7</v>
      </c>
      <c r="H28" s="2" t="n">
        <v>-39.9</v>
      </c>
      <c r="I28" s="2" t="n">
        <v>-11.8</v>
      </c>
      <c r="J28" s="2" t="n">
        <v>17.59645183</v>
      </c>
    </row>
    <row r="29" customFormat="false" ht="15.8" hidden="false" customHeight="false" outlineLevel="0" collapsed="false">
      <c r="A29" s="1" t="n">
        <v>28</v>
      </c>
      <c r="B29" s="1" t="n">
        <v>32.5</v>
      </c>
      <c r="C29" s="1" t="n">
        <v>-37.7</v>
      </c>
      <c r="D29" s="1" t="n">
        <v>-8.9</v>
      </c>
      <c r="E29" s="2" t="n">
        <v>4</v>
      </c>
      <c r="F29" s="2" t="n">
        <v>33</v>
      </c>
      <c r="G29" s="2" t="n">
        <v>36</v>
      </c>
      <c r="H29" s="2" t="n">
        <v>-37.8</v>
      </c>
      <c r="I29" s="2" t="n">
        <v>-10.7</v>
      </c>
      <c r="J29" s="2" t="n">
        <v>22.4004535</v>
      </c>
      <c r="L29" s="7" t="s">
        <v>16</v>
      </c>
      <c r="M29" s="8" t="n">
        <v>0.5</v>
      </c>
      <c r="N29" s="8" t="n">
        <v>1</v>
      </c>
      <c r="O29" s="8" t="n">
        <v>1.5</v>
      </c>
      <c r="P29" s="8" t="n">
        <v>2</v>
      </c>
      <c r="Q29" s="9" t="n">
        <v>2.5</v>
      </c>
      <c r="R29" s="8" t="n">
        <v>3</v>
      </c>
      <c r="S29" s="8" t="n">
        <v>3.5</v>
      </c>
      <c r="T29" s="8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35.5</v>
      </c>
      <c r="C30" s="1" t="n">
        <v>-36.9</v>
      </c>
      <c r="D30" s="1" t="n">
        <v>-13.7</v>
      </c>
      <c r="E30" s="2" t="n">
        <v>1.2</v>
      </c>
      <c r="F30" s="2" t="n">
        <v>30</v>
      </c>
      <c r="G30" s="2" t="n">
        <v>35.4</v>
      </c>
      <c r="H30" s="2" t="n">
        <v>-37.3</v>
      </c>
      <c r="I30" s="2" t="n">
        <v>-12.6</v>
      </c>
      <c r="J30" s="2" t="n">
        <v>17.90045578</v>
      </c>
      <c r="L30" s="8" t="n">
        <v>2.5</v>
      </c>
      <c r="M30" s="7" t="e">
        <f aca="false">M2/(SUM($M2:$W2))*100</f>
        <v>#DIV/0!</v>
      </c>
      <c r="N30" s="7" t="e">
        <f aca="false">N2/(SUM($M2:$W2))*100</f>
        <v>#DIV/0!</v>
      </c>
      <c r="O30" s="7" t="e">
        <f aca="false">O2/(SUM($M2:$W2))*100</f>
        <v>#DIV/0!</v>
      </c>
      <c r="P30" s="7" t="e">
        <f aca="false">P2/(SUM($M2:$W2))*100</f>
        <v>#DIV/0!</v>
      </c>
      <c r="Q30" s="7" t="e">
        <f aca="false">Q2/(SUM($M2:$W2))*100</f>
        <v>#DIV/0!</v>
      </c>
      <c r="R30" s="7" t="e">
        <f aca="false">R2/(SUM($M2:$W2))*100</f>
        <v>#DIV/0!</v>
      </c>
      <c r="S30" s="7" t="e">
        <f aca="false">S2/(SUM($M2:$W2))*100</f>
        <v>#DIV/0!</v>
      </c>
      <c r="T30" s="7" t="e">
        <f aca="false">T2/(SUM($M2:$W2))*100</f>
        <v>#DIV/0!</v>
      </c>
      <c r="U30" s="7" t="e">
        <f aca="false">U2/(SUM($M2:$W2))*100</f>
        <v>#DIV/0!</v>
      </c>
      <c r="V30" s="7" t="e">
        <f aca="false">V2/(SUM($M2:$W2))*100</f>
        <v>#DIV/0!</v>
      </c>
      <c r="W30" s="7" t="e">
        <f aca="false">W2/(SUM($M2:$W2))*100</f>
        <v>#DIV/0!</v>
      </c>
      <c r="X30" s="7" t="e">
        <f aca="false">SUM(M30:W30)</f>
        <v>#DIV/0!</v>
      </c>
    </row>
    <row r="31" customFormat="false" ht="15.8" hidden="false" customHeight="false" outlineLevel="0" collapsed="false">
      <c r="A31" s="1" t="n">
        <v>30</v>
      </c>
      <c r="B31" s="1" t="n">
        <v>35.4</v>
      </c>
      <c r="C31" s="1" t="n">
        <v>-37.3</v>
      </c>
      <c r="D31" s="1" t="n">
        <v>-12.6</v>
      </c>
      <c r="E31" s="2" t="n">
        <v>1.2</v>
      </c>
      <c r="F31" s="2" t="n">
        <v>29</v>
      </c>
      <c r="G31" s="2" t="n">
        <v>35.5</v>
      </c>
      <c r="H31" s="2" t="n">
        <v>-36.9</v>
      </c>
      <c r="I31" s="2" t="n">
        <v>-13.7</v>
      </c>
      <c r="J31" s="2" t="n">
        <v>18.30084471</v>
      </c>
      <c r="L31" s="8" t="n">
        <v>5</v>
      </c>
      <c r="M31" s="7" t="n">
        <f aca="false">M3/(SUM($M3:$W3))*100</f>
        <v>15.3846153846154</v>
      </c>
      <c r="N31" s="7" t="n">
        <f aca="false">N3/(SUM($M3:$W3))*100</f>
        <v>0</v>
      </c>
      <c r="O31" s="7" t="n">
        <f aca="false">O3/(SUM($M3:$W3))*100</f>
        <v>53.8461538461539</v>
      </c>
      <c r="P31" s="7" t="n">
        <f aca="false">P3/(SUM($M3:$W3))*100</f>
        <v>0</v>
      </c>
      <c r="Q31" s="7" t="n">
        <f aca="false">Q3/(SUM($M3:$W3))*100</f>
        <v>15.3846153846154</v>
      </c>
      <c r="R31" s="7" t="n">
        <f aca="false">R3/(SUM($M3:$W3))*100</f>
        <v>15.3846153846154</v>
      </c>
      <c r="S31" s="7" t="n">
        <f aca="false">S3/(SUM($M3:$W3))*100</f>
        <v>0</v>
      </c>
      <c r="T31" s="7" t="n">
        <f aca="false">T3/(SUM($M3:$W3))*100</f>
        <v>0</v>
      </c>
      <c r="U31" s="7" t="n">
        <f aca="false">U3/(SUM($M3:$W3))*100</f>
        <v>0</v>
      </c>
      <c r="V31" s="7" t="n">
        <f aca="false">V3/(SUM($M3:$W3))*100</f>
        <v>0</v>
      </c>
      <c r="W31" s="7" t="n">
        <f aca="false">W3/(SUM($M3:$W3))*100</f>
        <v>0</v>
      </c>
      <c r="X31" s="7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35.1</v>
      </c>
      <c r="C32" s="1" t="n">
        <v>-39.3</v>
      </c>
      <c r="D32" s="1" t="n">
        <v>-12.9</v>
      </c>
      <c r="E32" s="2" t="n">
        <v>1.4</v>
      </c>
      <c r="F32" s="2" t="n">
        <v>32</v>
      </c>
      <c r="G32" s="2" t="n">
        <v>35.7</v>
      </c>
      <c r="H32" s="2" t="n">
        <v>-39.9</v>
      </c>
      <c r="I32" s="2" t="n">
        <v>-11.8</v>
      </c>
      <c r="J32" s="2" t="n">
        <v>18.34626711</v>
      </c>
      <c r="L32" s="8" t="n">
        <v>7.5</v>
      </c>
      <c r="M32" s="7" t="n">
        <f aca="false">M4/(SUM($M4:$W4))*100</f>
        <v>0</v>
      </c>
      <c r="N32" s="7" t="n">
        <f aca="false">N4/(SUM($M4:$W4))*100</f>
        <v>10.3448275862069</v>
      </c>
      <c r="O32" s="7" t="n">
        <f aca="false">O4/(SUM($M4:$W4))*100</f>
        <v>44.8275862068966</v>
      </c>
      <c r="P32" s="7" t="n">
        <f aca="false">P4/(SUM($M4:$W4))*100</f>
        <v>31.0344827586207</v>
      </c>
      <c r="Q32" s="7" t="n">
        <f aca="false">Q4/(SUM($M4:$W4))*100</f>
        <v>6.89655172413793</v>
      </c>
      <c r="R32" s="7" t="n">
        <f aca="false">R4/(SUM($M4:$W4))*100</f>
        <v>3.44827586206897</v>
      </c>
      <c r="S32" s="7" t="n">
        <f aca="false">S4/(SUM($M4:$W4))*100</f>
        <v>0</v>
      </c>
      <c r="T32" s="7" t="n">
        <f aca="false">T4/(SUM($M4:$W4))*100</f>
        <v>3.44827586206897</v>
      </c>
      <c r="U32" s="7" t="n">
        <f aca="false">U4/(SUM($M4:$W4))*100</f>
        <v>0</v>
      </c>
      <c r="V32" s="7" t="n">
        <f aca="false">V4/(SUM($M4:$W4))*100</f>
        <v>0</v>
      </c>
      <c r="W32" s="7" t="n">
        <f aca="false">W4/(SUM($M4:$W4))*100</f>
        <v>0</v>
      </c>
      <c r="X32" s="7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35.7</v>
      </c>
      <c r="C33" s="1" t="n">
        <v>-39.9</v>
      </c>
      <c r="D33" s="1" t="n">
        <v>-11.8</v>
      </c>
      <c r="E33" s="2" t="n">
        <v>1.3</v>
      </c>
      <c r="F33" s="2" t="n">
        <v>27</v>
      </c>
      <c r="G33" s="2" t="n">
        <v>36.5</v>
      </c>
      <c r="H33" s="2" t="n">
        <v>-39</v>
      </c>
      <c r="I33" s="2" t="n">
        <v>-11.5</v>
      </c>
      <c r="J33" s="2" t="n">
        <v>18.19679964</v>
      </c>
      <c r="L33" s="8" t="n">
        <v>10</v>
      </c>
      <c r="M33" s="7" t="n">
        <f aca="false">M5/(SUM($M5:$W5))*100</f>
        <v>4.54545454545455</v>
      </c>
      <c r="N33" s="7" t="n">
        <f aca="false">N5/(SUM($M5:$W5))*100</f>
        <v>18.1818181818182</v>
      </c>
      <c r="O33" s="7" t="n">
        <f aca="false">O5/(SUM($M5:$W5))*100</f>
        <v>20.4545454545455</v>
      </c>
      <c r="P33" s="7" t="n">
        <f aca="false">P5/(SUM($M5:$W5))*100</f>
        <v>36.3636363636364</v>
      </c>
      <c r="Q33" s="7" t="n">
        <f aca="false">Q5/(SUM($M5:$W5))*100</f>
        <v>18.1818181818182</v>
      </c>
      <c r="R33" s="7" t="n">
        <f aca="false">R5/(SUM($M5:$W5))*100</f>
        <v>2.27272727272727</v>
      </c>
      <c r="S33" s="7" t="n">
        <f aca="false">S5/(SUM($M5:$W5))*100</f>
        <v>0</v>
      </c>
      <c r="T33" s="7" t="n">
        <f aca="false">T5/(SUM($M5:$W5))*100</f>
        <v>0</v>
      </c>
      <c r="U33" s="7" t="n">
        <f aca="false">U5/(SUM($M5:$W5))*100</f>
        <v>0</v>
      </c>
      <c r="V33" s="7" t="n">
        <f aca="false">V5/(SUM($M5:$W5))*100</f>
        <v>0</v>
      </c>
      <c r="W33" s="7" t="n">
        <f aca="false">W5/(SUM($M5:$W5))*100</f>
        <v>0</v>
      </c>
      <c r="X33" s="7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36</v>
      </c>
      <c r="C34" s="1" t="n">
        <v>-37.8</v>
      </c>
      <c r="D34" s="1" t="n">
        <v>-10.7</v>
      </c>
      <c r="E34" s="2" t="n">
        <v>1.6</v>
      </c>
      <c r="F34" s="2" t="n">
        <v>27</v>
      </c>
      <c r="G34" s="2" t="n">
        <v>36.5</v>
      </c>
      <c r="H34" s="2" t="n">
        <v>-39</v>
      </c>
      <c r="I34" s="2" t="n">
        <v>-11.5</v>
      </c>
      <c r="J34" s="2" t="n">
        <v>18.47073677</v>
      </c>
      <c r="L34" s="8" t="n">
        <v>12.5</v>
      </c>
      <c r="M34" s="7" t="n">
        <f aca="false">M6/(SUM($M6:$W6))*100</f>
        <v>7.31707317073171</v>
      </c>
      <c r="N34" s="7" t="n">
        <f aca="false">N6/(SUM($M6:$W6))*100</f>
        <v>2.4390243902439</v>
      </c>
      <c r="O34" s="7" t="n">
        <f aca="false">O6/(SUM($M6:$W6))*100</f>
        <v>17.0731707317073</v>
      </c>
      <c r="P34" s="7" t="n">
        <f aca="false">P6/(SUM($M6:$W6))*100</f>
        <v>17.0731707317073</v>
      </c>
      <c r="Q34" s="7" t="n">
        <f aca="false">Q6/(SUM($M6:$W6))*100</f>
        <v>41.4634146341463</v>
      </c>
      <c r="R34" s="7" t="n">
        <f aca="false">R6/(SUM($M6:$W6))*100</f>
        <v>12.1951219512195</v>
      </c>
      <c r="S34" s="7" t="n">
        <f aca="false">S6/(SUM($M6:$W6))*100</f>
        <v>2.4390243902439</v>
      </c>
      <c r="T34" s="7" t="n">
        <f aca="false">T6/(SUM($M6:$W6))*100</f>
        <v>0</v>
      </c>
      <c r="U34" s="7" t="n">
        <f aca="false">U6/(SUM($M6:$W6))*100</f>
        <v>0</v>
      </c>
      <c r="V34" s="7" t="n">
        <f aca="false">V6/(SUM($M6:$W6))*100</f>
        <v>0</v>
      </c>
      <c r="W34" s="7" t="n">
        <f aca="false">W6/(SUM($M6:$W6))*100</f>
        <v>0</v>
      </c>
      <c r="X34" s="7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37.7</v>
      </c>
      <c r="C35" s="1" t="n">
        <v>-40.6</v>
      </c>
      <c r="D35" s="1" t="n">
        <v>-10</v>
      </c>
      <c r="E35" s="2" t="n">
        <v>1.9</v>
      </c>
      <c r="F35" s="2" t="n">
        <v>39</v>
      </c>
      <c r="G35" s="2" t="n">
        <v>38</v>
      </c>
      <c r="H35" s="2" t="n">
        <v>-41.7</v>
      </c>
      <c r="I35" s="2" t="n">
        <v>-11.5</v>
      </c>
      <c r="J35" s="2" t="n">
        <v>17.28856029</v>
      </c>
      <c r="L35" s="8" t="n">
        <v>15</v>
      </c>
      <c r="M35" s="7" t="n">
        <f aca="false">M7/(SUM($M7:$W7))*100</f>
        <v>3.7037037037037</v>
      </c>
      <c r="N35" s="7" t="n">
        <f aca="false">N7/(SUM($M7:$W7))*100</f>
        <v>11.1111111111111</v>
      </c>
      <c r="O35" s="7" t="n">
        <f aca="false">O7/(SUM($M7:$W7))*100</f>
        <v>31.4814814814815</v>
      </c>
      <c r="P35" s="7" t="n">
        <f aca="false">P7/(SUM($M7:$W7))*100</f>
        <v>16.6666666666667</v>
      </c>
      <c r="Q35" s="7" t="n">
        <f aca="false">Q7/(SUM($M7:$W7))*100</f>
        <v>16.6666666666667</v>
      </c>
      <c r="R35" s="7" t="n">
        <f aca="false">R7/(SUM($M7:$W7))*100</f>
        <v>9.25925925925926</v>
      </c>
      <c r="S35" s="7" t="n">
        <f aca="false">S7/(SUM($M7:$W7))*100</f>
        <v>1.85185185185185</v>
      </c>
      <c r="T35" s="7" t="n">
        <f aca="false">T7/(SUM($M7:$W7))*100</f>
        <v>5.55555555555556</v>
      </c>
      <c r="U35" s="7" t="n">
        <f aca="false">U7/(SUM($M7:$W7))*100</f>
        <v>0</v>
      </c>
      <c r="V35" s="7" t="n">
        <f aca="false">V7/(SUM($M7:$W7))*100</f>
        <v>0</v>
      </c>
      <c r="W35" s="7" t="n">
        <f aca="false">W7/(SUM($M7:$W7))*100</f>
        <v>3.7037037037037</v>
      </c>
      <c r="X35" s="7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37.6</v>
      </c>
      <c r="C36" s="1" t="n">
        <v>-40.6</v>
      </c>
      <c r="D36" s="1" t="n">
        <v>-4.8</v>
      </c>
      <c r="E36" s="2" t="n">
        <v>3.6</v>
      </c>
      <c r="F36" s="2" t="n">
        <v>38</v>
      </c>
      <c r="G36" s="2" t="n">
        <v>37.6</v>
      </c>
      <c r="H36" s="2" t="n">
        <v>-39.3</v>
      </c>
      <c r="I36" s="2" t="n">
        <v>-8.1</v>
      </c>
      <c r="J36" s="2" t="n">
        <v>20.57301429</v>
      </c>
      <c r="L36" s="8" t="n">
        <v>17.5</v>
      </c>
      <c r="M36" s="7" t="n">
        <f aca="false">M8/(SUM($M8:$W8))*100</f>
        <v>7.40740740740741</v>
      </c>
      <c r="N36" s="7" t="n">
        <f aca="false">N8/(SUM($M8:$W8))*100</f>
        <v>20.3703703703704</v>
      </c>
      <c r="O36" s="7" t="n">
        <f aca="false">O8/(SUM($M8:$W8))*100</f>
        <v>24.0740740740741</v>
      </c>
      <c r="P36" s="7" t="n">
        <f aca="false">P8/(SUM($M8:$W8))*100</f>
        <v>20.3703703703704</v>
      </c>
      <c r="Q36" s="7" t="n">
        <f aca="false">Q8/(SUM($M8:$W8))*100</f>
        <v>14.8148148148148</v>
      </c>
      <c r="R36" s="7" t="n">
        <f aca="false">R8/(SUM($M8:$W8))*100</f>
        <v>5.55555555555556</v>
      </c>
      <c r="S36" s="7" t="n">
        <f aca="false">S8/(SUM($M8:$W8))*100</f>
        <v>3.7037037037037</v>
      </c>
      <c r="T36" s="7" t="n">
        <f aca="false">T8/(SUM($M8:$W8))*100</f>
        <v>1.85185185185185</v>
      </c>
      <c r="U36" s="7" t="n">
        <f aca="false">U8/(SUM($M8:$W8))*100</f>
        <v>0</v>
      </c>
      <c r="V36" s="7" t="n">
        <f aca="false">V8/(SUM($M8:$W8))*100</f>
        <v>1.85185185185185</v>
      </c>
      <c r="W36" s="7" t="n">
        <f aca="false">W8/(SUM($M8:$W8))*100</f>
        <v>0</v>
      </c>
      <c r="X36" s="7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43.1</v>
      </c>
      <c r="C37" s="1" t="n">
        <v>-36.5</v>
      </c>
      <c r="D37" s="1" t="n">
        <v>-7</v>
      </c>
      <c r="E37" s="2" t="n">
        <v>1.5</v>
      </c>
      <c r="F37" s="2" t="n">
        <v>37</v>
      </c>
      <c r="G37" s="2" t="n">
        <v>42.5</v>
      </c>
      <c r="H37" s="2" t="n">
        <v>-37.5</v>
      </c>
      <c r="I37" s="2" t="n">
        <v>-7.8</v>
      </c>
      <c r="J37" s="2" t="n">
        <v>15.51873439</v>
      </c>
      <c r="L37" s="8" t="n">
        <v>20</v>
      </c>
      <c r="M37" s="7" t="n">
        <f aca="false">M9/(SUM($M9:$W9))*100</f>
        <v>0</v>
      </c>
      <c r="N37" s="7" t="n">
        <f aca="false">N9/(SUM($M9:$W9))*100</f>
        <v>8.33333333333333</v>
      </c>
      <c r="O37" s="7" t="n">
        <f aca="false">O9/(SUM($M9:$W9))*100</f>
        <v>38.8888888888889</v>
      </c>
      <c r="P37" s="7" t="n">
        <f aca="false">P9/(SUM($M9:$W9))*100</f>
        <v>13.8888888888889</v>
      </c>
      <c r="Q37" s="7" t="n">
        <f aca="false">Q9/(SUM($M9:$W9))*100</f>
        <v>16.6666666666667</v>
      </c>
      <c r="R37" s="7" t="n">
        <f aca="false">R9/(SUM($M9:$W9))*100</f>
        <v>11.1111111111111</v>
      </c>
      <c r="S37" s="7" t="n">
        <f aca="false">S9/(SUM($M9:$W9))*100</f>
        <v>5.55555555555556</v>
      </c>
      <c r="T37" s="7" t="n">
        <f aca="false">T9/(SUM($M9:$W9))*100</f>
        <v>0</v>
      </c>
      <c r="U37" s="7" t="n">
        <f aca="false">U9/(SUM($M9:$W9))*100</f>
        <v>2.77777777777778</v>
      </c>
      <c r="V37" s="7" t="n">
        <f aca="false">V9/(SUM($M9:$W9))*100</f>
        <v>0</v>
      </c>
      <c r="W37" s="7" t="n">
        <f aca="false">W9/(SUM($M9:$W9))*100</f>
        <v>2.77777777777778</v>
      </c>
      <c r="X37" s="7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42.5</v>
      </c>
      <c r="C38" s="1" t="n">
        <v>-37.5</v>
      </c>
      <c r="D38" s="1" t="n">
        <v>-7.8</v>
      </c>
      <c r="E38" s="2" t="n">
        <v>1.5</v>
      </c>
      <c r="F38" s="2" t="n">
        <v>36</v>
      </c>
      <c r="G38" s="2" t="n">
        <v>43.1</v>
      </c>
      <c r="H38" s="2" t="n">
        <v>-36.5</v>
      </c>
      <c r="I38" s="2" t="n">
        <v>-7</v>
      </c>
      <c r="J38" s="2" t="n">
        <v>15.12067184</v>
      </c>
      <c r="L38" s="8" t="n">
        <v>22.5</v>
      </c>
      <c r="M38" s="7" t="n">
        <f aca="false">M10/(SUM($M10:$W10))*100</f>
        <v>0</v>
      </c>
      <c r="N38" s="7" t="n">
        <f aca="false">N10/(SUM($M10:$W10))*100</f>
        <v>4.34782608695652</v>
      </c>
      <c r="O38" s="7" t="n">
        <f aca="false">O10/(SUM($M10:$W10))*100</f>
        <v>8.69565217391304</v>
      </c>
      <c r="P38" s="7" t="n">
        <f aca="false">P10/(SUM($M10:$W10))*100</f>
        <v>21.7391304347826</v>
      </c>
      <c r="Q38" s="7" t="n">
        <f aca="false">Q10/(SUM($M10:$W10))*100</f>
        <v>17.3913043478261</v>
      </c>
      <c r="R38" s="7" t="n">
        <f aca="false">R10/(SUM($M10:$W10))*100</f>
        <v>17.3913043478261</v>
      </c>
      <c r="S38" s="7" t="n">
        <f aca="false">S10/(SUM($M10:$W10))*100</f>
        <v>4.34782608695652</v>
      </c>
      <c r="T38" s="7" t="n">
        <f aca="false">T10/(SUM($M10:$W10))*100</f>
        <v>17.3913043478261</v>
      </c>
      <c r="U38" s="7" t="n">
        <f aca="false">U10/(SUM($M10:$W10))*100</f>
        <v>0</v>
      </c>
      <c r="V38" s="7" t="n">
        <f aca="false">V10/(SUM($M10:$W10))*100</f>
        <v>4.34782608695652</v>
      </c>
      <c r="W38" s="7" t="n">
        <f aca="false">W10/(SUM($M10:$W10))*100</f>
        <v>4.34782608695652</v>
      </c>
      <c r="X38" s="7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37.6</v>
      </c>
      <c r="C39" s="1" t="n">
        <v>-39.3</v>
      </c>
      <c r="D39" s="1" t="n">
        <v>-8.1</v>
      </c>
      <c r="E39" s="2" t="n">
        <v>2.3</v>
      </c>
      <c r="F39" s="2" t="n">
        <v>34</v>
      </c>
      <c r="G39" s="2" t="n">
        <v>37.7</v>
      </c>
      <c r="H39" s="2" t="n">
        <v>-40.6</v>
      </c>
      <c r="I39" s="2" t="n">
        <v>-10</v>
      </c>
      <c r="J39" s="2" t="n">
        <v>18.40573055</v>
      </c>
      <c r="L39" s="8" t="n">
        <v>25</v>
      </c>
      <c r="M39" s="7" t="n">
        <f aca="false">M11/(SUM($M11:$W11))*100</f>
        <v>0</v>
      </c>
      <c r="N39" s="7" t="n">
        <f aca="false">N11/(SUM($M11:$W11))*100</f>
        <v>10</v>
      </c>
      <c r="O39" s="7" t="n">
        <f aca="false">O11/(SUM($M11:$W11))*100</f>
        <v>25</v>
      </c>
      <c r="P39" s="7" t="n">
        <f aca="false">P11/(SUM($M11:$W11))*100</f>
        <v>40</v>
      </c>
      <c r="Q39" s="7" t="n">
        <f aca="false">Q11/(SUM($M11:$W11))*100</f>
        <v>5</v>
      </c>
      <c r="R39" s="7" t="n">
        <f aca="false">R11/(SUM($M11:$W11))*100</f>
        <v>10</v>
      </c>
      <c r="S39" s="7" t="n">
        <f aca="false">S11/(SUM($M11:$W11))*100</f>
        <v>0</v>
      </c>
      <c r="T39" s="7" t="n">
        <f aca="false">T11/(SUM($M11:$W11))*100</f>
        <v>0</v>
      </c>
      <c r="U39" s="7" t="n">
        <f aca="false">U11/(SUM($M11:$W11))*100</f>
        <v>0</v>
      </c>
      <c r="V39" s="7" t="n">
        <f aca="false">V11/(SUM($M11:$W11))*100</f>
        <v>0</v>
      </c>
      <c r="W39" s="7" t="n">
        <f aca="false">W11/(SUM($M11:$W11))*100</f>
        <v>10</v>
      </c>
      <c r="X39" s="7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38</v>
      </c>
      <c r="C40" s="1" t="n">
        <v>-41.7</v>
      </c>
      <c r="D40" s="1" t="n">
        <v>-11.5</v>
      </c>
      <c r="E40" s="2" t="n">
        <v>1.9</v>
      </c>
      <c r="F40" s="2" t="n">
        <v>34</v>
      </c>
      <c r="G40" s="2" t="n">
        <v>37.7</v>
      </c>
      <c r="H40" s="2" t="n">
        <v>-40.6</v>
      </c>
      <c r="I40" s="2" t="n">
        <v>-10</v>
      </c>
      <c r="J40" s="2" t="n">
        <v>16.39599088</v>
      </c>
      <c r="L40" s="8" t="n">
        <v>27.5</v>
      </c>
      <c r="M40" s="7" t="n">
        <f aca="false">M12/(SUM($M12:$W12))*100</f>
        <v>0</v>
      </c>
      <c r="N40" s="7" t="n">
        <f aca="false">N12/(SUM($M12:$W12))*100</f>
        <v>16.6666666666667</v>
      </c>
      <c r="O40" s="7" t="n">
        <f aca="false">O12/(SUM($M12:$W12))*100</f>
        <v>8.33333333333333</v>
      </c>
      <c r="P40" s="7" t="n">
        <f aca="false">P12/(SUM($M12:$W12))*100</f>
        <v>25</v>
      </c>
      <c r="Q40" s="7" t="n">
        <f aca="false">Q12/(SUM($M12:$W12))*100</f>
        <v>25</v>
      </c>
      <c r="R40" s="7" t="n">
        <f aca="false">R12/(SUM($M12:$W12))*100</f>
        <v>0</v>
      </c>
      <c r="S40" s="7" t="n">
        <f aca="false">S12/(SUM($M12:$W12))*100</f>
        <v>25</v>
      </c>
      <c r="T40" s="7" t="n">
        <f aca="false">T12/(SUM($M12:$W12))*100</f>
        <v>0</v>
      </c>
      <c r="U40" s="7" t="n">
        <f aca="false">U12/(SUM($M12:$W12))*100</f>
        <v>0</v>
      </c>
      <c r="V40" s="7" t="n">
        <f aca="false">V12/(SUM($M12:$W12))*100</f>
        <v>0</v>
      </c>
      <c r="W40" s="7" t="n">
        <f aca="false">W12/(SUM($M12:$W12))*100</f>
        <v>0</v>
      </c>
      <c r="X40" s="7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40.7</v>
      </c>
      <c r="C41" s="1" t="n">
        <v>-40.9</v>
      </c>
      <c r="D41" s="1" t="n">
        <v>-8.1</v>
      </c>
      <c r="E41" s="2" t="n">
        <v>0.7</v>
      </c>
      <c r="F41" s="2" t="n">
        <v>41</v>
      </c>
      <c r="G41" s="2" t="n">
        <v>40.3</v>
      </c>
      <c r="H41" s="2" t="n">
        <v>-41.5</v>
      </c>
      <c r="I41" s="2" t="n">
        <v>-8.1</v>
      </c>
      <c r="J41" s="2" t="n">
        <v>16.08362885</v>
      </c>
      <c r="L41" s="8" t="n">
        <v>30</v>
      </c>
      <c r="M41" s="7" t="n">
        <f aca="false">M13/(SUM($M13:$W13))*100</f>
        <v>0</v>
      </c>
      <c r="N41" s="7" t="n">
        <f aca="false">N13/(SUM($M13:$W13))*100</f>
        <v>0</v>
      </c>
      <c r="O41" s="7" t="n">
        <f aca="false">O13/(SUM($M13:$W13))*100</f>
        <v>50</v>
      </c>
      <c r="P41" s="7" t="n">
        <f aca="false">P13/(SUM($M13:$W13))*100</f>
        <v>25</v>
      </c>
      <c r="Q41" s="7" t="n">
        <f aca="false">Q13/(SUM($M13:$W13))*100</f>
        <v>12.5</v>
      </c>
      <c r="R41" s="7" t="n">
        <f aca="false">R13/(SUM($M13:$W13))*100</f>
        <v>12.5</v>
      </c>
      <c r="S41" s="7" t="n">
        <f aca="false">S13/(SUM($M13:$W13))*100</f>
        <v>0</v>
      </c>
      <c r="T41" s="7" t="n">
        <f aca="false">T13/(SUM($M13:$W13))*100</f>
        <v>0</v>
      </c>
      <c r="U41" s="7" t="n">
        <f aca="false">U13/(SUM($M13:$W13))*100</f>
        <v>0</v>
      </c>
      <c r="V41" s="7" t="n">
        <f aca="false">V13/(SUM($M13:$W13))*100</f>
        <v>0</v>
      </c>
      <c r="W41" s="7" t="n">
        <f aca="false">W13/(SUM($M13:$W13))*100</f>
        <v>0</v>
      </c>
      <c r="X41" s="7" t="n">
        <f aca="false">SUM(M41:W41)</f>
        <v>100</v>
      </c>
    </row>
    <row r="42" customFormat="false" ht="15.8" hidden="false" customHeight="false" outlineLevel="0" collapsed="false">
      <c r="A42" s="1" t="n">
        <v>41</v>
      </c>
      <c r="B42" s="1" t="n">
        <v>40.3</v>
      </c>
      <c r="C42" s="1" t="n">
        <v>-41.5</v>
      </c>
      <c r="D42" s="1" t="n">
        <v>-8.1</v>
      </c>
      <c r="E42" s="2" t="n">
        <v>0.7</v>
      </c>
      <c r="F42" s="2" t="n">
        <v>40</v>
      </c>
      <c r="G42" s="2" t="n">
        <v>40.7</v>
      </c>
      <c r="H42" s="2" t="n">
        <v>-40.9</v>
      </c>
      <c r="I42" s="2" t="n">
        <v>-8.1</v>
      </c>
      <c r="J42" s="2" t="n">
        <v>16.43831856</v>
      </c>
      <c r="L42" s="8" t="n">
        <v>32.5</v>
      </c>
      <c r="M42" s="7" t="n">
        <f aca="false">M14/(SUM($M14:$W14))*100</f>
        <v>0</v>
      </c>
      <c r="N42" s="7" t="n">
        <f aca="false">N14/(SUM($M14:$W14))*100</f>
        <v>0</v>
      </c>
      <c r="O42" s="7" t="n">
        <f aca="false">O14/(SUM($M14:$W14))*100</f>
        <v>66.6666666666667</v>
      </c>
      <c r="P42" s="7" t="n">
        <f aca="false">P14/(SUM($M14:$W14))*100</f>
        <v>0</v>
      </c>
      <c r="Q42" s="7" t="n">
        <f aca="false">Q14/(SUM($M14:$W14))*100</f>
        <v>33.3333333333333</v>
      </c>
      <c r="R42" s="7" t="n">
        <f aca="false">R14/(SUM($M14:$W14))*100</f>
        <v>0</v>
      </c>
      <c r="S42" s="7" t="n">
        <f aca="false">S14/(SUM($M14:$W14))*100</f>
        <v>0</v>
      </c>
      <c r="T42" s="7" t="n">
        <f aca="false">T14/(SUM($M14:$W14))*100</f>
        <v>0</v>
      </c>
      <c r="U42" s="7" t="n">
        <f aca="false">U14/(SUM($M14:$W14))*100</f>
        <v>0</v>
      </c>
      <c r="V42" s="7" t="n">
        <f aca="false">V14/(SUM($M14:$W14))*100</f>
        <v>0</v>
      </c>
      <c r="W42" s="7" t="n">
        <f aca="false">W14/(SUM($M14:$W14))*100</f>
        <v>0</v>
      </c>
      <c r="X42" s="7" t="n">
        <f aca="false">SUM(M42:W42)</f>
        <v>100</v>
      </c>
    </row>
    <row r="43" customFormat="false" ht="15.8" hidden="false" customHeight="false" outlineLevel="0" collapsed="false">
      <c r="A43" s="1" t="n">
        <v>42</v>
      </c>
      <c r="B43" s="1" t="n">
        <v>41</v>
      </c>
      <c r="C43" s="1" t="n">
        <v>-41.1</v>
      </c>
      <c r="D43" s="1" t="n">
        <v>-10.7</v>
      </c>
      <c r="E43" s="2" t="n">
        <v>2.6</v>
      </c>
      <c r="F43" s="2" t="n">
        <v>40</v>
      </c>
      <c r="G43" s="2" t="n">
        <v>40.7</v>
      </c>
      <c r="H43" s="2" t="n">
        <v>-40.9</v>
      </c>
      <c r="I43" s="2" t="n">
        <v>-8.1</v>
      </c>
      <c r="J43" s="2" t="n">
        <v>14.21484143</v>
      </c>
      <c r="L43" s="8" t="n">
        <v>35</v>
      </c>
      <c r="M43" s="7" t="n">
        <f aca="false">M15/(SUM($M15:$W15))*100</f>
        <v>0</v>
      </c>
      <c r="N43" s="7" t="n">
        <f aca="false">N15/(SUM($M15:$W15))*100</f>
        <v>0</v>
      </c>
      <c r="O43" s="7" t="n">
        <f aca="false">O15/(SUM($M15:$W15))*100</f>
        <v>100</v>
      </c>
      <c r="P43" s="7" t="n">
        <f aca="false">P15/(SUM($M15:$W15))*100</f>
        <v>0</v>
      </c>
      <c r="Q43" s="7" t="n">
        <f aca="false">Q15/(SUM($M15:$W15))*100</f>
        <v>0</v>
      </c>
      <c r="R43" s="7" t="n">
        <f aca="false">R15/(SUM($M15:$W15))*100</f>
        <v>0</v>
      </c>
      <c r="S43" s="7" t="n">
        <f aca="false">S15/(SUM($M15:$W15))*100</f>
        <v>0</v>
      </c>
      <c r="T43" s="7" t="n">
        <f aca="false">T15/(SUM($M15:$W15))*100</f>
        <v>0</v>
      </c>
      <c r="U43" s="7" t="n">
        <f aca="false">U15/(SUM($M15:$W15))*100</f>
        <v>0</v>
      </c>
      <c r="V43" s="7" t="n">
        <f aca="false">V15/(SUM($M15:$W15))*100</f>
        <v>0</v>
      </c>
      <c r="W43" s="7" t="n">
        <f aca="false">W15/(SUM($M15:$W15))*100</f>
        <v>0</v>
      </c>
      <c r="X43" s="7" t="n">
        <f aca="false">SUM(M43:W43)</f>
        <v>100</v>
      </c>
    </row>
    <row r="44" customFormat="false" ht="15.8" hidden="false" customHeight="false" outlineLevel="0" collapsed="false">
      <c r="A44" s="1" t="n">
        <v>43</v>
      </c>
      <c r="B44" s="1" t="n">
        <v>42.1</v>
      </c>
      <c r="C44" s="1" t="n">
        <v>-40.2</v>
      </c>
      <c r="D44" s="1" t="n">
        <v>-8.1</v>
      </c>
      <c r="E44" s="2" t="n">
        <v>1.3</v>
      </c>
      <c r="F44" s="2" t="n">
        <v>44</v>
      </c>
      <c r="G44" s="2" t="n">
        <v>41.8</v>
      </c>
      <c r="H44" s="2" t="n">
        <v>-39</v>
      </c>
      <c r="I44" s="2" t="n">
        <v>-8.5</v>
      </c>
      <c r="J44" s="2" t="n">
        <v>15.04954209</v>
      </c>
      <c r="L44" s="8" t="n">
        <v>37.5</v>
      </c>
      <c r="M44" s="7" t="e">
        <f aca="false">M16/(SUM($M16:$W16))*100</f>
        <v>#DIV/0!</v>
      </c>
      <c r="N44" s="7" t="e">
        <f aca="false">N16/(SUM($M16:$W16))*100</f>
        <v>#DIV/0!</v>
      </c>
      <c r="O44" s="7" t="e">
        <f aca="false">O16/(SUM($M16:$W16))*100</f>
        <v>#DIV/0!</v>
      </c>
      <c r="P44" s="7" t="e">
        <f aca="false">P16/(SUM($M16:$W16))*100</f>
        <v>#DIV/0!</v>
      </c>
      <c r="Q44" s="7" t="e">
        <f aca="false">Q16/(SUM($M16:$W16))*100</f>
        <v>#DIV/0!</v>
      </c>
      <c r="R44" s="7" t="e">
        <f aca="false">R16/(SUM($M16:$W16))*100</f>
        <v>#DIV/0!</v>
      </c>
      <c r="S44" s="7" t="e">
        <f aca="false">S16/(SUM($M16:$W16))*100</f>
        <v>#DIV/0!</v>
      </c>
      <c r="T44" s="7" t="e">
        <f aca="false">T16/(SUM($M16:$W16))*100</f>
        <v>#DIV/0!</v>
      </c>
      <c r="U44" s="7" t="e">
        <f aca="false">U16/(SUM($M16:$W16))*100</f>
        <v>#DIV/0!</v>
      </c>
      <c r="V44" s="7" t="e">
        <f aca="false">V16/(SUM($M16:$W16))*100</f>
        <v>#DIV/0!</v>
      </c>
      <c r="W44" s="7" t="e">
        <f aca="false">W16/(SUM($M16:$W16))*100</f>
        <v>#DIV/0!</v>
      </c>
      <c r="X44" s="7" t="e">
        <f aca="false">SUM(M44:W44)</f>
        <v>#DIV/0!</v>
      </c>
    </row>
    <row r="45" customFormat="false" ht="15.8" hidden="false" customHeight="false" outlineLevel="0" collapsed="false">
      <c r="A45" s="1" t="n">
        <v>44</v>
      </c>
      <c r="B45" s="1" t="n">
        <v>41.8</v>
      </c>
      <c r="C45" s="1" t="n">
        <v>-39</v>
      </c>
      <c r="D45" s="1" t="n">
        <v>-8.5</v>
      </c>
      <c r="E45" s="2" t="n">
        <v>1.3</v>
      </c>
      <c r="F45" s="2" t="n">
        <v>43</v>
      </c>
      <c r="G45" s="2" t="n">
        <v>42.1</v>
      </c>
      <c r="H45" s="2" t="n">
        <v>-40.2</v>
      </c>
      <c r="I45" s="2" t="n">
        <v>-8.1</v>
      </c>
      <c r="J45" s="2" t="n">
        <v>14.96309183</v>
      </c>
      <c r="L45" s="8" t="n">
        <v>40</v>
      </c>
      <c r="M45" s="7" t="e">
        <f aca="false">M17/(SUM($M17:$W17))*100</f>
        <v>#DIV/0!</v>
      </c>
      <c r="N45" s="7" t="e">
        <f aca="false">N17/(SUM($M17:$W17))*100</f>
        <v>#DIV/0!</v>
      </c>
      <c r="O45" s="7" t="e">
        <f aca="false">O17/(SUM($M17:$W17))*100</f>
        <v>#DIV/0!</v>
      </c>
      <c r="P45" s="7" t="e">
        <f aca="false">P17/(SUM($M17:$W17))*100</f>
        <v>#DIV/0!</v>
      </c>
      <c r="Q45" s="7" t="e">
        <f aca="false">Q17/(SUM($M17:$W17))*100</f>
        <v>#DIV/0!</v>
      </c>
      <c r="R45" s="7" t="e">
        <f aca="false">R17/(SUM($M17:$W17))*100</f>
        <v>#DIV/0!</v>
      </c>
      <c r="S45" s="7" t="e">
        <f aca="false">S17/(SUM($M17:$W17))*100</f>
        <v>#DIV/0!</v>
      </c>
      <c r="T45" s="7" t="e">
        <f aca="false">T17/(SUM($M17:$W17))*100</f>
        <v>#DIV/0!</v>
      </c>
      <c r="U45" s="7" t="e">
        <f aca="false">U17/(SUM($M17:$W17))*100</f>
        <v>#DIV/0!</v>
      </c>
      <c r="V45" s="7" t="e">
        <f aca="false">V17/(SUM($M17:$W17))*100</f>
        <v>#DIV/0!</v>
      </c>
      <c r="W45" s="7" t="e">
        <f aca="false">W17/(SUM($M17:$W17))*100</f>
        <v>#DIV/0!</v>
      </c>
      <c r="X45" s="7" t="e">
        <f aca="false">SUM(M45:W45)</f>
        <v>#DIV/0!</v>
      </c>
    </row>
    <row r="46" customFormat="false" ht="15.8" hidden="false" customHeight="false" outlineLevel="0" collapsed="false">
      <c r="A46" s="1" t="n">
        <v>45</v>
      </c>
      <c r="B46" s="1" t="n">
        <v>39.7</v>
      </c>
      <c r="C46" s="1" t="n">
        <v>-37.2</v>
      </c>
      <c r="D46" s="1" t="n">
        <v>-12.2</v>
      </c>
      <c r="E46" s="2" t="n">
        <v>3.1</v>
      </c>
      <c r="F46" s="2" t="n">
        <v>26</v>
      </c>
      <c r="G46" s="2" t="n">
        <v>38.6</v>
      </c>
      <c r="H46" s="2" t="n">
        <v>-40</v>
      </c>
      <c r="I46" s="2" t="n">
        <v>-12.9</v>
      </c>
      <c r="J46" s="2" t="n">
        <v>14.60191484</v>
      </c>
      <c r="L46" s="8" t="n">
        <v>42.5</v>
      </c>
      <c r="M46" s="7" t="e">
        <f aca="false">M18/(SUM($M18:$W18))*100</f>
        <v>#DIV/0!</v>
      </c>
      <c r="N46" s="7" t="e">
        <f aca="false">N18/(SUM($M18:$W18))*100</f>
        <v>#DIV/0!</v>
      </c>
      <c r="O46" s="7" t="e">
        <f aca="false">O18/(SUM($M18:$W18))*100</f>
        <v>#DIV/0!</v>
      </c>
      <c r="P46" s="7" t="e">
        <f aca="false">P18/(SUM($M18:$W18))*100</f>
        <v>#DIV/0!</v>
      </c>
      <c r="Q46" s="7" t="e">
        <f aca="false">Q18/(SUM($M18:$W18))*100</f>
        <v>#DIV/0!</v>
      </c>
      <c r="R46" s="7" t="e">
        <f aca="false">R18/(SUM($M18:$W18))*100</f>
        <v>#DIV/0!</v>
      </c>
      <c r="S46" s="7" t="e">
        <f aca="false">S18/(SUM($M18:$W18))*100</f>
        <v>#DIV/0!</v>
      </c>
      <c r="T46" s="7" t="e">
        <f aca="false">T18/(SUM($M18:$W18))*100</f>
        <v>#DIV/0!</v>
      </c>
      <c r="U46" s="7" t="e">
        <f aca="false">U18/(SUM($M18:$W18))*100</f>
        <v>#DIV/0!</v>
      </c>
      <c r="V46" s="7" t="e">
        <f aca="false">V18/(SUM($M18:$W18))*100</f>
        <v>#DIV/0!</v>
      </c>
      <c r="W46" s="7" t="e">
        <f aca="false">W18/(SUM($M18:$W18))*100</f>
        <v>#DIV/0!</v>
      </c>
      <c r="X46" s="7" t="e">
        <f aca="false">SUM(M46:W46)</f>
        <v>#DIV/0!</v>
      </c>
    </row>
    <row r="47" customFormat="false" ht="15.8" hidden="false" customHeight="false" outlineLevel="0" collapsed="false">
      <c r="A47" s="1" t="n">
        <v>46</v>
      </c>
      <c r="B47" s="1" t="n">
        <v>36.4</v>
      </c>
      <c r="C47" s="1" t="n">
        <v>-34.5</v>
      </c>
      <c r="D47" s="1" t="n">
        <v>-13.3</v>
      </c>
      <c r="E47" s="2" t="n">
        <v>2.6</v>
      </c>
      <c r="F47" s="2" t="n">
        <v>29</v>
      </c>
      <c r="G47" s="2" t="n">
        <v>35.5</v>
      </c>
      <c r="H47" s="2" t="n">
        <v>-36.9</v>
      </c>
      <c r="I47" s="2" t="n">
        <v>-13.7</v>
      </c>
      <c r="J47" s="2" t="n">
        <v>17.7081822</v>
      </c>
      <c r="L47" s="8" t="n">
        <v>45</v>
      </c>
      <c r="M47" s="7" t="e">
        <f aca="false">M19/(SUM($M19:$W19))*100</f>
        <v>#DIV/0!</v>
      </c>
      <c r="N47" s="7" t="e">
        <f aca="false">N19/(SUM($M19:$W19))*100</f>
        <v>#DIV/0!</v>
      </c>
      <c r="O47" s="7" t="e">
        <f aca="false">O19/(SUM($M19:$W19))*100</f>
        <v>#DIV/0!</v>
      </c>
      <c r="P47" s="7" t="e">
        <f aca="false">P19/(SUM($M19:$W19))*100</f>
        <v>#DIV/0!</v>
      </c>
      <c r="Q47" s="7" t="e">
        <f aca="false">Q19/(SUM($M19:$W19))*100</f>
        <v>#DIV/0!</v>
      </c>
      <c r="R47" s="7" t="e">
        <f aca="false">R19/(SUM($M19:$W19))*100</f>
        <v>#DIV/0!</v>
      </c>
      <c r="S47" s="7" t="e">
        <f aca="false">S19/(SUM($M19:$W19))*100</f>
        <v>#DIV/0!</v>
      </c>
      <c r="T47" s="7" t="e">
        <f aca="false">T19/(SUM($M19:$W19))*100</f>
        <v>#DIV/0!</v>
      </c>
      <c r="U47" s="7" t="e">
        <f aca="false">U19/(SUM($M19:$W19))*100</f>
        <v>#DIV/0!</v>
      </c>
      <c r="V47" s="7" t="e">
        <f aca="false">V19/(SUM($M19:$W19))*100</f>
        <v>#DIV/0!</v>
      </c>
      <c r="W47" s="7" t="e">
        <f aca="false">W19/(SUM($M19:$W19))*100</f>
        <v>#DIV/0!</v>
      </c>
      <c r="X47" s="7" t="e">
        <f aca="false">SUM(M47:W47)</f>
        <v>#DIV/0!</v>
      </c>
    </row>
    <row r="48" customFormat="false" ht="15.8" hidden="false" customHeight="false" outlineLevel="0" collapsed="false">
      <c r="A48" s="1" t="n">
        <v>47</v>
      </c>
      <c r="B48" s="1" t="n">
        <v>38.4</v>
      </c>
      <c r="C48" s="1" t="n">
        <v>-32</v>
      </c>
      <c r="D48" s="1" t="n">
        <v>-14.1</v>
      </c>
      <c r="E48" s="2" t="n">
        <v>3.3</v>
      </c>
      <c r="F48" s="2" t="n">
        <v>46</v>
      </c>
      <c r="G48" s="2" t="n">
        <v>36.4</v>
      </c>
      <c r="H48" s="2" t="n">
        <v>-34.5</v>
      </c>
      <c r="I48" s="2" t="n">
        <v>-13.3</v>
      </c>
      <c r="J48" s="2" t="n">
        <v>16.62381776</v>
      </c>
      <c r="L48" s="8" t="n">
        <v>47.5</v>
      </c>
      <c r="M48" s="7" t="e">
        <f aca="false">M20/(SUM($M20:$W20))*100</f>
        <v>#DIV/0!</v>
      </c>
      <c r="N48" s="7" t="e">
        <f aca="false">N20/(SUM($M20:$W20))*100</f>
        <v>#DIV/0!</v>
      </c>
      <c r="O48" s="7" t="e">
        <f aca="false">O20/(SUM($M20:$W20))*100</f>
        <v>#DIV/0!</v>
      </c>
      <c r="P48" s="7" t="e">
        <f aca="false">P20/(SUM($M20:$W20))*100</f>
        <v>#DIV/0!</v>
      </c>
      <c r="Q48" s="7" t="e">
        <f aca="false">Q20/(SUM($M20:$W20))*100</f>
        <v>#DIV/0!</v>
      </c>
      <c r="R48" s="7" t="e">
        <f aca="false">R20/(SUM($M20:$W20))*100</f>
        <v>#DIV/0!</v>
      </c>
      <c r="S48" s="7" t="e">
        <f aca="false">S20/(SUM($M20:$W20))*100</f>
        <v>#DIV/0!</v>
      </c>
      <c r="T48" s="7" t="e">
        <f aca="false">T20/(SUM($M20:$W20))*100</f>
        <v>#DIV/0!</v>
      </c>
      <c r="U48" s="7" t="e">
        <f aca="false">U20/(SUM($M20:$W20))*100</f>
        <v>#DIV/0!</v>
      </c>
      <c r="V48" s="7" t="e">
        <f aca="false">V20/(SUM($M20:$W20))*100</f>
        <v>#DIV/0!</v>
      </c>
      <c r="W48" s="7" t="e">
        <f aca="false">W20/(SUM($M20:$W20))*100</f>
        <v>#DIV/0!</v>
      </c>
      <c r="X48" s="7" t="e">
        <f aca="false">SUM(M48:W48)</f>
        <v>#DIV/0!</v>
      </c>
    </row>
    <row r="49" customFormat="false" ht="15.8" hidden="false" customHeight="false" outlineLevel="0" collapsed="false">
      <c r="A49" s="1" t="n">
        <v>48</v>
      </c>
      <c r="B49" s="1" t="n">
        <v>41</v>
      </c>
      <c r="C49" s="1" t="n">
        <v>-36.3</v>
      </c>
      <c r="D49" s="1" t="n">
        <v>-15.5</v>
      </c>
      <c r="E49" s="2" t="n">
        <v>2.3</v>
      </c>
      <c r="F49" s="2" t="n">
        <v>51</v>
      </c>
      <c r="G49" s="2" t="n">
        <v>42.2</v>
      </c>
      <c r="H49" s="2" t="n">
        <v>-35.9</v>
      </c>
      <c r="I49" s="2" t="n">
        <v>-13.7</v>
      </c>
      <c r="J49" s="2" t="n">
        <v>12.34624303</v>
      </c>
      <c r="L49" s="8" t="n">
        <v>50</v>
      </c>
      <c r="M49" s="7" t="e">
        <f aca="false">M21/(SUM($M21:$W21))*100</f>
        <v>#DIV/0!</v>
      </c>
      <c r="N49" s="7" t="e">
        <f aca="false">N21/(SUM($M21:$W21))*100</f>
        <v>#DIV/0!</v>
      </c>
      <c r="O49" s="7" t="e">
        <f aca="false">O21/(SUM($M21:$W21))*100</f>
        <v>#DIV/0!</v>
      </c>
      <c r="P49" s="7" t="e">
        <f aca="false">P21/(SUM($M21:$W21))*100</f>
        <v>#DIV/0!</v>
      </c>
      <c r="Q49" s="7" t="e">
        <f aca="false">Q21/(SUM($M21:$W21))*100</f>
        <v>#DIV/0!</v>
      </c>
      <c r="R49" s="7" t="e">
        <f aca="false">R21/(SUM($M21:$W21))*100</f>
        <v>#DIV/0!</v>
      </c>
      <c r="S49" s="7" t="e">
        <f aca="false">S21/(SUM($M21:$W21))*100</f>
        <v>#DIV/0!</v>
      </c>
      <c r="T49" s="7" t="e">
        <f aca="false">T21/(SUM($M21:$W21))*100</f>
        <v>#DIV/0!</v>
      </c>
      <c r="U49" s="7" t="e">
        <f aca="false">U21/(SUM($M21:$W21))*100</f>
        <v>#DIV/0!</v>
      </c>
      <c r="V49" s="7" t="e">
        <f aca="false">V21/(SUM($M21:$W21))*100</f>
        <v>#DIV/0!</v>
      </c>
      <c r="W49" s="7" t="e">
        <f aca="false">W21/(SUM($M21:$W21))*100</f>
        <v>#DIV/0!</v>
      </c>
      <c r="X49" s="7" t="e">
        <f aca="false">SUM(M49:W49)</f>
        <v>#DIV/0!</v>
      </c>
    </row>
    <row r="50" customFormat="false" ht="15.8" hidden="false" customHeight="false" outlineLevel="0" collapsed="false">
      <c r="A50" s="1" t="n">
        <v>49</v>
      </c>
      <c r="B50" s="1" t="n">
        <v>41.8</v>
      </c>
      <c r="C50" s="1" t="n">
        <v>-33.6</v>
      </c>
      <c r="D50" s="1" t="n">
        <v>-14.8</v>
      </c>
      <c r="E50" s="2" t="n">
        <v>2.6</v>
      </c>
      <c r="F50" s="2" t="n">
        <v>51</v>
      </c>
      <c r="G50" s="2" t="n">
        <v>42.2</v>
      </c>
      <c r="H50" s="2" t="n">
        <v>-35.9</v>
      </c>
      <c r="I50" s="2" t="n">
        <v>-13.7</v>
      </c>
      <c r="J50" s="2" t="n">
        <v>12.84347761</v>
      </c>
      <c r="L50" s="8" t="n">
        <v>52.5</v>
      </c>
      <c r="M50" s="7" t="e">
        <f aca="false">M22/(SUM($M22:$W22))*100</f>
        <v>#DIV/0!</v>
      </c>
      <c r="N50" s="7" t="e">
        <f aca="false">N22/(SUM($M22:$W22))*100</f>
        <v>#DIV/0!</v>
      </c>
      <c r="O50" s="7" t="e">
        <f aca="false">O22/(SUM($M22:$W22))*100</f>
        <v>#DIV/0!</v>
      </c>
      <c r="P50" s="7" t="e">
        <f aca="false">P22/(SUM($M22:$W22))*100</f>
        <v>#DIV/0!</v>
      </c>
      <c r="Q50" s="7" t="e">
        <f aca="false">Q22/(SUM($M22:$W22))*100</f>
        <v>#DIV/0!</v>
      </c>
      <c r="R50" s="7" t="e">
        <f aca="false">R22/(SUM($M22:$W22))*100</f>
        <v>#DIV/0!</v>
      </c>
      <c r="S50" s="7" t="e">
        <f aca="false">S22/(SUM($M22:$W22))*100</f>
        <v>#DIV/0!</v>
      </c>
      <c r="T50" s="7" t="e">
        <f aca="false">T22/(SUM($M22:$W22))*100</f>
        <v>#DIV/0!</v>
      </c>
      <c r="U50" s="7" t="e">
        <f aca="false">U22/(SUM($M22:$W22))*100</f>
        <v>#DIV/0!</v>
      </c>
      <c r="V50" s="7" t="e">
        <f aca="false">V22/(SUM($M22:$W22))*100</f>
        <v>#DIV/0!</v>
      </c>
      <c r="W50" s="7" t="e">
        <f aca="false">W22/(SUM($M22:$W22))*100</f>
        <v>#DIV/0!</v>
      </c>
      <c r="X50" s="7" t="e">
        <f aca="false">SUM(M50:W50)</f>
        <v>#DIV/0!</v>
      </c>
    </row>
    <row r="51" customFormat="false" ht="15.8" hidden="false" customHeight="false" outlineLevel="0" collapsed="false">
      <c r="A51" s="1" t="n">
        <v>50</v>
      </c>
      <c r="B51" s="1" t="n">
        <v>44.9</v>
      </c>
      <c r="C51" s="1" t="n">
        <v>-34.2</v>
      </c>
      <c r="D51" s="1" t="n">
        <v>-15.2</v>
      </c>
      <c r="E51" s="2" t="n">
        <v>1.4</v>
      </c>
      <c r="F51" s="2" t="n">
        <v>60</v>
      </c>
      <c r="G51" s="2" t="n">
        <v>45.4</v>
      </c>
      <c r="H51" s="2" t="n">
        <v>-35.5</v>
      </c>
      <c r="I51" s="2" t="n">
        <v>-15.2</v>
      </c>
      <c r="J51" s="2" t="n">
        <v>9.950674198</v>
      </c>
      <c r="L51" s="8" t="n">
        <v>55</v>
      </c>
      <c r="M51" s="7" t="e">
        <f aca="false">M23/(SUM($M23:$W23))*100</f>
        <v>#DIV/0!</v>
      </c>
      <c r="N51" s="7" t="e">
        <f aca="false">N23/(SUM($M23:$W23))*100</f>
        <v>#DIV/0!</v>
      </c>
      <c r="O51" s="7" t="e">
        <f aca="false">O23/(SUM($M23:$W23))*100</f>
        <v>#DIV/0!</v>
      </c>
      <c r="P51" s="7" t="e">
        <f aca="false">P23/(SUM($M23:$W23))*100</f>
        <v>#DIV/0!</v>
      </c>
      <c r="Q51" s="7" t="e">
        <f aca="false">Q23/(SUM($M23:$W23))*100</f>
        <v>#DIV/0!</v>
      </c>
      <c r="R51" s="7" t="e">
        <f aca="false">R23/(SUM($M23:$W23))*100</f>
        <v>#DIV/0!</v>
      </c>
      <c r="S51" s="7" t="e">
        <f aca="false">S23/(SUM($M23:$W23))*100</f>
        <v>#DIV/0!</v>
      </c>
      <c r="T51" s="7" t="e">
        <f aca="false">T23/(SUM($M23:$W23))*100</f>
        <v>#DIV/0!</v>
      </c>
      <c r="U51" s="7" t="e">
        <f aca="false">U23/(SUM($M23:$W23))*100</f>
        <v>#DIV/0!</v>
      </c>
      <c r="V51" s="7" t="e">
        <f aca="false">V23/(SUM($M23:$W23))*100</f>
        <v>#DIV/0!</v>
      </c>
      <c r="W51" s="7" t="e">
        <f aca="false">W23/(SUM($M23:$W23))*100</f>
        <v>#DIV/0!</v>
      </c>
      <c r="X51" s="7" t="e">
        <f aca="false">SUM(M51:W51)</f>
        <v>#DIV/0!</v>
      </c>
    </row>
    <row r="52" customFormat="false" ht="15.8" hidden="false" customHeight="false" outlineLevel="0" collapsed="false">
      <c r="A52" s="1" t="n">
        <v>51</v>
      </c>
      <c r="B52" s="1" t="n">
        <v>42.2</v>
      </c>
      <c r="C52" s="1" t="n">
        <v>-35.9</v>
      </c>
      <c r="D52" s="1" t="n">
        <v>-13.7</v>
      </c>
      <c r="E52" s="2" t="n">
        <v>2.3</v>
      </c>
      <c r="F52" s="2" t="n">
        <v>48</v>
      </c>
      <c r="G52" s="2" t="n">
        <v>41</v>
      </c>
      <c r="H52" s="2" t="n">
        <v>-36.3</v>
      </c>
      <c r="I52" s="2" t="n">
        <v>-15.5</v>
      </c>
      <c r="J52" s="2" t="n">
        <v>12.05816391</v>
      </c>
      <c r="L52" s="8" t="n">
        <v>57.5</v>
      </c>
      <c r="M52" s="7" t="e">
        <f aca="false">M24/(SUM($M24:$W24))*100</f>
        <v>#DIV/0!</v>
      </c>
      <c r="N52" s="7" t="e">
        <f aca="false">N24/(SUM($M24:$W24))*100</f>
        <v>#DIV/0!</v>
      </c>
      <c r="O52" s="7" t="e">
        <f aca="false">O24/(SUM($M24:$W24))*100</f>
        <v>#DIV/0!</v>
      </c>
      <c r="P52" s="7" t="e">
        <f aca="false">P24/(SUM($M24:$W24))*100</f>
        <v>#DIV/0!</v>
      </c>
      <c r="Q52" s="7" t="e">
        <f aca="false">Q24/(SUM($M24:$W24))*100</f>
        <v>#DIV/0!</v>
      </c>
      <c r="R52" s="7" t="e">
        <f aca="false">R24/(SUM($M24:$W24))*100</f>
        <v>#DIV/0!</v>
      </c>
      <c r="S52" s="7" t="e">
        <f aca="false">S24/(SUM($M24:$W24))*100</f>
        <v>#DIV/0!</v>
      </c>
      <c r="T52" s="7" t="e">
        <f aca="false">T24/(SUM($M24:$W24))*100</f>
        <v>#DIV/0!</v>
      </c>
      <c r="U52" s="7" t="e">
        <f aca="false">U24/(SUM($M24:$W24))*100</f>
        <v>#DIV/0!</v>
      </c>
      <c r="V52" s="7" t="e">
        <f aca="false">V24/(SUM($M24:$W24))*100</f>
        <v>#DIV/0!</v>
      </c>
      <c r="W52" s="7" t="e">
        <f aca="false">W24/(SUM($M24:$W24))*100</f>
        <v>#DIV/0!</v>
      </c>
      <c r="X52" s="7" t="e">
        <f aca="false">SUM(M52:W52)</f>
        <v>#DIV/0!</v>
      </c>
    </row>
    <row r="53" customFormat="false" ht="15.8" hidden="false" customHeight="false" outlineLevel="0" collapsed="false">
      <c r="A53" s="1" t="n">
        <v>52</v>
      </c>
      <c r="B53" s="1" t="n">
        <v>36.6</v>
      </c>
      <c r="C53" s="1" t="n">
        <v>-34.7</v>
      </c>
      <c r="D53" s="1" t="n">
        <v>-18.5</v>
      </c>
      <c r="E53" s="2" t="n">
        <v>4.6</v>
      </c>
      <c r="F53" s="2" t="n">
        <v>55</v>
      </c>
      <c r="G53" s="2" t="n">
        <v>40.4</v>
      </c>
      <c r="H53" s="2" t="n">
        <v>-33.7</v>
      </c>
      <c r="I53" s="2" t="n">
        <v>-20.7</v>
      </c>
      <c r="J53" s="2" t="n">
        <v>16.50025809</v>
      </c>
      <c r="L53" s="8" t="n">
        <v>60</v>
      </c>
      <c r="M53" s="7" t="e">
        <f aca="false">M25/(SUM($M25:$W25))*100</f>
        <v>#DIV/0!</v>
      </c>
      <c r="N53" s="7" t="e">
        <f aca="false">N25/(SUM($M25:$W25))*100</f>
        <v>#DIV/0!</v>
      </c>
      <c r="O53" s="7" t="e">
        <f aca="false">O25/(SUM($M25:$W25))*100</f>
        <v>#DIV/0!</v>
      </c>
      <c r="P53" s="7" t="e">
        <f aca="false">P25/(SUM($M25:$W25))*100</f>
        <v>#DIV/0!</v>
      </c>
      <c r="Q53" s="7" t="e">
        <f aca="false">Q25/(SUM($M25:$W25))*100</f>
        <v>#DIV/0!</v>
      </c>
      <c r="R53" s="7" t="e">
        <f aca="false">R25/(SUM($M25:$W25))*100</f>
        <v>#DIV/0!</v>
      </c>
      <c r="S53" s="7" t="e">
        <f aca="false">S25/(SUM($M25:$W25))*100</f>
        <v>#DIV/0!</v>
      </c>
      <c r="T53" s="7" t="e">
        <f aca="false">T25/(SUM($M25:$W25))*100</f>
        <v>#DIV/0!</v>
      </c>
      <c r="U53" s="7" t="e">
        <f aca="false">U25/(SUM($M25:$W25))*100</f>
        <v>#DIV/0!</v>
      </c>
      <c r="V53" s="0" t="e">
        <f aca="false">V25/(SUM($M25:$W25))*100</f>
        <v>#DIV/0!</v>
      </c>
      <c r="W53" s="0" t="e">
        <f aca="false">W25/(SUM($M25:$W25))*100</f>
        <v>#DIV/0!</v>
      </c>
      <c r="X53" s="0" t="e">
        <f aca="false">SUM(M53:W53)</f>
        <v>#DIV/0!</v>
      </c>
    </row>
    <row r="54" customFormat="false" ht="15.8" hidden="false" customHeight="false" outlineLevel="0" collapsed="false">
      <c r="A54" s="1" t="n">
        <v>53</v>
      </c>
      <c r="B54" s="1" t="n">
        <v>40.2</v>
      </c>
      <c r="C54" s="1" t="n">
        <v>-38.1</v>
      </c>
      <c r="D54" s="1" t="n">
        <v>-20</v>
      </c>
      <c r="E54" s="2" t="n">
        <v>3.2</v>
      </c>
      <c r="F54" s="2" t="n">
        <v>57</v>
      </c>
      <c r="G54" s="2" t="n">
        <v>41.3</v>
      </c>
      <c r="H54" s="2" t="n">
        <v>-38.5</v>
      </c>
      <c r="I54" s="2" t="n">
        <v>-22.9</v>
      </c>
      <c r="J54" s="2" t="n">
        <v>12.29061906</v>
      </c>
      <c r="L54" s="7"/>
      <c r="M54" s="7"/>
      <c r="N54" s="7"/>
      <c r="O54" s="7"/>
      <c r="P54" s="7"/>
      <c r="Q54" s="7"/>
      <c r="R54" s="7"/>
      <c r="S54" s="7"/>
      <c r="T54" s="7"/>
      <c r="U54" s="7"/>
    </row>
    <row r="55" customFormat="false" ht="15.8" hidden="false" customHeight="false" outlineLevel="0" collapsed="false">
      <c r="A55" s="1" t="n">
        <v>54</v>
      </c>
      <c r="B55" s="1" t="n">
        <v>39.4</v>
      </c>
      <c r="C55" s="1" t="n">
        <v>-34.9</v>
      </c>
      <c r="D55" s="1" t="n">
        <v>-22.2</v>
      </c>
      <c r="E55" s="2" t="n">
        <v>2.2</v>
      </c>
      <c r="F55" s="2" t="n">
        <v>55</v>
      </c>
      <c r="G55" s="2" t="n">
        <v>40.4</v>
      </c>
      <c r="H55" s="2" t="n">
        <v>-33.7</v>
      </c>
      <c r="I55" s="2" t="n">
        <v>-20.7</v>
      </c>
      <c r="J55" s="2" t="n">
        <v>14.11804933</v>
      </c>
      <c r="L55" s="7"/>
      <c r="M55" s="7"/>
      <c r="N55" s="7"/>
      <c r="O55" s="7"/>
      <c r="P55" s="7"/>
      <c r="Q55" s="7"/>
      <c r="R55" s="7"/>
      <c r="S55" s="7"/>
      <c r="T55" s="7"/>
    </row>
    <row r="56" customFormat="false" ht="15.8" hidden="false" customHeight="false" outlineLevel="0" collapsed="false">
      <c r="A56" s="1" t="n">
        <v>55</v>
      </c>
      <c r="B56" s="1" t="n">
        <v>40.4</v>
      </c>
      <c r="C56" s="1" t="n">
        <v>-33.7</v>
      </c>
      <c r="D56" s="1" t="n">
        <v>-20.7</v>
      </c>
      <c r="E56" s="2" t="n">
        <v>2.2</v>
      </c>
      <c r="F56" s="2" t="n">
        <v>54</v>
      </c>
      <c r="G56" s="2" t="n">
        <v>39.4</v>
      </c>
      <c r="H56" s="2" t="n">
        <v>-34.9</v>
      </c>
      <c r="I56" s="2" t="n">
        <v>-22.2</v>
      </c>
      <c r="J56" s="2" t="n">
        <v>13.40637598</v>
      </c>
      <c r="L56" s="7"/>
      <c r="M56" s="7"/>
      <c r="N56" s="7"/>
      <c r="O56" s="7"/>
      <c r="P56" s="7"/>
      <c r="Q56" s="7"/>
      <c r="R56" s="7"/>
      <c r="S56" s="7"/>
      <c r="T56" s="7"/>
    </row>
    <row r="57" customFormat="false" ht="15.8" hidden="false" customHeight="false" outlineLevel="0" collapsed="false">
      <c r="A57" s="1" t="n">
        <v>56</v>
      </c>
      <c r="B57" s="1" t="n">
        <v>42.3</v>
      </c>
      <c r="C57" s="1" t="n">
        <v>-36.4</v>
      </c>
      <c r="D57" s="1" t="n">
        <v>-18.1</v>
      </c>
      <c r="E57" s="2" t="n">
        <v>2.3</v>
      </c>
      <c r="F57" s="2" t="n">
        <v>59</v>
      </c>
      <c r="G57" s="2" t="n">
        <v>43.3</v>
      </c>
      <c r="H57" s="2" t="n">
        <v>-35.5</v>
      </c>
      <c r="I57" s="2" t="n">
        <v>-16.3</v>
      </c>
      <c r="J57" s="2" t="n">
        <v>10.58721479</v>
      </c>
    </row>
    <row r="58" customFormat="false" ht="15.8" hidden="false" customHeight="false" outlineLevel="0" collapsed="false">
      <c r="A58" s="1" t="n">
        <v>57</v>
      </c>
      <c r="B58" s="1" t="n">
        <v>41.3</v>
      </c>
      <c r="C58" s="1" t="n">
        <v>-38.5</v>
      </c>
      <c r="D58" s="1" t="n">
        <v>-22.9</v>
      </c>
      <c r="E58" s="2" t="n">
        <v>1.9</v>
      </c>
      <c r="F58" s="2" t="n">
        <v>58</v>
      </c>
      <c r="G58" s="2" t="n">
        <v>39.8</v>
      </c>
      <c r="H58" s="2" t="n">
        <v>-38.7</v>
      </c>
      <c r="I58" s="2" t="n">
        <v>-24.1</v>
      </c>
      <c r="J58" s="2" t="n">
        <v>11.76018354</v>
      </c>
    </row>
    <row r="59" customFormat="false" ht="15.8" hidden="false" customHeight="false" outlineLevel="0" collapsed="false">
      <c r="A59" s="1" t="n">
        <v>58</v>
      </c>
      <c r="B59" s="1" t="n">
        <v>39.8</v>
      </c>
      <c r="C59" s="1" t="n">
        <v>-38.7</v>
      </c>
      <c r="D59" s="1" t="n">
        <v>-24.1</v>
      </c>
      <c r="E59" s="2" t="n">
        <v>1.9</v>
      </c>
      <c r="F59" s="2" t="n">
        <v>57</v>
      </c>
      <c r="G59" s="2" t="n">
        <v>41.3</v>
      </c>
      <c r="H59" s="2" t="n">
        <v>-38.5</v>
      </c>
      <c r="I59" s="2" t="n">
        <v>-22.9</v>
      </c>
      <c r="J59" s="2" t="n">
        <v>13.56605016</v>
      </c>
    </row>
    <row r="60" customFormat="false" ht="15.8" hidden="false" customHeight="false" outlineLevel="0" collapsed="false">
      <c r="A60" s="1" t="n">
        <v>59</v>
      </c>
      <c r="B60" s="1" t="n">
        <v>43.3</v>
      </c>
      <c r="C60" s="1" t="n">
        <v>-35.5</v>
      </c>
      <c r="D60" s="1" t="n">
        <v>-16.3</v>
      </c>
      <c r="E60" s="2" t="n">
        <v>2.3</v>
      </c>
      <c r="F60" s="2" t="n">
        <v>56</v>
      </c>
      <c r="G60" s="2" t="n">
        <v>42.3</v>
      </c>
      <c r="H60" s="2" t="n">
        <v>-36.4</v>
      </c>
      <c r="I60" s="2" t="n">
        <v>-18.1</v>
      </c>
      <c r="J60" s="2" t="n">
        <v>10.29964645</v>
      </c>
    </row>
    <row r="61" customFormat="false" ht="15.8" hidden="false" customHeight="false" outlineLevel="0" collapsed="false">
      <c r="A61" s="1" t="n">
        <v>60</v>
      </c>
      <c r="B61" s="1" t="n">
        <v>45.4</v>
      </c>
      <c r="C61" s="1" t="n">
        <v>-35.5</v>
      </c>
      <c r="D61" s="1" t="n">
        <v>-15.2</v>
      </c>
      <c r="E61" s="2" t="n">
        <v>1.4</v>
      </c>
      <c r="F61" s="2" t="n">
        <v>50</v>
      </c>
      <c r="G61" s="2" t="n">
        <v>44.9</v>
      </c>
      <c r="H61" s="2" t="n">
        <v>-34.2</v>
      </c>
      <c r="I61" s="2" t="n">
        <v>-15.2</v>
      </c>
      <c r="J61" s="2" t="n">
        <v>8.92695452</v>
      </c>
    </row>
    <row r="62" customFormat="false" ht="15.8" hidden="false" customHeight="false" outlineLevel="0" collapsed="false">
      <c r="A62" s="1" t="n">
        <v>61</v>
      </c>
      <c r="B62" s="1" t="n">
        <v>44.8</v>
      </c>
      <c r="C62" s="1" t="n">
        <v>-38.6</v>
      </c>
      <c r="D62" s="1" t="n">
        <v>-14.8</v>
      </c>
      <c r="E62" s="2" t="n">
        <v>2.2</v>
      </c>
      <c r="F62" s="2" t="n">
        <v>62</v>
      </c>
      <c r="G62" s="2" t="n">
        <v>46.1</v>
      </c>
      <c r="H62" s="2" t="n">
        <v>-37.7</v>
      </c>
      <c r="I62" s="2" t="n">
        <v>-13.3</v>
      </c>
      <c r="J62" s="2" t="n">
        <v>8.744422051</v>
      </c>
    </row>
    <row r="63" customFormat="false" ht="15.8" hidden="false" customHeight="false" outlineLevel="0" collapsed="false">
      <c r="A63" s="1" t="n">
        <v>62</v>
      </c>
      <c r="B63" s="1" t="n">
        <v>46.1</v>
      </c>
      <c r="C63" s="1" t="n">
        <v>-37.7</v>
      </c>
      <c r="D63" s="1" t="n">
        <v>-13.3</v>
      </c>
      <c r="E63" s="2" t="n">
        <v>2.2</v>
      </c>
      <c r="F63" s="2" t="n">
        <v>61</v>
      </c>
      <c r="G63" s="2" t="n">
        <v>44.8</v>
      </c>
      <c r="H63" s="2" t="n">
        <v>-38.6</v>
      </c>
      <c r="I63" s="2" t="n">
        <v>-14.8</v>
      </c>
      <c r="J63" s="2" t="n">
        <v>8.716026446</v>
      </c>
    </row>
    <row r="64" customFormat="false" ht="15.8" hidden="false" customHeight="false" outlineLevel="0" collapsed="false">
      <c r="A64" s="1" t="n">
        <v>63</v>
      </c>
      <c r="B64" s="1" t="n">
        <v>44.7</v>
      </c>
      <c r="C64" s="1" t="n">
        <v>-40.6</v>
      </c>
      <c r="D64" s="1" t="n">
        <v>-11.1</v>
      </c>
      <c r="E64" s="2" t="n">
        <v>2.5</v>
      </c>
      <c r="F64" s="2" t="n">
        <v>69</v>
      </c>
      <c r="G64" s="2" t="n">
        <v>46.7</v>
      </c>
      <c r="H64" s="2" t="n">
        <v>-41.6</v>
      </c>
      <c r="I64" s="2" t="n">
        <v>-10</v>
      </c>
      <c r="J64" s="2" t="n">
        <v>11.1216688</v>
      </c>
    </row>
    <row r="65" customFormat="false" ht="15.8" hidden="false" customHeight="false" outlineLevel="0" collapsed="false">
      <c r="A65" s="1" t="n">
        <v>64</v>
      </c>
      <c r="B65" s="1" t="n">
        <v>49.2</v>
      </c>
      <c r="C65" s="1" t="n">
        <v>-40.5</v>
      </c>
      <c r="D65" s="1" t="n">
        <v>-12.6</v>
      </c>
      <c r="E65" s="2" t="n">
        <v>1</v>
      </c>
      <c r="F65" s="2" t="n">
        <v>68</v>
      </c>
      <c r="G65" s="2" t="n">
        <v>49.5</v>
      </c>
      <c r="H65" s="2" t="n">
        <v>-41.4</v>
      </c>
      <c r="I65" s="2" t="n">
        <v>-12.2</v>
      </c>
      <c r="J65" s="2" t="n">
        <v>7.279101387</v>
      </c>
    </row>
    <row r="66" customFormat="false" ht="15.8" hidden="false" customHeight="false" outlineLevel="0" collapsed="false">
      <c r="A66" s="1" t="n">
        <v>65</v>
      </c>
      <c r="B66" s="1" t="n">
        <v>48.7</v>
      </c>
      <c r="C66" s="1" t="n">
        <v>-38.3</v>
      </c>
      <c r="D66" s="1" t="n">
        <v>-15.5</v>
      </c>
      <c r="E66" s="2" t="n">
        <v>0.8</v>
      </c>
      <c r="F66" s="2" t="n">
        <v>67</v>
      </c>
      <c r="G66" s="2" t="n">
        <v>49</v>
      </c>
      <c r="H66" s="2" t="n">
        <v>-38.4</v>
      </c>
      <c r="I66" s="2" t="n">
        <v>-14.8</v>
      </c>
      <c r="J66" s="2" t="n">
        <v>5.265806396</v>
      </c>
    </row>
    <row r="67" customFormat="false" ht="15.8" hidden="false" customHeight="false" outlineLevel="0" collapsed="false">
      <c r="A67" s="1" t="n">
        <v>66</v>
      </c>
      <c r="B67" s="1" t="n">
        <v>49.6</v>
      </c>
      <c r="C67" s="1" t="n">
        <v>-39.9</v>
      </c>
      <c r="D67" s="1" t="n">
        <v>-14.4</v>
      </c>
      <c r="E67" s="2" t="n">
        <v>1.7</v>
      </c>
      <c r="F67" s="2" t="n">
        <v>67</v>
      </c>
      <c r="G67" s="2" t="n">
        <v>49</v>
      </c>
      <c r="H67" s="2" t="n">
        <v>-38.4</v>
      </c>
      <c r="I67" s="2" t="n">
        <v>-14.8</v>
      </c>
      <c r="J67" s="2" t="n">
        <v>5.45011165</v>
      </c>
    </row>
    <row r="68" customFormat="false" ht="15.8" hidden="false" customHeight="false" outlineLevel="0" collapsed="false">
      <c r="A68" s="1" t="n">
        <v>67</v>
      </c>
      <c r="B68" s="1" t="n">
        <v>49</v>
      </c>
      <c r="C68" s="1" t="n">
        <v>-38.4</v>
      </c>
      <c r="D68" s="1" t="n">
        <v>-14.8</v>
      </c>
      <c r="E68" s="2" t="n">
        <v>0.8</v>
      </c>
      <c r="F68" s="2" t="n">
        <v>65</v>
      </c>
      <c r="G68" s="2" t="n">
        <v>48.7</v>
      </c>
      <c r="H68" s="2" t="n">
        <v>-38.3</v>
      </c>
      <c r="I68" s="2" t="n">
        <v>-15.5</v>
      </c>
      <c r="J68" s="2" t="n">
        <v>5.556664197</v>
      </c>
    </row>
    <row r="69" customFormat="false" ht="15.8" hidden="false" customHeight="false" outlineLevel="0" collapsed="false">
      <c r="A69" s="1" t="n">
        <v>68</v>
      </c>
      <c r="B69" s="1" t="n">
        <v>49.5</v>
      </c>
      <c r="C69" s="1" t="n">
        <v>-41.4</v>
      </c>
      <c r="D69" s="1" t="n">
        <v>-12.2</v>
      </c>
      <c r="E69" s="2" t="n">
        <v>1</v>
      </c>
      <c r="F69" s="2" t="n">
        <v>64</v>
      </c>
      <c r="G69" s="2" t="n">
        <v>49.2</v>
      </c>
      <c r="H69" s="2" t="n">
        <v>-40.5</v>
      </c>
      <c r="I69" s="2" t="n">
        <v>-12.6</v>
      </c>
      <c r="J69" s="2" t="n">
        <v>7.688453486</v>
      </c>
    </row>
    <row r="70" customFormat="false" ht="15.8" hidden="false" customHeight="false" outlineLevel="0" collapsed="false">
      <c r="A70" s="1" t="n">
        <v>69</v>
      </c>
      <c r="B70" s="1" t="n">
        <v>46.7</v>
      </c>
      <c r="C70" s="1" t="n">
        <v>-41.6</v>
      </c>
      <c r="D70" s="1" t="n">
        <v>-10</v>
      </c>
      <c r="E70" s="2" t="n">
        <v>2.5</v>
      </c>
      <c r="F70" s="2" t="n">
        <v>63</v>
      </c>
      <c r="G70" s="2" t="n">
        <v>44.7</v>
      </c>
      <c r="H70" s="2" t="n">
        <v>-40.6</v>
      </c>
      <c r="I70" s="2" t="n">
        <v>-11.1</v>
      </c>
      <c r="J70" s="2" t="n">
        <v>10.90579282</v>
      </c>
    </row>
    <row r="71" customFormat="false" ht="15.8" hidden="false" customHeight="false" outlineLevel="0" collapsed="false">
      <c r="A71" s="1" t="n">
        <v>70</v>
      </c>
      <c r="B71" s="1" t="n">
        <v>51.8</v>
      </c>
      <c r="C71" s="1" t="n">
        <v>-39.1</v>
      </c>
      <c r="D71" s="1" t="n">
        <v>-6.7</v>
      </c>
      <c r="E71" s="2" t="n">
        <v>2.8</v>
      </c>
      <c r="F71" s="2" t="n">
        <v>72</v>
      </c>
      <c r="G71" s="2" t="n">
        <v>51</v>
      </c>
      <c r="H71" s="2" t="n">
        <v>-36.5</v>
      </c>
      <c r="I71" s="2" t="n">
        <v>-5.9</v>
      </c>
      <c r="J71" s="2" t="n">
        <v>12.39393872</v>
      </c>
    </row>
    <row r="72" customFormat="false" ht="15.8" hidden="false" customHeight="false" outlineLevel="0" collapsed="false">
      <c r="A72" s="1" t="n">
        <v>71</v>
      </c>
      <c r="B72" s="1" t="n">
        <v>50.5</v>
      </c>
      <c r="C72" s="1" t="n">
        <v>-33.9</v>
      </c>
      <c r="D72" s="1" t="n">
        <v>-5.9</v>
      </c>
      <c r="E72" s="2" t="n">
        <v>1.5</v>
      </c>
      <c r="F72" s="2" t="n">
        <v>73</v>
      </c>
      <c r="G72" s="2" t="n">
        <v>50.5</v>
      </c>
      <c r="H72" s="2" t="n">
        <v>-34.4</v>
      </c>
      <c r="I72" s="2" t="n">
        <v>-4.4</v>
      </c>
      <c r="J72" s="2" t="n">
        <v>14.43865357</v>
      </c>
    </row>
    <row r="73" customFormat="false" ht="15.8" hidden="false" customHeight="false" outlineLevel="0" collapsed="false">
      <c r="A73" s="1" t="n">
        <v>72</v>
      </c>
      <c r="B73" s="1" t="n">
        <v>51</v>
      </c>
      <c r="C73" s="1" t="n">
        <v>-36.5</v>
      </c>
      <c r="D73" s="1" t="n">
        <v>-5.9</v>
      </c>
      <c r="E73" s="2" t="n">
        <v>2.6</v>
      </c>
      <c r="F73" s="2" t="n">
        <v>71</v>
      </c>
      <c r="G73" s="2" t="n">
        <v>50.5</v>
      </c>
      <c r="H73" s="2" t="n">
        <v>-33.9</v>
      </c>
      <c r="I73" s="2" t="n">
        <v>-5.9</v>
      </c>
      <c r="J73" s="2" t="n">
        <v>13.58193348</v>
      </c>
    </row>
    <row r="74" customFormat="false" ht="15.8" hidden="false" customHeight="false" outlineLevel="0" collapsed="false">
      <c r="A74" s="1" t="n">
        <v>73</v>
      </c>
      <c r="B74" s="1" t="n">
        <v>50.5</v>
      </c>
      <c r="C74" s="1" t="n">
        <v>-34.4</v>
      </c>
      <c r="D74" s="1" t="n">
        <v>-4.4</v>
      </c>
      <c r="E74" s="2" t="n">
        <v>1.5</v>
      </c>
      <c r="F74" s="2" t="n">
        <v>71</v>
      </c>
      <c r="G74" s="2" t="n">
        <v>50.5</v>
      </c>
      <c r="H74" s="2" t="n">
        <v>-33.9</v>
      </c>
      <c r="I74" s="2" t="n">
        <v>-5.9</v>
      </c>
      <c r="J74" s="2" t="n">
        <v>15.64904844</v>
      </c>
    </row>
    <row r="75" customFormat="false" ht="15.8" hidden="false" customHeight="false" outlineLevel="0" collapsed="false">
      <c r="A75" s="1" t="n">
        <v>74</v>
      </c>
      <c r="B75" s="1" t="n">
        <v>52.7</v>
      </c>
      <c r="C75" s="1" t="n">
        <v>-33.3</v>
      </c>
      <c r="D75" s="1" t="n">
        <v>-3.7</v>
      </c>
      <c r="E75" s="2" t="n">
        <v>2.5</v>
      </c>
      <c r="F75" s="2" t="n">
        <v>75</v>
      </c>
      <c r="G75" s="2" t="n">
        <v>53.3</v>
      </c>
      <c r="H75" s="2" t="n">
        <v>-31.4</v>
      </c>
      <c r="I75" s="2" t="n">
        <v>-5.2</v>
      </c>
      <c r="J75" s="2" t="n">
        <v>16.58177062</v>
      </c>
    </row>
    <row r="76" customFormat="false" ht="15.8" hidden="false" customHeight="false" outlineLevel="0" collapsed="false">
      <c r="A76" s="1" t="n">
        <v>75</v>
      </c>
      <c r="B76" s="1" t="n">
        <v>53.3</v>
      </c>
      <c r="C76" s="1" t="n">
        <v>-31.4</v>
      </c>
      <c r="D76" s="1" t="n">
        <v>-5.2</v>
      </c>
      <c r="E76" s="2" t="n">
        <v>2.5</v>
      </c>
      <c r="F76" s="2" t="n">
        <v>74</v>
      </c>
      <c r="G76" s="2" t="n">
        <v>52.7</v>
      </c>
      <c r="H76" s="2" t="n">
        <v>-33.3</v>
      </c>
      <c r="I76" s="2" t="n">
        <v>-3.7</v>
      </c>
      <c r="J76" s="2" t="n">
        <v>16.09404601</v>
      </c>
    </row>
    <row r="77" customFormat="false" ht="15.8" hidden="false" customHeight="false" outlineLevel="0" collapsed="false">
      <c r="A77" s="1" t="n">
        <v>76</v>
      </c>
      <c r="B77" s="1" t="n">
        <v>53.5</v>
      </c>
      <c r="C77" s="1" t="n">
        <v>-29.9</v>
      </c>
      <c r="D77" s="1" t="n">
        <v>-2.2</v>
      </c>
      <c r="E77" s="2" t="n">
        <v>1.2</v>
      </c>
      <c r="F77" s="2" t="n">
        <v>77</v>
      </c>
      <c r="G77" s="2" t="n">
        <v>52.8</v>
      </c>
      <c r="H77" s="2" t="n">
        <v>-30.7</v>
      </c>
      <c r="I77" s="2" t="n">
        <v>-1.9</v>
      </c>
      <c r="J77" s="2" t="n">
        <v>19.44824714</v>
      </c>
    </row>
    <row r="78" customFormat="false" ht="15.8" hidden="false" customHeight="false" outlineLevel="0" collapsed="false">
      <c r="A78" s="1" t="n">
        <v>77</v>
      </c>
      <c r="B78" s="1" t="n">
        <v>52.8</v>
      </c>
      <c r="C78" s="1" t="n">
        <v>-30.7</v>
      </c>
      <c r="D78" s="1" t="n">
        <v>-1.9</v>
      </c>
      <c r="E78" s="2" t="n">
        <v>1</v>
      </c>
      <c r="F78" s="2" t="n">
        <v>79</v>
      </c>
      <c r="G78" s="2" t="n">
        <v>52.1</v>
      </c>
      <c r="H78" s="2" t="n">
        <v>-30.4</v>
      </c>
      <c r="I78" s="2" t="n">
        <v>-1.1</v>
      </c>
      <c r="J78" s="2" t="n">
        <v>19.30381613</v>
      </c>
    </row>
    <row r="79" customFormat="false" ht="15.8" hidden="false" customHeight="false" outlineLevel="0" collapsed="false">
      <c r="A79" s="1" t="n">
        <v>78</v>
      </c>
      <c r="B79" s="1" t="n">
        <v>53.5</v>
      </c>
      <c r="C79" s="1" t="n">
        <v>-27.8</v>
      </c>
      <c r="D79" s="1" t="n">
        <v>-0.7</v>
      </c>
      <c r="E79" s="2" t="n">
        <v>2.5</v>
      </c>
      <c r="F79" s="2" t="n">
        <v>76</v>
      </c>
      <c r="G79" s="2" t="n">
        <v>53.5</v>
      </c>
      <c r="H79" s="2" t="n">
        <v>-29.9</v>
      </c>
      <c r="I79" s="2" t="n">
        <v>-2.2</v>
      </c>
      <c r="J79" s="2" t="n">
        <v>21.81405778</v>
      </c>
    </row>
    <row r="80" customFormat="false" ht="15.8" hidden="false" customHeight="false" outlineLevel="0" collapsed="false">
      <c r="A80" s="1" t="n">
        <v>79</v>
      </c>
      <c r="B80" s="1" t="n">
        <v>52.1</v>
      </c>
      <c r="C80" s="1" t="n">
        <v>-30.4</v>
      </c>
      <c r="D80" s="1" t="n">
        <v>-1.1</v>
      </c>
      <c r="E80" s="2" t="n">
        <v>1</v>
      </c>
      <c r="F80" s="2" t="n">
        <v>77</v>
      </c>
      <c r="G80" s="2" t="n">
        <v>52.8</v>
      </c>
      <c r="H80" s="2" t="n">
        <v>-30.7</v>
      </c>
      <c r="I80" s="2" t="n">
        <v>-1.9</v>
      </c>
      <c r="J80" s="2" t="n">
        <v>20.15001531</v>
      </c>
    </row>
    <row r="81" customFormat="false" ht="15.8" hidden="false" customHeight="false" outlineLevel="0" collapsed="false">
      <c r="A81" s="1" t="n">
        <v>80</v>
      </c>
      <c r="B81" s="1" t="n">
        <v>50.1</v>
      </c>
      <c r="C81" s="1" t="n">
        <v>-32.5</v>
      </c>
      <c r="D81" s="1" t="n">
        <v>-4.4</v>
      </c>
      <c r="E81" s="2" t="n">
        <v>1.9</v>
      </c>
      <c r="F81" s="2" t="n">
        <v>81</v>
      </c>
      <c r="G81" s="2" t="n">
        <v>48.7</v>
      </c>
      <c r="H81" s="2" t="n">
        <v>-33</v>
      </c>
      <c r="I81" s="2" t="n">
        <v>-3.3</v>
      </c>
      <c r="J81" s="2" t="n">
        <v>16.41821906</v>
      </c>
    </row>
    <row r="82" customFormat="false" ht="15.8" hidden="false" customHeight="false" outlineLevel="0" collapsed="false">
      <c r="A82" s="1" t="n">
        <v>81</v>
      </c>
      <c r="B82" s="1" t="n">
        <v>48.7</v>
      </c>
      <c r="C82" s="1" t="n">
        <v>-33</v>
      </c>
      <c r="D82" s="1" t="n">
        <v>-3.3</v>
      </c>
      <c r="E82" s="2" t="n">
        <v>1.9</v>
      </c>
      <c r="F82" s="2" t="n">
        <v>80</v>
      </c>
      <c r="G82" s="2" t="n">
        <v>50.1</v>
      </c>
      <c r="H82" s="2" t="n">
        <v>-32.5</v>
      </c>
      <c r="I82" s="2" t="n">
        <v>-4.4</v>
      </c>
      <c r="J82" s="2" t="n">
        <v>17.45355886</v>
      </c>
    </row>
    <row r="83" customFormat="false" ht="15.8" hidden="false" customHeight="false" outlineLevel="0" collapsed="false">
      <c r="A83" s="1" t="n">
        <v>82</v>
      </c>
      <c r="B83" s="1" t="n">
        <v>51</v>
      </c>
      <c r="C83" s="1" t="n">
        <v>-33.8</v>
      </c>
      <c r="D83" s="1" t="n">
        <v>-7.8</v>
      </c>
      <c r="E83" s="2" t="n">
        <v>1.9</v>
      </c>
      <c r="F83" s="2" t="n">
        <v>71</v>
      </c>
      <c r="G83" s="2" t="n">
        <v>50.5</v>
      </c>
      <c r="H83" s="2" t="n">
        <v>-33.9</v>
      </c>
      <c r="I83" s="2" t="n">
        <v>-5.9</v>
      </c>
      <c r="J83" s="2" t="n">
        <v>12.70941844</v>
      </c>
    </row>
    <row r="84" customFormat="false" ht="15.8" hidden="false" customHeight="false" outlineLevel="0" collapsed="false">
      <c r="A84" s="1" t="n">
        <v>83</v>
      </c>
      <c r="B84" s="1" t="n">
        <v>46.3</v>
      </c>
      <c r="C84" s="1" t="n">
        <v>-43.7</v>
      </c>
      <c r="D84" s="1" t="n">
        <v>-19.2</v>
      </c>
      <c r="E84" s="2" t="n">
        <v>4</v>
      </c>
      <c r="F84" s="2" t="n">
        <v>5</v>
      </c>
      <c r="G84" s="2" t="n">
        <v>48.5</v>
      </c>
      <c r="H84" s="2" t="n">
        <v>-46.2</v>
      </c>
      <c r="I84" s="2" t="n">
        <v>-17</v>
      </c>
      <c r="J84" s="2" t="n">
        <v>7.384302066</v>
      </c>
    </row>
    <row r="85" customFormat="false" ht="15.8" hidden="false" customHeight="false" outlineLevel="0" collapsed="false">
      <c r="A85" s="1" t="n">
        <v>84</v>
      </c>
      <c r="B85" s="1" t="n">
        <v>50.7</v>
      </c>
      <c r="C85" s="1" t="n">
        <v>-50.7</v>
      </c>
      <c r="D85" s="1" t="n">
        <v>-25.2</v>
      </c>
      <c r="E85" s="2" t="n">
        <v>6.5</v>
      </c>
      <c r="F85" s="2" t="n">
        <v>85</v>
      </c>
      <c r="G85" s="2" t="n">
        <v>52</v>
      </c>
      <c r="H85" s="2" t="n">
        <v>-56.9</v>
      </c>
      <c r="I85" s="2" t="n">
        <v>-23.7</v>
      </c>
      <c r="J85" s="2" t="n">
        <v>12.87182648</v>
      </c>
    </row>
    <row r="86" customFormat="false" ht="15.8" hidden="false" customHeight="false" outlineLevel="0" collapsed="false">
      <c r="A86" s="1" t="n">
        <v>85</v>
      </c>
      <c r="B86" s="1" t="n">
        <v>52</v>
      </c>
      <c r="C86" s="1" t="n">
        <v>-56.9</v>
      </c>
      <c r="D86" s="1" t="n">
        <v>-23.7</v>
      </c>
      <c r="E86" s="2" t="n">
        <v>1.1</v>
      </c>
      <c r="F86" s="2" t="n">
        <v>86</v>
      </c>
      <c r="G86" s="2" t="n">
        <v>51.5</v>
      </c>
      <c r="H86" s="2" t="n">
        <v>-57.4</v>
      </c>
      <c r="I86" s="2" t="n">
        <v>-24.4</v>
      </c>
      <c r="J86" s="2" t="n">
        <v>18.00448047</v>
      </c>
    </row>
    <row r="87" customFormat="false" ht="15.8" hidden="false" customHeight="false" outlineLevel="0" collapsed="false">
      <c r="A87" s="1" t="n">
        <v>86</v>
      </c>
      <c r="B87" s="1" t="n">
        <v>51.5</v>
      </c>
      <c r="C87" s="1" t="n">
        <v>-57.4</v>
      </c>
      <c r="D87" s="1" t="n">
        <v>-24.4</v>
      </c>
      <c r="E87" s="2" t="n">
        <v>1.1</v>
      </c>
      <c r="F87" s="2" t="n">
        <v>85</v>
      </c>
      <c r="G87" s="2" t="n">
        <v>52</v>
      </c>
      <c r="H87" s="2" t="n">
        <v>-56.9</v>
      </c>
      <c r="I87" s="2" t="n">
        <v>-23.7</v>
      </c>
      <c r="J87" s="2" t="n">
        <v>18.69221006</v>
      </c>
    </row>
    <row r="88" customFormat="false" ht="15.8" hidden="false" customHeight="false" outlineLevel="0" collapsed="false">
      <c r="A88" s="1" t="n">
        <v>87</v>
      </c>
      <c r="B88" s="1" t="n">
        <v>51.1</v>
      </c>
      <c r="C88" s="1" t="n">
        <v>-59.2</v>
      </c>
      <c r="D88" s="1" t="n">
        <v>-22.9</v>
      </c>
      <c r="E88" s="2" t="n">
        <v>2.3</v>
      </c>
      <c r="F88" s="2" t="n">
        <v>86</v>
      </c>
      <c r="G88" s="2" t="n">
        <v>51.5</v>
      </c>
      <c r="H88" s="2" t="n">
        <v>-57.4</v>
      </c>
      <c r="I88" s="2" t="n">
        <v>-24.4</v>
      </c>
      <c r="J88" s="2" t="n">
        <v>20.10463422</v>
      </c>
    </row>
    <row r="89" customFormat="false" ht="15.8" hidden="false" customHeight="false" outlineLevel="0" collapsed="false">
      <c r="A89" s="1" t="n">
        <v>88</v>
      </c>
      <c r="B89" s="1" t="n">
        <v>40.1</v>
      </c>
      <c r="C89" s="1" t="n">
        <v>-54.5</v>
      </c>
      <c r="D89" s="1" t="n">
        <v>-24.8</v>
      </c>
      <c r="E89" s="2" t="n">
        <v>2</v>
      </c>
      <c r="F89" s="2" t="n">
        <v>89</v>
      </c>
      <c r="G89" s="2" t="n">
        <v>38.8</v>
      </c>
      <c r="H89" s="2" t="n">
        <v>-53.1</v>
      </c>
      <c r="I89" s="2" t="n">
        <v>-25.5</v>
      </c>
      <c r="J89" s="2" t="n">
        <v>20.20749161</v>
      </c>
    </row>
    <row r="90" customFormat="false" ht="15.8" hidden="false" customHeight="false" outlineLevel="0" collapsed="false">
      <c r="A90" s="1" t="n">
        <v>89</v>
      </c>
      <c r="B90" s="1" t="n">
        <v>38.8</v>
      </c>
      <c r="C90" s="1" t="n">
        <v>-53.1</v>
      </c>
      <c r="D90" s="1" t="n">
        <v>-25.5</v>
      </c>
      <c r="E90" s="2" t="n">
        <v>2</v>
      </c>
      <c r="F90" s="2" t="n">
        <v>88</v>
      </c>
      <c r="G90" s="2" t="n">
        <v>40.1</v>
      </c>
      <c r="H90" s="2" t="n">
        <v>-54.5</v>
      </c>
      <c r="I90" s="2" t="n">
        <v>-24.8</v>
      </c>
      <c r="J90" s="2" t="n">
        <v>20.25895646</v>
      </c>
    </row>
    <row r="91" customFormat="false" ht="15.8" hidden="false" customHeight="false" outlineLevel="0" collapsed="false">
      <c r="A91" s="1" t="n">
        <v>90</v>
      </c>
      <c r="B91" s="1" t="n">
        <v>44.4</v>
      </c>
      <c r="C91" s="1" t="n">
        <v>-51.6</v>
      </c>
      <c r="D91" s="1" t="n">
        <v>-21.5</v>
      </c>
      <c r="E91" s="2" t="n">
        <v>5.8</v>
      </c>
      <c r="F91" s="2" t="n">
        <v>9</v>
      </c>
      <c r="G91" s="2" t="n">
        <v>40.7</v>
      </c>
      <c r="H91" s="2" t="n">
        <v>-51.2</v>
      </c>
      <c r="I91" s="2" t="n">
        <v>-17</v>
      </c>
      <c r="J91" s="2" t="n">
        <v>14.6901095</v>
      </c>
    </row>
    <row r="92" customFormat="false" ht="15.8" hidden="false" customHeight="false" outlineLevel="0" collapsed="false">
      <c r="A92" s="1" t="n">
        <v>91</v>
      </c>
      <c r="B92" s="1" t="n">
        <v>58</v>
      </c>
      <c r="C92" s="1" t="n">
        <v>-36.8</v>
      </c>
      <c r="D92" s="1" t="n">
        <v>-16.6</v>
      </c>
      <c r="E92" s="2" t="n">
        <v>1.6</v>
      </c>
      <c r="F92" s="2" t="n">
        <v>92</v>
      </c>
      <c r="G92" s="2" t="n">
        <v>57.7</v>
      </c>
      <c r="H92" s="2" t="n">
        <v>-37.3</v>
      </c>
      <c r="I92" s="2" t="n">
        <v>-15.2</v>
      </c>
      <c r="J92" s="2" t="n">
        <v>6.713636645</v>
      </c>
    </row>
    <row r="93" customFormat="false" ht="15.8" hidden="false" customHeight="false" outlineLevel="0" collapsed="false">
      <c r="A93" s="1" t="n">
        <v>92</v>
      </c>
      <c r="B93" s="1" t="n">
        <v>57.7</v>
      </c>
      <c r="C93" s="1" t="n">
        <v>-37.3</v>
      </c>
      <c r="D93" s="1" t="n">
        <v>-15.2</v>
      </c>
      <c r="E93" s="2" t="n">
        <v>1.6</v>
      </c>
      <c r="F93" s="2" t="n">
        <v>91</v>
      </c>
      <c r="G93" s="2" t="n">
        <v>58</v>
      </c>
      <c r="H93" s="2" t="n">
        <v>-36.8</v>
      </c>
      <c r="I93" s="2" t="n">
        <v>-16.6</v>
      </c>
      <c r="J93" s="2" t="n">
        <v>6.94414264</v>
      </c>
    </row>
    <row r="94" customFormat="false" ht="15.8" hidden="false" customHeight="false" outlineLevel="0" collapsed="false">
      <c r="A94" s="1" t="n">
        <v>93</v>
      </c>
      <c r="B94" s="1" t="n">
        <v>55.9</v>
      </c>
      <c r="C94" s="1" t="n">
        <v>-34.8</v>
      </c>
      <c r="D94" s="1" t="n">
        <v>-13.7</v>
      </c>
      <c r="E94" s="2" t="n">
        <v>0.8</v>
      </c>
      <c r="F94" s="2" t="n">
        <v>251</v>
      </c>
      <c r="G94" s="2" t="n">
        <v>56.1</v>
      </c>
      <c r="H94" s="2" t="n">
        <v>-34.9</v>
      </c>
      <c r="I94" s="2" t="n">
        <v>-12.9</v>
      </c>
      <c r="J94" s="2" t="n">
        <v>7.964491007</v>
      </c>
    </row>
    <row r="95" customFormat="false" ht="15.8" hidden="false" customHeight="false" outlineLevel="0" collapsed="false">
      <c r="A95" s="1" t="n">
        <v>94</v>
      </c>
      <c r="B95" s="1" t="n">
        <v>56.4</v>
      </c>
      <c r="C95" s="1" t="n">
        <v>-34.1</v>
      </c>
      <c r="D95" s="1" t="n">
        <v>-13.3</v>
      </c>
      <c r="E95" s="2" t="n">
        <v>1</v>
      </c>
      <c r="F95" s="2" t="n">
        <v>93</v>
      </c>
      <c r="G95" s="2" t="n">
        <v>55.9</v>
      </c>
      <c r="H95" s="2" t="n">
        <v>-34.8</v>
      </c>
      <c r="I95" s="2" t="n">
        <v>-13.7</v>
      </c>
      <c r="J95" s="2" t="n">
        <v>8.873720584</v>
      </c>
    </row>
    <row r="96" customFormat="false" ht="15.8" hidden="false" customHeight="false" outlineLevel="0" collapsed="false">
      <c r="A96" s="1" t="n">
        <v>95</v>
      </c>
      <c r="B96" s="1" t="n">
        <v>58.5</v>
      </c>
      <c r="C96" s="1" t="n">
        <v>-34.3</v>
      </c>
      <c r="D96" s="1" t="n">
        <v>-14.4</v>
      </c>
      <c r="E96" s="2" t="n">
        <v>1.6</v>
      </c>
      <c r="F96" s="2" t="n">
        <v>97</v>
      </c>
      <c r="G96" s="2" t="n">
        <v>57</v>
      </c>
      <c r="H96" s="2" t="n">
        <v>-34.1</v>
      </c>
      <c r="I96" s="2" t="n">
        <v>-14.8</v>
      </c>
      <c r="J96" s="2" t="n">
        <v>9.297500578</v>
      </c>
    </row>
    <row r="97" customFormat="false" ht="15.8" hidden="false" customHeight="false" outlineLevel="0" collapsed="false">
      <c r="A97" s="1" t="n">
        <v>96</v>
      </c>
      <c r="B97" s="1" t="n">
        <v>56.8</v>
      </c>
      <c r="C97" s="1" t="n">
        <v>-32.1</v>
      </c>
      <c r="D97" s="1" t="n">
        <v>-14.8</v>
      </c>
      <c r="E97" s="2" t="n">
        <v>2</v>
      </c>
      <c r="F97" s="2" t="n">
        <v>97</v>
      </c>
      <c r="G97" s="2" t="n">
        <v>57</v>
      </c>
      <c r="H97" s="2" t="n">
        <v>-34.1</v>
      </c>
      <c r="I97" s="2" t="n">
        <v>-14.8</v>
      </c>
      <c r="J97" s="2" t="n">
        <v>9.626365721</v>
      </c>
    </row>
    <row r="98" customFormat="false" ht="15.8" hidden="false" customHeight="false" outlineLevel="0" collapsed="false">
      <c r="A98" s="1" t="n">
        <v>97</v>
      </c>
      <c r="B98" s="1" t="n">
        <v>57</v>
      </c>
      <c r="C98" s="1" t="n">
        <v>-34.1</v>
      </c>
      <c r="D98" s="1" t="n">
        <v>-14.8</v>
      </c>
      <c r="E98" s="2" t="n">
        <v>1.6</v>
      </c>
      <c r="F98" s="2" t="n">
        <v>95</v>
      </c>
      <c r="G98" s="2" t="n">
        <v>58.5</v>
      </c>
      <c r="H98" s="2" t="n">
        <v>-34.3</v>
      </c>
      <c r="I98" s="2" t="n">
        <v>-14.4</v>
      </c>
      <c r="J98" s="2" t="n">
        <v>8.298247827</v>
      </c>
    </row>
    <row r="99" customFormat="false" ht="15.8" hidden="false" customHeight="false" outlineLevel="0" collapsed="false">
      <c r="A99" s="1" t="n">
        <v>98</v>
      </c>
      <c r="B99" s="1" t="n">
        <v>57</v>
      </c>
      <c r="C99" s="1" t="n">
        <v>-29.9</v>
      </c>
      <c r="D99" s="1" t="n">
        <v>-14.4</v>
      </c>
      <c r="E99" s="2" t="n">
        <v>2.3</v>
      </c>
      <c r="F99" s="2" t="n">
        <v>96</v>
      </c>
      <c r="G99" s="2" t="n">
        <v>56.8</v>
      </c>
      <c r="H99" s="2" t="n">
        <v>-32.1</v>
      </c>
      <c r="I99" s="2" t="n">
        <v>-14.8</v>
      </c>
      <c r="J99" s="2" t="n">
        <v>11.63931772</v>
      </c>
    </row>
    <row r="100" customFormat="false" ht="15.8" hidden="false" customHeight="false" outlineLevel="0" collapsed="false">
      <c r="A100" s="1" t="n">
        <v>99</v>
      </c>
      <c r="B100" s="1" t="n">
        <v>58.3</v>
      </c>
      <c r="C100" s="1" t="n">
        <v>-29.5</v>
      </c>
      <c r="D100" s="1" t="n">
        <v>-16.6</v>
      </c>
      <c r="E100" s="2" t="n">
        <v>2.6</v>
      </c>
      <c r="F100" s="2" t="n">
        <v>98</v>
      </c>
      <c r="G100" s="2" t="n">
        <v>57</v>
      </c>
      <c r="H100" s="2" t="n">
        <v>-29.9</v>
      </c>
      <c r="I100" s="2" t="n">
        <v>-14.4</v>
      </c>
      <c r="J100" s="2" t="n">
        <v>11.88723336</v>
      </c>
    </row>
    <row r="101" customFormat="false" ht="15.8" hidden="false" customHeight="false" outlineLevel="0" collapsed="false">
      <c r="A101" s="1" t="n">
        <v>100</v>
      </c>
      <c r="B101" s="1" t="n">
        <v>62.4</v>
      </c>
      <c r="C101" s="1" t="n">
        <v>-29</v>
      </c>
      <c r="D101" s="1" t="n">
        <v>-14.8</v>
      </c>
      <c r="E101" s="2" t="n">
        <v>1</v>
      </c>
      <c r="F101" s="2" t="n">
        <v>101</v>
      </c>
      <c r="G101" s="2" t="n">
        <v>62.5</v>
      </c>
      <c r="H101" s="2" t="n">
        <v>-28.1</v>
      </c>
      <c r="I101" s="2" t="n">
        <v>-15.2</v>
      </c>
      <c r="J101" s="2" t="n">
        <v>15.1361064</v>
      </c>
    </row>
    <row r="102" customFormat="false" ht="15.8" hidden="false" customHeight="false" outlineLevel="0" collapsed="false">
      <c r="A102" s="1" t="n">
        <v>101</v>
      </c>
      <c r="B102" s="1" t="n">
        <v>62.5</v>
      </c>
      <c r="C102" s="1" t="n">
        <v>-28.1</v>
      </c>
      <c r="D102" s="1" t="n">
        <v>-15.2</v>
      </c>
      <c r="E102" s="2" t="n">
        <v>1</v>
      </c>
      <c r="F102" s="2" t="n">
        <v>100</v>
      </c>
      <c r="G102" s="2" t="n">
        <v>62.4</v>
      </c>
      <c r="H102" s="2" t="n">
        <v>-29</v>
      </c>
      <c r="I102" s="2" t="n">
        <v>-14.8</v>
      </c>
      <c r="J102" s="2" t="n">
        <v>15.73450721</v>
      </c>
    </row>
    <row r="103" customFormat="false" ht="15.8" hidden="false" customHeight="false" outlineLevel="0" collapsed="false">
      <c r="A103" s="1" t="n">
        <v>102</v>
      </c>
      <c r="B103" s="1" t="n">
        <v>62.3</v>
      </c>
      <c r="C103" s="1" t="n">
        <v>-28.7</v>
      </c>
      <c r="D103" s="1" t="n">
        <v>-12.9</v>
      </c>
      <c r="E103" s="2" t="n">
        <v>1.3</v>
      </c>
      <c r="F103" s="2" t="n">
        <v>108</v>
      </c>
      <c r="G103" s="2" t="n">
        <v>61.7</v>
      </c>
      <c r="H103" s="2" t="n">
        <v>-29.6</v>
      </c>
      <c r="I103" s="2" t="n">
        <v>-12.2</v>
      </c>
      <c r="J103" s="2" t="n">
        <v>15.91698203</v>
      </c>
    </row>
    <row r="104" customFormat="false" ht="15.8" hidden="false" customHeight="false" outlineLevel="0" collapsed="false">
      <c r="A104" s="1" t="n">
        <v>103</v>
      </c>
      <c r="B104" s="1" t="n">
        <v>67.2</v>
      </c>
      <c r="C104" s="1" t="n">
        <v>-26.5</v>
      </c>
      <c r="D104" s="1" t="n">
        <v>-17</v>
      </c>
      <c r="E104" s="2" t="n">
        <v>2.7</v>
      </c>
      <c r="F104" s="2" t="n">
        <v>104</v>
      </c>
      <c r="G104" s="2" t="n">
        <v>68.8</v>
      </c>
      <c r="H104" s="2" t="n">
        <v>-26.5</v>
      </c>
      <c r="I104" s="2" t="n">
        <v>-14.8</v>
      </c>
      <c r="J104" s="2" t="n">
        <v>19.82892123</v>
      </c>
    </row>
    <row r="105" customFormat="false" ht="15.8" hidden="false" customHeight="false" outlineLevel="0" collapsed="false">
      <c r="A105" s="1" t="n">
        <v>104</v>
      </c>
      <c r="B105" s="1" t="n">
        <v>68.8</v>
      </c>
      <c r="C105" s="1" t="n">
        <v>-26.5</v>
      </c>
      <c r="D105" s="1" t="n">
        <v>-14.8</v>
      </c>
      <c r="E105" s="2" t="n">
        <v>2.7</v>
      </c>
      <c r="F105" s="2" t="n">
        <v>103</v>
      </c>
      <c r="G105" s="2" t="n">
        <v>67.2</v>
      </c>
      <c r="H105" s="2" t="n">
        <v>-26.5</v>
      </c>
      <c r="I105" s="2" t="n">
        <v>-17</v>
      </c>
      <c r="J105" s="2" t="n">
        <v>21.38110654</v>
      </c>
    </row>
    <row r="106" customFormat="false" ht="15.8" hidden="false" customHeight="false" outlineLevel="0" collapsed="false">
      <c r="A106" s="1" t="n">
        <v>105</v>
      </c>
      <c r="B106" s="1" t="n">
        <v>72</v>
      </c>
      <c r="C106" s="1" t="n">
        <v>-29.9</v>
      </c>
      <c r="D106" s="1" t="n">
        <v>-14.4</v>
      </c>
      <c r="E106" s="2" t="n">
        <v>2.8</v>
      </c>
      <c r="F106" s="2" t="n">
        <v>106</v>
      </c>
      <c r="G106" s="2" t="n">
        <v>71.3</v>
      </c>
      <c r="H106" s="2" t="n">
        <v>-32.6</v>
      </c>
      <c r="I106" s="2" t="n">
        <v>-14.4</v>
      </c>
      <c r="J106" s="2" t="n">
        <v>22.34331482</v>
      </c>
    </row>
    <row r="107" customFormat="false" ht="15.8" hidden="false" customHeight="false" outlineLevel="0" collapsed="false">
      <c r="A107" s="1" t="n">
        <v>106</v>
      </c>
      <c r="B107" s="1" t="n">
        <v>71.3</v>
      </c>
      <c r="C107" s="1" t="n">
        <v>-32.6</v>
      </c>
      <c r="D107" s="1" t="n">
        <v>-14.4</v>
      </c>
      <c r="E107" s="2" t="n">
        <v>2.8</v>
      </c>
      <c r="F107" s="2" t="n">
        <v>105</v>
      </c>
      <c r="G107" s="2" t="n">
        <v>72</v>
      </c>
      <c r="H107" s="2" t="n">
        <v>-29.9</v>
      </c>
      <c r="I107" s="2" t="n">
        <v>-14.4</v>
      </c>
      <c r="J107" s="2" t="n">
        <v>20.68011405</v>
      </c>
    </row>
    <row r="108" customFormat="false" ht="15.8" hidden="false" customHeight="false" outlineLevel="0" collapsed="false">
      <c r="A108" s="1" t="n">
        <v>107</v>
      </c>
      <c r="B108" s="1" t="n">
        <v>63.5</v>
      </c>
      <c r="C108" s="1" t="n">
        <v>-29.8</v>
      </c>
      <c r="D108" s="1" t="n">
        <v>-11.5</v>
      </c>
      <c r="E108" s="2" t="n">
        <v>2</v>
      </c>
      <c r="F108" s="2" t="n">
        <v>108</v>
      </c>
      <c r="G108" s="2" t="n">
        <v>61.7</v>
      </c>
      <c r="H108" s="2" t="n">
        <v>-29.6</v>
      </c>
      <c r="I108" s="2" t="n">
        <v>-12.2</v>
      </c>
      <c r="J108" s="2" t="n">
        <v>16.59212816</v>
      </c>
    </row>
    <row r="109" customFormat="false" ht="15.8" hidden="false" customHeight="false" outlineLevel="0" collapsed="false">
      <c r="A109" s="1" t="n">
        <v>108</v>
      </c>
      <c r="B109" s="1" t="n">
        <v>61.7</v>
      </c>
      <c r="C109" s="1" t="n">
        <v>-29.6</v>
      </c>
      <c r="D109" s="1" t="n">
        <v>-12.2</v>
      </c>
      <c r="E109" s="2" t="n">
        <v>0.7</v>
      </c>
      <c r="F109" s="2" t="n">
        <v>111</v>
      </c>
      <c r="G109" s="2" t="n">
        <v>61.4</v>
      </c>
      <c r="H109" s="2" t="n">
        <v>-29.1</v>
      </c>
      <c r="I109" s="2" t="n">
        <v>-11.8</v>
      </c>
      <c r="J109" s="2" t="n">
        <v>15.24128331</v>
      </c>
    </row>
    <row r="110" customFormat="false" ht="15.8" hidden="false" customHeight="false" outlineLevel="0" collapsed="false">
      <c r="A110" s="1" t="n">
        <v>109</v>
      </c>
      <c r="B110" s="1" t="n">
        <v>66.5</v>
      </c>
      <c r="C110" s="1" t="n">
        <v>-23.9</v>
      </c>
      <c r="D110" s="1" t="n">
        <v>-14.4</v>
      </c>
      <c r="E110" s="2" t="n">
        <v>3.5</v>
      </c>
      <c r="F110" s="2" t="n">
        <v>104</v>
      </c>
      <c r="G110" s="2" t="n">
        <v>68.8</v>
      </c>
      <c r="H110" s="2" t="n">
        <v>-26.5</v>
      </c>
      <c r="I110" s="2" t="n">
        <v>-14.8</v>
      </c>
      <c r="J110" s="2" t="n">
        <v>21.5603042</v>
      </c>
    </row>
    <row r="111" customFormat="false" ht="15.8" hidden="false" customHeight="false" outlineLevel="0" collapsed="false">
      <c r="A111" s="1" t="n">
        <v>110</v>
      </c>
      <c r="B111" s="1" t="n">
        <v>63.9</v>
      </c>
      <c r="C111" s="1" t="n">
        <v>-24.8</v>
      </c>
      <c r="D111" s="1" t="n">
        <v>-11.5</v>
      </c>
      <c r="E111" s="2" t="n">
        <v>4</v>
      </c>
      <c r="F111" s="2" t="n">
        <v>109</v>
      </c>
      <c r="G111" s="2" t="n">
        <v>66.5</v>
      </c>
      <c r="H111" s="2" t="n">
        <v>-23.9</v>
      </c>
      <c r="I111" s="2" t="n">
        <v>-14.4</v>
      </c>
      <c r="J111" s="2" t="n">
        <v>20.15933325</v>
      </c>
    </row>
    <row r="112" customFormat="false" ht="15.8" hidden="false" customHeight="false" outlineLevel="0" collapsed="false">
      <c r="A112" s="1" t="n">
        <v>111</v>
      </c>
      <c r="B112" s="1" t="n">
        <v>61.4</v>
      </c>
      <c r="C112" s="1" t="n">
        <v>-29.1</v>
      </c>
      <c r="D112" s="1" t="n">
        <v>-11.8</v>
      </c>
      <c r="E112" s="2" t="n">
        <v>0.7</v>
      </c>
      <c r="F112" s="2" t="n">
        <v>108</v>
      </c>
      <c r="G112" s="2" t="n">
        <v>61.7</v>
      </c>
      <c r="H112" s="2" t="n">
        <v>-29.6</v>
      </c>
      <c r="I112" s="2" t="n">
        <v>-12.2</v>
      </c>
      <c r="J112" s="2" t="n">
        <v>15.57577982</v>
      </c>
    </row>
    <row r="113" customFormat="false" ht="15.8" hidden="false" customHeight="false" outlineLevel="0" collapsed="false">
      <c r="A113" s="1" t="n">
        <v>112</v>
      </c>
      <c r="B113" s="1" t="n">
        <v>59.2</v>
      </c>
      <c r="C113" s="1" t="n">
        <v>-32.5</v>
      </c>
      <c r="D113" s="1" t="n">
        <v>-10.7</v>
      </c>
      <c r="E113" s="2" t="n">
        <v>1.5</v>
      </c>
      <c r="F113" s="2" t="n">
        <v>113</v>
      </c>
      <c r="G113" s="2" t="n">
        <v>59</v>
      </c>
      <c r="H113" s="2" t="n">
        <v>-31.6</v>
      </c>
      <c r="I113" s="2" t="n">
        <v>-9.6</v>
      </c>
      <c r="J113" s="2" t="n">
        <v>12.87480163</v>
      </c>
    </row>
    <row r="114" customFormat="false" ht="15.8" hidden="false" customHeight="false" outlineLevel="0" collapsed="false">
      <c r="A114" s="1" t="n">
        <v>113</v>
      </c>
      <c r="B114" s="1" t="n">
        <v>59</v>
      </c>
      <c r="C114" s="1" t="n">
        <v>-31.6</v>
      </c>
      <c r="D114" s="1" t="n">
        <v>-9.6</v>
      </c>
      <c r="E114" s="2" t="n">
        <v>1</v>
      </c>
      <c r="F114" s="2" t="n">
        <v>255</v>
      </c>
      <c r="G114" s="2" t="n">
        <v>58.1</v>
      </c>
      <c r="H114" s="2" t="n">
        <v>-31.4</v>
      </c>
      <c r="I114" s="2" t="n">
        <v>-9.2</v>
      </c>
      <c r="J114" s="2" t="n">
        <v>14.00430352</v>
      </c>
    </row>
    <row r="115" customFormat="false" ht="15.8" hidden="false" customHeight="false" outlineLevel="0" collapsed="false">
      <c r="A115" s="1" t="n">
        <v>114</v>
      </c>
      <c r="B115" s="1" t="n">
        <v>54.1</v>
      </c>
      <c r="C115" s="1" t="n">
        <v>-34.6</v>
      </c>
      <c r="D115" s="1" t="n">
        <v>-15.9</v>
      </c>
      <c r="E115" s="2" t="n">
        <v>1.3</v>
      </c>
      <c r="F115" s="2" t="n">
        <v>331</v>
      </c>
      <c r="G115" s="2" t="n">
        <v>53</v>
      </c>
      <c r="H115" s="2" t="n">
        <v>-34</v>
      </c>
      <c r="I115" s="2" t="n">
        <v>-15.5</v>
      </c>
      <c r="J115" s="2" t="n">
        <v>6.090904448</v>
      </c>
    </row>
    <row r="116" customFormat="false" ht="15.8" hidden="false" customHeight="false" outlineLevel="0" collapsed="false">
      <c r="A116" s="1" t="n">
        <v>115</v>
      </c>
      <c r="B116" s="1" t="n">
        <v>58.6</v>
      </c>
      <c r="C116" s="1" t="n">
        <v>-45.4</v>
      </c>
      <c r="D116" s="1" t="n">
        <v>-18.9</v>
      </c>
      <c r="E116" s="2" t="n">
        <v>1.9</v>
      </c>
      <c r="F116" s="2" t="n">
        <v>118</v>
      </c>
      <c r="G116" s="2" t="n">
        <v>59.6</v>
      </c>
      <c r="H116" s="2" t="n">
        <v>-44.8</v>
      </c>
      <c r="I116" s="2" t="n">
        <v>-20.4</v>
      </c>
      <c r="J116" s="2" t="n">
        <v>8.575763348</v>
      </c>
    </row>
    <row r="117" customFormat="false" ht="15.8" hidden="false" customHeight="false" outlineLevel="0" collapsed="false">
      <c r="A117" s="1" t="n">
        <v>116</v>
      </c>
      <c r="B117" s="1" t="n">
        <v>59.6</v>
      </c>
      <c r="C117" s="1" t="n">
        <v>-47</v>
      </c>
      <c r="D117" s="1" t="n">
        <v>-15.2</v>
      </c>
      <c r="E117" s="2" t="n">
        <v>0.5</v>
      </c>
      <c r="F117" s="2" t="n">
        <v>248</v>
      </c>
      <c r="G117" s="2" t="n">
        <v>59.1</v>
      </c>
      <c r="H117" s="2" t="n">
        <v>-47</v>
      </c>
      <c r="I117" s="2" t="n">
        <v>-15.2</v>
      </c>
      <c r="J117" s="2" t="n">
        <v>11.10848851</v>
      </c>
    </row>
    <row r="118" customFormat="false" ht="15.8" hidden="false" customHeight="false" outlineLevel="0" collapsed="false">
      <c r="A118" s="1" t="n">
        <v>117</v>
      </c>
      <c r="B118" s="1" t="n">
        <v>60.6</v>
      </c>
      <c r="C118" s="1" t="n">
        <v>-45.4</v>
      </c>
      <c r="D118" s="1" t="n">
        <v>-17.8</v>
      </c>
      <c r="E118" s="2" t="n">
        <v>1.7</v>
      </c>
      <c r="F118" s="2" t="n">
        <v>119</v>
      </c>
      <c r="G118" s="2" t="n">
        <v>61.6</v>
      </c>
      <c r="H118" s="2" t="n">
        <v>-44.2</v>
      </c>
      <c r="I118" s="2" t="n">
        <v>-18.5</v>
      </c>
      <c r="J118" s="2" t="n">
        <v>10.19982926</v>
      </c>
    </row>
    <row r="119" customFormat="false" ht="15.8" hidden="false" customHeight="false" outlineLevel="0" collapsed="false">
      <c r="A119" s="1" t="n">
        <v>118</v>
      </c>
      <c r="B119" s="1" t="n">
        <v>59.6</v>
      </c>
      <c r="C119" s="1" t="n">
        <v>-44.8</v>
      </c>
      <c r="D119" s="1" t="n">
        <v>-20.4</v>
      </c>
      <c r="E119" s="2" t="n">
        <v>1.1</v>
      </c>
      <c r="F119" s="2" t="n">
        <v>142</v>
      </c>
      <c r="G119" s="2" t="n">
        <v>59.3</v>
      </c>
      <c r="H119" s="2" t="n">
        <v>-44</v>
      </c>
      <c r="I119" s="2" t="n">
        <v>-21.1</v>
      </c>
      <c r="J119" s="2" t="n">
        <v>9.055744972</v>
      </c>
    </row>
    <row r="120" customFormat="false" ht="15.8" hidden="false" customHeight="false" outlineLevel="0" collapsed="false">
      <c r="A120" s="1" t="n">
        <v>119</v>
      </c>
      <c r="B120" s="1" t="n">
        <v>61.6</v>
      </c>
      <c r="C120" s="1" t="n">
        <v>-44.2</v>
      </c>
      <c r="D120" s="1" t="n">
        <v>-18.5</v>
      </c>
      <c r="E120" s="2" t="n">
        <v>1.5</v>
      </c>
      <c r="F120" s="2" t="n">
        <v>143</v>
      </c>
      <c r="G120" s="2" t="n">
        <v>62.1</v>
      </c>
      <c r="H120" s="2" t="n">
        <v>-44</v>
      </c>
      <c r="I120" s="2" t="n">
        <v>-20</v>
      </c>
      <c r="J120" s="2" t="n">
        <v>10.36737754</v>
      </c>
    </row>
    <row r="121" customFormat="false" ht="15.8" hidden="false" customHeight="false" outlineLevel="0" collapsed="false">
      <c r="A121" s="1" t="n">
        <v>120</v>
      </c>
      <c r="B121" s="1" t="n">
        <v>65.3</v>
      </c>
      <c r="C121" s="1" t="n">
        <v>-47</v>
      </c>
      <c r="D121" s="1" t="n">
        <v>-14.8</v>
      </c>
      <c r="E121" s="2" t="n">
        <v>0.8</v>
      </c>
      <c r="F121" s="2" t="n">
        <v>123</v>
      </c>
      <c r="G121" s="2" t="n">
        <v>65.4</v>
      </c>
      <c r="H121" s="2" t="n">
        <v>-46.9</v>
      </c>
      <c r="I121" s="2" t="n">
        <v>-15.5</v>
      </c>
      <c r="J121" s="2" t="n">
        <v>15.54067943</v>
      </c>
    </row>
    <row r="122" customFormat="false" ht="15.8" hidden="false" customHeight="false" outlineLevel="0" collapsed="false">
      <c r="A122" s="1" t="n">
        <v>121</v>
      </c>
      <c r="B122" s="1" t="n">
        <v>65.3</v>
      </c>
      <c r="C122" s="1" t="n">
        <v>-48.2</v>
      </c>
      <c r="D122" s="1" t="n">
        <v>-14.1</v>
      </c>
      <c r="E122" s="2" t="n">
        <v>1.4</v>
      </c>
      <c r="F122" s="2" t="n">
        <v>120</v>
      </c>
      <c r="G122" s="2" t="n">
        <v>65.3</v>
      </c>
      <c r="H122" s="2" t="n">
        <v>-47</v>
      </c>
      <c r="I122" s="2" t="n">
        <v>-14.8</v>
      </c>
      <c r="J122" s="2" t="n">
        <v>16.352881</v>
      </c>
    </row>
    <row r="123" customFormat="false" ht="15.8" hidden="false" customHeight="false" outlineLevel="0" collapsed="false">
      <c r="A123" s="1" t="n">
        <v>122</v>
      </c>
      <c r="B123" s="1" t="n">
        <v>68.8</v>
      </c>
      <c r="C123" s="1" t="n">
        <v>-50.5</v>
      </c>
      <c r="D123" s="1" t="n">
        <v>-8.9</v>
      </c>
      <c r="E123" s="2" t="n">
        <v>6.6</v>
      </c>
      <c r="F123" s="2" t="n">
        <v>121</v>
      </c>
      <c r="G123" s="2" t="n">
        <v>65.3</v>
      </c>
      <c r="H123" s="2" t="n">
        <v>-48.2</v>
      </c>
      <c r="I123" s="2" t="n">
        <v>-14.1</v>
      </c>
      <c r="J123" s="2" t="n">
        <v>22.23067514</v>
      </c>
    </row>
    <row r="124" customFormat="false" ht="15.8" hidden="false" customHeight="false" outlineLevel="0" collapsed="false">
      <c r="A124" s="1" t="n">
        <v>123</v>
      </c>
      <c r="B124" s="1" t="n">
        <v>65.4</v>
      </c>
      <c r="C124" s="1" t="n">
        <v>-46.9</v>
      </c>
      <c r="D124" s="1" t="n">
        <v>-15.5</v>
      </c>
      <c r="E124" s="2" t="n">
        <v>0.8</v>
      </c>
      <c r="F124" s="2" t="n">
        <v>120</v>
      </c>
      <c r="G124" s="2" t="n">
        <v>65.3</v>
      </c>
      <c r="H124" s="2" t="n">
        <v>-47</v>
      </c>
      <c r="I124" s="2" t="n">
        <v>-14.8</v>
      </c>
      <c r="J124" s="2" t="n">
        <v>15.3988609</v>
      </c>
    </row>
    <row r="125" customFormat="false" ht="15.8" hidden="false" customHeight="false" outlineLevel="0" collapsed="false">
      <c r="A125" s="1" t="n">
        <v>124</v>
      </c>
      <c r="B125" s="1" t="n">
        <v>67.6</v>
      </c>
      <c r="C125" s="1" t="n">
        <v>-51.7</v>
      </c>
      <c r="D125" s="1" t="n">
        <v>-18.5</v>
      </c>
      <c r="E125" s="2" t="n">
        <v>2.9</v>
      </c>
      <c r="F125" s="2" t="n">
        <v>129</v>
      </c>
      <c r="G125" s="2" t="n">
        <v>66</v>
      </c>
      <c r="H125" s="2" t="n">
        <v>-54.1</v>
      </c>
      <c r="I125" s="2" t="n">
        <v>-18.1</v>
      </c>
      <c r="J125" s="2" t="n">
        <v>19.51595545</v>
      </c>
    </row>
    <row r="126" customFormat="false" ht="15.8" hidden="false" customHeight="false" outlineLevel="0" collapsed="false">
      <c r="A126" s="1" t="n">
        <v>125</v>
      </c>
      <c r="B126" s="1" t="n">
        <v>69.2</v>
      </c>
      <c r="C126" s="1" t="n">
        <v>-49.4</v>
      </c>
      <c r="D126" s="1" t="n">
        <v>-19.6</v>
      </c>
      <c r="E126" s="2" t="n">
        <v>2.4</v>
      </c>
      <c r="F126" s="2" t="n">
        <v>198</v>
      </c>
      <c r="G126" s="2" t="n">
        <v>68.4</v>
      </c>
      <c r="H126" s="2" t="n">
        <v>-49.9</v>
      </c>
      <c r="I126" s="2" t="n">
        <v>-21.8</v>
      </c>
      <c r="J126" s="2" t="n">
        <v>19.52660024</v>
      </c>
    </row>
    <row r="127" customFormat="false" ht="15.8" hidden="false" customHeight="false" outlineLevel="0" collapsed="false">
      <c r="A127" s="1" t="n">
        <v>126</v>
      </c>
      <c r="B127" s="1" t="n">
        <v>65.7</v>
      </c>
      <c r="C127" s="1" t="n">
        <v>-49.1</v>
      </c>
      <c r="D127" s="1" t="n">
        <v>-21.5</v>
      </c>
      <c r="E127" s="2" t="n">
        <v>1.2</v>
      </c>
      <c r="F127" s="2" t="n">
        <v>127</v>
      </c>
      <c r="G127" s="2" t="n">
        <v>65.4</v>
      </c>
      <c r="H127" s="2" t="n">
        <v>-48</v>
      </c>
      <c r="I127" s="2" t="n">
        <v>-21.8</v>
      </c>
      <c r="J127" s="2" t="n">
        <v>16.59892518</v>
      </c>
    </row>
    <row r="128" customFormat="false" ht="15.8" hidden="false" customHeight="false" outlineLevel="0" collapsed="false">
      <c r="A128" s="1" t="n">
        <v>127</v>
      </c>
      <c r="B128" s="1" t="n">
        <v>65.4</v>
      </c>
      <c r="C128" s="1" t="n">
        <v>-48</v>
      </c>
      <c r="D128" s="1" t="n">
        <v>-21.8</v>
      </c>
      <c r="E128" s="2" t="n">
        <v>1.2</v>
      </c>
      <c r="F128" s="2" t="n">
        <v>126</v>
      </c>
      <c r="G128" s="2" t="n">
        <v>65.7</v>
      </c>
      <c r="H128" s="2" t="n">
        <v>-49.1</v>
      </c>
      <c r="I128" s="2" t="n">
        <v>-21.5</v>
      </c>
      <c r="J128" s="2" t="n">
        <v>15.78808782</v>
      </c>
    </row>
    <row r="129" customFormat="false" ht="15.8" hidden="false" customHeight="false" outlineLevel="0" collapsed="false">
      <c r="A129" s="1" t="n">
        <v>128</v>
      </c>
      <c r="B129" s="1" t="n">
        <v>64</v>
      </c>
      <c r="C129" s="1" t="n">
        <v>-49.2</v>
      </c>
      <c r="D129" s="1" t="n">
        <v>-18.5</v>
      </c>
      <c r="E129" s="2" t="n">
        <v>2.6</v>
      </c>
      <c r="F129" s="2" t="n">
        <v>193</v>
      </c>
      <c r="G129" s="2" t="n">
        <v>62.8</v>
      </c>
      <c r="H129" s="2" t="n">
        <v>-48.8</v>
      </c>
      <c r="I129" s="2" t="n">
        <v>-20.7</v>
      </c>
      <c r="J129" s="2" t="n">
        <v>15.14868037</v>
      </c>
    </row>
    <row r="130" customFormat="false" ht="15.8" hidden="false" customHeight="false" outlineLevel="0" collapsed="false">
      <c r="A130" s="1" t="n">
        <v>129</v>
      </c>
      <c r="B130" s="1" t="n">
        <v>66</v>
      </c>
      <c r="C130" s="1" t="n">
        <v>-54.1</v>
      </c>
      <c r="D130" s="1" t="n">
        <v>-18.1</v>
      </c>
      <c r="E130" s="2" t="n">
        <v>2.4</v>
      </c>
      <c r="F130" s="2" t="n">
        <v>130</v>
      </c>
      <c r="G130" s="2" t="n">
        <v>65.1</v>
      </c>
      <c r="H130" s="2" t="n">
        <v>-54</v>
      </c>
      <c r="I130" s="2" t="n">
        <v>-15.9</v>
      </c>
      <c r="J130" s="2" t="n">
        <v>19.99081081</v>
      </c>
    </row>
    <row r="131" customFormat="false" ht="15.8" hidden="false" customHeight="false" outlineLevel="0" collapsed="false">
      <c r="A131" s="1" t="n">
        <v>130</v>
      </c>
      <c r="B131" s="1" t="n">
        <v>65.1</v>
      </c>
      <c r="C131" s="1" t="n">
        <v>-54</v>
      </c>
      <c r="D131" s="1" t="n">
        <v>-15.9</v>
      </c>
      <c r="E131" s="2" t="n">
        <v>1.3</v>
      </c>
      <c r="F131" s="2" t="n">
        <v>131</v>
      </c>
      <c r="G131" s="2" t="n">
        <v>64.1</v>
      </c>
      <c r="H131" s="2" t="n">
        <v>-53.7</v>
      </c>
      <c r="I131" s="2" t="n">
        <v>-16.6</v>
      </c>
      <c r="J131" s="2" t="n">
        <v>19.54824588</v>
      </c>
    </row>
    <row r="132" customFormat="false" ht="15.8" hidden="false" customHeight="false" outlineLevel="0" collapsed="false">
      <c r="A132" s="1" t="n">
        <v>131</v>
      </c>
      <c r="B132" s="1" t="n">
        <v>64.1</v>
      </c>
      <c r="C132" s="1" t="n">
        <v>-53.7</v>
      </c>
      <c r="D132" s="1" t="n">
        <v>-16.6</v>
      </c>
      <c r="E132" s="2" t="n">
        <v>1.3</v>
      </c>
      <c r="F132" s="2" t="n">
        <v>130</v>
      </c>
      <c r="G132" s="2" t="n">
        <v>65.1</v>
      </c>
      <c r="H132" s="2" t="n">
        <v>-54</v>
      </c>
      <c r="I132" s="2" t="n">
        <v>-15.9</v>
      </c>
      <c r="J132" s="2" t="n">
        <v>18.57747876</v>
      </c>
    </row>
    <row r="133" customFormat="false" ht="15.8" hidden="false" customHeight="false" outlineLevel="0" collapsed="false">
      <c r="A133" s="1" t="n">
        <v>132</v>
      </c>
      <c r="B133" s="1" t="n">
        <v>66.5</v>
      </c>
      <c r="C133" s="1" t="n">
        <v>-46.1</v>
      </c>
      <c r="D133" s="1" t="n">
        <v>-17.8</v>
      </c>
      <c r="E133" s="2" t="n">
        <v>0.1</v>
      </c>
      <c r="F133" s="2" t="n">
        <v>138</v>
      </c>
      <c r="G133" s="2" t="n">
        <v>66.5</v>
      </c>
      <c r="H133" s="2" t="n">
        <v>-46</v>
      </c>
      <c r="I133" s="2" t="n">
        <v>-17.8</v>
      </c>
      <c r="J133" s="2" t="n">
        <v>15.64116099</v>
      </c>
    </row>
    <row r="134" customFormat="false" ht="15.8" hidden="false" customHeight="false" outlineLevel="0" collapsed="false">
      <c r="A134" s="1" t="n">
        <v>133</v>
      </c>
      <c r="B134" s="1" t="n">
        <v>65.3</v>
      </c>
      <c r="C134" s="1" t="n">
        <v>-45.5</v>
      </c>
      <c r="D134" s="1" t="n">
        <v>-15.5</v>
      </c>
      <c r="E134" s="2" t="n">
        <v>0.3</v>
      </c>
      <c r="F134" s="2" t="n">
        <v>134</v>
      </c>
      <c r="G134" s="2" t="n">
        <v>65.3</v>
      </c>
      <c r="H134" s="2" t="n">
        <v>-45.2</v>
      </c>
      <c r="I134" s="2" t="n">
        <v>-15.5</v>
      </c>
      <c r="J134" s="2" t="n">
        <v>14.68949002</v>
      </c>
    </row>
    <row r="135" customFormat="false" ht="15.8" hidden="false" customHeight="false" outlineLevel="0" collapsed="false">
      <c r="A135" s="1" t="n">
        <v>134</v>
      </c>
      <c r="B135" s="1" t="n">
        <v>65.3</v>
      </c>
      <c r="C135" s="1" t="n">
        <v>-45.2</v>
      </c>
      <c r="D135" s="1" t="n">
        <v>-15.5</v>
      </c>
      <c r="E135" s="2" t="n">
        <v>0.3</v>
      </c>
      <c r="F135" s="2" t="n">
        <v>133</v>
      </c>
      <c r="G135" s="2" t="n">
        <v>65.3</v>
      </c>
      <c r="H135" s="2" t="n">
        <v>-45.5</v>
      </c>
      <c r="I135" s="2" t="n">
        <v>-15.5</v>
      </c>
      <c r="J135" s="2" t="n">
        <v>14.56960936</v>
      </c>
    </row>
    <row r="136" customFormat="false" ht="15.8" hidden="false" customHeight="false" outlineLevel="0" collapsed="false">
      <c r="A136" s="1" t="n">
        <v>135</v>
      </c>
      <c r="B136" s="1" t="n">
        <v>66.4</v>
      </c>
      <c r="C136" s="1" t="n">
        <v>-44</v>
      </c>
      <c r="D136" s="1" t="n">
        <v>-15.9</v>
      </c>
      <c r="E136" s="2" t="n">
        <v>1.4</v>
      </c>
      <c r="F136" s="2" t="n">
        <v>214</v>
      </c>
      <c r="G136" s="2" t="n">
        <v>67.5</v>
      </c>
      <c r="H136" s="2" t="n">
        <v>-43.9</v>
      </c>
      <c r="I136" s="2" t="n">
        <v>-16.6</v>
      </c>
      <c r="J136" s="2" t="n">
        <v>15.06615137</v>
      </c>
    </row>
    <row r="137" customFormat="false" ht="15.8" hidden="false" customHeight="false" outlineLevel="0" collapsed="false">
      <c r="A137" s="1" t="n">
        <v>136</v>
      </c>
      <c r="B137" s="1" t="n">
        <v>65.7</v>
      </c>
      <c r="C137" s="1" t="n">
        <v>-42.6</v>
      </c>
      <c r="D137" s="1" t="n">
        <v>-13.7</v>
      </c>
      <c r="E137" s="2" t="n">
        <v>2.7</v>
      </c>
      <c r="F137" s="2" t="n">
        <v>135</v>
      </c>
      <c r="G137" s="2" t="n">
        <v>66.4</v>
      </c>
      <c r="H137" s="2" t="n">
        <v>-44</v>
      </c>
      <c r="I137" s="2" t="n">
        <v>-15.9</v>
      </c>
      <c r="J137" s="2" t="n">
        <v>14.69764325</v>
      </c>
    </row>
    <row r="138" customFormat="false" ht="15.8" hidden="false" customHeight="false" outlineLevel="0" collapsed="false">
      <c r="A138" s="1" t="n">
        <v>137</v>
      </c>
      <c r="B138" s="1" t="n">
        <v>65.3</v>
      </c>
      <c r="C138" s="1" t="n">
        <v>-44.6</v>
      </c>
      <c r="D138" s="1" t="n">
        <v>-19.2</v>
      </c>
      <c r="E138" s="2" t="n">
        <v>1</v>
      </c>
      <c r="F138" s="2" t="n">
        <v>144</v>
      </c>
      <c r="G138" s="2" t="n">
        <v>66.1</v>
      </c>
      <c r="H138" s="2" t="n">
        <v>-44</v>
      </c>
      <c r="I138" s="2" t="n">
        <v>-18.9</v>
      </c>
      <c r="J138" s="2" t="n">
        <v>13.89390935</v>
      </c>
    </row>
    <row r="139" customFormat="false" ht="15.8" hidden="false" customHeight="false" outlineLevel="0" collapsed="false">
      <c r="A139" s="1" t="n">
        <v>138</v>
      </c>
      <c r="B139" s="1" t="n">
        <v>66.5</v>
      </c>
      <c r="C139" s="1" t="n">
        <v>-46</v>
      </c>
      <c r="D139" s="1" t="n">
        <v>-17.8</v>
      </c>
      <c r="E139" s="2" t="n">
        <v>0.1</v>
      </c>
      <c r="F139" s="2" t="n">
        <v>132</v>
      </c>
      <c r="G139" s="2" t="n">
        <v>66.5</v>
      </c>
      <c r="H139" s="2" t="n">
        <v>-46.1</v>
      </c>
      <c r="I139" s="2" t="n">
        <v>-17.8</v>
      </c>
      <c r="J139" s="2" t="n">
        <v>15.59925373</v>
      </c>
    </row>
    <row r="140" customFormat="false" ht="15.8" hidden="false" customHeight="false" outlineLevel="0" collapsed="false">
      <c r="A140" s="1" t="n">
        <v>139</v>
      </c>
      <c r="B140" s="1" t="n">
        <v>59.3</v>
      </c>
      <c r="C140" s="1" t="n">
        <v>-43.7</v>
      </c>
      <c r="D140" s="1" t="n">
        <v>-22.6</v>
      </c>
      <c r="E140" s="2" t="n">
        <v>1.5</v>
      </c>
      <c r="F140" s="2" t="n">
        <v>142</v>
      </c>
      <c r="G140" s="2" t="n">
        <v>59.3</v>
      </c>
      <c r="H140" s="2" t="n">
        <v>-44</v>
      </c>
      <c r="I140" s="2" t="n">
        <v>-21.1</v>
      </c>
      <c r="J140" s="2" t="n">
        <v>8.83146177</v>
      </c>
    </row>
    <row r="141" customFormat="false" ht="15.8" hidden="false" customHeight="false" outlineLevel="0" collapsed="false">
      <c r="A141" s="1" t="n">
        <v>140</v>
      </c>
      <c r="B141" s="1" t="n">
        <v>61.8</v>
      </c>
      <c r="C141" s="1" t="n">
        <v>-42.9</v>
      </c>
      <c r="D141" s="1" t="n">
        <v>-21.1</v>
      </c>
      <c r="E141" s="2" t="n">
        <v>1.6</v>
      </c>
      <c r="F141" s="2" t="n">
        <v>143</v>
      </c>
      <c r="G141" s="2" t="n">
        <v>62.1</v>
      </c>
      <c r="H141" s="2" t="n">
        <v>-44</v>
      </c>
      <c r="I141" s="2" t="n">
        <v>-20</v>
      </c>
      <c r="J141" s="2" t="n">
        <v>10.22096458</v>
      </c>
    </row>
    <row r="142" customFormat="false" ht="15.8" hidden="false" customHeight="false" outlineLevel="0" collapsed="false">
      <c r="A142" s="1" t="n">
        <v>141</v>
      </c>
      <c r="B142" s="1" t="n">
        <v>60</v>
      </c>
      <c r="C142" s="1" t="n">
        <v>-45.4</v>
      </c>
      <c r="D142" s="1" t="n">
        <v>-21.8</v>
      </c>
      <c r="E142" s="2" t="n">
        <v>1.6</v>
      </c>
      <c r="F142" s="2" t="n">
        <v>118</v>
      </c>
      <c r="G142" s="2" t="n">
        <v>59.6</v>
      </c>
      <c r="H142" s="2" t="n">
        <v>-44.8</v>
      </c>
      <c r="I142" s="2" t="n">
        <v>-20.4</v>
      </c>
      <c r="J142" s="2" t="n">
        <v>10.01671189</v>
      </c>
    </row>
    <row r="143" customFormat="false" ht="15.8" hidden="false" customHeight="false" outlineLevel="0" collapsed="false">
      <c r="A143" s="1" t="n">
        <v>142</v>
      </c>
      <c r="B143" s="1" t="n">
        <v>59.3</v>
      </c>
      <c r="C143" s="1" t="n">
        <v>-44</v>
      </c>
      <c r="D143" s="1" t="n">
        <v>-21.1</v>
      </c>
      <c r="E143" s="2" t="n">
        <v>1.1</v>
      </c>
      <c r="F143" s="2" t="n">
        <v>118</v>
      </c>
      <c r="G143" s="2" t="n">
        <v>59.6</v>
      </c>
      <c r="H143" s="2" t="n">
        <v>-44.8</v>
      </c>
      <c r="I143" s="2" t="n">
        <v>-20.4</v>
      </c>
      <c r="J143" s="2" t="n">
        <v>8.501430291</v>
      </c>
    </row>
    <row r="144" customFormat="false" ht="15.8" hidden="false" customHeight="false" outlineLevel="0" collapsed="false">
      <c r="A144" s="1" t="n">
        <v>143</v>
      </c>
      <c r="B144" s="1" t="n">
        <v>62.1</v>
      </c>
      <c r="C144" s="1" t="n">
        <v>-44</v>
      </c>
      <c r="D144" s="1" t="n">
        <v>-20</v>
      </c>
      <c r="E144" s="2" t="n">
        <v>1.5</v>
      </c>
      <c r="F144" s="2" t="n">
        <v>119</v>
      </c>
      <c r="G144" s="2" t="n">
        <v>61.6</v>
      </c>
      <c r="H144" s="2" t="n">
        <v>-44.2</v>
      </c>
      <c r="I144" s="2" t="n">
        <v>-18.5</v>
      </c>
      <c r="J144" s="2" t="n">
        <v>10.75393495</v>
      </c>
    </row>
    <row r="145" customFormat="false" ht="15.8" hidden="false" customHeight="false" outlineLevel="0" collapsed="false">
      <c r="A145" s="1" t="n">
        <v>144</v>
      </c>
      <c r="B145" s="1" t="n">
        <v>66.1</v>
      </c>
      <c r="C145" s="1" t="n">
        <v>-44</v>
      </c>
      <c r="D145" s="1" t="n">
        <v>-18.9</v>
      </c>
      <c r="E145" s="2" t="n">
        <v>1</v>
      </c>
      <c r="F145" s="2" t="n">
        <v>137</v>
      </c>
      <c r="G145" s="2" t="n">
        <v>65.3</v>
      </c>
      <c r="H145" s="2" t="n">
        <v>-44.6</v>
      </c>
      <c r="I145" s="2" t="n">
        <v>-19.2</v>
      </c>
      <c r="J145" s="2" t="n">
        <v>14.44368087</v>
      </c>
    </row>
    <row r="146" customFormat="false" ht="15.8" hidden="false" customHeight="false" outlineLevel="0" collapsed="false">
      <c r="A146" s="1" t="n">
        <v>145</v>
      </c>
      <c r="B146" s="1" t="n">
        <v>69.2</v>
      </c>
      <c r="C146" s="1" t="n">
        <v>-40.2</v>
      </c>
      <c r="D146" s="1" t="n">
        <v>-18.5</v>
      </c>
      <c r="E146" s="2" t="n">
        <v>2.9</v>
      </c>
      <c r="F146" s="2" t="n">
        <v>147</v>
      </c>
      <c r="G146" s="2" t="n">
        <v>67.9</v>
      </c>
      <c r="H146" s="2" t="n">
        <v>-40.6</v>
      </c>
      <c r="I146" s="2" t="n">
        <v>-21.1</v>
      </c>
      <c r="J146" s="2" t="n">
        <v>16.84916962</v>
      </c>
    </row>
    <row r="147" customFormat="false" ht="15.8" hidden="false" customHeight="false" outlineLevel="0" collapsed="false">
      <c r="A147" s="1" t="n">
        <v>146</v>
      </c>
      <c r="B147" s="1" t="n">
        <v>71.9</v>
      </c>
      <c r="C147" s="1" t="n">
        <v>-42.9</v>
      </c>
      <c r="D147" s="1" t="n">
        <v>-20.4</v>
      </c>
      <c r="E147" s="2" t="n">
        <v>4.2</v>
      </c>
      <c r="F147" s="2" t="n">
        <v>204</v>
      </c>
      <c r="G147" s="2" t="n">
        <v>73</v>
      </c>
      <c r="H147" s="2" t="n">
        <v>-46.7</v>
      </c>
      <c r="I147" s="2" t="n">
        <v>-21.8</v>
      </c>
      <c r="J147" s="2" t="n">
        <v>19.86244489</v>
      </c>
    </row>
    <row r="148" customFormat="false" ht="15.8" hidden="false" customHeight="false" outlineLevel="0" collapsed="false">
      <c r="A148" s="1" t="n">
        <v>147</v>
      </c>
      <c r="B148" s="1" t="n">
        <v>67.9</v>
      </c>
      <c r="C148" s="1" t="n">
        <v>-40.6</v>
      </c>
      <c r="D148" s="1" t="n">
        <v>-21.1</v>
      </c>
      <c r="E148" s="2" t="n">
        <v>0.2</v>
      </c>
      <c r="F148" s="2" t="n">
        <v>212</v>
      </c>
      <c r="G148" s="2" t="n">
        <v>67.7</v>
      </c>
      <c r="H148" s="2" t="n">
        <v>-40.5</v>
      </c>
      <c r="I148" s="2" t="n">
        <v>-21.1</v>
      </c>
      <c r="J148" s="2" t="n">
        <v>15.69495196</v>
      </c>
    </row>
    <row r="149" customFormat="false" ht="15.8" hidden="false" customHeight="false" outlineLevel="0" collapsed="false">
      <c r="A149" s="1" t="n">
        <v>148</v>
      </c>
      <c r="B149" s="1" t="n">
        <v>72.4</v>
      </c>
      <c r="C149" s="1" t="n">
        <v>-41.8</v>
      </c>
      <c r="D149" s="1" t="n">
        <v>-15.2</v>
      </c>
      <c r="E149" s="2" t="n">
        <v>1.1</v>
      </c>
      <c r="F149" s="2" t="n">
        <v>149</v>
      </c>
      <c r="G149" s="2" t="n">
        <v>72.7</v>
      </c>
      <c r="H149" s="2" t="n">
        <v>-40.8</v>
      </c>
      <c r="I149" s="2" t="n">
        <v>-15.5</v>
      </c>
      <c r="J149" s="2" t="n">
        <v>20.52510943</v>
      </c>
    </row>
    <row r="150" customFormat="false" ht="15.8" hidden="false" customHeight="false" outlineLevel="0" collapsed="false">
      <c r="A150" s="1" t="n">
        <v>149</v>
      </c>
      <c r="B150" s="1" t="n">
        <v>72.7</v>
      </c>
      <c r="C150" s="1" t="n">
        <v>-40.8</v>
      </c>
      <c r="D150" s="1" t="n">
        <v>-15.5</v>
      </c>
      <c r="E150" s="2" t="n">
        <v>1.1</v>
      </c>
      <c r="F150" s="2" t="n">
        <v>148</v>
      </c>
      <c r="G150" s="2" t="n">
        <v>72.4</v>
      </c>
      <c r="H150" s="2" t="n">
        <v>-41.8</v>
      </c>
      <c r="I150" s="2" t="n">
        <v>-15.2</v>
      </c>
      <c r="J150" s="2" t="n">
        <v>20.67749301</v>
      </c>
    </row>
    <row r="151" customFormat="false" ht="15.8" hidden="false" customHeight="false" outlineLevel="0" collapsed="false">
      <c r="A151" s="1" t="n">
        <v>150</v>
      </c>
      <c r="B151" s="1" t="n">
        <v>73.8</v>
      </c>
      <c r="C151" s="1" t="n">
        <v>-44</v>
      </c>
      <c r="D151" s="1" t="n">
        <v>-14.4</v>
      </c>
      <c r="E151" s="2" t="n">
        <v>2.7</v>
      </c>
      <c r="F151" s="2" t="n">
        <v>148</v>
      </c>
      <c r="G151" s="2" t="n">
        <v>72.4</v>
      </c>
      <c r="H151" s="2" t="n">
        <v>-41.8</v>
      </c>
      <c r="I151" s="2" t="n">
        <v>-15.2</v>
      </c>
      <c r="J151" s="2" t="n">
        <v>22.38506013</v>
      </c>
    </row>
    <row r="152" customFormat="false" ht="15.8" hidden="false" customHeight="false" outlineLevel="0" collapsed="false">
      <c r="A152" s="1" t="n">
        <v>151</v>
      </c>
      <c r="B152" s="1" t="n">
        <v>76.5</v>
      </c>
      <c r="C152" s="1" t="n">
        <v>-41.9</v>
      </c>
      <c r="D152" s="1" t="n">
        <v>-15.9</v>
      </c>
      <c r="E152" s="2" t="n">
        <v>1.8</v>
      </c>
      <c r="F152" s="2" t="n">
        <v>153</v>
      </c>
      <c r="G152" s="2" t="n">
        <v>76.1</v>
      </c>
      <c r="H152" s="2" t="n">
        <v>-40.5</v>
      </c>
      <c r="I152" s="2" t="n">
        <v>-17</v>
      </c>
      <c r="J152" s="2" t="n">
        <v>24.45057703</v>
      </c>
    </row>
    <row r="153" customFormat="false" ht="15.8" hidden="false" customHeight="false" outlineLevel="0" collapsed="false">
      <c r="A153" s="1" t="n">
        <v>152</v>
      </c>
      <c r="B153" s="1" t="n">
        <v>78.7</v>
      </c>
      <c r="C153" s="1" t="n">
        <v>-43.2</v>
      </c>
      <c r="D153" s="1" t="n">
        <v>-14.1</v>
      </c>
      <c r="E153" s="2" t="n">
        <v>3.1</v>
      </c>
      <c r="F153" s="2" t="n">
        <v>155</v>
      </c>
      <c r="G153" s="2" t="n">
        <v>78.3</v>
      </c>
      <c r="H153" s="2" t="n">
        <v>-40.8</v>
      </c>
      <c r="I153" s="2" t="n">
        <v>-15.9</v>
      </c>
      <c r="J153" s="2" t="n">
        <v>27.04453211</v>
      </c>
    </row>
    <row r="154" customFormat="false" ht="15.8" hidden="false" customHeight="false" outlineLevel="0" collapsed="false">
      <c r="A154" s="1" t="n">
        <v>153</v>
      </c>
      <c r="B154" s="1" t="n">
        <v>76.1</v>
      </c>
      <c r="C154" s="1" t="n">
        <v>-40.5</v>
      </c>
      <c r="D154" s="1" t="n">
        <v>-17</v>
      </c>
      <c r="E154" s="2" t="n">
        <v>0.6</v>
      </c>
      <c r="F154" s="2" t="n">
        <v>154</v>
      </c>
      <c r="G154" s="2" t="n">
        <v>76.6</v>
      </c>
      <c r="H154" s="2" t="n">
        <v>-40.2</v>
      </c>
      <c r="I154" s="2" t="n">
        <v>-17</v>
      </c>
      <c r="J154" s="2" t="n">
        <v>23.83629831</v>
      </c>
    </row>
    <row r="155" customFormat="false" ht="15.8" hidden="false" customHeight="false" outlineLevel="0" collapsed="false">
      <c r="A155" s="1" t="n">
        <v>154</v>
      </c>
      <c r="B155" s="1" t="n">
        <v>76.6</v>
      </c>
      <c r="C155" s="1" t="n">
        <v>-40.2</v>
      </c>
      <c r="D155" s="1" t="n">
        <v>-17</v>
      </c>
      <c r="E155" s="2" t="n">
        <v>0.6</v>
      </c>
      <c r="F155" s="2" t="n">
        <v>153</v>
      </c>
      <c r="G155" s="2" t="n">
        <v>76.1</v>
      </c>
      <c r="H155" s="2" t="n">
        <v>-40.5</v>
      </c>
      <c r="I155" s="2" t="n">
        <v>-17</v>
      </c>
      <c r="J155" s="2" t="n">
        <v>24.32357944</v>
      </c>
    </row>
    <row r="156" customFormat="false" ht="15.8" hidden="false" customHeight="false" outlineLevel="0" collapsed="false">
      <c r="A156" s="1" t="n">
        <v>155</v>
      </c>
      <c r="B156" s="1" t="n">
        <v>78.3</v>
      </c>
      <c r="C156" s="1" t="n">
        <v>-40.8</v>
      </c>
      <c r="D156" s="1" t="n">
        <v>-15.9</v>
      </c>
      <c r="E156" s="2" t="n">
        <v>2.1</v>
      </c>
      <c r="F156" s="2" t="n">
        <v>151</v>
      </c>
      <c r="G156" s="2" t="n">
        <v>76.5</v>
      </c>
      <c r="H156" s="2" t="n">
        <v>-41.9</v>
      </c>
      <c r="I156" s="2" t="n">
        <v>-15.9</v>
      </c>
      <c r="J156" s="2" t="n">
        <v>26.15070777</v>
      </c>
    </row>
    <row r="157" customFormat="false" ht="15.8" hidden="false" customHeight="false" outlineLevel="0" collapsed="false">
      <c r="A157" s="1" t="n">
        <v>156</v>
      </c>
      <c r="B157" s="1" t="n">
        <v>77.9</v>
      </c>
      <c r="C157" s="1" t="n">
        <v>-38.9</v>
      </c>
      <c r="D157" s="1" t="n">
        <v>-18.5</v>
      </c>
      <c r="E157" s="2" t="n">
        <v>2.3</v>
      </c>
      <c r="F157" s="2" t="n">
        <v>154</v>
      </c>
      <c r="G157" s="2" t="n">
        <v>76.6</v>
      </c>
      <c r="H157" s="2" t="n">
        <v>-40.2</v>
      </c>
      <c r="I157" s="2" t="n">
        <v>-17</v>
      </c>
      <c r="J157" s="2" t="n">
        <v>25.53859661</v>
      </c>
    </row>
    <row r="158" customFormat="false" ht="15.8" hidden="false" customHeight="false" outlineLevel="0" collapsed="false">
      <c r="A158" s="1" t="n">
        <v>157</v>
      </c>
      <c r="B158" s="1" t="n">
        <v>76.6</v>
      </c>
      <c r="C158" s="1" t="n">
        <v>-43.2</v>
      </c>
      <c r="D158" s="1" t="n">
        <v>-17.4</v>
      </c>
      <c r="E158" s="2" t="n">
        <v>1.9</v>
      </c>
      <c r="F158" s="2" t="n">
        <v>151</v>
      </c>
      <c r="G158" s="2" t="n">
        <v>76.5</v>
      </c>
      <c r="H158" s="2" t="n">
        <v>-41.9</v>
      </c>
      <c r="I158" s="2" t="n">
        <v>-15.9</v>
      </c>
      <c r="J158" s="2" t="n">
        <v>24.56243711</v>
      </c>
    </row>
    <row r="159" customFormat="false" ht="15.8" hidden="false" customHeight="false" outlineLevel="0" collapsed="false">
      <c r="A159" s="1" t="n">
        <v>158</v>
      </c>
      <c r="B159" s="1" t="n">
        <v>77.2</v>
      </c>
      <c r="C159" s="1" t="n">
        <v>-45.5</v>
      </c>
      <c r="D159" s="1" t="n">
        <v>-19.6</v>
      </c>
      <c r="E159" s="2" t="n">
        <v>0.9</v>
      </c>
      <c r="F159" s="2" t="n">
        <v>160</v>
      </c>
      <c r="G159" s="2" t="n">
        <v>77.8</v>
      </c>
      <c r="H159" s="2" t="n">
        <v>-46.1</v>
      </c>
      <c r="I159" s="2" t="n">
        <v>-19.2</v>
      </c>
      <c r="J159" s="2" t="n">
        <v>25.54426192</v>
      </c>
    </row>
    <row r="160" customFormat="false" ht="15.8" hidden="false" customHeight="false" outlineLevel="0" collapsed="false">
      <c r="A160" s="1" t="n">
        <v>159</v>
      </c>
      <c r="B160" s="1" t="n">
        <v>79.4</v>
      </c>
      <c r="C160" s="1" t="n">
        <v>-47.6</v>
      </c>
      <c r="D160" s="1" t="n">
        <v>-17.4</v>
      </c>
      <c r="E160" s="2" t="n">
        <v>2.9</v>
      </c>
      <c r="F160" s="2" t="n">
        <v>160</v>
      </c>
      <c r="G160" s="2" t="n">
        <v>77.8</v>
      </c>
      <c r="H160" s="2" t="n">
        <v>-46.1</v>
      </c>
      <c r="I160" s="2" t="n">
        <v>-19.2</v>
      </c>
      <c r="J160" s="2" t="n">
        <v>28.26124762</v>
      </c>
    </row>
    <row r="161" customFormat="false" ht="15.8" hidden="false" customHeight="false" outlineLevel="0" collapsed="false">
      <c r="A161" s="1" t="n">
        <v>160</v>
      </c>
      <c r="B161" s="1" t="n">
        <v>77.8</v>
      </c>
      <c r="C161" s="1" t="n">
        <v>-46.1</v>
      </c>
      <c r="D161" s="1" t="n">
        <v>-19.2</v>
      </c>
      <c r="E161" s="2" t="n">
        <v>0.9</v>
      </c>
      <c r="F161" s="2" t="n">
        <v>158</v>
      </c>
      <c r="G161" s="2" t="n">
        <v>77.2</v>
      </c>
      <c r="H161" s="2" t="n">
        <v>-45.5</v>
      </c>
      <c r="I161" s="2" t="n">
        <v>-19.6</v>
      </c>
      <c r="J161" s="2" t="n">
        <v>26.26697008</v>
      </c>
    </row>
    <row r="162" customFormat="false" ht="15.8" hidden="false" customHeight="false" outlineLevel="0" collapsed="false">
      <c r="A162" s="1" t="n">
        <v>161</v>
      </c>
      <c r="B162" s="1" t="n">
        <v>81.8</v>
      </c>
      <c r="C162" s="1" t="n">
        <v>-41</v>
      </c>
      <c r="D162" s="1" t="n">
        <v>-13.7</v>
      </c>
      <c r="E162" s="2" t="n">
        <v>1.3</v>
      </c>
      <c r="F162" s="2" t="n">
        <v>162</v>
      </c>
      <c r="G162" s="2" t="n">
        <v>80.7</v>
      </c>
      <c r="H162" s="2" t="n">
        <v>-40.5</v>
      </c>
      <c r="I162" s="2" t="n">
        <v>-13.3</v>
      </c>
      <c r="J162" s="2" t="n">
        <v>29.94909877</v>
      </c>
    </row>
    <row r="163" customFormat="false" ht="15.8" hidden="false" customHeight="false" outlineLevel="0" collapsed="false">
      <c r="A163" s="1" t="n">
        <v>162</v>
      </c>
      <c r="B163" s="1" t="n">
        <v>80.7</v>
      </c>
      <c r="C163" s="1" t="n">
        <v>-40.5</v>
      </c>
      <c r="D163" s="1" t="n">
        <v>-13.3</v>
      </c>
      <c r="E163" s="2" t="n">
        <v>1.3</v>
      </c>
      <c r="F163" s="2" t="n">
        <v>161</v>
      </c>
      <c r="G163" s="2" t="n">
        <v>81.8</v>
      </c>
      <c r="H163" s="2" t="n">
        <v>-41</v>
      </c>
      <c r="I163" s="2" t="n">
        <v>-13.7</v>
      </c>
      <c r="J163" s="2" t="n">
        <v>28.92467315</v>
      </c>
    </row>
    <row r="164" customFormat="false" ht="15.8" hidden="false" customHeight="false" outlineLevel="0" collapsed="false">
      <c r="A164" s="1" t="n">
        <v>163</v>
      </c>
      <c r="B164" s="1" t="n">
        <v>82.6</v>
      </c>
      <c r="C164" s="1" t="n">
        <v>-39.2</v>
      </c>
      <c r="D164" s="1" t="n">
        <v>-16.6</v>
      </c>
      <c r="E164" s="2" t="n">
        <v>1.5</v>
      </c>
      <c r="F164" s="2" t="n">
        <v>165</v>
      </c>
      <c r="G164" s="2" t="n">
        <v>81.5</v>
      </c>
      <c r="H164" s="2" t="n">
        <v>-38.3</v>
      </c>
      <c r="I164" s="2" t="n">
        <v>-17</v>
      </c>
      <c r="J164" s="2" t="n">
        <v>30.32760652</v>
      </c>
    </row>
    <row r="165" customFormat="false" ht="15.8" hidden="false" customHeight="false" outlineLevel="0" collapsed="false">
      <c r="A165" s="1" t="n">
        <v>164</v>
      </c>
      <c r="B165" s="1" t="n">
        <v>81.3</v>
      </c>
      <c r="C165" s="1" t="n">
        <v>-39</v>
      </c>
      <c r="D165" s="1" t="n">
        <v>-15.9</v>
      </c>
      <c r="E165" s="2" t="n">
        <v>1.3</v>
      </c>
      <c r="F165" s="2" t="n">
        <v>165</v>
      </c>
      <c r="G165" s="2" t="n">
        <v>81.5</v>
      </c>
      <c r="H165" s="2" t="n">
        <v>-38.3</v>
      </c>
      <c r="I165" s="2" t="n">
        <v>-17</v>
      </c>
      <c r="J165" s="2" t="n">
        <v>29.10298811</v>
      </c>
    </row>
    <row r="166" customFormat="false" ht="15.8" hidden="false" customHeight="false" outlineLevel="0" collapsed="false">
      <c r="A166" s="1" t="n">
        <v>165</v>
      </c>
      <c r="B166" s="1" t="n">
        <v>81.5</v>
      </c>
      <c r="C166" s="1" t="n">
        <v>-38.3</v>
      </c>
      <c r="D166" s="1" t="n">
        <v>-17</v>
      </c>
      <c r="E166" s="2" t="n">
        <v>1.3</v>
      </c>
      <c r="F166" s="2" t="n">
        <v>164</v>
      </c>
      <c r="G166" s="2" t="n">
        <v>81.3</v>
      </c>
      <c r="H166" s="2" t="n">
        <v>-39</v>
      </c>
      <c r="I166" s="2" t="n">
        <v>-15.9</v>
      </c>
      <c r="J166" s="2" t="n">
        <v>29.22356441</v>
      </c>
    </row>
    <row r="167" customFormat="false" ht="15.8" hidden="false" customHeight="false" outlineLevel="0" collapsed="false">
      <c r="A167" s="1" t="n">
        <v>166</v>
      </c>
      <c r="B167" s="1" t="n">
        <v>83.3</v>
      </c>
      <c r="C167" s="1" t="n">
        <v>-37.9</v>
      </c>
      <c r="D167" s="1" t="n">
        <v>-16.3</v>
      </c>
      <c r="E167" s="2" t="n">
        <v>1.5</v>
      </c>
      <c r="F167" s="2" t="n">
        <v>163</v>
      </c>
      <c r="G167" s="2" t="n">
        <v>82.6</v>
      </c>
      <c r="H167" s="2" t="n">
        <v>-39.2</v>
      </c>
      <c r="I167" s="2" t="n">
        <v>-16.6</v>
      </c>
      <c r="J167" s="2" t="n">
        <v>31.09056958</v>
      </c>
    </row>
    <row r="168" customFormat="false" ht="15.8" hidden="false" customHeight="false" outlineLevel="0" collapsed="false">
      <c r="A168" s="1" t="n">
        <v>167</v>
      </c>
      <c r="B168" s="1" t="n">
        <v>82.5</v>
      </c>
      <c r="C168" s="1" t="n">
        <v>-43.7</v>
      </c>
      <c r="D168" s="1" t="n">
        <v>-14.8</v>
      </c>
      <c r="E168" s="2" t="n">
        <v>2.4</v>
      </c>
      <c r="F168" s="2" t="n">
        <v>168</v>
      </c>
      <c r="G168" s="2" t="n">
        <v>84.8</v>
      </c>
      <c r="H168" s="2" t="n">
        <v>-43.8</v>
      </c>
      <c r="I168" s="2" t="n">
        <v>-14.1</v>
      </c>
      <c r="J168" s="2" t="n">
        <v>30.71464011</v>
      </c>
    </row>
    <row r="169" customFormat="false" ht="15.8" hidden="false" customHeight="false" outlineLevel="0" collapsed="false">
      <c r="A169" s="1" t="n">
        <v>168</v>
      </c>
      <c r="B169" s="1" t="n">
        <v>84.8</v>
      </c>
      <c r="C169" s="1" t="n">
        <v>-43.8</v>
      </c>
      <c r="D169" s="1" t="n">
        <v>-14.1</v>
      </c>
      <c r="E169" s="2" t="n">
        <v>1.4</v>
      </c>
      <c r="F169" s="2" t="n">
        <v>170</v>
      </c>
      <c r="G169" s="2" t="n">
        <v>85.2</v>
      </c>
      <c r="H169" s="2" t="n">
        <v>-43.1</v>
      </c>
      <c r="I169" s="2" t="n">
        <v>-12.9</v>
      </c>
      <c r="J169" s="2" t="n">
        <v>33.08439084</v>
      </c>
    </row>
    <row r="170" customFormat="false" ht="15.8" hidden="false" customHeight="false" outlineLevel="0" collapsed="false">
      <c r="A170" s="1" t="n">
        <v>169</v>
      </c>
      <c r="B170" s="1" t="n">
        <v>80.9</v>
      </c>
      <c r="C170" s="1" t="n">
        <v>-41.4</v>
      </c>
      <c r="D170" s="1" t="n">
        <v>-16.3</v>
      </c>
      <c r="E170" s="2" t="n">
        <v>2.5</v>
      </c>
      <c r="F170" s="2" t="n">
        <v>164</v>
      </c>
      <c r="G170" s="2" t="n">
        <v>81.3</v>
      </c>
      <c r="H170" s="2" t="n">
        <v>-39</v>
      </c>
      <c r="I170" s="2" t="n">
        <v>-15.9</v>
      </c>
      <c r="J170" s="2" t="n">
        <v>28.72221295</v>
      </c>
    </row>
    <row r="171" customFormat="false" ht="15.8" hidden="false" customHeight="false" outlineLevel="0" collapsed="false">
      <c r="A171" s="1" t="n">
        <v>170</v>
      </c>
      <c r="B171" s="1" t="n">
        <v>85.2</v>
      </c>
      <c r="C171" s="1" t="n">
        <v>-43.1</v>
      </c>
      <c r="D171" s="1" t="n">
        <v>-12.9</v>
      </c>
      <c r="E171" s="2" t="n">
        <v>1.4</v>
      </c>
      <c r="F171" s="2" t="n">
        <v>168</v>
      </c>
      <c r="G171" s="2" t="n">
        <v>84.8</v>
      </c>
      <c r="H171" s="2" t="n">
        <v>-43.8</v>
      </c>
      <c r="I171" s="2" t="n">
        <v>-14.1</v>
      </c>
      <c r="J171" s="2" t="n">
        <v>33.59360232</v>
      </c>
    </row>
    <row r="172" customFormat="false" ht="15.8" hidden="false" customHeight="false" outlineLevel="0" collapsed="false">
      <c r="A172" s="1" t="n">
        <v>171</v>
      </c>
      <c r="B172" s="1" t="n">
        <v>76.1</v>
      </c>
      <c r="C172" s="1" t="n">
        <v>-39.9</v>
      </c>
      <c r="D172" s="1" t="n">
        <v>-20</v>
      </c>
      <c r="E172" s="2" t="n">
        <v>1.2</v>
      </c>
      <c r="F172" s="2" t="n">
        <v>172</v>
      </c>
      <c r="G172" s="2" t="n">
        <v>75.9</v>
      </c>
      <c r="H172" s="2" t="n">
        <v>-38.8</v>
      </c>
      <c r="I172" s="2" t="n">
        <v>-20.4</v>
      </c>
      <c r="J172" s="2" t="n">
        <v>23.7463664</v>
      </c>
    </row>
    <row r="173" customFormat="false" ht="15.8" hidden="false" customHeight="false" outlineLevel="0" collapsed="false">
      <c r="A173" s="1" t="n">
        <v>172</v>
      </c>
      <c r="B173" s="1" t="n">
        <v>75.9</v>
      </c>
      <c r="C173" s="1" t="n">
        <v>-38.8</v>
      </c>
      <c r="D173" s="1" t="n">
        <v>-20.4</v>
      </c>
      <c r="E173" s="2" t="n">
        <v>1.2</v>
      </c>
      <c r="F173" s="2" t="n">
        <v>171</v>
      </c>
      <c r="G173" s="2" t="n">
        <v>76.1</v>
      </c>
      <c r="H173" s="2" t="n">
        <v>-39.9</v>
      </c>
      <c r="I173" s="2" t="n">
        <v>-20</v>
      </c>
      <c r="J173" s="2" t="n">
        <v>23.57285551</v>
      </c>
    </row>
    <row r="174" customFormat="false" ht="15.8" hidden="false" customHeight="false" outlineLevel="0" collapsed="false">
      <c r="A174" s="1" t="n">
        <v>173</v>
      </c>
      <c r="B174" s="1" t="n">
        <v>65</v>
      </c>
      <c r="C174" s="1" t="n">
        <v>-42.9</v>
      </c>
      <c r="D174" s="1" t="n">
        <v>-17</v>
      </c>
      <c r="E174" s="2" t="n">
        <v>2.1</v>
      </c>
      <c r="F174" s="2" t="n">
        <v>135</v>
      </c>
      <c r="G174" s="2" t="n">
        <v>66.4</v>
      </c>
      <c r="H174" s="2" t="n">
        <v>-44</v>
      </c>
      <c r="I174" s="2" t="n">
        <v>-15.9</v>
      </c>
      <c r="J174" s="2" t="n">
        <v>13.23725489</v>
      </c>
    </row>
    <row r="175" customFormat="false" ht="15.8" hidden="false" customHeight="false" outlineLevel="0" collapsed="false">
      <c r="A175" s="1" t="n">
        <v>174</v>
      </c>
      <c r="B175" s="1" t="n">
        <v>66</v>
      </c>
      <c r="C175" s="1" t="n">
        <v>-38.5</v>
      </c>
      <c r="D175" s="1" t="n">
        <v>-17</v>
      </c>
      <c r="E175" s="2" t="n">
        <v>0.7</v>
      </c>
      <c r="F175" s="2" t="n">
        <v>175</v>
      </c>
      <c r="G175" s="2" t="n">
        <v>66.5</v>
      </c>
      <c r="H175" s="2" t="n">
        <v>-38.9</v>
      </c>
      <c r="I175" s="2" t="n">
        <v>-17</v>
      </c>
      <c r="J175" s="2" t="n">
        <v>13.81847014</v>
      </c>
    </row>
    <row r="176" customFormat="false" ht="15.8" hidden="false" customHeight="false" outlineLevel="0" collapsed="false">
      <c r="A176" s="1" t="n">
        <v>175</v>
      </c>
      <c r="B176" s="1" t="n">
        <v>66.5</v>
      </c>
      <c r="C176" s="1" t="n">
        <v>-38.9</v>
      </c>
      <c r="D176" s="1" t="n">
        <v>-17</v>
      </c>
      <c r="E176" s="2" t="n">
        <v>0.7</v>
      </c>
      <c r="F176" s="2" t="n">
        <v>174</v>
      </c>
      <c r="G176" s="2" t="n">
        <v>66</v>
      </c>
      <c r="H176" s="2" t="n">
        <v>-38.5</v>
      </c>
      <c r="I176" s="2" t="n">
        <v>-17</v>
      </c>
      <c r="J176" s="2" t="n">
        <v>14.28922381</v>
      </c>
    </row>
    <row r="177" customFormat="false" ht="15.8" hidden="false" customHeight="false" outlineLevel="0" collapsed="false">
      <c r="A177" s="1" t="n">
        <v>176</v>
      </c>
      <c r="B177" s="1" t="n">
        <v>66.1</v>
      </c>
      <c r="C177" s="1" t="n">
        <v>-39.5</v>
      </c>
      <c r="D177" s="1" t="n">
        <v>-15.9</v>
      </c>
      <c r="E177" s="2" t="n">
        <v>1.3</v>
      </c>
      <c r="F177" s="2" t="n">
        <v>175</v>
      </c>
      <c r="G177" s="2" t="n">
        <v>66.5</v>
      </c>
      <c r="H177" s="2" t="n">
        <v>-38.9</v>
      </c>
      <c r="I177" s="2" t="n">
        <v>-17</v>
      </c>
      <c r="J177" s="2" t="n">
        <v>14.08722531</v>
      </c>
    </row>
    <row r="178" customFormat="false" ht="15.8" hidden="false" customHeight="false" outlineLevel="0" collapsed="false">
      <c r="A178" s="1" t="n">
        <v>177</v>
      </c>
      <c r="B178" s="1" t="n">
        <v>66.2</v>
      </c>
      <c r="C178" s="1" t="n">
        <v>-37.5</v>
      </c>
      <c r="D178" s="1" t="n">
        <v>-16.3</v>
      </c>
      <c r="E178" s="2" t="n">
        <v>1.3</v>
      </c>
      <c r="F178" s="2" t="n">
        <v>174</v>
      </c>
      <c r="G178" s="2" t="n">
        <v>66</v>
      </c>
      <c r="H178" s="2" t="n">
        <v>-38.5</v>
      </c>
      <c r="I178" s="2" t="n">
        <v>-17</v>
      </c>
      <c r="J178" s="2" t="n">
        <v>14.24225112</v>
      </c>
    </row>
    <row r="179" customFormat="false" ht="15.8" hidden="false" customHeight="false" outlineLevel="0" collapsed="false">
      <c r="A179" s="1" t="n">
        <v>178</v>
      </c>
      <c r="B179" s="1" t="n">
        <v>65.5</v>
      </c>
      <c r="C179" s="1" t="n">
        <v>-33.5</v>
      </c>
      <c r="D179" s="1" t="n">
        <v>-17.8</v>
      </c>
      <c r="E179" s="2" t="n">
        <v>1.6</v>
      </c>
      <c r="F179" s="2" t="n">
        <v>179</v>
      </c>
      <c r="G179" s="2" t="n">
        <v>65.9</v>
      </c>
      <c r="H179" s="2" t="n">
        <v>-34.8</v>
      </c>
      <c r="I179" s="2" t="n">
        <v>-18.5</v>
      </c>
      <c r="J179" s="2" t="n">
        <v>14.48919311</v>
      </c>
    </row>
    <row r="180" customFormat="false" ht="15.8" hidden="false" customHeight="false" outlineLevel="0" collapsed="false">
      <c r="A180" s="1" t="n">
        <v>179</v>
      </c>
      <c r="B180" s="1" t="n">
        <v>65.9</v>
      </c>
      <c r="C180" s="1" t="n">
        <v>-34.8</v>
      </c>
      <c r="D180" s="1" t="n">
        <v>-18.5</v>
      </c>
      <c r="E180" s="2" t="n">
        <v>1.6</v>
      </c>
      <c r="F180" s="2" t="n">
        <v>178</v>
      </c>
      <c r="G180" s="2" t="n">
        <v>65.5</v>
      </c>
      <c r="H180" s="2" t="n">
        <v>-33.5</v>
      </c>
      <c r="I180" s="2" t="n">
        <v>-17.8</v>
      </c>
      <c r="J180" s="2" t="n">
        <v>14.33117989</v>
      </c>
    </row>
    <row r="181" customFormat="false" ht="15.8" hidden="false" customHeight="false" outlineLevel="0" collapsed="false">
      <c r="A181" s="1" t="n">
        <v>180</v>
      </c>
      <c r="B181" s="1" t="n">
        <v>67.8</v>
      </c>
      <c r="C181" s="1" t="n">
        <v>-33.6</v>
      </c>
      <c r="D181" s="1" t="n">
        <v>-15.2</v>
      </c>
      <c r="E181" s="2" t="n">
        <v>1</v>
      </c>
      <c r="F181" s="2" t="n">
        <v>182</v>
      </c>
      <c r="G181" s="2" t="n">
        <v>68.2</v>
      </c>
      <c r="H181" s="2" t="n">
        <v>-34.5</v>
      </c>
      <c r="I181" s="2" t="n">
        <v>-14.8</v>
      </c>
      <c r="J181" s="2" t="n">
        <v>16.96454294</v>
      </c>
    </row>
    <row r="182" customFormat="false" ht="15.8" hidden="false" customHeight="false" outlineLevel="0" collapsed="false">
      <c r="A182" s="1" t="n">
        <v>181</v>
      </c>
      <c r="B182" s="1" t="n">
        <v>67</v>
      </c>
      <c r="C182" s="1" t="n">
        <v>-33.9</v>
      </c>
      <c r="D182" s="1" t="n">
        <v>-13.7</v>
      </c>
      <c r="E182" s="2" t="n">
        <v>1.7</v>
      </c>
      <c r="F182" s="2" t="n">
        <v>180</v>
      </c>
      <c r="G182" s="2" t="n">
        <v>67.8</v>
      </c>
      <c r="H182" s="2" t="n">
        <v>-33.6</v>
      </c>
      <c r="I182" s="2" t="n">
        <v>-15.2</v>
      </c>
      <c r="J182" s="2" t="n">
        <v>16.55824015</v>
      </c>
    </row>
    <row r="183" customFormat="false" ht="15.8" hidden="false" customHeight="false" outlineLevel="0" collapsed="false">
      <c r="A183" s="1" t="n">
        <v>182</v>
      </c>
      <c r="B183" s="1" t="n">
        <v>68.2</v>
      </c>
      <c r="C183" s="1" t="n">
        <v>-34.5</v>
      </c>
      <c r="D183" s="1" t="n">
        <v>-14.8</v>
      </c>
      <c r="E183" s="2" t="n">
        <v>1</v>
      </c>
      <c r="F183" s="2" t="n">
        <v>180</v>
      </c>
      <c r="G183" s="2" t="n">
        <v>67.8</v>
      </c>
      <c r="H183" s="2" t="n">
        <v>-33.6</v>
      </c>
      <c r="I183" s="2" t="n">
        <v>-15.2</v>
      </c>
      <c r="J183" s="2" t="n">
        <v>17.13877817</v>
      </c>
    </row>
    <row r="184" customFormat="false" ht="15.8" hidden="false" customHeight="false" outlineLevel="0" collapsed="false">
      <c r="A184" s="1" t="n">
        <v>183</v>
      </c>
      <c r="B184" s="1" t="n">
        <v>66.2</v>
      </c>
      <c r="C184" s="1" t="n">
        <v>-34</v>
      </c>
      <c r="D184" s="1" t="n">
        <v>-15.5</v>
      </c>
      <c r="E184" s="2" t="n">
        <v>1.6</v>
      </c>
      <c r="F184" s="2" t="n">
        <v>180</v>
      </c>
      <c r="G184" s="2" t="n">
        <v>67.8</v>
      </c>
      <c r="H184" s="2" t="n">
        <v>-33.6</v>
      </c>
      <c r="I184" s="2" t="n">
        <v>-15.2</v>
      </c>
      <c r="J184" s="2" t="n">
        <v>15.30353283</v>
      </c>
    </row>
    <row r="185" customFormat="false" ht="15.8" hidden="false" customHeight="false" outlineLevel="0" collapsed="false">
      <c r="A185" s="1" t="n">
        <v>184</v>
      </c>
      <c r="B185" s="1" t="n">
        <v>72.7</v>
      </c>
      <c r="C185" s="1" t="n">
        <v>-36.6</v>
      </c>
      <c r="D185" s="1" t="n">
        <v>-11.1</v>
      </c>
      <c r="E185" s="2" t="n">
        <v>5</v>
      </c>
      <c r="F185" s="2" t="n">
        <v>185</v>
      </c>
      <c r="G185" s="2" t="n">
        <v>75.8</v>
      </c>
      <c r="H185" s="2" t="n">
        <v>-35.5</v>
      </c>
      <c r="I185" s="2" t="n">
        <v>-14.8</v>
      </c>
      <c r="J185" s="2" t="n">
        <v>22.02551968</v>
      </c>
    </row>
    <row r="186" customFormat="false" ht="15.8" hidden="false" customHeight="false" outlineLevel="0" collapsed="false">
      <c r="A186" s="1" t="n">
        <v>185</v>
      </c>
      <c r="B186" s="1" t="n">
        <v>75.8</v>
      </c>
      <c r="C186" s="1" t="n">
        <v>-35.5</v>
      </c>
      <c r="D186" s="1" t="n">
        <v>-14.8</v>
      </c>
      <c r="E186" s="2" t="n">
        <v>1.7</v>
      </c>
      <c r="F186" s="2" t="n">
        <v>187</v>
      </c>
      <c r="G186" s="2" t="n">
        <v>77</v>
      </c>
      <c r="H186" s="2" t="n">
        <v>-36.4</v>
      </c>
      <c r="I186" s="2" t="n">
        <v>-14.1</v>
      </c>
      <c r="J186" s="2" t="n">
        <v>24.1460083</v>
      </c>
    </row>
    <row r="187" customFormat="false" ht="15.8" hidden="false" customHeight="false" outlineLevel="0" collapsed="false">
      <c r="A187" s="1" t="n">
        <v>186</v>
      </c>
      <c r="B187" s="1" t="n">
        <v>79.6</v>
      </c>
      <c r="C187" s="1" t="n">
        <v>-38.3</v>
      </c>
      <c r="D187" s="1" t="n">
        <v>-13.3</v>
      </c>
      <c r="E187" s="2" t="n">
        <v>2</v>
      </c>
      <c r="F187" s="2" t="n">
        <v>188</v>
      </c>
      <c r="G187" s="2" t="n">
        <v>77.8</v>
      </c>
      <c r="H187" s="2" t="n">
        <v>-37.8</v>
      </c>
      <c r="I187" s="2" t="n">
        <v>-14.1</v>
      </c>
      <c r="J187" s="2" t="n">
        <v>27.85658481</v>
      </c>
    </row>
    <row r="188" customFormat="false" ht="15.8" hidden="false" customHeight="false" outlineLevel="0" collapsed="false">
      <c r="A188" s="1" t="n">
        <v>187</v>
      </c>
      <c r="B188" s="1" t="n">
        <v>77</v>
      </c>
      <c r="C188" s="1" t="n">
        <v>-36.4</v>
      </c>
      <c r="D188" s="1" t="n">
        <v>-14.1</v>
      </c>
      <c r="E188" s="2" t="n">
        <v>1.6</v>
      </c>
      <c r="F188" s="2" t="n">
        <v>188</v>
      </c>
      <c r="G188" s="2" t="n">
        <v>77.8</v>
      </c>
      <c r="H188" s="2" t="n">
        <v>-37.8</v>
      </c>
      <c r="I188" s="2" t="n">
        <v>-14.1</v>
      </c>
      <c r="J188" s="2" t="n">
        <v>25.31335847</v>
      </c>
    </row>
    <row r="189" customFormat="false" ht="15.8" hidden="false" customHeight="false" outlineLevel="0" collapsed="false">
      <c r="A189" s="1" t="n">
        <v>188</v>
      </c>
      <c r="B189" s="1" t="n">
        <v>77.8</v>
      </c>
      <c r="C189" s="1" t="n">
        <v>-37.8</v>
      </c>
      <c r="D189" s="1" t="n">
        <v>-14.1</v>
      </c>
      <c r="E189" s="2" t="n">
        <v>1.6</v>
      </c>
      <c r="F189" s="2" t="n">
        <v>187</v>
      </c>
      <c r="G189" s="2" t="n">
        <v>77</v>
      </c>
      <c r="H189" s="2" t="n">
        <v>-36.4</v>
      </c>
      <c r="I189" s="2" t="n">
        <v>-14.1</v>
      </c>
      <c r="J189" s="2" t="n">
        <v>25.96295278</v>
      </c>
    </row>
    <row r="190" customFormat="false" ht="15.8" hidden="false" customHeight="false" outlineLevel="0" collapsed="false">
      <c r="A190" s="1" t="n">
        <v>189</v>
      </c>
      <c r="B190" s="1" t="n">
        <v>64</v>
      </c>
      <c r="C190" s="1" t="n">
        <v>-41</v>
      </c>
      <c r="D190" s="1" t="n">
        <v>-21.1</v>
      </c>
      <c r="E190" s="2" t="n">
        <v>2.9</v>
      </c>
      <c r="F190" s="2" t="n">
        <v>140</v>
      </c>
      <c r="G190" s="2" t="n">
        <v>61.8</v>
      </c>
      <c r="H190" s="2" t="n">
        <v>-42.9</v>
      </c>
      <c r="I190" s="2" t="n">
        <v>-21.1</v>
      </c>
      <c r="J190" s="2" t="n">
        <v>11.89467599</v>
      </c>
    </row>
    <row r="191" customFormat="false" ht="15.8" hidden="false" customHeight="false" outlineLevel="0" collapsed="false">
      <c r="A191" s="1" t="n">
        <v>190</v>
      </c>
      <c r="B191" s="1" t="n">
        <v>66.5</v>
      </c>
      <c r="C191" s="1" t="n">
        <v>-45.1</v>
      </c>
      <c r="D191" s="1" t="n">
        <v>-21.8</v>
      </c>
      <c r="E191" s="2" t="n">
        <v>2.1</v>
      </c>
      <c r="F191" s="2" t="n">
        <v>195</v>
      </c>
      <c r="G191" s="2" t="n">
        <v>67.8</v>
      </c>
      <c r="H191" s="2" t="n">
        <v>-44.4</v>
      </c>
      <c r="I191" s="2" t="n">
        <v>-23.3</v>
      </c>
      <c r="J191" s="2" t="n">
        <v>15.43573507</v>
      </c>
    </row>
    <row r="192" customFormat="false" ht="15.8" hidden="false" customHeight="false" outlineLevel="0" collapsed="false">
      <c r="A192" s="1" t="n">
        <v>191</v>
      </c>
      <c r="B192" s="1" t="n">
        <v>64.1</v>
      </c>
      <c r="C192" s="1" t="n">
        <v>-49.8</v>
      </c>
      <c r="D192" s="1" t="n">
        <v>-21.5</v>
      </c>
      <c r="E192" s="2" t="n">
        <v>1.8</v>
      </c>
      <c r="F192" s="2" t="n">
        <v>193</v>
      </c>
      <c r="G192" s="2" t="n">
        <v>62.8</v>
      </c>
      <c r="H192" s="2" t="n">
        <v>-48.8</v>
      </c>
      <c r="I192" s="2" t="n">
        <v>-20.7</v>
      </c>
      <c r="J192" s="2" t="n">
        <v>15.79141276</v>
      </c>
    </row>
    <row r="193" customFormat="false" ht="15.8" hidden="false" customHeight="false" outlineLevel="0" collapsed="false">
      <c r="A193" s="1" t="n">
        <v>192</v>
      </c>
      <c r="B193" s="1" t="n">
        <v>63.5</v>
      </c>
      <c r="C193" s="1" t="n">
        <v>-47.7</v>
      </c>
      <c r="D193" s="1" t="n">
        <v>-21.1</v>
      </c>
      <c r="E193" s="2" t="n">
        <v>1.4</v>
      </c>
      <c r="F193" s="2" t="n">
        <v>193</v>
      </c>
      <c r="G193" s="2" t="n">
        <v>62.8</v>
      </c>
      <c r="H193" s="2" t="n">
        <v>-48.8</v>
      </c>
      <c r="I193" s="2" t="n">
        <v>-20.7</v>
      </c>
      <c r="J193" s="2" t="n">
        <v>13.96584108</v>
      </c>
    </row>
    <row r="194" customFormat="false" ht="15.8" hidden="false" customHeight="false" outlineLevel="0" collapsed="false">
      <c r="A194" s="1" t="n">
        <v>193</v>
      </c>
      <c r="B194" s="1" t="n">
        <v>62.8</v>
      </c>
      <c r="C194" s="1" t="n">
        <v>-48.8</v>
      </c>
      <c r="D194" s="1" t="n">
        <v>-20.7</v>
      </c>
      <c r="E194" s="2" t="n">
        <v>1.2</v>
      </c>
      <c r="F194" s="2" t="n">
        <v>194</v>
      </c>
      <c r="G194" s="2" t="n">
        <v>62.1</v>
      </c>
      <c r="H194" s="2" t="n">
        <v>-47.9</v>
      </c>
      <c r="I194" s="2" t="n">
        <v>-21.1</v>
      </c>
      <c r="J194" s="2" t="n">
        <v>14.06200971</v>
      </c>
    </row>
    <row r="195" customFormat="false" ht="15.8" hidden="false" customHeight="false" outlineLevel="0" collapsed="false">
      <c r="A195" s="1" t="n">
        <v>194</v>
      </c>
      <c r="B195" s="1" t="n">
        <v>62.1</v>
      </c>
      <c r="C195" s="1" t="n">
        <v>-47.9</v>
      </c>
      <c r="D195" s="1" t="n">
        <v>-21.1</v>
      </c>
      <c r="E195" s="2" t="n">
        <v>1.2</v>
      </c>
      <c r="F195" s="2" t="n">
        <v>193</v>
      </c>
      <c r="G195" s="2" t="n">
        <v>62.8</v>
      </c>
      <c r="H195" s="2" t="n">
        <v>-48.8</v>
      </c>
      <c r="I195" s="2" t="n">
        <v>-20.7</v>
      </c>
      <c r="J195" s="2" t="n">
        <v>13.00665664</v>
      </c>
    </row>
    <row r="196" customFormat="false" ht="15.8" hidden="false" customHeight="false" outlineLevel="0" collapsed="false">
      <c r="A196" s="1" t="n">
        <v>195</v>
      </c>
      <c r="B196" s="1" t="n">
        <v>67.8</v>
      </c>
      <c r="C196" s="1" t="n">
        <v>-44.4</v>
      </c>
      <c r="D196" s="1" t="n">
        <v>-23.3</v>
      </c>
      <c r="E196" s="2" t="n">
        <v>2.1</v>
      </c>
      <c r="F196" s="2" t="n">
        <v>190</v>
      </c>
      <c r="G196" s="2" t="n">
        <v>66.5</v>
      </c>
      <c r="H196" s="2" t="n">
        <v>-45.1</v>
      </c>
      <c r="I196" s="2" t="n">
        <v>-21.8</v>
      </c>
      <c r="J196" s="2" t="n">
        <v>16.72604308</v>
      </c>
    </row>
    <row r="197" customFormat="false" ht="15.8" hidden="false" customHeight="false" outlineLevel="0" collapsed="false">
      <c r="A197" s="1" t="n">
        <v>196</v>
      </c>
      <c r="B197" s="1" t="n">
        <v>69.3</v>
      </c>
      <c r="C197" s="1" t="n">
        <v>-47.9</v>
      </c>
      <c r="D197" s="1" t="n">
        <v>-26.3</v>
      </c>
      <c r="E197" s="2" t="n">
        <v>4</v>
      </c>
      <c r="F197" s="2" t="n">
        <v>197</v>
      </c>
      <c r="G197" s="2" t="n">
        <v>68.1</v>
      </c>
      <c r="H197" s="2" t="n">
        <v>-48.6</v>
      </c>
      <c r="I197" s="2" t="n">
        <v>-22.6</v>
      </c>
      <c r="J197" s="2" t="n">
        <v>20.22779071</v>
      </c>
    </row>
    <row r="198" customFormat="false" ht="15.8" hidden="false" customHeight="false" outlineLevel="0" collapsed="false">
      <c r="A198" s="1" t="n">
        <v>197</v>
      </c>
      <c r="B198" s="1" t="n">
        <v>68.1</v>
      </c>
      <c r="C198" s="1" t="n">
        <v>-48.6</v>
      </c>
      <c r="D198" s="1" t="n">
        <v>-22.6</v>
      </c>
      <c r="E198" s="2" t="n">
        <v>1.5</v>
      </c>
      <c r="F198" s="2" t="n">
        <v>198</v>
      </c>
      <c r="G198" s="2" t="n">
        <v>68.4</v>
      </c>
      <c r="H198" s="2" t="n">
        <v>-49.9</v>
      </c>
      <c r="I198" s="2" t="n">
        <v>-21.8</v>
      </c>
      <c r="J198" s="2" t="n">
        <v>18.50528349</v>
      </c>
    </row>
    <row r="199" customFormat="false" ht="15.8" hidden="false" customHeight="false" outlineLevel="0" collapsed="false">
      <c r="A199" s="1" t="n">
        <v>198</v>
      </c>
      <c r="B199" s="1" t="n">
        <v>68.4</v>
      </c>
      <c r="C199" s="1" t="n">
        <v>-49.9</v>
      </c>
      <c r="D199" s="1" t="n">
        <v>-21.8</v>
      </c>
      <c r="E199" s="2" t="n">
        <v>1.5</v>
      </c>
      <c r="F199" s="2" t="n">
        <v>197</v>
      </c>
      <c r="G199" s="2" t="n">
        <v>68.1</v>
      </c>
      <c r="H199" s="2" t="n">
        <v>-48.6</v>
      </c>
      <c r="I199" s="2" t="n">
        <v>-22.6</v>
      </c>
      <c r="J199" s="2" t="n">
        <v>19.2952978</v>
      </c>
    </row>
    <row r="200" customFormat="false" ht="15.8" hidden="false" customHeight="false" outlineLevel="0" collapsed="false">
      <c r="A200" s="1" t="n">
        <v>199</v>
      </c>
      <c r="B200" s="1" t="n">
        <v>74.3</v>
      </c>
      <c r="C200" s="1" t="n">
        <v>-52.2</v>
      </c>
      <c r="D200" s="1" t="n">
        <v>-22.2</v>
      </c>
      <c r="E200" s="2" t="n">
        <v>1.2</v>
      </c>
      <c r="F200" s="2" t="n">
        <v>200</v>
      </c>
      <c r="G200" s="2" t="n">
        <v>73.4</v>
      </c>
      <c r="H200" s="2" t="n">
        <v>-52.2</v>
      </c>
      <c r="I200" s="2" t="n">
        <v>-22.9</v>
      </c>
      <c r="J200" s="2" t="n">
        <v>25.52774798</v>
      </c>
    </row>
    <row r="201" customFormat="false" ht="15.8" hidden="false" customHeight="false" outlineLevel="0" collapsed="false">
      <c r="A201" s="1" t="n">
        <v>200</v>
      </c>
      <c r="B201" s="1" t="n">
        <v>73.4</v>
      </c>
      <c r="C201" s="1" t="n">
        <v>-52.2</v>
      </c>
      <c r="D201" s="1" t="n">
        <v>-22.9</v>
      </c>
      <c r="E201" s="2" t="n">
        <v>1.2</v>
      </c>
      <c r="F201" s="2" t="n">
        <v>199</v>
      </c>
      <c r="G201" s="2" t="n">
        <v>74.3</v>
      </c>
      <c r="H201" s="2" t="n">
        <v>-52.2</v>
      </c>
      <c r="I201" s="2" t="n">
        <v>-22.2</v>
      </c>
      <c r="J201" s="2" t="n">
        <v>24.85713815</v>
      </c>
    </row>
    <row r="202" customFormat="false" ht="15.8" hidden="false" customHeight="false" outlineLevel="0" collapsed="false">
      <c r="A202" s="1" t="n">
        <v>201</v>
      </c>
      <c r="B202" s="1" t="n">
        <v>72.4</v>
      </c>
      <c r="C202" s="1" t="n">
        <v>-53.2</v>
      </c>
      <c r="D202" s="1" t="n">
        <v>-21.5</v>
      </c>
      <c r="E202" s="2" t="n">
        <v>2</v>
      </c>
      <c r="F202" s="2" t="n">
        <v>200</v>
      </c>
      <c r="G202" s="2" t="n">
        <v>73.4</v>
      </c>
      <c r="H202" s="2" t="n">
        <v>-52.2</v>
      </c>
      <c r="I202" s="2" t="n">
        <v>-22.9</v>
      </c>
      <c r="J202" s="2" t="n">
        <v>24.38168405</v>
      </c>
    </row>
    <row r="203" customFormat="false" ht="15.8" hidden="false" customHeight="false" outlineLevel="0" collapsed="false">
      <c r="A203" s="1" t="n">
        <v>202</v>
      </c>
      <c r="B203" s="1" t="n">
        <v>72.9</v>
      </c>
      <c r="C203" s="1" t="n">
        <v>-48.5</v>
      </c>
      <c r="D203" s="1" t="n">
        <v>-21.5</v>
      </c>
      <c r="E203" s="2" t="n">
        <v>1.6</v>
      </c>
      <c r="F203" s="2" t="n">
        <v>203</v>
      </c>
      <c r="G203" s="2" t="n">
        <v>73.9</v>
      </c>
      <c r="H203" s="2" t="n">
        <v>-49.2</v>
      </c>
      <c r="I203" s="2" t="n">
        <v>-22.6</v>
      </c>
      <c r="J203" s="2" t="n">
        <v>22.54083222</v>
      </c>
    </row>
    <row r="204" customFormat="false" ht="15.8" hidden="false" customHeight="false" outlineLevel="0" collapsed="false">
      <c r="A204" s="1" t="n">
        <v>203</v>
      </c>
      <c r="B204" s="1" t="n">
        <v>73.9</v>
      </c>
      <c r="C204" s="1" t="n">
        <v>-49.2</v>
      </c>
      <c r="D204" s="1" t="n">
        <v>-22.6</v>
      </c>
      <c r="E204" s="2" t="n">
        <v>1.6</v>
      </c>
      <c r="F204" s="2" t="n">
        <v>202</v>
      </c>
      <c r="G204" s="2" t="n">
        <v>72.9</v>
      </c>
      <c r="H204" s="2" t="n">
        <v>-48.5</v>
      </c>
      <c r="I204" s="2" t="n">
        <v>-21.5</v>
      </c>
      <c r="J204" s="2" t="n">
        <v>23.86987049</v>
      </c>
    </row>
    <row r="205" customFormat="false" ht="15.8" hidden="false" customHeight="false" outlineLevel="0" collapsed="false">
      <c r="A205" s="1" t="n">
        <v>204</v>
      </c>
      <c r="B205" s="1" t="n">
        <v>73</v>
      </c>
      <c r="C205" s="1" t="n">
        <v>-46.7</v>
      </c>
      <c r="D205" s="1" t="n">
        <v>-21.8</v>
      </c>
      <c r="E205" s="2" t="n">
        <v>1.9</v>
      </c>
      <c r="F205" s="2" t="n">
        <v>202</v>
      </c>
      <c r="G205" s="2" t="n">
        <v>72.9</v>
      </c>
      <c r="H205" s="2" t="n">
        <v>-48.5</v>
      </c>
      <c r="I205" s="2" t="n">
        <v>-21.5</v>
      </c>
      <c r="J205" s="2" t="n">
        <v>22.01372565</v>
      </c>
    </row>
    <row r="206" customFormat="false" ht="15.8" hidden="false" customHeight="false" outlineLevel="0" collapsed="false">
      <c r="A206" s="1" t="n">
        <v>205</v>
      </c>
      <c r="B206" s="1" t="n">
        <v>64.9</v>
      </c>
      <c r="C206" s="1" t="n">
        <v>-48.5</v>
      </c>
      <c r="D206" s="1" t="n">
        <v>-24.4</v>
      </c>
      <c r="E206" s="2" t="n">
        <v>2</v>
      </c>
      <c r="F206" s="2" t="n">
        <v>206</v>
      </c>
      <c r="G206" s="2" t="n">
        <v>65.4</v>
      </c>
      <c r="H206" s="2" t="n">
        <v>-49</v>
      </c>
      <c r="I206" s="2" t="n">
        <v>-26.3</v>
      </c>
      <c r="J206" s="2" t="n">
        <v>16.31471474</v>
      </c>
    </row>
    <row r="207" customFormat="false" ht="15.8" hidden="false" customHeight="false" outlineLevel="0" collapsed="false">
      <c r="A207" s="1" t="n">
        <v>206</v>
      </c>
      <c r="B207" s="1" t="n">
        <v>65.4</v>
      </c>
      <c r="C207" s="1" t="n">
        <v>-49</v>
      </c>
      <c r="D207" s="1" t="n">
        <v>-26.3</v>
      </c>
      <c r="E207" s="2" t="n">
        <v>2</v>
      </c>
      <c r="F207" s="2" t="n">
        <v>205</v>
      </c>
      <c r="G207" s="2" t="n">
        <v>64.9</v>
      </c>
      <c r="H207" s="2" t="n">
        <v>-48.5</v>
      </c>
      <c r="I207" s="2" t="n">
        <v>-24.4</v>
      </c>
      <c r="J207" s="2" t="n">
        <v>17.66464596</v>
      </c>
    </row>
    <row r="208" customFormat="false" ht="15.8" hidden="false" customHeight="false" outlineLevel="0" collapsed="false">
      <c r="A208" s="1" t="n">
        <v>207</v>
      </c>
      <c r="B208" s="1" t="n">
        <v>66.6</v>
      </c>
      <c r="C208" s="1" t="n">
        <v>-51</v>
      </c>
      <c r="D208" s="1" t="n">
        <v>-24.1</v>
      </c>
      <c r="E208" s="2" t="n">
        <v>3.1</v>
      </c>
      <c r="F208" s="2" t="n">
        <v>205</v>
      </c>
      <c r="G208" s="2" t="n">
        <v>64.9</v>
      </c>
      <c r="H208" s="2" t="n">
        <v>-48.5</v>
      </c>
      <c r="I208" s="2" t="n">
        <v>-24.4</v>
      </c>
      <c r="J208" s="2" t="n">
        <v>18.96758596</v>
      </c>
    </row>
    <row r="209" customFormat="false" ht="15.8" hidden="false" customHeight="false" outlineLevel="0" collapsed="false">
      <c r="A209" s="1" t="n">
        <v>208</v>
      </c>
      <c r="B209" s="1" t="n">
        <v>62.6</v>
      </c>
      <c r="C209" s="1" t="n">
        <v>-55.7</v>
      </c>
      <c r="D209" s="1" t="n">
        <v>-26.3</v>
      </c>
      <c r="E209" s="2" t="n">
        <v>1.7</v>
      </c>
      <c r="F209" s="2" t="n">
        <v>209</v>
      </c>
      <c r="G209" s="2" t="n">
        <v>61.2</v>
      </c>
      <c r="H209" s="2" t="n">
        <v>-56.4</v>
      </c>
      <c r="I209" s="2" t="n">
        <v>-27</v>
      </c>
      <c r="J209" s="2" t="n">
        <v>20.47134869</v>
      </c>
    </row>
    <row r="210" customFormat="false" ht="15.8" hidden="false" customHeight="false" outlineLevel="0" collapsed="false">
      <c r="A210" s="1" t="n">
        <v>209</v>
      </c>
      <c r="B210" s="1" t="n">
        <v>61.2</v>
      </c>
      <c r="C210" s="1" t="n">
        <v>-56.4</v>
      </c>
      <c r="D210" s="1" t="n">
        <v>-27</v>
      </c>
      <c r="E210" s="2" t="n">
        <v>1.7</v>
      </c>
      <c r="F210" s="2" t="n">
        <v>208</v>
      </c>
      <c r="G210" s="2" t="n">
        <v>62.6</v>
      </c>
      <c r="H210" s="2" t="n">
        <v>-55.7</v>
      </c>
      <c r="I210" s="2" t="n">
        <v>-26.3</v>
      </c>
      <c r="J210" s="2" t="n">
        <v>20.64405282</v>
      </c>
    </row>
    <row r="211" customFormat="false" ht="15.8" hidden="false" customHeight="false" outlineLevel="0" collapsed="false">
      <c r="A211" s="1" t="n">
        <v>210</v>
      </c>
      <c r="B211" s="1" t="n">
        <v>64.3</v>
      </c>
      <c r="C211" s="1" t="n">
        <v>-52.9</v>
      </c>
      <c r="D211" s="1" t="n">
        <v>-24.8</v>
      </c>
      <c r="E211" s="2" t="n">
        <v>3.1</v>
      </c>
      <c r="F211" s="2" t="n">
        <v>207</v>
      </c>
      <c r="G211" s="2" t="n">
        <v>66.6</v>
      </c>
      <c r="H211" s="2" t="n">
        <v>-51</v>
      </c>
      <c r="I211" s="2" t="n">
        <v>-24.1</v>
      </c>
      <c r="J211" s="2" t="n">
        <v>18.82672348</v>
      </c>
    </row>
    <row r="212" customFormat="false" ht="15.8" hidden="false" customHeight="false" outlineLevel="0" collapsed="false">
      <c r="A212" s="1" t="n">
        <v>211</v>
      </c>
      <c r="B212" s="1" t="n">
        <v>66.7</v>
      </c>
      <c r="C212" s="1" t="n">
        <v>-42</v>
      </c>
      <c r="D212" s="1" t="n">
        <v>-21.5</v>
      </c>
      <c r="E212" s="2" t="n">
        <v>1.9</v>
      </c>
      <c r="F212" s="2" t="n">
        <v>212</v>
      </c>
      <c r="G212" s="2" t="n">
        <v>67.7</v>
      </c>
      <c r="H212" s="2" t="n">
        <v>-40.5</v>
      </c>
      <c r="I212" s="2" t="n">
        <v>-21.1</v>
      </c>
      <c r="J212" s="2" t="n">
        <v>14.74181525</v>
      </c>
    </row>
    <row r="213" customFormat="false" ht="15.8" hidden="false" customHeight="false" outlineLevel="0" collapsed="false">
      <c r="A213" s="1" t="n">
        <v>212</v>
      </c>
      <c r="B213" s="1" t="n">
        <v>67.7</v>
      </c>
      <c r="C213" s="1" t="n">
        <v>-40.5</v>
      </c>
      <c r="D213" s="1" t="n">
        <v>-21.1</v>
      </c>
      <c r="E213" s="2" t="n">
        <v>0.2</v>
      </c>
      <c r="F213" s="2" t="n">
        <v>147</v>
      </c>
      <c r="G213" s="2" t="n">
        <v>67.9</v>
      </c>
      <c r="H213" s="2" t="n">
        <v>-40.6</v>
      </c>
      <c r="I213" s="2" t="n">
        <v>-21.1</v>
      </c>
      <c r="J213" s="2" t="n">
        <v>15.49039435</v>
      </c>
    </row>
    <row r="214" customFormat="false" ht="15.8" hidden="false" customHeight="false" outlineLevel="0" collapsed="false">
      <c r="A214" s="1" t="n">
        <v>213</v>
      </c>
      <c r="B214" s="1" t="n">
        <v>68.5</v>
      </c>
      <c r="C214" s="1" t="n">
        <v>-43.4</v>
      </c>
      <c r="D214" s="1" t="n">
        <v>-17.4</v>
      </c>
      <c r="E214" s="2" t="n">
        <v>1.4</v>
      </c>
      <c r="F214" s="2" t="n">
        <v>214</v>
      </c>
      <c r="G214" s="2" t="n">
        <v>67.5</v>
      </c>
      <c r="H214" s="2" t="n">
        <v>-43.9</v>
      </c>
      <c r="I214" s="2" t="n">
        <v>-16.6</v>
      </c>
      <c r="J214" s="2" t="n">
        <v>16.67323355</v>
      </c>
    </row>
    <row r="215" customFormat="false" ht="15.8" hidden="false" customHeight="false" outlineLevel="0" collapsed="false">
      <c r="A215" s="1" t="n">
        <v>214</v>
      </c>
      <c r="B215" s="1" t="n">
        <v>67.5</v>
      </c>
      <c r="C215" s="1" t="n">
        <v>-43.9</v>
      </c>
      <c r="D215" s="1" t="n">
        <v>-16.6</v>
      </c>
      <c r="E215" s="2" t="n">
        <v>1.4</v>
      </c>
      <c r="F215" s="2" t="n">
        <v>213</v>
      </c>
      <c r="G215" s="2" t="n">
        <v>68.5</v>
      </c>
      <c r="H215" s="2" t="n">
        <v>-43.4</v>
      </c>
      <c r="I215" s="2" t="n">
        <v>-17.4</v>
      </c>
      <c r="J215" s="2" t="n">
        <v>15.9439994</v>
      </c>
    </row>
    <row r="216" customFormat="false" ht="15.8" hidden="false" customHeight="false" outlineLevel="0" collapsed="false">
      <c r="A216" s="1" t="n">
        <v>215</v>
      </c>
      <c r="B216" s="1" t="n">
        <v>61.2</v>
      </c>
      <c r="C216" s="1" t="n">
        <v>-29.2</v>
      </c>
      <c r="D216" s="1" t="n">
        <v>-22.2</v>
      </c>
      <c r="E216" s="2" t="n">
        <v>2.5</v>
      </c>
      <c r="F216" s="2" t="n">
        <v>322</v>
      </c>
      <c r="G216" s="2" t="n">
        <v>59.3</v>
      </c>
      <c r="H216" s="2" t="n">
        <v>-28.5</v>
      </c>
      <c r="I216" s="2" t="n">
        <v>-20.7</v>
      </c>
      <c r="J216" s="2" t="n">
        <v>13.92210175</v>
      </c>
    </row>
    <row r="217" customFormat="false" ht="15.8" hidden="false" customHeight="false" outlineLevel="0" collapsed="false">
      <c r="A217" s="1" t="n">
        <v>216</v>
      </c>
      <c r="B217" s="1" t="n">
        <v>63.7</v>
      </c>
      <c r="C217" s="1" t="n">
        <v>-30.4</v>
      </c>
      <c r="D217" s="1" t="n">
        <v>-19.2</v>
      </c>
      <c r="E217" s="2" t="n">
        <v>3.9</v>
      </c>
      <c r="F217" s="2" t="n">
        <v>178</v>
      </c>
      <c r="G217" s="2" t="n">
        <v>65.5</v>
      </c>
      <c r="H217" s="2" t="n">
        <v>-33.5</v>
      </c>
      <c r="I217" s="2" t="n">
        <v>-17.8</v>
      </c>
      <c r="J217" s="2" t="n">
        <v>14.53114989</v>
      </c>
    </row>
    <row r="218" customFormat="false" ht="15.8" hidden="false" customHeight="false" outlineLevel="0" collapsed="false">
      <c r="A218" s="1" t="n">
        <v>217</v>
      </c>
      <c r="B218" s="1" t="n">
        <v>64.5</v>
      </c>
      <c r="C218" s="1" t="n">
        <v>-36.1</v>
      </c>
      <c r="D218" s="1" t="n">
        <v>-20.7</v>
      </c>
      <c r="E218" s="2" t="n">
        <v>1.7</v>
      </c>
      <c r="F218" s="2" t="n">
        <v>220</v>
      </c>
      <c r="G218" s="2" t="n">
        <v>64.7</v>
      </c>
      <c r="H218" s="2" t="n">
        <v>-37.6</v>
      </c>
      <c r="I218" s="2" t="n">
        <v>-21.5</v>
      </c>
      <c r="J218" s="2" t="n">
        <v>12.69829583</v>
      </c>
    </row>
    <row r="219" customFormat="false" ht="15.8" hidden="false" customHeight="false" outlineLevel="0" collapsed="false">
      <c r="A219" s="1" t="n">
        <v>218</v>
      </c>
      <c r="B219" s="1" t="n">
        <v>62.4</v>
      </c>
      <c r="C219" s="1" t="n">
        <v>-35.1</v>
      </c>
      <c r="D219" s="1" t="n">
        <v>-20</v>
      </c>
      <c r="E219" s="2" t="n">
        <v>2.4</v>
      </c>
      <c r="F219" s="2" t="n">
        <v>217</v>
      </c>
      <c r="G219" s="2" t="n">
        <v>64.5</v>
      </c>
      <c r="H219" s="2" t="n">
        <v>-36.1</v>
      </c>
      <c r="I219" s="2" t="n">
        <v>-20.7</v>
      </c>
      <c r="J219" s="2" t="n">
        <v>10.98878142</v>
      </c>
    </row>
    <row r="220" customFormat="false" ht="15.8" hidden="false" customHeight="false" outlineLevel="0" collapsed="false">
      <c r="A220" s="1" t="n">
        <v>219</v>
      </c>
      <c r="B220" s="1" t="n">
        <v>65.8</v>
      </c>
      <c r="C220" s="1" t="n">
        <v>-38</v>
      </c>
      <c r="D220" s="1" t="n">
        <v>-19.6</v>
      </c>
      <c r="E220" s="2" t="n">
        <v>2.2</v>
      </c>
      <c r="F220" s="2" t="n">
        <v>220</v>
      </c>
      <c r="G220" s="2" t="n">
        <v>64.7</v>
      </c>
      <c r="H220" s="2" t="n">
        <v>-37.6</v>
      </c>
      <c r="I220" s="2" t="n">
        <v>-21.5</v>
      </c>
      <c r="J220" s="2" t="n">
        <v>13.51922028</v>
      </c>
    </row>
    <row r="221" customFormat="false" ht="15.8" hidden="false" customHeight="false" outlineLevel="0" collapsed="false">
      <c r="A221" s="1" t="n">
        <v>220</v>
      </c>
      <c r="B221" s="1" t="n">
        <v>64.7</v>
      </c>
      <c r="C221" s="1" t="n">
        <v>-37.6</v>
      </c>
      <c r="D221" s="1" t="n">
        <v>-21.5</v>
      </c>
      <c r="E221" s="2" t="n">
        <v>1.7</v>
      </c>
      <c r="F221" s="2" t="n">
        <v>217</v>
      </c>
      <c r="G221" s="2" t="n">
        <v>64.5</v>
      </c>
      <c r="H221" s="2" t="n">
        <v>-36.1</v>
      </c>
      <c r="I221" s="2" t="n">
        <v>-20.7</v>
      </c>
      <c r="J221" s="2" t="n">
        <v>12.70497214</v>
      </c>
    </row>
    <row r="222" customFormat="false" ht="15.8" hidden="false" customHeight="false" outlineLevel="0" collapsed="false">
      <c r="A222" s="1" t="n">
        <v>221</v>
      </c>
      <c r="B222" s="1" t="n">
        <v>58.3</v>
      </c>
      <c r="C222" s="1" t="n">
        <v>-34.3</v>
      </c>
      <c r="D222" s="1" t="n">
        <v>-25.2</v>
      </c>
      <c r="E222" s="2" t="n">
        <v>1.8</v>
      </c>
      <c r="F222" s="2" t="n">
        <v>223</v>
      </c>
      <c r="G222" s="2" t="n">
        <v>56.8</v>
      </c>
      <c r="H222" s="2" t="n">
        <v>-34.8</v>
      </c>
      <c r="I222" s="2" t="n">
        <v>-25.9</v>
      </c>
      <c r="J222" s="2" t="n">
        <v>9.985745691</v>
      </c>
    </row>
    <row r="223" customFormat="false" ht="15.8" hidden="false" customHeight="false" outlineLevel="0" collapsed="false">
      <c r="A223" s="1" t="n">
        <v>222</v>
      </c>
      <c r="B223" s="1" t="n">
        <v>55</v>
      </c>
      <c r="C223" s="1" t="n">
        <v>-33</v>
      </c>
      <c r="D223" s="1" t="n">
        <v>-22.6</v>
      </c>
      <c r="E223" s="2" t="n">
        <v>2.3</v>
      </c>
      <c r="F223" s="2" t="n">
        <v>327</v>
      </c>
      <c r="G223" s="2" t="n">
        <v>56</v>
      </c>
      <c r="H223" s="2" t="n">
        <v>-35.1</v>
      </c>
      <c r="I223" s="2" t="n">
        <v>-22.2</v>
      </c>
      <c r="J223" s="2" t="n">
        <v>7.850179425</v>
      </c>
    </row>
    <row r="224" customFormat="false" ht="15.8" hidden="false" customHeight="false" outlineLevel="0" collapsed="false">
      <c r="A224" s="1" t="n">
        <v>223</v>
      </c>
      <c r="B224" s="1" t="n">
        <v>56.8</v>
      </c>
      <c r="C224" s="1" t="n">
        <v>-34.8</v>
      </c>
      <c r="D224" s="1" t="n">
        <v>-25.9</v>
      </c>
      <c r="E224" s="2" t="n">
        <v>1.8</v>
      </c>
      <c r="F224" s="2" t="n">
        <v>221</v>
      </c>
      <c r="G224" s="2" t="n">
        <v>58.3</v>
      </c>
      <c r="H224" s="2" t="n">
        <v>-34.3</v>
      </c>
      <c r="I224" s="2" t="n">
        <v>-25.2</v>
      </c>
      <c r="J224" s="2" t="n">
        <v>9.396941896</v>
      </c>
    </row>
    <row r="225" customFormat="false" ht="15.8" hidden="false" customHeight="false" outlineLevel="0" collapsed="false">
      <c r="A225" s="1" t="n">
        <v>224</v>
      </c>
      <c r="B225" s="1" t="n">
        <v>57.1</v>
      </c>
      <c r="C225" s="1" t="n">
        <v>-35</v>
      </c>
      <c r="D225" s="1" t="n">
        <v>-22.6</v>
      </c>
      <c r="E225" s="2" t="n">
        <v>1.1</v>
      </c>
      <c r="F225" s="2" t="n">
        <v>327</v>
      </c>
      <c r="G225" s="2" t="n">
        <v>56</v>
      </c>
      <c r="H225" s="2" t="n">
        <v>-35.1</v>
      </c>
      <c r="I225" s="2" t="n">
        <v>-22.2</v>
      </c>
      <c r="J225" s="2" t="n">
        <v>7.419185737</v>
      </c>
    </row>
    <row r="226" customFormat="false" ht="15.8" hidden="false" customHeight="false" outlineLevel="0" collapsed="false">
      <c r="A226" s="1" t="n">
        <v>225</v>
      </c>
      <c r="B226" s="1" t="n">
        <v>62.9</v>
      </c>
      <c r="C226" s="1" t="n">
        <v>-36.1</v>
      </c>
      <c r="D226" s="1" t="n">
        <v>-24.4</v>
      </c>
      <c r="E226" s="2" t="n">
        <v>1.5</v>
      </c>
      <c r="F226" s="2" t="n">
        <v>226</v>
      </c>
      <c r="G226" s="2" t="n">
        <v>64</v>
      </c>
      <c r="H226" s="2" t="n">
        <v>-37.2</v>
      </c>
      <c r="I226" s="2" t="n">
        <v>-24.1</v>
      </c>
      <c r="J226" s="2" t="n">
        <v>12.27717871</v>
      </c>
    </row>
    <row r="227" customFormat="false" ht="15.8" hidden="false" customHeight="false" outlineLevel="0" collapsed="false">
      <c r="A227" s="1" t="n">
        <v>226</v>
      </c>
      <c r="B227" s="1" t="n">
        <v>64</v>
      </c>
      <c r="C227" s="1" t="n">
        <v>-37.2</v>
      </c>
      <c r="D227" s="1" t="n">
        <v>-24.1</v>
      </c>
      <c r="E227" s="2" t="n">
        <v>1.5</v>
      </c>
      <c r="F227" s="2" t="n">
        <v>225</v>
      </c>
      <c r="G227" s="2" t="n">
        <v>62.9</v>
      </c>
      <c r="H227" s="2" t="n">
        <v>-36.1</v>
      </c>
      <c r="I227" s="2" t="n">
        <v>-24.4</v>
      </c>
      <c r="J227" s="2" t="n">
        <v>12.87282863</v>
      </c>
    </row>
    <row r="228" customFormat="false" ht="15.8" hidden="false" customHeight="false" outlineLevel="0" collapsed="false">
      <c r="A228" s="1" t="n">
        <v>227</v>
      </c>
      <c r="B228" s="1" t="n">
        <v>56</v>
      </c>
      <c r="C228" s="1" t="n">
        <v>-36.5</v>
      </c>
      <c r="D228" s="1" t="n">
        <v>-24.4</v>
      </c>
      <c r="E228" s="2" t="n">
        <v>2.4</v>
      </c>
      <c r="F228" s="2" t="n">
        <v>223</v>
      </c>
      <c r="G228" s="2" t="n">
        <v>56.8</v>
      </c>
      <c r="H228" s="2" t="n">
        <v>-34.8</v>
      </c>
      <c r="I228" s="2" t="n">
        <v>-25.9</v>
      </c>
      <c r="J228" s="2" t="n">
        <v>7.108510181</v>
      </c>
    </row>
    <row r="229" customFormat="false" ht="15.8" hidden="false" customHeight="false" outlineLevel="0" collapsed="false">
      <c r="A229" s="1" t="n">
        <v>228</v>
      </c>
      <c r="B229" s="1" t="n">
        <v>59.4</v>
      </c>
      <c r="C229" s="1" t="n">
        <v>-35.7</v>
      </c>
      <c r="D229" s="1" t="n">
        <v>-22.6</v>
      </c>
      <c r="E229" s="2" t="n">
        <v>2</v>
      </c>
      <c r="F229" s="2" t="n">
        <v>229</v>
      </c>
      <c r="G229" s="2" t="n">
        <v>59.3</v>
      </c>
      <c r="H229" s="2" t="n">
        <v>-37.4</v>
      </c>
      <c r="I229" s="2" t="n">
        <v>-23.7</v>
      </c>
      <c r="J229" s="2" t="n">
        <v>8.73233743</v>
      </c>
    </row>
    <row r="230" customFormat="false" ht="15.8" hidden="false" customHeight="false" outlineLevel="0" collapsed="false">
      <c r="A230" s="1" t="n">
        <v>229</v>
      </c>
      <c r="B230" s="1" t="n">
        <v>59.3</v>
      </c>
      <c r="C230" s="1" t="n">
        <v>-37.4</v>
      </c>
      <c r="D230" s="1" t="n">
        <v>-23.7</v>
      </c>
      <c r="E230" s="2" t="n">
        <v>2</v>
      </c>
      <c r="F230" s="2" t="n">
        <v>228</v>
      </c>
      <c r="G230" s="2" t="n">
        <v>59.4</v>
      </c>
      <c r="H230" s="2" t="n">
        <v>-35.7</v>
      </c>
      <c r="I230" s="2" t="n">
        <v>-22.6</v>
      </c>
      <c r="J230" s="2" t="n">
        <v>8.589663381</v>
      </c>
    </row>
    <row r="231" customFormat="false" ht="15.8" hidden="false" customHeight="false" outlineLevel="0" collapsed="false">
      <c r="A231" s="1" t="n">
        <v>230</v>
      </c>
      <c r="B231" s="1" t="n">
        <v>61.9</v>
      </c>
      <c r="C231" s="1" t="n">
        <v>-37.1</v>
      </c>
      <c r="D231" s="1" t="n">
        <v>-22.6</v>
      </c>
      <c r="E231" s="2" t="n">
        <v>2.3</v>
      </c>
      <c r="F231" s="2" t="n">
        <v>225</v>
      </c>
      <c r="G231" s="2" t="n">
        <v>62.9</v>
      </c>
      <c r="H231" s="2" t="n">
        <v>-36.1</v>
      </c>
      <c r="I231" s="2" t="n">
        <v>-24.4</v>
      </c>
      <c r="J231" s="2" t="n">
        <v>10.43731369</v>
      </c>
    </row>
    <row r="232" customFormat="false" ht="15.8" hidden="false" customHeight="false" outlineLevel="0" collapsed="false">
      <c r="A232" s="1" t="n">
        <v>231</v>
      </c>
      <c r="B232" s="1" t="n">
        <v>51.9</v>
      </c>
      <c r="C232" s="1" t="n">
        <v>-42.5</v>
      </c>
      <c r="D232" s="1" t="n">
        <v>-22.6</v>
      </c>
      <c r="E232" s="2" t="n">
        <v>0.5</v>
      </c>
      <c r="F232" s="2" t="n">
        <v>338</v>
      </c>
      <c r="G232" s="2" t="n">
        <v>52</v>
      </c>
      <c r="H232" s="2" t="n">
        <v>-42</v>
      </c>
      <c r="I232" s="2" t="n">
        <v>-22.6</v>
      </c>
      <c r="J232" s="2" t="n">
        <v>4.651270472</v>
      </c>
    </row>
    <row r="233" customFormat="false" ht="15.8" hidden="false" customHeight="false" outlineLevel="0" collapsed="false">
      <c r="A233" s="1" t="n">
        <v>232</v>
      </c>
      <c r="B233" s="1" t="n">
        <v>56.5</v>
      </c>
      <c r="C233" s="1" t="n">
        <v>-43.6</v>
      </c>
      <c r="D233" s="1" t="n">
        <v>-21.1</v>
      </c>
      <c r="E233" s="2" t="n">
        <v>1.1</v>
      </c>
      <c r="F233" s="2" t="n">
        <v>234</v>
      </c>
      <c r="G233" s="2" t="n">
        <v>56.5</v>
      </c>
      <c r="H233" s="2" t="n">
        <v>-43.9</v>
      </c>
      <c r="I233" s="2" t="n">
        <v>-20</v>
      </c>
      <c r="J233" s="2" t="n">
        <v>6.156095922</v>
      </c>
    </row>
    <row r="234" customFormat="false" ht="15.8" hidden="false" customHeight="false" outlineLevel="0" collapsed="false">
      <c r="A234" s="1" t="n">
        <v>233</v>
      </c>
      <c r="B234" s="1" t="n">
        <v>54.1</v>
      </c>
      <c r="C234" s="1" t="n">
        <v>-42.2</v>
      </c>
      <c r="D234" s="1" t="n">
        <v>-22.2</v>
      </c>
      <c r="E234" s="2" t="n">
        <v>2.2</v>
      </c>
      <c r="F234" s="2" t="n">
        <v>338</v>
      </c>
      <c r="G234" s="2" t="n">
        <v>52</v>
      </c>
      <c r="H234" s="2" t="n">
        <v>-42</v>
      </c>
      <c r="I234" s="2" t="n">
        <v>-22.6</v>
      </c>
      <c r="J234" s="2" t="n">
        <v>4.473915176</v>
      </c>
    </row>
    <row r="235" customFormat="false" ht="15.8" hidden="false" customHeight="false" outlineLevel="0" collapsed="false">
      <c r="A235" s="1" t="n">
        <v>234</v>
      </c>
      <c r="B235" s="1" t="n">
        <v>56.5</v>
      </c>
      <c r="C235" s="1" t="n">
        <v>-43.9</v>
      </c>
      <c r="D235" s="1" t="n">
        <v>-20</v>
      </c>
      <c r="E235" s="2" t="n">
        <v>1.1</v>
      </c>
      <c r="F235" s="2" t="n">
        <v>232</v>
      </c>
      <c r="G235" s="2" t="n">
        <v>56.5</v>
      </c>
      <c r="H235" s="2" t="n">
        <v>-43.6</v>
      </c>
      <c r="I235" s="2" t="n">
        <v>-21.1</v>
      </c>
      <c r="J235" s="2" t="n">
        <v>6.09900951</v>
      </c>
    </row>
    <row r="236" customFormat="false" ht="15.8" hidden="false" customHeight="false" outlineLevel="0" collapsed="false">
      <c r="A236" s="1" t="n">
        <v>235</v>
      </c>
      <c r="B236" s="1" t="n">
        <v>56.7</v>
      </c>
      <c r="C236" s="1" t="n">
        <v>-46.1</v>
      </c>
      <c r="D236" s="1" t="n">
        <v>-22.9</v>
      </c>
      <c r="E236" s="2" t="n">
        <v>0.8</v>
      </c>
      <c r="F236" s="2" t="n">
        <v>244</v>
      </c>
      <c r="G236" s="2" t="n">
        <v>56.7</v>
      </c>
      <c r="H236" s="2" t="n">
        <v>-45.8</v>
      </c>
      <c r="I236" s="2" t="n">
        <v>-23.7</v>
      </c>
      <c r="J236" s="2" t="n">
        <v>8.766476886</v>
      </c>
    </row>
    <row r="237" customFormat="false" ht="15.8" hidden="false" customHeight="false" outlineLevel="0" collapsed="false">
      <c r="A237" s="1" t="n">
        <v>236</v>
      </c>
      <c r="B237" s="1" t="n">
        <v>56</v>
      </c>
      <c r="C237" s="1" t="n">
        <v>-41.6</v>
      </c>
      <c r="D237" s="1" t="n">
        <v>-25.5</v>
      </c>
      <c r="E237" s="2" t="n">
        <v>1.7</v>
      </c>
      <c r="F237" s="2" t="n">
        <v>237</v>
      </c>
      <c r="G237" s="2" t="n">
        <v>56.6</v>
      </c>
      <c r="H237" s="2" t="n">
        <v>-42.3</v>
      </c>
      <c r="I237" s="2" t="n">
        <v>-24.1</v>
      </c>
      <c r="J237" s="2" t="n">
        <v>7.669896805</v>
      </c>
    </row>
    <row r="238" customFormat="false" ht="15.8" hidden="false" customHeight="false" outlineLevel="0" collapsed="false">
      <c r="A238" s="1" t="n">
        <v>237</v>
      </c>
      <c r="B238" s="1" t="n">
        <v>56.6</v>
      </c>
      <c r="C238" s="1" t="n">
        <v>-42.3</v>
      </c>
      <c r="D238" s="1" t="n">
        <v>-24.1</v>
      </c>
      <c r="E238" s="2" t="n">
        <v>1.3</v>
      </c>
      <c r="F238" s="2" t="n">
        <v>243</v>
      </c>
      <c r="G238" s="2" t="n">
        <v>56.4</v>
      </c>
      <c r="H238" s="2" t="n">
        <v>-43.3</v>
      </c>
      <c r="I238" s="2" t="n">
        <v>-24.8</v>
      </c>
      <c r="J238" s="2" t="n">
        <v>7.136449888</v>
      </c>
    </row>
    <row r="239" customFormat="false" ht="15.8" hidden="false" customHeight="false" outlineLevel="0" collapsed="false">
      <c r="A239" s="1" t="n">
        <v>238</v>
      </c>
      <c r="B239" s="1" t="n">
        <v>55.7</v>
      </c>
      <c r="C239" s="1" t="n">
        <v>-44.7</v>
      </c>
      <c r="D239" s="1" t="n">
        <v>-25.5</v>
      </c>
      <c r="E239" s="2" t="n">
        <v>1.7</v>
      </c>
      <c r="F239" s="2" t="n">
        <v>243</v>
      </c>
      <c r="G239" s="2" t="n">
        <v>56.4</v>
      </c>
      <c r="H239" s="2" t="n">
        <v>-43.3</v>
      </c>
      <c r="I239" s="2" t="n">
        <v>-24.8</v>
      </c>
      <c r="J239" s="2" t="n">
        <v>8.907722324</v>
      </c>
    </row>
    <row r="240" customFormat="false" ht="15.8" hidden="false" customHeight="false" outlineLevel="0" collapsed="false">
      <c r="A240" s="1" t="n">
        <v>239</v>
      </c>
      <c r="B240" s="1" t="n">
        <v>60.7</v>
      </c>
      <c r="C240" s="1" t="n">
        <v>-41.5</v>
      </c>
      <c r="D240" s="1" t="n">
        <v>-22.9</v>
      </c>
      <c r="E240" s="2" t="n">
        <v>1.7</v>
      </c>
      <c r="F240" s="2" t="n">
        <v>240</v>
      </c>
      <c r="G240" s="2" t="n">
        <v>59.9</v>
      </c>
      <c r="H240" s="2" t="n">
        <v>-42.8</v>
      </c>
      <c r="I240" s="2" t="n">
        <v>-23.7</v>
      </c>
      <c r="J240" s="2" t="n">
        <v>9.376988696</v>
      </c>
    </row>
    <row r="241" customFormat="false" ht="15.8" hidden="false" customHeight="false" outlineLevel="0" collapsed="false">
      <c r="A241" s="1" t="n">
        <v>240</v>
      </c>
      <c r="B241" s="1" t="n">
        <v>59.9</v>
      </c>
      <c r="C241" s="1" t="n">
        <v>-42.8</v>
      </c>
      <c r="D241" s="1" t="n">
        <v>-23.7</v>
      </c>
      <c r="E241" s="2" t="n">
        <v>1.6</v>
      </c>
      <c r="F241" s="2" t="n">
        <v>139</v>
      </c>
      <c r="G241" s="2" t="n">
        <v>59.3</v>
      </c>
      <c r="H241" s="2" t="n">
        <v>-43.7</v>
      </c>
      <c r="I241" s="2" t="n">
        <v>-22.6</v>
      </c>
      <c r="J241" s="2" t="n">
        <v>9.428102513</v>
      </c>
    </row>
    <row r="242" customFormat="false" ht="15.8" hidden="false" customHeight="false" outlineLevel="0" collapsed="false">
      <c r="A242" s="1" t="n">
        <v>241</v>
      </c>
      <c r="B242" s="1" t="n">
        <v>57.8</v>
      </c>
      <c r="C242" s="1" t="n">
        <v>-45.1</v>
      </c>
      <c r="D242" s="1" t="n">
        <v>-25.2</v>
      </c>
      <c r="E242" s="2" t="n">
        <v>1.9</v>
      </c>
      <c r="F242" s="2" t="n">
        <v>242</v>
      </c>
      <c r="G242" s="2" t="n">
        <v>57</v>
      </c>
      <c r="H242" s="2" t="n">
        <v>-43.4</v>
      </c>
      <c r="I242" s="2" t="n">
        <v>-25.5</v>
      </c>
      <c r="J242" s="2" t="n">
        <v>9.913310093</v>
      </c>
    </row>
    <row r="243" customFormat="false" ht="15.8" hidden="false" customHeight="false" outlineLevel="0" collapsed="false">
      <c r="A243" s="1" t="n">
        <v>242</v>
      </c>
      <c r="B243" s="1" t="n">
        <v>57</v>
      </c>
      <c r="C243" s="1" t="n">
        <v>-43.4</v>
      </c>
      <c r="D243" s="1" t="n">
        <v>-25.5</v>
      </c>
      <c r="E243" s="2" t="n">
        <v>1</v>
      </c>
      <c r="F243" s="2" t="n">
        <v>243</v>
      </c>
      <c r="G243" s="2" t="n">
        <v>56.4</v>
      </c>
      <c r="H243" s="2" t="n">
        <v>-43.3</v>
      </c>
      <c r="I243" s="2" t="n">
        <v>-24.8</v>
      </c>
      <c r="J243" s="2" t="n">
        <v>8.823996657</v>
      </c>
    </row>
    <row r="244" customFormat="false" ht="15.8" hidden="false" customHeight="false" outlineLevel="0" collapsed="false">
      <c r="A244" s="1" t="n">
        <v>243</v>
      </c>
      <c r="B244" s="1" t="n">
        <v>56.4</v>
      </c>
      <c r="C244" s="1" t="n">
        <v>-43.3</v>
      </c>
      <c r="D244" s="1" t="n">
        <v>-24.8</v>
      </c>
      <c r="E244" s="2" t="n">
        <v>1</v>
      </c>
      <c r="F244" s="2" t="n">
        <v>242</v>
      </c>
      <c r="G244" s="2" t="n">
        <v>57</v>
      </c>
      <c r="H244" s="2" t="n">
        <v>-43.4</v>
      </c>
      <c r="I244" s="2" t="n">
        <v>-25.5</v>
      </c>
      <c r="J244" s="2" t="n">
        <v>7.962243214</v>
      </c>
    </row>
    <row r="245" customFormat="false" ht="15.8" hidden="false" customHeight="false" outlineLevel="0" collapsed="false">
      <c r="A245" s="1" t="n">
        <v>244</v>
      </c>
      <c r="B245" s="1" t="n">
        <v>56.7</v>
      </c>
      <c r="C245" s="1" t="n">
        <v>-45.8</v>
      </c>
      <c r="D245" s="1" t="n">
        <v>-23.7</v>
      </c>
      <c r="E245" s="2" t="n">
        <v>0.8</v>
      </c>
      <c r="F245" s="2" t="n">
        <v>235</v>
      </c>
      <c r="G245" s="2" t="n">
        <v>56.7</v>
      </c>
      <c r="H245" s="2" t="n">
        <v>-46.1</v>
      </c>
      <c r="I245" s="2" t="n">
        <v>-22.9</v>
      </c>
      <c r="J245" s="2" t="n">
        <v>8.93001215</v>
      </c>
    </row>
    <row r="246" customFormat="false" ht="15.8" hidden="false" customHeight="false" outlineLevel="0" collapsed="false">
      <c r="A246" s="1" t="n">
        <v>245</v>
      </c>
      <c r="B246" s="1" t="n">
        <v>55</v>
      </c>
      <c r="C246" s="1" t="n">
        <v>-44.7</v>
      </c>
      <c r="D246" s="1" t="n">
        <v>-21.5</v>
      </c>
      <c r="E246" s="2" t="n">
        <v>1.8</v>
      </c>
      <c r="F246" s="2" t="n">
        <v>232</v>
      </c>
      <c r="G246" s="2" t="n">
        <v>56.5</v>
      </c>
      <c r="H246" s="2" t="n">
        <v>-43.6</v>
      </c>
      <c r="I246" s="2" t="n">
        <v>-21.1</v>
      </c>
      <c r="J246" s="2" t="n">
        <v>6.306704131</v>
      </c>
    </row>
    <row r="247" customFormat="false" ht="15.8" hidden="false" customHeight="false" outlineLevel="0" collapsed="false">
      <c r="A247" s="1" t="n">
        <v>246</v>
      </c>
      <c r="B247" s="1" t="n">
        <v>59</v>
      </c>
      <c r="C247" s="1" t="n">
        <v>-43.5</v>
      </c>
      <c r="D247" s="1" t="n">
        <v>-17.4</v>
      </c>
      <c r="E247" s="2" t="n">
        <v>2.4</v>
      </c>
      <c r="F247" s="2" t="n">
        <v>115</v>
      </c>
      <c r="G247" s="2" t="n">
        <v>58.6</v>
      </c>
      <c r="H247" s="2" t="n">
        <v>-45.4</v>
      </c>
      <c r="I247" s="2" t="n">
        <v>-18.9</v>
      </c>
      <c r="J247" s="2" t="n">
        <v>7.915864893</v>
      </c>
    </row>
    <row r="248" customFormat="false" ht="15.8" hidden="false" customHeight="false" outlineLevel="0" collapsed="false">
      <c r="A248" s="1" t="n">
        <v>247</v>
      </c>
      <c r="B248" s="1" t="n">
        <v>59.9</v>
      </c>
      <c r="C248" s="1" t="n">
        <v>-46.9</v>
      </c>
      <c r="D248" s="1" t="n">
        <v>-15.5</v>
      </c>
      <c r="E248" s="2" t="n">
        <v>0.5</v>
      </c>
      <c r="F248" s="2" t="n">
        <v>116</v>
      </c>
      <c r="G248" s="2" t="n">
        <v>59.6</v>
      </c>
      <c r="H248" s="2" t="n">
        <v>-47</v>
      </c>
      <c r="I248" s="2" t="n">
        <v>-15.2</v>
      </c>
      <c r="J248" s="2" t="n">
        <v>11.14001423</v>
      </c>
    </row>
    <row r="249" customFormat="false" ht="15.8" hidden="false" customHeight="false" outlineLevel="0" collapsed="false">
      <c r="A249" s="1" t="n">
        <v>248</v>
      </c>
      <c r="B249" s="1" t="n">
        <v>59.1</v>
      </c>
      <c r="C249" s="1" t="n">
        <v>-47</v>
      </c>
      <c r="D249" s="1" t="n">
        <v>-15.2</v>
      </c>
      <c r="E249" s="2" t="n">
        <v>0.5</v>
      </c>
      <c r="F249" s="2" t="n">
        <v>116</v>
      </c>
      <c r="G249" s="2" t="n">
        <v>59.6</v>
      </c>
      <c r="H249" s="2" t="n">
        <v>-47</v>
      </c>
      <c r="I249" s="2" t="n">
        <v>-15.2</v>
      </c>
      <c r="J249" s="2" t="n">
        <v>10.78997298</v>
      </c>
    </row>
    <row r="250" customFormat="false" ht="15.8" hidden="false" customHeight="false" outlineLevel="0" collapsed="false">
      <c r="A250" s="1" t="n">
        <v>249</v>
      </c>
      <c r="B250" s="1" t="n">
        <v>56.3</v>
      </c>
      <c r="C250" s="1" t="n">
        <v>-36.7</v>
      </c>
      <c r="D250" s="1" t="n">
        <v>-11.1</v>
      </c>
      <c r="E250" s="2" t="n">
        <v>0.4</v>
      </c>
      <c r="F250" s="2" t="n">
        <v>257</v>
      </c>
      <c r="G250" s="2" t="n">
        <v>56.4</v>
      </c>
      <c r="H250" s="2" t="n">
        <v>-36.6</v>
      </c>
      <c r="I250" s="2" t="n">
        <v>-10.7</v>
      </c>
      <c r="J250" s="2" t="n">
        <v>9.319480511</v>
      </c>
    </row>
    <row r="251" customFormat="false" ht="15.8" hidden="false" customHeight="false" outlineLevel="0" collapsed="false">
      <c r="A251" s="1" t="n">
        <v>250</v>
      </c>
      <c r="B251" s="1" t="n">
        <v>55</v>
      </c>
      <c r="C251" s="1" t="n">
        <v>-38.1</v>
      </c>
      <c r="D251" s="1" t="n">
        <v>-12.2</v>
      </c>
      <c r="E251" s="2" t="n">
        <v>1.9</v>
      </c>
      <c r="F251" s="2" t="n">
        <v>264</v>
      </c>
      <c r="G251" s="2" t="n">
        <v>53.5</v>
      </c>
      <c r="H251" s="2" t="n">
        <v>-37.4</v>
      </c>
      <c r="I251" s="2" t="n">
        <v>-13.3</v>
      </c>
      <c r="J251" s="2" t="n">
        <v>7.490908957</v>
      </c>
    </row>
    <row r="252" customFormat="false" ht="15.8" hidden="false" customHeight="false" outlineLevel="0" collapsed="false">
      <c r="A252" s="1" t="n">
        <v>251</v>
      </c>
      <c r="B252" s="1" t="n">
        <v>56.1</v>
      </c>
      <c r="C252" s="1" t="n">
        <v>-34.9</v>
      </c>
      <c r="D252" s="1" t="n">
        <v>-12.9</v>
      </c>
      <c r="E252" s="2" t="n">
        <v>0.8</v>
      </c>
      <c r="F252" s="2" t="n">
        <v>93</v>
      </c>
      <c r="G252" s="2" t="n">
        <v>55.9</v>
      </c>
      <c r="H252" s="2" t="n">
        <v>-34.8</v>
      </c>
      <c r="I252" s="2" t="n">
        <v>-13.7</v>
      </c>
      <c r="J252" s="2" t="n">
        <v>8.555157333</v>
      </c>
    </row>
    <row r="253" customFormat="false" ht="15.8" hidden="false" customHeight="false" outlineLevel="0" collapsed="false">
      <c r="A253" s="1" t="n">
        <v>252</v>
      </c>
      <c r="B253" s="1" t="n">
        <v>57.1</v>
      </c>
      <c r="C253" s="1" t="n">
        <v>-36.4</v>
      </c>
      <c r="D253" s="1" t="n">
        <v>-12.2</v>
      </c>
      <c r="E253" s="2" t="n">
        <v>1.4</v>
      </c>
      <c r="F253" s="2" t="n">
        <v>249</v>
      </c>
      <c r="G253" s="2" t="n">
        <v>56.3</v>
      </c>
      <c r="H253" s="2" t="n">
        <v>-36.7</v>
      </c>
      <c r="I253" s="2" t="n">
        <v>-11.1</v>
      </c>
      <c r="J253" s="2" t="n">
        <v>8.900130168</v>
      </c>
    </row>
    <row r="254" customFormat="false" ht="15.8" hidden="false" customHeight="false" outlineLevel="0" collapsed="false">
      <c r="A254" s="1" t="n">
        <v>253</v>
      </c>
      <c r="B254" s="1" t="n">
        <v>55.1</v>
      </c>
      <c r="C254" s="1" t="n">
        <v>-30.3</v>
      </c>
      <c r="D254" s="1" t="n">
        <v>-8.9</v>
      </c>
      <c r="E254" s="2" t="n">
        <v>1.5</v>
      </c>
      <c r="F254" s="2" t="n">
        <v>254</v>
      </c>
      <c r="G254" s="2" t="n">
        <v>56.3</v>
      </c>
      <c r="H254" s="2" t="n">
        <v>-30.8</v>
      </c>
      <c r="I254" s="2" t="n">
        <v>-8.1</v>
      </c>
      <c r="J254" s="2" t="n">
        <v>13.98747715</v>
      </c>
    </row>
    <row r="255" customFormat="false" ht="15.8" hidden="false" customHeight="false" outlineLevel="0" collapsed="false">
      <c r="A255" s="1" t="n">
        <v>254</v>
      </c>
      <c r="B255" s="1" t="n">
        <v>56.3</v>
      </c>
      <c r="C255" s="1" t="n">
        <v>-30.8</v>
      </c>
      <c r="D255" s="1" t="n">
        <v>-8.1</v>
      </c>
      <c r="E255" s="2" t="n">
        <v>1.5</v>
      </c>
      <c r="F255" s="2" t="n">
        <v>253</v>
      </c>
      <c r="G255" s="2" t="n">
        <v>55.1</v>
      </c>
      <c r="H255" s="2" t="n">
        <v>-30.3</v>
      </c>
      <c r="I255" s="2" t="n">
        <v>-8.9</v>
      </c>
      <c r="J255" s="2" t="n">
        <v>14.54626815</v>
      </c>
    </row>
    <row r="256" customFormat="false" ht="15.8" hidden="false" customHeight="false" outlineLevel="0" collapsed="false">
      <c r="A256" s="1" t="n">
        <v>255</v>
      </c>
      <c r="B256" s="1" t="n">
        <v>58.1</v>
      </c>
      <c r="C256" s="1" t="n">
        <v>-31.4</v>
      </c>
      <c r="D256" s="1" t="n">
        <v>-9.2</v>
      </c>
      <c r="E256" s="2" t="n">
        <v>1</v>
      </c>
      <c r="F256" s="2" t="n">
        <v>113</v>
      </c>
      <c r="G256" s="2" t="n">
        <v>59</v>
      </c>
      <c r="H256" s="2" t="n">
        <v>-31.6</v>
      </c>
      <c r="I256" s="2" t="n">
        <v>-9.6</v>
      </c>
      <c r="J256" s="2" t="n">
        <v>13.99808262</v>
      </c>
    </row>
    <row r="257" customFormat="false" ht="15.8" hidden="false" customHeight="false" outlineLevel="0" collapsed="false">
      <c r="A257" s="1" t="n">
        <v>256</v>
      </c>
      <c r="B257" s="1" t="n">
        <v>55.3</v>
      </c>
      <c r="C257" s="1" t="n">
        <v>-34.3</v>
      </c>
      <c r="D257" s="1" t="n">
        <v>-11.5</v>
      </c>
      <c r="E257" s="2" t="n">
        <v>1.8</v>
      </c>
      <c r="F257" s="2" t="n">
        <v>251</v>
      </c>
      <c r="G257" s="2" t="n">
        <v>56.1</v>
      </c>
      <c r="H257" s="2" t="n">
        <v>-34.9</v>
      </c>
      <c r="I257" s="2" t="n">
        <v>-12.9</v>
      </c>
      <c r="J257" s="2" t="n">
        <v>9.64379163</v>
      </c>
    </row>
    <row r="258" customFormat="false" ht="15.8" hidden="false" customHeight="false" outlineLevel="0" collapsed="false">
      <c r="A258" s="1" t="n">
        <v>257</v>
      </c>
      <c r="B258" s="1" t="n">
        <v>56.4</v>
      </c>
      <c r="C258" s="1" t="n">
        <v>-36.6</v>
      </c>
      <c r="D258" s="1" t="n">
        <v>-10.7</v>
      </c>
      <c r="E258" s="2" t="n">
        <v>0.4</v>
      </c>
      <c r="F258" s="2" t="n">
        <v>249</v>
      </c>
      <c r="G258" s="2" t="n">
        <v>56.3</v>
      </c>
      <c r="H258" s="2" t="n">
        <v>-36.7</v>
      </c>
      <c r="I258" s="2" t="n">
        <v>-11.1</v>
      </c>
      <c r="J258" s="2" t="n">
        <v>9.734357555</v>
      </c>
    </row>
    <row r="259" customFormat="false" ht="15.8" hidden="false" customHeight="false" outlineLevel="0" collapsed="false">
      <c r="A259" s="1" t="n">
        <v>258</v>
      </c>
      <c r="B259" s="1" t="n">
        <v>56.9</v>
      </c>
      <c r="C259" s="1" t="n">
        <v>-36.1</v>
      </c>
      <c r="D259" s="1" t="n">
        <v>-10.4</v>
      </c>
      <c r="E259" s="2" t="n">
        <v>0.9</v>
      </c>
      <c r="F259" s="2" t="n">
        <v>257</v>
      </c>
      <c r="G259" s="2" t="n">
        <v>56.4</v>
      </c>
      <c r="H259" s="2" t="n">
        <v>-36.6</v>
      </c>
      <c r="I259" s="2" t="n">
        <v>-10.7</v>
      </c>
      <c r="J259" s="2" t="n">
        <v>10.35862525</v>
      </c>
    </row>
    <row r="260" customFormat="false" ht="15.8" hidden="false" customHeight="false" outlineLevel="0" collapsed="false">
      <c r="A260" s="1" t="n">
        <v>259</v>
      </c>
      <c r="B260" s="1" t="n">
        <v>65.1</v>
      </c>
      <c r="C260" s="1" t="n">
        <v>-33</v>
      </c>
      <c r="D260" s="1" t="n">
        <v>-1.1</v>
      </c>
      <c r="E260" s="2" t="n">
        <v>8.4</v>
      </c>
      <c r="F260" s="2" t="n">
        <v>260</v>
      </c>
      <c r="G260" s="2" t="n">
        <v>61.6</v>
      </c>
      <c r="H260" s="2" t="n">
        <v>-34.8</v>
      </c>
      <c r="I260" s="2" t="n">
        <v>-8.5</v>
      </c>
      <c r="J260" s="2" t="n">
        <v>22.96284645</v>
      </c>
    </row>
    <row r="261" customFormat="false" ht="15.8" hidden="false" customHeight="false" outlineLevel="0" collapsed="false">
      <c r="A261" s="1" t="n">
        <v>260</v>
      </c>
      <c r="B261" s="1" t="n">
        <v>61.6</v>
      </c>
      <c r="C261" s="1" t="n">
        <v>-34.8</v>
      </c>
      <c r="D261" s="1" t="n">
        <v>-8.5</v>
      </c>
      <c r="E261" s="2" t="n">
        <v>1.8</v>
      </c>
      <c r="F261" s="2" t="n">
        <v>261</v>
      </c>
      <c r="G261" s="2" t="n">
        <v>60.8</v>
      </c>
      <c r="H261" s="2" t="n">
        <v>-35.6</v>
      </c>
      <c r="I261" s="2" t="n">
        <v>-10</v>
      </c>
      <c r="J261" s="2" t="n">
        <v>14.79992287</v>
      </c>
    </row>
    <row r="262" customFormat="false" ht="15.8" hidden="false" customHeight="false" outlineLevel="0" collapsed="false">
      <c r="A262" s="1" t="n">
        <v>261</v>
      </c>
      <c r="B262" s="1" t="n">
        <v>60.8</v>
      </c>
      <c r="C262" s="1" t="n">
        <v>-35.6</v>
      </c>
      <c r="D262" s="1" t="n">
        <v>-10</v>
      </c>
      <c r="E262" s="2" t="n">
        <v>1.8</v>
      </c>
      <c r="F262" s="2" t="n">
        <v>260</v>
      </c>
      <c r="G262" s="2" t="n">
        <v>61.6</v>
      </c>
      <c r="H262" s="2" t="n">
        <v>-34.8</v>
      </c>
      <c r="I262" s="2" t="n">
        <v>-8.5</v>
      </c>
      <c r="J262" s="2" t="n">
        <v>12.98303959</v>
      </c>
    </row>
    <row r="263" customFormat="false" ht="15.8" hidden="false" customHeight="false" outlineLevel="0" collapsed="false">
      <c r="A263" s="1" t="n">
        <v>262</v>
      </c>
      <c r="B263" s="1" t="n">
        <v>58.6</v>
      </c>
      <c r="C263" s="1" t="n">
        <v>-37.5</v>
      </c>
      <c r="D263" s="1" t="n">
        <v>-9.6</v>
      </c>
      <c r="E263" s="2" t="n">
        <v>1.9</v>
      </c>
      <c r="F263" s="2" t="n">
        <v>263</v>
      </c>
      <c r="G263" s="2" t="n">
        <v>58.5</v>
      </c>
      <c r="H263" s="2" t="n">
        <v>-37.6</v>
      </c>
      <c r="I263" s="2" t="n">
        <v>-11.5</v>
      </c>
      <c r="J263" s="2" t="n">
        <v>11.51187721</v>
      </c>
    </row>
    <row r="264" customFormat="false" ht="15.8" hidden="false" customHeight="false" outlineLevel="0" collapsed="false">
      <c r="A264" s="1" t="n">
        <v>263</v>
      </c>
      <c r="B264" s="1" t="n">
        <v>58.5</v>
      </c>
      <c r="C264" s="1" t="n">
        <v>-37.6</v>
      </c>
      <c r="D264" s="1" t="n">
        <v>-11.5</v>
      </c>
      <c r="E264" s="2" t="n">
        <v>1.9</v>
      </c>
      <c r="F264" s="2" t="n">
        <v>262</v>
      </c>
      <c r="G264" s="2" t="n">
        <v>58.6</v>
      </c>
      <c r="H264" s="2" t="n">
        <v>-37.5</v>
      </c>
      <c r="I264" s="2" t="n">
        <v>-9.6</v>
      </c>
      <c r="J264" s="2" t="n">
        <v>9.925034861</v>
      </c>
    </row>
    <row r="265" customFormat="false" ht="15.8" hidden="false" customHeight="false" outlineLevel="0" collapsed="false">
      <c r="A265" s="1" t="n">
        <v>264</v>
      </c>
      <c r="B265" s="1" t="n">
        <v>53.5</v>
      </c>
      <c r="C265" s="1" t="n">
        <v>-37.4</v>
      </c>
      <c r="D265" s="1" t="n">
        <v>-13.3</v>
      </c>
      <c r="E265" s="2" t="n">
        <v>1.9</v>
      </c>
      <c r="F265" s="2" t="n">
        <v>250</v>
      </c>
      <c r="G265" s="2" t="n">
        <v>55</v>
      </c>
      <c r="H265" s="2" t="n">
        <v>-38.1</v>
      </c>
      <c r="I265" s="2" t="n">
        <v>-12.2</v>
      </c>
      <c r="J265" s="2" t="n">
        <v>6.247520868</v>
      </c>
    </row>
    <row r="266" customFormat="false" ht="15.8" hidden="false" customHeight="false" outlineLevel="0" collapsed="false">
      <c r="A266" s="1" t="n">
        <v>265</v>
      </c>
      <c r="B266" s="1" t="n">
        <v>53.9</v>
      </c>
      <c r="C266" s="1" t="n">
        <v>-38.9</v>
      </c>
      <c r="D266" s="1" t="n">
        <v>-15.2</v>
      </c>
      <c r="E266" s="2" t="n">
        <v>2.4</v>
      </c>
      <c r="F266" s="2" t="n">
        <v>264</v>
      </c>
      <c r="G266" s="2" t="n">
        <v>53.5</v>
      </c>
      <c r="H266" s="2" t="n">
        <v>-37.4</v>
      </c>
      <c r="I266" s="2" t="n">
        <v>-13.3</v>
      </c>
      <c r="J266" s="2" t="n">
        <v>4.206936772</v>
      </c>
    </row>
    <row r="267" customFormat="false" ht="15.8" hidden="false" customHeight="false" outlineLevel="0" collapsed="false">
      <c r="A267" s="1" t="n">
        <v>266</v>
      </c>
      <c r="B267" s="1" t="n">
        <v>55</v>
      </c>
      <c r="C267" s="1" t="n">
        <v>-41.8</v>
      </c>
      <c r="D267" s="1" t="n">
        <v>-13.7</v>
      </c>
      <c r="E267" s="2" t="n">
        <v>1.4</v>
      </c>
      <c r="F267" s="2" t="n">
        <v>267</v>
      </c>
      <c r="G267" s="2" t="n">
        <v>55.8</v>
      </c>
      <c r="H267" s="2" t="n">
        <v>-42.3</v>
      </c>
      <c r="I267" s="2" t="n">
        <v>-14.8</v>
      </c>
      <c r="J267" s="2" t="n">
        <v>6.406412178</v>
      </c>
    </row>
    <row r="268" customFormat="false" ht="15.8" hidden="false" customHeight="false" outlineLevel="0" collapsed="false">
      <c r="A268" s="1" t="n">
        <v>267</v>
      </c>
      <c r="B268" s="1" t="n">
        <v>55.8</v>
      </c>
      <c r="C268" s="1" t="n">
        <v>-42.3</v>
      </c>
      <c r="D268" s="1" t="n">
        <v>-14.8</v>
      </c>
      <c r="E268" s="2" t="n">
        <v>1.4</v>
      </c>
      <c r="F268" s="2" t="n">
        <v>266</v>
      </c>
      <c r="G268" s="2" t="n">
        <v>55</v>
      </c>
      <c r="H268" s="2" t="n">
        <v>-41.8</v>
      </c>
      <c r="I268" s="2" t="n">
        <v>-13.7</v>
      </c>
      <c r="J268" s="2" t="n">
        <v>6.149415989</v>
      </c>
    </row>
    <row r="269" customFormat="false" ht="15.8" hidden="false" customHeight="false" outlineLevel="0" collapsed="false">
      <c r="A269" s="1" t="n">
        <v>268</v>
      </c>
      <c r="B269" s="1" t="n">
        <v>60.1</v>
      </c>
      <c r="C269" s="1" t="n">
        <v>-43.2</v>
      </c>
      <c r="D269" s="1" t="n">
        <v>-12.9</v>
      </c>
      <c r="E269" s="2" t="n">
        <v>2.5</v>
      </c>
      <c r="F269" s="2" t="n">
        <v>269</v>
      </c>
      <c r="G269" s="2" t="n">
        <v>62.1</v>
      </c>
      <c r="H269" s="2" t="n">
        <v>-41.6</v>
      </c>
      <c r="I269" s="2" t="n">
        <v>-12.9</v>
      </c>
      <c r="J269" s="2" t="n">
        <v>10.55719267</v>
      </c>
    </row>
    <row r="270" customFormat="false" ht="15.8" hidden="false" customHeight="false" outlineLevel="0" collapsed="false">
      <c r="A270" s="1" t="n">
        <v>269</v>
      </c>
      <c r="B270" s="1" t="n">
        <v>62.1</v>
      </c>
      <c r="C270" s="1" t="n">
        <v>-41.6</v>
      </c>
      <c r="D270" s="1" t="n">
        <v>-12.9</v>
      </c>
      <c r="E270" s="2" t="n">
        <v>2.2</v>
      </c>
      <c r="F270" s="2" t="n">
        <v>272</v>
      </c>
      <c r="G270" s="2" t="n">
        <v>62.7</v>
      </c>
      <c r="H270" s="2" t="n">
        <v>-40.1</v>
      </c>
      <c r="I270" s="2" t="n">
        <v>-11.5</v>
      </c>
      <c r="J270" s="2" t="n">
        <v>11.70842077</v>
      </c>
    </row>
    <row r="271" customFormat="false" ht="15.8" hidden="false" customHeight="false" outlineLevel="0" collapsed="false">
      <c r="A271" s="1" t="n">
        <v>270</v>
      </c>
      <c r="B271" s="1" t="n">
        <v>63.4</v>
      </c>
      <c r="C271" s="1" t="n">
        <v>-45.4</v>
      </c>
      <c r="D271" s="1" t="n">
        <v>-12.2</v>
      </c>
      <c r="E271" s="2" t="n">
        <v>3.6</v>
      </c>
      <c r="F271" s="2" t="n">
        <v>120</v>
      </c>
      <c r="G271" s="2" t="n">
        <v>65.3</v>
      </c>
      <c r="H271" s="2" t="n">
        <v>-47</v>
      </c>
      <c r="I271" s="2" t="n">
        <v>-14.8</v>
      </c>
      <c r="J271" s="2" t="n">
        <v>14.26763179</v>
      </c>
    </row>
    <row r="272" customFormat="false" ht="15.8" hidden="false" customHeight="false" outlineLevel="0" collapsed="false">
      <c r="A272" s="1" t="n">
        <v>271</v>
      </c>
      <c r="B272" s="1" t="n">
        <v>61.9</v>
      </c>
      <c r="C272" s="1" t="n">
        <v>-39.7</v>
      </c>
      <c r="D272" s="1" t="n">
        <v>-10.4</v>
      </c>
      <c r="E272" s="2" t="n">
        <v>1.4</v>
      </c>
      <c r="F272" s="2" t="n">
        <v>272</v>
      </c>
      <c r="G272" s="2" t="n">
        <v>62.7</v>
      </c>
      <c r="H272" s="2" t="n">
        <v>-40.1</v>
      </c>
      <c r="I272" s="2" t="n">
        <v>-11.5</v>
      </c>
      <c r="J272" s="2" t="n">
        <v>12.88418864</v>
      </c>
    </row>
    <row r="273" customFormat="false" ht="15.8" hidden="false" customHeight="false" outlineLevel="0" collapsed="false">
      <c r="A273" s="1" t="n">
        <v>272</v>
      </c>
      <c r="B273" s="1" t="n">
        <v>62.7</v>
      </c>
      <c r="C273" s="1" t="n">
        <v>-40.1</v>
      </c>
      <c r="D273" s="1" t="n">
        <v>-11.5</v>
      </c>
      <c r="E273" s="2" t="n">
        <v>1.4</v>
      </c>
      <c r="F273" s="2" t="n">
        <v>271</v>
      </c>
      <c r="G273" s="2" t="n">
        <v>61.9</v>
      </c>
      <c r="H273" s="2" t="n">
        <v>-39.7</v>
      </c>
      <c r="I273" s="2" t="n">
        <v>-10.4</v>
      </c>
      <c r="J273" s="2" t="n">
        <v>12.81898268</v>
      </c>
    </row>
    <row r="274" customFormat="false" ht="15.8" hidden="false" customHeight="false" outlineLevel="0" collapsed="false">
      <c r="A274" s="1" t="n">
        <v>273</v>
      </c>
      <c r="B274" s="1" t="n">
        <v>64.1</v>
      </c>
      <c r="C274" s="1" t="n">
        <v>-36.9</v>
      </c>
      <c r="D274" s="1" t="n">
        <v>-10.4</v>
      </c>
      <c r="E274" s="2" t="n">
        <v>2.1</v>
      </c>
      <c r="F274" s="2" t="n">
        <v>274</v>
      </c>
      <c r="G274" s="2" t="n">
        <v>65.4</v>
      </c>
      <c r="H274" s="2" t="n">
        <v>-36.4</v>
      </c>
      <c r="I274" s="2" t="n">
        <v>-11.8</v>
      </c>
      <c r="J274" s="2" t="n">
        <v>14.8153541</v>
      </c>
    </row>
    <row r="275" customFormat="false" ht="15.8" hidden="false" customHeight="false" outlineLevel="0" collapsed="false">
      <c r="A275" s="1" t="n">
        <v>274</v>
      </c>
      <c r="B275" s="1" t="n">
        <v>65.4</v>
      </c>
      <c r="C275" s="1" t="n">
        <v>-36.4</v>
      </c>
      <c r="D275" s="1" t="n">
        <v>-11.8</v>
      </c>
      <c r="E275" s="2" t="n">
        <v>2.1</v>
      </c>
      <c r="F275" s="2" t="n">
        <v>273</v>
      </c>
      <c r="G275" s="2" t="n">
        <v>64.1</v>
      </c>
      <c r="H275" s="2" t="n">
        <v>-36.9</v>
      </c>
      <c r="I275" s="2" t="n">
        <v>-10.4</v>
      </c>
      <c r="J275" s="2" t="n">
        <v>15.23799583</v>
      </c>
    </row>
    <row r="276" customFormat="false" ht="15.8" hidden="false" customHeight="false" outlineLevel="0" collapsed="false">
      <c r="A276" s="1" t="n">
        <v>275</v>
      </c>
      <c r="B276" s="1" t="n">
        <v>66.9</v>
      </c>
      <c r="C276" s="1" t="n">
        <v>-38.3</v>
      </c>
      <c r="D276" s="1" t="n">
        <v>-11.8</v>
      </c>
      <c r="E276" s="2" t="n">
        <v>2.4</v>
      </c>
      <c r="F276" s="2" t="n">
        <v>274</v>
      </c>
      <c r="G276" s="2" t="n">
        <v>65.4</v>
      </c>
      <c r="H276" s="2" t="n">
        <v>-36.4</v>
      </c>
      <c r="I276" s="2" t="n">
        <v>-11.8</v>
      </c>
      <c r="J276" s="2" t="n">
        <v>16.28914722</v>
      </c>
    </row>
    <row r="277" customFormat="false" ht="15.8" hidden="false" customHeight="false" outlineLevel="0" collapsed="false">
      <c r="A277" s="1" t="n">
        <v>276</v>
      </c>
      <c r="B277" s="1" t="n">
        <v>67.3</v>
      </c>
      <c r="C277" s="1" t="n">
        <v>-35</v>
      </c>
      <c r="D277" s="1" t="n">
        <v>-10.4</v>
      </c>
      <c r="E277" s="2" t="n">
        <v>2.8</v>
      </c>
      <c r="F277" s="2" t="n">
        <v>274</v>
      </c>
      <c r="G277" s="2" t="n">
        <v>65.4</v>
      </c>
      <c r="H277" s="2" t="n">
        <v>-36.4</v>
      </c>
      <c r="I277" s="2" t="n">
        <v>-11.8</v>
      </c>
      <c r="J277" s="2" t="n">
        <v>17.84040126</v>
      </c>
    </row>
    <row r="278" customFormat="false" ht="15.8" hidden="false" customHeight="false" outlineLevel="0" collapsed="false">
      <c r="A278" s="1" t="n">
        <v>277</v>
      </c>
      <c r="B278" s="1" t="n">
        <v>55.7</v>
      </c>
      <c r="C278" s="1" t="n">
        <v>-40.6</v>
      </c>
      <c r="D278" s="1" t="n">
        <v>-15.5</v>
      </c>
      <c r="E278" s="2" t="n">
        <v>1.9</v>
      </c>
      <c r="F278" s="2" t="n">
        <v>267</v>
      </c>
      <c r="G278" s="2" t="n">
        <v>55.8</v>
      </c>
      <c r="H278" s="2" t="n">
        <v>-42.3</v>
      </c>
      <c r="I278" s="2" t="n">
        <v>-14.8</v>
      </c>
      <c r="J278" s="2" t="n">
        <v>5.003030781</v>
      </c>
    </row>
    <row r="279" customFormat="false" ht="15.8" hidden="false" customHeight="false" outlineLevel="0" collapsed="false">
      <c r="A279" s="1" t="n">
        <v>278</v>
      </c>
      <c r="B279" s="1" t="n">
        <v>45.2</v>
      </c>
      <c r="C279" s="1" t="n">
        <v>-33.1</v>
      </c>
      <c r="D279" s="1" t="n">
        <v>-22.9</v>
      </c>
      <c r="E279" s="2" t="n">
        <v>1.8</v>
      </c>
      <c r="F279" s="2" t="n">
        <v>306</v>
      </c>
      <c r="G279" s="2" t="n">
        <v>45.6</v>
      </c>
      <c r="H279" s="2" t="n">
        <v>-31.5</v>
      </c>
      <c r="I279" s="2" t="n">
        <v>-22.2</v>
      </c>
      <c r="J279" s="2" t="n">
        <v>10.35036796</v>
      </c>
    </row>
    <row r="280" customFormat="false" ht="15.8" hidden="false" customHeight="false" outlineLevel="0" collapsed="false">
      <c r="A280" s="1" t="n">
        <v>279</v>
      </c>
      <c r="B280" s="1" t="n">
        <v>43.4</v>
      </c>
      <c r="C280" s="1" t="n">
        <v>-37.4</v>
      </c>
      <c r="D280" s="1" t="n">
        <v>-23.3</v>
      </c>
      <c r="E280" s="2" t="n">
        <v>2.4</v>
      </c>
      <c r="F280" s="2" t="n">
        <v>57</v>
      </c>
      <c r="G280" s="2" t="n">
        <v>41.3</v>
      </c>
      <c r="H280" s="2" t="n">
        <v>-38.5</v>
      </c>
      <c r="I280" s="2" t="n">
        <v>-22.9</v>
      </c>
      <c r="J280" s="2" t="n">
        <v>10.14083414</v>
      </c>
    </row>
    <row r="281" customFormat="false" ht="15.8" hidden="false" customHeight="false" outlineLevel="0" collapsed="false">
      <c r="A281" s="1" t="n">
        <v>280</v>
      </c>
      <c r="B281" s="1" t="n">
        <v>36.2</v>
      </c>
      <c r="C281" s="1" t="n">
        <v>-36</v>
      </c>
      <c r="D281" s="1" t="n">
        <v>-23.3</v>
      </c>
      <c r="E281" s="2" t="n">
        <v>0.7</v>
      </c>
      <c r="F281" s="2" t="n">
        <v>281</v>
      </c>
      <c r="G281" s="2" t="n">
        <v>35.8</v>
      </c>
      <c r="H281" s="2" t="n">
        <v>-35.6</v>
      </c>
      <c r="I281" s="2" t="n">
        <v>-23.7</v>
      </c>
      <c r="J281" s="2" t="n">
        <v>17.08120947</v>
      </c>
    </row>
    <row r="282" customFormat="false" ht="15.8" hidden="false" customHeight="false" outlineLevel="0" collapsed="false">
      <c r="A282" s="1" t="n">
        <v>281</v>
      </c>
      <c r="B282" s="1" t="n">
        <v>35.8</v>
      </c>
      <c r="C282" s="1" t="n">
        <v>-35.6</v>
      </c>
      <c r="D282" s="1" t="n">
        <v>-23.7</v>
      </c>
      <c r="E282" s="2" t="n">
        <v>0.7</v>
      </c>
      <c r="F282" s="2" t="n">
        <v>280</v>
      </c>
      <c r="G282" s="2" t="n">
        <v>36.2</v>
      </c>
      <c r="H282" s="2" t="n">
        <v>-36</v>
      </c>
      <c r="I282" s="2" t="n">
        <v>-23.3</v>
      </c>
      <c r="J282" s="2" t="n">
        <v>17.64572801</v>
      </c>
    </row>
    <row r="283" customFormat="false" ht="15.8" hidden="false" customHeight="false" outlineLevel="0" collapsed="false">
      <c r="A283" s="1" t="n">
        <v>282</v>
      </c>
      <c r="B283" s="1" t="n">
        <v>35.2</v>
      </c>
      <c r="C283" s="1" t="n">
        <v>-35.3</v>
      </c>
      <c r="D283" s="1" t="n">
        <v>-22.9</v>
      </c>
      <c r="E283" s="2" t="n">
        <v>1</v>
      </c>
      <c r="F283" s="2" t="n">
        <v>281</v>
      </c>
      <c r="G283" s="2" t="n">
        <v>35.8</v>
      </c>
      <c r="H283" s="2" t="n">
        <v>-35.6</v>
      </c>
      <c r="I283" s="2" t="n">
        <v>-23.7</v>
      </c>
      <c r="J283" s="2" t="n">
        <v>18.09122763</v>
      </c>
    </row>
    <row r="284" customFormat="false" ht="15.8" hidden="false" customHeight="false" outlineLevel="0" collapsed="false">
      <c r="A284" s="1" t="n">
        <v>283</v>
      </c>
      <c r="B284" s="1" t="n">
        <v>36.3</v>
      </c>
      <c r="C284" s="1" t="n">
        <v>-33.9</v>
      </c>
      <c r="D284" s="1" t="n">
        <v>-23.7</v>
      </c>
      <c r="E284" s="2" t="n">
        <v>1.7</v>
      </c>
      <c r="F284" s="2" t="n">
        <v>281</v>
      </c>
      <c r="G284" s="2" t="n">
        <v>35.8</v>
      </c>
      <c r="H284" s="2" t="n">
        <v>-35.6</v>
      </c>
      <c r="I284" s="2" t="n">
        <v>-23.7</v>
      </c>
      <c r="J284" s="2" t="n">
        <v>17.64115407</v>
      </c>
    </row>
    <row r="285" customFormat="false" ht="15.8" hidden="false" customHeight="false" outlineLevel="0" collapsed="false">
      <c r="A285" s="1" t="n">
        <v>284</v>
      </c>
      <c r="B285" s="1" t="n">
        <v>37.2</v>
      </c>
      <c r="C285" s="1" t="n">
        <v>-31.6</v>
      </c>
      <c r="D285" s="1" t="n">
        <v>-24.1</v>
      </c>
      <c r="E285" s="2" t="n">
        <v>1.4</v>
      </c>
      <c r="F285" s="2" t="n">
        <v>285</v>
      </c>
      <c r="G285" s="2" t="n">
        <v>36.3</v>
      </c>
      <c r="H285" s="2" t="n">
        <v>-31.4</v>
      </c>
      <c r="I285" s="2" t="n">
        <v>-25.2</v>
      </c>
      <c r="J285" s="2" t="n">
        <v>17.83296153</v>
      </c>
    </row>
    <row r="286" customFormat="false" ht="15.8" hidden="false" customHeight="false" outlineLevel="0" collapsed="false">
      <c r="A286" s="1" t="n">
        <v>285</v>
      </c>
      <c r="B286" s="1" t="n">
        <v>36.3</v>
      </c>
      <c r="C286" s="1" t="n">
        <v>-31.4</v>
      </c>
      <c r="D286" s="1" t="n">
        <v>-25.2</v>
      </c>
      <c r="E286" s="2" t="n">
        <v>1.4</v>
      </c>
      <c r="F286" s="2" t="n">
        <v>284</v>
      </c>
      <c r="G286" s="2" t="n">
        <v>37.2</v>
      </c>
      <c r="H286" s="2" t="n">
        <v>-31.6</v>
      </c>
      <c r="I286" s="2" t="n">
        <v>-24.1</v>
      </c>
      <c r="J286" s="2" t="n">
        <v>19.0160016</v>
      </c>
    </row>
    <row r="287" customFormat="false" ht="15.8" hidden="false" customHeight="false" outlineLevel="0" collapsed="false">
      <c r="A287" s="1" t="n">
        <v>286</v>
      </c>
      <c r="B287" s="1" t="n">
        <v>35.3</v>
      </c>
      <c r="C287" s="1" t="n">
        <v>-27.5</v>
      </c>
      <c r="D287" s="1" t="n">
        <v>-27.8</v>
      </c>
      <c r="E287" s="2" t="n">
        <v>2</v>
      </c>
      <c r="F287" s="2" t="n">
        <v>287</v>
      </c>
      <c r="G287" s="2" t="n">
        <v>35.2</v>
      </c>
      <c r="H287" s="2" t="n">
        <v>-26.2</v>
      </c>
      <c r="I287" s="2" t="n">
        <v>-26.3</v>
      </c>
      <c r="J287" s="2" t="n">
        <v>22.62288039</v>
      </c>
    </row>
    <row r="288" customFormat="false" ht="15.8" hidden="false" customHeight="false" outlineLevel="0" collapsed="false">
      <c r="A288" s="1" t="n">
        <v>287</v>
      </c>
      <c r="B288" s="1" t="n">
        <v>35.2</v>
      </c>
      <c r="C288" s="1" t="n">
        <v>-26.2</v>
      </c>
      <c r="D288" s="1" t="n">
        <v>-26.3</v>
      </c>
      <c r="E288" s="2" t="n">
        <v>1.1</v>
      </c>
      <c r="F288" s="2" t="n">
        <v>288</v>
      </c>
      <c r="G288" s="2" t="n">
        <v>35.9</v>
      </c>
      <c r="H288" s="2" t="n">
        <v>-25.3</v>
      </c>
      <c r="I288" s="2" t="n">
        <v>-26.3</v>
      </c>
      <c r="J288" s="2" t="n">
        <v>22.89524224</v>
      </c>
    </row>
    <row r="289" customFormat="false" ht="15.8" hidden="false" customHeight="false" outlineLevel="0" collapsed="false">
      <c r="A289" s="1" t="n">
        <v>288</v>
      </c>
      <c r="B289" s="1" t="n">
        <v>35.9</v>
      </c>
      <c r="C289" s="1" t="n">
        <v>-25.3</v>
      </c>
      <c r="D289" s="1" t="n">
        <v>-26.3</v>
      </c>
      <c r="E289" s="2" t="n">
        <v>1.1</v>
      </c>
      <c r="F289" s="2" t="n">
        <v>287</v>
      </c>
      <c r="G289" s="2" t="n">
        <v>35.2</v>
      </c>
      <c r="H289" s="2" t="n">
        <v>-26.2</v>
      </c>
      <c r="I289" s="2" t="n">
        <v>-26.3</v>
      </c>
      <c r="J289" s="2" t="n">
        <v>22.92148156</v>
      </c>
    </row>
    <row r="290" customFormat="false" ht="15.8" hidden="false" customHeight="false" outlineLevel="0" collapsed="false">
      <c r="A290" s="1" t="n">
        <v>289</v>
      </c>
      <c r="B290" s="1" t="n">
        <v>33.5</v>
      </c>
      <c r="C290" s="1" t="n">
        <v>-25.7</v>
      </c>
      <c r="D290" s="1" t="n">
        <v>-26.3</v>
      </c>
      <c r="E290" s="2" t="n">
        <v>1.7</v>
      </c>
      <c r="F290" s="2" t="n">
        <v>287</v>
      </c>
      <c r="G290" s="2" t="n">
        <v>35.2</v>
      </c>
      <c r="H290" s="2" t="n">
        <v>-26.2</v>
      </c>
      <c r="I290" s="2" t="n">
        <v>-26.3</v>
      </c>
      <c r="J290" s="2" t="n">
        <v>24.4751122</v>
      </c>
    </row>
    <row r="291" customFormat="false" ht="15.8" hidden="false" customHeight="false" outlineLevel="0" collapsed="false">
      <c r="A291" s="1" t="n">
        <v>290</v>
      </c>
      <c r="B291" s="1" t="n">
        <v>33.4</v>
      </c>
      <c r="C291" s="1" t="n">
        <v>-21.6</v>
      </c>
      <c r="D291" s="1" t="n">
        <v>-28.5</v>
      </c>
      <c r="E291" s="2" t="n">
        <v>1.7</v>
      </c>
      <c r="F291" s="2" t="n">
        <v>291</v>
      </c>
      <c r="G291" s="2" t="n">
        <v>33.7</v>
      </c>
      <c r="H291" s="2" t="n">
        <v>-23.1</v>
      </c>
      <c r="I291" s="2" t="n">
        <v>-29.2</v>
      </c>
      <c r="J291" s="2" t="n">
        <v>27.73902156</v>
      </c>
    </row>
    <row r="292" customFormat="false" ht="15.8" hidden="false" customHeight="false" outlineLevel="0" collapsed="false">
      <c r="A292" s="1" t="n">
        <v>291</v>
      </c>
      <c r="B292" s="1" t="n">
        <v>33.7</v>
      </c>
      <c r="C292" s="1" t="n">
        <v>-23.1</v>
      </c>
      <c r="D292" s="1" t="n">
        <v>-29.2</v>
      </c>
      <c r="E292" s="2" t="n">
        <v>1.7</v>
      </c>
      <c r="F292" s="2" t="n">
        <v>290</v>
      </c>
      <c r="G292" s="2" t="n">
        <v>33.4</v>
      </c>
      <c r="H292" s="2" t="n">
        <v>-21.6</v>
      </c>
      <c r="I292" s="2" t="n">
        <v>-28.5</v>
      </c>
      <c r="J292" s="2" t="n">
        <v>26.83994629</v>
      </c>
    </row>
    <row r="293" customFormat="false" ht="15.8" hidden="false" customHeight="false" outlineLevel="0" collapsed="false">
      <c r="A293" s="1" t="n">
        <v>292</v>
      </c>
      <c r="B293" s="1" t="n">
        <v>35.4</v>
      </c>
      <c r="C293" s="1" t="n">
        <v>-21.5</v>
      </c>
      <c r="D293" s="1" t="n">
        <v>-29.2</v>
      </c>
      <c r="E293" s="2" t="n">
        <v>2.1</v>
      </c>
      <c r="F293" s="2" t="n">
        <v>290</v>
      </c>
      <c r="G293" s="2" t="n">
        <v>33.4</v>
      </c>
      <c r="H293" s="2" t="n">
        <v>-21.6</v>
      </c>
      <c r="I293" s="2" t="n">
        <v>-28.5</v>
      </c>
      <c r="J293" s="2" t="n">
        <v>26.73631457</v>
      </c>
    </row>
    <row r="294" customFormat="false" ht="15.8" hidden="false" customHeight="false" outlineLevel="0" collapsed="false">
      <c r="A294" s="1" t="n">
        <v>293</v>
      </c>
      <c r="B294" s="1" t="n">
        <v>38.8</v>
      </c>
      <c r="C294" s="1" t="n">
        <v>-22.6</v>
      </c>
      <c r="D294" s="1" t="n">
        <v>-29.2</v>
      </c>
      <c r="E294" s="2" t="n">
        <v>2.7</v>
      </c>
      <c r="F294" s="2" t="n">
        <v>294</v>
      </c>
      <c r="G294" s="2" t="n">
        <v>37.4</v>
      </c>
      <c r="H294" s="2" t="n">
        <v>-24.9</v>
      </c>
      <c r="I294" s="2" t="n">
        <v>-28.5</v>
      </c>
      <c r="J294" s="2" t="n">
        <v>23.92826189</v>
      </c>
    </row>
    <row r="295" customFormat="false" ht="15.8" hidden="false" customHeight="false" outlineLevel="0" collapsed="false">
      <c r="A295" s="1" t="n">
        <v>294</v>
      </c>
      <c r="B295" s="1" t="n">
        <v>37.4</v>
      </c>
      <c r="C295" s="1" t="n">
        <v>-24.9</v>
      </c>
      <c r="D295" s="1" t="n">
        <v>-28.5</v>
      </c>
      <c r="E295" s="2" t="n">
        <v>2.2</v>
      </c>
      <c r="F295" s="2" t="n">
        <v>295</v>
      </c>
      <c r="G295" s="2" t="n">
        <v>39.4</v>
      </c>
      <c r="H295" s="2" t="n">
        <v>-25.9</v>
      </c>
      <c r="I295" s="2" t="n">
        <v>-28.1</v>
      </c>
      <c r="J295" s="2" t="n">
        <v>22.94290559</v>
      </c>
    </row>
    <row r="296" customFormat="false" ht="15.8" hidden="false" customHeight="false" outlineLevel="0" collapsed="false">
      <c r="A296" s="1" t="n">
        <v>295</v>
      </c>
      <c r="B296" s="1" t="n">
        <v>39.4</v>
      </c>
      <c r="C296" s="1" t="n">
        <v>-25.9</v>
      </c>
      <c r="D296" s="1" t="n">
        <v>-28.1</v>
      </c>
      <c r="E296" s="2" t="n">
        <v>2.2</v>
      </c>
      <c r="F296" s="2" t="n">
        <v>294</v>
      </c>
      <c r="G296" s="2" t="n">
        <v>37.4</v>
      </c>
      <c r="H296" s="2" t="n">
        <v>-24.9</v>
      </c>
      <c r="I296" s="2" t="n">
        <v>-28.5</v>
      </c>
      <c r="J296" s="2" t="n">
        <v>20.85397125</v>
      </c>
    </row>
    <row r="297" customFormat="false" ht="15.8" hidden="false" customHeight="false" outlineLevel="0" collapsed="false">
      <c r="A297" s="1" t="n">
        <v>296</v>
      </c>
      <c r="B297" s="1" t="n">
        <v>37.4</v>
      </c>
      <c r="C297" s="1" t="n">
        <v>-31.2</v>
      </c>
      <c r="D297" s="1" t="n">
        <v>-29.2</v>
      </c>
      <c r="E297" s="2" t="n">
        <v>2.3</v>
      </c>
      <c r="F297" s="2" t="n">
        <v>297</v>
      </c>
      <c r="G297" s="2" t="n">
        <v>39.6</v>
      </c>
      <c r="H297" s="2" t="n">
        <v>-31.1</v>
      </c>
      <c r="I297" s="2" t="n">
        <v>-29.6</v>
      </c>
      <c r="J297" s="2" t="n">
        <v>19.89328824</v>
      </c>
    </row>
    <row r="298" customFormat="false" ht="15.8" hidden="false" customHeight="false" outlineLevel="0" collapsed="false">
      <c r="A298" s="1" t="n">
        <v>297</v>
      </c>
      <c r="B298" s="1" t="n">
        <v>39.6</v>
      </c>
      <c r="C298" s="1" t="n">
        <v>-31.1</v>
      </c>
      <c r="D298" s="1" t="n">
        <v>-29.6</v>
      </c>
      <c r="E298" s="2" t="n">
        <v>1.9</v>
      </c>
      <c r="F298" s="2" t="n">
        <v>298</v>
      </c>
      <c r="G298" s="2" t="n">
        <v>39.4</v>
      </c>
      <c r="H298" s="2" t="n">
        <v>-31.3</v>
      </c>
      <c r="I298" s="2" t="n">
        <v>-27.8</v>
      </c>
      <c r="J298" s="2" t="n">
        <v>18.56406521</v>
      </c>
    </row>
    <row r="299" customFormat="false" ht="15.8" hidden="false" customHeight="false" outlineLevel="0" collapsed="false">
      <c r="A299" s="1" t="n">
        <v>298</v>
      </c>
      <c r="B299" s="1" t="n">
        <v>39.4</v>
      </c>
      <c r="C299" s="1" t="n">
        <v>-31.3</v>
      </c>
      <c r="D299" s="1" t="n">
        <v>-27.8</v>
      </c>
      <c r="E299" s="2" t="n">
        <v>1.9</v>
      </c>
      <c r="F299" s="2" t="n">
        <v>297</v>
      </c>
      <c r="G299" s="2" t="n">
        <v>39.6</v>
      </c>
      <c r="H299" s="2" t="n">
        <v>-31.1</v>
      </c>
      <c r="I299" s="2" t="n">
        <v>-29.6</v>
      </c>
      <c r="J299" s="2" t="n">
        <v>17.6578401</v>
      </c>
    </row>
    <row r="300" customFormat="false" ht="15.8" hidden="false" customHeight="false" outlineLevel="0" collapsed="false">
      <c r="A300" s="1" t="n">
        <v>299</v>
      </c>
      <c r="B300" s="1" t="n">
        <v>42.2</v>
      </c>
      <c r="C300" s="1" t="n">
        <v>-15.6</v>
      </c>
      <c r="D300" s="1" t="n">
        <v>-25.2</v>
      </c>
      <c r="E300" s="2" t="n">
        <v>3.1</v>
      </c>
      <c r="F300" s="2" t="n">
        <v>300</v>
      </c>
      <c r="G300" s="2" t="n">
        <v>40.1</v>
      </c>
      <c r="H300" s="2" t="n">
        <v>-17.2</v>
      </c>
      <c r="I300" s="2" t="n">
        <v>-26.6</v>
      </c>
      <c r="J300" s="2" t="n">
        <v>26.69194105</v>
      </c>
    </row>
    <row r="301" customFormat="false" ht="15.8" hidden="false" customHeight="false" outlineLevel="0" collapsed="false">
      <c r="A301" s="1" t="n">
        <v>300</v>
      </c>
      <c r="B301" s="1" t="n">
        <v>40.1</v>
      </c>
      <c r="C301" s="1" t="n">
        <v>-17.2</v>
      </c>
      <c r="D301" s="1" t="n">
        <v>-26.6</v>
      </c>
      <c r="E301" s="2" t="n">
        <v>3.1</v>
      </c>
      <c r="F301" s="2" t="n">
        <v>299</v>
      </c>
      <c r="G301" s="2" t="n">
        <v>42.2</v>
      </c>
      <c r="H301" s="2" t="n">
        <v>-15.6</v>
      </c>
      <c r="I301" s="2" t="n">
        <v>-25.2</v>
      </c>
      <c r="J301" s="2" t="n">
        <v>26.54778177</v>
      </c>
    </row>
    <row r="302" customFormat="false" ht="15.8" hidden="false" customHeight="false" outlineLevel="0" collapsed="false">
      <c r="A302" s="1" t="n">
        <v>301</v>
      </c>
      <c r="B302" s="1" t="n">
        <v>41.2</v>
      </c>
      <c r="C302" s="1" t="n">
        <v>-22.5</v>
      </c>
      <c r="D302" s="1" t="n">
        <v>-31.1</v>
      </c>
      <c r="E302" s="2" t="n">
        <v>3</v>
      </c>
      <c r="F302" s="2" t="n">
        <v>293</v>
      </c>
      <c r="G302" s="2" t="n">
        <v>38.8</v>
      </c>
      <c r="H302" s="2" t="n">
        <v>-22.6</v>
      </c>
      <c r="I302" s="2" t="n">
        <v>-29.2</v>
      </c>
      <c r="J302" s="2" t="n">
        <v>23.63559428</v>
      </c>
    </row>
    <row r="303" customFormat="false" ht="15.8" hidden="false" customHeight="false" outlineLevel="0" collapsed="false">
      <c r="A303" s="1" t="n">
        <v>302</v>
      </c>
      <c r="B303" s="1" t="n">
        <v>40.7</v>
      </c>
      <c r="C303" s="1" t="n">
        <v>-24.2</v>
      </c>
      <c r="D303" s="1" t="n">
        <v>-27.4</v>
      </c>
      <c r="E303" s="2" t="n">
        <v>2.1</v>
      </c>
      <c r="F303" s="2" t="n">
        <v>303</v>
      </c>
      <c r="G303" s="2" t="n">
        <v>42</v>
      </c>
      <c r="H303" s="2" t="n">
        <v>-25.4</v>
      </c>
      <c r="I303" s="2" t="n">
        <v>-26.3</v>
      </c>
      <c r="J303" s="2" t="n">
        <v>20.97237032</v>
      </c>
    </row>
    <row r="304" customFormat="false" ht="15.8" hidden="false" customHeight="false" outlineLevel="0" collapsed="false">
      <c r="A304" s="1" t="n">
        <v>303</v>
      </c>
      <c r="B304" s="1" t="n">
        <v>42</v>
      </c>
      <c r="C304" s="1" t="n">
        <v>-25.4</v>
      </c>
      <c r="D304" s="1" t="n">
        <v>-26.3</v>
      </c>
      <c r="E304" s="2" t="n">
        <v>2.1</v>
      </c>
      <c r="F304" s="2" t="n">
        <v>302</v>
      </c>
      <c r="G304" s="2" t="n">
        <v>40.7</v>
      </c>
      <c r="H304" s="2" t="n">
        <v>-24.2</v>
      </c>
      <c r="I304" s="2" t="n">
        <v>-27.4</v>
      </c>
      <c r="J304" s="2" t="n">
        <v>18.94144971</v>
      </c>
    </row>
    <row r="305" customFormat="false" ht="15.8" hidden="false" customHeight="false" outlineLevel="0" collapsed="false">
      <c r="A305" s="1" t="n">
        <v>304</v>
      </c>
      <c r="B305" s="1" t="n">
        <v>42.3</v>
      </c>
      <c r="C305" s="1" t="n">
        <v>-26.9</v>
      </c>
      <c r="D305" s="1" t="n">
        <v>-28.1</v>
      </c>
      <c r="E305" s="2" t="n">
        <v>2.4</v>
      </c>
      <c r="F305" s="2" t="n">
        <v>303</v>
      </c>
      <c r="G305" s="2" t="n">
        <v>42</v>
      </c>
      <c r="H305" s="2" t="n">
        <v>-25.4</v>
      </c>
      <c r="I305" s="2" t="n">
        <v>-26.3</v>
      </c>
      <c r="J305" s="2" t="n">
        <v>18.48878355</v>
      </c>
    </row>
    <row r="306" customFormat="false" ht="15.8" hidden="false" customHeight="false" outlineLevel="0" collapsed="false">
      <c r="A306" s="1" t="n">
        <v>305</v>
      </c>
      <c r="B306" s="1" t="n">
        <v>38.3</v>
      </c>
      <c r="C306" s="1" t="n">
        <v>-34.6</v>
      </c>
      <c r="D306" s="1" t="n">
        <v>-27.4</v>
      </c>
      <c r="E306" s="2" t="n">
        <v>3.5</v>
      </c>
      <c r="F306" s="2" t="n">
        <v>298</v>
      </c>
      <c r="G306" s="2" t="n">
        <v>39.4</v>
      </c>
      <c r="H306" s="2" t="n">
        <v>-31.3</v>
      </c>
      <c r="I306" s="2" t="n">
        <v>-27.8</v>
      </c>
      <c r="J306" s="2" t="n">
        <v>17.07270093</v>
      </c>
    </row>
    <row r="307" customFormat="false" ht="15.8" hidden="false" customHeight="false" outlineLevel="0" collapsed="false">
      <c r="A307" s="1" t="n">
        <v>306</v>
      </c>
      <c r="B307" s="1" t="n">
        <v>45.6</v>
      </c>
      <c r="C307" s="1" t="n">
        <v>-31.5</v>
      </c>
      <c r="D307" s="1" t="n">
        <v>-22.2</v>
      </c>
      <c r="E307" s="2" t="n">
        <v>1.8</v>
      </c>
      <c r="F307" s="2" t="n">
        <v>278</v>
      </c>
      <c r="G307" s="2" t="n">
        <v>45.2</v>
      </c>
      <c r="H307" s="2" t="n">
        <v>-33.1</v>
      </c>
      <c r="I307" s="2" t="n">
        <v>-22.9</v>
      </c>
      <c r="J307" s="2" t="n">
        <v>10.94241824</v>
      </c>
    </row>
    <row r="308" customFormat="false" ht="15.8" hidden="false" customHeight="false" outlineLevel="0" collapsed="false">
      <c r="A308" s="1" t="n">
        <v>307</v>
      </c>
      <c r="B308" s="1" t="n">
        <v>44.1</v>
      </c>
      <c r="C308" s="1" t="n">
        <v>-28.1</v>
      </c>
      <c r="D308" s="1" t="n">
        <v>-22.9</v>
      </c>
      <c r="E308" s="2" t="n">
        <v>1.5</v>
      </c>
      <c r="F308" s="2" t="n">
        <v>308</v>
      </c>
      <c r="G308" s="2" t="n">
        <v>45.1</v>
      </c>
      <c r="H308" s="2" t="n">
        <v>-28.5</v>
      </c>
      <c r="I308" s="2" t="n">
        <v>-24.1</v>
      </c>
      <c r="J308" s="2" t="n">
        <v>14.60017524</v>
      </c>
    </row>
    <row r="309" customFormat="false" ht="15.8" hidden="false" customHeight="false" outlineLevel="0" collapsed="false">
      <c r="A309" s="1" t="n">
        <v>308</v>
      </c>
      <c r="B309" s="1" t="n">
        <v>45.1</v>
      </c>
      <c r="C309" s="1" t="n">
        <v>-28.5</v>
      </c>
      <c r="D309" s="1" t="n">
        <v>-24.1</v>
      </c>
      <c r="E309" s="2" t="n">
        <v>1.5</v>
      </c>
      <c r="F309" s="2" t="n">
        <v>307</v>
      </c>
      <c r="G309" s="2" t="n">
        <v>44.1</v>
      </c>
      <c r="H309" s="2" t="n">
        <v>-28.1</v>
      </c>
      <c r="I309" s="2" t="n">
        <v>-22.9</v>
      </c>
      <c r="J309" s="2" t="n">
        <v>14.11645554</v>
      </c>
    </row>
    <row r="310" customFormat="false" ht="15.8" hidden="false" customHeight="false" outlineLevel="0" collapsed="false">
      <c r="A310" s="1" t="n">
        <v>309</v>
      </c>
      <c r="B310" s="1" t="n">
        <v>46.8</v>
      </c>
      <c r="C310" s="1" t="n">
        <v>-33.7</v>
      </c>
      <c r="D310" s="1" t="n">
        <v>-20.7</v>
      </c>
      <c r="E310" s="2" t="n">
        <v>1.2</v>
      </c>
      <c r="F310" s="2" t="n">
        <v>313</v>
      </c>
      <c r="G310" s="2" t="n">
        <v>47.2</v>
      </c>
      <c r="H310" s="2" t="n">
        <v>-32.6</v>
      </c>
      <c r="I310" s="2" t="n">
        <v>-20.4</v>
      </c>
      <c r="J310" s="2" t="n">
        <v>8.210415154</v>
      </c>
    </row>
    <row r="311" customFormat="false" ht="15.8" hidden="false" customHeight="false" outlineLevel="0" collapsed="false">
      <c r="A311" s="1" t="n">
        <v>310</v>
      </c>
      <c r="B311" s="1" t="n">
        <v>47</v>
      </c>
      <c r="C311" s="1" t="n">
        <v>-31.2</v>
      </c>
      <c r="D311" s="1" t="n">
        <v>-24.4</v>
      </c>
      <c r="E311" s="2" t="n">
        <v>1.1</v>
      </c>
      <c r="F311" s="2" t="n">
        <v>311</v>
      </c>
      <c r="G311" s="2" t="n">
        <v>46.7</v>
      </c>
      <c r="H311" s="2" t="n">
        <v>-32.2</v>
      </c>
      <c r="I311" s="2" t="n">
        <v>-24.4</v>
      </c>
      <c r="J311" s="2" t="n">
        <v>11.23447004</v>
      </c>
    </row>
    <row r="312" customFormat="false" ht="15.8" hidden="false" customHeight="false" outlineLevel="0" collapsed="false">
      <c r="A312" s="1" t="n">
        <v>311</v>
      </c>
      <c r="B312" s="1" t="n">
        <v>46.7</v>
      </c>
      <c r="C312" s="1" t="n">
        <v>-32.2</v>
      </c>
      <c r="D312" s="1" t="n">
        <v>-24.4</v>
      </c>
      <c r="E312" s="2" t="n">
        <v>1.1</v>
      </c>
      <c r="F312" s="2" t="n">
        <v>310</v>
      </c>
      <c r="G312" s="2" t="n">
        <v>47</v>
      </c>
      <c r="H312" s="2" t="n">
        <v>-31.2</v>
      </c>
      <c r="I312" s="2" t="n">
        <v>-24.4</v>
      </c>
      <c r="J312" s="2" t="n">
        <v>10.6733461</v>
      </c>
    </row>
    <row r="313" customFormat="false" ht="15.8" hidden="false" customHeight="false" outlineLevel="0" collapsed="false">
      <c r="A313" s="1" t="n">
        <v>312</v>
      </c>
      <c r="B313" s="1" t="n">
        <v>45.2</v>
      </c>
      <c r="C313" s="1" t="n">
        <v>-33</v>
      </c>
      <c r="D313" s="1" t="n">
        <v>-20.4</v>
      </c>
      <c r="E313" s="2" t="n">
        <v>1.9</v>
      </c>
      <c r="F313" s="2" t="n">
        <v>309</v>
      </c>
      <c r="G313" s="2" t="n">
        <v>46.8</v>
      </c>
      <c r="H313" s="2" t="n">
        <v>-33.7</v>
      </c>
      <c r="I313" s="2" t="n">
        <v>-20.7</v>
      </c>
      <c r="J313" s="2" t="n">
        <v>9.774503414</v>
      </c>
    </row>
    <row r="314" customFormat="false" ht="15.8" hidden="false" customHeight="false" outlineLevel="0" collapsed="false">
      <c r="A314" s="1" t="n">
        <v>313</v>
      </c>
      <c r="B314" s="1" t="n">
        <v>47.2</v>
      </c>
      <c r="C314" s="1" t="n">
        <v>-32.6</v>
      </c>
      <c r="D314" s="1" t="n">
        <v>-20.4</v>
      </c>
      <c r="E314" s="2" t="n">
        <v>1.2</v>
      </c>
      <c r="F314" s="2" t="n">
        <v>309</v>
      </c>
      <c r="G314" s="2" t="n">
        <v>46.8</v>
      </c>
      <c r="H314" s="2" t="n">
        <v>-33.7</v>
      </c>
      <c r="I314" s="2" t="n">
        <v>-20.7</v>
      </c>
      <c r="J314" s="2" t="n">
        <v>8.72949695</v>
      </c>
    </row>
    <row r="315" customFormat="false" ht="15.8" hidden="false" customHeight="false" outlineLevel="0" collapsed="false">
      <c r="A315" s="1" t="n">
        <v>314</v>
      </c>
      <c r="B315" s="1" t="n">
        <v>47.1</v>
      </c>
      <c r="C315" s="1" t="n">
        <v>-33.5</v>
      </c>
      <c r="D315" s="1" t="n">
        <v>-19.2</v>
      </c>
      <c r="E315" s="2" t="n">
        <v>1.4</v>
      </c>
      <c r="F315" s="2" t="n">
        <v>313</v>
      </c>
      <c r="G315" s="2" t="n">
        <v>47.2</v>
      </c>
      <c r="H315" s="2" t="n">
        <v>-32.6</v>
      </c>
      <c r="I315" s="2" t="n">
        <v>-20.4</v>
      </c>
      <c r="J315" s="2" t="n">
        <v>7.99309183</v>
      </c>
    </row>
    <row r="316" customFormat="false" ht="15.8" hidden="false" customHeight="false" outlineLevel="0" collapsed="false">
      <c r="A316" s="1" t="n">
        <v>315</v>
      </c>
      <c r="B316" s="1" t="n">
        <v>50.1</v>
      </c>
      <c r="C316" s="1" t="n">
        <v>-34.7</v>
      </c>
      <c r="D316" s="1" t="n">
        <v>-15.9</v>
      </c>
      <c r="E316" s="2" t="n">
        <v>3</v>
      </c>
      <c r="F316" s="2" t="n">
        <v>331</v>
      </c>
      <c r="G316" s="2" t="n">
        <v>53</v>
      </c>
      <c r="H316" s="2" t="n">
        <v>-34</v>
      </c>
      <c r="I316" s="2" t="n">
        <v>-15.5</v>
      </c>
      <c r="J316" s="2" t="n">
        <v>6.190986755</v>
      </c>
    </row>
    <row r="317" customFormat="false" ht="15.8" hidden="false" customHeight="false" outlineLevel="0" collapsed="false">
      <c r="A317" s="1" t="n">
        <v>316</v>
      </c>
      <c r="B317" s="1" t="n">
        <v>50.3</v>
      </c>
      <c r="C317" s="1" t="n">
        <v>-22.2</v>
      </c>
      <c r="D317" s="1" t="n">
        <v>-26.6</v>
      </c>
      <c r="E317" s="2" t="n">
        <v>7.7</v>
      </c>
      <c r="F317" s="2" t="n">
        <v>326</v>
      </c>
      <c r="G317" s="2" t="n">
        <v>52.4</v>
      </c>
      <c r="H317" s="2" t="n">
        <v>-29</v>
      </c>
      <c r="I317" s="2" t="n">
        <v>-23.7</v>
      </c>
      <c r="J317" s="2" t="n">
        <v>18.98353805</v>
      </c>
    </row>
    <row r="318" customFormat="false" ht="15.8" hidden="false" customHeight="false" outlineLevel="0" collapsed="false">
      <c r="A318" s="1" t="n">
        <v>317</v>
      </c>
      <c r="B318" s="1" t="n">
        <v>59.4</v>
      </c>
      <c r="C318" s="1" t="n">
        <v>-19.7</v>
      </c>
      <c r="D318" s="1" t="n">
        <v>-27.4</v>
      </c>
      <c r="E318" s="2" t="n">
        <v>6.5</v>
      </c>
      <c r="F318" s="2" t="n">
        <v>318</v>
      </c>
      <c r="G318" s="2" t="n">
        <v>57.5</v>
      </c>
      <c r="H318" s="2" t="n">
        <v>-25.8</v>
      </c>
      <c r="I318" s="2" t="n">
        <v>-25.9</v>
      </c>
      <c r="J318" s="2" t="n">
        <v>22.60246263</v>
      </c>
    </row>
    <row r="319" customFormat="false" ht="15.8" hidden="false" customHeight="false" outlineLevel="0" collapsed="false">
      <c r="A319" s="1" t="n">
        <v>318</v>
      </c>
      <c r="B319" s="1" t="n">
        <v>57.5</v>
      </c>
      <c r="C319" s="1" t="n">
        <v>-25.8</v>
      </c>
      <c r="D319" s="1" t="n">
        <v>-25.9</v>
      </c>
      <c r="E319" s="2" t="n">
        <v>3.6</v>
      </c>
      <c r="F319" s="2" t="n">
        <v>319</v>
      </c>
      <c r="G319" s="2" t="n">
        <v>59.9</v>
      </c>
      <c r="H319" s="2" t="n">
        <v>-24.8</v>
      </c>
      <c r="I319" s="2" t="n">
        <v>-23.3</v>
      </c>
      <c r="J319" s="2" t="n">
        <v>16.1449533</v>
      </c>
    </row>
    <row r="320" customFormat="false" ht="15.8" hidden="false" customHeight="false" outlineLevel="0" collapsed="false">
      <c r="A320" s="1" t="n">
        <v>319</v>
      </c>
      <c r="B320" s="1" t="n">
        <v>59.9</v>
      </c>
      <c r="C320" s="1" t="n">
        <v>-24.8</v>
      </c>
      <c r="D320" s="1" t="n">
        <v>-23.3</v>
      </c>
      <c r="E320" s="2" t="n">
        <v>2.7</v>
      </c>
      <c r="F320" s="2" t="n">
        <v>320</v>
      </c>
      <c r="G320" s="2" t="n">
        <v>59.3</v>
      </c>
      <c r="H320" s="2" t="n">
        <v>-24.7</v>
      </c>
      <c r="I320" s="2" t="n">
        <v>-20.7</v>
      </c>
      <c r="J320" s="2" t="n">
        <v>17.04970138</v>
      </c>
    </row>
    <row r="321" customFormat="false" ht="15.8" hidden="false" customHeight="false" outlineLevel="0" collapsed="false">
      <c r="A321" s="1" t="n">
        <v>320</v>
      </c>
      <c r="B321" s="1" t="n">
        <v>59.3</v>
      </c>
      <c r="C321" s="1" t="n">
        <v>-24.7</v>
      </c>
      <c r="D321" s="1" t="n">
        <v>-20.7</v>
      </c>
      <c r="E321" s="2" t="n">
        <v>1.2</v>
      </c>
      <c r="F321" s="2" t="n">
        <v>321</v>
      </c>
      <c r="G321" s="2" t="n">
        <v>60.4</v>
      </c>
      <c r="H321" s="2" t="n">
        <v>-25.3</v>
      </c>
      <c r="I321" s="2" t="n">
        <v>-20.7</v>
      </c>
      <c r="J321" s="2" t="n">
        <v>16.42430872</v>
      </c>
    </row>
    <row r="322" customFormat="false" ht="15.8" hidden="false" customHeight="false" outlineLevel="0" collapsed="false">
      <c r="A322" s="1" t="n">
        <v>321</v>
      </c>
      <c r="B322" s="1" t="n">
        <v>60.4</v>
      </c>
      <c r="C322" s="1" t="n">
        <v>-25.3</v>
      </c>
      <c r="D322" s="1" t="n">
        <v>-20.7</v>
      </c>
      <c r="E322" s="2" t="n">
        <v>1.2</v>
      </c>
      <c r="F322" s="2" t="n">
        <v>320</v>
      </c>
      <c r="G322" s="2" t="n">
        <v>59.3</v>
      </c>
      <c r="H322" s="2" t="n">
        <v>-24.7</v>
      </c>
      <c r="I322" s="2" t="n">
        <v>-20.7</v>
      </c>
      <c r="J322" s="2" t="n">
        <v>16.3950638</v>
      </c>
    </row>
    <row r="323" customFormat="false" ht="15.8" hidden="false" customHeight="false" outlineLevel="0" collapsed="false">
      <c r="A323" s="1" t="n">
        <v>322</v>
      </c>
      <c r="B323" s="1" t="n">
        <v>59.3</v>
      </c>
      <c r="C323" s="1" t="n">
        <v>-28.5</v>
      </c>
      <c r="D323" s="1" t="n">
        <v>-20.7</v>
      </c>
      <c r="E323" s="2" t="n">
        <v>2.5</v>
      </c>
      <c r="F323" s="2" t="n">
        <v>215</v>
      </c>
      <c r="G323" s="2" t="n">
        <v>61.2</v>
      </c>
      <c r="H323" s="2" t="n">
        <v>-29.2</v>
      </c>
      <c r="I323" s="2" t="n">
        <v>-22.2</v>
      </c>
      <c r="J323" s="2" t="n">
        <v>13.10295833</v>
      </c>
    </row>
    <row r="324" customFormat="false" ht="15.8" hidden="false" customHeight="false" outlineLevel="0" collapsed="false">
      <c r="A324" s="1" t="n">
        <v>323</v>
      </c>
      <c r="B324" s="1" t="n">
        <v>56.2</v>
      </c>
      <c r="C324" s="1" t="n">
        <v>-26.5</v>
      </c>
      <c r="D324" s="1" t="n">
        <v>-21.5</v>
      </c>
      <c r="E324" s="2" t="n">
        <v>3.6</v>
      </c>
      <c r="F324" s="2" t="n">
        <v>320</v>
      </c>
      <c r="G324" s="2" t="n">
        <v>59.3</v>
      </c>
      <c r="H324" s="2" t="n">
        <v>-24.7</v>
      </c>
      <c r="I324" s="2" t="n">
        <v>-20.7</v>
      </c>
      <c r="J324" s="2" t="n">
        <v>13.77026205</v>
      </c>
    </row>
    <row r="325" customFormat="false" ht="15.8" hidden="false" customHeight="false" outlineLevel="0" collapsed="false">
      <c r="A325" s="1" t="n">
        <v>324</v>
      </c>
      <c r="B325" s="1" t="n">
        <v>56.1</v>
      </c>
      <c r="C325" s="1" t="n">
        <v>-30.5</v>
      </c>
      <c r="D325" s="1" t="n">
        <v>-25.2</v>
      </c>
      <c r="E325" s="2" t="n">
        <v>2.5</v>
      </c>
      <c r="F325" s="2" t="n">
        <v>325</v>
      </c>
      <c r="G325" s="2" t="n">
        <v>57.9</v>
      </c>
      <c r="H325" s="2" t="n">
        <v>-29.5</v>
      </c>
      <c r="I325" s="2" t="n">
        <v>-23.7</v>
      </c>
      <c r="J325" s="2" t="n">
        <v>11.50980091</v>
      </c>
    </row>
    <row r="326" customFormat="false" ht="15.8" hidden="false" customHeight="false" outlineLevel="0" collapsed="false">
      <c r="A326" s="1" t="n">
        <v>325</v>
      </c>
      <c r="B326" s="1" t="n">
        <v>57.9</v>
      </c>
      <c r="C326" s="1" t="n">
        <v>-29.5</v>
      </c>
      <c r="D326" s="1" t="n">
        <v>-23.7</v>
      </c>
      <c r="E326" s="2" t="n">
        <v>2.5</v>
      </c>
      <c r="F326" s="2" t="n">
        <v>324</v>
      </c>
      <c r="G326" s="2" t="n">
        <v>56.1</v>
      </c>
      <c r="H326" s="2" t="n">
        <v>-30.5</v>
      </c>
      <c r="I326" s="2" t="n">
        <v>-25.2</v>
      </c>
      <c r="J326" s="2" t="n">
        <v>12.32905175</v>
      </c>
    </row>
    <row r="327" customFormat="false" ht="15.8" hidden="false" customHeight="false" outlineLevel="0" collapsed="false">
      <c r="A327" s="1" t="n">
        <v>326</v>
      </c>
      <c r="B327" s="1" t="n">
        <v>52.4</v>
      </c>
      <c r="C327" s="1" t="n">
        <v>-29</v>
      </c>
      <c r="D327" s="1" t="n">
        <v>-23.7</v>
      </c>
      <c r="E327" s="2" t="n">
        <v>2.8</v>
      </c>
      <c r="F327" s="2" t="n">
        <v>333</v>
      </c>
      <c r="G327" s="2" t="n">
        <v>50.2</v>
      </c>
      <c r="H327" s="2" t="n">
        <v>-30.5</v>
      </c>
      <c r="I327" s="2" t="n">
        <v>-22.9</v>
      </c>
      <c r="J327" s="2" t="n">
        <v>11.47756581</v>
      </c>
    </row>
    <row r="328" customFormat="false" ht="15.8" hidden="false" customHeight="false" outlineLevel="0" collapsed="false">
      <c r="A328" s="1" t="n">
        <v>327</v>
      </c>
      <c r="B328" s="1" t="n">
        <v>56</v>
      </c>
      <c r="C328" s="1" t="n">
        <v>-35.1</v>
      </c>
      <c r="D328" s="1" t="n">
        <v>-22.2</v>
      </c>
      <c r="E328" s="2" t="n">
        <v>1.1</v>
      </c>
      <c r="F328" s="2" t="n">
        <v>224</v>
      </c>
      <c r="G328" s="2" t="n">
        <v>57.1</v>
      </c>
      <c r="H328" s="2" t="n">
        <v>-35</v>
      </c>
      <c r="I328" s="2" t="n">
        <v>-22.6</v>
      </c>
      <c r="J328" s="2" t="n">
        <v>6.504438254</v>
      </c>
    </row>
    <row r="329" customFormat="false" ht="15.8" hidden="false" customHeight="false" outlineLevel="0" collapsed="false">
      <c r="A329" s="1" t="n">
        <v>328</v>
      </c>
      <c r="B329" s="1" t="n">
        <v>53.5</v>
      </c>
      <c r="C329" s="1" t="n">
        <v>-37</v>
      </c>
      <c r="D329" s="1" t="n">
        <v>-20.7</v>
      </c>
      <c r="E329" s="2" t="n">
        <v>2.6</v>
      </c>
      <c r="F329" s="2" t="n">
        <v>334</v>
      </c>
      <c r="G329" s="2" t="n">
        <v>54.8</v>
      </c>
      <c r="H329" s="2" t="n">
        <v>-35.6</v>
      </c>
      <c r="I329" s="2" t="n">
        <v>-18.9</v>
      </c>
      <c r="J329" s="2" t="n">
        <v>3.190535535</v>
      </c>
    </row>
    <row r="330" customFormat="false" ht="15.8" hidden="false" customHeight="false" outlineLevel="0" collapsed="false">
      <c r="A330" s="1" t="n">
        <v>329</v>
      </c>
      <c r="B330" s="1" t="n">
        <v>56.1</v>
      </c>
      <c r="C330" s="1" t="n">
        <v>-36.6</v>
      </c>
      <c r="D330" s="1" t="n">
        <v>-18.1</v>
      </c>
      <c r="E330" s="2" t="n">
        <v>1.1</v>
      </c>
      <c r="F330" s="2" t="n">
        <v>330</v>
      </c>
      <c r="G330" s="2" t="n">
        <v>57.1</v>
      </c>
      <c r="H330" s="2" t="n">
        <v>-36.6</v>
      </c>
      <c r="I330" s="2" t="n">
        <v>-18.5</v>
      </c>
      <c r="J330" s="2" t="n">
        <v>4.822604794</v>
      </c>
    </row>
    <row r="331" customFormat="false" ht="15.8" hidden="false" customHeight="false" outlineLevel="0" collapsed="false">
      <c r="A331" s="1" t="n">
        <v>330</v>
      </c>
      <c r="B331" s="1" t="n">
        <v>57.1</v>
      </c>
      <c r="C331" s="1" t="n">
        <v>-36.6</v>
      </c>
      <c r="D331" s="1" t="n">
        <v>-18.5</v>
      </c>
      <c r="E331" s="2" t="n">
        <v>1.1</v>
      </c>
      <c r="F331" s="2" t="n">
        <v>329</v>
      </c>
      <c r="G331" s="2" t="n">
        <v>56.1</v>
      </c>
      <c r="H331" s="2" t="n">
        <v>-36.6</v>
      </c>
      <c r="I331" s="2" t="n">
        <v>-18.1</v>
      </c>
      <c r="J331" s="2" t="n">
        <v>5.575689823</v>
      </c>
    </row>
    <row r="332" customFormat="false" ht="15.8" hidden="false" customHeight="false" outlineLevel="0" collapsed="false">
      <c r="A332" s="1" t="n">
        <v>331</v>
      </c>
      <c r="B332" s="1" t="n">
        <v>53</v>
      </c>
      <c r="C332" s="1" t="n">
        <v>-34</v>
      </c>
      <c r="D332" s="1" t="n">
        <v>-15.5</v>
      </c>
      <c r="E332" s="2" t="n">
        <v>1.3</v>
      </c>
      <c r="F332" s="2" t="n">
        <v>114</v>
      </c>
      <c r="G332" s="2" t="n">
        <v>54.1</v>
      </c>
      <c r="H332" s="2" t="n">
        <v>-34.6</v>
      </c>
      <c r="I332" s="2" t="n">
        <v>-15.9</v>
      </c>
      <c r="J332" s="2" t="n">
        <v>6.592277072</v>
      </c>
    </row>
    <row r="333" customFormat="false" ht="15.8" hidden="false" customHeight="false" outlineLevel="0" collapsed="false">
      <c r="A333" s="1" t="n">
        <v>332</v>
      </c>
      <c r="B333" s="1" t="n">
        <v>51.5</v>
      </c>
      <c r="C333" s="1" t="n">
        <v>-31.8</v>
      </c>
      <c r="D333" s="1" t="n">
        <v>-20.7</v>
      </c>
      <c r="E333" s="2" t="n">
        <v>2.8</v>
      </c>
      <c r="F333" s="2" t="n">
        <v>337</v>
      </c>
      <c r="G333" s="2" t="n">
        <v>52.6</v>
      </c>
      <c r="H333" s="2" t="n">
        <v>-33.2</v>
      </c>
      <c r="I333" s="2" t="n">
        <v>-18.5</v>
      </c>
      <c r="J333" s="2" t="n">
        <v>7.922191427</v>
      </c>
    </row>
    <row r="334" customFormat="false" ht="15.8" hidden="false" customHeight="false" outlineLevel="0" collapsed="false">
      <c r="A334" s="1" t="n">
        <v>333</v>
      </c>
      <c r="B334" s="1" t="n">
        <v>50.2</v>
      </c>
      <c r="C334" s="1" t="n">
        <v>-30.5</v>
      </c>
      <c r="D334" s="1" t="n">
        <v>-22.9</v>
      </c>
      <c r="E334" s="2" t="n">
        <v>2.8</v>
      </c>
      <c r="F334" s="2" t="n">
        <v>326</v>
      </c>
      <c r="G334" s="2" t="n">
        <v>52.4</v>
      </c>
      <c r="H334" s="2" t="n">
        <v>-29</v>
      </c>
      <c r="I334" s="2" t="n">
        <v>-23.7</v>
      </c>
      <c r="J334" s="2" t="n">
        <v>10.0220216</v>
      </c>
    </row>
    <row r="335" customFormat="false" ht="15.8" hidden="false" customHeight="false" outlineLevel="0" collapsed="false">
      <c r="A335" s="1" t="n">
        <v>334</v>
      </c>
      <c r="B335" s="1" t="n">
        <v>54.8</v>
      </c>
      <c r="C335" s="1" t="n">
        <v>-35.6</v>
      </c>
      <c r="D335" s="1" t="n">
        <v>-18.9</v>
      </c>
      <c r="E335" s="2" t="n">
        <v>1.4</v>
      </c>
      <c r="F335" s="2" t="n">
        <v>336</v>
      </c>
      <c r="G335" s="2" t="n">
        <v>54.7</v>
      </c>
      <c r="H335" s="2" t="n">
        <v>-36.5</v>
      </c>
      <c r="I335" s="2" t="n">
        <v>-17.8</v>
      </c>
      <c r="J335" s="2" t="n">
        <v>4.599143072</v>
      </c>
    </row>
    <row r="336" customFormat="false" ht="15.8" hidden="false" customHeight="false" outlineLevel="0" collapsed="false">
      <c r="A336" s="1" t="n">
        <v>335</v>
      </c>
      <c r="B336" s="1" t="n">
        <v>53.3</v>
      </c>
      <c r="C336" s="1" t="n">
        <v>-34.3</v>
      </c>
      <c r="D336" s="1" t="n">
        <v>-19.2</v>
      </c>
      <c r="E336" s="2" t="n">
        <v>1.5</v>
      </c>
      <c r="F336" s="2" t="n">
        <v>337</v>
      </c>
      <c r="G336" s="2" t="n">
        <v>52.6</v>
      </c>
      <c r="H336" s="2" t="n">
        <v>-33.2</v>
      </c>
      <c r="I336" s="2" t="n">
        <v>-18.5</v>
      </c>
      <c r="J336" s="2" t="n">
        <v>5.287070739</v>
      </c>
    </row>
    <row r="337" customFormat="false" ht="15.8" hidden="false" customHeight="false" outlineLevel="0" collapsed="false">
      <c r="A337" s="1" t="n">
        <v>336</v>
      </c>
      <c r="B337" s="1" t="n">
        <v>54.7</v>
      </c>
      <c r="C337" s="1" t="n">
        <v>-36.5</v>
      </c>
      <c r="D337" s="1" t="n">
        <v>-17.8</v>
      </c>
      <c r="E337" s="2" t="n">
        <v>1.4</v>
      </c>
      <c r="F337" s="2" t="n">
        <v>334</v>
      </c>
      <c r="G337" s="2" t="n">
        <v>54.8</v>
      </c>
      <c r="H337" s="2" t="n">
        <v>-35.6</v>
      </c>
      <c r="I337" s="2" t="n">
        <v>-18.9</v>
      </c>
      <c r="J337" s="2" t="n">
        <v>4.006584206</v>
      </c>
    </row>
    <row r="338" customFormat="false" ht="15.8" hidden="false" customHeight="false" outlineLevel="0" collapsed="false">
      <c r="A338" s="1" t="n">
        <v>337</v>
      </c>
      <c r="B338" s="1" t="n">
        <v>52.6</v>
      </c>
      <c r="C338" s="1" t="n">
        <v>-33.2</v>
      </c>
      <c r="D338" s="1" t="n">
        <v>-18.5</v>
      </c>
      <c r="E338" s="2" t="n">
        <v>1.5</v>
      </c>
      <c r="F338" s="2" t="n">
        <v>335</v>
      </c>
      <c r="G338" s="2" t="n">
        <v>53.3</v>
      </c>
      <c r="H338" s="2" t="n">
        <v>-34.3</v>
      </c>
      <c r="I338" s="2" t="n">
        <v>-19.2</v>
      </c>
      <c r="J338" s="2" t="n">
        <v>6.33407586</v>
      </c>
    </row>
    <row r="339" customFormat="false" ht="15.8" hidden="false" customHeight="false" outlineLevel="0" collapsed="false">
      <c r="A339" s="1" t="n">
        <v>338</v>
      </c>
      <c r="B339" s="1" t="n">
        <v>52</v>
      </c>
      <c r="C339" s="1" t="n">
        <v>-42</v>
      </c>
      <c r="D339" s="1" t="n">
        <v>-22.6</v>
      </c>
      <c r="E339" s="2" t="n">
        <v>0.5</v>
      </c>
      <c r="F339" s="2" t="n">
        <v>231</v>
      </c>
      <c r="G339" s="2" t="n">
        <v>51.9</v>
      </c>
      <c r="H339" s="2" t="n">
        <v>-42.5</v>
      </c>
      <c r="I339" s="2" t="n">
        <v>-22.6</v>
      </c>
      <c r="J339" s="2" t="n">
        <v>4.336279165</v>
      </c>
    </row>
    <row r="340" customFormat="false" ht="15.8" hidden="false" customHeight="false" outlineLevel="0" collapsed="false">
      <c r="A340" s="1" t="n">
        <v>339</v>
      </c>
      <c r="B340" s="1" t="n">
        <v>52.6</v>
      </c>
      <c r="C340" s="1" t="n">
        <v>-43.2</v>
      </c>
      <c r="D340" s="1" t="n">
        <v>-19.2</v>
      </c>
      <c r="E340" s="2" t="n">
        <v>2.7</v>
      </c>
      <c r="F340" s="2" t="n">
        <v>6</v>
      </c>
      <c r="G340" s="2" t="n">
        <v>52.2</v>
      </c>
      <c r="H340" s="2" t="n">
        <v>-43.7</v>
      </c>
      <c r="I340" s="2" t="n">
        <v>-16.6</v>
      </c>
      <c r="J340" s="2" t="n">
        <v>3.704985425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89639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2017-07-31T16:12:10Z</dcterms:modified>
  <cp:revision>64</cp:revision>
</cp:coreProperties>
</file>