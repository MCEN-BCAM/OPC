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docProps/app.xml" ContentType="application/vnd.openxmlformats-officedocument.extended-properties+xml"/>
  <Override PartName="/docProps/core.xml" ContentType="application/vnd.openxmlformats-package.core-properties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Sheet1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<sst xmlns="http://schemas.openxmlformats.org/spreadsheetml/2006/main" count="23" uniqueCount="18">
  <si>
    <t>Termination</t>
  </si>
  <si>
    <t>CoordinateX1</t>
  </si>
  <si>
    <t>Y1</t>
  </si>
  <si>
    <t>Z1</t>
  </si>
  <si>
    <t>Nearest Neighbor (µm</t>
  </si>
  <si>
    <t>Neighbor ID</t>
  </si>
  <si>
    <t>CoordinateX2</t>
  </si>
  <si>
    <t>Y2</t>
  </si>
  <si>
    <t>Z2</t>
  </si>
  <si>
    <t>Distance</t>
  </si>
  <si>
    <t>Dist/Counts</t>
  </si>
  <si>
    <t>&gt;5</t>
  </si>
  <si>
    <t>Sum</t>
  </si>
  <si>
    <t>Count</t>
  </si>
  <si>
    <t>Sum of sums</t>
  </si>
  <si>
    <t>Sum of cells</t>
  </si>
  <si>
    <t>Normalized</t>
  </si>
  <si>
    <t>Norm per dist</t>
  </si>
</sst>
</file>

<file path=xl/styles.xml><?xml version="1.0" encoding="utf-8"?>
<styleSheet xmlns="http://schemas.openxmlformats.org/spreadsheetml/2006/main">
  <numFmts count="1">
    <numFmt numFmtId="164" formatCode="GENERAL"/>
  </numFmts>
  <fonts count="23">
    <font>
      <sz val="11"/>
      <color rgb="FF000000"/>
      <name val="Calibri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color rgb="FFFFFFFF"/>
      <name val="Calibri"/>
      <family val="2"/>
    </font>
    <font>
      <sz val="11"/>
      <color rgb="FF800080"/>
      <name val="Calibri"/>
      <family val="2"/>
    </font>
    <font>
      <b val="true"/>
      <sz val="11"/>
      <color rgb="FFFF9900"/>
      <name val="Calibri"/>
      <family val="2"/>
    </font>
    <font>
      <b val="true"/>
      <sz val="11"/>
      <color rgb="FFFFFFFF"/>
      <name val="Calibri"/>
      <family val="2"/>
    </font>
    <font>
      <i val="true"/>
      <sz val="11"/>
      <color rgb="FF808080"/>
      <name val="Calibri"/>
      <family val="2"/>
    </font>
    <font>
      <sz val="11"/>
      <color rgb="FF008000"/>
      <name val="Calibri"/>
      <family val="2"/>
    </font>
    <font>
      <b val="true"/>
      <sz val="15"/>
      <color rgb="FF003366"/>
      <name val="Calibri"/>
      <family val="2"/>
    </font>
    <font>
      <b val="true"/>
      <sz val="13"/>
      <color rgb="FF003366"/>
      <name val="Calibri"/>
      <family val="2"/>
    </font>
    <font>
      <b val="true"/>
      <sz val="11"/>
      <color rgb="FF003366"/>
      <name val="Calibri"/>
      <family val="2"/>
    </font>
    <font>
      <sz val="11"/>
      <color rgb="FF333399"/>
      <name val="Calibri"/>
      <family val="2"/>
    </font>
    <font>
      <sz val="11"/>
      <color rgb="FFFF9900"/>
      <name val="Calibri"/>
      <family val="2"/>
    </font>
    <font>
      <sz val="11"/>
      <color rgb="FF993300"/>
      <name val="Calibri"/>
      <family val="2"/>
    </font>
    <font>
      <b val="true"/>
      <sz val="11"/>
      <color rgb="FF333333"/>
      <name val="Calibri"/>
      <family val="2"/>
    </font>
    <font>
      <b val="true"/>
      <sz val="18"/>
      <color rgb="FF003366"/>
      <name val="Cambria"/>
      <family val="2"/>
    </font>
    <font>
      <b val="true"/>
      <sz val="11"/>
      <color rgb="FF000000"/>
      <name val="Calibri"/>
      <family val="2"/>
    </font>
    <font>
      <sz val="11"/>
      <color rgb="FFFF0000"/>
      <name val="Calibri"/>
      <family val="2"/>
    </font>
    <font>
      <sz val="11"/>
      <name val="Calibri"/>
      <family val="2"/>
    </font>
    <font>
      <b val="true"/>
      <u val="single"/>
      <sz val="11"/>
      <color rgb="FF000000"/>
      <name val="Calibri"/>
      <family val="2"/>
    </font>
    <font>
      <u val="single"/>
      <sz val="11"/>
      <color rgb="FF000000"/>
      <name val="Calibri"/>
      <family val="2"/>
    </font>
  </fonts>
  <fills count="24">
    <fill>
      <patternFill patternType="none"/>
    </fill>
    <fill>
      <patternFill patternType="gray125"/>
    </fill>
    <fill>
      <patternFill patternType="solid">
        <fgColor rgb="FFCCCCFF"/>
        <bgColor rgb="FFC0C0C0"/>
      </patternFill>
    </fill>
    <fill>
      <patternFill patternType="solid">
        <fgColor rgb="FFFF99CC"/>
        <bgColor rgb="FFFF8080"/>
      </patternFill>
    </fill>
    <fill>
      <patternFill patternType="solid">
        <fgColor rgb="FFCCFFCC"/>
        <bgColor rgb="FFCCFFFF"/>
      </patternFill>
    </fill>
    <fill>
      <patternFill patternType="solid">
        <fgColor rgb="FFCC99FF"/>
        <bgColor rgb="FF9999FF"/>
      </patternFill>
    </fill>
    <fill>
      <patternFill patternType="solid">
        <fgColor rgb="FFCCFFFF"/>
        <bgColor rgb="FFCCFFFF"/>
      </patternFill>
    </fill>
    <fill>
      <patternFill patternType="solid">
        <fgColor rgb="FFFFCC99"/>
        <bgColor rgb="FFC0C0C0"/>
      </patternFill>
    </fill>
    <fill>
      <patternFill patternType="solid">
        <fgColor rgb="FF99CCFF"/>
        <bgColor rgb="FFCCCCFF"/>
      </patternFill>
    </fill>
    <fill>
      <patternFill patternType="solid">
        <fgColor rgb="FFFF8080"/>
        <bgColor rgb="FFFF99CC"/>
      </patternFill>
    </fill>
    <fill>
      <patternFill patternType="solid">
        <fgColor rgb="FF00FF00"/>
        <bgColor rgb="FF33CCCC"/>
      </patternFill>
    </fill>
    <fill>
      <patternFill patternType="solid">
        <fgColor rgb="FFFFCC00"/>
        <bgColor rgb="FFFFFF00"/>
      </patternFill>
    </fill>
    <fill>
      <patternFill patternType="solid">
        <fgColor rgb="FF0066CC"/>
        <bgColor rgb="FF008080"/>
      </patternFill>
    </fill>
    <fill>
      <patternFill patternType="solid">
        <fgColor rgb="FF800080"/>
        <bgColor rgb="FF800080"/>
      </patternFill>
    </fill>
    <fill>
      <patternFill patternType="solid">
        <fgColor rgb="FF33CCCC"/>
        <bgColor rgb="FF00CCFF"/>
      </patternFill>
    </fill>
    <fill>
      <patternFill patternType="solid">
        <fgColor rgb="FFFF9900"/>
        <bgColor rgb="FFFFCC00"/>
      </patternFill>
    </fill>
    <fill>
      <patternFill patternType="solid">
        <fgColor rgb="FF333399"/>
        <bgColor rgb="FF003366"/>
      </patternFill>
    </fill>
    <fill>
      <patternFill patternType="solid">
        <fgColor rgb="FFFF0000"/>
        <bgColor rgb="FF993300"/>
      </patternFill>
    </fill>
    <fill>
      <patternFill patternType="solid">
        <fgColor rgb="FF339966"/>
        <bgColor rgb="FF008080"/>
      </patternFill>
    </fill>
    <fill>
      <patternFill patternType="solid">
        <fgColor rgb="FFFF6600"/>
        <bgColor rgb="FFFF9900"/>
      </patternFill>
    </fill>
    <fill>
      <patternFill patternType="solid">
        <fgColor rgb="FFC0C0C0"/>
        <bgColor rgb="FFCCCCFF"/>
      </patternFill>
    </fill>
    <fill>
      <patternFill patternType="solid">
        <fgColor rgb="FF969696"/>
        <bgColor rgb="FF808080"/>
      </patternFill>
    </fill>
    <fill>
      <patternFill patternType="solid">
        <fgColor rgb="FFFFFF99"/>
        <bgColor rgb="FFFFFFCC"/>
      </patternFill>
    </fill>
    <fill>
      <patternFill patternType="solid">
        <fgColor rgb="FFFFFFCC"/>
        <bgColor rgb="FFFFFFFF"/>
      </patternFill>
    </fill>
  </fills>
  <borders count="10">
    <border diagonalUp="false" diagonalDown="false">
      <left/>
      <right/>
      <top/>
      <bottom/>
      <diagonal/>
    </border>
    <border diagonalUp="false" diagonalDown="false"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 diagonalUp="false" diagonalDown="false">
      <left style="double">
        <color rgb="FF333333"/>
      </left>
      <right style="double">
        <color rgb="FF333333"/>
      </right>
      <top style="double">
        <color rgb="FF333333"/>
      </top>
      <bottom style="double">
        <color rgb="FF333333"/>
      </bottom>
      <diagonal/>
    </border>
    <border diagonalUp="false" diagonalDown="false">
      <left/>
      <right/>
      <top/>
      <bottom style="thick">
        <color rgb="FF333399"/>
      </bottom>
      <diagonal/>
    </border>
    <border diagonalUp="false" diagonalDown="false">
      <left/>
      <right/>
      <top/>
      <bottom style="thick">
        <color rgb="FFC0C0C0"/>
      </bottom>
      <diagonal/>
    </border>
    <border diagonalUp="false" diagonalDown="false">
      <left/>
      <right/>
      <top/>
      <bottom style="medium">
        <color rgb="FF0066CC"/>
      </bottom>
      <diagonal/>
    </border>
    <border diagonalUp="false" diagonalDown="false">
      <left/>
      <right/>
      <top/>
      <bottom style="double">
        <color rgb="FFFF9900"/>
      </bottom>
      <diagonal/>
    </border>
    <border diagonalUp="false" diagonalDown="false">
      <left style="thin">
        <color rgb="FFC0C0C0"/>
      </left>
      <right style="thin">
        <color rgb="FFC0C0C0"/>
      </right>
      <top style="thin">
        <color rgb="FFC0C0C0"/>
      </top>
      <bottom style="thin">
        <color rgb="FFC0C0C0"/>
      </bottom>
      <diagonal/>
    </border>
    <border diagonalUp="false" diagonalDown="false">
      <left style="thin">
        <color rgb="FF333333"/>
      </left>
      <right style="thin">
        <color rgb="FF333333"/>
      </right>
      <top style="thin">
        <color rgb="FF333333"/>
      </top>
      <bottom style="thin">
        <color rgb="FF333333"/>
      </bottom>
      <diagonal/>
    </border>
    <border diagonalUp="false" diagonalDown="false">
      <left/>
      <right/>
      <top style="thin">
        <color rgb="FF333399"/>
      </top>
      <bottom style="double">
        <color rgb="FF333399"/>
      </bottom>
      <diagonal/>
    </border>
  </borders>
  <cellStyleXfs count="61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0" fillId="2" borderId="0" applyFont="true" applyBorder="false" applyAlignment="false" applyProtection="false"/>
    <xf numFmtId="164" fontId="0" fillId="3" borderId="0" applyFont="true" applyBorder="false" applyAlignment="false" applyProtection="false"/>
    <xf numFmtId="164" fontId="0" fillId="4" borderId="0" applyFont="true" applyBorder="false" applyAlignment="false" applyProtection="false"/>
    <xf numFmtId="164" fontId="0" fillId="5" borderId="0" applyFont="true" applyBorder="false" applyAlignment="false" applyProtection="false"/>
    <xf numFmtId="164" fontId="0" fillId="6" borderId="0" applyFont="true" applyBorder="false" applyAlignment="false" applyProtection="false"/>
    <xf numFmtId="164" fontId="0" fillId="7" borderId="0" applyFont="true" applyBorder="false" applyAlignment="false" applyProtection="false"/>
    <xf numFmtId="164" fontId="0" fillId="8" borderId="0" applyFont="true" applyBorder="false" applyAlignment="false" applyProtection="false"/>
    <xf numFmtId="164" fontId="0" fillId="9" borderId="0" applyFont="true" applyBorder="false" applyAlignment="false" applyProtection="false"/>
    <xf numFmtId="164" fontId="0" fillId="10" borderId="0" applyFont="true" applyBorder="false" applyAlignment="false" applyProtection="false"/>
    <xf numFmtId="164" fontId="0" fillId="5" borderId="0" applyFont="true" applyBorder="false" applyAlignment="false" applyProtection="false"/>
    <xf numFmtId="164" fontId="0" fillId="8" borderId="0" applyFont="true" applyBorder="false" applyAlignment="false" applyProtection="false"/>
    <xf numFmtId="164" fontId="0" fillId="11" borderId="0" applyFont="true" applyBorder="false" applyAlignment="false" applyProtection="false"/>
    <xf numFmtId="164" fontId="4" fillId="12" borderId="0" applyFont="true" applyBorder="false" applyAlignment="false" applyProtection="false"/>
    <xf numFmtId="164" fontId="4" fillId="9" borderId="0" applyFont="true" applyBorder="false" applyAlignment="false" applyProtection="false"/>
    <xf numFmtId="164" fontId="4" fillId="10" borderId="0" applyFont="true" applyBorder="false" applyAlignment="false" applyProtection="false"/>
    <xf numFmtId="164" fontId="4" fillId="13" borderId="0" applyFont="true" applyBorder="false" applyAlignment="false" applyProtection="false"/>
    <xf numFmtId="164" fontId="4" fillId="14" borderId="0" applyFont="true" applyBorder="false" applyAlignment="false" applyProtection="false"/>
    <xf numFmtId="164" fontId="4" fillId="15" borderId="0" applyFont="true" applyBorder="false" applyAlignment="false" applyProtection="false"/>
    <xf numFmtId="164" fontId="4" fillId="16" borderId="0" applyFont="true" applyBorder="false" applyAlignment="false" applyProtection="false"/>
    <xf numFmtId="164" fontId="4" fillId="17" borderId="0" applyFont="true" applyBorder="false" applyAlignment="false" applyProtection="false"/>
    <xf numFmtId="164" fontId="4" fillId="18" borderId="0" applyFont="true" applyBorder="false" applyAlignment="false" applyProtection="false"/>
    <xf numFmtId="164" fontId="4" fillId="13" borderId="0" applyFont="true" applyBorder="false" applyAlignment="false" applyProtection="false"/>
    <xf numFmtId="164" fontId="4" fillId="14" borderId="0" applyFont="true" applyBorder="false" applyAlignment="false" applyProtection="false"/>
    <xf numFmtId="164" fontId="4" fillId="19" borderId="0" applyFont="true" applyBorder="false" applyAlignment="false" applyProtection="false"/>
    <xf numFmtId="164" fontId="5" fillId="3" borderId="0" applyFont="true" applyBorder="false" applyAlignment="false" applyProtection="false"/>
    <xf numFmtId="164" fontId="6" fillId="20" borderId="1" applyFont="true" applyBorder="true" applyAlignment="false" applyProtection="false"/>
    <xf numFmtId="164" fontId="7" fillId="21" borderId="2" applyFont="true" applyBorder="true" applyAlignment="false" applyProtection="false"/>
    <xf numFmtId="164" fontId="8" fillId="0" borderId="0" applyFont="true" applyBorder="false" applyAlignment="false" applyProtection="false"/>
    <xf numFmtId="164" fontId="9" fillId="4" borderId="0" applyFont="true" applyBorder="false" applyAlignment="false" applyProtection="false"/>
    <xf numFmtId="164" fontId="10" fillId="0" borderId="3" applyFont="true" applyBorder="true" applyAlignment="false" applyProtection="false"/>
    <xf numFmtId="164" fontId="11" fillId="0" borderId="4" applyFont="true" applyBorder="true" applyAlignment="false" applyProtection="false"/>
    <xf numFmtId="164" fontId="12" fillId="0" borderId="5" applyFont="true" applyBorder="true" applyAlignment="false" applyProtection="false"/>
    <xf numFmtId="164" fontId="12" fillId="0" borderId="0" applyFont="true" applyBorder="false" applyAlignment="false" applyProtection="false"/>
    <xf numFmtId="164" fontId="13" fillId="7" borderId="1" applyFont="true" applyBorder="true" applyAlignment="false" applyProtection="false"/>
    <xf numFmtId="164" fontId="14" fillId="0" borderId="6" applyFont="true" applyBorder="true" applyAlignment="false" applyProtection="false"/>
    <xf numFmtId="164" fontId="15" fillId="22" borderId="0" applyFont="true" applyBorder="false" applyAlignment="false" applyProtection="false"/>
    <xf numFmtId="164" fontId="0" fillId="23" borderId="7" applyFont="true" applyBorder="true" applyAlignment="false" applyProtection="false"/>
    <xf numFmtId="164" fontId="16" fillId="20" borderId="8" applyFont="true" applyBorder="true" applyAlignment="false" applyProtection="false"/>
    <xf numFmtId="164" fontId="17" fillId="0" borderId="0" applyFont="true" applyBorder="false" applyAlignment="false" applyProtection="false"/>
    <xf numFmtId="164" fontId="18" fillId="0" borderId="9" applyFont="true" applyBorder="true" applyAlignment="false" applyProtection="false"/>
    <xf numFmtId="164" fontId="19" fillId="0" borderId="0" applyFont="true" applyBorder="false" applyAlignment="false" applyProtection="false"/>
  </cellStyleXfs>
  <cellXfs count="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1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2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47">
    <cellStyle name="Normal" xfId="0" builtinId="0" customBuiltin="false"/>
    <cellStyle name="Comma" xfId="15" builtinId="3" customBuiltin="false"/>
    <cellStyle name="Comma [0]" xfId="16" builtinId="6" customBuiltin="false"/>
    <cellStyle name="Currency" xfId="17" builtinId="4" customBuiltin="false"/>
    <cellStyle name="Currency [0]" xfId="18" builtinId="7" customBuiltin="false"/>
    <cellStyle name="Percent" xfId="19" builtinId="5" customBuiltin="false"/>
    <cellStyle name="20% - Accent1" xfId="20" builtinId="54" customBuiltin="true"/>
    <cellStyle name="20% - Accent2" xfId="21" builtinId="54" customBuiltin="true"/>
    <cellStyle name="20% - Accent3" xfId="22" builtinId="54" customBuiltin="true"/>
    <cellStyle name="20% - Accent4" xfId="23" builtinId="54" customBuiltin="true"/>
    <cellStyle name="20% - Accent5" xfId="24" builtinId="54" customBuiltin="true"/>
    <cellStyle name="20% - Accent6" xfId="25" builtinId="54" customBuiltin="true"/>
    <cellStyle name="40% - Accent1" xfId="26" builtinId="54" customBuiltin="true"/>
    <cellStyle name="40% - Accent2" xfId="27" builtinId="54" customBuiltin="true"/>
    <cellStyle name="40% - Accent3" xfId="28" builtinId="54" customBuiltin="true"/>
    <cellStyle name="40% - Accent4" xfId="29" builtinId="54" customBuiltin="true"/>
    <cellStyle name="40% - Accent5" xfId="30" builtinId="54" customBuiltin="true"/>
    <cellStyle name="40% - Accent6" xfId="31" builtinId="54" customBuiltin="true"/>
    <cellStyle name="60% - Accent1" xfId="32" builtinId="54" customBuiltin="true"/>
    <cellStyle name="60% - Accent2" xfId="33" builtinId="54" customBuiltin="true"/>
    <cellStyle name="60% - Accent3" xfId="34" builtinId="54" customBuiltin="true"/>
    <cellStyle name="60% - Accent4" xfId="35" builtinId="54" customBuiltin="true"/>
    <cellStyle name="60% - Accent5" xfId="36" builtinId="54" customBuiltin="true"/>
    <cellStyle name="60% - Accent6" xfId="37" builtinId="54" customBuiltin="true"/>
    <cellStyle name="Accent1" xfId="38" builtinId="54" customBuiltin="true"/>
    <cellStyle name="Accent2" xfId="39" builtinId="54" customBuiltin="true"/>
    <cellStyle name="Accent3" xfId="40" builtinId="54" customBuiltin="true"/>
    <cellStyle name="Accent4" xfId="41" builtinId="54" customBuiltin="true"/>
    <cellStyle name="Accent5" xfId="42" builtinId="54" customBuiltin="true"/>
    <cellStyle name="Accent6" xfId="43" builtinId="54" customBuiltin="true"/>
    <cellStyle name="Bad" xfId="44" builtinId="54" customBuiltin="true"/>
    <cellStyle name="Calculation" xfId="45" builtinId="54" customBuiltin="true"/>
    <cellStyle name="Check Cell" xfId="46" builtinId="54" customBuiltin="true"/>
    <cellStyle name="Explanatory Text" xfId="47" builtinId="54" customBuiltin="true"/>
    <cellStyle name="Good" xfId="48" builtinId="54" customBuiltin="true"/>
    <cellStyle name="Heading 1" xfId="49" builtinId="54" customBuiltin="true"/>
    <cellStyle name="Heading 2" xfId="50" builtinId="54" customBuiltin="true"/>
    <cellStyle name="Heading 3" xfId="51" builtinId="54" customBuiltin="true"/>
    <cellStyle name="Heading 4" xfId="52" builtinId="54" customBuiltin="true"/>
    <cellStyle name="Input" xfId="53" builtinId="54" customBuiltin="true"/>
    <cellStyle name="Linked Cell" xfId="54" builtinId="54" customBuiltin="true"/>
    <cellStyle name="Neutral" xfId="55" builtinId="54" customBuiltin="true"/>
    <cellStyle name="Note" xfId="56" builtinId="54" customBuiltin="true"/>
    <cellStyle name="Output" xfId="57" builtinId="54" customBuiltin="true"/>
    <cellStyle name="Title" xfId="58" builtinId="54" customBuiltin="true"/>
    <cellStyle name="Total" xfId="59" builtinId="54" customBuiltin="true"/>
    <cellStyle name="Warning Text" xfId="60" builtinId="54" customBuiltin="true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Y444"/>
  <sheetViews>
    <sheetView windowProtection="false"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60" workbookViewId="0">
      <selection pane="topLeft" activeCell="A1" activeCellId="0" sqref="A1"/>
    </sheetView>
  </sheetViews>
  <sheetFormatPr defaultRowHeight="15.8"/>
  <cols>
    <col collapsed="false" hidden="false" max="4" min="1" style="1" width="11.5204081632653"/>
    <col collapsed="false" hidden="false" max="10" min="5" style="2" width="11.5204081632653"/>
    <col collapsed="false" hidden="false" max="1025" min="11" style="0" width="11.5204081632653"/>
  </cols>
  <sheetData>
    <row r="1" customFormat="false" ht="15.8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L1" s="3" t="s">
        <v>10</v>
      </c>
      <c r="M1" s="3" t="n">
        <v>0.5</v>
      </c>
      <c r="N1" s="3" t="n">
        <v>1</v>
      </c>
      <c r="O1" s="3" t="n">
        <v>1.5</v>
      </c>
      <c r="P1" s="3" t="n">
        <v>2</v>
      </c>
      <c r="Q1" s="4" t="n">
        <v>2.5</v>
      </c>
      <c r="R1" s="3" t="n">
        <v>3</v>
      </c>
      <c r="S1" s="3" t="n">
        <v>3.5</v>
      </c>
      <c r="T1" s="3" t="n">
        <v>4</v>
      </c>
      <c r="U1" s="3" t="n">
        <v>4.5</v>
      </c>
      <c r="V1" s="3" t="n">
        <v>5</v>
      </c>
      <c r="W1" s="3" t="s">
        <v>11</v>
      </c>
      <c r="X1" s="3" t="s">
        <v>12</v>
      </c>
      <c r="Y1" s="3" t="s">
        <v>13</v>
      </c>
    </row>
    <row r="2" customFormat="false" ht="15.8" hidden="false" customHeight="false" outlineLevel="0" collapsed="false">
      <c r="A2" s="1" t="n">
        <v>1</v>
      </c>
      <c r="B2" s="1" t="n">
        <v>42.5</v>
      </c>
      <c r="C2" s="1" t="n">
        <v>-56.4</v>
      </c>
      <c r="D2" s="1" t="n">
        <v>-34</v>
      </c>
      <c r="E2" s="2" t="n">
        <v>2.5</v>
      </c>
      <c r="F2" s="2" t="n">
        <v>2</v>
      </c>
      <c r="G2" s="2" t="n">
        <v>45</v>
      </c>
      <c r="H2" s="2" t="n">
        <v>-56.6</v>
      </c>
      <c r="I2" s="2" t="n">
        <v>-34</v>
      </c>
      <c r="J2" s="2" t="n">
        <v>10.05413348</v>
      </c>
      <c r="L2" s="3" t="n">
        <v>5</v>
      </c>
      <c r="M2" s="1" t="n">
        <f aca="false">COUNTIFS($J$2:$J$2000,"&lt;=5",$E$2:$E$2000,"&lt;=0.5")</f>
        <v>0</v>
      </c>
      <c r="N2" s="1" t="n">
        <f aca="false">COUNTIFS($J$2:$J$2000,"&lt;=5",$E$2:$E$2000,"&lt;=1")-SUM(M2)</f>
        <v>0</v>
      </c>
      <c r="O2" s="1" t="n">
        <f aca="false">COUNTIFS($J$2:$J$2000,"&lt;=5",$E$2:$E$2000,"&lt;=1.5")-SUM($M2:N2)</f>
        <v>0</v>
      </c>
      <c r="P2" s="1" t="n">
        <f aca="false">COUNTIFS($J$2:$J$2000,"&lt;=5",$E$2:$E$2000,"&lt;=2")-SUM($M2:O2)</f>
        <v>0</v>
      </c>
      <c r="Q2" s="1" t="n">
        <f aca="false">COUNTIFS($J$2:$J$2000,"&lt;=5",$E$2:$E$2000,"&lt;=2.5")-SUM($M2:P2)</f>
        <v>0</v>
      </c>
      <c r="R2" s="1" t="n">
        <f aca="false">COUNTIFS($J$2:$J$2000,"&lt;=5",$E$2:$E$2000,"&lt;=3")-SUM($M2:Q2)</f>
        <v>0</v>
      </c>
      <c r="S2" s="1" t="n">
        <f aca="false">COUNTIFS($J$2:$J$2000,"&lt;=5",$E$2:$E$2000,"&lt;=3.5")-SUM($M2:R2)</f>
        <v>0</v>
      </c>
      <c r="T2" s="1" t="n">
        <f aca="false">COUNTIFS($J$2:$J$2000,"&lt;=5",$E$2:$E$2000,"&lt;=4")-SUM($M2:S2)</f>
        <v>0</v>
      </c>
      <c r="U2" s="1" t="n">
        <f aca="false">COUNTIFS($J$2:$J$2000,"&lt;=5",$E$2:$E$2000,"&lt;=4.5")-SUM($M2:T2)</f>
        <v>0</v>
      </c>
      <c r="V2" s="1" t="n">
        <f aca="false">COUNTIFS($J$2:$J$2000,"&lt;=5",$E$2:$E$2000,"&lt;=5")-SUM($M2:U2)</f>
        <v>0</v>
      </c>
      <c r="W2" s="1" t="n">
        <f aca="false">COUNTIFS($J$2:$J$2000,"&lt;=5",$E$2:$E$2000,"&gt;5")</f>
        <v>0</v>
      </c>
      <c r="X2" s="0" t="n">
        <f aca="false">SUM(M2:W2)</f>
        <v>0</v>
      </c>
      <c r="Y2" s="0" t="n">
        <f aca="false">COUNT(J2:J2000)</f>
        <v>443</v>
      </c>
    </row>
    <row r="3" customFormat="false" ht="15.8" hidden="false" customHeight="false" outlineLevel="0" collapsed="false">
      <c r="A3" s="1" t="n">
        <v>2</v>
      </c>
      <c r="B3" s="1" t="n">
        <v>45</v>
      </c>
      <c r="C3" s="1" t="n">
        <v>-56.6</v>
      </c>
      <c r="D3" s="1" t="n">
        <v>-34</v>
      </c>
      <c r="E3" s="2" t="n">
        <v>2.5</v>
      </c>
      <c r="F3" s="2" t="n">
        <v>1</v>
      </c>
      <c r="G3" s="2" t="n">
        <v>42.5</v>
      </c>
      <c r="H3" s="2" t="n">
        <v>-56.4</v>
      </c>
      <c r="I3" s="2" t="n">
        <v>-34</v>
      </c>
      <c r="J3" s="2" t="n">
        <v>8.993975762</v>
      </c>
      <c r="L3" s="3" t="n">
        <v>10</v>
      </c>
      <c r="M3" s="1" t="n">
        <f aca="false">COUNTIFS($J$2:$J$2000,"&lt;=10",$E$2:$E$2000,"&lt;=0.5")-SUM(M2)</f>
        <v>4</v>
      </c>
      <c r="N3" s="1" t="n">
        <f aca="false">COUNTIFS($J$2:$J$2000,"&lt;=10",$E$2:$E$2000,"&lt;=1")-SUM(N2,$M$2:M3)</f>
        <v>7</v>
      </c>
      <c r="O3" s="1" t="n">
        <f aca="false">COUNTIFS($J$2:$J$2000,"&lt;=10",$E$2:$E$2000,"&lt;=1.5")-SUM(O2,$M2:N3)</f>
        <v>2</v>
      </c>
      <c r="P3" s="1" t="n">
        <f aca="false">COUNTIFS($J$2:$J$2000,"&lt;=10",$E$2:$E$2000,"&lt;=2")-SUM(P2,$M2:O3)</f>
        <v>14</v>
      </c>
      <c r="Q3" s="1" t="n">
        <f aca="false">COUNTIFS($J$2:$J$2000,"&lt;=10",$E$2:$E$2000,"&lt;=2.5")-SUM(Q2,$M2:P3)</f>
        <v>9</v>
      </c>
      <c r="R3" s="1" t="n">
        <f aca="false">COUNTIFS($J$2:$J$2000,"&lt;=10",$E$2:$E$2000,"&lt;=3")-SUM(R2,$M2:Q3)</f>
        <v>5</v>
      </c>
      <c r="S3" s="1" t="n">
        <f aca="false">COUNTIFS($J$2:$J$2000,"&lt;=10",$E$2:$E$2000,"&lt;=3.5")-SUM(S2,$M2:R3)</f>
        <v>2</v>
      </c>
      <c r="T3" s="1" t="n">
        <f aca="false">COUNTIFS($J$2:$J$2000,"&lt;=10",$E$2:$E$2000,"&lt;=4")-SUM(T2,$M2:S3)</f>
        <v>4</v>
      </c>
      <c r="U3" s="1" t="n">
        <f aca="false">COUNTIFS($J$2:$J$2000,"&lt;=10",$E$2:$E$2000,"&lt;=4.5")-SUM(U2,$M2:T3)</f>
        <v>1</v>
      </c>
      <c r="V3" s="1" t="n">
        <f aca="false">COUNTIFS($J$2:$J$2000,"&lt;=10",$E$2:$E$2000,"&lt;=5")-SUM(V2,$M2:U3)</f>
        <v>0</v>
      </c>
      <c r="W3" s="1" t="n">
        <f aca="false">COUNTIFS($J$2:$J$2000,"&lt;=10",$E$2:$E$2000,"&gt;5")-SUM(W2)</f>
        <v>0</v>
      </c>
      <c r="X3" s="0" t="n">
        <f aca="false">SUM(M3:W3)</f>
        <v>48</v>
      </c>
      <c r="Y3" s="5" t="s">
        <v>14</v>
      </c>
    </row>
    <row r="4" customFormat="false" ht="15.8" hidden="false" customHeight="false" outlineLevel="0" collapsed="false">
      <c r="A4" s="1" t="n">
        <v>3</v>
      </c>
      <c r="B4" s="1" t="n">
        <v>35.7</v>
      </c>
      <c r="C4" s="1" t="n">
        <v>-54.4</v>
      </c>
      <c r="D4" s="1" t="n">
        <v>-34</v>
      </c>
      <c r="E4" s="2" t="n">
        <v>2.9</v>
      </c>
      <c r="F4" s="2" t="n">
        <v>421</v>
      </c>
      <c r="G4" s="2" t="n">
        <v>34.1</v>
      </c>
      <c r="H4" s="2" t="n">
        <v>-52</v>
      </c>
      <c r="I4" s="2" t="n">
        <v>-33.7</v>
      </c>
      <c r="J4" s="2" t="n">
        <v>14.64614625</v>
      </c>
      <c r="L4" s="3" t="n">
        <v>15</v>
      </c>
      <c r="M4" s="1" t="n">
        <f aca="false">COUNTIFS($J$2:$J$2000,"&lt;=15",$E$2:$E$2000,"&lt;=0.5")-SUM(M$2:M3)</f>
        <v>4</v>
      </c>
      <c r="N4" s="1" t="n">
        <f aca="false">COUNTIFS($J$2:$J$2000,"&lt;=15",$E$2:$E$2000,"&lt;=1")-SUM($N$2:N3,$M2:M4)</f>
        <v>19</v>
      </c>
      <c r="O4" s="1" t="n">
        <f aca="false">COUNTIFS($J$2:$J$2000,"&lt;=15",$E$2:$E$2000,"&lt;=1.5")-SUM(O$2:O3,$M2:N4)</f>
        <v>21</v>
      </c>
      <c r="P4" s="1" t="n">
        <f aca="false">COUNTIFS($J$2:$J$2000,"&lt;=15",$E$2:$E$2000,"&lt;=2")-SUM(P$2:P3,$M2:O4)</f>
        <v>30</v>
      </c>
      <c r="Q4" s="1" t="n">
        <f aca="false">COUNTIFS($J$2:$J$2000,"&lt;=15",$E$2:$E$2000,"&lt;=2.5")-SUM(Q$2:Q3,$M2:P4)</f>
        <v>13</v>
      </c>
      <c r="R4" s="1" t="n">
        <f aca="false">COUNTIFS($J$2:$J$2000,"&lt;=15",$E$2:$E$2000,"&lt;=3")-SUM(R$2:R3,$M2:Q4)</f>
        <v>15</v>
      </c>
      <c r="S4" s="1" t="n">
        <f aca="false">COUNTIFS($J$2:$J$2000,"&lt;=15",$E$2:$E$2000,"&lt;=3.5")-SUM(S$2:S3,$M2:R4)</f>
        <v>6</v>
      </c>
      <c r="T4" s="1" t="n">
        <f aca="false">COUNTIFS($J$2:$J$2000,"&lt;=15",$E$2:$E$2000,"&lt;=4")-SUM(T$2:T3,$M2:S4)</f>
        <v>1</v>
      </c>
      <c r="U4" s="1" t="n">
        <f aca="false">COUNTIFS($J$2:$J$2000,"&lt;=15",$E$2:$E$2000,"&lt;=4.5")-SUM(U$2:U3,$M2:T4)</f>
        <v>1</v>
      </c>
      <c r="V4" s="1" t="n">
        <f aca="false">COUNTIFS($J$2:$J$2000,"&lt;=15",$E$2:$E$2000,"&lt;=5")-SUM(V$2:V3,$M2:U4)</f>
        <v>1</v>
      </c>
      <c r="W4" s="1" t="n">
        <f aca="false">COUNTIFS($J$2:$J$2000,"&lt;=15",$E$2:$E$2000,"&gt;5")-SUM(W$2:W3)</f>
        <v>1</v>
      </c>
      <c r="X4" s="0" t="n">
        <f aca="false">SUM(M4:W4)</f>
        <v>112</v>
      </c>
      <c r="Y4" s="0" t="n">
        <f aca="false">SUM(X2:X13)</f>
        <v>443</v>
      </c>
    </row>
    <row r="5" customFormat="false" ht="15.8" hidden="false" customHeight="false" outlineLevel="0" collapsed="false">
      <c r="A5" s="1" t="n">
        <v>4</v>
      </c>
      <c r="B5" s="1" t="n">
        <v>35.1</v>
      </c>
      <c r="C5" s="1" t="n">
        <v>-58.3</v>
      </c>
      <c r="D5" s="1" t="n">
        <v>-21.5</v>
      </c>
      <c r="E5" s="2" t="n">
        <v>2</v>
      </c>
      <c r="F5" s="2" t="n">
        <v>214</v>
      </c>
      <c r="G5" s="2" t="n">
        <v>34.8</v>
      </c>
      <c r="H5" s="2" t="n">
        <v>-59</v>
      </c>
      <c r="I5" s="2" t="n">
        <v>-23.3</v>
      </c>
      <c r="J5" s="2" t="n">
        <v>14.62017784</v>
      </c>
      <c r="L5" s="3" t="n">
        <v>20</v>
      </c>
      <c r="M5" s="1" t="n">
        <f aca="false">COUNTIFS($J$2:$J$2000,"&lt;=20",$E$2:$E$2000,"&lt;=0.5")-SUM(M$2:M4)</f>
        <v>6</v>
      </c>
      <c r="N5" s="1" t="n">
        <f aca="false">COUNTIFS($J$2:$J$2000,"&lt;=20",$E$2:$E$2000,"&lt;=1")-SUM(N$2:N4,$M2:M5)</f>
        <v>23</v>
      </c>
      <c r="O5" s="1" t="n">
        <f aca="false">COUNTIFS($J$2:$J$2000,"&lt;=20",$E$2:$E$2000,"&lt;=1.5")-SUM(O$2:O4,$M2:N5)</f>
        <v>41</v>
      </c>
      <c r="P5" s="1" t="n">
        <f aca="false">COUNTIFS($J$2:$J$2000,"&lt;=20",$E$2:$E$2000,"&lt;=2")-SUM(P$2:P4,$M2:O5)</f>
        <v>31</v>
      </c>
      <c r="Q5" s="1" t="n">
        <f aca="false">COUNTIFS($J$2:$J$2000,"&lt;=20",$E$2:$E$2000,"&lt;=2.5")-SUM(Q$2:Q4,$M2:P5)</f>
        <v>26</v>
      </c>
      <c r="R5" s="1" t="n">
        <f aca="false">COUNTIFS($J$2:$J$2000,"&lt;=20",$E$2:$E$2000,"&lt;=3")-SUM(R$2:R4,$M2:Q5)</f>
        <v>12</v>
      </c>
      <c r="S5" s="1" t="n">
        <f aca="false">COUNTIFS($J$2:$J$2000,"&lt;=20",$E$2:$E$2000,"&lt;=3.5")-SUM(S$2:S4,$M2:R5)</f>
        <v>8</v>
      </c>
      <c r="T5" s="1" t="n">
        <f aca="false">COUNTIFS($J$2:$J$2000,"&lt;=20",$E$2:$E$2000,"&lt;=4")-SUM(T$2:T4,$M2:S5)</f>
        <v>5</v>
      </c>
      <c r="U5" s="1" t="n">
        <f aca="false">COUNTIFS($J$2:$J$2000,"&lt;=20",$E$2:$E$2000,"&lt;=4.5")-SUM(U$2:U4,$M2:T5)</f>
        <v>1</v>
      </c>
      <c r="V5" s="1" t="n">
        <f aca="false">COUNTIFS($J$2:$J$2000,"&lt;=20",$E$2:$E$2000,"&lt;=5")-SUM(V$2:V4,$M2:U5)</f>
        <v>0</v>
      </c>
      <c r="W5" s="1" t="n">
        <f aca="false">COUNTIFS($J$2:$J$2000,"&lt;=20",$E$2:$E$2000,"&gt;5")-SUM(W$2:W4)</f>
        <v>0</v>
      </c>
      <c r="X5" s="0" t="n">
        <f aca="false">SUM(M5:W5)</f>
        <v>153</v>
      </c>
      <c r="Y5" s="0" t="s">
        <v>15</v>
      </c>
    </row>
    <row r="6" customFormat="false" ht="15.8" hidden="false" customHeight="false" outlineLevel="0" collapsed="false">
      <c r="A6" s="1" t="n">
        <v>5</v>
      </c>
      <c r="B6" s="1" t="n">
        <v>37.8</v>
      </c>
      <c r="C6" s="1" t="n">
        <v>-54.8</v>
      </c>
      <c r="D6" s="1" t="n">
        <v>-22.9</v>
      </c>
      <c r="E6" s="2" t="n">
        <v>3.5</v>
      </c>
      <c r="F6" s="2" t="n">
        <v>383</v>
      </c>
      <c r="G6" s="2" t="n">
        <v>38.3</v>
      </c>
      <c r="H6" s="2" t="n">
        <v>-53</v>
      </c>
      <c r="I6" s="2" t="n">
        <v>-20</v>
      </c>
      <c r="J6" s="2" t="n">
        <v>10.84848377</v>
      </c>
      <c r="L6" s="3" t="n">
        <v>25</v>
      </c>
      <c r="M6" s="1" t="n">
        <f aca="false">COUNTIFS($J$2:$J$2000,"&lt;=25",$E$2:$E$2000,"&lt;=0.5")-SUM(M$2:M5)</f>
        <v>2</v>
      </c>
      <c r="N6" s="1" t="n">
        <f aca="false">COUNTIFS($J$2:$J$2000,"&lt;=25",$E$2:$E$2000,"&lt;=1")-SUM(N$2:N5,$M2:M6)</f>
        <v>12</v>
      </c>
      <c r="O6" s="1" t="n">
        <f aca="false">COUNTIFS($J$2:$J$2000,"&lt;=25",$E$2:$E$2000,"&lt;=1.5")-SUM(O$2:O5,$M2:N6)</f>
        <v>15</v>
      </c>
      <c r="P6" s="1" t="n">
        <f aca="false">COUNTIFS($J$2:$J$2000,"&lt;=25",$E$2:$E$2000,"&lt;=2")-SUM(P$2:P5,$M2:O6)</f>
        <v>22</v>
      </c>
      <c r="Q6" s="1" t="n">
        <f aca="false">COUNTIFS($J$2:$J$2000,"&lt;=25",$E$2:$E$2000,"&lt;=2.5")-SUM(Q$2:Q5,$M2:P6)</f>
        <v>16</v>
      </c>
      <c r="R6" s="1" t="n">
        <f aca="false">COUNTIFS($J$2:$J$2000,"&lt;=25",$E$2:$E$2000,"&lt;=3")-SUM(R$2:R5,$M2:Q6)</f>
        <v>8</v>
      </c>
      <c r="S6" s="1" t="n">
        <f aca="false">COUNTIFS($J$2:$J$2000,"&lt;=25",$E$2:$E$2000,"&lt;=3.5")-SUM(S$2:S5,$M2:R6)</f>
        <v>4</v>
      </c>
      <c r="T6" s="1" t="n">
        <f aca="false">COUNTIFS($J$2:$J$2000,"&lt;=25",$E$2:$E$2000,"&lt;=4")-SUM(T$2:T5,$M2:S6)</f>
        <v>4</v>
      </c>
      <c r="U6" s="1" t="n">
        <f aca="false">COUNTIFS($J$2:$J$2000,"&lt;=25",$E$2:$E$2000,"&lt;=4.5")-SUM(U$2:U5,$M2:T6)</f>
        <v>2</v>
      </c>
      <c r="V6" s="1" t="n">
        <f aca="false">COUNTIFS($J$2:$J$2000,"&lt;=25",$E$2:$E$2000,"&lt;=5")-SUM(V$2:V5,$M2:U6)</f>
        <v>2</v>
      </c>
      <c r="W6" s="1" t="n">
        <f aca="false">COUNTIFS($J$2:$J$2000,"&lt;=25",$E$2:$E$2000,"&gt;5")-SUM(W$2:W5)</f>
        <v>0</v>
      </c>
      <c r="X6" s="0" t="n">
        <f aca="false">SUM(M6:W6)</f>
        <v>87</v>
      </c>
      <c r="Y6" s="0" t="n">
        <f aca="false">SUM(M2:W13)</f>
        <v>443</v>
      </c>
    </row>
    <row r="7" customFormat="false" ht="15.8" hidden="false" customHeight="false" outlineLevel="0" collapsed="false">
      <c r="A7" s="1" t="n">
        <v>6</v>
      </c>
      <c r="B7" s="1" t="n">
        <v>48</v>
      </c>
      <c r="C7" s="1" t="n">
        <v>-58.5</v>
      </c>
      <c r="D7" s="1" t="n">
        <v>-28.1</v>
      </c>
      <c r="E7" s="2" t="n">
        <v>4.3</v>
      </c>
      <c r="F7" s="2" t="n">
        <v>154</v>
      </c>
      <c r="G7" s="2" t="n">
        <v>47.2</v>
      </c>
      <c r="H7" s="2" t="n">
        <v>-60.5</v>
      </c>
      <c r="I7" s="2" t="n">
        <v>-24.4</v>
      </c>
      <c r="J7" s="2" t="n">
        <v>5.487039275</v>
      </c>
      <c r="L7" s="3" t="n">
        <v>30</v>
      </c>
      <c r="M7" s="1" t="n">
        <f aca="false">COUNTIFS($J$2:$J$2000,"&lt;=30",$E$2:$E$2000,"&lt;=0.5")-SUM(M$2:M6)</f>
        <v>0</v>
      </c>
      <c r="N7" s="1" t="n">
        <f aca="false">COUNTIFS($J$2:$J$2000,"&lt;=30",$E$2:$E$2000,"&lt;=1")-SUM(N$2:N6,$M2:M7)</f>
        <v>0</v>
      </c>
      <c r="O7" s="1" t="n">
        <f aca="false">COUNTIFS($J$2:$J$2000,"&lt;=30",$E$2:$E$2000,"&lt;=1.5")-SUM(O$2:O6,$M2:N7)</f>
        <v>4</v>
      </c>
      <c r="P7" s="1" t="n">
        <f aca="false">COUNTIFS($J$2:$J$2000,"&lt;=30",$E$2:$E$2000,"&lt;=2")-SUM(P$2:P6,$M2:O7)</f>
        <v>10</v>
      </c>
      <c r="Q7" s="1" t="n">
        <f aca="false">COUNTIFS($J$2:$J$2000,"&lt;=30",$E$2:$E$2000,"&lt;=2.5")-SUM(Q$2:Q6,$M2:P7)</f>
        <v>8</v>
      </c>
      <c r="R7" s="1" t="n">
        <f aca="false">COUNTIFS($J$2:$J$2000,"&lt;=30",$E$2:$E$2000,"&lt;=3")-SUM(R$2:R6,$M2:Q7)</f>
        <v>6</v>
      </c>
      <c r="S7" s="1" t="n">
        <f aca="false">COUNTIFS($J$2:$J$2000,"&lt;=30",$E$2:$E$2000,"&lt;=3.5")-SUM(S$2:S6,$M2:R7)</f>
        <v>2</v>
      </c>
      <c r="T7" s="1" t="n">
        <f aca="false">COUNTIFS($J$2:$J$2000,"&lt;=30",$E$2:$E$2000,"&lt;=4")-SUM(T$2:T6,$M2:S7)</f>
        <v>3</v>
      </c>
      <c r="U7" s="1" t="n">
        <f aca="false">COUNTIFS($J$2:$J$2000,"&lt;=30",$E$2:$E$2000,"&lt;=4.5")-SUM(U$2:U6,$M2:T7)</f>
        <v>1</v>
      </c>
      <c r="V7" s="1" t="n">
        <f aca="false">COUNTIFS($J$2:$J$2000,"&lt;=30",$E$2:$E$2000,"&lt;=5")-SUM(V$2:V6,$M2:U7)</f>
        <v>0</v>
      </c>
      <c r="W7" s="1" t="n">
        <f aca="false">COUNTIFS($J$2:$J$2000,"&lt;=30",$E$2:$E$2000,"&gt;5")-SUM(W$2:W6)</f>
        <v>0</v>
      </c>
      <c r="X7" s="0" t="n">
        <f aca="false">SUM(M7:W7)</f>
        <v>34</v>
      </c>
    </row>
    <row r="8" customFormat="false" ht="15.8" hidden="false" customHeight="false" outlineLevel="0" collapsed="false">
      <c r="A8" s="1" t="n">
        <v>7</v>
      </c>
      <c r="B8" s="1" t="n">
        <v>41.9</v>
      </c>
      <c r="C8" s="1" t="n">
        <v>-57.3</v>
      </c>
      <c r="D8" s="1" t="n">
        <v>-26.6</v>
      </c>
      <c r="E8" s="2" t="n">
        <v>1</v>
      </c>
      <c r="F8" s="2" t="n">
        <v>14</v>
      </c>
      <c r="G8" s="2" t="n">
        <v>40.9</v>
      </c>
      <c r="H8" s="2" t="n">
        <v>-57.1</v>
      </c>
      <c r="I8" s="2" t="n">
        <v>-26.6</v>
      </c>
      <c r="J8" s="2" t="n">
        <v>7.307502993</v>
      </c>
      <c r="L8" s="3" t="n">
        <v>35</v>
      </c>
      <c r="M8" s="1" t="n">
        <f aca="false">COUNTIFS($J$2:$J$2000,"&lt;=35",$E$2:$E$2000,"&lt;=0.5")-SUM(M$2:M7)</f>
        <v>0</v>
      </c>
      <c r="N8" s="1" t="n">
        <f aca="false">COUNTIFS($J$2:$J$2000,"&lt;=35",$E$2:$E$2000,"&lt;=1")-SUM(N$2:N7,$M2:M8)</f>
        <v>0</v>
      </c>
      <c r="O8" s="1" t="n">
        <f aca="false">COUNTIFS($J$2:$J$2000,"&lt;=35",$E$2:$E$2000,"&lt;=1.5")-SUM(O$2:O7,$M2:N8)</f>
        <v>0</v>
      </c>
      <c r="P8" s="1" t="n">
        <f aca="false">COUNTIFS($J$2:$J$2000,"&lt;=35",$E$2:$E$2000,"&lt;=2")-SUM(P$2:P7,$M2:O8)</f>
        <v>2</v>
      </c>
      <c r="Q8" s="1" t="n">
        <f aca="false">COUNTIFS($J$2:$J$2000,"&lt;=35",$E$2:$E$2000,"&lt;=2.5")-SUM(Q$2:Q7,$M2:P8)</f>
        <v>0</v>
      </c>
      <c r="R8" s="1" t="n">
        <f aca="false">COUNTIFS($J$2:$J$2000,"&lt;=35",$E$2:$E$2000,"&lt;=3")-SUM(R$2:R7,$M2:Q8)</f>
        <v>3</v>
      </c>
      <c r="S8" s="1" t="n">
        <f aca="false">COUNTIFS($J$2:$J$2000,"&lt;=35",$E$2:$E$2000,"&lt;=3.5")-SUM(S$2:S7,$M2:R8)</f>
        <v>0</v>
      </c>
      <c r="T8" s="1" t="n">
        <f aca="false">COUNTIFS($J$2:$J$2000,"&lt;=35",$E$2:$E$2000,"&lt;=4")-SUM(T$2:T7,$M2:S8)</f>
        <v>2</v>
      </c>
      <c r="U8" s="1" t="n">
        <f aca="false">COUNTIFS($J$2:$J$2000,"&lt;=35",$E$2:$E$2000,"&lt;=4.5")-SUM(U$2:U7,$M2:T8)</f>
        <v>0</v>
      </c>
      <c r="V8" s="1" t="n">
        <f aca="false">COUNTIFS($J$2:$J$2000,"&lt;=35",$E$2:$E$2000,"&lt;=5")-SUM(V$2:V7,$M2:U8)</f>
        <v>0</v>
      </c>
      <c r="W8" s="1" t="n">
        <f aca="false">COUNTIFS($J$2:$J$2000,"&lt;=35",$E$2:$E$2000,"&gt;5")-SUM(W$2:W7)</f>
        <v>1</v>
      </c>
      <c r="X8" s="0" t="n">
        <f aca="false">SUM(M8:W8)</f>
        <v>8</v>
      </c>
    </row>
    <row r="9" customFormat="false" ht="15.8" hidden="false" customHeight="false" outlineLevel="0" collapsed="false">
      <c r="A9" s="1" t="n">
        <v>8</v>
      </c>
      <c r="B9" s="1" t="n">
        <v>29.7</v>
      </c>
      <c r="C9" s="1" t="n">
        <v>-55.2</v>
      </c>
      <c r="D9" s="1" t="n">
        <v>-27</v>
      </c>
      <c r="E9" s="2" t="n">
        <v>2.6</v>
      </c>
      <c r="F9" s="2" t="n">
        <v>400</v>
      </c>
      <c r="G9" s="2" t="n">
        <v>30.7</v>
      </c>
      <c r="H9" s="2" t="n">
        <v>-56.7</v>
      </c>
      <c r="I9" s="2" t="n">
        <v>-28.9</v>
      </c>
      <c r="J9" s="2" t="n">
        <v>18.45030081</v>
      </c>
      <c r="L9" s="3" t="n">
        <v>40</v>
      </c>
      <c r="M9" s="1" t="n">
        <f aca="false">COUNTIFS($J$2:$J$2000,"&lt;=40",$E$2:$E$2000,"&lt;=0.5")-SUM(M$2:M8)</f>
        <v>0</v>
      </c>
      <c r="N9" s="1" t="n">
        <f aca="false">COUNTIFS($J$2:$J$2000,"&lt;=40",$E$2:$E$2000,"&lt;=1")-SUM(N$2:N8,$M2:M9)</f>
        <v>0</v>
      </c>
      <c r="O9" s="1" t="n">
        <f aca="false">COUNTIFS($J$2:$J$2000,"&lt;=40",$E$2:$E$2000,"&lt;=1.5")-SUM(O$2:O8,$M2:N9)</f>
        <v>0</v>
      </c>
      <c r="P9" s="1" t="n">
        <f aca="false">COUNTIFS($J$2:$J$2000,"&lt;=40",$E$2:$E$2000,"&lt;=2")-SUM(P$2:P8,$M2:O9)</f>
        <v>0</v>
      </c>
      <c r="Q9" s="1" t="n">
        <f aca="false">COUNTIFS($J$2:$J$2000,"&lt;=40",$E$2:$E$2000,"&lt;=2.5")-SUM(Q$2:Q8,$M2:P9)</f>
        <v>0</v>
      </c>
      <c r="R9" s="1" t="n">
        <f aca="false">COUNTIFS($J$2:$J$2000,"&lt;=40",$E$2:$E$2000,"&lt;=3")-SUM(R$2:R8,$M2:Q9)</f>
        <v>0</v>
      </c>
      <c r="S9" s="1" t="n">
        <f aca="false">COUNTIFS($J$2:$J$2000,"&lt;=40",$E$2:$E$2000,"&lt;=3.5")-SUM(S$2:S8,$M2:R9)</f>
        <v>0</v>
      </c>
      <c r="T9" s="1" t="n">
        <f aca="false">COUNTIFS($J$2:$J$2000,"&lt;=40",$E$2:$E$2000,"&lt;=4")-SUM(T$2:T8,$M2:S9)</f>
        <v>1</v>
      </c>
      <c r="U9" s="1" t="n">
        <f aca="false">COUNTIFS($J$2:$J$2000,"&lt;=40",$E$2:$E$2000,"&lt;=4.5")-SUM(U$2:U8,$M2:T9)</f>
        <v>0</v>
      </c>
      <c r="V9" s="1" t="n">
        <f aca="false">COUNTIFS($J$2:$J$2000,"&lt;=40",$E$2:$E$2000,"&lt;=5")-SUM(V$2:V8,$M2:U9)</f>
        <v>0</v>
      </c>
      <c r="W9" s="1" t="n">
        <f aca="false">COUNTIFS($J$2:$J$2000,"&lt;=40",$E$2:$E$2000,"&gt;5")-SUM(W$2:W8)</f>
        <v>0</v>
      </c>
      <c r="X9" s="0" t="n">
        <f aca="false">SUM(M9:W9)</f>
        <v>1</v>
      </c>
    </row>
    <row r="10" customFormat="false" ht="15.8" hidden="false" customHeight="false" outlineLevel="0" collapsed="false">
      <c r="A10" s="1" t="n">
        <v>9</v>
      </c>
      <c r="B10" s="1" t="n">
        <v>30.2</v>
      </c>
      <c r="C10" s="1" t="n">
        <v>-52.9</v>
      </c>
      <c r="D10" s="1" t="n">
        <v>-23.7</v>
      </c>
      <c r="E10" s="2" t="n">
        <v>1.2</v>
      </c>
      <c r="F10" s="2" t="n">
        <v>10</v>
      </c>
      <c r="G10" s="2" t="n">
        <v>30.6</v>
      </c>
      <c r="H10" s="2" t="n">
        <v>-51.9</v>
      </c>
      <c r="I10" s="2" t="n">
        <v>-24</v>
      </c>
      <c r="J10" s="2" t="n">
        <v>18.0174249</v>
      </c>
      <c r="L10" s="3" t="n">
        <v>45</v>
      </c>
      <c r="M10" s="1" t="n">
        <f aca="false">COUNTIFS($J$2:$J$2000,"&lt;=45",$E$2:$E$2000,"&lt;=0.5")-SUM(M$2:M9)</f>
        <v>0</v>
      </c>
      <c r="N10" s="1" t="n">
        <f aca="false">COUNTIFS($J$2:$J$2000,"&lt;=45",$E$2:$E$2000,"&lt;=1")-SUM(N$2:N9,$M2:M10)</f>
        <v>0</v>
      </c>
      <c r="O10" s="1" t="n">
        <f aca="false">COUNTIFS($J$2:$J$2000,"&lt;=45",$E$2:$E$2000,"&lt;=1.5")-SUM(O$2:O9,$M2:N10)</f>
        <v>0</v>
      </c>
      <c r="P10" s="1" t="n">
        <f aca="false">COUNTIFS($J$2:$J$2000,"&lt;=45",$E$2:$E$2000,"&lt;=2")-SUM(P$2:P9,$M2:O10)</f>
        <v>0</v>
      </c>
      <c r="Q10" s="1" t="n">
        <f aca="false">COUNTIFS($J$2:$J$2000,"&lt;=45",$E$2:$E$2000,"&lt;=2.5")-SUM(Q$2:Q9,$M2:P10)</f>
        <v>0</v>
      </c>
      <c r="R10" s="1" t="n">
        <f aca="false">COUNTIFS($J$2:$J$2000,"&lt;=45",$E$2:$E$2000,"&lt;=3")-SUM(R$2:R9,$M2:Q10)</f>
        <v>0</v>
      </c>
      <c r="S10" s="1" t="n">
        <f aca="false">COUNTIFS($J$2:$J$2000,"&lt;=45",$E$2:$E$2000,"&lt;=3.5")-SUM(S$2:S9,$M2:R10)</f>
        <v>0</v>
      </c>
      <c r="T10" s="1" t="n">
        <f aca="false">COUNTIFS($J$2:$J$2000,"&lt;=45",$E$2:$E$2000,"&lt;=4")-SUM(T$2:T9,$M2:S10)</f>
        <v>0</v>
      </c>
      <c r="U10" s="1" t="n">
        <f aca="false">COUNTIFS($J$2:$J$2000,"&lt;=45",$E$2:$E$2000,"&lt;=4.5")-SUM(U$2:U9,$M2:T10)</f>
        <v>0</v>
      </c>
      <c r="V10" s="1" t="n">
        <f aca="false">COUNTIFS($J$2:$J$2000,"&lt;=45",$E$2:$E$2000,"&lt;=5")-SUM(V$2:V9,$M2:U10)</f>
        <v>0</v>
      </c>
      <c r="W10" s="1" t="n">
        <f aca="false">COUNTIFS($J$2:$J$2000,"&lt;=45",$E$2:$E$2000,"&gt;5")-SUM(W$2:W9)</f>
        <v>0</v>
      </c>
      <c r="X10" s="0" t="n">
        <f aca="false">SUM(M10:W10)</f>
        <v>0</v>
      </c>
    </row>
    <row r="11" customFormat="false" ht="15.8" hidden="false" customHeight="false" outlineLevel="0" collapsed="false">
      <c r="A11" s="1" t="n">
        <v>10</v>
      </c>
      <c r="B11" s="1" t="n">
        <v>30.6</v>
      </c>
      <c r="C11" s="1" t="n">
        <v>-51.9</v>
      </c>
      <c r="D11" s="1" t="n">
        <v>-24</v>
      </c>
      <c r="E11" s="2" t="n">
        <v>1.2</v>
      </c>
      <c r="F11" s="2" t="n">
        <v>9</v>
      </c>
      <c r="G11" s="2" t="n">
        <v>30.2</v>
      </c>
      <c r="H11" s="2" t="n">
        <v>-52.9</v>
      </c>
      <c r="I11" s="2" t="n">
        <v>-23.7</v>
      </c>
      <c r="J11" s="2" t="n">
        <v>17.63625811</v>
      </c>
      <c r="L11" s="3" t="n">
        <v>50</v>
      </c>
      <c r="M11" s="1" t="n">
        <f aca="false">COUNTIFS($J$2:$J$2000,"&lt;=50",$E$2:$E$2000,"&lt;=0.5")-SUM(M$2:M10)</f>
        <v>0</v>
      </c>
      <c r="N11" s="1" t="n">
        <f aca="false">COUNTIFS($J$2:$J$2000,"&lt;=50",$E$2:$E$2000,"&lt;=1")-SUM(N$2:N10,$M2:M11)</f>
        <v>0</v>
      </c>
      <c r="O11" s="1" t="n">
        <f aca="false">COUNTIFS($J$2:$J$2000,"&lt;=50",$E$2:$E$2000,"&lt;=1.5")-SUM(O$2:O10,$M2:N11)</f>
        <v>0</v>
      </c>
      <c r="P11" s="1" t="n">
        <f aca="false">COUNTIFS($J$2:$J$2000,"&lt;=50",$E$2:$E$2000,"&lt;=2")-SUM(P$2:P10,$M2:O11)</f>
        <v>0</v>
      </c>
      <c r="Q11" s="1" t="n">
        <f aca="false">COUNTIFS($J$2:$J$2000,"&lt;=50",$E$2:$E$2000,"&lt;=2.5")-SUM(Q$2:Q10,$M2:P11)</f>
        <v>0</v>
      </c>
      <c r="R11" s="1" t="n">
        <f aca="false">COUNTIFS($J$2:$J$2000,"&lt;=50",$E$2:$E$2000,"&lt;=3")-SUM(R$2:R10,$M2:Q11)</f>
        <v>0</v>
      </c>
      <c r="S11" s="1" t="n">
        <f aca="false">COUNTIFS($J$2:$J$2000,"&lt;=50",$E$2:$E$2000,"&lt;=3.5")-SUM(S$2:S10,$M2:R11)</f>
        <v>0</v>
      </c>
      <c r="T11" s="1" t="n">
        <f aca="false">COUNTIFS($J$2:$J$2000,"&lt;=50",$E$2:$E$2000,"&lt;=4")-SUM(T$2:T10,$M2:S11)</f>
        <v>0</v>
      </c>
      <c r="U11" s="1" t="n">
        <f aca="false">COUNTIFS($J$2:$J$2000,"&lt;=50",$E$2:$E$2000,"&lt;=4.5")-SUM(U$2:U10,$M2:T11)</f>
        <v>0</v>
      </c>
      <c r="V11" s="1" t="n">
        <f aca="false">COUNTIFS($J$2:$J$2000,"&lt;=50",$E$2:$E$2000,"&lt;=5")-SUM(V$2:V10,$M2:U11)</f>
        <v>0</v>
      </c>
      <c r="W11" s="1" t="n">
        <f aca="false">COUNTIFS($J$2:$J$2000,"&lt;=50",$E$2:$E$2000,"&gt;5")-SUM(W$2:W10)</f>
        <v>0</v>
      </c>
      <c r="X11" s="0" t="n">
        <f aca="false">SUM(M11:W11)</f>
        <v>0</v>
      </c>
    </row>
    <row r="12" customFormat="false" ht="15.8" hidden="false" customHeight="false" outlineLevel="0" collapsed="false">
      <c r="A12" s="1" t="n">
        <v>11</v>
      </c>
      <c r="B12" s="1" t="n">
        <v>33.4</v>
      </c>
      <c r="C12" s="1" t="n">
        <v>-52.9</v>
      </c>
      <c r="D12" s="1" t="n">
        <v>-25.2</v>
      </c>
      <c r="E12" s="2" t="n">
        <v>1.4</v>
      </c>
      <c r="F12" s="2" t="n">
        <v>13</v>
      </c>
      <c r="G12" s="2" t="n">
        <v>33.4</v>
      </c>
      <c r="H12" s="2" t="n">
        <v>-54</v>
      </c>
      <c r="I12" s="2" t="n">
        <v>-24.4</v>
      </c>
      <c r="J12" s="2" t="n">
        <v>14.67997275</v>
      </c>
      <c r="L12" s="3" t="n">
        <v>55</v>
      </c>
      <c r="M12" s="1" t="n">
        <f aca="false">COUNTIFS($J$2:$J$2000,"&lt;=55",$E$2:$E$2000,"&lt;=0.5")-SUM(M$2:M11)</f>
        <v>0</v>
      </c>
      <c r="N12" s="1" t="n">
        <f aca="false">COUNTIFS($J$2:$J$2000,"&lt;=55",$E$2:$E$2000,"&lt;=1")-SUM(N$2:N11,$M2:M12)</f>
        <v>0</v>
      </c>
      <c r="O12" s="1" t="n">
        <f aca="false">COUNTIFS($J$2:$J$2000,"&lt;=55",$E$2:$E$2000,"&lt;=1.5")-SUM(O$2:O11,$M2:N12)</f>
        <v>0</v>
      </c>
      <c r="P12" s="1" t="n">
        <f aca="false">COUNTIFS($J$2:$J$2000,"&lt;=55",$E$2:$E$2000,"&lt;=2")-SUM(P$2:P11,$M2:O12)</f>
        <v>0</v>
      </c>
      <c r="Q12" s="1" t="n">
        <f aca="false">COUNTIFS($J$2:$J$2000,"&lt;=55",$E$2:$E$2000,"&lt;=2.5")-SUM(Q$2:Q11,$M2:P12)</f>
        <v>0</v>
      </c>
      <c r="R12" s="1" t="n">
        <f aca="false">COUNTIFS($J$2:$J$2000,"&lt;=55",$E$2:$E$2000,"&lt;=3")-SUM(R$2:R11,$M2:Q12)</f>
        <v>0</v>
      </c>
      <c r="S12" s="1" t="n">
        <f aca="false">COUNTIFS($J$2:$J$2000,"&lt;=55",$E$2:$E$2000,"&lt;=3.5")-SUM(S$2:S11,$M2:R12)</f>
        <v>0</v>
      </c>
      <c r="T12" s="1" t="n">
        <f aca="false">COUNTIFS($J$2:$J$2000,"&lt;=55",$E$2:$E$2000,"&lt;=4")-SUM(T$2:T11,$M2:S12)</f>
        <v>0</v>
      </c>
      <c r="U12" s="1" t="n">
        <f aca="false">COUNTIFS($J$2:$J$2000,"&lt;=55",$E$2:$E$2000,"&lt;=4.5")-SUM(U$2:U11,$M2:T12)</f>
        <v>0</v>
      </c>
      <c r="V12" s="1" t="n">
        <f aca="false">COUNTIFS($J$2:$J$2000,"&lt;=55",$E$2:$E$2000,"&lt;=5")-SUM(V$2:V11,$M2:U12)</f>
        <v>0</v>
      </c>
      <c r="W12" s="1" t="n">
        <f aca="false">COUNTIFS($J$2:$J$2000,"&lt;=55",$E$2:$E$2000,"&gt;5")-SUM(W$2:W11)</f>
        <v>0</v>
      </c>
      <c r="X12" s="0" t="n">
        <f aca="false">SUM(M12:W12)</f>
        <v>0</v>
      </c>
    </row>
    <row r="13" customFormat="false" ht="15.8" hidden="false" customHeight="false" outlineLevel="0" collapsed="false">
      <c r="A13" s="1" t="n">
        <v>12</v>
      </c>
      <c r="B13" s="1" t="n">
        <v>28.3</v>
      </c>
      <c r="C13" s="1" t="n">
        <v>-55.5</v>
      </c>
      <c r="D13" s="1" t="n">
        <v>-23.7</v>
      </c>
      <c r="E13" s="2" t="n">
        <v>3.2</v>
      </c>
      <c r="F13" s="2" t="n">
        <v>9</v>
      </c>
      <c r="G13" s="2" t="n">
        <v>30.2</v>
      </c>
      <c r="H13" s="2" t="n">
        <v>-52.9</v>
      </c>
      <c r="I13" s="2" t="n">
        <v>-23.7</v>
      </c>
      <c r="J13" s="2" t="n">
        <v>20.00993753</v>
      </c>
      <c r="L13" s="3" t="n">
        <v>60</v>
      </c>
      <c r="M13" s="1" t="n">
        <f aca="false">COUNTIFS($J$2:$J$2000,"&lt;=60",$E$2:$E$2000,"&lt;=0.5")-SUM(M$2:M12)</f>
        <v>0</v>
      </c>
      <c r="N13" s="1" t="n">
        <f aca="false">COUNTIFS($J$2:$J$2000,"&lt;=60",$E$2:$E$2000,"&lt;=1")-SUM(N$2:N12,$M2:M13)</f>
        <v>0</v>
      </c>
      <c r="O13" s="1" t="n">
        <f aca="false">COUNTIFS($J$2:$J$2000,"&lt;=60",$E$2:$E$2000,"&lt;=1.5")-SUM(O$2:O12,$M2:N13)</f>
        <v>0</v>
      </c>
      <c r="P13" s="1" t="n">
        <f aca="false">COUNTIFS($J$2:$J$2000,"&lt;=60",$E$2:$E$2000,"&lt;=2")-SUM(P$2:P12,$M2:O13)</f>
        <v>0</v>
      </c>
      <c r="Q13" s="1" t="n">
        <f aca="false">COUNTIFS($J$2:$J$2000,"&lt;=60",$E$2:$E$2000,"&lt;=2.5")-SUM(Q$2:Q12,$M2:P13)</f>
        <v>0</v>
      </c>
      <c r="R13" s="1" t="n">
        <f aca="false">COUNTIFS($J$2:$J$2000,"&lt;=60",$E$2:$E$2000,"&lt;=3")-SUM(R$2:R12,$M2:Q13)</f>
        <v>0</v>
      </c>
      <c r="S13" s="1" t="n">
        <f aca="false">COUNTIFS($J$2:$J$2000,"&lt;=60",$E$2:$E$2000,"&lt;=3.5")-SUM(S$2:S12,$M2:R13)</f>
        <v>0</v>
      </c>
      <c r="T13" s="1" t="n">
        <f aca="false">COUNTIFS($J$2:$J$2000,"&lt;=60",$E$2:$E$2000,"&lt;=4")-SUM(T$2:T12,$M2:S13)</f>
        <v>0</v>
      </c>
      <c r="U13" s="1" t="n">
        <f aca="false">COUNTIFS($J$2:$J$2000,"&lt;=60",$E$2:$E$2000,"&lt;=4.5")-SUM(U$2:U12,$M2:T13)</f>
        <v>0</v>
      </c>
      <c r="V13" s="1" t="n">
        <f aca="false">COUNTIFS($J$2:$J$2000,"&lt;=60",$E$2:$E$2000,"&lt;=5")-SUM(V2:V12,M2:U13)</f>
        <v>0</v>
      </c>
      <c r="W13" s="1" t="n">
        <f aca="false">COUNTIFS($J$2:$J$2000,"&lt;=60",$E$2:$E$2000,"&gt;5")-SUM(W$2:W12)</f>
        <v>0</v>
      </c>
      <c r="X13" s="0" t="n">
        <f aca="false">SUM(M13:W13)</f>
        <v>0</v>
      </c>
    </row>
    <row r="14" customFormat="false" ht="15.8" hidden="false" customHeight="false" outlineLevel="0" collapsed="false">
      <c r="A14" s="1" t="n">
        <v>13</v>
      </c>
      <c r="B14" s="1" t="n">
        <v>33.4</v>
      </c>
      <c r="C14" s="1" t="n">
        <v>-54</v>
      </c>
      <c r="D14" s="1" t="n">
        <v>-24.4</v>
      </c>
      <c r="E14" s="2" t="n">
        <v>1.4</v>
      </c>
      <c r="F14" s="2" t="n">
        <v>11</v>
      </c>
      <c r="G14" s="2" t="n">
        <v>33.4</v>
      </c>
      <c r="H14" s="2" t="n">
        <v>-52.9</v>
      </c>
      <c r="I14" s="2" t="n">
        <v>-25.2</v>
      </c>
      <c r="J14" s="2" t="n">
        <v>14.76169367</v>
      </c>
    </row>
    <row r="15" customFormat="false" ht="15.8" hidden="false" customHeight="false" outlineLevel="0" collapsed="false">
      <c r="A15" s="1" t="n">
        <v>14</v>
      </c>
      <c r="B15" s="1" t="n">
        <v>40.9</v>
      </c>
      <c r="C15" s="1" t="n">
        <v>-57.1</v>
      </c>
      <c r="D15" s="1" t="n">
        <v>-26.6</v>
      </c>
      <c r="E15" s="2" t="n">
        <v>1</v>
      </c>
      <c r="F15" s="2" t="n">
        <v>7</v>
      </c>
      <c r="G15" s="2" t="n">
        <v>41.9</v>
      </c>
      <c r="H15" s="2" t="n">
        <v>-57.3</v>
      </c>
      <c r="I15" s="2" t="n">
        <v>-26.6</v>
      </c>
      <c r="J15" s="2" t="n">
        <v>8.071158529</v>
      </c>
      <c r="L15" s="0" t="s">
        <v>16</v>
      </c>
      <c r="M15" s="3" t="n">
        <v>0.5</v>
      </c>
      <c r="N15" s="3" t="n">
        <v>1</v>
      </c>
      <c r="O15" s="3" t="n">
        <v>1.5</v>
      </c>
      <c r="P15" s="3" t="n">
        <v>2</v>
      </c>
      <c r="Q15" s="4" t="n">
        <v>2.5</v>
      </c>
      <c r="R15" s="3" t="n">
        <v>3</v>
      </c>
      <c r="S15" s="3" t="n">
        <v>3.5</v>
      </c>
      <c r="T15" s="3" t="n">
        <v>4</v>
      </c>
      <c r="U15" s="3" t="n">
        <v>4.5</v>
      </c>
      <c r="V15" s="3" t="n">
        <v>5</v>
      </c>
      <c r="W15" s="3" t="s">
        <v>11</v>
      </c>
      <c r="X15" s="3" t="s">
        <v>12</v>
      </c>
      <c r="Y15" s="3" t="s">
        <v>15</v>
      </c>
    </row>
    <row r="16" customFormat="false" ht="15.8" hidden="false" customHeight="false" outlineLevel="0" collapsed="false">
      <c r="A16" s="1" t="n">
        <v>15</v>
      </c>
      <c r="B16" s="1" t="n">
        <v>54</v>
      </c>
      <c r="C16" s="1" t="n">
        <v>-29.5</v>
      </c>
      <c r="D16" s="1" t="n">
        <v>-30</v>
      </c>
      <c r="E16" s="2" t="n">
        <v>4.7</v>
      </c>
      <c r="F16" s="2" t="n">
        <v>16</v>
      </c>
      <c r="G16" s="2" t="n">
        <v>57.8</v>
      </c>
      <c r="H16" s="2" t="n">
        <v>-26.9</v>
      </c>
      <c r="I16" s="2" t="n">
        <v>-31.1</v>
      </c>
      <c r="J16" s="2" t="n">
        <v>24.88802122</v>
      </c>
      <c r="L16" s="3" t="n">
        <v>5</v>
      </c>
      <c r="M16" s="0" t="n">
        <f aca="false">M2*100/$Y$6</f>
        <v>0</v>
      </c>
      <c r="N16" s="0" t="n">
        <f aca="false">N2*100/$Y$6</f>
        <v>0</v>
      </c>
      <c r="O16" s="0" t="n">
        <f aca="false">O2*100/$Y$6</f>
        <v>0</v>
      </c>
      <c r="P16" s="0" t="n">
        <f aca="false">P2*100/$Y$6</f>
        <v>0</v>
      </c>
      <c r="Q16" s="0" t="n">
        <f aca="false">Q2*100/$Y$6</f>
        <v>0</v>
      </c>
      <c r="R16" s="0" t="n">
        <f aca="false">R2*100/$Y$6</f>
        <v>0</v>
      </c>
      <c r="S16" s="0" t="n">
        <f aca="false">S2*100/$Y$6</f>
        <v>0</v>
      </c>
      <c r="T16" s="0" t="n">
        <f aca="false">T2*100/$Y$6</f>
        <v>0</v>
      </c>
      <c r="U16" s="0" t="n">
        <f aca="false">U2*100/$Y$6</f>
        <v>0</v>
      </c>
      <c r="V16" s="0" t="n">
        <f aca="false">V2*100/$Y$6</f>
        <v>0</v>
      </c>
      <c r="W16" s="0" t="n">
        <f aca="false">W2*100/$Y$6</f>
        <v>0</v>
      </c>
      <c r="X16" s="0" t="n">
        <f aca="false">SUM(M16:W16)</f>
        <v>0</v>
      </c>
      <c r="Y16" s="0" t="n">
        <f aca="false">SUM(M16:W27)</f>
        <v>100</v>
      </c>
    </row>
    <row r="17" customFormat="false" ht="15.8" hidden="false" customHeight="false" outlineLevel="0" collapsed="false">
      <c r="A17" s="1" t="n">
        <v>16</v>
      </c>
      <c r="B17" s="1" t="n">
        <v>57.8</v>
      </c>
      <c r="C17" s="1" t="n">
        <v>-26.9</v>
      </c>
      <c r="D17" s="1" t="n">
        <v>-31.1</v>
      </c>
      <c r="E17" s="2" t="n">
        <v>2.4</v>
      </c>
      <c r="F17" s="2" t="n">
        <v>17</v>
      </c>
      <c r="G17" s="2" t="n">
        <v>59.5</v>
      </c>
      <c r="H17" s="2" t="n">
        <v>-28.5</v>
      </c>
      <c r="I17" s="2" t="n">
        <v>-31.4</v>
      </c>
      <c r="J17" s="2" t="n">
        <v>28.62858013</v>
      </c>
      <c r="L17" s="3" t="n">
        <v>10</v>
      </c>
      <c r="M17" s="0" t="n">
        <f aca="false">M3*100/$Y$6</f>
        <v>0.90293453724605</v>
      </c>
      <c r="N17" s="0" t="n">
        <f aca="false">N3*100/$Y$6</f>
        <v>1.58013544018059</v>
      </c>
      <c r="O17" s="0" t="n">
        <f aca="false">O3*100/$Y$6</f>
        <v>0.451467268623025</v>
      </c>
      <c r="P17" s="0" t="n">
        <f aca="false">P3*100/$Y$6</f>
        <v>3.16027088036117</v>
      </c>
      <c r="Q17" s="0" t="n">
        <f aca="false">Q3*100/$Y$6</f>
        <v>2.03160270880361</v>
      </c>
      <c r="R17" s="0" t="n">
        <f aca="false">R3*100/$Y$6</f>
        <v>1.12866817155756</v>
      </c>
      <c r="S17" s="0" t="n">
        <f aca="false">S3*100/$Y$6</f>
        <v>0.451467268623025</v>
      </c>
      <c r="T17" s="0" t="n">
        <f aca="false">T3*100/$Y$6</f>
        <v>0.90293453724605</v>
      </c>
      <c r="U17" s="0" t="n">
        <f aca="false">U3*100/$Y$6</f>
        <v>0.225733634311512</v>
      </c>
      <c r="V17" s="0" t="n">
        <f aca="false">V3*100/$Y$6</f>
        <v>0</v>
      </c>
      <c r="W17" s="0" t="n">
        <f aca="false">W3*100/$Y$6</f>
        <v>0</v>
      </c>
      <c r="X17" s="0" t="n">
        <f aca="false">SUM(M17:W17)</f>
        <v>10.8352144469526</v>
      </c>
    </row>
    <row r="18" customFormat="false" ht="15.8" hidden="false" customHeight="false" outlineLevel="0" collapsed="false">
      <c r="A18" s="1" t="n">
        <v>17</v>
      </c>
      <c r="B18" s="1" t="n">
        <v>59.5</v>
      </c>
      <c r="C18" s="1" t="n">
        <v>-28.5</v>
      </c>
      <c r="D18" s="1" t="n">
        <v>-31.4</v>
      </c>
      <c r="E18" s="2" t="n">
        <v>2.4</v>
      </c>
      <c r="F18" s="2" t="n">
        <v>16</v>
      </c>
      <c r="G18" s="2" t="n">
        <v>57.8</v>
      </c>
      <c r="H18" s="2" t="n">
        <v>-26.9</v>
      </c>
      <c r="I18" s="2" t="n">
        <v>-31.1</v>
      </c>
      <c r="J18" s="2" t="n">
        <v>27.86753667</v>
      </c>
      <c r="L18" s="3" t="n">
        <v>15</v>
      </c>
      <c r="M18" s="0" t="n">
        <f aca="false">M4*100/$Y$6</f>
        <v>0.90293453724605</v>
      </c>
      <c r="N18" s="0" t="n">
        <f aca="false">N4*100/$Y$6</f>
        <v>4.28893905191874</v>
      </c>
      <c r="O18" s="0" t="n">
        <f aca="false">O4*100/$Y$6</f>
        <v>4.74040632054176</v>
      </c>
      <c r="P18" s="0" t="n">
        <f aca="false">P4*100/$Y$6</f>
        <v>6.77200902934537</v>
      </c>
      <c r="Q18" s="0" t="n">
        <f aca="false">Q4*100/$Y$6</f>
        <v>2.93453724604966</v>
      </c>
      <c r="R18" s="0" t="n">
        <f aca="false">R4*100/$Y$6</f>
        <v>3.38600451467269</v>
      </c>
      <c r="S18" s="0" t="n">
        <f aca="false">S4*100/$Y$6</f>
        <v>1.35440180586907</v>
      </c>
      <c r="T18" s="0" t="n">
        <f aca="false">T4*100/$Y$6</f>
        <v>0.225733634311512</v>
      </c>
      <c r="U18" s="0" t="n">
        <f aca="false">U4*100/$Y$6</f>
        <v>0.225733634311512</v>
      </c>
      <c r="V18" s="0" t="n">
        <f aca="false">V4*100/$Y$6</f>
        <v>0.225733634311512</v>
      </c>
      <c r="W18" s="0" t="n">
        <f aca="false">W4*100/$Y$6</f>
        <v>0.225733634311512</v>
      </c>
      <c r="X18" s="0" t="n">
        <f aca="false">SUM(M18:W18)</f>
        <v>25.2821670428894</v>
      </c>
    </row>
    <row r="19" customFormat="false" ht="15.8" hidden="false" customHeight="false" outlineLevel="0" collapsed="false">
      <c r="A19" s="1" t="n">
        <v>18</v>
      </c>
      <c r="B19" s="1" t="n">
        <v>60.2</v>
      </c>
      <c r="C19" s="1" t="n">
        <v>-23.9</v>
      </c>
      <c r="D19" s="1" t="n">
        <v>-30.7</v>
      </c>
      <c r="E19" s="2" t="n">
        <v>3.9</v>
      </c>
      <c r="F19" s="2" t="n">
        <v>16</v>
      </c>
      <c r="G19" s="2" t="n">
        <v>57.8</v>
      </c>
      <c r="H19" s="2" t="n">
        <v>-26.9</v>
      </c>
      <c r="I19" s="2" t="n">
        <v>-31.1</v>
      </c>
      <c r="J19" s="2" t="n">
        <v>32.18986797</v>
      </c>
      <c r="L19" s="3" t="n">
        <v>20</v>
      </c>
      <c r="M19" s="0" t="n">
        <f aca="false">M5*100/$Y$6</f>
        <v>1.35440180586907</v>
      </c>
      <c r="N19" s="0" t="n">
        <f aca="false">N5*100/$Y$6</f>
        <v>5.19187358916479</v>
      </c>
      <c r="O19" s="0" t="n">
        <f aca="false">O5*100/$Y$6</f>
        <v>9.25507900677201</v>
      </c>
      <c r="P19" s="0" t="n">
        <f aca="false">P5*100/$Y$6</f>
        <v>6.99774266365689</v>
      </c>
      <c r="Q19" s="0" t="n">
        <f aca="false">Q5*100/$Y$6</f>
        <v>5.86907449209932</v>
      </c>
      <c r="R19" s="0" t="n">
        <f aca="false">R5*100/$Y$6</f>
        <v>2.70880361173815</v>
      </c>
      <c r="S19" s="0" t="n">
        <f aca="false">S5*100/$Y$6</f>
        <v>1.8058690744921</v>
      </c>
      <c r="T19" s="0" t="n">
        <f aca="false">T5*100/$Y$6</f>
        <v>1.12866817155756</v>
      </c>
      <c r="U19" s="0" t="n">
        <f aca="false">U5*100/$Y$6</f>
        <v>0.225733634311512</v>
      </c>
      <c r="V19" s="0" t="n">
        <f aca="false">V5*100/$Y$6</f>
        <v>0</v>
      </c>
      <c r="W19" s="0" t="n">
        <f aca="false">W5*100/$Y$6</f>
        <v>0</v>
      </c>
      <c r="X19" s="0" t="n">
        <f aca="false">SUM(M19:W19)</f>
        <v>34.5372460496614</v>
      </c>
    </row>
    <row r="20" customFormat="false" ht="15.8" hidden="false" customHeight="false" outlineLevel="0" collapsed="false">
      <c r="A20" s="1" t="n">
        <v>19</v>
      </c>
      <c r="B20" s="1" t="n">
        <v>59.4</v>
      </c>
      <c r="C20" s="1" t="n">
        <v>-31.7</v>
      </c>
      <c r="D20" s="1" t="n">
        <v>-32.2</v>
      </c>
      <c r="E20" s="2" t="n">
        <v>1.6</v>
      </c>
      <c r="F20" s="2" t="n">
        <v>20</v>
      </c>
      <c r="G20" s="2" t="n">
        <v>58</v>
      </c>
      <c r="H20" s="2" t="n">
        <v>-31</v>
      </c>
      <c r="I20" s="2" t="n">
        <v>-32.6</v>
      </c>
      <c r="J20" s="2" t="n">
        <v>25.18820359</v>
      </c>
      <c r="L20" s="3" t="n">
        <v>25</v>
      </c>
      <c r="M20" s="0" t="n">
        <f aca="false">M6*100/$Y$6</f>
        <v>0.451467268623025</v>
      </c>
      <c r="N20" s="0" t="n">
        <f aca="false">N6*100/$Y$6</f>
        <v>2.70880361173815</v>
      </c>
      <c r="O20" s="0" t="n">
        <f aca="false">O6*100/$Y$6</f>
        <v>3.38600451467269</v>
      </c>
      <c r="P20" s="0" t="n">
        <f aca="false">P6*100/$Y$6</f>
        <v>4.96613995485327</v>
      </c>
      <c r="Q20" s="0" t="n">
        <f aca="false">Q6*100/$Y$6</f>
        <v>3.6117381489842</v>
      </c>
      <c r="R20" s="0" t="n">
        <f aca="false">R6*100/$Y$6</f>
        <v>1.8058690744921</v>
      </c>
      <c r="S20" s="0" t="n">
        <f aca="false">S6*100/$Y$6</f>
        <v>0.90293453724605</v>
      </c>
      <c r="T20" s="0" t="n">
        <f aca="false">T6*100/$Y$6</f>
        <v>0.90293453724605</v>
      </c>
      <c r="U20" s="0" t="n">
        <f aca="false">U6*100/$Y$6</f>
        <v>0.451467268623025</v>
      </c>
      <c r="V20" s="0" t="n">
        <f aca="false">V6*100/$Y$6</f>
        <v>0.451467268623025</v>
      </c>
      <c r="W20" s="0" t="n">
        <f aca="false">W6*100/$Y$6</f>
        <v>0</v>
      </c>
      <c r="X20" s="0" t="n">
        <f aca="false">SUM(M20:W20)</f>
        <v>19.6388261851016</v>
      </c>
    </row>
    <row r="21" customFormat="false" ht="15.8" hidden="false" customHeight="false" outlineLevel="0" collapsed="false">
      <c r="A21" s="1" t="n">
        <v>20</v>
      </c>
      <c r="B21" s="1" t="n">
        <v>58</v>
      </c>
      <c r="C21" s="1" t="n">
        <v>-31</v>
      </c>
      <c r="D21" s="1" t="n">
        <v>-32.6</v>
      </c>
      <c r="E21" s="2" t="n">
        <v>1.6</v>
      </c>
      <c r="F21" s="2" t="n">
        <v>19</v>
      </c>
      <c r="G21" s="2" t="n">
        <v>59.4</v>
      </c>
      <c r="H21" s="2" t="n">
        <v>-31.7</v>
      </c>
      <c r="I21" s="2" t="n">
        <v>-32.2</v>
      </c>
      <c r="J21" s="2" t="n">
        <v>25.30588074</v>
      </c>
      <c r="L21" s="3" t="n">
        <v>30</v>
      </c>
      <c r="M21" s="0" t="n">
        <f aca="false">M7*100/$Y$6</f>
        <v>0</v>
      </c>
      <c r="N21" s="0" t="n">
        <f aca="false">N7*100/$Y$6</f>
        <v>0</v>
      </c>
      <c r="O21" s="0" t="n">
        <f aca="false">O7*100/$Y$6</f>
        <v>0.90293453724605</v>
      </c>
      <c r="P21" s="0" t="n">
        <f aca="false">P7*100/$Y$6</f>
        <v>2.25733634311512</v>
      </c>
      <c r="Q21" s="0" t="n">
        <f aca="false">Q7*100/$Y$6</f>
        <v>1.8058690744921</v>
      </c>
      <c r="R21" s="0" t="n">
        <f aca="false">R7*100/$Y$6</f>
        <v>1.35440180586907</v>
      </c>
      <c r="S21" s="0" t="n">
        <f aca="false">S7*100/$Y$6</f>
        <v>0.451467268623025</v>
      </c>
      <c r="T21" s="0" t="n">
        <f aca="false">T7*100/$Y$6</f>
        <v>0.677200902934537</v>
      </c>
      <c r="U21" s="0" t="n">
        <f aca="false">U7*100/$Y$6</f>
        <v>0.225733634311512</v>
      </c>
      <c r="V21" s="0" t="n">
        <f aca="false">V7*100/$Y$6</f>
        <v>0</v>
      </c>
      <c r="W21" s="0" t="n">
        <f aca="false">W7*100/$Y$6</f>
        <v>0</v>
      </c>
      <c r="X21" s="0" t="n">
        <f aca="false">SUM(M21:W21)</f>
        <v>7.67494356659142</v>
      </c>
    </row>
    <row r="22" customFormat="false" ht="15.8" hidden="false" customHeight="false" outlineLevel="0" collapsed="false">
      <c r="A22" s="1" t="n">
        <v>21</v>
      </c>
      <c r="B22" s="1" t="n">
        <v>59.3</v>
      </c>
      <c r="C22" s="1" t="n">
        <v>-30.7</v>
      </c>
      <c r="D22" s="1" t="n">
        <v>-30</v>
      </c>
      <c r="E22" s="2" t="n">
        <v>2.4</v>
      </c>
      <c r="F22" s="2" t="n">
        <v>19</v>
      </c>
      <c r="G22" s="2" t="n">
        <v>59.4</v>
      </c>
      <c r="H22" s="2" t="n">
        <v>-31.7</v>
      </c>
      <c r="I22" s="2" t="n">
        <v>-32.2</v>
      </c>
      <c r="J22" s="2" t="n">
        <v>25.59014654</v>
      </c>
      <c r="L22" s="3" t="n">
        <v>35</v>
      </c>
      <c r="M22" s="0" t="n">
        <f aca="false">M8*100/$Y$6</f>
        <v>0</v>
      </c>
      <c r="N22" s="0" t="n">
        <f aca="false">N8*100/$Y$6</f>
        <v>0</v>
      </c>
      <c r="O22" s="0" t="n">
        <f aca="false">O8*100/$Y$6</f>
        <v>0</v>
      </c>
      <c r="P22" s="0" t="n">
        <f aca="false">P8*100/$Y$6</f>
        <v>0.451467268623025</v>
      </c>
      <c r="Q22" s="0" t="n">
        <f aca="false">Q8*100/$Y$6</f>
        <v>0</v>
      </c>
      <c r="R22" s="0" t="n">
        <f aca="false">R8*100/$Y$6</f>
        <v>0.677200902934537</v>
      </c>
      <c r="S22" s="0" t="n">
        <f aca="false">S8*100/$Y$6</f>
        <v>0</v>
      </c>
      <c r="T22" s="0" t="n">
        <f aca="false">T8*100/$Y$6</f>
        <v>0.451467268623025</v>
      </c>
      <c r="U22" s="0" t="n">
        <f aca="false">U8*100/$Y$6</f>
        <v>0</v>
      </c>
      <c r="V22" s="0" t="n">
        <f aca="false">V8*100/$Y$6</f>
        <v>0</v>
      </c>
      <c r="W22" s="0" t="n">
        <f aca="false">W8*100/$Y$6</f>
        <v>0.225733634311512</v>
      </c>
      <c r="X22" s="0" t="n">
        <f aca="false">SUM(M22:W22)</f>
        <v>1.8058690744921</v>
      </c>
    </row>
    <row r="23" customFormat="false" ht="15.8" hidden="false" customHeight="false" outlineLevel="0" collapsed="false">
      <c r="A23" s="1" t="n">
        <v>22</v>
      </c>
      <c r="B23" s="1" t="n">
        <v>58.6</v>
      </c>
      <c r="C23" s="1" t="n">
        <v>-34.8</v>
      </c>
      <c r="D23" s="1" t="n">
        <v>-32.2</v>
      </c>
      <c r="E23" s="2" t="n">
        <v>2.1</v>
      </c>
      <c r="F23" s="2" t="n">
        <v>23</v>
      </c>
      <c r="G23" s="2" t="n">
        <v>57.1</v>
      </c>
      <c r="H23" s="2" t="n">
        <v>-36.1</v>
      </c>
      <c r="I23" s="2" t="n">
        <v>-31.4</v>
      </c>
      <c r="J23" s="2" t="n">
        <v>22.18620292</v>
      </c>
      <c r="L23" s="3" t="n">
        <v>40</v>
      </c>
      <c r="M23" s="0" t="n">
        <f aca="false">M9*100/$Y$6</f>
        <v>0</v>
      </c>
      <c r="N23" s="0" t="n">
        <f aca="false">N9*100/$Y$6</f>
        <v>0</v>
      </c>
      <c r="O23" s="0" t="n">
        <f aca="false">O9*100/$Y$6</f>
        <v>0</v>
      </c>
      <c r="P23" s="0" t="n">
        <f aca="false">P9*100/$Y$6</f>
        <v>0</v>
      </c>
      <c r="Q23" s="0" t="n">
        <f aca="false">Q9*100/$Y$6</f>
        <v>0</v>
      </c>
      <c r="R23" s="0" t="n">
        <f aca="false">R9*100/$Y$6</f>
        <v>0</v>
      </c>
      <c r="S23" s="0" t="n">
        <f aca="false">S9*100/$Y$6</f>
        <v>0</v>
      </c>
      <c r="T23" s="0" t="n">
        <f aca="false">T9*100/$Y$6</f>
        <v>0.225733634311512</v>
      </c>
      <c r="U23" s="0" t="n">
        <f aca="false">U9*100/$Y$6</f>
        <v>0</v>
      </c>
      <c r="V23" s="0" t="n">
        <f aca="false">V9*100/$Y$6</f>
        <v>0</v>
      </c>
      <c r="W23" s="0" t="n">
        <f aca="false">W9*100/$Y$6</f>
        <v>0</v>
      </c>
      <c r="X23" s="0" t="n">
        <f aca="false">SUM(M23:W23)</f>
        <v>0.225733634311512</v>
      </c>
    </row>
    <row r="24" customFormat="false" ht="15.8" hidden="false" customHeight="false" outlineLevel="0" collapsed="false">
      <c r="A24" s="1" t="n">
        <v>23</v>
      </c>
      <c r="B24" s="1" t="n">
        <v>57.1</v>
      </c>
      <c r="C24" s="1" t="n">
        <v>-36.1</v>
      </c>
      <c r="D24" s="1" t="n">
        <v>-31.4</v>
      </c>
      <c r="E24" s="2" t="n">
        <v>2.1</v>
      </c>
      <c r="F24" s="2" t="n">
        <v>22</v>
      </c>
      <c r="G24" s="2" t="n">
        <v>58.6</v>
      </c>
      <c r="H24" s="2" t="n">
        <v>-34.8</v>
      </c>
      <c r="I24" s="2" t="n">
        <v>-32.2</v>
      </c>
      <c r="J24" s="2" t="n">
        <v>20.18017839</v>
      </c>
      <c r="L24" s="3" t="n">
        <v>45</v>
      </c>
      <c r="M24" s="0" t="n">
        <f aca="false">M10*100/$Y$6</f>
        <v>0</v>
      </c>
      <c r="N24" s="0" t="n">
        <f aca="false">N10*100/$Y$6</f>
        <v>0</v>
      </c>
      <c r="O24" s="0" t="n">
        <f aca="false">O10*100/$Y$6</f>
        <v>0</v>
      </c>
      <c r="P24" s="0" t="n">
        <f aca="false">P10*100/$Y$6</f>
        <v>0</v>
      </c>
      <c r="Q24" s="0" t="n">
        <f aca="false">Q10*100/$Y$6</f>
        <v>0</v>
      </c>
      <c r="R24" s="0" t="n">
        <f aca="false">R10*100/$Y$6</f>
        <v>0</v>
      </c>
      <c r="S24" s="0" t="n">
        <f aca="false">S10*100/$Y$6</f>
        <v>0</v>
      </c>
      <c r="T24" s="0" t="n">
        <f aca="false">T10*100/$Y$6</f>
        <v>0</v>
      </c>
      <c r="U24" s="0" t="n">
        <f aca="false">U10*100/$Y$6</f>
        <v>0</v>
      </c>
      <c r="V24" s="0" t="n">
        <f aca="false">V10*100/$Y$6</f>
        <v>0</v>
      </c>
      <c r="W24" s="0" t="n">
        <f aca="false">W10*100/$Y$6</f>
        <v>0</v>
      </c>
      <c r="X24" s="0" t="n">
        <f aca="false">SUM(M24:W24)</f>
        <v>0</v>
      </c>
    </row>
    <row r="25" customFormat="false" ht="15.8" hidden="false" customHeight="false" outlineLevel="0" collapsed="false">
      <c r="A25" s="1" t="n">
        <v>24</v>
      </c>
      <c r="B25" s="1" t="n">
        <v>56.1</v>
      </c>
      <c r="C25" s="1" t="n">
        <v>-35.3</v>
      </c>
      <c r="D25" s="1" t="n">
        <v>-33.3</v>
      </c>
      <c r="E25" s="2" t="n">
        <v>2.3</v>
      </c>
      <c r="F25" s="2" t="n">
        <v>23</v>
      </c>
      <c r="G25" s="2" t="n">
        <v>57.1</v>
      </c>
      <c r="H25" s="2" t="n">
        <v>-36.1</v>
      </c>
      <c r="I25" s="2" t="n">
        <v>-31.4</v>
      </c>
      <c r="J25" s="2" t="n">
        <v>21.0195528</v>
      </c>
      <c r="L25" s="3" t="n">
        <v>50</v>
      </c>
      <c r="M25" s="0" t="n">
        <f aca="false">M11*100/$Y$6</f>
        <v>0</v>
      </c>
      <c r="N25" s="0" t="n">
        <f aca="false">N11*100/$Y$6</f>
        <v>0</v>
      </c>
      <c r="O25" s="0" t="n">
        <f aca="false">O11*100/$Y$6</f>
        <v>0</v>
      </c>
      <c r="P25" s="0" t="n">
        <f aca="false">P11*100/$Y$6</f>
        <v>0</v>
      </c>
      <c r="Q25" s="0" t="n">
        <f aca="false">Q11*100/$Y$6</f>
        <v>0</v>
      </c>
      <c r="R25" s="0" t="n">
        <f aca="false">R11*100/$Y$6</f>
        <v>0</v>
      </c>
      <c r="S25" s="0" t="n">
        <f aca="false">S11*100/$Y$6</f>
        <v>0</v>
      </c>
      <c r="T25" s="0" t="n">
        <f aca="false">T11*100/$Y$6</f>
        <v>0</v>
      </c>
      <c r="U25" s="0" t="n">
        <f aca="false">U11*100/$Y$6</f>
        <v>0</v>
      </c>
      <c r="V25" s="0" t="n">
        <f aca="false">V11*100/$Y$6</f>
        <v>0</v>
      </c>
      <c r="W25" s="0" t="n">
        <f aca="false">W11*100/$Y$6</f>
        <v>0</v>
      </c>
      <c r="X25" s="0" t="n">
        <f aca="false">SUM(M25:W25)</f>
        <v>0</v>
      </c>
    </row>
    <row r="26" customFormat="false" ht="15.8" hidden="false" customHeight="false" outlineLevel="0" collapsed="false">
      <c r="A26" s="1" t="n">
        <v>25</v>
      </c>
      <c r="B26" s="1" t="n">
        <v>53.6</v>
      </c>
      <c r="C26" s="1" t="n">
        <v>-34.7</v>
      </c>
      <c r="D26" s="1" t="n">
        <v>-32.2</v>
      </c>
      <c r="E26" s="2" t="n">
        <v>2.8</v>
      </c>
      <c r="F26" s="2" t="n">
        <v>24</v>
      </c>
      <c r="G26" s="2" t="n">
        <v>56.1</v>
      </c>
      <c r="H26" s="2" t="n">
        <v>-35.3</v>
      </c>
      <c r="I26" s="2" t="n">
        <v>-33.3</v>
      </c>
      <c r="J26" s="2" t="n">
        <v>20.38012758</v>
      </c>
      <c r="L26" s="3" t="n">
        <v>55</v>
      </c>
      <c r="M26" s="0" t="n">
        <f aca="false">M12*100/$Y$6</f>
        <v>0</v>
      </c>
      <c r="N26" s="0" t="n">
        <f aca="false">N12*100/$Y$6</f>
        <v>0</v>
      </c>
      <c r="O26" s="0" t="n">
        <f aca="false">O12*100/$Y$6</f>
        <v>0</v>
      </c>
      <c r="P26" s="0" t="n">
        <f aca="false">P12*100/$Y$6</f>
        <v>0</v>
      </c>
      <c r="Q26" s="0" t="n">
        <f aca="false">Q12*100/$Y$6</f>
        <v>0</v>
      </c>
      <c r="R26" s="0" t="n">
        <f aca="false">R12*100/$Y$6</f>
        <v>0</v>
      </c>
      <c r="S26" s="0" t="n">
        <f aca="false">S12*100/$Y$6</f>
        <v>0</v>
      </c>
      <c r="T26" s="0" t="n">
        <f aca="false">T12*100/$Y$6</f>
        <v>0</v>
      </c>
      <c r="U26" s="0" t="n">
        <f aca="false">U12*100/$Y$6</f>
        <v>0</v>
      </c>
      <c r="V26" s="0" t="n">
        <f aca="false">V12*100/$Y$6</f>
        <v>0</v>
      </c>
      <c r="W26" s="0" t="n">
        <f aca="false">W12*100/$Y$6</f>
        <v>0</v>
      </c>
      <c r="X26" s="0" t="n">
        <f aca="false">SUM(M26:W26)</f>
        <v>0</v>
      </c>
    </row>
    <row r="27" customFormat="false" ht="15.8" hidden="false" customHeight="false" outlineLevel="0" collapsed="false">
      <c r="A27" s="1" t="n">
        <v>26</v>
      </c>
      <c r="B27" s="1" t="n">
        <v>50.2</v>
      </c>
      <c r="C27" s="1" t="n">
        <v>-35.9</v>
      </c>
      <c r="D27" s="1" t="n">
        <v>-31.8</v>
      </c>
      <c r="E27" s="2" t="n">
        <v>3.7</v>
      </c>
      <c r="F27" s="2" t="n">
        <v>25</v>
      </c>
      <c r="G27" s="2" t="n">
        <v>53.6</v>
      </c>
      <c r="H27" s="2" t="n">
        <v>-34.7</v>
      </c>
      <c r="I27" s="2" t="n">
        <v>-32.2</v>
      </c>
      <c r="J27" s="2" t="n">
        <v>18.46893608</v>
      </c>
      <c r="L27" s="3" t="n">
        <v>60</v>
      </c>
      <c r="M27" s="0" t="n">
        <f aca="false">M13*100/$Y$6</f>
        <v>0</v>
      </c>
      <c r="N27" s="0" t="n">
        <f aca="false">N13*100/$Y$6</f>
        <v>0</v>
      </c>
      <c r="O27" s="0" t="n">
        <f aca="false">O13*100/$Y$6</f>
        <v>0</v>
      </c>
      <c r="P27" s="0" t="n">
        <f aca="false">P13*100/$Y$6</f>
        <v>0</v>
      </c>
      <c r="Q27" s="0" t="n">
        <f aca="false">Q13*100/$Y$6</f>
        <v>0</v>
      </c>
      <c r="R27" s="0" t="n">
        <f aca="false">R13*100/$Y$6</f>
        <v>0</v>
      </c>
      <c r="S27" s="0" t="n">
        <f aca="false">S13*100/$Y$6</f>
        <v>0</v>
      </c>
      <c r="T27" s="0" t="n">
        <f aca="false">T13*100/$Y$6</f>
        <v>0</v>
      </c>
      <c r="U27" s="0" t="n">
        <f aca="false">U13*100/$Y$6</f>
        <v>0</v>
      </c>
      <c r="V27" s="0" t="n">
        <f aca="false">V13*100/$Y$6</f>
        <v>0</v>
      </c>
      <c r="W27" s="0" t="n">
        <f aca="false">W13*100/$Y$6</f>
        <v>0</v>
      </c>
      <c r="X27" s="0" t="n">
        <f aca="false">SUM(M27:W27)</f>
        <v>0</v>
      </c>
    </row>
    <row r="28" customFormat="false" ht="15.8" hidden="false" customHeight="false" outlineLevel="0" collapsed="false">
      <c r="A28" s="1" t="n">
        <v>27</v>
      </c>
      <c r="B28" s="1" t="n">
        <v>54.2</v>
      </c>
      <c r="C28" s="1" t="n">
        <v>-32.1</v>
      </c>
      <c r="D28" s="1" t="n">
        <v>-36.3</v>
      </c>
      <c r="E28" s="2" t="n">
        <v>4.7</v>
      </c>
      <c r="F28" s="2" t="n">
        <v>24</v>
      </c>
      <c r="G28" s="2" t="n">
        <v>56.1</v>
      </c>
      <c r="H28" s="2" t="n">
        <v>-35.3</v>
      </c>
      <c r="I28" s="2" t="n">
        <v>-33.3</v>
      </c>
      <c r="J28" s="2" t="n">
        <v>24.33819221</v>
      </c>
    </row>
    <row r="29" customFormat="false" ht="15.8" hidden="false" customHeight="false" outlineLevel="0" collapsed="false">
      <c r="A29" s="1" t="n">
        <v>28</v>
      </c>
      <c r="B29" s="1" t="n">
        <v>47.9</v>
      </c>
      <c r="C29" s="1" t="n">
        <v>-40.1</v>
      </c>
      <c r="D29" s="1" t="n">
        <v>-30.3</v>
      </c>
      <c r="E29" s="2" t="n">
        <v>4.4</v>
      </c>
      <c r="F29" s="2" t="n">
        <v>91</v>
      </c>
      <c r="G29" s="2" t="n">
        <v>49.3</v>
      </c>
      <c r="H29" s="2" t="n">
        <v>-44.1</v>
      </c>
      <c r="I29" s="2" t="n">
        <v>-31.4</v>
      </c>
      <c r="J29" s="2" t="n">
        <v>13.88602175</v>
      </c>
      <c r="L29" s="0" t="s">
        <v>17</v>
      </c>
      <c r="M29" s="3" t="n">
        <v>0.5</v>
      </c>
      <c r="N29" s="3" t="n">
        <v>1</v>
      </c>
      <c r="O29" s="3" t="n">
        <v>1.5</v>
      </c>
      <c r="P29" s="3" t="n">
        <v>2</v>
      </c>
      <c r="Q29" s="4" t="n">
        <v>2.5</v>
      </c>
      <c r="R29" s="3" t="n">
        <v>3</v>
      </c>
      <c r="S29" s="3" t="n">
        <v>3.5</v>
      </c>
      <c r="T29" s="3" t="n">
        <v>4</v>
      </c>
      <c r="U29" s="3" t="n">
        <v>4.5</v>
      </c>
      <c r="V29" s="3" t="n">
        <v>5</v>
      </c>
      <c r="W29" s="3" t="s">
        <v>11</v>
      </c>
      <c r="X29" s="3" t="s">
        <v>12</v>
      </c>
    </row>
    <row r="30" customFormat="false" ht="15.8" hidden="false" customHeight="false" outlineLevel="0" collapsed="false">
      <c r="A30" s="1" t="n">
        <v>29</v>
      </c>
      <c r="B30" s="1" t="n">
        <v>41</v>
      </c>
      <c r="C30" s="1" t="n">
        <v>-36.1</v>
      </c>
      <c r="D30" s="1" t="n">
        <v>-30.7</v>
      </c>
      <c r="E30" s="2" t="n">
        <v>2.4</v>
      </c>
      <c r="F30" s="2" t="n">
        <v>30</v>
      </c>
      <c r="G30" s="2" t="n">
        <v>42.2</v>
      </c>
      <c r="H30" s="2" t="n">
        <v>-34.4</v>
      </c>
      <c r="I30" s="2" t="n">
        <v>-31.8</v>
      </c>
      <c r="J30" s="2" t="n">
        <v>19.18070906</v>
      </c>
      <c r="L30" s="3" t="n">
        <v>5</v>
      </c>
      <c r="M30" s="0" t="e">
        <f aca="false">M2/(SUM($M2:$W2))*100</f>
        <v>#DIV/0!</v>
      </c>
      <c r="N30" s="0" t="e">
        <f aca="false">N2/(SUM($M2:$W2))*100</f>
        <v>#DIV/0!</v>
      </c>
      <c r="O30" s="0" t="e">
        <f aca="false">O2/(SUM($M2:$W2))*100</f>
        <v>#DIV/0!</v>
      </c>
      <c r="P30" s="0" t="e">
        <f aca="false">P2/(SUM($M2:$W2))*100</f>
        <v>#DIV/0!</v>
      </c>
      <c r="Q30" s="0" t="e">
        <f aca="false">Q2/(SUM($M2:$W2))*100</f>
        <v>#DIV/0!</v>
      </c>
      <c r="R30" s="0" t="e">
        <f aca="false">R2/(SUM($M2:$W2))*100</f>
        <v>#DIV/0!</v>
      </c>
      <c r="S30" s="0" t="e">
        <f aca="false">S2/(SUM($M2:$W2))*100</f>
        <v>#DIV/0!</v>
      </c>
      <c r="T30" s="0" t="e">
        <f aca="false">T2/(SUM($M2:$W2))*100</f>
        <v>#DIV/0!</v>
      </c>
      <c r="U30" s="0" t="e">
        <f aca="false">U2/(SUM($M2:$W2))*100</f>
        <v>#DIV/0!</v>
      </c>
      <c r="V30" s="0" t="e">
        <f aca="false">V2/(SUM($M2:$W2))*100</f>
        <v>#DIV/0!</v>
      </c>
      <c r="W30" s="0" t="e">
        <f aca="false">W2/(SUM($M2:$W2))*100</f>
        <v>#DIV/0!</v>
      </c>
      <c r="X30" s="0" t="e">
        <f aca="false">SUM(M30:W30)</f>
        <v>#DIV/0!</v>
      </c>
    </row>
    <row r="31" customFormat="false" ht="15.8" hidden="false" customHeight="false" outlineLevel="0" collapsed="false">
      <c r="A31" s="1" t="n">
        <v>30</v>
      </c>
      <c r="B31" s="1" t="n">
        <v>42.2</v>
      </c>
      <c r="C31" s="1" t="n">
        <v>-34.4</v>
      </c>
      <c r="D31" s="1" t="n">
        <v>-31.8</v>
      </c>
      <c r="E31" s="2" t="n">
        <v>2.4</v>
      </c>
      <c r="F31" s="2" t="n">
        <v>29</v>
      </c>
      <c r="G31" s="2" t="n">
        <v>41</v>
      </c>
      <c r="H31" s="2" t="n">
        <v>-36.1</v>
      </c>
      <c r="I31" s="2" t="n">
        <v>-30.7</v>
      </c>
      <c r="J31" s="2" t="n">
        <v>20.61968962</v>
      </c>
      <c r="L31" s="3" t="n">
        <v>10</v>
      </c>
      <c r="M31" s="0" t="n">
        <f aca="false">M3/(SUM($M3:$W3))*100</f>
        <v>8.33333333333333</v>
      </c>
      <c r="N31" s="0" t="n">
        <f aca="false">N3/(SUM($M3:$W3))*100</f>
        <v>14.5833333333333</v>
      </c>
      <c r="O31" s="0" t="n">
        <f aca="false">O3/(SUM($M3:$W3))*100</f>
        <v>4.16666666666667</v>
      </c>
      <c r="P31" s="0" t="n">
        <f aca="false">P3/(SUM($M3:$W3))*100</f>
        <v>29.1666666666667</v>
      </c>
      <c r="Q31" s="0" t="n">
        <f aca="false">Q3/(SUM($M3:$W3))*100</f>
        <v>18.75</v>
      </c>
      <c r="R31" s="0" t="n">
        <f aca="false">R3/(SUM($M3:$W3))*100</f>
        <v>10.4166666666667</v>
      </c>
      <c r="S31" s="0" t="n">
        <f aca="false">S3/(SUM($M3:$W3))*100</f>
        <v>4.16666666666667</v>
      </c>
      <c r="T31" s="0" t="n">
        <f aca="false">T3/(SUM($M3:$W3))*100</f>
        <v>8.33333333333333</v>
      </c>
      <c r="U31" s="0" t="n">
        <f aca="false">U3/(SUM($M3:$W3))*100</f>
        <v>2.08333333333333</v>
      </c>
      <c r="V31" s="0" t="n">
        <f aca="false">V3/(SUM($M3:$W3))*100</f>
        <v>0</v>
      </c>
      <c r="W31" s="0" t="n">
        <f aca="false">W3/(SUM($M3:$W3))*100</f>
        <v>0</v>
      </c>
      <c r="X31" s="0" t="n">
        <f aca="false">SUM(M31:W31)</f>
        <v>100</v>
      </c>
    </row>
    <row r="32" customFormat="false" ht="15.8" hidden="false" customHeight="false" outlineLevel="0" collapsed="false">
      <c r="A32" s="1" t="n">
        <v>31</v>
      </c>
      <c r="B32" s="1" t="n">
        <v>37.3</v>
      </c>
      <c r="C32" s="1" t="n">
        <v>-40.2</v>
      </c>
      <c r="D32" s="1" t="n">
        <v>-30</v>
      </c>
      <c r="E32" s="2" t="n">
        <v>1.5</v>
      </c>
      <c r="F32" s="2" t="n">
        <v>38</v>
      </c>
      <c r="G32" s="2" t="n">
        <v>37</v>
      </c>
      <c r="H32" s="2" t="n">
        <v>-40.4</v>
      </c>
      <c r="I32" s="2" t="n">
        <v>-31.4</v>
      </c>
      <c r="J32" s="2" t="n">
        <v>17.41050258</v>
      </c>
      <c r="L32" s="3" t="n">
        <v>15</v>
      </c>
      <c r="M32" s="0" t="n">
        <f aca="false">M4/(SUM($M4:$W4))*100</f>
        <v>3.57142857142857</v>
      </c>
      <c r="N32" s="0" t="n">
        <f aca="false">N4/(SUM($M4:$W4))*100</f>
        <v>16.9642857142857</v>
      </c>
      <c r="O32" s="0" t="n">
        <f aca="false">O4/(SUM($M4:$W4))*100</f>
        <v>18.75</v>
      </c>
      <c r="P32" s="0" t="n">
        <f aca="false">P4/(SUM($M4:$W4))*100</f>
        <v>26.7857142857143</v>
      </c>
      <c r="Q32" s="0" t="n">
        <f aca="false">Q4/(SUM($M4:$W4))*100</f>
        <v>11.6071428571429</v>
      </c>
      <c r="R32" s="0" t="n">
        <f aca="false">R4/(SUM($M4:$W4))*100</f>
        <v>13.3928571428571</v>
      </c>
      <c r="S32" s="0" t="n">
        <f aca="false">S4/(SUM($M4:$W4))*100</f>
        <v>5.35714285714286</v>
      </c>
      <c r="T32" s="0" t="n">
        <f aca="false">T4/(SUM($M4:$W4))*100</f>
        <v>0.892857142857143</v>
      </c>
      <c r="U32" s="0" t="n">
        <f aca="false">U4/(SUM($M4:$W4))*100</f>
        <v>0.892857142857143</v>
      </c>
      <c r="V32" s="0" t="n">
        <f aca="false">V4/(SUM($M4:$W4))*100</f>
        <v>0.892857142857143</v>
      </c>
      <c r="W32" s="0" t="n">
        <f aca="false">W4/(SUM($M4:$W4))*100</f>
        <v>0.892857142857143</v>
      </c>
      <c r="X32" s="0" t="n">
        <f aca="false">SUM(M32:W32)</f>
        <v>100</v>
      </c>
    </row>
    <row r="33" customFormat="false" ht="15.8" hidden="false" customHeight="false" outlineLevel="0" collapsed="false">
      <c r="A33" s="1" t="n">
        <v>32</v>
      </c>
      <c r="B33" s="1" t="n">
        <v>40.7</v>
      </c>
      <c r="C33" s="1" t="n">
        <v>-39.5</v>
      </c>
      <c r="D33" s="1" t="n">
        <v>-28.9</v>
      </c>
      <c r="E33" s="2" t="n">
        <v>3.1</v>
      </c>
      <c r="F33" s="2" t="n">
        <v>36</v>
      </c>
      <c r="G33" s="2" t="n">
        <v>41.9</v>
      </c>
      <c r="H33" s="2" t="n">
        <v>-42.3</v>
      </c>
      <c r="I33" s="2" t="n">
        <v>-28.1</v>
      </c>
      <c r="J33" s="2" t="n">
        <v>15.9177134</v>
      </c>
      <c r="L33" s="3" t="n">
        <v>20</v>
      </c>
      <c r="M33" s="0" t="n">
        <f aca="false">M5/(SUM($M5:$W5))*100</f>
        <v>3.92156862745098</v>
      </c>
      <c r="N33" s="0" t="n">
        <f aca="false">N5/(SUM($M5:$W5))*100</f>
        <v>15.0326797385621</v>
      </c>
      <c r="O33" s="0" t="n">
        <f aca="false">O5/(SUM($M5:$W5))*100</f>
        <v>26.797385620915</v>
      </c>
      <c r="P33" s="0" t="n">
        <f aca="false">P5/(SUM($M5:$W5))*100</f>
        <v>20.2614379084967</v>
      </c>
      <c r="Q33" s="0" t="n">
        <f aca="false">Q5/(SUM($M5:$W5))*100</f>
        <v>16.9934640522876</v>
      </c>
      <c r="R33" s="0" t="n">
        <f aca="false">R5/(SUM($M5:$W5))*100</f>
        <v>7.84313725490196</v>
      </c>
      <c r="S33" s="0" t="n">
        <f aca="false">S5/(SUM($M5:$W5))*100</f>
        <v>5.22875816993464</v>
      </c>
      <c r="T33" s="0" t="n">
        <f aca="false">T5/(SUM($M5:$W5))*100</f>
        <v>3.26797385620915</v>
      </c>
      <c r="U33" s="0" t="n">
        <f aca="false">U5/(SUM($M5:$W5))*100</f>
        <v>0.65359477124183</v>
      </c>
      <c r="V33" s="0" t="n">
        <f aca="false">V5/(SUM($M5:$W5))*100</f>
        <v>0</v>
      </c>
      <c r="W33" s="0" t="n">
        <f aca="false">W5/(SUM($M5:$W5))*100</f>
        <v>0</v>
      </c>
      <c r="X33" s="0" t="n">
        <f aca="false">SUM(M33:W33)</f>
        <v>100</v>
      </c>
    </row>
    <row r="34" customFormat="false" ht="15.8" hidden="false" customHeight="false" outlineLevel="0" collapsed="false">
      <c r="A34" s="1" t="n">
        <v>33</v>
      </c>
      <c r="B34" s="1" t="n">
        <v>34.9</v>
      </c>
      <c r="C34" s="1" t="n">
        <v>-41.2</v>
      </c>
      <c r="D34" s="1" t="n">
        <v>-27</v>
      </c>
      <c r="E34" s="2" t="n">
        <v>2.6</v>
      </c>
      <c r="F34" s="2" t="n">
        <v>34</v>
      </c>
      <c r="G34" s="2" t="n">
        <v>33.1</v>
      </c>
      <c r="H34" s="2" t="n">
        <v>-43</v>
      </c>
      <c r="I34" s="2" t="n">
        <v>-26.6</v>
      </c>
      <c r="J34" s="2" t="n">
        <v>17.9219865</v>
      </c>
      <c r="L34" s="3" t="n">
        <v>25</v>
      </c>
      <c r="M34" s="0" t="n">
        <f aca="false">M6/(SUM($M6:$W6))*100</f>
        <v>2.29885057471264</v>
      </c>
      <c r="N34" s="0" t="n">
        <f aca="false">N6/(SUM($M6:$W6))*100</f>
        <v>13.7931034482759</v>
      </c>
      <c r="O34" s="0" t="n">
        <f aca="false">O6/(SUM($M6:$W6))*100</f>
        <v>17.2413793103448</v>
      </c>
      <c r="P34" s="0" t="n">
        <f aca="false">P6/(SUM($M6:$W6))*100</f>
        <v>25.2873563218391</v>
      </c>
      <c r="Q34" s="0" t="n">
        <f aca="false">Q6/(SUM($M6:$W6))*100</f>
        <v>18.3908045977011</v>
      </c>
      <c r="R34" s="0" t="n">
        <f aca="false">R6/(SUM($M6:$W6))*100</f>
        <v>9.19540229885057</v>
      </c>
      <c r="S34" s="0" t="n">
        <f aca="false">S6/(SUM($M6:$W6))*100</f>
        <v>4.59770114942529</v>
      </c>
      <c r="T34" s="0" t="n">
        <f aca="false">T6/(SUM($M6:$W6))*100</f>
        <v>4.59770114942529</v>
      </c>
      <c r="U34" s="0" t="n">
        <f aca="false">U6/(SUM($M6:$W6))*100</f>
        <v>2.29885057471264</v>
      </c>
      <c r="V34" s="0" t="n">
        <f aca="false">V6/(SUM($M6:$W6))*100</f>
        <v>2.29885057471264</v>
      </c>
      <c r="W34" s="0" t="n">
        <f aca="false">W6/(SUM($M6:$W6))*100</f>
        <v>0</v>
      </c>
      <c r="X34" s="0" t="n">
        <f aca="false">SUM(M34:W34)</f>
        <v>100</v>
      </c>
    </row>
    <row r="35" customFormat="false" ht="15.8" hidden="false" customHeight="false" outlineLevel="0" collapsed="false">
      <c r="A35" s="1" t="n">
        <v>34</v>
      </c>
      <c r="B35" s="1" t="n">
        <v>33.1</v>
      </c>
      <c r="C35" s="1" t="n">
        <v>-43</v>
      </c>
      <c r="D35" s="1" t="n">
        <v>-26.6</v>
      </c>
      <c r="E35" s="2" t="n">
        <v>2.1</v>
      </c>
      <c r="F35" s="2" t="n">
        <v>35</v>
      </c>
      <c r="G35" s="2" t="n">
        <v>31.4</v>
      </c>
      <c r="H35" s="2" t="n">
        <v>-44.3</v>
      </c>
      <c r="I35" s="2" t="n">
        <v>-26.6</v>
      </c>
      <c r="J35" s="2" t="n">
        <v>18.18542273</v>
      </c>
      <c r="L35" s="3" t="n">
        <v>30</v>
      </c>
      <c r="M35" s="0" t="n">
        <f aca="false">M7/(SUM($M7:$W7))*100</f>
        <v>0</v>
      </c>
      <c r="N35" s="0" t="n">
        <f aca="false">N7/(SUM($M7:$W7))*100</f>
        <v>0</v>
      </c>
      <c r="O35" s="0" t="n">
        <f aca="false">O7/(SUM($M7:$W7))*100</f>
        <v>11.7647058823529</v>
      </c>
      <c r="P35" s="0" t="n">
        <f aca="false">P7/(SUM($M7:$W7))*100</f>
        <v>29.4117647058824</v>
      </c>
      <c r="Q35" s="0" t="n">
        <f aca="false">Q7/(SUM($M7:$W7))*100</f>
        <v>23.5294117647059</v>
      </c>
      <c r="R35" s="0" t="n">
        <f aca="false">R7/(SUM($M7:$W7))*100</f>
        <v>17.6470588235294</v>
      </c>
      <c r="S35" s="0" t="n">
        <f aca="false">S7/(SUM($M7:$W7))*100</f>
        <v>5.88235294117647</v>
      </c>
      <c r="T35" s="0" t="n">
        <f aca="false">T7/(SUM($M7:$W7))*100</f>
        <v>8.82352941176471</v>
      </c>
      <c r="U35" s="0" t="n">
        <f aca="false">U7/(SUM($M7:$W7))*100</f>
        <v>2.94117647058823</v>
      </c>
      <c r="V35" s="0" t="n">
        <f aca="false">V7/(SUM($M7:$W7))*100</f>
        <v>0</v>
      </c>
      <c r="W35" s="0" t="n">
        <f aca="false">W7/(SUM($M7:$W7))*100</f>
        <v>0</v>
      </c>
      <c r="X35" s="0" t="n">
        <f aca="false">SUM(M35:W35)</f>
        <v>100</v>
      </c>
    </row>
    <row r="36" customFormat="false" ht="15.8" hidden="false" customHeight="false" outlineLevel="0" collapsed="false">
      <c r="A36" s="1" t="n">
        <v>35</v>
      </c>
      <c r="B36" s="1" t="n">
        <v>31.4</v>
      </c>
      <c r="C36" s="1" t="n">
        <v>-44.3</v>
      </c>
      <c r="D36" s="1" t="n">
        <v>-26.6</v>
      </c>
      <c r="E36" s="2" t="n">
        <v>0.9</v>
      </c>
      <c r="F36" s="2" t="n">
        <v>430</v>
      </c>
      <c r="G36" s="2" t="n">
        <v>31.6</v>
      </c>
      <c r="H36" s="2" t="n">
        <v>-44.8</v>
      </c>
      <c r="I36" s="2" t="n">
        <v>-27.4</v>
      </c>
      <c r="J36" s="2" t="n">
        <v>18.9512427</v>
      </c>
      <c r="L36" s="3" t="n">
        <v>35</v>
      </c>
      <c r="M36" s="0" t="n">
        <f aca="false">M8/(SUM($M8:$W8))*100</f>
        <v>0</v>
      </c>
      <c r="N36" s="0" t="n">
        <f aca="false">N8/(SUM($M8:$W8))*100</f>
        <v>0</v>
      </c>
      <c r="O36" s="0" t="n">
        <f aca="false">O8/(SUM($M8:$W8))*100</f>
        <v>0</v>
      </c>
      <c r="P36" s="0" t="n">
        <f aca="false">P8/(SUM($M8:$W8))*100</f>
        <v>25</v>
      </c>
      <c r="Q36" s="0" t="n">
        <f aca="false">Q8/(SUM($M8:$W8))*100</f>
        <v>0</v>
      </c>
      <c r="R36" s="0" t="n">
        <f aca="false">R8/(SUM($M8:$W8))*100</f>
        <v>37.5</v>
      </c>
      <c r="S36" s="0" t="n">
        <f aca="false">S8/(SUM($M8:$W8))*100</f>
        <v>0</v>
      </c>
      <c r="T36" s="0" t="n">
        <f aca="false">T8/(SUM($M8:$W8))*100</f>
        <v>25</v>
      </c>
      <c r="U36" s="0" t="n">
        <f aca="false">U8/(SUM($M8:$W8))*100</f>
        <v>0</v>
      </c>
      <c r="V36" s="0" t="n">
        <f aca="false">V8/(SUM($M8:$W8))*100</f>
        <v>0</v>
      </c>
      <c r="W36" s="0" t="n">
        <f aca="false">W8/(SUM($M8:$W8))*100</f>
        <v>12.5</v>
      </c>
      <c r="X36" s="0" t="n">
        <f aca="false">SUM(M36:W36)</f>
        <v>100</v>
      </c>
    </row>
    <row r="37" customFormat="false" ht="15.8" hidden="false" customHeight="false" outlineLevel="0" collapsed="false">
      <c r="A37" s="1" t="n">
        <v>36</v>
      </c>
      <c r="B37" s="1" t="n">
        <v>41.9</v>
      </c>
      <c r="C37" s="1" t="n">
        <v>-42.3</v>
      </c>
      <c r="D37" s="1" t="n">
        <v>-28.1</v>
      </c>
      <c r="E37" s="2" t="n">
        <v>3</v>
      </c>
      <c r="F37" s="2" t="n">
        <v>441</v>
      </c>
      <c r="G37" s="2" t="n">
        <v>41.6</v>
      </c>
      <c r="H37" s="2" t="n">
        <v>-42.7</v>
      </c>
      <c r="I37" s="2" t="n">
        <v>-25.2</v>
      </c>
      <c r="J37" s="2" t="n">
        <v>12.79490524</v>
      </c>
      <c r="L37" s="3" t="n">
        <v>40</v>
      </c>
      <c r="M37" s="0" t="n">
        <f aca="false">M9/(SUM($M9:$W9))*100</f>
        <v>0</v>
      </c>
      <c r="N37" s="0" t="n">
        <f aca="false">N9/(SUM($M9:$W9))*100</f>
        <v>0</v>
      </c>
      <c r="O37" s="0" t="n">
        <f aca="false">O9/(SUM($M9:$W9))*100</f>
        <v>0</v>
      </c>
      <c r="P37" s="0" t="n">
        <f aca="false">P9/(SUM($M9:$W9))*100</f>
        <v>0</v>
      </c>
      <c r="Q37" s="0" t="n">
        <f aca="false">Q9/(SUM($M9:$W9))*100</f>
        <v>0</v>
      </c>
      <c r="R37" s="0" t="n">
        <f aca="false">R9/(SUM($M9:$W9))*100</f>
        <v>0</v>
      </c>
      <c r="S37" s="0" t="n">
        <f aca="false">S9/(SUM($M9:$W9))*100</f>
        <v>0</v>
      </c>
      <c r="T37" s="0" t="n">
        <f aca="false">T9/(SUM($M9:$W9))*100</f>
        <v>100</v>
      </c>
      <c r="U37" s="0" t="n">
        <f aca="false">U9/(SUM($M9:$W9))*100</f>
        <v>0</v>
      </c>
      <c r="V37" s="0" t="n">
        <f aca="false">V9/(SUM($M9:$W9))*100</f>
        <v>0</v>
      </c>
      <c r="W37" s="0" t="n">
        <f aca="false">W9/(SUM($M9:$W9))*100</f>
        <v>0</v>
      </c>
      <c r="X37" s="0" t="n">
        <f aca="false">SUM(M37:W37)</f>
        <v>100</v>
      </c>
    </row>
    <row r="38" customFormat="false" ht="15.8" hidden="false" customHeight="false" outlineLevel="0" collapsed="false">
      <c r="A38" s="1" t="n">
        <v>37</v>
      </c>
      <c r="B38" s="1" t="n">
        <v>43.6</v>
      </c>
      <c r="C38" s="1" t="n">
        <v>-42.5</v>
      </c>
      <c r="D38" s="1" t="n">
        <v>-30.7</v>
      </c>
      <c r="E38" s="2" t="n">
        <v>2.9</v>
      </c>
      <c r="F38" s="2" t="n">
        <v>39</v>
      </c>
      <c r="G38" s="2" t="n">
        <v>43.8</v>
      </c>
      <c r="H38" s="2" t="n">
        <v>-40.7</v>
      </c>
      <c r="I38" s="2" t="n">
        <v>-32.9</v>
      </c>
      <c r="J38" s="2" t="n">
        <v>12.57313008</v>
      </c>
      <c r="L38" s="3" t="n">
        <v>45</v>
      </c>
      <c r="M38" s="0" t="e">
        <f aca="false">M10/(SUM($M10:$W10))*100</f>
        <v>#DIV/0!</v>
      </c>
      <c r="N38" s="0" t="e">
        <f aca="false">N10/(SUM($M10:$W10))*100</f>
        <v>#DIV/0!</v>
      </c>
      <c r="O38" s="0" t="e">
        <f aca="false">O10/(SUM($M10:$W10))*100</f>
        <v>#DIV/0!</v>
      </c>
      <c r="P38" s="0" t="e">
        <f aca="false">P10/(SUM($M10:$W10))*100</f>
        <v>#DIV/0!</v>
      </c>
      <c r="Q38" s="0" t="e">
        <f aca="false">Q10/(SUM($M10:$W10))*100</f>
        <v>#DIV/0!</v>
      </c>
      <c r="R38" s="0" t="e">
        <f aca="false">R10/(SUM($M10:$W10))*100</f>
        <v>#DIV/0!</v>
      </c>
      <c r="S38" s="0" t="e">
        <f aca="false">S10/(SUM($M10:$W10))*100</f>
        <v>#DIV/0!</v>
      </c>
      <c r="T38" s="0" t="e">
        <f aca="false">T10/(SUM($M10:$W10))*100</f>
        <v>#DIV/0!</v>
      </c>
      <c r="U38" s="0" t="e">
        <f aca="false">U10/(SUM($M10:$W10))*100</f>
        <v>#DIV/0!</v>
      </c>
      <c r="V38" s="0" t="e">
        <f aca="false">V10/(SUM($M10:$W10))*100</f>
        <v>#DIV/0!</v>
      </c>
      <c r="W38" s="0" t="e">
        <f aca="false">W10/(SUM($M10:$W10))*100</f>
        <v>#DIV/0!</v>
      </c>
      <c r="X38" s="0" t="e">
        <f aca="false">SUM(M38:W38)</f>
        <v>#DIV/0!</v>
      </c>
    </row>
    <row r="39" customFormat="false" ht="15.8" hidden="false" customHeight="false" outlineLevel="0" collapsed="false">
      <c r="A39" s="1" t="n">
        <v>38</v>
      </c>
      <c r="B39" s="1" t="n">
        <v>37</v>
      </c>
      <c r="C39" s="1" t="n">
        <v>-40.4</v>
      </c>
      <c r="D39" s="1" t="n">
        <v>-31.4</v>
      </c>
      <c r="E39" s="2" t="n">
        <v>1.5</v>
      </c>
      <c r="F39" s="2" t="n">
        <v>31</v>
      </c>
      <c r="G39" s="2" t="n">
        <v>37.3</v>
      </c>
      <c r="H39" s="2" t="n">
        <v>-40.2</v>
      </c>
      <c r="I39" s="2" t="n">
        <v>-30</v>
      </c>
      <c r="J39" s="2" t="n">
        <v>17.80706601</v>
      </c>
      <c r="L39" s="3" t="n">
        <v>50</v>
      </c>
      <c r="M39" s="0" t="e">
        <f aca="false">M11/(SUM($M11:$W11))*100</f>
        <v>#DIV/0!</v>
      </c>
      <c r="N39" s="0" t="e">
        <f aca="false">N11/(SUM($M11:$W11))*100</f>
        <v>#DIV/0!</v>
      </c>
      <c r="O39" s="0" t="e">
        <f aca="false">O11/(SUM($M11:$W11))*100</f>
        <v>#DIV/0!</v>
      </c>
      <c r="P39" s="0" t="e">
        <f aca="false">P11/(SUM($M11:$W11))*100</f>
        <v>#DIV/0!</v>
      </c>
      <c r="Q39" s="0" t="e">
        <f aca="false">Q11/(SUM($M11:$W11))*100</f>
        <v>#DIV/0!</v>
      </c>
      <c r="R39" s="0" t="e">
        <f aca="false">R11/(SUM($M11:$W11))*100</f>
        <v>#DIV/0!</v>
      </c>
      <c r="S39" s="0" t="e">
        <f aca="false">S11/(SUM($M11:$W11))*100</f>
        <v>#DIV/0!</v>
      </c>
      <c r="T39" s="0" t="e">
        <f aca="false">T11/(SUM($M11:$W11))*100</f>
        <v>#DIV/0!</v>
      </c>
      <c r="U39" s="0" t="e">
        <f aca="false">U11/(SUM($M11:$W11))*100</f>
        <v>#DIV/0!</v>
      </c>
      <c r="V39" s="0" t="e">
        <f aca="false">V11/(SUM($M11:$W11))*100</f>
        <v>#DIV/0!</v>
      </c>
      <c r="W39" s="0" t="e">
        <f aca="false">W11/(SUM($M11:$W11))*100</f>
        <v>#DIV/0!</v>
      </c>
      <c r="X39" s="0" t="e">
        <f aca="false">SUM(M39:W39)</f>
        <v>#DIV/0!</v>
      </c>
    </row>
    <row r="40" customFormat="false" ht="15.8" hidden="false" customHeight="false" outlineLevel="0" collapsed="false">
      <c r="A40" s="1" t="n">
        <v>39</v>
      </c>
      <c r="B40" s="1" t="n">
        <v>43.8</v>
      </c>
      <c r="C40" s="1" t="n">
        <v>-40.7</v>
      </c>
      <c r="D40" s="1" t="n">
        <v>-32.9</v>
      </c>
      <c r="E40" s="2" t="n">
        <v>0.9</v>
      </c>
      <c r="F40" s="2" t="n">
        <v>40</v>
      </c>
      <c r="G40" s="2" t="n">
        <v>44.1</v>
      </c>
      <c r="H40" s="2" t="n">
        <v>-39.9</v>
      </c>
      <c r="I40" s="2" t="n">
        <v>-32.6</v>
      </c>
      <c r="J40" s="2" t="n">
        <v>14.94695956</v>
      </c>
      <c r="L40" s="3" t="n">
        <v>55</v>
      </c>
      <c r="M40" s="0" t="e">
        <f aca="false">M12/(SUM($M12:$W12))*100</f>
        <v>#DIV/0!</v>
      </c>
      <c r="N40" s="0" t="e">
        <f aca="false">N12/(SUM($M12:$W12))*100</f>
        <v>#DIV/0!</v>
      </c>
      <c r="O40" s="0" t="e">
        <f aca="false">O12/(SUM($M12:$W12))*100</f>
        <v>#DIV/0!</v>
      </c>
      <c r="P40" s="0" t="e">
        <f aca="false">P12/(SUM($M12:$W12))*100</f>
        <v>#DIV/0!</v>
      </c>
      <c r="Q40" s="0" t="e">
        <f aca="false">Q12/(SUM($M12:$W12))*100</f>
        <v>#DIV/0!</v>
      </c>
      <c r="R40" s="0" t="e">
        <f aca="false">R12/(SUM($M12:$W12))*100</f>
        <v>#DIV/0!</v>
      </c>
      <c r="S40" s="0" t="e">
        <f aca="false">S12/(SUM($M12:$W12))*100</f>
        <v>#DIV/0!</v>
      </c>
      <c r="T40" s="0" t="e">
        <f aca="false">T12/(SUM($M12:$W12))*100</f>
        <v>#DIV/0!</v>
      </c>
      <c r="U40" s="0" t="e">
        <f aca="false">U12/(SUM($M12:$W12))*100</f>
        <v>#DIV/0!</v>
      </c>
      <c r="V40" s="0" t="e">
        <f aca="false">V12/(SUM($M12:$W12))*100</f>
        <v>#DIV/0!</v>
      </c>
      <c r="W40" s="0" t="e">
        <f aca="false">W12/(SUM($M12:$W12))*100</f>
        <v>#DIV/0!</v>
      </c>
      <c r="X40" s="0" t="e">
        <f aca="false">SUM(M40:W40)</f>
        <v>#DIV/0!</v>
      </c>
    </row>
    <row r="41" customFormat="false" ht="15.8" hidden="false" customHeight="false" outlineLevel="0" collapsed="false">
      <c r="A41" s="1" t="n">
        <v>40</v>
      </c>
      <c r="B41" s="1" t="n">
        <v>44.1</v>
      </c>
      <c r="C41" s="1" t="n">
        <v>-39.9</v>
      </c>
      <c r="D41" s="1" t="n">
        <v>-32.6</v>
      </c>
      <c r="E41" s="2" t="n">
        <v>0.9</v>
      </c>
      <c r="F41" s="2" t="n">
        <v>39</v>
      </c>
      <c r="G41" s="2" t="n">
        <v>43.8</v>
      </c>
      <c r="H41" s="2" t="n">
        <v>-40.7</v>
      </c>
      <c r="I41" s="2" t="n">
        <v>-32.9</v>
      </c>
      <c r="J41" s="2" t="n">
        <v>15.42438329</v>
      </c>
      <c r="L41" s="3" t="n">
        <v>60</v>
      </c>
      <c r="M41" s="0" t="e">
        <f aca="false">M13/(SUM($M13:$W13))*100</f>
        <v>#DIV/0!</v>
      </c>
      <c r="N41" s="0" t="e">
        <f aca="false">N13/(SUM($M13:$W13))*100</f>
        <v>#DIV/0!</v>
      </c>
      <c r="O41" s="0" t="e">
        <f aca="false">O13/(SUM($M13:$W13))*100</f>
        <v>#DIV/0!</v>
      </c>
      <c r="P41" s="0" t="e">
        <f aca="false">P13/(SUM($M13:$W13))*100</f>
        <v>#DIV/0!</v>
      </c>
      <c r="Q41" s="0" t="e">
        <f aca="false">Q13/(SUM($M13:$W13))*100</f>
        <v>#DIV/0!</v>
      </c>
      <c r="R41" s="0" t="e">
        <f aca="false">R13/(SUM($M13:$W13))*100</f>
        <v>#DIV/0!</v>
      </c>
      <c r="S41" s="0" t="e">
        <f aca="false">S13/(SUM($M13:$W13))*100</f>
        <v>#DIV/0!</v>
      </c>
      <c r="T41" s="0" t="e">
        <f aca="false">T13/(SUM($M13:$W13))*100</f>
        <v>#DIV/0!</v>
      </c>
      <c r="U41" s="0" t="e">
        <f aca="false">U13/(SUM($M13:$W13))*100</f>
        <v>#DIV/0!</v>
      </c>
      <c r="V41" s="0" t="e">
        <f aca="false">V13/(SUM($M13:$W13))*100</f>
        <v>#DIV/0!</v>
      </c>
      <c r="W41" s="0" t="e">
        <f aca="false">W13/(SUM($M13:$W13))*100</f>
        <v>#DIV/0!</v>
      </c>
      <c r="X41" s="0" t="e">
        <f aca="false">SUM(M41:W41)</f>
        <v>#DIV/0!</v>
      </c>
    </row>
    <row r="42" customFormat="false" ht="15.8" hidden="false" customHeight="false" outlineLevel="0" collapsed="false">
      <c r="A42" s="1" t="n">
        <v>41</v>
      </c>
      <c r="B42" s="1" t="n">
        <v>42.2</v>
      </c>
      <c r="C42" s="1" t="n">
        <v>-39.8</v>
      </c>
      <c r="D42" s="1" t="n">
        <v>-34.8</v>
      </c>
      <c r="E42" s="2" t="n">
        <v>2</v>
      </c>
      <c r="F42" s="2" t="n">
        <v>42</v>
      </c>
      <c r="G42" s="2" t="n">
        <v>41.5</v>
      </c>
      <c r="H42" s="2" t="n">
        <v>-38</v>
      </c>
      <c r="I42" s="2" t="n">
        <v>-34</v>
      </c>
      <c r="J42" s="2" t="n">
        <v>17.09630369</v>
      </c>
    </row>
    <row r="43" customFormat="false" ht="15.8" hidden="false" customHeight="false" outlineLevel="0" collapsed="false">
      <c r="A43" s="1" t="n">
        <v>42</v>
      </c>
      <c r="B43" s="1" t="n">
        <v>41.5</v>
      </c>
      <c r="C43" s="1" t="n">
        <v>-38</v>
      </c>
      <c r="D43" s="1" t="n">
        <v>-34</v>
      </c>
      <c r="E43" s="2" t="n">
        <v>2</v>
      </c>
      <c r="F43" s="2" t="n">
        <v>41</v>
      </c>
      <c r="G43" s="2" t="n">
        <v>42.2</v>
      </c>
      <c r="H43" s="2" t="n">
        <v>-39.8</v>
      </c>
      <c r="I43" s="2" t="n">
        <v>-34.8</v>
      </c>
      <c r="J43" s="2" t="n">
        <v>18.43511866</v>
      </c>
    </row>
    <row r="44" customFormat="false" ht="15.8" hidden="false" customHeight="false" outlineLevel="0" collapsed="false">
      <c r="A44" s="1" t="n">
        <v>43</v>
      </c>
      <c r="B44" s="1" t="n">
        <v>62.1</v>
      </c>
      <c r="C44" s="1" t="n">
        <v>-40.4</v>
      </c>
      <c r="D44" s="1" t="n">
        <v>-31.8</v>
      </c>
      <c r="E44" s="2" t="n">
        <v>2.3</v>
      </c>
      <c r="F44" s="2" t="n">
        <v>68</v>
      </c>
      <c r="G44" s="2" t="n">
        <v>64.5</v>
      </c>
      <c r="H44" s="2" t="n">
        <v>-40.4</v>
      </c>
      <c r="I44" s="2" t="n">
        <v>-31.8</v>
      </c>
      <c r="J44" s="2" t="n">
        <v>19.93061966</v>
      </c>
    </row>
    <row r="45" customFormat="false" ht="15.8" hidden="false" customHeight="false" outlineLevel="0" collapsed="false">
      <c r="A45" s="1" t="n">
        <v>44</v>
      </c>
      <c r="B45" s="1" t="n">
        <v>62.4</v>
      </c>
      <c r="C45" s="1" t="n">
        <v>-37.7</v>
      </c>
      <c r="D45" s="1" t="n">
        <v>-30.7</v>
      </c>
      <c r="E45" s="2" t="n">
        <v>2.4</v>
      </c>
      <c r="F45" s="2" t="n">
        <v>46</v>
      </c>
      <c r="G45" s="2" t="n">
        <v>60.6</v>
      </c>
      <c r="H45" s="2" t="n">
        <v>-37.2</v>
      </c>
      <c r="I45" s="2" t="n">
        <v>-29.2</v>
      </c>
      <c r="J45" s="2" t="n">
        <v>21.72269781</v>
      </c>
    </row>
    <row r="46" customFormat="false" ht="15.8" hidden="false" customHeight="false" outlineLevel="0" collapsed="false">
      <c r="A46" s="1" t="n">
        <v>45</v>
      </c>
      <c r="B46" s="1" t="n">
        <v>63.9</v>
      </c>
      <c r="C46" s="1" t="n">
        <v>-35.6</v>
      </c>
      <c r="D46" s="1" t="n">
        <v>-30.7</v>
      </c>
      <c r="E46" s="2" t="n">
        <v>2.5</v>
      </c>
      <c r="F46" s="2" t="n">
        <v>49</v>
      </c>
      <c r="G46" s="2" t="n">
        <v>64.9</v>
      </c>
      <c r="H46" s="2" t="n">
        <v>-35.6</v>
      </c>
      <c r="I46" s="2" t="n">
        <v>-28.5</v>
      </c>
      <c r="J46" s="2" t="n">
        <v>24.23608054</v>
      </c>
    </row>
    <row r="47" customFormat="false" ht="15.8" hidden="false" customHeight="false" outlineLevel="0" collapsed="false">
      <c r="A47" s="1" t="n">
        <v>46</v>
      </c>
      <c r="B47" s="1" t="n">
        <v>60.6</v>
      </c>
      <c r="C47" s="1" t="n">
        <v>-37.2</v>
      </c>
      <c r="D47" s="1" t="n">
        <v>-29.2</v>
      </c>
      <c r="E47" s="2" t="n">
        <v>2.4</v>
      </c>
      <c r="F47" s="2" t="n">
        <v>44</v>
      </c>
      <c r="G47" s="2" t="n">
        <v>62.4</v>
      </c>
      <c r="H47" s="2" t="n">
        <v>-37.7</v>
      </c>
      <c r="I47" s="2" t="n">
        <v>-30.7</v>
      </c>
      <c r="J47" s="2" t="n">
        <v>20.68863456</v>
      </c>
    </row>
    <row r="48" customFormat="false" ht="15.8" hidden="false" customHeight="false" outlineLevel="0" collapsed="false">
      <c r="A48" s="1" t="n">
        <v>47</v>
      </c>
      <c r="B48" s="1" t="n">
        <v>57.6</v>
      </c>
      <c r="C48" s="1" t="n">
        <v>-38.1</v>
      </c>
      <c r="D48" s="1" t="n">
        <v>-30.3</v>
      </c>
      <c r="E48" s="2" t="n">
        <v>2.3</v>
      </c>
      <c r="F48" s="2" t="n">
        <v>23</v>
      </c>
      <c r="G48" s="2" t="n">
        <v>57.1</v>
      </c>
      <c r="H48" s="2" t="n">
        <v>-36.1</v>
      </c>
      <c r="I48" s="2" t="n">
        <v>-31.4</v>
      </c>
      <c r="J48" s="2" t="n">
        <v>18.47256344</v>
      </c>
    </row>
    <row r="49" customFormat="false" ht="15.8" hidden="false" customHeight="false" outlineLevel="0" collapsed="false">
      <c r="A49" s="1" t="n">
        <v>48</v>
      </c>
      <c r="B49" s="1" t="n">
        <v>64.2</v>
      </c>
      <c r="C49" s="1" t="n">
        <v>-36.5</v>
      </c>
      <c r="D49" s="1" t="n">
        <v>-27</v>
      </c>
      <c r="E49" s="2" t="n">
        <v>1.9</v>
      </c>
      <c r="F49" s="2" t="n">
        <v>49</v>
      </c>
      <c r="G49" s="2" t="n">
        <v>64.9</v>
      </c>
      <c r="H49" s="2" t="n">
        <v>-35.6</v>
      </c>
      <c r="I49" s="2" t="n">
        <v>-28.5</v>
      </c>
      <c r="J49" s="2" t="n">
        <v>23.36830332</v>
      </c>
    </row>
    <row r="50" customFormat="false" ht="15.8" hidden="false" customHeight="false" outlineLevel="0" collapsed="false">
      <c r="A50" s="1" t="n">
        <v>49</v>
      </c>
      <c r="B50" s="1" t="n">
        <v>64.9</v>
      </c>
      <c r="C50" s="1" t="n">
        <v>-35.6</v>
      </c>
      <c r="D50" s="1" t="n">
        <v>-28.5</v>
      </c>
      <c r="E50" s="2" t="n">
        <v>1.9</v>
      </c>
      <c r="F50" s="2" t="n">
        <v>48</v>
      </c>
      <c r="G50" s="2" t="n">
        <v>64.2</v>
      </c>
      <c r="H50" s="2" t="n">
        <v>-36.5</v>
      </c>
      <c r="I50" s="2" t="n">
        <v>-27</v>
      </c>
      <c r="J50" s="2" t="n">
        <v>24.59795926</v>
      </c>
    </row>
    <row r="51" customFormat="false" ht="15.8" hidden="false" customHeight="false" outlineLevel="0" collapsed="false">
      <c r="A51" s="1" t="n">
        <v>50</v>
      </c>
      <c r="B51" s="1" t="n">
        <v>40.7</v>
      </c>
      <c r="C51" s="1" t="n">
        <v>-39.7</v>
      </c>
      <c r="D51" s="1" t="n">
        <v>-19.6</v>
      </c>
      <c r="E51" s="2" t="n">
        <v>3.1</v>
      </c>
      <c r="F51" s="2" t="n">
        <v>51</v>
      </c>
      <c r="G51" s="2" t="n">
        <v>40.2</v>
      </c>
      <c r="H51" s="2" t="n">
        <v>-38.9</v>
      </c>
      <c r="I51" s="2" t="n">
        <v>-22.6</v>
      </c>
      <c r="J51" s="2" t="n">
        <v>16.84540293</v>
      </c>
    </row>
    <row r="52" customFormat="false" ht="15.8" hidden="false" customHeight="false" outlineLevel="0" collapsed="false">
      <c r="A52" s="1" t="n">
        <v>51</v>
      </c>
      <c r="B52" s="1" t="n">
        <v>40.2</v>
      </c>
      <c r="C52" s="1" t="n">
        <v>-38.9</v>
      </c>
      <c r="D52" s="1" t="n">
        <v>-22.6</v>
      </c>
      <c r="E52" s="2" t="n">
        <v>3.1</v>
      </c>
      <c r="F52" s="2" t="n">
        <v>50</v>
      </c>
      <c r="G52" s="2" t="n">
        <v>40.7</v>
      </c>
      <c r="H52" s="2" t="n">
        <v>-39.7</v>
      </c>
      <c r="I52" s="2" t="n">
        <v>-19.6</v>
      </c>
      <c r="J52" s="2" t="n">
        <v>16.83370429</v>
      </c>
    </row>
    <row r="53" customFormat="false" ht="15.8" hidden="false" customHeight="false" outlineLevel="0" collapsed="false">
      <c r="A53" s="1" t="n">
        <v>52</v>
      </c>
      <c r="B53" s="1" t="n">
        <v>46</v>
      </c>
      <c r="C53" s="1" t="n">
        <v>-39.1</v>
      </c>
      <c r="D53" s="1" t="n">
        <v>-23.7</v>
      </c>
      <c r="E53" s="2" t="n">
        <v>2.1</v>
      </c>
      <c r="F53" s="2" t="n">
        <v>53</v>
      </c>
      <c r="G53" s="2" t="n">
        <v>44.5</v>
      </c>
      <c r="H53" s="2" t="n">
        <v>-37.7</v>
      </c>
      <c r="I53" s="2" t="n">
        <v>-23.7</v>
      </c>
      <c r="J53" s="2" t="n">
        <v>14.61709958</v>
      </c>
    </row>
    <row r="54" customFormat="false" ht="15.8" hidden="false" customHeight="false" outlineLevel="0" collapsed="false">
      <c r="A54" s="1" t="n">
        <v>53</v>
      </c>
      <c r="B54" s="1" t="n">
        <v>44.5</v>
      </c>
      <c r="C54" s="1" t="n">
        <v>-37.7</v>
      </c>
      <c r="D54" s="1" t="n">
        <v>-23.7</v>
      </c>
      <c r="E54" s="2" t="n">
        <v>2.1</v>
      </c>
      <c r="F54" s="2" t="n">
        <v>52</v>
      </c>
      <c r="G54" s="2" t="n">
        <v>46</v>
      </c>
      <c r="H54" s="2" t="n">
        <v>-39.1</v>
      </c>
      <c r="I54" s="2" t="n">
        <v>-23.7</v>
      </c>
      <c r="J54" s="2" t="n">
        <v>16.24554093</v>
      </c>
    </row>
    <row r="55" customFormat="false" ht="15.8" hidden="false" customHeight="false" outlineLevel="0" collapsed="false">
      <c r="A55" s="1" t="n">
        <v>54</v>
      </c>
      <c r="B55" s="1" t="n">
        <v>48.7</v>
      </c>
      <c r="C55" s="1" t="n">
        <v>-36.8</v>
      </c>
      <c r="D55" s="1" t="n">
        <v>-22.6</v>
      </c>
      <c r="E55" s="2" t="n">
        <v>3.7</v>
      </c>
      <c r="F55" s="2" t="n">
        <v>52</v>
      </c>
      <c r="G55" s="2" t="n">
        <v>46</v>
      </c>
      <c r="H55" s="2" t="n">
        <v>-39.1</v>
      </c>
      <c r="I55" s="2" t="n">
        <v>-23.7</v>
      </c>
      <c r="J55" s="2" t="n">
        <v>16.95540032</v>
      </c>
    </row>
    <row r="56" customFormat="false" ht="15.8" hidden="false" customHeight="false" outlineLevel="0" collapsed="false">
      <c r="A56" s="1" t="n">
        <v>55</v>
      </c>
      <c r="B56" s="1" t="n">
        <v>54.1</v>
      </c>
      <c r="C56" s="1" t="n">
        <v>-36.5</v>
      </c>
      <c r="D56" s="1" t="n">
        <v>-27.4</v>
      </c>
      <c r="E56" s="2" t="n">
        <v>2.7</v>
      </c>
      <c r="F56" s="2" t="n">
        <v>64</v>
      </c>
      <c r="G56" s="2" t="n">
        <v>56.6</v>
      </c>
      <c r="H56" s="2" t="n">
        <v>-37.2</v>
      </c>
      <c r="I56" s="2" t="n">
        <v>-28.1</v>
      </c>
      <c r="J56" s="2" t="n">
        <v>17.95749426</v>
      </c>
    </row>
    <row r="57" customFormat="false" ht="15.8" hidden="false" customHeight="false" outlineLevel="0" collapsed="false">
      <c r="A57" s="1" t="n">
        <v>56</v>
      </c>
      <c r="B57" s="1" t="n">
        <v>62.9</v>
      </c>
      <c r="C57" s="1" t="n">
        <v>-32.3</v>
      </c>
      <c r="D57" s="1" t="n">
        <v>-38.1</v>
      </c>
      <c r="E57" s="2" t="n">
        <v>2.7</v>
      </c>
      <c r="F57" s="2" t="n">
        <v>57</v>
      </c>
      <c r="G57" s="2" t="n">
        <v>65</v>
      </c>
      <c r="H57" s="2" t="n">
        <v>-31.5</v>
      </c>
      <c r="I57" s="2" t="n">
        <v>-39.6</v>
      </c>
      <c r="J57" s="2" t="n">
        <v>28.39770413</v>
      </c>
    </row>
    <row r="58" customFormat="false" ht="15.8" hidden="false" customHeight="false" outlineLevel="0" collapsed="false">
      <c r="A58" s="1" t="n">
        <v>57</v>
      </c>
      <c r="B58" s="1" t="n">
        <v>65</v>
      </c>
      <c r="C58" s="1" t="n">
        <v>-31.5</v>
      </c>
      <c r="D58" s="1" t="n">
        <v>-39.6</v>
      </c>
      <c r="E58" s="2" t="n">
        <v>2.7</v>
      </c>
      <c r="F58" s="2" t="n">
        <v>56</v>
      </c>
      <c r="G58" s="2" t="n">
        <v>62.9</v>
      </c>
      <c r="H58" s="2" t="n">
        <v>-32.3</v>
      </c>
      <c r="I58" s="2" t="n">
        <v>-38.1</v>
      </c>
      <c r="J58" s="2" t="n">
        <v>30.75057073</v>
      </c>
    </row>
    <row r="59" customFormat="false" ht="15.8" hidden="false" customHeight="false" outlineLevel="0" collapsed="false">
      <c r="A59" s="1" t="n">
        <v>58</v>
      </c>
      <c r="B59" s="1" t="n">
        <v>52.3</v>
      </c>
      <c r="C59" s="1" t="n">
        <v>-38.7</v>
      </c>
      <c r="D59" s="1" t="n">
        <v>-38.8</v>
      </c>
      <c r="E59" s="2" t="n">
        <v>3.5</v>
      </c>
      <c r="F59" s="2" t="n">
        <v>100</v>
      </c>
      <c r="G59" s="2" t="n">
        <v>50</v>
      </c>
      <c r="H59" s="2" t="n">
        <v>-40.5</v>
      </c>
      <c r="I59" s="2" t="n">
        <v>-37</v>
      </c>
      <c r="J59" s="2" t="n">
        <v>19.80726129</v>
      </c>
    </row>
    <row r="60" customFormat="false" ht="15.8" hidden="false" customHeight="false" outlineLevel="0" collapsed="false">
      <c r="A60" s="1" t="n">
        <v>59</v>
      </c>
      <c r="B60" s="1" t="n">
        <v>58</v>
      </c>
      <c r="C60" s="1" t="n">
        <v>-39.1</v>
      </c>
      <c r="D60" s="1" t="n">
        <v>-41.1</v>
      </c>
      <c r="E60" s="2" t="n">
        <v>1.9</v>
      </c>
      <c r="F60" s="2" t="n">
        <v>60</v>
      </c>
      <c r="G60" s="2" t="n">
        <v>56.2</v>
      </c>
      <c r="H60" s="2" t="n">
        <v>-39.6</v>
      </c>
      <c r="I60" s="2" t="n">
        <v>-41.4</v>
      </c>
      <c r="J60" s="2" t="n">
        <v>22.91627369</v>
      </c>
    </row>
    <row r="61" customFormat="false" ht="15.8" hidden="false" customHeight="false" outlineLevel="0" collapsed="false">
      <c r="A61" s="1" t="n">
        <v>60</v>
      </c>
      <c r="B61" s="1" t="n">
        <v>56.2</v>
      </c>
      <c r="C61" s="1" t="n">
        <v>-39.6</v>
      </c>
      <c r="D61" s="1" t="n">
        <v>-41.4</v>
      </c>
      <c r="E61" s="2" t="n">
        <v>1.9</v>
      </c>
      <c r="F61" s="2" t="n">
        <v>59</v>
      </c>
      <c r="G61" s="2" t="n">
        <v>58</v>
      </c>
      <c r="H61" s="2" t="n">
        <v>-39.1</v>
      </c>
      <c r="I61" s="2" t="n">
        <v>-41.1</v>
      </c>
      <c r="J61" s="2" t="n">
        <v>22.08102353</v>
      </c>
    </row>
    <row r="62" customFormat="false" ht="15.8" hidden="false" customHeight="false" outlineLevel="0" collapsed="false">
      <c r="A62" s="1" t="n">
        <v>61</v>
      </c>
      <c r="B62" s="1" t="n">
        <v>56.2</v>
      </c>
      <c r="C62" s="1" t="n">
        <v>-37.5</v>
      </c>
      <c r="D62" s="1" t="n">
        <v>-44.4</v>
      </c>
      <c r="E62" s="2" t="n">
        <v>3.6</v>
      </c>
      <c r="F62" s="2" t="n">
        <v>60</v>
      </c>
      <c r="G62" s="2" t="n">
        <v>56.2</v>
      </c>
      <c r="H62" s="2" t="n">
        <v>-39.6</v>
      </c>
      <c r="I62" s="2" t="n">
        <v>-41.4</v>
      </c>
      <c r="J62" s="2" t="n">
        <v>25.49693315</v>
      </c>
    </row>
    <row r="63" customFormat="false" ht="15.8" hidden="false" customHeight="false" outlineLevel="0" collapsed="false">
      <c r="A63" s="1" t="n">
        <v>62</v>
      </c>
      <c r="B63" s="1" t="n">
        <v>62.7</v>
      </c>
      <c r="C63" s="1" t="n">
        <v>-36.7</v>
      </c>
      <c r="D63" s="1" t="n">
        <v>-40.3</v>
      </c>
      <c r="E63" s="2" t="n">
        <v>2.8</v>
      </c>
      <c r="F63" s="2" t="n">
        <v>63</v>
      </c>
      <c r="G63" s="2" t="n">
        <v>60.5</v>
      </c>
      <c r="H63" s="2" t="n">
        <v>-35.3</v>
      </c>
      <c r="I63" s="2" t="n">
        <v>-41.1</v>
      </c>
      <c r="J63" s="2" t="n">
        <v>26.30295801</v>
      </c>
    </row>
    <row r="64" customFormat="false" ht="15.8" hidden="false" customHeight="false" outlineLevel="0" collapsed="false">
      <c r="A64" s="1" t="n">
        <v>63</v>
      </c>
      <c r="B64" s="1" t="n">
        <v>60.5</v>
      </c>
      <c r="C64" s="1" t="n">
        <v>-35.3</v>
      </c>
      <c r="D64" s="1" t="n">
        <v>-41.1</v>
      </c>
      <c r="E64" s="2" t="n">
        <v>2.8</v>
      </c>
      <c r="F64" s="2" t="n">
        <v>62</v>
      </c>
      <c r="G64" s="2" t="n">
        <v>62.7</v>
      </c>
      <c r="H64" s="2" t="n">
        <v>-36.7</v>
      </c>
      <c r="I64" s="2" t="n">
        <v>-40.3</v>
      </c>
      <c r="J64" s="2" t="n">
        <v>26.53340536</v>
      </c>
    </row>
    <row r="65" customFormat="false" ht="15.8" hidden="false" customHeight="false" outlineLevel="0" collapsed="false">
      <c r="A65" s="1" t="n">
        <v>64</v>
      </c>
      <c r="B65" s="1" t="n">
        <v>56.6</v>
      </c>
      <c r="C65" s="1" t="n">
        <v>-37.2</v>
      </c>
      <c r="D65" s="1" t="n">
        <v>-28.1</v>
      </c>
      <c r="E65" s="2" t="n">
        <v>2.6</v>
      </c>
      <c r="F65" s="2" t="n">
        <v>47</v>
      </c>
      <c r="G65" s="2" t="n">
        <v>57.6</v>
      </c>
      <c r="H65" s="2" t="n">
        <v>-38.1</v>
      </c>
      <c r="I65" s="2" t="n">
        <v>-30.3</v>
      </c>
      <c r="J65" s="2" t="n">
        <v>18.38764803</v>
      </c>
    </row>
    <row r="66" customFormat="false" ht="15.8" hidden="false" customHeight="false" outlineLevel="0" collapsed="false">
      <c r="A66" s="1" t="n">
        <v>65</v>
      </c>
      <c r="B66" s="1" t="n">
        <v>56.5</v>
      </c>
      <c r="C66" s="1" t="n">
        <v>-42.6</v>
      </c>
      <c r="D66" s="1" t="n">
        <v>-24</v>
      </c>
      <c r="E66" s="2" t="n">
        <v>3.1</v>
      </c>
      <c r="F66" s="2" t="n">
        <v>84</v>
      </c>
      <c r="G66" s="2" t="n">
        <v>56.1</v>
      </c>
      <c r="H66" s="2" t="n">
        <v>-43.5</v>
      </c>
      <c r="I66" s="2" t="n">
        <v>-27</v>
      </c>
      <c r="J66" s="2" t="n">
        <v>13.86007215</v>
      </c>
    </row>
    <row r="67" customFormat="false" ht="15.8" hidden="false" customHeight="false" outlineLevel="0" collapsed="false">
      <c r="A67" s="1" t="n">
        <v>66</v>
      </c>
      <c r="B67" s="1" t="n">
        <v>55.1</v>
      </c>
      <c r="C67" s="1" t="n">
        <v>-41.6</v>
      </c>
      <c r="D67" s="1" t="n">
        <v>-27</v>
      </c>
      <c r="E67" s="2" t="n">
        <v>2.1</v>
      </c>
      <c r="F67" s="2" t="n">
        <v>84</v>
      </c>
      <c r="G67" s="2" t="n">
        <v>56.1</v>
      </c>
      <c r="H67" s="2" t="n">
        <v>-43.5</v>
      </c>
      <c r="I67" s="2" t="n">
        <v>-27</v>
      </c>
      <c r="J67" s="2" t="n">
        <v>13.74094611</v>
      </c>
    </row>
    <row r="68" customFormat="false" ht="15.8" hidden="false" customHeight="false" outlineLevel="0" collapsed="false">
      <c r="A68" s="1" t="n">
        <v>67</v>
      </c>
      <c r="B68" s="1" t="n">
        <v>65.5</v>
      </c>
      <c r="C68" s="1" t="n">
        <v>-39.4</v>
      </c>
      <c r="D68" s="1" t="n">
        <v>-32.2</v>
      </c>
      <c r="E68" s="2" t="n">
        <v>1.5</v>
      </c>
      <c r="F68" s="2" t="n">
        <v>68</v>
      </c>
      <c r="G68" s="2" t="n">
        <v>64.5</v>
      </c>
      <c r="H68" s="2" t="n">
        <v>-40.4</v>
      </c>
      <c r="I68" s="2" t="n">
        <v>-31.8</v>
      </c>
      <c r="J68" s="2" t="n">
        <v>23.15110365</v>
      </c>
    </row>
    <row r="69" customFormat="false" ht="15.8" hidden="false" customHeight="false" outlineLevel="0" collapsed="false">
      <c r="A69" s="1" t="n">
        <v>68</v>
      </c>
      <c r="B69" s="1" t="n">
        <v>64.5</v>
      </c>
      <c r="C69" s="1" t="n">
        <v>-40.4</v>
      </c>
      <c r="D69" s="1" t="n">
        <v>-31.8</v>
      </c>
      <c r="E69" s="2" t="n">
        <v>1.5</v>
      </c>
      <c r="F69" s="2" t="n">
        <v>67</v>
      </c>
      <c r="G69" s="2" t="n">
        <v>65.5</v>
      </c>
      <c r="H69" s="2" t="n">
        <v>-39.4</v>
      </c>
      <c r="I69" s="2" t="n">
        <v>-32.2</v>
      </c>
      <c r="J69" s="2" t="n">
        <v>21.69049561</v>
      </c>
    </row>
    <row r="70" customFormat="false" ht="15.8" hidden="false" customHeight="false" outlineLevel="0" collapsed="false">
      <c r="A70" s="1" t="n">
        <v>69</v>
      </c>
      <c r="B70" s="1" t="n">
        <v>56.5</v>
      </c>
      <c r="C70" s="1" t="n">
        <v>-43.3</v>
      </c>
      <c r="D70" s="1" t="n">
        <v>-28.9</v>
      </c>
      <c r="E70" s="2" t="n">
        <v>1.6</v>
      </c>
      <c r="F70" s="2" t="n">
        <v>82</v>
      </c>
      <c r="G70" s="2" t="n">
        <v>57.6</v>
      </c>
      <c r="H70" s="2" t="n">
        <v>-44.1</v>
      </c>
      <c r="I70" s="2" t="n">
        <v>-29.6</v>
      </c>
      <c r="J70" s="2" t="n">
        <v>13.422876</v>
      </c>
    </row>
    <row r="71" customFormat="false" ht="15.8" hidden="false" customHeight="false" outlineLevel="0" collapsed="false">
      <c r="A71" s="1" t="n">
        <v>70</v>
      </c>
      <c r="B71" s="1" t="n">
        <v>54.5</v>
      </c>
      <c r="C71" s="1" t="n">
        <v>-43.5</v>
      </c>
      <c r="D71" s="1" t="n">
        <v>-29.2</v>
      </c>
      <c r="E71" s="2" t="n">
        <v>1.6</v>
      </c>
      <c r="F71" s="2" t="n">
        <v>80</v>
      </c>
      <c r="G71" s="2" t="n">
        <v>54</v>
      </c>
      <c r="H71" s="2" t="n">
        <v>-43.8</v>
      </c>
      <c r="I71" s="2" t="n">
        <v>-30.7</v>
      </c>
      <c r="J71" s="2" t="n">
        <v>12.16846745</v>
      </c>
    </row>
    <row r="72" customFormat="false" ht="15.8" hidden="false" customHeight="false" outlineLevel="0" collapsed="false">
      <c r="A72" s="1" t="n">
        <v>71</v>
      </c>
      <c r="B72" s="1" t="n">
        <v>48.3</v>
      </c>
      <c r="C72" s="1" t="n">
        <v>-44.5</v>
      </c>
      <c r="D72" s="1" t="n">
        <v>-28.9</v>
      </c>
      <c r="E72" s="2" t="n">
        <v>2.8</v>
      </c>
      <c r="F72" s="2" t="n">
        <v>91</v>
      </c>
      <c r="G72" s="2" t="n">
        <v>49.3</v>
      </c>
      <c r="H72" s="2" t="n">
        <v>-44.1</v>
      </c>
      <c r="I72" s="2" t="n">
        <v>-31.4</v>
      </c>
      <c r="J72" s="2" t="n">
        <v>9.271763586</v>
      </c>
    </row>
    <row r="73" customFormat="false" ht="15.8" hidden="false" customHeight="false" outlineLevel="0" collapsed="false">
      <c r="A73" s="1" t="n">
        <v>72</v>
      </c>
      <c r="B73" s="1" t="n">
        <v>60.3</v>
      </c>
      <c r="C73" s="1" t="n">
        <v>-44.6</v>
      </c>
      <c r="D73" s="1" t="n">
        <v>-34</v>
      </c>
      <c r="E73" s="2" t="n">
        <v>0.4</v>
      </c>
      <c r="F73" s="2" t="n">
        <v>74</v>
      </c>
      <c r="G73" s="2" t="n">
        <v>60.2</v>
      </c>
      <c r="H73" s="2" t="n">
        <v>-44.5</v>
      </c>
      <c r="I73" s="2" t="n">
        <v>-33.7</v>
      </c>
      <c r="J73" s="2" t="n">
        <v>16.9763836</v>
      </c>
    </row>
    <row r="74" customFormat="false" ht="15.8" hidden="false" customHeight="false" outlineLevel="0" collapsed="false">
      <c r="A74" s="1" t="n">
        <v>73</v>
      </c>
      <c r="B74" s="1" t="n">
        <v>61.8</v>
      </c>
      <c r="C74" s="1" t="n">
        <v>-44.2</v>
      </c>
      <c r="D74" s="1" t="n">
        <v>-32.6</v>
      </c>
      <c r="E74" s="2" t="n">
        <v>1.6</v>
      </c>
      <c r="F74" s="2" t="n">
        <v>75</v>
      </c>
      <c r="G74" s="2" t="n">
        <v>62.3</v>
      </c>
      <c r="H74" s="2" t="n">
        <v>-44.7</v>
      </c>
      <c r="I74" s="2" t="n">
        <v>-31.1</v>
      </c>
      <c r="J74" s="2" t="n">
        <v>17.73300877</v>
      </c>
    </row>
    <row r="75" customFormat="false" ht="15.8" hidden="false" customHeight="false" outlineLevel="0" collapsed="false">
      <c r="A75" s="1" t="n">
        <v>74</v>
      </c>
      <c r="B75" s="1" t="n">
        <v>60.2</v>
      </c>
      <c r="C75" s="1" t="n">
        <v>-44.5</v>
      </c>
      <c r="D75" s="1" t="n">
        <v>-33.7</v>
      </c>
      <c r="E75" s="2" t="n">
        <v>0.4</v>
      </c>
      <c r="F75" s="2" t="n">
        <v>72</v>
      </c>
      <c r="G75" s="2" t="n">
        <v>60.3</v>
      </c>
      <c r="H75" s="2" t="n">
        <v>-44.6</v>
      </c>
      <c r="I75" s="2" t="n">
        <v>-34</v>
      </c>
      <c r="J75" s="2" t="n">
        <v>16.82009512</v>
      </c>
    </row>
    <row r="76" customFormat="false" ht="15.8" hidden="false" customHeight="false" outlineLevel="0" collapsed="false">
      <c r="A76" s="1" t="n">
        <v>75</v>
      </c>
      <c r="B76" s="1" t="n">
        <v>62.3</v>
      </c>
      <c r="C76" s="1" t="n">
        <v>-44.7</v>
      </c>
      <c r="D76" s="1" t="n">
        <v>-31.1</v>
      </c>
      <c r="E76" s="2" t="n">
        <v>1.6</v>
      </c>
      <c r="F76" s="2" t="n">
        <v>81</v>
      </c>
      <c r="G76" s="2" t="n">
        <v>62.4</v>
      </c>
      <c r="H76" s="2" t="n">
        <v>-43.1</v>
      </c>
      <c r="I76" s="2" t="n">
        <v>-30.7</v>
      </c>
      <c r="J76" s="2" t="n">
        <v>17.39395297</v>
      </c>
    </row>
    <row r="77" customFormat="false" ht="15.8" hidden="false" customHeight="false" outlineLevel="0" collapsed="false">
      <c r="A77" s="1" t="n">
        <v>76</v>
      </c>
      <c r="B77" s="1" t="n">
        <v>58.6</v>
      </c>
      <c r="C77" s="1" t="n">
        <v>-42.7</v>
      </c>
      <c r="D77" s="1" t="n">
        <v>-31.8</v>
      </c>
      <c r="E77" s="2" t="n">
        <v>1.7</v>
      </c>
      <c r="F77" s="2" t="n">
        <v>77</v>
      </c>
      <c r="G77" s="2" t="n">
        <v>57.5</v>
      </c>
      <c r="H77" s="2" t="n">
        <v>-41.5</v>
      </c>
      <c r="I77" s="2" t="n">
        <v>-32.2</v>
      </c>
      <c r="J77" s="2" t="n">
        <v>16.0229086</v>
      </c>
    </row>
    <row r="78" customFormat="false" ht="15.8" hidden="false" customHeight="false" outlineLevel="0" collapsed="false">
      <c r="A78" s="1" t="n">
        <v>77</v>
      </c>
      <c r="B78" s="1" t="n">
        <v>57.5</v>
      </c>
      <c r="C78" s="1" t="n">
        <v>-41.5</v>
      </c>
      <c r="D78" s="1" t="n">
        <v>-32.2</v>
      </c>
      <c r="E78" s="2" t="n">
        <v>1.7</v>
      </c>
      <c r="F78" s="2" t="n">
        <v>76</v>
      </c>
      <c r="G78" s="2" t="n">
        <v>58.6</v>
      </c>
      <c r="H78" s="2" t="n">
        <v>-42.7</v>
      </c>
      <c r="I78" s="2" t="n">
        <v>-31.8</v>
      </c>
      <c r="J78" s="2" t="n">
        <v>16.32150728</v>
      </c>
    </row>
    <row r="79" customFormat="false" ht="15.8" hidden="false" customHeight="false" outlineLevel="0" collapsed="false">
      <c r="A79" s="1" t="n">
        <v>78</v>
      </c>
      <c r="B79" s="1" t="n">
        <v>59.5</v>
      </c>
      <c r="C79" s="1" t="n">
        <v>-42.1</v>
      </c>
      <c r="D79" s="1" t="n">
        <v>-33.3</v>
      </c>
      <c r="E79" s="2" t="n">
        <v>1.3</v>
      </c>
      <c r="F79" s="2" t="n">
        <v>86</v>
      </c>
      <c r="G79" s="2" t="n">
        <v>58.4</v>
      </c>
      <c r="H79" s="2" t="n">
        <v>-42.2</v>
      </c>
      <c r="I79" s="2" t="n">
        <v>-34</v>
      </c>
      <c r="J79" s="2" t="n">
        <v>17.57309307</v>
      </c>
    </row>
    <row r="80" customFormat="false" ht="15.8" hidden="false" customHeight="false" outlineLevel="0" collapsed="false">
      <c r="A80" s="1" t="n">
        <v>79</v>
      </c>
      <c r="B80" s="1" t="n">
        <v>56.8</v>
      </c>
      <c r="C80" s="1" t="n">
        <v>-43.4</v>
      </c>
      <c r="D80" s="1" t="n">
        <v>-33.3</v>
      </c>
      <c r="E80" s="2" t="n">
        <v>2.1</v>
      </c>
      <c r="F80" s="2" t="n">
        <v>86</v>
      </c>
      <c r="G80" s="2" t="n">
        <v>58.4</v>
      </c>
      <c r="H80" s="2" t="n">
        <v>-42.2</v>
      </c>
      <c r="I80" s="2" t="n">
        <v>-34</v>
      </c>
      <c r="J80" s="2" t="n">
        <v>15.05435485</v>
      </c>
    </row>
    <row r="81" customFormat="false" ht="15.8" hidden="false" customHeight="false" outlineLevel="0" collapsed="false">
      <c r="A81" s="1" t="n">
        <v>80</v>
      </c>
      <c r="B81" s="1" t="n">
        <v>54</v>
      </c>
      <c r="C81" s="1" t="n">
        <v>-43.8</v>
      </c>
      <c r="D81" s="1" t="n">
        <v>-30.7</v>
      </c>
      <c r="E81" s="2" t="n">
        <v>1.6</v>
      </c>
      <c r="F81" s="2" t="n">
        <v>70</v>
      </c>
      <c r="G81" s="2" t="n">
        <v>54.5</v>
      </c>
      <c r="H81" s="2" t="n">
        <v>-43.5</v>
      </c>
      <c r="I81" s="2" t="n">
        <v>-29.2</v>
      </c>
      <c r="J81" s="2" t="n">
        <v>12.13859959</v>
      </c>
    </row>
    <row r="82" customFormat="false" ht="15.8" hidden="false" customHeight="false" outlineLevel="0" collapsed="false">
      <c r="A82" s="1" t="n">
        <v>81</v>
      </c>
      <c r="B82" s="1" t="n">
        <v>62.4</v>
      </c>
      <c r="C82" s="1" t="n">
        <v>-43.1</v>
      </c>
      <c r="D82" s="1" t="n">
        <v>-30.7</v>
      </c>
      <c r="E82" s="2" t="n">
        <v>1.6</v>
      </c>
      <c r="F82" s="2" t="n">
        <v>75</v>
      </c>
      <c r="G82" s="2" t="n">
        <v>62.3</v>
      </c>
      <c r="H82" s="2" t="n">
        <v>-44.7</v>
      </c>
      <c r="I82" s="2" t="n">
        <v>-31.1</v>
      </c>
      <c r="J82" s="2" t="n">
        <v>18.21833143</v>
      </c>
    </row>
    <row r="83" customFormat="false" ht="15.8" hidden="false" customHeight="false" outlineLevel="0" collapsed="false">
      <c r="A83" s="1" t="n">
        <v>82</v>
      </c>
      <c r="B83" s="1" t="n">
        <v>57.6</v>
      </c>
      <c r="C83" s="1" t="n">
        <v>-44.1</v>
      </c>
      <c r="D83" s="1" t="n">
        <v>-29.6</v>
      </c>
      <c r="E83" s="2" t="n">
        <v>1.4</v>
      </c>
      <c r="F83" s="2" t="n">
        <v>83</v>
      </c>
      <c r="G83" s="2" t="n">
        <v>58.3</v>
      </c>
      <c r="H83" s="2" t="n">
        <v>-43.5</v>
      </c>
      <c r="I83" s="2" t="n">
        <v>-28.5</v>
      </c>
      <c r="J83" s="2" t="n">
        <v>13.74181938</v>
      </c>
    </row>
    <row r="84" customFormat="false" ht="15.8" hidden="false" customHeight="false" outlineLevel="0" collapsed="false">
      <c r="A84" s="1" t="n">
        <v>83</v>
      </c>
      <c r="B84" s="1" t="n">
        <v>58.3</v>
      </c>
      <c r="C84" s="1" t="n">
        <v>-43.5</v>
      </c>
      <c r="D84" s="1" t="n">
        <v>-28.5</v>
      </c>
      <c r="E84" s="2" t="n">
        <v>1.4</v>
      </c>
      <c r="F84" s="2" t="n">
        <v>82</v>
      </c>
      <c r="G84" s="2" t="n">
        <v>57.6</v>
      </c>
      <c r="H84" s="2" t="n">
        <v>-44.1</v>
      </c>
      <c r="I84" s="2" t="n">
        <v>-29.6</v>
      </c>
      <c r="J84" s="2" t="n">
        <v>14.41768359</v>
      </c>
    </row>
    <row r="85" customFormat="false" ht="15.8" hidden="false" customHeight="false" outlineLevel="0" collapsed="false">
      <c r="A85" s="1" t="n">
        <v>84</v>
      </c>
      <c r="B85" s="1" t="n">
        <v>56.1</v>
      </c>
      <c r="C85" s="1" t="n">
        <v>-43.5</v>
      </c>
      <c r="D85" s="1" t="n">
        <v>-27</v>
      </c>
      <c r="E85" s="2" t="n">
        <v>1.9</v>
      </c>
      <c r="F85" s="2" t="n">
        <v>69</v>
      </c>
      <c r="G85" s="2" t="n">
        <v>56.5</v>
      </c>
      <c r="H85" s="2" t="n">
        <v>-43.3</v>
      </c>
      <c r="I85" s="2" t="n">
        <v>-28.9</v>
      </c>
      <c r="J85" s="2" t="n">
        <v>12.76148894</v>
      </c>
    </row>
    <row r="86" customFormat="false" ht="15.8" hidden="false" customHeight="false" outlineLevel="0" collapsed="false">
      <c r="A86" s="1" t="n">
        <v>85</v>
      </c>
      <c r="B86" s="1" t="n">
        <v>60.4</v>
      </c>
      <c r="C86" s="1" t="n">
        <v>-39.2</v>
      </c>
      <c r="D86" s="1" t="n">
        <v>-34</v>
      </c>
      <c r="E86" s="2" t="n">
        <v>3</v>
      </c>
      <c r="F86" s="2" t="n">
        <v>43</v>
      </c>
      <c r="G86" s="2" t="n">
        <v>62.1</v>
      </c>
      <c r="H86" s="2" t="n">
        <v>-40.4</v>
      </c>
      <c r="I86" s="2" t="n">
        <v>-31.8</v>
      </c>
      <c r="J86" s="2" t="n">
        <v>20.35749493</v>
      </c>
    </row>
    <row r="87" customFormat="false" ht="15.8" hidden="false" customHeight="false" outlineLevel="0" collapsed="false">
      <c r="A87" s="1" t="n">
        <v>86</v>
      </c>
      <c r="B87" s="1" t="n">
        <v>58.4</v>
      </c>
      <c r="C87" s="1" t="n">
        <v>-42.2</v>
      </c>
      <c r="D87" s="1" t="n">
        <v>-34</v>
      </c>
      <c r="E87" s="2" t="n">
        <v>1.3</v>
      </c>
      <c r="F87" s="2" t="n">
        <v>78</v>
      </c>
      <c r="G87" s="2" t="n">
        <v>59.5</v>
      </c>
      <c r="H87" s="2" t="n">
        <v>-42.1</v>
      </c>
      <c r="I87" s="2" t="n">
        <v>-33.3</v>
      </c>
      <c r="J87" s="2" t="n">
        <v>17.11804895</v>
      </c>
    </row>
    <row r="88" customFormat="false" ht="15.8" hidden="false" customHeight="false" outlineLevel="0" collapsed="false">
      <c r="A88" s="1" t="n">
        <v>87</v>
      </c>
      <c r="B88" s="1" t="n">
        <v>56.4</v>
      </c>
      <c r="C88" s="1" t="n">
        <v>-40.4</v>
      </c>
      <c r="D88" s="1" t="n">
        <v>-34</v>
      </c>
      <c r="E88" s="2" t="n">
        <v>1.9</v>
      </c>
      <c r="F88" s="2" t="n">
        <v>88</v>
      </c>
      <c r="G88" s="2" t="n">
        <v>54.6</v>
      </c>
      <c r="H88" s="2" t="n">
        <v>-40</v>
      </c>
      <c r="I88" s="2" t="n">
        <v>-33.7</v>
      </c>
      <c r="J88" s="2" t="n">
        <v>17.29172056</v>
      </c>
    </row>
    <row r="89" customFormat="false" ht="15.8" hidden="false" customHeight="false" outlineLevel="0" collapsed="false">
      <c r="A89" s="1" t="n">
        <v>88</v>
      </c>
      <c r="B89" s="1" t="n">
        <v>54.6</v>
      </c>
      <c r="C89" s="1" t="n">
        <v>-40</v>
      </c>
      <c r="D89" s="1" t="n">
        <v>-33.7</v>
      </c>
      <c r="E89" s="2" t="n">
        <v>1.8</v>
      </c>
      <c r="F89" s="2" t="n">
        <v>89</v>
      </c>
      <c r="G89" s="2" t="n">
        <v>54.7</v>
      </c>
      <c r="H89" s="2" t="n">
        <v>-41.4</v>
      </c>
      <c r="I89" s="2" t="n">
        <v>-32.6</v>
      </c>
      <c r="J89" s="2" t="n">
        <v>16.67553897</v>
      </c>
    </row>
    <row r="90" customFormat="false" ht="15.8" hidden="false" customHeight="false" outlineLevel="0" collapsed="false">
      <c r="A90" s="1" t="n">
        <v>89</v>
      </c>
      <c r="B90" s="1" t="n">
        <v>54.7</v>
      </c>
      <c r="C90" s="1" t="n">
        <v>-41.4</v>
      </c>
      <c r="D90" s="1" t="n">
        <v>-32.6</v>
      </c>
      <c r="E90" s="2" t="n">
        <v>1.8</v>
      </c>
      <c r="F90" s="2" t="n">
        <v>88</v>
      </c>
      <c r="G90" s="2" t="n">
        <v>54.6</v>
      </c>
      <c r="H90" s="2" t="n">
        <v>-40</v>
      </c>
      <c r="I90" s="2" t="n">
        <v>-33.7</v>
      </c>
      <c r="J90" s="2" t="n">
        <v>15.11997354</v>
      </c>
    </row>
    <row r="91" customFormat="false" ht="15.8" hidden="false" customHeight="false" outlineLevel="0" collapsed="false">
      <c r="A91" s="1" t="n">
        <v>90</v>
      </c>
      <c r="B91" s="1" t="n">
        <v>51.9</v>
      </c>
      <c r="C91" s="1" t="n">
        <v>-42.9</v>
      </c>
      <c r="D91" s="1" t="n">
        <v>-31.4</v>
      </c>
      <c r="E91" s="2" t="n">
        <v>2.4</v>
      </c>
      <c r="F91" s="2" t="n">
        <v>80</v>
      </c>
      <c r="G91" s="2" t="n">
        <v>54</v>
      </c>
      <c r="H91" s="2" t="n">
        <v>-43.8</v>
      </c>
      <c r="I91" s="2" t="n">
        <v>-30.7</v>
      </c>
      <c r="J91" s="2" t="n">
        <v>12.31095447</v>
      </c>
    </row>
    <row r="92" customFormat="false" ht="15.8" hidden="false" customHeight="false" outlineLevel="0" collapsed="false">
      <c r="A92" s="1" t="n">
        <v>91</v>
      </c>
      <c r="B92" s="1" t="n">
        <v>49.3</v>
      </c>
      <c r="C92" s="1" t="n">
        <v>-44.1</v>
      </c>
      <c r="D92" s="1" t="n">
        <v>-31.4</v>
      </c>
      <c r="E92" s="2" t="n">
        <v>2.8</v>
      </c>
      <c r="F92" s="2" t="n">
        <v>71</v>
      </c>
      <c r="G92" s="2" t="n">
        <v>48.3</v>
      </c>
      <c r="H92" s="2" t="n">
        <v>-44.5</v>
      </c>
      <c r="I92" s="2" t="n">
        <v>-28.9</v>
      </c>
      <c r="J92" s="2" t="n">
        <v>10.70437294</v>
      </c>
    </row>
    <row r="93" customFormat="false" ht="15.8" hidden="false" customHeight="false" outlineLevel="0" collapsed="false">
      <c r="A93" s="1" t="n">
        <v>92</v>
      </c>
      <c r="B93" s="1" t="n">
        <v>46.2</v>
      </c>
      <c r="C93" s="1" t="n">
        <v>-48</v>
      </c>
      <c r="D93" s="1" t="n">
        <v>-34.4</v>
      </c>
      <c r="E93" s="2" t="n">
        <v>0.8</v>
      </c>
      <c r="F93" s="2" t="n">
        <v>412</v>
      </c>
      <c r="G93" s="2" t="n">
        <v>45.6</v>
      </c>
      <c r="H93" s="2" t="n">
        <v>-47.8</v>
      </c>
      <c r="I93" s="2" t="n">
        <v>-34</v>
      </c>
      <c r="J93" s="2" t="n">
        <v>9.984167467</v>
      </c>
    </row>
    <row r="94" customFormat="false" ht="15.8" hidden="false" customHeight="false" outlineLevel="0" collapsed="false">
      <c r="A94" s="1" t="n">
        <v>93</v>
      </c>
      <c r="B94" s="1" t="n">
        <v>54.5</v>
      </c>
      <c r="C94" s="1" t="n">
        <v>-53.3</v>
      </c>
      <c r="D94" s="1" t="n">
        <v>-38.8</v>
      </c>
      <c r="E94" s="2" t="n">
        <v>6.1</v>
      </c>
      <c r="F94" s="2" t="n">
        <v>95</v>
      </c>
      <c r="G94" s="2" t="n">
        <v>53</v>
      </c>
      <c r="H94" s="2" t="n">
        <v>-47.6</v>
      </c>
      <c r="I94" s="2" t="n">
        <v>-37</v>
      </c>
      <c r="J94" s="2" t="n">
        <v>14.17743277</v>
      </c>
    </row>
    <row r="95" customFormat="false" ht="15.8" hidden="false" customHeight="false" outlineLevel="0" collapsed="false">
      <c r="A95" s="1" t="n">
        <v>94</v>
      </c>
      <c r="B95" s="1" t="n">
        <v>51.9</v>
      </c>
      <c r="C95" s="1" t="n">
        <v>-47.6</v>
      </c>
      <c r="D95" s="1" t="n">
        <v>-37</v>
      </c>
      <c r="E95" s="2" t="n">
        <v>1.1</v>
      </c>
      <c r="F95" s="2" t="n">
        <v>95</v>
      </c>
      <c r="G95" s="2" t="n">
        <v>53</v>
      </c>
      <c r="H95" s="2" t="n">
        <v>-47.6</v>
      </c>
      <c r="I95" s="2" t="n">
        <v>-37</v>
      </c>
      <c r="J95" s="2" t="n">
        <v>12.85105443</v>
      </c>
    </row>
    <row r="96" customFormat="false" ht="15.8" hidden="false" customHeight="false" outlineLevel="0" collapsed="false">
      <c r="A96" s="1" t="n">
        <v>95</v>
      </c>
      <c r="B96" s="1" t="n">
        <v>53</v>
      </c>
      <c r="C96" s="1" t="n">
        <v>-47.6</v>
      </c>
      <c r="D96" s="1" t="n">
        <v>-37</v>
      </c>
      <c r="E96" s="2" t="n">
        <v>1.1</v>
      </c>
      <c r="F96" s="2" t="n">
        <v>94</v>
      </c>
      <c r="G96" s="2" t="n">
        <v>51.9</v>
      </c>
      <c r="H96" s="2" t="n">
        <v>-47.6</v>
      </c>
      <c r="I96" s="2" t="n">
        <v>-37</v>
      </c>
      <c r="J96" s="2" t="n">
        <v>13.22314637</v>
      </c>
    </row>
    <row r="97" customFormat="false" ht="15.8" hidden="false" customHeight="false" outlineLevel="0" collapsed="false">
      <c r="A97" s="1" t="n">
        <v>96</v>
      </c>
      <c r="B97" s="1" t="n">
        <v>56.4</v>
      </c>
      <c r="C97" s="1" t="n">
        <v>-45.3</v>
      </c>
      <c r="D97" s="1" t="n">
        <v>-38.1</v>
      </c>
      <c r="E97" s="2" t="n">
        <v>3.1</v>
      </c>
      <c r="F97" s="2" t="n">
        <v>98</v>
      </c>
      <c r="G97" s="2" t="n">
        <v>56.2</v>
      </c>
      <c r="H97" s="2" t="n">
        <v>-42.2</v>
      </c>
      <c r="I97" s="2" t="n">
        <v>-38.1</v>
      </c>
      <c r="J97" s="2" t="n">
        <v>16.64150234</v>
      </c>
    </row>
    <row r="98" customFormat="false" ht="15.8" hidden="false" customHeight="false" outlineLevel="0" collapsed="false">
      <c r="A98" s="1" t="n">
        <v>97</v>
      </c>
      <c r="B98" s="1" t="n">
        <v>51.7</v>
      </c>
      <c r="C98" s="1" t="n">
        <v>-43.7</v>
      </c>
      <c r="D98" s="1" t="n">
        <v>-35.9</v>
      </c>
      <c r="E98" s="2" t="n">
        <v>1.9</v>
      </c>
      <c r="F98" s="2" t="n">
        <v>99</v>
      </c>
      <c r="G98" s="2" t="n">
        <v>51.1</v>
      </c>
      <c r="H98" s="2" t="n">
        <v>-41.9</v>
      </c>
      <c r="I98" s="2" t="n">
        <v>-36.3</v>
      </c>
      <c r="J98" s="2" t="n">
        <v>14.18413198</v>
      </c>
    </row>
    <row r="99" customFormat="false" ht="15.8" hidden="false" customHeight="false" outlineLevel="0" collapsed="false">
      <c r="A99" s="1" t="n">
        <v>98</v>
      </c>
      <c r="B99" s="1" t="n">
        <v>56.2</v>
      </c>
      <c r="C99" s="1" t="n">
        <v>-42.2</v>
      </c>
      <c r="D99" s="1" t="n">
        <v>-38.1</v>
      </c>
      <c r="E99" s="2" t="n">
        <v>1.4</v>
      </c>
      <c r="F99" s="2" t="n">
        <v>101</v>
      </c>
      <c r="G99" s="2" t="n">
        <v>56.9</v>
      </c>
      <c r="H99" s="2" t="n">
        <v>-41.1</v>
      </c>
      <c r="I99" s="2" t="n">
        <v>-37.4</v>
      </c>
      <c r="J99" s="2" t="n">
        <v>18.25424882</v>
      </c>
    </row>
    <row r="100" customFormat="false" ht="15.8" hidden="false" customHeight="false" outlineLevel="0" collapsed="false">
      <c r="A100" s="1" t="n">
        <v>99</v>
      </c>
      <c r="B100" s="1" t="n">
        <v>51.1</v>
      </c>
      <c r="C100" s="1" t="n">
        <v>-41.9</v>
      </c>
      <c r="D100" s="1" t="n">
        <v>-36.3</v>
      </c>
      <c r="E100" s="2" t="n">
        <v>1.9</v>
      </c>
      <c r="F100" s="2" t="n">
        <v>97</v>
      </c>
      <c r="G100" s="2" t="n">
        <v>51.7</v>
      </c>
      <c r="H100" s="2" t="n">
        <v>-43.7</v>
      </c>
      <c r="I100" s="2" t="n">
        <v>-35.9</v>
      </c>
      <c r="J100" s="2" t="n">
        <v>15.59197229</v>
      </c>
    </row>
    <row r="101" customFormat="false" ht="15.8" hidden="false" customHeight="false" outlineLevel="0" collapsed="false">
      <c r="A101" s="1" t="n">
        <v>100</v>
      </c>
      <c r="B101" s="1" t="n">
        <v>50</v>
      </c>
      <c r="C101" s="1" t="n">
        <v>-40.5</v>
      </c>
      <c r="D101" s="1" t="n">
        <v>-37</v>
      </c>
      <c r="E101" s="2" t="n">
        <v>1.9</v>
      </c>
      <c r="F101" s="2" t="n">
        <v>99</v>
      </c>
      <c r="G101" s="2" t="n">
        <v>51.1</v>
      </c>
      <c r="H101" s="2" t="n">
        <v>-41.9</v>
      </c>
      <c r="I101" s="2" t="n">
        <v>-36.3</v>
      </c>
      <c r="J101" s="2" t="n">
        <v>16.92021276</v>
      </c>
    </row>
    <row r="102" customFormat="false" ht="15.8" hidden="false" customHeight="false" outlineLevel="0" collapsed="false">
      <c r="A102" s="1" t="n">
        <v>101</v>
      </c>
      <c r="B102" s="1" t="n">
        <v>56.9</v>
      </c>
      <c r="C102" s="1" t="n">
        <v>-41.1</v>
      </c>
      <c r="D102" s="1" t="n">
        <v>-37.4</v>
      </c>
      <c r="E102" s="2" t="n">
        <v>1.4</v>
      </c>
      <c r="F102" s="2" t="n">
        <v>98</v>
      </c>
      <c r="G102" s="2" t="n">
        <v>56.2</v>
      </c>
      <c r="H102" s="2" t="n">
        <v>-42.2</v>
      </c>
      <c r="I102" s="2" t="n">
        <v>-38.1</v>
      </c>
      <c r="J102" s="2" t="n">
        <v>18.83336401</v>
      </c>
    </row>
    <row r="103" customFormat="false" ht="15.8" hidden="false" customHeight="false" outlineLevel="0" collapsed="false">
      <c r="A103" s="1" t="n">
        <v>102</v>
      </c>
      <c r="B103" s="1" t="n">
        <v>44.8</v>
      </c>
      <c r="C103" s="1" t="n">
        <v>-47.3</v>
      </c>
      <c r="D103" s="1" t="n">
        <v>-34</v>
      </c>
      <c r="E103" s="2" t="n">
        <v>0.9</v>
      </c>
      <c r="F103" s="2" t="n">
        <v>412</v>
      </c>
      <c r="G103" s="2" t="n">
        <v>45.6</v>
      </c>
      <c r="H103" s="2" t="n">
        <v>-47.8</v>
      </c>
      <c r="I103" s="2" t="n">
        <v>-34</v>
      </c>
      <c r="J103" s="2" t="n">
        <v>10.41026417</v>
      </c>
    </row>
    <row r="104" customFormat="false" ht="15.8" hidden="false" customHeight="false" outlineLevel="0" collapsed="false">
      <c r="A104" s="1" t="n">
        <v>103</v>
      </c>
      <c r="B104" s="1" t="n">
        <v>42.9</v>
      </c>
      <c r="C104" s="1" t="n">
        <v>-44.7</v>
      </c>
      <c r="D104" s="1" t="n">
        <v>-33.3</v>
      </c>
      <c r="E104" s="2" t="n">
        <v>1.9</v>
      </c>
      <c r="F104" s="2" t="n">
        <v>104</v>
      </c>
      <c r="G104" s="2" t="n">
        <v>41.4</v>
      </c>
      <c r="H104" s="2" t="n">
        <v>-45.8</v>
      </c>
      <c r="I104" s="2" t="n">
        <v>-32.9</v>
      </c>
      <c r="J104" s="2" t="n">
        <v>12.33327207</v>
      </c>
    </row>
    <row r="105" customFormat="false" ht="15.8" hidden="false" customHeight="false" outlineLevel="0" collapsed="false">
      <c r="A105" s="1" t="n">
        <v>104</v>
      </c>
      <c r="B105" s="1" t="n">
        <v>41.4</v>
      </c>
      <c r="C105" s="1" t="n">
        <v>-45.8</v>
      </c>
      <c r="D105" s="1" t="n">
        <v>-32.9</v>
      </c>
      <c r="E105" s="2" t="n">
        <v>1.9</v>
      </c>
      <c r="F105" s="2" t="n">
        <v>103</v>
      </c>
      <c r="G105" s="2" t="n">
        <v>42.9</v>
      </c>
      <c r="H105" s="2" t="n">
        <v>-44.7</v>
      </c>
      <c r="I105" s="2" t="n">
        <v>-33.3</v>
      </c>
      <c r="J105" s="2" t="n">
        <v>12.09965289</v>
      </c>
    </row>
    <row r="106" customFormat="false" ht="15.8" hidden="false" customHeight="false" outlineLevel="0" collapsed="false">
      <c r="A106" s="1" t="n">
        <v>105</v>
      </c>
      <c r="B106" s="1" t="n">
        <v>38.4</v>
      </c>
      <c r="C106" s="1" t="n">
        <v>-47.5</v>
      </c>
      <c r="D106" s="1" t="n">
        <v>-32.9</v>
      </c>
      <c r="E106" s="2" t="n">
        <v>2.4</v>
      </c>
      <c r="F106" s="2" t="n">
        <v>411</v>
      </c>
      <c r="G106" s="2" t="n">
        <v>38.1</v>
      </c>
      <c r="H106" s="2" t="n">
        <v>-49.8</v>
      </c>
      <c r="I106" s="2" t="n">
        <v>-33.7</v>
      </c>
      <c r="J106" s="2" t="n">
        <v>13.13116903</v>
      </c>
    </row>
    <row r="107" customFormat="false" ht="15.8" hidden="false" customHeight="false" outlineLevel="0" collapsed="false">
      <c r="A107" s="1" t="n">
        <v>106</v>
      </c>
      <c r="B107" s="1" t="n">
        <v>56.3</v>
      </c>
      <c r="C107" s="1" t="n">
        <v>-48.9</v>
      </c>
      <c r="D107" s="1" t="n">
        <v>-31.1</v>
      </c>
      <c r="E107" s="2" t="n">
        <v>3.7</v>
      </c>
      <c r="F107" s="2" t="n">
        <v>117</v>
      </c>
      <c r="G107" s="2" t="n">
        <v>57.3</v>
      </c>
      <c r="H107" s="2" t="n">
        <v>-45.6</v>
      </c>
      <c r="I107" s="2" t="n">
        <v>-29.6</v>
      </c>
      <c r="J107" s="2" t="n">
        <v>10.59837723</v>
      </c>
    </row>
    <row r="108" customFormat="false" ht="15.8" hidden="false" customHeight="false" outlineLevel="0" collapsed="false">
      <c r="A108" s="1" t="n">
        <v>107</v>
      </c>
      <c r="B108" s="1" t="n">
        <v>61.2</v>
      </c>
      <c r="C108" s="1" t="n">
        <v>-46.3</v>
      </c>
      <c r="D108" s="1" t="n">
        <v>-37</v>
      </c>
      <c r="E108" s="2" t="n">
        <v>3</v>
      </c>
      <c r="F108" s="2" t="n">
        <v>108</v>
      </c>
      <c r="G108" s="2" t="n">
        <v>62.6</v>
      </c>
      <c r="H108" s="2" t="n">
        <v>-47</v>
      </c>
      <c r="I108" s="2" t="n">
        <v>-34.4</v>
      </c>
      <c r="J108" s="2" t="n">
        <v>18.44184373</v>
      </c>
    </row>
    <row r="109" customFormat="false" ht="15.8" hidden="false" customHeight="false" outlineLevel="0" collapsed="false">
      <c r="A109" s="1" t="n">
        <v>108</v>
      </c>
      <c r="B109" s="1" t="n">
        <v>62.6</v>
      </c>
      <c r="C109" s="1" t="n">
        <v>-47</v>
      </c>
      <c r="D109" s="1" t="n">
        <v>-34.4</v>
      </c>
      <c r="E109" s="2" t="n">
        <v>2.2</v>
      </c>
      <c r="F109" s="2" t="n">
        <v>109</v>
      </c>
      <c r="G109" s="2" t="n">
        <v>61.4</v>
      </c>
      <c r="H109" s="2" t="n">
        <v>-46.5</v>
      </c>
      <c r="I109" s="2" t="n">
        <v>-32.6</v>
      </c>
      <c r="J109" s="2" t="n">
        <v>17.88886805</v>
      </c>
    </row>
    <row r="110" customFormat="false" ht="15.8" hidden="false" customHeight="false" outlineLevel="0" collapsed="false">
      <c r="A110" s="1" t="n">
        <v>109</v>
      </c>
      <c r="B110" s="1" t="n">
        <v>61.4</v>
      </c>
      <c r="C110" s="1" t="n">
        <v>-46.5</v>
      </c>
      <c r="D110" s="1" t="n">
        <v>-32.6</v>
      </c>
      <c r="E110" s="2" t="n">
        <v>2.2</v>
      </c>
      <c r="F110" s="2" t="n">
        <v>108</v>
      </c>
      <c r="G110" s="2" t="n">
        <v>62.6</v>
      </c>
      <c r="H110" s="2" t="n">
        <v>-47</v>
      </c>
      <c r="I110" s="2" t="n">
        <v>-34.4</v>
      </c>
      <c r="J110" s="2" t="n">
        <v>16.33296054</v>
      </c>
    </row>
    <row r="111" customFormat="false" ht="15.8" hidden="false" customHeight="false" outlineLevel="0" collapsed="false">
      <c r="A111" s="1" t="n">
        <v>110</v>
      </c>
      <c r="B111" s="1" t="n">
        <v>66.1</v>
      </c>
      <c r="C111" s="1" t="n">
        <v>-46.9</v>
      </c>
      <c r="D111" s="1" t="n">
        <v>-30</v>
      </c>
      <c r="E111" s="2" t="n">
        <v>1.4</v>
      </c>
      <c r="F111" s="2" t="n">
        <v>120</v>
      </c>
      <c r="G111" s="2" t="n">
        <v>67.4</v>
      </c>
      <c r="H111" s="2" t="n">
        <v>-46.5</v>
      </c>
      <c r="I111" s="2" t="n">
        <v>-29.6</v>
      </c>
      <c r="J111" s="2" t="n">
        <v>19.5572902</v>
      </c>
    </row>
    <row r="112" customFormat="false" ht="15.8" hidden="false" customHeight="false" outlineLevel="0" collapsed="false">
      <c r="A112" s="1" t="n">
        <v>111</v>
      </c>
      <c r="B112" s="1" t="n">
        <v>65.6</v>
      </c>
      <c r="C112" s="1" t="n">
        <v>-48.3</v>
      </c>
      <c r="D112" s="1" t="n">
        <v>-33.3</v>
      </c>
      <c r="E112" s="2" t="n">
        <v>2</v>
      </c>
      <c r="F112" s="2" t="n">
        <v>118</v>
      </c>
      <c r="G112" s="2" t="n">
        <v>64.9</v>
      </c>
      <c r="H112" s="2" t="n">
        <v>-47.9</v>
      </c>
      <c r="I112" s="2" t="n">
        <v>-31.4</v>
      </c>
      <c r="J112" s="2" t="n">
        <v>19.61253681</v>
      </c>
    </row>
    <row r="113" customFormat="false" ht="15.8" hidden="false" customHeight="false" outlineLevel="0" collapsed="false">
      <c r="A113" s="1" t="n">
        <v>112</v>
      </c>
      <c r="B113" s="1" t="n">
        <v>63.7</v>
      </c>
      <c r="C113" s="1" t="n">
        <v>-45.8</v>
      </c>
      <c r="D113" s="1" t="n">
        <v>-32.6</v>
      </c>
      <c r="E113" s="2" t="n">
        <v>2.3</v>
      </c>
      <c r="F113" s="2" t="n">
        <v>75</v>
      </c>
      <c r="G113" s="2" t="n">
        <v>62.3</v>
      </c>
      <c r="H113" s="2" t="n">
        <v>-44.7</v>
      </c>
      <c r="I113" s="2" t="n">
        <v>-31.1</v>
      </c>
      <c r="J113" s="2" t="n">
        <v>18.53660163</v>
      </c>
    </row>
    <row r="114" customFormat="false" ht="15.8" hidden="false" customHeight="false" outlineLevel="0" collapsed="false">
      <c r="A114" s="1" t="n">
        <v>113</v>
      </c>
      <c r="B114" s="1" t="n">
        <v>66.9</v>
      </c>
      <c r="C114" s="1" t="n">
        <v>-45</v>
      </c>
      <c r="D114" s="1" t="n">
        <v>-33.7</v>
      </c>
      <c r="E114" s="2" t="n">
        <v>1.9</v>
      </c>
      <c r="F114" s="2" t="n">
        <v>114</v>
      </c>
      <c r="G114" s="2" t="n">
        <v>68.6</v>
      </c>
      <c r="H114" s="2" t="n">
        <v>-44.4</v>
      </c>
      <c r="I114" s="2" t="n">
        <v>-33.7</v>
      </c>
      <c r="J114" s="2" t="n">
        <v>21.95767747</v>
      </c>
    </row>
    <row r="115" customFormat="false" ht="15.8" hidden="false" customHeight="false" outlineLevel="0" collapsed="false">
      <c r="A115" s="1" t="n">
        <v>114</v>
      </c>
      <c r="B115" s="1" t="n">
        <v>68.6</v>
      </c>
      <c r="C115" s="1" t="n">
        <v>-44.4</v>
      </c>
      <c r="D115" s="1" t="n">
        <v>-33.7</v>
      </c>
      <c r="E115" s="2" t="n">
        <v>1.8</v>
      </c>
      <c r="F115" s="2" t="n">
        <v>116</v>
      </c>
      <c r="G115" s="2" t="n">
        <v>69.1</v>
      </c>
      <c r="H115" s="2" t="n">
        <v>-46.1</v>
      </c>
      <c r="I115" s="2" t="n">
        <v>-33.7</v>
      </c>
      <c r="J115" s="2" t="n">
        <v>23.65471623</v>
      </c>
    </row>
    <row r="116" customFormat="false" ht="15.8" hidden="false" customHeight="false" outlineLevel="0" collapsed="false">
      <c r="A116" s="1" t="n">
        <v>115</v>
      </c>
      <c r="B116" s="1" t="n">
        <v>71</v>
      </c>
      <c r="C116" s="1" t="n">
        <v>-44.4</v>
      </c>
      <c r="D116" s="1" t="n">
        <v>-35.5</v>
      </c>
      <c r="E116" s="2" t="n">
        <v>3</v>
      </c>
      <c r="F116" s="2" t="n">
        <v>114</v>
      </c>
      <c r="G116" s="2" t="n">
        <v>68.6</v>
      </c>
      <c r="H116" s="2" t="n">
        <v>-44.4</v>
      </c>
      <c r="I116" s="2" t="n">
        <v>-33.7</v>
      </c>
      <c r="J116" s="2" t="n">
        <v>26.34967931</v>
      </c>
    </row>
    <row r="117" customFormat="false" ht="15.8" hidden="false" customHeight="false" outlineLevel="0" collapsed="false">
      <c r="A117" s="1" t="n">
        <v>116</v>
      </c>
      <c r="B117" s="1" t="n">
        <v>69.1</v>
      </c>
      <c r="C117" s="1" t="n">
        <v>-46.1</v>
      </c>
      <c r="D117" s="1" t="n">
        <v>-33.7</v>
      </c>
      <c r="E117" s="2" t="n">
        <v>1.8</v>
      </c>
      <c r="F117" s="2" t="n">
        <v>114</v>
      </c>
      <c r="G117" s="2" t="n">
        <v>68.6</v>
      </c>
      <c r="H117" s="2" t="n">
        <v>-44.4</v>
      </c>
      <c r="I117" s="2" t="n">
        <v>-33.7</v>
      </c>
      <c r="J117" s="2" t="n">
        <v>23.51130792</v>
      </c>
    </row>
    <row r="118" customFormat="false" ht="15.8" hidden="false" customHeight="false" outlineLevel="0" collapsed="false">
      <c r="A118" s="1" t="n">
        <v>117</v>
      </c>
      <c r="B118" s="1" t="n">
        <v>57.3</v>
      </c>
      <c r="C118" s="1" t="n">
        <v>-45.6</v>
      </c>
      <c r="D118" s="1" t="n">
        <v>-29.6</v>
      </c>
      <c r="E118" s="2" t="n">
        <v>1.6</v>
      </c>
      <c r="F118" s="2" t="n">
        <v>82</v>
      </c>
      <c r="G118" s="2" t="n">
        <v>57.6</v>
      </c>
      <c r="H118" s="2" t="n">
        <v>-44.1</v>
      </c>
      <c r="I118" s="2" t="n">
        <v>-29.6</v>
      </c>
      <c r="J118" s="2" t="n">
        <v>12.55633705</v>
      </c>
    </row>
    <row r="119" customFormat="false" ht="15.8" hidden="false" customHeight="false" outlineLevel="0" collapsed="false">
      <c r="A119" s="1" t="n">
        <v>118</v>
      </c>
      <c r="B119" s="1" t="n">
        <v>64.9</v>
      </c>
      <c r="C119" s="1" t="n">
        <v>-47.9</v>
      </c>
      <c r="D119" s="1" t="n">
        <v>-31.4</v>
      </c>
      <c r="E119" s="2" t="n">
        <v>2</v>
      </c>
      <c r="F119" s="2" t="n">
        <v>111</v>
      </c>
      <c r="G119" s="2" t="n">
        <v>65.6</v>
      </c>
      <c r="H119" s="2" t="n">
        <v>-48.3</v>
      </c>
      <c r="I119" s="2" t="n">
        <v>-33.3</v>
      </c>
      <c r="J119" s="2" t="n">
        <v>18.47483694</v>
      </c>
    </row>
    <row r="120" customFormat="false" ht="15.8" hidden="false" customHeight="false" outlineLevel="0" collapsed="false">
      <c r="A120" s="1" t="n">
        <v>119</v>
      </c>
      <c r="B120" s="1" t="n">
        <v>65.1</v>
      </c>
      <c r="C120" s="1" t="n">
        <v>-45.3</v>
      </c>
      <c r="D120" s="1" t="n">
        <v>-29.6</v>
      </c>
      <c r="E120" s="2" t="n">
        <v>1.9</v>
      </c>
      <c r="F120" s="2" t="n">
        <v>110</v>
      </c>
      <c r="G120" s="2" t="n">
        <v>66.1</v>
      </c>
      <c r="H120" s="2" t="n">
        <v>-46.9</v>
      </c>
      <c r="I120" s="2" t="n">
        <v>-30</v>
      </c>
      <c r="J120" s="2" t="n">
        <v>19.17559908</v>
      </c>
    </row>
    <row r="121" customFormat="false" ht="15.8" hidden="false" customHeight="false" outlineLevel="0" collapsed="false">
      <c r="A121" s="1" t="n">
        <v>120</v>
      </c>
      <c r="B121" s="1" t="n">
        <v>67.4</v>
      </c>
      <c r="C121" s="1" t="n">
        <v>-46.5</v>
      </c>
      <c r="D121" s="1" t="n">
        <v>-29.6</v>
      </c>
      <c r="E121" s="2" t="n">
        <v>1.4</v>
      </c>
      <c r="F121" s="2" t="n">
        <v>110</v>
      </c>
      <c r="G121" s="2" t="n">
        <v>66.1</v>
      </c>
      <c r="H121" s="2" t="n">
        <v>-46.9</v>
      </c>
      <c r="I121" s="2" t="n">
        <v>-30</v>
      </c>
      <c r="J121" s="2" t="n">
        <v>20.82223811</v>
      </c>
    </row>
    <row r="122" customFormat="false" ht="15.8" hidden="false" customHeight="false" outlineLevel="0" collapsed="false">
      <c r="A122" s="1" t="n">
        <v>121</v>
      </c>
      <c r="B122" s="1" t="n">
        <v>68.8</v>
      </c>
      <c r="C122" s="1" t="n">
        <v>-48</v>
      </c>
      <c r="D122" s="1" t="n">
        <v>-30</v>
      </c>
      <c r="E122" s="2" t="n">
        <v>0.3</v>
      </c>
      <c r="F122" s="2" t="n">
        <v>122</v>
      </c>
      <c r="G122" s="2" t="n">
        <v>68.6</v>
      </c>
      <c r="H122" s="2" t="n">
        <v>-48.2</v>
      </c>
      <c r="I122" s="2" t="n">
        <v>-30</v>
      </c>
      <c r="J122" s="2" t="n">
        <v>21.77842051</v>
      </c>
    </row>
    <row r="123" customFormat="false" ht="15.8" hidden="false" customHeight="false" outlineLevel="0" collapsed="false">
      <c r="A123" s="1" t="n">
        <v>122</v>
      </c>
      <c r="B123" s="1" t="n">
        <v>68.6</v>
      </c>
      <c r="C123" s="1" t="n">
        <v>-48.2</v>
      </c>
      <c r="D123" s="1" t="n">
        <v>-30</v>
      </c>
      <c r="E123" s="2" t="n">
        <v>0.3</v>
      </c>
      <c r="F123" s="2" t="n">
        <v>121</v>
      </c>
      <c r="G123" s="2" t="n">
        <v>68.8</v>
      </c>
      <c r="H123" s="2" t="n">
        <v>-48</v>
      </c>
      <c r="I123" s="2" t="n">
        <v>-30</v>
      </c>
      <c r="J123" s="2" t="n">
        <v>21.53907147</v>
      </c>
    </row>
    <row r="124" customFormat="false" ht="15.8" hidden="false" customHeight="false" outlineLevel="0" collapsed="false">
      <c r="A124" s="1" t="n">
        <v>123</v>
      </c>
      <c r="B124" s="1" t="n">
        <v>64</v>
      </c>
      <c r="C124" s="1" t="n">
        <v>-47.1</v>
      </c>
      <c r="D124" s="1" t="n">
        <v>-29.6</v>
      </c>
      <c r="E124" s="2" t="n">
        <v>1.3</v>
      </c>
      <c r="F124" s="2" t="n">
        <v>133</v>
      </c>
      <c r="G124" s="2" t="n">
        <v>63.6</v>
      </c>
      <c r="H124" s="2" t="n">
        <v>-47.6</v>
      </c>
      <c r="I124" s="2" t="n">
        <v>-28.5</v>
      </c>
      <c r="J124" s="2" t="n">
        <v>17.48157888</v>
      </c>
    </row>
    <row r="125" customFormat="false" ht="15.8" hidden="false" customHeight="false" outlineLevel="0" collapsed="false">
      <c r="A125" s="1" t="n">
        <v>124</v>
      </c>
      <c r="B125" s="1" t="n">
        <v>57.7</v>
      </c>
      <c r="C125" s="1" t="n">
        <v>-53.1</v>
      </c>
      <c r="D125" s="1" t="n">
        <v>-29.2</v>
      </c>
      <c r="E125" s="2" t="n">
        <v>0.2</v>
      </c>
      <c r="F125" s="2" t="n">
        <v>125</v>
      </c>
      <c r="G125" s="2" t="n">
        <v>57.9</v>
      </c>
      <c r="H125" s="2" t="n">
        <v>-53.1</v>
      </c>
      <c r="I125" s="2" t="n">
        <v>-29.2</v>
      </c>
      <c r="J125" s="2" t="n">
        <v>10.12440616</v>
      </c>
    </row>
    <row r="126" customFormat="false" ht="15.8" hidden="false" customHeight="false" outlineLevel="0" collapsed="false">
      <c r="A126" s="1" t="n">
        <v>125</v>
      </c>
      <c r="B126" s="1" t="n">
        <v>57.9</v>
      </c>
      <c r="C126" s="1" t="n">
        <v>-53.1</v>
      </c>
      <c r="D126" s="1" t="n">
        <v>-29.2</v>
      </c>
      <c r="E126" s="2" t="n">
        <v>0.2</v>
      </c>
      <c r="F126" s="2" t="n">
        <v>124</v>
      </c>
      <c r="G126" s="2" t="n">
        <v>57.7</v>
      </c>
      <c r="H126" s="2" t="n">
        <v>-53.1</v>
      </c>
      <c r="I126" s="2" t="n">
        <v>-29.2</v>
      </c>
      <c r="J126" s="2" t="n">
        <v>10.31540595</v>
      </c>
    </row>
    <row r="127" customFormat="false" ht="15.8" hidden="false" customHeight="false" outlineLevel="0" collapsed="false">
      <c r="A127" s="1" t="n">
        <v>126</v>
      </c>
      <c r="B127" s="1" t="n">
        <v>60.2</v>
      </c>
      <c r="C127" s="1" t="n">
        <v>-52.1</v>
      </c>
      <c r="D127" s="1" t="n">
        <v>-30.7</v>
      </c>
      <c r="E127" s="2" t="n">
        <v>1.1</v>
      </c>
      <c r="F127" s="2" t="n">
        <v>291</v>
      </c>
      <c r="G127" s="2" t="n">
        <v>60.5</v>
      </c>
      <c r="H127" s="2" t="n">
        <v>-52.9</v>
      </c>
      <c r="I127" s="2" t="n">
        <v>-31.4</v>
      </c>
      <c r="J127" s="2" t="n">
        <v>13.03394031</v>
      </c>
    </row>
    <row r="128" customFormat="false" ht="15.8" hidden="false" customHeight="false" outlineLevel="0" collapsed="false">
      <c r="A128" s="1" t="n">
        <v>127</v>
      </c>
      <c r="B128" s="1" t="n">
        <v>59.1</v>
      </c>
      <c r="C128" s="1" t="n">
        <v>-50.9</v>
      </c>
      <c r="D128" s="1" t="n">
        <v>-28.5</v>
      </c>
      <c r="E128" s="2" t="n">
        <v>1.9</v>
      </c>
      <c r="F128" s="2" t="n">
        <v>139</v>
      </c>
      <c r="G128" s="2" t="n">
        <v>59.5</v>
      </c>
      <c r="H128" s="2" t="n">
        <v>-52.5</v>
      </c>
      <c r="I128" s="2" t="n">
        <v>-27.4</v>
      </c>
      <c r="J128" s="2" t="n">
        <v>11.56536208</v>
      </c>
    </row>
    <row r="129" customFormat="false" ht="15.8" hidden="false" customHeight="false" outlineLevel="0" collapsed="false">
      <c r="A129" s="1" t="n">
        <v>128</v>
      </c>
      <c r="B129" s="1" t="n">
        <v>69.5</v>
      </c>
      <c r="C129" s="1" t="n">
        <v>-49</v>
      </c>
      <c r="D129" s="1" t="n">
        <v>-31.4</v>
      </c>
      <c r="E129" s="2" t="n">
        <v>1.3</v>
      </c>
      <c r="F129" s="2" t="n">
        <v>129</v>
      </c>
      <c r="G129" s="2" t="n">
        <v>69.3</v>
      </c>
      <c r="H129" s="2" t="n">
        <v>-50.1</v>
      </c>
      <c r="I129" s="2" t="n">
        <v>-30.7</v>
      </c>
      <c r="J129" s="2" t="n">
        <v>22.51198792</v>
      </c>
    </row>
    <row r="130" customFormat="false" ht="15.8" hidden="false" customHeight="false" outlineLevel="0" collapsed="false">
      <c r="A130" s="1" t="n">
        <v>129</v>
      </c>
      <c r="B130" s="1" t="n">
        <v>69.3</v>
      </c>
      <c r="C130" s="1" t="n">
        <v>-50.1</v>
      </c>
      <c r="D130" s="1" t="n">
        <v>-30.7</v>
      </c>
      <c r="E130" s="2" t="n">
        <v>1.3</v>
      </c>
      <c r="F130" s="2" t="n">
        <v>128</v>
      </c>
      <c r="G130" s="2" t="n">
        <v>69.5</v>
      </c>
      <c r="H130" s="2" t="n">
        <v>-49</v>
      </c>
      <c r="I130" s="2" t="n">
        <v>-31.4</v>
      </c>
      <c r="J130" s="2" t="n">
        <v>21.97829839</v>
      </c>
    </row>
    <row r="131" customFormat="false" ht="15.8" hidden="false" customHeight="false" outlineLevel="0" collapsed="false">
      <c r="A131" s="1" t="n">
        <v>130</v>
      </c>
      <c r="B131" s="1" t="n">
        <v>63.4</v>
      </c>
      <c r="C131" s="1" t="n">
        <v>-47.9</v>
      </c>
      <c r="D131" s="1" t="n">
        <v>-28.9</v>
      </c>
      <c r="E131" s="2" t="n">
        <v>0.6</v>
      </c>
      <c r="F131" s="2" t="n">
        <v>133</v>
      </c>
      <c r="G131" s="2" t="n">
        <v>63.6</v>
      </c>
      <c r="H131" s="2" t="n">
        <v>-47.6</v>
      </c>
      <c r="I131" s="2" t="n">
        <v>-28.5</v>
      </c>
      <c r="J131" s="2" t="n">
        <v>16.52693559</v>
      </c>
    </row>
    <row r="132" customFormat="false" ht="15.8" hidden="false" customHeight="false" outlineLevel="0" collapsed="false">
      <c r="A132" s="1" t="n">
        <v>131</v>
      </c>
      <c r="B132" s="1" t="n">
        <v>60</v>
      </c>
      <c r="C132" s="1" t="n">
        <v>-47.7</v>
      </c>
      <c r="D132" s="1" t="n">
        <v>-25.9</v>
      </c>
      <c r="E132" s="2" t="n">
        <v>3.1</v>
      </c>
      <c r="F132" s="2" t="n">
        <v>132</v>
      </c>
      <c r="G132" s="2" t="n">
        <v>58.5</v>
      </c>
      <c r="H132" s="2" t="n">
        <v>-45</v>
      </c>
      <c r="I132" s="2" t="n">
        <v>-25.9</v>
      </c>
      <c r="J132" s="2" t="n">
        <v>13.23463638</v>
      </c>
    </row>
    <row r="133" customFormat="false" ht="15.8" hidden="false" customHeight="false" outlineLevel="0" collapsed="false">
      <c r="A133" s="1" t="n">
        <v>132</v>
      </c>
      <c r="B133" s="1" t="n">
        <v>58.5</v>
      </c>
      <c r="C133" s="1" t="n">
        <v>-45</v>
      </c>
      <c r="D133" s="1" t="n">
        <v>-25.9</v>
      </c>
      <c r="E133" s="2" t="n">
        <v>3</v>
      </c>
      <c r="F133" s="2" t="n">
        <v>83</v>
      </c>
      <c r="G133" s="2" t="n">
        <v>58.3</v>
      </c>
      <c r="H133" s="2" t="n">
        <v>-43.5</v>
      </c>
      <c r="I133" s="2" t="n">
        <v>-28.5</v>
      </c>
      <c r="J133" s="2" t="n">
        <v>13.39326697</v>
      </c>
    </row>
    <row r="134" customFormat="false" ht="15.8" hidden="false" customHeight="false" outlineLevel="0" collapsed="false">
      <c r="A134" s="1" t="n">
        <v>133</v>
      </c>
      <c r="B134" s="1" t="n">
        <v>63.6</v>
      </c>
      <c r="C134" s="1" t="n">
        <v>-47.6</v>
      </c>
      <c r="D134" s="1" t="n">
        <v>-28.5</v>
      </c>
      <c r="E134" s="2" t="n">
        <v>0.6</v>
      </c>
      <c r="F134" s="2" t="n">
        <v>130</v>
      </c>
      <c r="G134" s="2" t="n">
        <v>63.4</v>
      </c>
      <c r="H134" s="2" t="n">
        <v>-47.9</v>
      </c>
      <c r="I134" s="2" t="n">
        <v>-28.9</v>
      </c>
      <c r="J134" s="2" t="n">
        <v>16.75331609</v>
      </c>
    </row>
    <row r="135" customFormat="false" ht="15.8" hidden="false" customHeight="false" outlineLevel="0" collapsed="false">
      <c r="A135" s="1" t="n">
        <v>134</v>
      </c>
      <c r="B135" s="1" t="n">
        <v>65.4</v>
      </c>
      <c r="C135" s="1" t="n">
        <v>-47.2</v>
      </c>
      <c r="D135" s="1" t="n">
        <v>-27.7</v>
      </c>
      <c r="E135" s="2" t="n">
        <v>2</v>
      </c>
      <c r="F135" s="2" t="n">
        <v>133</v>
      </c>
      <c r="G135" s="2" t="n">
        <v>63.6</v>
      </c>
      <c r="H135" s="2" t="n">
        <v>-47.6</v>
      </c>
      <c r="I135" s="2" t="n">
        <v>-28.5</v>
      </c>
      <c r="J135" s="2" t="n">
        <v>18.48311662</v>
      </c>
    </row>
    <row r="136" customFormat="false" ht="15.8" hidden="false" customHeight="false" outlineLevel="0" collapsed="false">
      <c r="A136" s="1" t="n">
        <v>135</v>
      </c>
      <c r="B136" s="1" t="n">
        <v>55.7</v>
      </c>
      <c r="C136" s="1" t="n">
        <v>-47.9</v>
      </c>
      <c r="D136" s="1" t="n">
        <v>-27.4</v>
      </c>
      <c r="E136" s="2" t="n">
        <v>2.4</v>
      </c>
      <c r="F136" s="2" t="n">
        <v>136</v>
      </c>
      <c r="G136" s="2" t="n">
        <v>53.9</v>
      </c>
      <c r="H136" s="2" t="n">
        <v>-49.4</v>
      </c>
      <c r="I136" s="2" t="n">
        <v>-27.4</v>
      </c>
      <c r="J136" s="2" t="n">
        <v>9.4855469</v>
      </c>
    </row>
    <row r="137" customFormat="false" ht="15.8" hidden="false" customHeight="false" outlineLevel="0" collapsed="false">
      <c r="A137" s="1" t="n">
        <v>136</v>
      </c>
      <c r="B137" s="1" t="n">
        <v>53.9</v>
      </c>
      <c r="C137" s="1" t="n">
        <v>-49.4</v>
      </c>
      <c r="D137" s="1" t="n">
        <v>-27.4</v>
      </c>
      <c r="E137" s="2" t="n">
        <v>2.3</v>
      </c>
      <c r="F137" s="2" t="n">
        <v>137</v>
      </c>
      <c r="G137" s="2" t="n">
        <v>52.5</v>
      </c>
      <c r="H137" s="2" t="n">
        <v>-47.7</v>
      </c>
      <c r="I137" s="2" t="n">
        <v>-27</v>
      </c>
      <c r="J137" s="2" t="n">
        <v>7.17701888</v>
      </c>
    </row>
    <row r="138" customFormat="false" ht="15.8" hidden="false" customHeight="false" outlineLevel="0" collapsed="false">
      <c r="A138" s="1" t="n">
        <v>137</v>
      </c>
      <c r="B138" s="1" t="n">
        <v>52.5</v>
      </c>
      <c r="C138" s="1" t="n">
        <v>-47.7</v>
      </c>
      <c r="D138" s="1" t="n">
        <v>-27</v>
      </c>
      <c r="E138" s="2" t="n">
        <v>2.3</v>
      </c>
      <c r="F138" s="2" t="n">
        <v>136</v>
      </c>
      <c r="G138" s="2" t="n">
        <v>53.9</v>
      </c>
      <c r="H138" s="2" t="n">
        <v>-49.4</v>
      </c>
      <c r="I138" s="2" t="n">
        <v>-27.4</v>
      </c>
      <c r="J138" s="2" t="n">
        <v>7.252558169</v>
      </c>
    </row>
    <row r="139" customFormat="false" ht="15.8" hidden="false" customHeight="false" outlineLevel="0" collapsed="false">
      <c r="A139" s="1" t="n">
        <v>138</v>
      </c>
      <c r="B139" s="1" t="n">
        <v>57.6</v>
      </c>
      <c r="C139" s="1" t="n">
        <v>-53.7</v>
      </c>
      <c r="D139" s="1" t="n">
        <v>-27</v>
      </c>
      <c r="E139" s="2" t="n">
        <v>1.7</v>
      </c>
      <c r="F139" s="2" t="n">
        <v>275</v>
      </c>
      <c r="G139" s="2" t="n">
        <v>56.9</v>
      </c>
      <c r="H139" s="2" t="n">
        <v>-55</v>
      </c>
      <c r="I139" s="2" t="n">
        <v>-27.7</v>
      </c>
      <c r="J139" s="2" t="n">
        <v>9.601124934</v>
      </c>
    </row>
    <row r="140" customFormat="false" ht="15.8" hidden="false" customHeight="false" outlineLevel="0" collapsed="false">
      <c r="A140" s="1" t="n">
        <v>139</v>
      </c>
      <c r="B140" s="1" t="n">
        <v>59.5</v>
      </c>
      <c r="C140" s="1" t="n">
        <v>-52.5</v>
      </c>
      <c r="D140" s="1" t="n">
        <v>-27.4</v>
      </c>
      <c r="E140" s="2" t="n">
        <v>1.9</v>
      </c>
      <c r="F140" s="2" t="n">
        <v>127</v>
      </c>
      <c r="G140" s="2" t="n">
        <v>59.1</v>
      </c>
      <c r="H140" s="2" t="n">
        <v>-50.9</v>
      </c>
      <c r="I140" s="2" t="n">
        <v>-28.5</v>
      </c>
      <c r="J140" s="2" t="n">
        <v>11.55679886</v>
      </c>
    </row>
    <row r="141" customFormat="false" ht="15.8" hidden="false" customHeight="false" outlineLevel="0" collapsed="false">
      <c r="A141" s="1" t="n">
        <v>140</v>
      </c>
      <c r="B141" s="1" t="n">
        <v>41.6</v>
      </c>
      <c r="C141" s="1" t="n">
        <v>-66.9</v>
      </c>
      <c r="D141" s="1" t="n">
        <v>-24.4</v>
      </c>
      <c r="E141" s="2" t="n">
        <v>3.7</v>
      </c>
      <c r="F141" s="2" t="n">
        <v>207</v>
      </c>
      <c r="G141" s="2" t="n">
        <v>39.6</v>
      </c>
      <c r="H141" s="2" t="n">
        <v>-66</v>
      </c>
      <c r="I141" s="2" t="n">
        <v>-21.5</v>
      </c>
      <c r="J141" s="2" t="n">
        <v>15.09879465</v>
      </c>
    </row>
    <row r="142" customFormat="false" ht="15.8" hidden="false" customHeight="false" outlineLevel="0" collapsed="false">
      <c r="A142" s="1" t="n">
        <v>141</v>
      </c>
      <c r="B142" s="1" t="n">
        <v>47.1</v>
      </c>
      <c r="C142" s="1" t="n">
        <v>-68.6</v>
      </c>
      <c r="D142" s="1" t="n">
        <v>-24.8</v>
      </c>
      <c r="E142" s="2" t="n">
        <v>2.2</v>
      </c>
      <c r="F142" s="2" t="n">
        <v>226</v>
      </c>
      <c r="G142" s="2" t="n">
        <v>48.5</v>
      </c>
      <c r="H142" s="2" t="n">
        <v>-69.4</v>
      </c>
      <c r="I142" s="2" t="n">
        <v>-26.3</v>
      </c>
      <c r="J142" s="2" t="n">
        <v>15.33119695</v>
      </c>
    </row>
    <row r="143" customFormat="false" ht="15.8" hidden="false" customHeight="false" outlineLevel="0" collapsed="false">
      <c r="A143" s="1" t="n">
        <v>142</v>
      </c>
      <c r="B143" s="1" t="n">
        <v>48.5</v>
      </c>
      <c r="C143" s="1" t="n">
        <v>-65.3</v>
      </c>
      <c r="D143" s="1" t="n">
        <v>-26.3</v>
      </c>
      <c r="E143" s="2" t="n">
        <v>3</v>
      </c>
      <c r="F143" s="2" t="n">
        <v>143</v>
      </c>
      <c r="G143" s="2" t="n">
        <v>51.4</v>
      </c>
      <c r="H143" s="2" t="n">
        <v>-66.2</v>
      </c>
      <c r="I143" s="2" t="n">
        <v>-25.9</v>
      </c>
      <c r="J143" s="2" t="n">
        <v>11.94946024</v>
      </c>
    </row>
    <row r="144" customFormat="false" ht="15.8" hidden="false" customHeight="false" outlineLevel="0" collapsed="false">
      <c r="A144" s="1" t="n">
        <v>143</v>
      </c>
      <c r="B144" s="1" t="n">
        <v>51.4</v>
      </c>
      <c r="C144" s="1" t="n">
        <v>-66.2</v>
      </c>
      <c r="D144" s="1" t="n">
        <v>-25.9</v>
      </c>
      <c r="E144" s="2" t="n">
        <v>0.7</v>
      </c>
      <c r="F144" s="2" t="n">
        <v>262</v>
      </c>
      <c r="G144" s="2" t="n">
        <v>51.9</v>
      </c>
      <c r="H144" s="2" t="n">
        <v>-66</v>
      </c>
      <c r="I144" s="2" t="n">
        <v>-25.5</v>
      </c>
      <c r="J144" s="2" t="n">
        <v>13.27530037</v>
      </c>
    </row>
    <row r="145" customFormat="false" ht="15.8" hidden="false" customHeight="false" outlineLevel="0" collapsed="false">
      <c r="A145" s="1" t="n">
        <v>144</v>
      </c>
      <c r="B145" s="1" t="n">
        <v>53.3</v>
      </c>
      <c r="C145" s="1" t="n">
        <v>-65.3</v>
      </c>
      <c r="D145" s="1" t="n">
        <v>-23.7</v>
      </c>
      <c r="E145" s="2" t="n">
        <v>0.7</v>
      </c>
      <c r="F145" s="2" t="n">
        <v>146</v>
      </c>
      <c r="G145" s="2" t="n">
        <v>52.8</v>
      </c>
      <c r="H145" s="2" t="n">
        <v>-65.2</v>
      </c>
      <c r="I145" s="2" t="n">
        <v>-24</v>
      </c>
      <c r="J145" s="2" t="n">
        <v>13.28087347</v>
      </c>
    </row>
    <row r="146" customFormat="false" ht="15.8" hidden="false" customHeight="false" outlineLevel="0" collapsed="false">
      <c r="A146" s="1" t="n">
        <v>145</v>
      </c>
      <c r="B146" s="1" t="n">
        <v>53.9</v>
      </c>
      <c r="C146" s="1" t="n">
        <v>-64.5</v>
      </c>
      <c r="D146" s="1" t="n">
        <v>-24</v>
      </c>
      <c r="E146" s="2" t="n">
        <v>1.1</v>
      </c>
      <c r="F146" s="2" t="n">
        <v>144</v>
      </c>
      <c r="G146" s="2" t="n">
        <v>53.3</v>
      </c>
      <c r="H146" s="2" t="n">
        <v>-65.3</v>
      </c>
      <c r="I146" s="2" t="n">
        <v>-23.7</v>
      </c>
      <c r="J146" s="2" t="n">
        <v>12.77464677</v>
      </c>
    </row>
    <row r="147" customFormat="false" ht="15.8" hidden="false" customHeight="false" outlineLevel="0" collapsed="false">
      <c r="A147" s="1" t="n">
        <v>146</v>
      </c>
      <c r="B147" s="1" t="n">
        <v>52.8</v>
      </c>
      <c r="C147" s="1" t="n">
        <v>-65.2</v>
      </c>
      <c r="D147" s="1" t="n">
        <v>-24</v>
      </c>
      <c r="E147" s="2" t="n">
        <v>0.7</v>
      </c>
      <c r="F147" s="2" t="n">
        <v>144</v>
      </c>
      <c r="G147" s="2" t="n">
        <v>53.3</v>
      </c>
      <c r="H147" s="2" t="n">
        <v>-65.3</v>
      </c>
      <c r="I147" s="2" t="n">
        <v>-23.7</v>
      </c>
      <c r="J147" s="2" t="n">
        <v>12.94587193</v>
      </c>
    </row>
    <row r="148" customFormat="false" ht="15.8" hidden="false" customHeight="false" outlineLevel="0" collapsed="false">
      <c r="A148" s="1" t="n">
        <v>147</v>
      </c>
      <c r="B148" s="1" t="n">
        <v>55.3</v>
      </c>
      <c r="C148" s="1" t="n">
        <v>-66.9</v>
      </c>
      <c r="D148" s="1" t="n">
        <v>-23.3</v>
      </c>
      <c r="E148" s="2" t="n">
        <v>1.3</v>
      </c>
      <c r="F148" s="2" t="n">
        <v>232</v>
      </c>
      <c r="G148" s="2" t="n">
        <v>54.5</v>
      </c>
      <c r="H148" s="2" t="n">
        <v>-67</v>
      </c>
      <c r="I148" s="2" t="n">
        <v>-24.4</v>
      </c>
      <c r="J148" s="2" t="n">
        <v>15.63117398</v>
      </c>
    </row>
    <row r="149" customFormat="false" ht="15.8" hidden="false" customHeight="false" outlineLevel="0" collapsed="false">
      <c r="A149" s="1" t="n">
        <v>148</v>
      </c>
      <c r="B149" s="1" t="n">
        <v>51.7</v>
      </c>
      <c r="C149" s="1" t="n">
        <v>-66.5</v>
      </c>
      <c r="D149" s="1" t="n">
        <v>-22.9</v>
      </c>
      <c r="E149" s="2" t="n">
        <v>2</v>
      </c>
      <c r="F149" s="2" t="n">
        <v>146</v>
      </c>
      <c r="G149" s="2" t="n">
        <v>52.8</v>
      </c>
      <c r="H149" s="2" t="n">
        <v>-65.2</v>
      </c>
      <c r="I149" s="2" t="n">
        <v>-24</v>
      </c>
      <c r="J149" s="2" t="n">
        <v>14.02902705</v>
      </c>
    </row>
    <row r="150" customFormat="false" ht="15.8" hidden="false" customHeight="false" outlineLevel="0" collapsed="false">
      <c r="A150" s="1" t="n">
        <v>149</v>
      </c>
      <c r="B150" s="1" t="n">
        <v>42.7</v>
      </c>
      <c r="C150" s="1" t="n">
        <v>-61.9</v>
      </c>
      <c r="D150" s="1" t="n">
        <v>-23.7</v>
      </c>
      <c r="E150" s="2" t="n">
        <v>2.4</v>
      </c>
      <c r="F150" s="2" t="n">
        <v>150</v>
      </c>
      <c r="G150" s="2" t="n">
        <v>44.9</v>
      </c>
      <c r="H150" s="2" t="n">
        <v>-62.9</v>
      </c>
      <c r="I150" s="2" t="n">
        <v>-24</v>
      </c>
      <c r="J150" s="2" t="n">
        <v>10.3729263</v>
      </c>
    </row>
    <row r="151" customFormat="false" ht="15.8" hidden="false" customHeight="false" outlineLevel="0" collapsed="false">
      <c r="A151" s="1" t="n">
        <v>150</v>
      </c>
      <c r="B151" s="1" t="n">
        <v>44.9</v>
      </c>
      <c r="C151" s="1" t="n">
        <v>-62.9</v>
      </c>
      <c r="D151" s="1" t="n">
        <v>-24</v>
      </c>
      <c r="E151" s="2" t="n">
        <v>1.7</v>
      </c>
      <c r="F151" s="2" t="n">
        <v>153</v>
      </c>
      <c r="G151" s="2" t="n">
        <v>46.1</v>
      </c>
      <c r="H151" s="2" t="n">
        <v>-61.8</v>
      </c>
      <c r="I151" s="2" t="n">
        <v>-24</v>
      </c>
      <c r="J151" s="2" t="n">
        <v>10.27733428</v>
      </c>
    </row>
    <row r="152" customFormat="false" ht="15.8" hidden="false" customHeight="false" outlineLevel="0" collapsed="false">
      <c r="A152" s="1" t="n">
        <v>151</v>
      </c>
      <c r="B152" s="1" t="n">
        <v>46.8</v>
      </c>
      <c r="C152" s="1" t="n">
        <v>-64.2</v>
      </c>
      <c r="D152" s="1" t="n">
        <v>-23.7</v>
      </c>
      <c r="E152" s="2" t="n">
        <v>1.7</v>
      </c>
      <c r="F152" s="2" t="n">
        <v>152</v>
      </c>
      <c r="G152" s="2" t="n">
        <v>47.4</v>
      </c>
      <c r="H152" s="2" t="n">
        <v>-62.8</v>
      </c>
      <c r="I152" s="2" t="n">
        <v>-24.4</v>
      </c>
      <c r="J152" s="2" t="n">
        <v>11.18899459</v>
      </c>
    </row>
    <row r="153" customFormat="false" ht="15.8" hidden="false" customHeight="false" outlineLevel="0" collapsed="false">
      <c r="A153" s="1" t="n">
        <v>152</v>
      </c>
      <c r="B153" s="1" t="n">
        <v>47.4</v>
      </c>
      <c r="C153" s="1" t="n">
        <v>-62.8</v>
      </c>
      <c r="D153" s="1" t="n">
        <v>-24.4</v>
      </c>
      <c r="E153" s="2" t="n">
        <v>1.7</v>
      </c>
      <c r="F153" s="2" t="n">
        <v>153</v>
      </c>
      <c r="G153" s="2" t="n">
        <v>46.1</v>
      </c>
      <c r="H153" s="2" t="n">
        <v>-61.8</v>
      </c>
      <c r="I153" s="2" t="n">
        <v>-24</v>
      </c>
      <c r="J153" s="2" t="n">
        <v>9.627647688</v>
      </c>
    </row>
    <row r="154" customFormat="false" ht="15.8" hidden="false" customHeight="false" outlineLevel="0" collapsed="false">
      <c r="A154" s="1" t="n">
        <v>153</v>
      </c>
      <c r="B154" s="1" t="n">
        <v>46.1</v>
      </c>
      <c r="C154" s="1" t="n">
        <v>-61.8</v>
      </c>
      <c r="D154" s="1" t="n">
        <v>-24</v>
      </c>
      <c r="E154" s="2" t="n">
        <v>1.7</v>
      </c>
      <c r="F154" s="2" t="n">
        <v>152</v>
      </c>
      <c r="G154" s="2" t="n">
        <v>47.4</v>
      </c>
      <c r="H154" s="2" t="n">
        <v>-62.8</v>
      </c>
      <c r="I154" s="2" t="n">
        <v>-24.4</v>
      </c>
      <c r="J154" s="2" t="n">
        <v>8.930263154</v>
      </c>
    </row>
    <row r="155" customFormat="false" ht="15.8" hidden="false" customHeight="false" outlineLevel="0" collapsed="false">
      <c r="A155" s="1" t="n">
        <v>154</v>
      </c>
      <c r="B155" s="1" t="n">
        <v>47.2</v>
      </c>
      <c r="C155" s="1" t="n">
        <v>-60.5</v>
      </c>
      <c r="D155" s="1" t="n">
        <v>-24.4</v>
      </c>
      <c r="E155" s="2" t="n">
        <v>1.7</v>
      </c>
      <c r="F155" s="2" t="n">
        <v>153</v>
      </c>
      <c r="G155" s="2" t="n">
        <v>46.1</v>
      </c>
      <c r="H155" s="2" t="n">
        <v>-61.8</v>
      </c>
      <c r="I155" s="2" t="n">
        <v>-24</v>
      </c>
      <c r="J155" s="2" t="n">
        <v>7.406321624</v>
      </c>
    </row>
    <row r="156" customFormat="false" ht="15.8" hidden="false" customHeight="false" outlineLevel="0" collapsed="false">
      <c r="A156" s="1" t="n">
        <v>155</v>
      </c>
      <c r="B156" s="1" t="n">
        <v>48.6</v>
      </c>
      <c r="C156" s="1" t="n">
        <v>-61.5</v>
      </c>
      <c r="D156" s="1" t="n">
        <v>-24.4</v>
      </c>
      <c r="E156" s="2" t="n">
        <v>1.8</v>
      </c>
      <c r="F156" s="2" t="n">
        <v>154</v>
      </c>
      <c r="G156" s="2" t="n">
        <v>47.2</v>
      </c>
      <c r="H156" s="2" t="n">
        <v>-60.5</v>
      </c>
      <c r="I156" s="2" t="n">
        <v>-24.4</v>
      </c>
      <c r="J156" s="2" t="n">
        <v>8.351143634</v>
      </c>
    </row>
    <row r="157" customFormat="false" ht="15.8" hidden="false" customHeight="false" outlineLevel="0" collapsed="false">
      <c r="A157" s="1" t="n">
        <v>156</v>
      </c>
      <c r="B157" s="1" t="n">
        <v>35.6</v>
      </c>
      <c r="C157" s="1" t="n">
        <v>-65.3</v>
      </c>
      <c r="D157" s="1" t="n">
        <v>-17</v>
      </c>
      <c r="E157" s="2" t="n">
        <v>1.7</v>
      </c>
      <c r="F157" s="2" t="n">
        <v>157</v>
      </c>
      <c r="G157" s="2" t="n">
        <v>35.4</v>
      </c>
      <c r="H157" s="2" t="n">
        <v>-66.9</v>
      </c>
      <c r="I157" s="2" t="n">
        <v>-16.6</v>
      </c>
      <c r="J157" s="2" t="n">
        <v>19.53431852</v>
      </c>
    </row>
    <row r="158" customFormat="false" ht="15.8" hidden="false" customHeight="false" outlineLevel="0" collapsed="false">
      <c r="A158" s="1" t="n">
        <v>157</v>
      </c>
      <c r="B158" s="1" t="n">
        <v>35.4</v>
      </c>
      <c r="C158" s="1" t="n">
        <v>-66.9</v>
      </c>
      <c r="D158" s="1" t="n">
        <v>-16.6</v>
      </c>
      <c r="E158" s="2" t="n">
        <v>1.7</v>
      </c>
      <c r="F158" s="2" t="n">
        <v>156</v>
      </c>
      <c r="G158" s="2" t="n">
        <v>35.6</v>
      </c>
      <c r="H158" s="2" t="n">
        <v>-65.3</v>
      </c>
      <c r="I158" s="2" t="n">
        <v>-17</v>
      </c>
      <c r="J158" s="2" t="n">
        <v>20.85371909</v>
      </c>
    </row>
    <row r="159" customFormat="false" ht="15.8" hidden="false" customHeight="false" outlineLevel="0" collapsed="false">
      <c r="A159" s="1" t="n">
        <v>158</v>
      </c>
      <c r="B159" s="1" t="n">
        <v>37.7</v>
      </c>
      <c r="C159" s="1" t="n">
        <v>-63.5</v>
      </c>
      <c r="D159" s="1" t="n">
        <v>-19.2</v>
      </c>
      <c r="E159" s="2" t="n">
        <v>0.2</v>
      </c>
      <c r="F159" s="2" t="n">
        <v>208</v>
      </c>
      <c r="G159" s="2" t="n">
        <v>37.9</v>
      </c>
      <c r="H159" s="2" t="n">
        <v>-63.5</v>
      </c>
      <c r="I159" s="2" t="n">
        <v>-19.2</v>
      </c>
      <c r="J159" s="2" t="n">
        <v>16.07655436</v>
      </c>
    </row>
    <row r="160" customFormat="false" ht="15.8" hidden="false" customHeight="false" outlineLevel="0" collapsed="false">
      <c r="A160" s="1" t="n">
        <v>159</v>
      </c>
      <c r="B160" s="1" t="n">
        <v>22.3</v>
      </c>
      <c r="C160" s="1" t="n">
        <v>-66.1</v>
      </c>
      <c r="D160" s="1" t="n">
        <v>-11.5</v>
      </c>
      <c r="E160" s="2" t="n">
        <v>6</v>
      </c>
      <c r="F160" s="2" t="n">
        <v>171</v>
      </c>
      <c r="G160" s="2" t="n">
        <v>26.3</v>
      </c>
      <c r="H160" s="2" t="n">
        <v>-70.4</v>
      </c>
      <c r="I160" s="2" t="n">
        <v>-10.4</v>
      </c>
      <c r="J160" s="2" t="n">
        <v>32.25457487</v>
      </c>
    </row>
    <row r="161" customFormat="false" ht="15.8" hidden="false" customHeight="false" outlineLevel="0" collapsed="false">
      <c r="A161" s="1" t="n">
        <v>160</v>
      </c>
      <c r="B161" s="1" t="n">
        <v>28.6</v>
      </c>
      <c r="C161" s="1" t="n">
        <v>-65.1</v>
      </c>
      <c r="D161" s="1" t="n">
        <v>-12.9</v>
      </c>
      <c r="E161" s="2" t="n">
        <v>2.3</v>
      </c>
      <c r="F161" s="2" t="n">
        <v>376</v>
      </c>
      <c r="G161" s="2" t="n">
        <v>30.7</v>
      </c>
      <c r="H161" s="2" t="n">
        <v>-64.2</v>
      </c>
      <c r="I161" s="2" t="n">
        <v>-12.9</v>
      </c>
      <c r="J161" s="2" t="n">
        <v>26.30778592</v>
      </c>
    </row>
    <row r="162" customFormat="false" ht="15.8" hidden="false" customHeight="false" outlineLevel="0" collapsed="false">
      <c r="A162" s="1" t="n">
        <v>161</v>
      </c>
      <c r="B162" s="1" t="n">
        <v>36.7</v>
      </c>
      <c r="C162" s="1" t="n">
        <v>-60.3</v>
      </c>
      <c r="D162" s="1" t="n">
        <v>-18.5</v>
      </c>
      <c r="E162" s="2" t="n">
        <v>2.2</v>
      </c>
      <c r="F162" s="2" t="n">
        <v>371</v>
      </c>
      <c r="G162" s="2" t="n">
        <v>36.6</v>
      </c>
      <c r="H162" s="2" t="n">
        <v>-60.2</v>
      </c>
      <c r="I162" s="2" t="n">
        <v>-16.3</v>
      </c>
      <c r="J162" s="2" t="n">
        <v>15.35387899</v>
      </c>
    </row>
    <row r="163" customFormat="false" ht="15.8" hidden="false" customHeight="false" outlineLevel="0" collapsed="false">
      <c r="A163" s="1" t="n">
        <v>162</v>
      </c>
      <c r="B163" s="1" t="n">
        <v>38.9</v>
      </c>
      <c r="C163" s="1" t="n">
        <v>-60.7</v>
      </c>
      <c r="D163" s="1" t="n">
        <v>-19.2</v>
      </c>
      <c r="E163" s="2" t="n">
        <v>2.4</v>
      </c>
      <c r="F163" s="2" t="n">
        <v>161</v>
      </c>
      <c r="G163" s="2" t="n">
        <v>36.7</v>
      </c>
      <c r="H163" s="2" t="n">
        <v>-60.3</v>
      </c>
      <c r="I163" s="2" t="n">
        <v>-18.5</v>
      </c>
      <c r="J163" s="2" t="n">
        <v>13.64315213</v>
      </c>
    </row>
    <row r="164" customFormat="false" ht="15.8" hidden="false" customHeight="false" outlineLevel="0" collapsed="false">
      <c r="A164" s="1" t="n">
        <v>163</v>
      </c>
      <c r="B164" s="1" t="n">
        <v>41.4</v>
      </c>
      <c r="C164" s="1" t="n">
        <v>-59.8</v>
      </c>
      <c r="D164" s="1" t="n">
        <v>-20</v>
      </c>
      <c r="E164" s="2" t="n">
        <v>2.8</v>
      </c>
      <c r="F164" s="2" t="n">
        <v>162</v>
      </c>
      <c r="G164" s="2" t="n">
        <v>38.9</v>
      </c>
      <c r="H164" s="2" t="n">
        <v>-60.7</v>
      </c>
      <c r="I164" s="2" t="n">
        <v>-19.2</v>
      </c>
      <c r="J164" s="2" t="n">
        <v>11.12454943</v>
      </c>
    </row>
    <row r="165" customFormat="false" ht="15.8" hidden="false" customHeight="false" outlineLevel="0" collapsed="false">
      <c r="A165" s="1" t="n">
        <v>164</v>
      </c>
      <c r="B165" s="1" t="n">
        <v>42.7</v>
      </c>
      <c r="C165" s="1" t="n">
        <v>-62.5</v>
      </c>
      <c r="D165" s="1" t="n">
        <v>-20.3</v>
      </c>
      <c r="E165" s="2" t="n">
        <v>3</v>
      </c>
      <c r="F165" s="2" t="n">
        <v>163</v>
      </c>
      <c r="G165" s="2" t="n">
        <v>41.4</v>
      </c>
      <c r="H165" s="2" t="n">
        <v>-59.8</v>
      </c>
      <c r="I165" s="2" t="n">
        <v>-20</v>
      </c>
      <c r="J165" s="2" t="n">
        <v>12.10907098</v>
      </c>
    </row>
    <row r="166" customFormat="false" ht="15.8" hidden="false" customHeight="false" outlineLevel="0" collapsed="false">
      <c r="A166" s="1" t="n">
        <v>165</v>
      </c>
      <c r="B166" s="1" t="n">
        <v>37.8</v>
      </c>
      <c r="C166" s="1" t="n">
        <v>-64.6</v>
      </c>
      <c r="D166" s="1" t="n">
        <v>-17.4</v>
      </c>
      <c r="E166" s="2" t="n">
        <v>0.8</v>
      </c>
      <c r="F166" s="2" t="n">
        <v>177</v>
      </c>
      <c r="G166" s="2" t="n">
        <v>37</v>
      </c>
      <c r="H166" s="2" t="n">
        <v>-64.6</v>
      </c>
      <c r="I166" s="2" t="n">
        <v>-17.4</v>
      </c>
      <c r="J166" s="2" t="n">
        <v>17.55800672</v>
      </c>
    </row>
    <row r="167" customFormat="false" ht="15.8" hidden="false" customHeight="false" outlineLevel="0" collapsed="false">
      <c r="A167" s="1" t="n">
        <v>166</v>
      </c>
      <c r="B167" s="1" t="n">
        <v>35</v>
      </c>
      <c r="C167" s="1" t="n">
        <v>-65.4</v>
      </c>
      <c r="D167" s="1" t="n">
        <v>-12.9</v>
      </c>
      <c r="E167" s="2" t="n">
        <v>2.9</v>
      </c>
      <c r="F167" s="2" t="n">
        <v>175</v>
      </c>
      <c r="G167" s="2" t="n">
        <v>35.2</v>
      </c>
      <c r="H167" s="2" t="n">
        <v>-67.9</v>
      </c>
      <c r="I167" s="2" t="n">
        <v>-14.4</v>
      </c>
      <c r="J167" s="2" t="n">
        <v>22.16667769</v>
      </c>
    </row>
    <row r="168" customFormat="false" ht="15.8" hidden="false" customHeight="false" outlineLevel="0" collapsed="false">
      <c r="A168" s="1" t="n">
        <v>167</v>
      </c>
      <c r="B168" s="1" t="n">
        <v>32.8</v>
      </c>
      <c r="C168" s="1" t="n">
        <v>-69</v>
      </c>
      <c r="D168" s="1" t="n">
        <v>-12.9</v>
      </c>
      <c r="E168" s="2" t="n">
        <v>1.2</v>
      </c>
      <c r="F168" s="2" t="n">
        <v>168</v>
      </c>
      <c r="G168" s="2" t="n">
        <v>31.9</v>
      </c>
      <c r="H168" s="2" t="n">
        <v>-69.7</v>
      </c>
      <c r="I168" s="2" t="n">
        <v>-12.6</v>
      </c>
      <c r="J168" s="2" t="n">
        <v>25.5582785</v>
      </c>
    </row>
    <row r="169" customFormat="false" ht="15.8" hidden="false" customHeight="false" outlineLevel="0" collapsed="false">
      <c r="A169" s="1" t="n">
        <v>168</v>
      </c>
      <c r="B169" s="1" t="n">
        <v>31.9</v>
      </c>
      <c r="C169" s="1" t="n">
        <v>-69.7</v>
      </c>
      <c r="D169" s="1" t="n">
        <v>-12.6</v>
      </c>
      <c r="E169" s="2" t="n">
        <v>1.2</v>
      </c>
      <c r="F169" s="2" t="n">
        <v>167</v>
      </c>
      <c r="G169" s="2" t="n">
        <v>32.8</v>
      </c>
      <c r="H169" s="2" t="n">
        <v>-69</v>
      </c>
      <c r="I169" s="2" t="n">
        <v>-12.9</v>
      </c>
      <c r="J169" s="2" t="n">
        <v>26.68167161</v>
      </c>
    </row>
    <row r="170" customFormat="false" ht="15.8" hidden="false" customHeight="false" outlineLevel="0" collapsed="false">
      <c r="A170" s="1" t="n">
        <v>169</v>
      </c>
      <c r="B170" s="1" t="n">
        <v>29.9</v>
      </c>
      <c r="C170" s="1" t="n">
        <v>-69.4</v>
      </c>
      <c r="D170" s="1" t="n">
        <v>-10.4</v>
      </c>
      <c r="E170" s="2" t="n">
        <v>2.5</v>
      </c>
      <c r="F170" s="2" t="n">
        <v>170</v>
      </c>
      <c r="G170" s="2" t="n">
        <v>27.9</v>
      </c>
      <c r="H170" s="2" t="n">
        <v>-70.3</v>
      </c>
      <c r="I170" s="2" t="n">
        <v>-11.5</v>
      </c>
      <c r="J170" s="2" t="n">
        <v>28.90241512</v>
      </c>
    </row>
    <row r="171" customFormat="false" ht="15.8" hidden="false" customHeight="false" outlineLevel="0" collapsed="false">
      <c r="A171" s="1" t="n">
        <v>170</v>
      </c>
      <c r="B171" s="1" t="n">
        <v>27.9</v>
      </c>
      <c r="C171" s="1" t="n">
        <v>-70.3</v>
      </c>
      <c r="D171" s="1" t="n">
        <v>-11.5</v>
      </c>
      <c r="E171" s="2" t="n">
        <v>1.9</v>
      </c>
      <c r="F171" s="2" t="n">
        <v>171</v>
      </c>
      <c r="G171" s="2" t="n">
        <v>26.3</v>
      </c>
      <c r="H171" s="2" t="n">
        <v>-70.4</v>
      </c>
      <c r="I171" s="2" t="n">
        <v>-10.4</v>
      </c>
      <c r="J171" s="2" t="n">
        <v>30.13445868</v>
      </c>
    </row>
    <row r="172" customFormat="false" ht="15.8" hidden="false" customHeight="false" outlineLevel="0" collapsed="false">
      <c r="A172" s="1" t="n">
        <v>171</v>
      </c>
      <c r="B172" s="1" t="n">
        <v>26.3</v>
      </c>
      <c r="C172" s="1" t="n">
        <v>-70.4</v>
      </c>
      <c r="D172" s="1" t="n">
        <v>-10.4</v>
      </c>
      <c r="E172" s="2" t="n">
        <v>1.9</v>
      </c>
      <c r="F172" s="2" t="n">
        <v>170</v>
      </c>
      <c r="G172" s="2" t="n">
        <v>27.9</v>
      </c>
      <c r="H172" s="2" t="n">
        <v>-70.3</v>
      </c>
      <c r="I172" s="2" t="n">
        <v>-11.5</v>
      </c>
      <c r="J172" s="2" t="n">
        <v>31.81190972</v>
      </c>
    </row>
    <row r="173" customFormat="false" ht="15.8" hidden="false" customHeight="false" outlineLevel="0" collapsed="false">
      <c r="A173" s="1" t="n">
        <v>172</v>
      </c>
      <c r="B173" s="1" t="n">
        <v>40.7</v>
      </c>
      <c r="C173" s="1" t="n">
        <v>-66.3</v>
      </c>
      <c r="D173" s="1" t="n">
        <v>-16.3</v>
      </c>
      <c r="E173" s="2" t="n">
        <v>1</v>
      </c>
      <c r="F173" s="2" t="n">
        <v>178</v>
      </c>
      <c r="G173" s="2" t="n">
        <v>39.7</v>
      </c>
      <c r="H173" s="2" t="n">
        <v>-66.4</v>
      </c>
      <c r="I173" s="2" t="n">
        <v>-16.6</v>
      </c>
      <c r="J173" s="2" t="n">
        <v>17.85871216</v>
      </c>
    </row>
    <row r="174" customFormat="false" ht="15.8" hidden="false" customHeight="false" outlineLevel="0" collapsed="false">
      <c r="A174" s="1" t="n">
        <v>173</v>
      </c>
      <c r="B174" s="1" t="n">
        <v>38.1</v>
      </c>
      <c r="C174" s="1" t="n">
        <v>-67.6</v>
      </c>
      <c r="D174" s="1" t="n">
        <v>-14.8</v>
      </c>
      <c r="E174" s="2" t="n">
        <v>2.6</v>
      </c>
      <c r="F174" s="2" t="n">
        <v>174</v>
      </c>
      <c r="G174" s="2" t="n">
        <v>35.6</v>
      </c>
      <c r="H174" s="2" t="n">
        <v>-68.3</v>
      </c>
      <c r="I174" s="2" t="n">
        <v>-14.8</v>
      </c>
      <c r="J174" s="2" t="n">
        <v>20.76260099</v>
      </c>
    </row>
    <row r="175" customFormat="false" ht="15.8" hidden="false" customHeight="false" outlineLevel="0" collapsed="false">
      <c r="A175" s="1" t="n">
        <v>174</v>
      </c>
      <c r="B175" s="1" t="n">
        <v>35.6</v>
      </c>
      <c r="C175" s="1" t="n">
        <v>-68.3</v>
      </c>
      <c r="D175" s="1" t="n">
        <v>-14.8</v>
      </c>
      <c r="E175" s="2" t="n">
        <v>0.7</v>
      </c>
      <c r="F175" s="2" t="n">
        <v>175</v>
      </c>
      <c r="G175" s="2" t="n">
        <v>35.2</v>
      </c>
      <c r="H175" s="2" t="n">
        <v>-67.9</v>
      </c>
      <c r="I175" s="2" t="n">
        <v>-14.4</v>
      </c>
      <c r="J175" s="2" t="n">
        <v>22.52690835</v>
      </c>
    </row>
    <row r="176" customFormat="false" ht="15.8" hidden="false" customHeight="false" outlineLevel="0" collapsed="false">
      <c r="A176" s="1" t="n">
        <v>175</v>
      </c>
      <c r="B176" s="1" t="n">
        <v>35.2</v>
      </c>
      <c r="C176" s="1" t="n">
        <v>-67.9</v>
      </c>
      <c r="D176" s="1" t="n">
        <v>-14.4</v>
      </c>
      <c r="E176" s="2" t="n">
        <v>0.7</v>
      </c>
      <c r="F176" s="2" t="n">
        <v>174</v>
      </c>
      <c r="G176" s="2" t="n">
        <v>35.6</v>
      </c>
      <c r="H176" s="2" t="n">
        <v>-68.3</v>
      </c>
      <c r="I176" s="2" t="n">
        <v>-14.8</v>
      </c>
      <c r="J176" s="2" t="n">
        <v>22.6946161</v>
      </c>
    </row>
    <row r="177" customFormat="false" ht="15.8" hidden="false" customHeight="false" outlineLevel="0" collapsed="false">
      <c r="A177" s="1" t="n">
        <v>176</v>
      </c>
      <c r="B177" s="1" t="n">
        <v>33.1</v>
      </c>
      <c r="C177" s="1" t="n">
        <v>-68.3</v>
      </c>
      <c r="D177" s="1" t="n">
        <v>-14.4</v>
      </c>
      <c r="E177" s="2" t="n">
        <v>1.7</v>
      </c>
      <c r="F177" s="2" t="n">
        <v>167</v>
      </c>
      <c r="G177" s="2" t="n">
        <v>32.8</v>
      </c>
      <c r="H177" s="2" t="n">
        <v>-69</v>
      </c>
      <c r="I177" s="2" t="n">
        <v>-12.9</v>
      </c>
      <c r="J177" s="2" t="n">
        <v>24.19040306</v>
      </c>
    </row>
    <row r="178" customFormat="false" ht="15.8" hidden="false" customHeight="false" outlineLevel="0" collapsed="false">
      <c r="A178" s="1" t="n">
        <v>177</v>
      </c>
      <c r="B178" s="1" t="n">
        <v>37</v>
      </c>
      <c r="C178" s="1" t="n">
        <v>-64.6</v>
      </c>
      <c r="D178" s="1" t="n">
        <v>-17.4</v>
      </c>
      <c r="E178" s="2" t="n">
        <v>0.8</v>
      </c>
      <c r="F178" s="2" t="n">
        <v>165</v>
      </c>
      <c r="G178" s="2" t="n">
        <v>37.8</v>
      </c>
      <c r="H178" s="2" t="n">
        <v>-64.6</v>
      </c>
      <c r="I178" s="2" t="n">
        <v>-17.4</v>
      </c>
      <c r="J178" s="2" t="n">
        <v>18.03628565</v>
      </c>
    </row>
    <row r="179" customFormat="false" ht="15.8" hidden="false" customHeight="false" outlineLevel="0" collapsed="false">
      <c r="A179" s="1" t="n">
        <v>178</v>
      </c>
      <c r="B179" s="1" t="n">
        <v>39.7</v>
      </c>
      <c r="C179" s="1" t="n">
        <v>-66.4</v>
      </c>
      <c r="D179" s="1" t="n">
        <v>-16.6</v>
      </c>
      <c r="E179" s="2" t="n">
        <v>1</v>
      </c>
      <c r="F179" s="2" t="n">
        <v>172</v>
      </c>
      <c r="G179" s="2" t="n">
        <v>40.7</v>
      </c>
      <c r="H179" s="2" t="n">
        <v>-66.3</v>
      </c>
      <c r="I179" s="2" t="n">
        <v>-16.3</v>
      </c>
      <c r="J179" s="2" t="n">
        <v>18.20366996</v>
      </c>
    </row>
    <row r="180" customFormat="false" ht="15.8" hidden="false" customHeight="false" outlineLevel="0" collapsed="false">
      <c r="A180" s="1" t="n">
        <v>179</v>
      </c>
      <c r="B180" s="1" t="n">
        <v>47.8</v>
      </c>
      <c r="C180" s="1" t="n">
        <v>-70.2</v>
      </c>
      <c r="D180" s="1" t="n">
        <v>-16.3</v>
      </c>
      <c r="E180" s="2" t="n">
        <v>1.4</v>
      </c>
      <c r="F180" s="2" t="n">
        <v>181</v>
      </c>
      <c r="G180" s="2" t="n">
        <v>48</v>
      </c>
      <c r="H180" s="2" t="n">
        <v>-71</v>
      </c>
      <c r="I180" s="2" t="n">
        <v>-17.4</v>
      </c>
      <c r="J180" s="2" t="n">
        <v>19.5258188</v>
      </c>
    </row>
    <row r="181" customFormat="false" ht="15.8" hidden="false" customHeight="false" outlineLevel="0" collapsed="false">
      <c r="A181" s="1" t="n">
        <v>180</v>
      </c>
      <c r="B181" s="1" t="n">
        <v>46.5</v>
      </c>
      <c r="C181" s="1" t="n">
        <v>-71.5</v>
      </c>
      <c r="D181" s="1" t="n">
        <v>-16.6</v>
      </c>
      <c r="E181" s="2" t="n">
        <v>1.7</v>
      </c>
      <c r="F181" s="2" t="n">
        <v>188</v>
      </c>
      <c r="G181" s="2" t="n">
        <v>47</v>
      </c>
      <c r="H181" s="2" t="n">
        <v>-72.1</v>
      </c>
      <c r="I181" s="2" t="n">
        <v>-18.1</v>
      </c>
      <c r="J181" s="2" t="n">
        <v>20.57201011</v>
      </c>
    </row>
    <row r="182" customFormat="false" ht="15.8" hidden="false" customHeight="false" outlineLevel="0" collapsed="false">
      <c r="A182" s="1" t="n">
        <v>181</v>
      </c>
      <c r="B182" s="1" t="n">
        <v>48</v>
      </c>
      <c r="C182" s="1" t="n">
        <v>-71</v>
      </c>
      <c r="D182" s="1" t="n">
        <v>-17.4</v>
      </c>
      <c r="E182" s="2" t="n">
        <v>1.4</v>
      </c>
      <c r="F182" s="2" t="n">
        <v>179</v>
      </c>
      <c r="G182" s="2" t="n">
        <v>47.8</v>
      </c>
      <c r="H182" s="2" t="n">
        <v>-70.2</v>
      </c>
      <c r="I182" s="2" t="n">
        <v>-16.3</v>
      </c>
      <c r="J182" s="2" t="n">
        <v>19.7043041</v>
      </c>
    </row>
    <row r="183" customFormat="false" ht="15.8" hidden="false" customHeight="false" outlineLevel="0" collapsed="false">
      <c r="A183" s="1" t="n">
        <v>182</v>
      </c>
      <c r="B183" s="1" t="n">
        <v>52.2</v>
      </c>
      <c r="C183" s="1" t="n">
        <v>-74.6</v>
      </c>
      <c r="D183" s="1" t="n">
        <v>-18.9</v>
      </c>
      <c r="E183" s="2" t="n">
        <v>2.1</v>
      </c>
      <c r="F183" s="2" t="n">
        <v>183</v>
      </c>
      <c r="G183" s="2" t="n">
        <v>54.2</v>
      </c>
      <c r="H183" s="2" t="n">
        <v>-74.4</v>
      </c>
      <c r="I183" s="2" t="n">
        <v>-19.2</v>
      </c>
      <c r="J183" s="2" t="n">
        <v>22.8350958</v>
      </c>
    </row>
    <row r="184" customFormat="false" ht="15.8" hidden="false" customHeight="false" outlineLevel="0" collapsed="false">
      <c r="A184" s="1" t="n">
        <v>183</v>
      </c>
      <c r="B184" s="1" t="n">
        <v>54.2</v>
      </c>
      <c r="C184" s="1" t="n">
        <v>-74.4</v>
      </c>
      <c r="D184" s="1" t="n">
        <v>-19.2</v>
      </c>
      <c r="E184" s="2" t="n">
        <v>1.5</v>
      </c>
      <c r="F184" s="2" t="n">
        <v>187</v>
      </c>
      <c r="G184" s="2" t="n">
        <v>54.1</v>
      </c>
      <c r="H184" s="2" t="n">
        <v>-73.4</v>
      </c>
      <c r="I184" s="2" t="n">
        <v>-18.1</v>
      </c>
      <c r="J184" s="2" t="n">
        <v>23.00755528</v>
      </c>
    </row>
    <row r="185" customFormat="false" ht="15.8" hidden="false" customHeight="false" outlineLevel="0" collapsed="false">
      <c r="A185" s="1" t="n">
        <v>184</v>
      </c>
      <c r="B185" s="1" t="n">
        <v>49.2</v>
      </c>
      <c r="C185" s="1" t="n">
        <v>-74.9</v>
      </c>
      <c r="D185" s="1" t="n">
        <v>-18.9</v>
      </c>
      <c r="E185" s="2" t="n">
        <v>1.3</v>
      </c>
      <c r="F185" s="2" t="n">
        <v>185</v>
      </c>
      <c r="G185" s="2" t="n">
        <v>50.2</v>
      </c>
      <c r="H185" s="2" t="n">
        <v>-75.7</v>
      </c>
      <c r="I185" s="2" t="n">
        <v>-18.9</v>
      </c>
      <c r="J185" s="2" t="n">
        <v>22.76654563</v>
      </c>
    </row>
    <row r="186" customFormat="false" ht="15.8" hidden="false" customHeight="false" outlineLevel="0" collapsed="false">
      <c r="A186" s="1" t="n">
        <v>185</v>
      </c>
      <c r="B186" s="1" t="n">
        <v>50.2</v>
      </c>
      <c r="C186" s="1" t="n">
        <v>-75.7</v>
      </c>
      <c r="D186" s="1" t="n">
        <v>-18.9</v>
      </c>
      <c r="E186" s="2" t="n">
        <v>1.3</v>
      </c>
      <c r="F186" s="2" t="n">
        <v>184</v>
      </c>
      <c r="G186" s="2" t="n">
        <v>49.2</v>
      </c>
      <c r="H186" s="2" t="n">
        <v>-74.9</v>
      </c>
      <c r="I186" s="2" t="n">
        <v>-18.9</v>
      </c>
      <c r="J186" s="2" t="n">
        <v>23.59533005</v>
      </c>
    </row>
    <row r="187" customFormat="false" ht="15.8" hidden="false" customHeight="false" outlineLevel="0" collapsed="false">
      <c r="A187" s="1" t="n">
        <v>186</v>
      </c>
      <c r="B187" s="1" t="n">
        <v>55.6</v>
      </c>
      <c r="C187" s="1" t="n">
        <v>-73.4</v>
      </c>
      <c r="D187" s="1" t="n">
        <v>-17.4</v>
      </c>
      <c r="E187" s="2" t="n">
        <v>1.7</v>
      </c>
      <c r="F187" s="2" t="n">
        <v>187</v>
      </c>
      <c r="G187" s="2" t="n">
        <v>54.1</v>
      </c>
      <c r="H187" s="2" t="n">
        <v>-73.4</v>
      </c>
      <c r="I187" s="2" t="n">
        <v>-18.1</v>
      </c>
      <c r="J187" s="2" t="n">
        <v>23.14829583</v>
      </c>
    </row>
    <row r="188" customFormat="false" ht="15.8" hidden="false" customHeight="false" outlineLevel="0" collapsed="false">
      <c r="A188" s="1" t="n">
        <v>187</v>
      </c>
      <c r="B188" s="1" t="n">
        <v>54.1</v>
      </c>
      <c r="C188" s="1" t="n">
        <v>-73.4</v>
      </c>
      <c r="D188" s="1" t="n">
        <v>-18.1</v>
      </c>
      <c r="E188" s="2" t="n">
        <v>1.5</v>
      </c>
      <c r="F188" s="2" t="n">
        <v>183</v>
      </c>
      <c r="G188" s="2" t="n">
        <v>54.2</v>
      </c>
      <c r="H188" s="2" t="n">
        <v>-74.4</v>
      </c>
      <c r="I188" s="2" t="n">
        <v>-19.2</v>
      </c>
      <c r="J188" s="2" t="n">
        <v>22.4412923</v>
      </c>
    </row>
    <row r="189" customFormat="false" ht="15.8" hidden="false" customHeight="false" outlineLevel="0" collapsed="false">
      <c r="A189" s="1" t="n">
        <v>188</v>
      </c>
      <c r="B189" s="1" t="n">
        <v>47</v>
      </c>
      <c r="C189" s="1" t="n">
        <v>-72.1</v>
      </c>
      <c r="D189" s="1" t="n">
        <v>-18.1</v>
      </c>
      <c r="E189" s="2" t="n">
        <v>1.6</v>
      </c>
      <c r="F189" s="2" t="n">
        <v>181</v>
      </c>
      <c r="G189" s="2" t="n">
        <v>48</v>
      </c>
      <c r="H189" s="2" t="n">
        <v>-71</v>
      </c>
      <c r="I189" s="2" t="n">
        <v>-17.4</v>
      </c>
      <c r="J189" s="2" t="n">
        <v>20.43417725</v>
      </c>
    </row>
    <row r="190" customFormat="false" ht="15.8" hidden="false" customHeight="false" outlineLevel="0" collapsed="false">
      <c r="A190" s="1" t="n">
        <v>189</v>
      </c>
      <c r="B190" s="1" t="n">
        <v>45.4</v>
      </c>
      <c r="C190" s="1" t="n">
        <v>-72.2</v>
      </c>
      <c r="D190" s="1" t="n">
        <v>-17.8</v>
      </c>
      <c r="E190" s="2" t="n">
        <v>1.6</v>
      </c>
      <c r="F190" s="2" t="n">
        <v>188</v>
      </c>
      <c r="G190" s="2" t="n">
        <v>47</v>
      </c>
      <c r="H190" s="2" t="n">
        <v>-72.1</v>
      </c>
      <c r="I190" s="2" t="n">
        <v>-18.1</v>
      </c>
      <c r="J190" s="2" t="n">
        <v>20.78796767</v>
      </c>
    </row>
    <row r="191" customFormat="false" ht="15.8" hidden="false" customHeight="false" outlineLevel="0" collapsed="false">
      <c r="A191" s="1" t="n">
        <v>190</v>
      </c>
      <c r="B191" s="1" t="n">
        <v>39.8</v>
      </c>
      <c r="C191" s="1" t="n">
        <v>-73.2</v>
      </c>
      <c r="D191" s="1" t="n">
        <v>-15.5</v>
      </c>
      <c r="E191" s="2" t="n">
        <v>1.3</v>
      </c>
      <c r="F191" s="2" t="n">
        <v>191</v>
      </c>
      <c r="G191" s="2" t="n">
        <v>39.7</v>
      </c>
      <c r="H191" s="2" t="n">
        <v>-74.3</v>
      </c>
      <c r="I191" s="2" t="n">
        <v>-16.3</v>
      </c>
      <c r="J191" s="2" t="n">
        <v>23.99136511</v>
      </c>
    </row>
    <row r="192" customFormat="false" ht="15.8" hidden="false" customHeight="false" outlineLevel="0" collapsed="false">
      <c r="A192" s="1" t="n">
        <v>191</v>
      </c>
      <c r="B192" s="1" t="n">
        <v>39.7</v>
      </c>
      <c r="C192" s="1" t="n">
        <v>-74.3</v>
      </c>
      <c r="D192" s="1" t="n">
        <v>-16.3</v>
      </c>
      <c r="E192" s="2" t="n">
        <v>1.3</v>
      </c>
      <c r="F192" s="2" t="n">
        <v>190</v>
      </c>
      <c r="G192" s="2" t="n">
        <v>39.8</v>
      </c>
      <c r="H192" s="2" t="n">
        <v>-73.2</v>
      </c>
      <c r="I192" s="2" t="n">
        <v>-15.5</v>
      </c>
      <c r="J192" s="2" t="n">
        <v>24.61003048</v>
      </c>
    </row>
    <row r="193" customFormat="false" ht="15.8" hidden="false" customHeight="false" outlineLevel="0" collapsed="false">
      <c r="A193" s="1" t="n">
        <v>192</v>
      </c>
      <c r="B193" s="1" t="n">
        <v>29.2</v>
      </c>
      <c r="C193" s="1" t="n">
        <v>-60.2</v>
      </c>
      <c r="D193" s="1" t="n">
        <v>-21.5</v>
      </c>
      <c r="E193" s="2" t="n">
        <v>3.6</v>
      </c>
      <c r="F193" s="2" t="n">
        <v>211</v>
      </c>
      <c r="G193" s="2" t="n">
        <v>30.8</v>
      </c>
      <c r="H193" s="2" t="n">
        <v>-62.2</v>
      </c>
      <c r="I193" s="2" t="n">
        <v>-24</v>
      </c>
      <c r="J193" s="2" t="n">
        <v>20.58236138</v>
      </c>
    </row>
    <row r="194" customFormat="false" ht="15.8" hidden="false" customHeight="false" outlineLevel="0" collapsed="false">
      <c r="A194" s="1" t="n">
        <v>193</v>
      </c>
      <c r="B194" s="1" t="n">
        <v>40.1</v>
      </c>
      <c r="C194" s="1" t="n">
        <v>-62.9</v>
      </c>
      <c r="D194" s="1" t="n">
        <v>-23.3</v>
      </c>
      <c r="E194" s="2" t="n">
        <v>2.8</v>
      </c>
      <c r="F194" s="2" t="n">
        <v>149</v>
      </c>
      <c r="G194" s="2" t="n">
        <v>42.7</v>
      </c>
      <c r="H194" s="2" t="n">
        <v>-61.9</v>
      </c>
      <c r="I194" s="2" t="n">
        <v>-23.7</v>
      </c>
      <c r="J194" s="2" t="n">
        <v>12.74164825</v>
      </c>
    </row>
    <row r="195" customFormat="false" ht="15.8" hidden="false" customHeight="false" outlineLevel="0" collapsed="false">
      <c r="A195" s="1" t="n">
        <v>194</v>
      </c>
      <c r="B195" s="1" t="n">
        <v>38</v>
      </c>
      <c r="C195" s="1" t="n">
        <v>-61</v>
      </c>
      <c r="D195" s="1" t="n">
        <v>-22.6</v>
      </c>
      <c r="E195" s="2" t="n">
        <v>2.6</v>
      </c>
      <c r="F195" s="2" t="n">
        <v>215</v>
      </c>
      <c r="G195" s="2" t="n">
        <v>39.2</v>
      </c>
      <c r="H195" s="2" t="n">
        <v>-58.9</v>
      </c>
      <c r="I195" s="2" t="n">
        <v>-23.3</v>
      </c>
      <c r="J195" s="2" t="n">
        <v>13.11440429</v>
      </c>
    </row>
    <row r="196" customFormat="false" ht="15.8" hidden="false" customHeight="false" outlineLevel="0" collapsed="false">
      <c r="A196" s="1" t="n">
        <v>195</v>
      </c>
      <c r="B196" s="1" t="n">
        <v>32.6</v>
      </c>
      <c r="C196" s="1" t="n">
        <v>-75.9</v>
      </c>
      <c r="D196" s="1" t="n">
        <v>-15.2</v>
      </c>
      <c r="E196" s="2" t="n">
        <v>3.7</v>
      </c>
      <c r="F196" s="2" t="n">
        <v>196</v>
      </c>
      <c r="G196" s="2" t="n">
        <v>32.9</v>
      </c>
      <c r="H196" s="2" t="n">
        <v>-72.4</v>
      </c>
      <c r="I196" s="2" t="n">
        <v>-14.1</v>
      </c>
      <c r="J196" s="2" t="n">
        <v>29.44495882</v>
      </c>
    </row>
    <row r="197" customFormat="false" ht="15.8" hidden="false" customHeight="false" outlineLevel="0" collapsed="false">
      <c r="A197" s="1" t="n">
        <v>196</v>
      </c>
      <c r="B197" s="1" t="n">
        <v>32.9</v>
      </c>
      <c r="C197" s="1" t="n">
        <v>-72.4</v>
      </c>
      <c r="D197" s="1" t="n">
        <v>-14.1</v>
      </c>
      <c r="E197" s="2" t="n">
        <v>1.9</v>
      </c>
      <c r="F197" s="2" t="n">
        <v>197</v>
      </c>
      <c r="G197" s="2" t="n">
        <v>33.9</v>
      </c>
      <c r="H197" s="2" t="n">
        <v>-70.9</v>
      </c>
      <c r="I197" s="2" t="n">
        <v>-14.4</v>
      </c>
      <c r="J197" s="2" t="n">
        <v>27.16003682</v>
      </c>
    </row>
    <row r="198" customFormat="false" ht="15.8" hidden="false" customHeight="false" outlineLevel="0" collapsed="false">
      <c r="A198" s="1" t="n">
        <v>197</v>
      </c>
      <c r="B198" s="1" t="n">
        <v>33.9</v>
      </c>
      <c r="C198" s="1" t="n">
        <v>-70.9</v>
      </c>
      <c r="D198" s="1" t="n">
        <v>-14.4</v>
      </c>
      <c r="E198" s="2" t="n">
        <v>1.9</v>
      </c>
      <c r="F198" s="2" t="n">
        <v>196</v>
      </c>
      <c r="G198" s="2" t="n">
        <v>32.9</v>
      </c>
      <c r="H198" s="2" t="n">
        <v>-72.4</v>
      </c>
      <c r="I198" s="2" t="n">
        <v>-14.1</v>
      </c>
      <c r="J198" s="2" t="n">
        <v>25.42360321</v>
      </c>
    </row>
    <row r="199" customFormat="false" ht="15.8" hidden="false" customHeight="false" outlineLevel="0" collapsed="false">
      <c r="A199" s="1" t="n">
        <v>198</v>
      </c>
      <c r="B199" s="1" t="n">
        <v>42.4</v>
      </c>
      <c r="C199" s="1" t="n">
        <v>-72.4</v>
      </c>
      <c r="D199" s="1" t="n">
        <v>-22.6</v>
      </c>
      <c r="E199" s="2" t="n">
        <v>2.5</v>
      </c>
      <c r="F199" s="2" t="n">
        <v>224</v>
      </c>
      <c r="G199" s="2" t="n">
        <v>43.4</v>
      </c>
      <c r="H199" s="2" t="n">
        <v>-73.7</v>
      </c>
      <c r="I199" s="2" t="n">
        <v>-24.4</v>
      </c>
      <c r="J199" s="2" t="n">
        <v>20.1778988</v>
      </c>
    </row>
    <row r="200" customFormat="false" ht="15.8" hidden="false" customHeight="false" outlineLevel="0" collapsed="false">
      <c r="A200" s="1" t="n">
        <v>199</v>
      </c>
      <c r="B200" s="1" t="n">
        <v>33.5</v>
      </c>
      <c r="C200" s="1" t="n">
        <v>-68.6</v>
      </c>
      <c r="D200" s="1" t="n">
        <v>-18.9</v>
      </c>
      <c r="E200" s="2" t="n">
        <v>3.1</v>
      </c>
      <c r="F200" s="2" t="n">
        <v>200</v>
      </c>
      <c r="G200" s="2" t="n">
        <v>32.6</v>
      </c>
      <c r="H200" s="2" t="n">
        <v>-66.1</v>
      </c>
      <c r="I200" s="2" t="n">
        <v>-20.3</v>
      </c>
      <c r="J200" s="2" t="n">
        <v>22.28604047</v>
      </c>
    </row>
    <row r="201" customFormat="false" ht="15.8" hidden="false" customHeight="false" outlineLevel="0" collapsed="false">
      <c r="A201" s="1" t="n">
        <v>200</v>
      </c>
      <c r="B201" s="1" t="n">
        <v>32.6</v>
      </c>
      <c r="C201" s="1" t="n">
        <v>-66.1</v>
      </c>
      <c r="D201" s="1" t="n">
        <v>-20.3</v>
      </c>
      <c r="E201" s="2" t="n">
        <v>1.3</v>
      </c>
      <c r="F201" s="2" t="n">
        <v>201</v>
      </c>
      <c r="G201" s="2" t="n">
        <v>33.6</v>
      </c>
      <c r="H201" s="2" t="n">
        <v>-65.4</v>
      </c>
      <c r="I201" s="2" t="n">
        <v>-20</v>
      </c>
      <c r="J201" s="2" t="n">
        <v>20.86325957</v>
      </c>
    </row>
    <row r="202" customFormat="false" ht="15.8" hidden="false" customHeight="false" outlineLevel="0" collapsed="false">
      <c r="A202" s="1" t="n">
        <v>201</v>
      </c>
      <c r="B202" s="1" t="n">
        <v>33.6</v>
      </c>
      <c r="C202" s="1" t="n">
        <v>-65.4</v>
      </c>
      <c r="D202" s="1" t="n">
        <v>-20</v>
      </c>
      <c r="E202" s="2" t="n">
        <v>1.3</v>
      </c>
      <c r="F202" s="2" t="n">
        <v>200</v>
      </c>
      <c r="G202" s="2" t="n">
        <v>32.6</v>
      </c>
      <c r="H202" s="2" t="n">
        <v>-66.1</v>
      </c>
      <c r="I202" s="2" t="n">
        <v>-20.3</v>
      </c>
      <c r="J202" s="2" t="n">
        <v>19.79059373</v>
      </c>
    </row>
    <row r="203" customFormat="false" ht="15.8" hidden="false" customHeight="false" outlineLevel="0" collapsed="false">
      <c r="A203" s="1" t="n">
        <v>202</v>
      </c>
      <c r="B203" s="1" t="n">
        <v>39.5</v>
      </c>
      <c r="C203" s="1" t="n">
        <v>-66.2</v>
      </c>
      <c r="D203" s="1" t="n">
        <v>-21.1</v>
      </c>
      <c r="E203" s="2" t="n">
        <v>0.4</v>
      </c>
      <c r="F203" s="2" t="n">
        <v>207</v>
      </c>
      <c r="G203" s="2" t="n">
        <v>39.6</v>
      </c>
      <c r="H203" s="2" t="n">
        <v>-66</v>
      </c>
      <c r="I203" s="2" t="n">
        <v>-21.5</v>
      </c>
      <c r="J203" s="2" t="n">
        <v>16.23587386</v>
      </c>
    </row>
    <row r="204" customFormat="false" ht="15.8" hidden="false" customHeight="false" outlineLevel="0" collapsed="false">
      <c r="A204" s="1" t="n">
        <v>203</v>
      </c>
      <c r="B204" s="1" t="n">
        <v>38.5</v>
      </c>
      <c r="C204" s="1" t="n">
        <v>-65.5</v>
      </c>
      <c r="D204" s="1" t="n">
        <v>-20.7</v>
      </c>
      <c r="E204" s="2" t="n">
        <v>1.3</v>
      </c>
      <c r="F204" s="2" t="n">
        <v>202</v>
      </c>
      <c r="G204" s="2" t="n">
        <v>39.5</v>
      </c>
      <c r="H204" s="2" t="n">
        <v>-66.2</v>
      </c>
      <c r="I204" s="2" t="n">
        <v>-21.1</v>
      </c>
      <c r="J204" s="2" t="n">
        <v>16.38357714</v>
      </c>
    </row>
    <row r="205" customFormat="false" ht="15.8" hidden="false" customHeight="false" outlineLevel="0" collapsed="false">
      <c r="A205" s="1" t="n">
        <v>204</v>
      </c>
      <c r="B205" s="1" t="n">
        <v>45.9</v>
      </c>
      <c r="C205" s="1" t="n">
        <v>-69.9</v>
      </c>
      <c r="D205" s="1" t="n">
        <v>-26.6</v>
      </c>
      <c r="E205" s="2" t="n">
        <v>1.8</v>
      </c>
      <c r="F205" s="2" t="n">
        <v>225</v>
      </c>
      <c r="G205" s="2" t="n">
        <v>45.6</v>
      </c>
      <c r="H205" s="2" t="n">
        <v>-71.4</v>
      </c>
      <c r="I205" s="2" t="n">
        <v>-25.9</v>
      </c>
      <c r="J205" s="2" t="n">
        <v>16.68315318</v>
      </c>
    </row>
    <row r="206" customFormat="false" ht="15.8" hidden="false" customHeight="false" outlineLevel="0" collapsed="false">
      <c r="A206" s="1" t="n">
        <v>205</v>
      </c>
      <c r="B206" s="1" t="n">
        <v>37.5</v>
      </c>
      <c r="C206" s="1" t="n">
        <v>-66.6</v>
      </c>
      <c r="D206" s="1" t="n">
        <v>-24.4</v>
      </c>
      <c r="E206" s="2" t="n">
        <v>3.6</v>
      </c>
      <c r="F206" s="2" t="n">
        <v>207</v>
      </c>
      <c r="G206" s="2" t="n">
        <v>39.6</v>
      </c>
      <c r="H206" s="2" t="n">
        <v>-66</v>
      </c>
      <c r="I206" s="2" t="n">
        <v>-21.5</v>
      </c>
      <c r="J206" s="2" t="n">
        <v>17.0163921</v>
      </c>
    </row>
    <row r="207" customFormat="false" ht="15.8" hidden="false" customHeight="false" outlineLevel="0" collapsed="false">
      <c r="A207" s="1" t="n">
        <v>206</v>
      </c>
      <c r="B207" s="1" t="n">
        <v>47</v>
      </c>
      <c r="C207" s="1" t="n">
        <v>-67.3</v>
      </c>
      <c r="D207" s="1" t="n">
        <v>-22.9</v>
      </c>
      <c r="E207" s="2" t="n">
        <v>2.3</v>
      </c>
      <c r="F207" s="2" t="n">
        <v>141</v>
      </c>
      <c r="G207" s="2" t="n">
        <v>47.1</v>
      </c>
      <c r="H207" s="2" t="n">
        <v>-68.6</v>
      </c>
      <c r="I207" s="2" t="n">
        <v>-24.8</v>
      </c>
      <c r="J207" s="2" t="n">
        <v>14.35839824</v>
      </c>
    </row>
    <row r="208" customFormat="false" ht="15.8" hidden="false" customHeight="false" outlineLevel="0" collapsed="false">
      <c r="A208" s="1" t="n">
        <v>207</v>
      </c>
      <c r="B208" s="1" t="n">
        <v>39.6</v>
      </c>
      <c r="C208" s="1" t="n">
        <v>-66</v>
      </c>
      <c r="D208" s="1" t="n">
        <v>-21.5</v>
      </c>
      <c r="E208" s="2" t="n">
        <v>0.4</v>
      </c>
      <c r="F208" s="2" t="n">
        <v>202</v>
      </c>
      <c r="G208" s="2" t="n">
        <v>39.5</v>
      </c>
      <c r="H208" s="2" t="n">
        <v>-66.2</v>
      </c>
      <c r="I208" s="2" t="n">
        <v>-21.1</v>
      </c>
      <c r="J208" s="2" t="n">
        <v>15.90300601</v>
      </c>
    </row>
    <row r="209" customFormat="false" ht="15.8" hidden="false" customHeight="false" outlineLevel="0" collapsed="false">
      <c r="A209" s="1" t="n">
        <v>208</v>
      </c>
      <c r="B209" s="1" t="n">
        <v>37.9</v>
      </c>
      <c r="C209" s="1" t="n">
        <v>-63.5</v>
      </c>
      <c r="D209" s="1" t="n">
        <v>-19.2</v>
      </c>
      <c r="E209" s="2" t="n">
        <v>0.2</v>
      </c>
      <c r="F209" s="2" t="n">
        <v>158</v>
      </c>
      <c r="G209" s="2" t="n">
        <v>37.7</v>
      </c>
      <c r="H209" s="2" t="n">
        <v>-63.5</v>
      </c>
      <c r="I209" s="2" t="n">
        <v>-19.2</v>
      </c>
      <c r="J209" s="2" t="n">
        <v>15.94865512</v>
      </c>
    </row>
    <row r="210" customFormat="false" ht="15.8" hidden="false" customHeight="false" outlineLevel="0" collapsed="false">
      <c r="A210" s="1" t="n">
        <v>209</v>
      </c>
      <c r="B210" s="1" t="n">
        <v>32.7</v>
      </c>
      <c r="C210" s="1" t="n">
        <v>-59.7</v>
      </c>
      <c r="D210" s="1" t="n">
        <v>-23.7</v>
      </c>
      <c r="E210" s="2" t="n">
        <v>2.3</v>
      </c>
      <c r="F210" s="2" t="n">
        <v>214</v>
      </c>
      <c r="G210" s="2" t="n">
        <v>34.8</v>
      </c>
      <c r="H210" s="2" t="n">
        <v>-59</v>
      </c>
      <c r="I210" s="2" t="n">
        <v>-23.3</v>
      </c>
      <c r="J210" s="2" t="n">
        <v>16.78277689</v>
      </c>
    </row>
    <row r="211" customFormat="false" ht="15.8" hidden="false" customHeight="false" outlineLevel="0" collapsed="false">
      <c r="A211" s="1" t="n">
        <v>210</v>
      </c>
      <c r="B211" s="1" t="n">
        <v>35.4</v>
      </c>
      <c r="C211" s="1" t="n">
        <v>-63.5</v>
      </c>
      <c r="D211" s="1" t="n">
        <v>-24.8</v>
      </c>
      <c r="E211" s="2" t="n">
        <v>3.7</v>
      </c>
      <c r="F211" s="2" t="n">
        <v>205</v>
      </c>
      <c r="G211" s="2" t="n">
        <v>37.5</v>
      </c>
      <c r="H211" s="2" t="n">
        <v>-66.6</v>
      </c>
      <c r="I211" s="2" t="n">
        <v>-24.4</v>
      </c>
      <c r="J211" s="2" t="n">
        <v>16.26325921</v>
      </c>
    </row>
    <row r="212" customFormat="false" ht="15.8" hidden="false" customHeight="false" outlineLevel="0" collapsed="false">
      <c r="A212" s="1" t="n">
        <v>211</v>
      </c>
      <c r="B212" s="1" t="n">
        <v>30.8</v>
      </c>
      <c r="C212" s="1" t="n">
        <v>-62.2</v>
      </c>
      <c r="D212" s="1" t="n">
        <v>-24</v>
      </c>
      <c r="E212" s="2" t="n">
        <v>3.2</v>
      </c>
      <c r="F212" s="2" t="n">
        <v>209</v>
      </c>
      <c r="G212" s="2" t="n">
        <v>32.7</v>
      </c>
      <c r="H212" s="2" t="n">
        <v>-59.7</v>
      </c>
      <c r="I212" s="2" t="n">
        <v>-23.7</v>
      </c>
      <c r="J212" s="2" t="n">
        <v>19.49655354</v>
      </c>
    </row>
    <row r="213" customFormat="false" ht="15.8" hidden="false" customHeight="false" outlineLevel="0" collapsed="false">
      <c r="A213" s="1" t="n">
        <v>212</v>
      </c>
      <c r="B213" s="1" t="n">
        <v>26</v>
      </c>
      <c r="C213" s="1" t="n">
        <v>-61.6</v>
      </c>
      <c r="D213" s="1" t="n">
        <v>-22.9</v>
      </c>
      <c r="E213" s="2" t="n">
        <v>0.8</v>
      </c>
      <c r="F213" s="2" t="n">
        <v>213</v>
      </c>
      <c r="G213" s="2" t="n">
        <v>26.1</v>
      </c>
      <c r="H213" s="2" t="n">
        <v>-62.3</v>
      </c>
      <c r="I213" s="2" t="n">
        <v>-23.3</v>
      </c>
      <c r="J213" s="2" t="n">
        <v>23.75747461</v>
      </c>
    </row>
    <row r="214" customFormat="false" ht="15.8" hidden="false" customHeight="false" outlineLevel="0" collapsed="false">
      <c r="A214" s="1" t="n">
        <v>213</v>
      </c>
      <c r="B214" s="1" t="n">
        <v>26.1</v>
      </c>
      <c r="C214" s="1" t="n">
        <v>-62.3</v>
      </c>
      <c r="D214" s="1" t="n">
        <v>-23.3</v>
      </c>
      <c r="E214" s="2" t="n">
        <v>0.8</v>
      </c>
      <c r="F214" s="2" t="n">
        <v>212</v>
      </c>
      <c r="G214" s="2" t="n">
        <v>26</v>
      </c>
      <c r="H214" s="2" t="n">
        <v>-61.6</v>
      </c>
      <c r="I214" s="2" t="n">
        <v>-22.9</v>
      </c>
      <c r="J214" s="2" t="n">
        <v>23.86590874</v>
      </c>
    </row>
    <row r="215" customFormat="false" ht="15.8" hidden="false" customHeight="false" outlineLevel="0" collapsed="false">
      <c r="A215" s="1" t="n">
        <v>214</v>
      </c>
      <c r="B215" s="1" t="n">
        <v>34.8</v>
      </c>
      <c r="C215" s="1" t="n">
        <v>-59</v>
      </c>
      <c r="D215" s="1" t="n">
        <v>-23.3</v>
      </c>
      <c r="E215" s="2" t="n">
        <v>2</v>
      </c>
      <c r="F215" s="2" t="n">
        <v>4</v>
      </c>
      <c r="G215" s="2" t="n">
        <v>35.1</v>
      </c>
      <c r="H215" s="2" t="n">
        <v>-58.3</v>
      </c>
      <c r="I215" s="2" t="n">
        <v>-21.5</v>
      </c>
      <c r="J215" s="2" t="n">
        <v>14.67656636</v>
      </c>
    </row>
    <row r="216" customFormat="false" ht="15.8" hidden="false" customHeight="false" outlineLevel="0" collapsed="false">
      <c r="A216" s="1" t="n">
        <v>215</v>
      </c>
      <c r="B216" s="1" t="n">
        <v>39.2</v>
      </c>
      <c r="C216" s="1" t="n">
        <v>-58.9</v>
      </c>
      <c r="D216" s="1" t="n">
        <v>-23.3</v>
      </c>
      <c r="E216" s="2" t="n">
        <v>2.6</v>
      </c>
      <c r="F216" s="2" t="n">
        <v>194</v>
      </c>
      <c r="G216" s="2" t="n">
        <v>38</v>
      </c>
      <c r="H216" s="2" t="n">
        <v>-61</v>
      </c>
      <c r="I216" s="2" t="n">
        <v>-22.6</v>
      </c>
      <c r="J216" s="2" t="n">
        <v>10.82273533</v>
      </c>
    </row>
    <row r="217" customFormat="false" ht="15.8" hidden="false" customHeight="false" outlineLevel="0" collapsed="false">
      <c r="A217" s="1" t="n">
        <v>216</v>
      </c>
      <c r="B217" s="1" t="n">
        <v>66.1</v>
      </c>
      <c r="C217" s="1" t="n">
        <v>-68.3</v>
      </c>
      <c r="D217" s="1" t="n">
        <v>-22.6</v>
      </c>
      <c r="E217" s="2" t="n">
        <v>0.9</v>
      </c>
      <c r="F217" s="2" t="n">
        <v>220</v>
      </c>
      <c r="G217" s="2" t="n">
        <v>65.8</v>
      </c>
      <c r="H217" s="2" t="n">
        <v>-69.2</v>
      </c>
      <c r="I217" s="2" t="n">
        <v>-22.2</v>
      </c>
      <c r="J217" s="2" t="n">
        <v>23.71041122</v>
      </c>
    </row>
    <row r="218" customFormat="false" ht="15.8" hidden="false" customHeight="false" outlineLevel="0" collapsed="false">
      <c r="A218" s="1" t="n">
        <v>217</v>
      </c>
      <c r="B218" s="1" t="n">
        <v>74.3</v>
      </c>
      <c r="C218" s="1" t="n">
        <v>-69.8</v>
      </c>
      <c r="D218" s="1" t="n">
        <v>-22.6</v>
      </c>
      <c r="E218" s="2" t="n">
        <v>3.9</v>
      </c>
      <c r="F218" s="2" t="n">
        <v>229</v>
      </c>
      <c r="G218" s="2" t="n">
        <v>77.2</v>
      </c>
      <c r="H218" s="2" t="n">
        <v>-72.5</v>
      </c>
      <c r="I218" s="2" t="n">
        <v>-22.9</v>
      </c>
      <c r="J218" s="2" t="n">
        <v>31.18777966</v>
      </c>
    </row>
    <row r="219" customFormat="false" ht="15.8" hidden="false" customHeight="false" outlineLevel="0" collapsed="false">
      <c r="A219" s="1" t="n">
        <v>218</v>
      </c>
      <c r="B219" s="1" t="n">
        <v>70.4</v>
      </c>
      <c r="C219" s="1" t="n">
        <v>-69.9</v>
      </c>
      <c r="D219" s="1" t="n">
        <v>-22.2</v>
      </c>
      <c r="E219" s="2" t="n">
        <v>2.8</v>
      </c>
      <c r="F219" s="2" t="n">
        <v>239</v>
      </c>
      <c r="G219" s="2" t="n">
        <v>70.5</v>
      </c>
      <c r="H219" s="2" t="n">
        <v>-68.9</v>
      </c>
      <c r="I219" s="2" t="n">
        <v>-24.8</v>
      </c>
      <c r="J219" s="2" t="n">
        <v>28.09593565</v>
      </c>
    </row>
    <row r="220" customFormat="false" ht="15.8" hidden="false" customHeight="false" outlineLevel="0" collapsed="false">
      <c r="A220" s="1" t="n">
        <v>219</v>
      </c>
      <c r="B220" s="1" t="n">
        <v>70.2</v>
      </c>
      <c r="C220" s="1" t="n">
        <v>-66.7</v>
      </c>
      <c r="D220" s="1" t="n">
        <v>-24</v>
      </c>
      <c r="E220" s="2" t="n">
        <v>2.4</v>
      </c>
      <c r="F220" s="2" t="n">
        <v>239</v>
      </c>
      <c r="G220" s="2" t="n">
        <v>70.5</v>
      </c>
      <c r="H220" s="2" t="n">
        <v>-68.9</v>
      </c>
      <c r="I220" s="2" t="n">
        <v>-24.8</v>
      </c>
      <c r="J220" s="2" t="n">
        <v>25.9571493</v>
      </c>
    </row>
    <row r="221" customFormat="false" ht="15.8" hidden="false" customHeight="false" outlineLevel="0" collapsed="false">
      <c r="A221" s="1" t="n">
        <v>220</v>
      </c>
      <c r="B221" s="1" t="n">
        <v>65.8</v>
      </c>
      <c r="C221" s="1" t="n">
        <v>-69.2</v>
      </c>
      <c r="D221" s="1" t="n">
        <v>-22.2</v>
      </c>
      <c r="E221" s="2" t="n">
        <v>0.9</v>
      </c>
      <c r="F221" s="2" t="n">
        <v>216</v>
      </c>
      <c r="G221" s="2" t="n">
        <v>66.1</v>
      </c>
      <c r="H221" s="2" t="n">
        <v>-68.3</v>
      </c>
      <c r="I221" s="2" t="n">
        <v>-22.6</v>
      </c>
      <c r="J221" s="2" t="n">
        <v>24.12806664</v>
      </c>
    </row>
    <row r="222" customFormat="false" ht="15.8" hidden="false" customHeight="false" outlineLevel="0" collapsed="false">
      <c r="A222" s="1" t="n">
        <v>221</v>
      </c>
      <c r="B222" s="1" t="n">
        <v>58.4</v>
      </c>
      <c r="C222" s="1" t="n">
        <v>-66.6</v>
      </c>
      <c r="D222" s="1" t="n">
        <v>-24</v>
      </c>
      <c r="E222" s="2" t="n">
        <v>1.4</v>
      </c>
      <c r="F222" s="2" t="n">
        <v>222</v>
      </c>
      <c r="G222" s="2" t="n">
        <v>59.2</v>
      </c>
      <c r="H222" s="2" t="n">
        <v>-67</v>
      </c>
      <c r="I222" s="2" t="n">
        <v>-22.9</v>
      </c>
      <c r="J222" s="2" t="n">
        <v>16.95227418</v>
      </c>
    </row>
    <row r="223" customFormat="false" ht="15.8" hidden="false" customHeight="false" outlineLevel="0" collapsed="false">
      <c r="A223" s="1" t="n">
        <v>222</v>
      </c>
      <c r="B223" s="1" t="n">
        <v>59.2</v>
      </c>
      <c r="C223" s="1" t="n">
        <v>-67</v>
      </c>
      <c r="D223" s="1" t="n">
        <v>-22.9</v>
      </c>
      <c r="E223" s="2" t="n">
        <v>1.4</v>
      </c>
      <c r="F223" s="2" t="n">
        <v>221</v>
      </c>
      <c r="G223" s="2" t="n">
        <v>58.4</v>
      </c>
      <c r="H223" s="2" t="n">
        <v>-66.6</v>
      </c>
      <c r="I223" s="2" t="n">
        <v>-24</v>
      </c>
      <c r="J223" s="2" t="n">
        <v>17.92633816</v>
      </c>
    </row>
    <row r="224" customFormat="false" ht="15.8" hidden="false" customHeight="false" outlineLevel="0" collapsed="false">
      <c r="A224" s="1" t="n">
        <v>223</v>
      </c>
      <c r="B224" s="1" t="n">
        <v>46.6</v>
      </c>
      <c r="C224" s="1" t="n">
        <v>-71.1</v>
      </c>
      <c r="D224" s="1" t="n">
        <v>-25.5</v>
      </c>
      <c r="E224" s="2" t="n">
        <v>1.2</v>
      </c>
      <c r="F224" s="2" t="n">
        <v>225</v>
      </c>
      <c r="G224" s="2" t="n">
        <v>45.6</v>
      </c>
      <c r="H224" s="2" t="n">
        <v>-71.4</v>
      </c>
      <c r="I224" s="2" t="n">
        <v>-25.9</v>
      </c>
      <c r="J224" s="2" t="n">
        <v>17.81133347</v>
      </c>
    </row>
    <row r="225" customFormat="false" ht="15.8" hidden="false" customHeight="false" outlineLevel="0" collapsed="false">
      <c r="A225" s="1" t="n">
        <v>224</v>
      </c>
      <c r="B225" s="1" t="n">
        <v>43.4</v>
      </c>
      <c r="C225" s="1" t="n">
        <v>-73.7</v>
      </c>
      <c r="D225" s="1" t="n">
        <v>-24.4</v>
      </c>
      <c r="E225" s="2" t="n">
        <v>2.5</v>
      </c>
      <c r="F225" s="2" t="n">
        <v>198</v>
      </c>
      <c r="G225" s="2" t="n">
        <v>42.4</v>
      </c>
      <c r="H225" s="2" t="n">
        <v>-72.4</v>
      </c>
      <c r="I225" s="2" t="n">
        <v>-22.6</v>
      </c>
      <c r="J225" s="2" t="n">
        <v>20.93832849</v>
      </c>
    </row>
    <row r="226" customFormat="false" ht="15.8" hidden="false" customHeight="false" outlineLevel="0" collapsed="false">
      <c r="A226" s="1" t="n">
        <v>225</v>
      </c>
      <c r="B226" s="1" t="n">
        <v>45.6</v>
      </c>
      <c r="C226" s="1" t="n">
        <v>-71.4</v>
      </c>
      <c r="D226" s="1" t="n">
        <v>-25.9</v>
      </c>
      <c r="E226" s="2" t="n">
        <v>1.2</v>
      </c>
      <c r="F226" s="2" t="n">
        <v>223</v>
      </c>
      <c r="G226" s="2" t="n">
        <v>46.6</v>
      </c>
      <c r="H226" s="2" t="n">
        <v>-71.1</v>
      </c>
      <c r="I226" s="2" t="n">
        <v>-25.5</v>
      </c>
      <c r="J226" s="2" t="n">
        <v>18.20641645</v>
      </c>
    </row>
    <row r="227" customFormat="false" ht="15.8" hidden="false" customHeight="false" outlineLevel="0" collapsed="false">
      <c r="A227" s="1" t="n">
        <v>226</v>
      </c>
      <c r="B227" s="1" t="n">
        <v>48.5</v>
      </c>
      <c r="C227" s="1" t="n">
        <v>-69.4</v>
      </c>
      <c r="D227" s="1" t="n">
        <v>-26.3</v>
      </c>
      <c r="E227" s="2" t="n">
        <v>2.2</v>
      </c>
      <c r="F227" s="2" t="n">
        <v>141</v>
      </c>
      <c r="G227" s="2" t="n">
        <v>47.1</v>
      </c>
      <c r="H227" s="2" t="n">
        <v>-68.6</v>
      </c>
      <c r="I227" s="2" t="n">
        <v>-24.8</v>
      </c>
      <c r="J227" s="2" t="n">
        <v>16.04704334</v>
      </c>
    </row>
    <row r="228" customFormat="false" ht="15.8" hidden="false" customHeight="false" outlineLevel="0" collapsed="false">
      <c r="A228" s="1" t="n">
        <v>227</v>
      </c>
      <c r="B228" s="1" t="n">
        <v>61</v>
      </c>
      <c r="C228" s="1" t="n">
        <v>-72.3</v>
      </c>
      <c r="D228" s="1" t="n">
        <v>-24</v>
      </c>
      <c r="E228" s="2" t="n">
        <v>2.6</v>
      </c>
      <c r="F228" s="2" t="n">
        <v>228</v>
      </c>
      <c r="G228" s="2" t="n">
        <v>63.4</v>
      </c>
      <c r="H228" s="2" t="n">
        <v>-73.3</v>
      </c>
      <c r="I228" s="2" t="n">
        <v>-24.4</v>
      </c>
      <c r="J228" s="2" t="n">
        <v>23.0529304</v>
      </c>
    </row>
    <row r="229" customFormat="false" ht="15.8" hidden="false" customHeight="false" outlineLevel="0" collapsed="false">
      <c r="A229" s="1" t="n">
        <v>228</v>
      </c>
      <c r="B229" s="1" t="n">
        <v>63.4</v>
      </c>
      <c r="C229" s="1" t="n">
        <v>-73.3</v>
      </c>
      <c r="D229" s="1" t="n">
        <v>-24.4</v>
      </c>
      <c r="E229" s="2" t="n">
        <v>2.6</v>
      </c>
      <c r="F229" s="2" t="n">
        <v>227</v>
      </c>
      <c r="G229" s="2" t="n">
        <v>61</v>
      </c>
      <c r="H229" s="2" t="n">
        <v>-72.3</v>
      </c>
      <c r="I229" s="2" t="n">
        <v>-24</v>
      </c>
      <c r="J229" s="2" t="n">
        <v>25.23294672</v>
      </c>
    </row>
    <row r="230" customFormat="false" ht="15.8" hidden="false" customHeight="false" outlineLevel="0" collapsed="false">
      <c r="A230" s="1" t="n">
        <v>229</v>
      </c>
      <c r="B230" s="1" t="n">
        <v>77.2</v>
      </c>
      <c r="C230" s="1" t="n">
        <v>-72.5</v>
      </c>
      <c r="D230" s="1" t="n">
        <v>-22.9</v>
      </c>
      <c r="E230" s="2" t="n">
        <v>3.9</v>
      </c>
      <c r="F230" s="2" t="n">
        <v>217</v>
      </c>
      <c r="G230" s="2" t="n">
        <v>74.3</v>
      </c>
      <c r="H230" s="2" t="n">
        <v>-69.8</v>
      </c>
      <c r="I230" s="2" t="n">
        <v>-22.6</v>
      </c>
      <c r="J230" s="2" t="n">
        <v>35.03432032</v>
      </c>
    </row>
    <row r="231" customFormat="false" ht="15.8" hidden="false" customHeight="false" outlineLevel="0" collapsed="false">
      <c r="A231" s="1" t="n">
        <v>230</v>
      </c>
      <c r="B231" s="1" t="n">
        <v>67.3</v>
      </c>
      <c r="C231" s="1" t="n">
        <v>-73.7</v>
      </c>
      <c r="D231" s="1" t="n">
        <v>-24.4</v>
      </c>
      <c r="E231" s="2" t="n">
        <v>4</v>
      </c>
      <c r="F231" s="2" t="n">
        <v>228</v>
      </c>
      <c r="G231" s="2" t="n">
        <v>63.4</v>
      </c>
      <c r="H231" s="2" t="n">
        <v>-73.3</v>
      </c>
      <c r="I231" s="2" t="n">
        <v>-24.4</v>
      </c>
      <c r="J231" s="2" t="n">
        <v>28.06833803</v>
      </c>
    </row>
    <row r="232" customFormat="false" ht="15.8" hidden="false" customHeight="false" outlineLevel="0" collapsed="false">
      <c r="A232" s="1" t="n">
        <v>231</v>
      </c>
      <c r="B232" s="1" t="n">
        <v>54.9</v>
      </c>
      <c r="C232" s="1" t="n">
        <v>-71.3</v>
      </c>
      <c r="D232" s="1" t="n">
        <v>-24</v>
      </c>
      <c r="E232" s="2" t="n">
        <v>4.3</v>
      </c>
      <c r="F232" s="2" t="n">
        <v>232</v>
      </c>
      <c r="G232" s="2" t="n">
        <v>54.5</v>
      </c>
      <c r="H232" s="2" t="n">
        <v>-67</v>
      </c>
      <c r="I232" s="2" t="n">
        <v>-24.4</v>
      </c>
      <c r="J232" s="2" t="n">
        <v>19.3301733</v>
      </c>
    </row>
    <row r="233" customFormat="false" ht="15.8" hidden="false" customHeight="false" outlineLevel="0" collapsed="false">
      <c r="A233" s="1" t="n">
        <v>232</v>
      </c>
      <c r="B233" s="1" t="n">
        <v>54.5</v>
      </c>
      <c r="C233" s="1" t="n">
        <v>-67</v>
      </c>
      <c r="D233" s="1" t="n">
        <v>-24.4</v>
      </c>
      <c r="E233" s="2" t="n">
        <v>0.7</v>
      </c>
      <c r="F233" s="2" t="n">
        <v>251</v>
      </c>
      <c r="G233" s="2" t="n">
        <v>54.9</v>
      </c>
      <c r="H233" s="2" t="n">
        <v>-66.6</v>
      </c>
      <c r="I233" s="2" t="n">
        <v>-24.8</v>
      </c>
      <c r="J233" s="2" t="n">
        <v>15.19702602</v>
      </c>
    </row>
    <row r="234" customFormat="false" ht="15.8" hidden="false" customHeight="false" outlineLevel="0" collapsed="false">
      <c r="A234" s="1" t="n">
        <v>233</v>
      </c>
      <c r="B234" s="1" t="n">
        <v>62.9</v>
      </c>
      <c r="C234" s="1" t="n">
        <v>-70.5</v>
      </c>
      <c r="D234" s="1" t="n">
        <v>-22.9</v>
      </c>
      <c r="E234" s="2" t="n">
        <v>2.6</v>
      </c>
      <c r="F234" s="2" t="n">
        <v>237</v>
      </c>
      <c r="G234" s="2" t="n">
        <v>61.5</v>
      </c>
      <c r="H234" s="2" t="n">
        <v>-68.5</v>
      </c>
      <c r="I234" s="2" t="n">
        <v>-21.8</v>
      </c>
      <c r="J234" s="2" t="n">
        <v>22.92068062</v>
      </c>
    </row>
    <row r="235" customFormat="false" ht="15.8" hidden="false" customHeight="false" outlineLevel="0" collapsed="false">
      <c r="A235" s="1" t="n">
        <v>234</v>
      </c>
      <c r="B235" s="1" t="n">
        <v>61.3</v>
      </c>
      <c r="C235" s="1" t="n">
        <v>-68.2</v>
      </c>
      <c r="D235" s="1" t="n">
        <v>-17.8</v>
      </c>
      <c r="E235" s="2" t="n">
        <v>4.1</v>
      </c>
      <c r="F235" s="2" t="n">
        <v>237</v>
      </c>
      <c r="G235" s="2" t="n">
        <v>61.5</v>
      </c>
      <c r="H235" s="2" t="n">
        <v>-68.5</v>
      </c>
      <c r="I235" s="2" t="n">
        <v>-21.8</v>
      </c>
      <c r="J235" s="2" t="n">
        <v>21.59346197</v>
      </c>
    </row>
    <row r="236" customFormat="false" ht="15.8" hidden="false" customHeight="false" outlineLevel="0" collapsed="false">
      <c r="A236" s="1" t="n">
        <v>235</v>
      </c>
      <c r="B236" s="1" t="n">
        <v>65.4</v>
      </c>
      <c r="C236" s="1" t="n">
        <v>-69.9</v>
      </c>
      <c r="D236" s="1" t="n">
        <v>-20.3</v>
      </c>
      <c r="E236" s="2" t="n">
        <v>1.8</v>
      </c>
      <c r="F236" s="2" t="n">
        <v>236</v>
      </c>
      <c r="G236" s="2" t="n">
        <v>66</v>
      </c>
      <c r="H236" s="2" t="n">
        <v>-71.5</v>
      </c>
      <c r="I236" s="2" t="n">
        <v>-20.7</v>
      </c>
      <c r="J236" s="2" t="n">
        <v>24.68836973</v>
      </c>
    </row>
    <row r="237" customFormat="false" ht="15.8" hidden="false" customHeight="false" outlineLevel="0" collapsed="false">
      <c r="A237" s="1" t="n">
        <v>236</v>
      </c>
      <c r="B237" s="1" t="n">
        <v>66</v>
      </c>
      <c r="C237" s="1" t="n">
        <v>-71.5</v>
      </c>
      <c r="D237" s="1" t="n">
        <v>-20.7</v>
      </c>
      <c r="E237" s="2" t="n">
        <v>1.8</v>
      </c>
      <c r="F237" s="2" t="n">
        <v>235</v>
      </c>
      <c r="G237" s="2" t="n">
        <v>65.4</v>
      </c>
      <c r="H237" s="2" t="n">
        <v>-69.9</v>
      </c>
      <c r="I237" s="2" t="n">
        <v>-20.3</v>
      </c>
      <c r="J237" s="2" t="n">
        <v>26.1084584</v>
      </c>
    </row>
    <row r="238" customFormat="false" ht="15.8" hidden="false" customHeight="false" outlineLevel="0" collapsed="false">
      <c r="A238" s="1" t="n">
        <v>237</v>
      </c>
      <c r="B238" s="1" t="n">
        <v>61.5</v>
      </c>
      <c r="C238" s="1" t="n">
        <v>-68.5</v>
      </c>
      <c r="D238" s="1" t="n">
        <v>-21.8</v>
      </c>
      <c r="E238" s="2" t="n">
        <v>2.6</v>
      </c>
      <c r="F238" s="2" t="n">
        <v>233</v>
      </c>
      <c r="G238" s="2" t="n">
        <v>62.9</v>
      </c>
      <c r="H238" s="2" t="n">
        <v>-70.5</v>
      </c>
      <c r="I238" s="2" t="n">
        <v>-22.9</v>
      </c>
      <c r="J238" s="2" t="n">
        <v>20.72620563</v>
      </c>
    </row>
    <row r="239" customFormat="false" ht="15.8" hidden="false" customHeight="false" outlineLevel="0" collapsed="false">
      <c r="A239" s="1" t="n">
        <v>238</v>
      </c>
      <c r="B239" s="1" t="n">
        <v>57.8</v>
      </c>
      <c r="C239" s="1" t="n">
        <v>-62.9</v>
      </c>
      <c r="D239" s="1" t="n">
        <v>-25.5</v>
      </c>
      <c r="E239" s="2" t="n">
        <v>0.5</v>
      </c>
      <c r="F239" s="2" t="n">
        <v>260</v>
      </c>
      <c r="G239" s="2" t="n">
        <v>57.9</v>
      </c>
      <c r="H239" s="2" t="n">
        <v>-62.4</v>
      </c>
      <c r="I239" s="2" t="n">
        <v>-25.5</v>
      </c>
      <c r="J239" s="2" t="n">
        <v>13.66497713</v>
      </c>
    </row>
    <row r="240" customFormat="false" ht="15.8" hidden="false" customHeight="false" outlineLevel="0" collapsed="false">
      <c r="A240" s="1" t="n">
        <v>239</v>
      </c>
      <c r="B240" s="1" t="n">
        <v>70.5</v>
      </c>
      <c r="C240" s="1" t="n">
        <v>-68.9</v>
      </c>
      <c r="D240" s="1" t="n">
        <v>-24.8</v>
      </c>
      <c r="E240" s="2" t="n">
        <v>1.9</v>
      </c>
      <c r="F240" s="2" t="n">
        <v>245</v>
      </c>
      <c r="G240" s="2" t="n">
        <v>70.2</v>
      </c>
      <c r="H240" s="2" t="n">
        <v>-68.9</v>
      </c>
      <c r="I240" s="2" t="n">
        <v>-26.6</v>
      </c>
      <c r="J240" s="2" t="n">
        <v>27.34680237</v>
      </c>
    </row>
    <row r="241" customFormat="false" ht="15.8" hidden="false" customHeight="false" outlineLevel="0" collapsed="false">
      <c r="A241" s="1" t="n">
        <v>240</v>
      </c>
      <c r="B241" s="1" t="n">
        <v>60.8</v>
      </c>
      <c r="C241" s="1" t="n">
        <v>-65.7</v>
      </c>
      <c r="D241" s="1" t="n">
        <v>-24.4</v>
      </c>
      <c r="E241" s="2" t="n">
        <v>2.6</v>
      </c>
      <c r="F241" s="2" t="n">
        <v>222</v>
      </c>
      <c r="G241" s="2" t="n">
        <v>59.2</v>
      </c>
      <c r="H241" s="2" t="n">
        <v>-67</v>
      </c>
      <c r="I241" s="2" t="n">
        <v>-22.9</v>
      </c>
      <c r="J241" s="2" t="n">
        <v>17.83988789</v>
      </c>
    </row>
    <row r="242" customFormat="false" ht="15.8" hidden="false" customHeight="false" outlineLevel="0" collapsed="false">
      <c r="A242" s="1" t="n">
        <v>241</v>
      </c>
      <c r="B242" s="1" t="n">
        <v>73.3</v>
      </c>
      <c r="C242" s="1" t="n">
        <v>-65.8</v>
      </c>
      <c r="D242" s="1" t="n">
        <v>-27.4</v>
      </c>
      <c r="E242" s="2" t="n">
        <v>1.7</v>
      </c>
      <c r="F242" s="2" t="n">
        <v>242</v>
      </c>
      <c r="G242" s="2" t="n">
        <v>73</v>
      </c>
      <c r="H242" s="2" t="n">
        <v>-67.1</v>
      </c>
      <c r="I242" s="2" t="n">
        <v>-26.3</v>
      </c>
      <c r="J242" s="2" t="n">
        <v>28.18349872</v>
      </c>
    </row>
    <row r="243" customFormat="false" ht="15.8" hidden="false" customHeight="false" outlineLevel="0" collapsed="false">
      <c r="A243" s="1" t="n">
        <v>242</v>
      </c>
      <c r="B243" s="1" t="n">
        <v>73</v>
      </c>
      <c r="C243" s="1" t="n">
        <v>-67.1</v>
      </c>
      <c r="D243" s="1" t="n">
        <v>-26.3</v>
      </c>
      <c r="E243" s="2" t="n">
        <v>1.7</v>
      </c>
      <c r="F243" s="2" t="n">
        <v>241</v>
      </c>
      <c r="G243" s="2" t="n">
        <v>73.3</v>
      </c>
      <c r="H243" s="2" t="n">
        <v>-65.8</v>
      </c>
      <c r="I243" s="2" t="n">
        <v>-27.4</v>
      </c>
      <c r="J243" s="2" t="n">
        <v>28.49216734</v>
      </c>
    </row>
    <row r="244" customFormat="false" ht="15.8" hidden="false" customHeight="false" outlineLevel="0" collapsed="false">
      <c r="A244" s="1" t="n">
        <v>243</v>
      </c>
      <c r="B244" s="1" t="n">
        <v>67.9</v>
      </c>
      <c r="C244" s="1" t="n">
        <v>-64.7</v>
      </c>
      <c r="D244" s="1" t="n">
        <v>-26.3</v>
      </c>
      <c r="E244" s="2" t="n">
        <v>1</v>
      </c>
      <c r="F244" s="2" t="n">
        <v>246</v>
      </c>
      <c r="G244" s="2" t="n">
        <v>66.9</v>
      </c>
      <c r="H244" s="2" t="n">
        <v>-64.6</v>
      </c>
      <c r="I244" s="2" t="n">
        <v>-26.3</v>
      </c>
      <c r="J244" s="2" t="n">
        <v>22.8698404</v>
      </c>
    </row>
    <row r="245" customFormat="false" ht="15.8" hidden="false" customHeight="false" outlineLevel="0" collapsed="false">
      <c r="A245" s="1" t="n">
        <v>244</v>
      </c>
      <c r="B245" s="1" t="n">
        <v>66.1</v>
      </c>
      <c r="C245" s="1" t="n">
        <v>-67</v>
      </c>
      <c r="D245" s="1" t="n">
        <v>-25.9</v>
      </c>
      <c r="E245" s="2" t="n">
        <v>2.5</v>
      </c>
      <c r="F245" s="2" t="n">
        <v>246</v>
      </c>
      <c r="G245" s="2" t="n">
        <v>66.9</v>
      </c>
      <c r="H245" s="2" t="n">
        <v>-64.6</v>
      </c>
      <c r="I245" s="2" t="n">
        <v>-26.3</v>
      </c>
      <c r="J245" s="2" t="n">
        <v>22.63385959</v>
      </c>
    </row>
    <row r="246" customFormat="false" ht="15.8" hidden="false" customHeight="false" outlineLevel="0" collapsed="false">
      <c r="A246" s="1" t="n">
        <v>245</v>
      </c>
      <c r="B246" s="1" t="n">
        <v>70.2</v>
      </c>
      <c r="C246" s="1" t="n">
        <v>-68.9</v>
      </c>
      <c r="D246" s="1" t="n">
        <v>-26.6</v>
      </c>
      <c r="E246" s="2" t="n">
        <v>1.9</v>
      </c>
      <c r="F246" s="2" t="n">
        <v>239</v>
      </c>
      <c r="G246" s="2" t="n">
        <v>70.5</v>
      </c>
      <c r="H246" s="2" t="n">
        <v>-68.9</v>
      </c>
      <c r="I246" s="2" t="n">
        <v>-24.8</v>
      </c>
      <c r="J246" s="2" t="n">
        <v>27.06905244</v>
      </c>
    </row>
    <row r="247" customFormat="false" ht="15.8" hidden="false" customHeight="false" outlineLevel="0" collapsed="false">
      <c r="A247" s="1" t="n">
        <v>246</v>
      </c>
      <c r="B247" s="1" t="n">
        <v>66.9</v>
      </c>
      <c r="C247" s="1" t="n">
        <v>-64.6</v>
      </c>
      <c r="D247" s="1" t="n">
        <v>-26.3</v>
      </c>
      <c r="E247" s="2" t="n">
        <v>1</v>
      </c>
      <c r="F247" s="2" t="n">
        <v>243</v>
      </c>
      <c r="G247" s="2" t="n">
        <v>67.9</v>
      </c>
      <c r="H247" s="2" t="n">
        <v>-64.7</v>
      </c>
      <c r="I247" s="2" t="n">
        <v>-26.3</v>
      </c>
      <c r="J247" s="2" t="n">
        <v>21.95567353</v>
      </c>
    </row>
    <row r="248" customFormat="false" ht="15.8" hidden="false" customHeight="false" outlineLevel="0" collapsed="false">
      <c r="A248" s="1" t="n">
        <v>247</v>
      </c>
      <c r="B248" s="1" t="n">
        <v>63.8</v>
      </c>
      <c r="C248" s="1" t="n">
        <v>-67</v>
      </c>
      <c r="D248" s="1" t="n">
        <v>-28.1</v>
      </c>
      <c r="E248" s="2" t="n">
        <v>3.1</v>
      </c>
      <c r="F248" s="2" t="n">
        <v>244</v>
      </c>
      <c r="G248" s="2" t="n">
        <v>66.1</v>
      </c>
      <c r="H248" s="2" t="n">
        <v>-67</v>
      </c>
      <c r="I248" s="2" t="n">
        <v>-25.9</v>
      </c>
      <c r="J248" s="2" t="n">
        <v>20.93116337</v>
      </c>
    </row>
    <row r="249" customFormat="false" ht="15.8" hidden="false" customHeight="false" outlineLevel="0" collapsed="false">
      <c r="A249" s="1" t="n">
        <v>248</v>
      </c>
      <c r="B249" s="1" t="n">
        <v>62.1</v>
      </c>
      <c r="C249" s="1" t="n">
        <v>-63.6</v>
      </c>
      <c r="D249" s="1" t="n">
        <v>-25.9</v>
      </c>
      <c r="E249" s="2" t="n">
        <v>2.9</v>
      </c>
      <c r="F249" s="2" t="n">
        <v>240</v>
      </c>
      <c r="G249" s="2" t="n">
        <v>60.8</v>
      </c>
      <c r="H249" s="2" t="n">
        <v>-65.7</v>
      </c>
      <c r="I249" s="2" t="n">
        <v>-24.4</v>
      </c>
      <c r="J249" s="2" t="n">
        <v>17.39596505</v>
      </c>
    </row>
    <row r="250" customFormat="false" ht="15.8" hidden="false" customHeight="false" outlineLevel="0" collapsed="false">
      <c r="A250" s="1" t="n">
        <v>249</v>
      </c>
      <c r="B250" s="1" t="n">
        <v>59.7</v>
      </c>
      <c r="C250" s="1" t="n">
        <v>-65.2</v>
      </c>
      <c r="D250" s="1" t="n">
        <v>-27.7</v>
      </c>
      <c r="E250" s="2" t="n">
        <v>3.5</v>
      </c>
      <c r="F250" s="2" t="n">
        <v>248</v>
      </c>
      <c r="G250" s="2" t="n">
        <v>62.1</v>
      </c>
      <c r="H250" s="2" t="n">
        <v>-63.6</v>
      </c>
      <c r="I250" s="2" t="n">
        <v>-25.9</v>
      </c>
      <c r="J250" s="2" t="n">
        <v>16.68686909</v>
      </c>
    </row>
    <row r="251" customFormat="false" ht="15.8" hidden="false" customHeight="false" outlineLevel="0" collapsed="false">
      <c r="A251" s="1" t="n">
        <v>250</v>
      </c>
      <c r="B251" s="1" t="n">
        <v>56.3</v>
      </c>
      <c r="C251" s="1" t="n">
        <v>-67.3</v>
      </c>
      <c r="D251" s="1" t="n">
        <v>-25.2</v>
      </c>
      <c r="E251" s="2" t="n">
        <v>1.6</v>
      </c>
      <c r="F251" s="2" t="n">
        <v>251</v>
      </c>
      <c r="G251" s="2" t="n">
        <v>54.9</v>
      </c>
      <c r="H251" s="2" t="n">
        <v>-66.6</v>
      </c>
      <c r="I251" s="2" t="n">
        <v>-24.8</v>
      </c>
      <c r="J251" s="2" t="n">
        <v>16.23304038</v>
      </c>
    </row>
    <row r="252" customFormat="false" ht="15.8" hidden="false" customHeight="false" outlineLevel="0" collapsed="false">
      <c r="A252" s="1" t="n">
        <v>251</v>
      </c>
      <c r="B252" s="1" t="n">
        <v>54.9</v>
      </c>
      <c r="C252" s="1" t="n">
        <v>-66.6</v>
      </c>
      <c r="D252" s="1" t="n">
        <v>-24.8</v>
      </c>
      <c r="E252" s="2" t="n">
        <v>0.7</v>
      </c>
      <c r="F252" s="2" t="n">
        <v>232</v>
      </c>
      <c r="G252" s="2" t="n">
        <v>54.5</v>
      </c>
      <c r="H252" s="2" t="n">
        <v>-67</v>
      </c>
      <c r="I252" s="2" t="n">
        <v>-24.4</v>
      </c>
      <c r="J252" s="2" t="n">
        <v>14.97536644</v>
      </c>
    </row>
    <row r="253" customFormat="false" ht="15.8" hidden="false" customHeight="false" outlineLevel="0" collapsed="false">
      <c r="A253" s="1" t="n">
        <v>252</v>
      </c>
      <c r="B253" s="1" t="n">
        <v>53.6</v>
      </c>
      <c r="C253" s="1" t="n">
        <v>-60.8</v>
      </c>
      <c r="D253" s="1" t="n">
        <v>-28.1</v>
      </c>
      <c r="E253" s="2" t="n">
        <v>2.7</v>
      </c>
      <c r="F253" s="2" t="n">
        <v>276</v>
      </c>
      <c r="G253" s="2" t="n">
        <v>52</v>
      </c>
      <c r="H253" s="2" t="n">
        <v>-59.6</v>
      </c>
      <c r="I253" s="2" t="n">
        <v>-26.3</v>
      </c>
      <c r="J253" s="2" t="n">
        <v>9.484387171</v>
      </c>
    </row>
    <row r="254" customFormat="false" ht="15.8" hidden="false" customHeight="false" outlineLevel="0" collapsed="false">
      <c r="A254" s="1" t="n">
        <v>253</v>
      </c>
      <c r="B254" s="1" t="n">
        <v>57</v>
      </c>
      <c r="C254" s="1" t="n">
        <v>-59.4</v>
      </c>
      <c r="D254" s="1" t="n">
        <v>-27.4</v>
      </c>
      <c r="E254" s="2" t="n">
        <v>0.9</v>
      </c>
      <c r="F254" s="2" t="n">
        <v>261</v>
      </c>
      <c r="G254" s="2" t="n">
        <v>56.5</v>
      </c>
      <c r="H254" s="2" t="n">
        <v>-59.8</v>
      </c>
      <c r="I254" s="2" t="n">
        <v>-26.6</v>
      </c>
      <c r="J254" s="2" t="n">
        <v>10.87435515</v>
      </c>
    </row>
    <row r="255" customFormat="false" ht="15.8" hidden="false" customHeight="false" outlineLevel="0" collapsed="false">
      <c r="A255" s="1" t="n">
        <v>254</v>
      </c>
      <c r="B255" s="1" t="n">
        <v>57.7</v>
      </c>
      <c r="C255" s="1" t="n">
        <v>-59.6</v>
      </c>
      <c r="D255" s="1" t="n">
        <v>-28.1</v>
      </c>
      <c r="E255" s="2" t="n">
        <v>1.1</v>
      </c>
      <c r="F255" s="2" t="n">
        <v>253</v>
      </c>
      <c r="G255" s="2" t="n">
        <v>57</v>
      </c>
      <c r="H255" s="2" t="n">
        <v>-59.4</v>
      </c>
      <c r="I255" s="2" t="n">
        <v>-27.4</v>
      </c>
      <c r="J255" s="2" t="n">
        <v>11.65931387</v>
      </c>
    </row>
    <row r="256" customFormat="false" ht="15.8" hidden="false" customHeight="false" outlineLevel="0" collapsed="false">
      <c r="A256" s="1" t="n">
        <v>255</v>
      </c>
      <c r="B256" s="1" t="n">
        <v>68.3</v>
      </c>
      <c r="C256" s="1" t="n">
        <v>-62</v>
      </c>
      <c r="D256" s="1" t="n">
        <v>-29.2</v>
      </c>
      <c r="E256" s="2" t="n">
        <v>1.5</v>
      </c>
      <c r="F256" s="2" t="n">
        <v>264</v>
      </c>
      <c r="G256" s="2" t="n">
        <v>68.9</v>
      </c>
      <c r="H256" s="2" t="n">
        <v>-60.8</v>
      </c>
      <c r="I256" s="2" t="n">
        <v>-30</v>
      </c>
      <c r="J256" s="2" t="n">
        <v>22.23145519</v>
      </c>
    </row>
    <row r="257" customFormat="false" ht="15.8" hidden="false" customHeight="false" outlineLevel="0" collapsed="false">
      <c r="A257" s="1" t="n">
        <v>256</v>
      </c>
      <c r="B257" s="1" t="n">
        <v>69.5</v>
      </c>
      <c r="C257" s="1" t="n">
        <v>-60.8</v>
      </c>
      <c r="D257" s="1" t="n">
        <v>-29.2</v>
      </c>
      <c r="E257" s="2" t="n">
        <v>1</v>
      </c>
      <c r="F257" s="2" t="n">
        <v>264</v>
      </c>
      <c r="G257" s="2" t="n">
        <v>68.9</v>
      </c>
      <c r="H257" s="2" t="n">
        <v>-60.8</v>
      </c>
      <c r="I257" s="2" t="n">
        <v>-30</v>
      </c>
      <c r="J257" s="2" t="n">
        <v>22.91300068</v>
      </c>
    </row>
    <row r="258" customFormat="false" ht="15.8" hidden="false" customHeight="false" outlineLevel="0" collapsed="false">
      <c r="A258" s="1" t="n">
        <v>257</v>
      </c>
      <c r="B258" s="1" t="n">
        <v>71.5</v>
      </c>
      <c r="C258" s="1" t="n">
        <v>-65.7</v>
      </c>
      <c r="D258" s="1" t="n">
        <v>-31.1</v>
      </c>
      <c r="E258" s="2" t="n">
        <v>4.1</v>
      </c>
      <c r="F258" s="2" t="n">
        <v>241</v>
      </c>
      <c r="G258" s="2" t="n">
        <v>73.3</v>
      </c>
      <c r="H258" s="2" t="n">
        <v>-65.8</v>
      </c>
      <c r="I258" s="2" t="n">
        <v>-27.4</v>
      </c>
      <c r="J258" s="2" t="n">
        <v>26.96022255</v>
      </c>
    </row>
    <row r="259" customFormat="false" ht="15.8" hidden="false" customHeight="false" outlineLevel="0" collapsed="false">
      <c r="A259" s="1" t="n">
        <v>258</v>
      </c>
      <c r="B259" s="1" t="n">
        <v>61.4</v>
      </c>
      <c r="C259" s="1" t="n">
        <v>-60.8</v>
      </c>
      <c r="D259" s="1" t="n">
        <v>-28.9</v>
      </c>
      <c r="E259" s="2" t="n">
        <v>1.5</v>
      </c>
      <c r="F259" s="2" t="n">
        <v>268</v>
      </c>
      <c r="G259" s="2" t="n">
        <v>61.2</v>
      </c>
      <c r="H259" s="2" t="n">
        <v>-59.3</v>
      </c>
      <c r="I259" s="2" t="n">
        <v>-28.9</v>
      </c>
      <c r="J259" s="2" t="n">
        <v>15.53195416</v>
      </c>
    </row>
    <row r="260" customFormat="false" ht="15.8" hidden="false" customHeight="false" outlineLevel="0" collapsed="false">
      <c r="A260" s="1" t="n">
        <v>259</v>
      </c>
      <c r="B260" s="1" t="n">
        <v>62.9</v>
      </c>
      <c r="C260" s="1" t="n">
        <v>-61.5</v>
      </c>
      <c r="D260" s="1" t="n">
        <v>-28.9</v>
      </c>
      <c r="E260" s="2" t="n">
        <v>1.6</v>
      </c>
      <c r="F260" s="2" t="n">
        <v>258</v>
      </c>
      <c r="G260" s="2" t="n">
        <v>61.4</v>
      </c>
      <c r="H260" s="2" t="n">
        <v>-60.8</v>
      </c>
      <c r="I260" s="2" t="n">
        <v>-28.9</v>
      </c>
      <c r="J260" s="2" t="n">
        <v>17.16034965</v>
      </c>
    </row>
    <row r="261" customFormat="false" ht="15.8" hidden="false" customHeight="false" outlineLevel="0" collapsed="false">
      <c r="A261" s="1" t="n">
        <v>260</v>
      </c>
      <c r="B261" s="1" t="n">
        <v>57.9</v>
      </c>
      <c r="C261" s="1" t="n">
        <v>-62.4</v>
      </c>
      <c r="D261" s="1" t="n">
        <v>-25.5</v>
      </c>
      <c r="E261" s="2" t="n">
        <v>0.5</v>
      </c>
      <c r="F261" s="2" t="n">
        <v>238</v>
      </c>
      <c r="G261" s="2" t="n">
        <v>57.8</v>
      </c>
      <c r="H261" s="2" t="n">
        <v>-62.9</v>
      </c>
      <c r="I261" s="2" t="n">
        <v>-25.5</v>
      </c>
      <c r="J261" s="2" t="n">
        <v>13.39416291</v>
      </c>
    </row>
    <row r="262" customFormat="false" ht="15.8" hidden="false" customHeight="false" outlineLevel="0" collapsed="false">
      <c r="A262" s="1" t="n">
        <v>261</v>
      </c>
      <c r="B262" s="1" t="n">
        <v>56.5</v>
      </c>
      <c r="C262" s="1" t="n">
        <v>-59.8</v>
      </c>
      <c r="D262" s="1" t="n">
        <v>-26.6</v>
      </c>
      <c r="E262" s="2" t="n">
        <v>0.8</v>
      </c>
      <c r="F262" s="2" t="n">
        <v>274</v>
      </c>
      <c r="G262" s="2" t="n">
        <v>55.8</v>
      </c>
      <c r="H262" s="2" t="n">
        <v>-59.4</v>
      </c>
      <c r="I262" s="2" t="n">
        <v>-26.6</v>
      </c>
      <c r="J262" s="2" t="n">
        <v>10.64056389</v>
      </c>
    </row>
    <row r="263" customFormat="false" ht="15.8" hidden="false" customHeight="false" outlineLevel="0" collapsed="false">
      <c r="A263" s="1" t="n">
        <v>262</v>
      </c>
      <c r="B263" s="1" t="n">
        <v>51.9</v>
      </c>
      <c r="C263" s="1" t="n">
        <v>-66</v>
      </c>
      <c r="D263" s="1" t="n">
        <v>-25.5</v>
      </c>
      <c r="E263" s="2" t="n">
        <v>0.7</v>
      </c>
      <c r="F263" s="2" t="n">
        <v>143</v>
      </c>
      <c r="G263" s="2" t="n">
        <v>51.4</v>
      </c>
      <c r="H263" s="2" t="n">
        <v>-66.2</v>
      </c>
      <c r="I263" s="2" t="n">
        <v>-25.9</v>
      </c>
      <c r="J263" s="2" t="n">
        <v>13.23372963</v>
      </c>
    </row>
    <row r="264" customFormat="false" ht="15.8" hidden="false" customHeight="false" outlineLevel="0" collapsed="false">
      <c r="A264" s="1" t="n">
        <v>263</v>
      </c>
      <c r="B264" s="1" t="n">
        <v>62</v>
      </c>
      <c r="C264" s="1" t="n">
        <v>-53.3</v>
      </c>
      <c r="D264" s="1" t="n">
        <v>-30</v>
      </c>
      <c r="E264" s="2" t="n">
        <v>2.2</v>
      </c>
      <c r="F264" s="2" t="n">
        <v>291</v>
      </c>
      <c r="G264" s="2" t="n">
        <v>60.5</v>
      </c>
      <c r="H264" s="2" t="n">
        <v>-52.9</v>
      </c>
      <c r="I264" s="2" t="n">
        <v>-31.4</v>
      </c>
      <c r="J264" s="2" t="n">
        <v>14.47334101</v>
      </c>
    </row>
    <row r="265" customFormat="false" ht="15.8" hidden="false" customHeight="false" outlineLevel="0" collapsed="false">
      <c r="A265" s="1" t="n">
        <v>264</v>
      </c>
      <c r="B265" s="1" t="n">
        <v>68.9</v>
      </c>
      <c r="C265" s="1" t="n">
        <v>-60.8</v>
      </c>
      <c r="D265" s="1" t="n">
        <v>-30</v>
      </c>
      <c r="E265" s="2" t="n">
        <v>1</v>
      </c>
      <c r="F265" s="2" t="n">
        <v>256</v>
      </c>
      <c r="G265" s="2" t="n">
        <v>69.5</v>
      </c>
      <c r="H265" s="2" t="n">
        <v>-60.8</v>
      </c>
      <c r="I265" s="2" t="n">
        <v>-29.2</v>
      </c>
      <c r="J265" s="2" t="n">
        <v>22.47410955</v>
      </c>
    </row>
    <row r="266" customFormat="false" ht="15.8" hidden="false" customHeight="false" outlineLevel="0" collapsed="false">
      <c r="A266" s="1" t="n">
        <v>265</v>
      </c>
      <c r="B266" s="1" t="n">
        <v>67.8</v>
      </c>
      <c r="C266" s="1" t="n">
        <v>-59.9</v>
      </c>
      <c r="D266" s="1" t="n">
        <v>-30</v>
      </c>
      <c r="E266" s="2" t="n">
        <v>1.4</v>
      </c>
      <c r="F266" s="2" t="n">
        <v>264</v>
      </c>
      <c r="G266" s="2" t="n">
        <v>68.9</v>
      </c>
      <c r="H266" s="2" t="n">
        <v>-60.8</v>
      </c>
      <c r="I266" s="2" t="n">
        <v>-30</v>
      </c>
      <c r="J266" s="2" t="n">
        <v>21.16179577</v>
      </c>
    </row>
    <row r="267" customFormat="false" ht="15.8" hidden="false" customHeight="false" outlineLevel="0" collapsed="false">
      <c r="A267" s="1" t="n">
        <v>266</v>
      </c>
      <c r="B267" s="1" t="n">
        <v>62</v>
      </c>
      <c r="C267" s="1" t="n">
        <v>-58.2</v>
      </c>
      <c r="D267" s="1" t="n">
        <v>-28.1</v>
      </c>
      <c r="E267" s="2" t="n">
        <v>1.6</v>
      </c>
      <c r="F267" s="2" t="n">
        <v>268</v>
      </c>
      <c r="G267" s="2" t="n">
        <v>61.2</v>
      </c>
      <c r="H267" s="2" t="n">
        <v>-59.3</v>
      </c>
      <c r="I267" s="2" t="n">
        <v>-28.9</v>
      </c>
      <c r="J267" s="2" t="n">
        <v>14.89944965</v>
      </c>
    </row>
    <row r="268" customFormat="false" ht="15.8" hidden="false" customHeight="false" outlineLevel="0" collapsed="false">
      <c r="A268" s="1" t="n">
        <v>267</v>
      </c>
      <c r="B268" s="1" t="n">
        <v>59.3</v>
      </c>
      <c r="C268" s="1" t="n">
        <v>-59.5</v>
      </c>
      <c r="D268" s="1" t="n">
        <v>-28.5</v>
      </c>
      <c r="E268" s="2" t="n">
        <v>1.6</v>
      </c>
      <c r="F268" s="2" t="n">
        <v>254</v>
      </c>
      <c r="G268" s="2" t="n">
        <v>57.7</v>
      </c>
      <c r="H268" s="2" t="n">
        <v>-59.6</v>
      </c>
      <c r="I268" s="2" t="n">
        <v>-28.1</v>
      </c>
      <c r="J268" s="2" t="n">
        <v>13.03340324</v>
      </c>
    </row>
    <row r="269" customFormat="false" ht="15.8" hidden="false" customHeight="false" outlineLevel="0" collapsed="false">
      <c r="A269" s="1" t="n">
        <v>268</v>
      </c>
      <c r="B269" s="1" t="n">
        <v>61.2</v>
      </c>
      <c r="C269" s="1" t="n">
        <v>-59.3</v>
      </c>
      <c r="D269" s="1" t="n">
        <v>-28.9</v>
      </c>
      <c r="E269" s="2" t="n">
        <v>1.5</v>
      </c>
      <c r="F269" s="2" t="n">
        <v>258</v>
      </c>
      <c r="G269" s="2" t="n">
        <v>61.4</v>
      </c>
      <c r="H269" s="2" t="n">
        <v>-60.8</v>
      </c>
      <c r="I269" s="2" t="n">
        <v>-28.9</v>
      </c>
      <c r="J269" s="2" t="n">
        <v>14.69243343</v>
      </c>
    </row>
    <row r="270" customFormat="false" ht="15.8" hidden="false" customHeight="false" outlineLevel="0" collapsed="false">
      <c r="A270" s="1" t="n">
        <v>269</v>
      </c>
      <c r="B270" s="1" t="n">
        <v>65.7</v>
      </c>
      <c r="C270" s="1" t="n">
        <v>-52.9</v>
      </c>
      <c r="D270" s="1" t="n">
        <v>-30.3</v>
      </c>
      <c r="E270" s="2" t="n">
        <v>1.5</v>
      </c>
      <c r="F270" s="2" t="n">
        <v>270</v>
      </c>
      <c r="G270" s="2" t="n">
        <v>64.2</v>
      </c>
      <c r="H270" s="2" t="n">
        <v>-52.6</v>
      </c>
      <c r="I270" s="2" t="n">
        <v>-30.3</v>
      </c>
      <c r="J270" s="2" t="n">
        <v>18.14005513</v>
      </c>
    </row>
    <row r="271" customFormat="false" ht="15.8" hidden="false" customHeight="false" outlineLevel="0" collapsed="false">
      <c r="A271" s="1" t="n">
        <v>270</v>
      </c>
      <c r="B271" s="1" t="n">
        <v>64.2</v>
      </c>
      <c r="C271" s="1" t="n">
        <v>-52.6</v>
      </c>
      <c r="D271" s="1" t="n">
        <v>-30.3</v>
      </c>
      <c r="E271" s="2" t="n">
        <v>1.5</v>
      </c>
      <c r="F271" s="2" t="n">
        <v>269</v>
      </c>
      <c r="G271" s="2" t="n">
        <v>65.7</v>
      </c>
      <c r="H271" s="2" t="n">
        <v>-52.9</v>
      </c>
      <c r="I271" s="2" t="n">
        <v>-30.3</v>
      </c>
      <c r="J271" s="2" t="n">
        <v>16.69423853</v>
      </c>
    </row>
    <row r="272" customFormat="false" ht="15.8" hidden="false" customHeight="false" outlineLevel="0" collapsed="false">
      <c r="A272" s="1" t="n">
        <v>271</v>
      </c>
      <c r="B272" s="1" t="n">
        <v>58.2</v>
      </c>
      <c r="C272" s="1" t="n">
        <v>-57.6</v>
      </c>
      <c r="D272" s="1" t="n">
        <v>-28.1</v>
      </c>
      <c r="E272" s="2" t="n">
        <v>0.6</v>
      </c>
      <c r="F272" s="2" t="n">
        <v>273</v>
      </c>
      <c r="G272" s="2" t="n">
        <v>57.7</v>
      </c>
      <c r="H272" s="2" t="n">
        <v>-57.6</v>
      </c>
      <c r="I272" s="2" t="n">
        <v>-27.7</v>
      </c>
      <c r="J272" s="2" t="n">
        <v>11.17540156</v>
      </c>
    </row>
    <row r="273" customFormat="false" ht="15.8" hidden="false" customHeight="false" outlineLevel="0" collapsed="false">
      <c r="A273" s="1" t="n">
        <v>272</v>
      </c>
      <c r="B273" s="1" t="n">
        <v>57.1</v>
      </c>
      <c r="C273" s="1" t="n">
        <v>-55.2</v>
      </c>
      <c r="D273" s="1" t="n">
        <v>-27.7</v>
      </c>
      <c r="E273" s="2" t="n">
        <v>0.3</v>
      </c>
      <c r="F273" s="2" t="n">
        <v>275</v>
      </c>
      <c r="G273" s="2" t="n">
        <v>56.9</v>
      </c>
      <c r="H273" s="2" t="n">
        <v>-55</v>
      </c>
      <c r="I273" s="2" t="n">
        <v>-27.7</v>
      </c>
      <c r="J273" s="2" t="n">
        <v>9.369076796</v>
      </c>
    </row>
    <row r="274" customFormat="false" ht="15.8" hidden="false" customHeight="false" outlineLevel="0" collapsed="false">
      <c r="A274" s="1" t="n">
        <v>273</v>
      </c>
      <c r="B274" s="1" t="n">
        <v>57.7</v>
      </c>
      <c r="C274" s="1" t="n">
        <v>-57.6</v>
      </c>
      <c r="D274" s="1" t="n">
        <v>-27.7</v>
      </c>
      <c r="E274" s="2" t="n">
        <v>0.6</v>
      </c>
      <c r="F274" s="2" t="n">
        <v>271</v>
      </c>
      <c r="G274" s="2" t="n">
        <v>58.2</v>
      </c>
      <c r="H274" s="2" t="n">
        <v>-57.6</v>
      </c>
      <c r="I274" s="2" t="n">
        <v>-28.1</v>
      </c>
      <c r="J274" s="2" t="n">
        <v>10.65849896</v>
      </c>
    </row>
    <row r="275" customFormat="false" ht="15.8" hidden="false" customHeight="false" outlineLevel="0" collapsed="false">
      <c r="A275" s="1" t="n">
        <v>274</v>
      </c>
      <c r="B275" s="1" t="n">
        <v>55.8</v>
      </c>
      <c r="C275" s="1" t="n">
        <v>-59.4</v>
      </c>
      <c r="D275" s="1" t="n">
        <v>-26.6</v>
      </c>
      <c r="E275" s="2" t="n">
        <v>0.8</v>
      </c>
      <c r="F275" s="2" t="n">
        <v>261</v>
      </c>
      <c r="G275" s="2" t="n">
        <v>56.5</v>
      </c>
      <c r="H275" s="2" t="n">
        <v>-59.8</v>
      </c>
      <c r="I275" s="2" t="n">
        <v>-26.6</v>
      </c>
      <c r="J275" s="2" t="n">
        <v>9.842540322</v>
      </c>
    </row>
    <row r="276" customFormat="false" ht="15.8" hidden="false" customHeight="false" outlineLevel="0" collapsed="false">
      <c r="A276" s="1" t="n">
        <v>275</v>
      </c>
      <c r="B276" s="1" t="n">
        <v>56.9</v>
      </c>
      <c r="C276" s="1" t="n">
        <v>-55</v>
      </c>
      <c r="D276" s="1" t="n">
        <v>-27.7</v>
      </c>
      <c r="E276" s="2" t="n">
        <v>0.3</v>
      </c>
      <c r="F276" s="2" t="n">
        <v>272</v>
      </c>
      <c r="G276" s="2" t="n">
        <v>57.1</v>
      </c>
      <c r="H276" s="2" t="n">
        <v>-55.2</v>
      </c>
      <c r="I276" s="2" t="n">
        <v>-27.7</v>
      </c>
      <c r="J276" s="2" t="n">
        <v>9.137811554</v>
      </c>
    </row>
    <row r="277" customFormat="false" ht="15.8" hidden="false" customHeight="false" outlineLevel="0" collapsed="false">
      <c r="A277" s="1" t="n">
        <v>276</v>
      </c>
      <c r="B277" s="1" t="n">
        <v>52</v>
      </c>
      <c r="C277" s="1" t="n">
        <v>-59.6</v>
      </c>
      <c r="D277" s="1" t="n">
        <v>-26.3</v>
      </c>
      <c r="E277" s="2" t="n">
        <v>2.7</v>
      </c>
      <c r="F277" s="2" t="n">
        <v>252</v>
      </c>
      <c r="G277" s="2" t="n">
        <v>53.6</v>
      </c>
      <c r="H277" s="2" t="n">
        <v>-60.8</v>
      </c>
      <c r="I277" s="2" t="n">
        <v>-28.1</v>
      </c>
      <c r="J277" s="2" t="n">
        <v>7.391454525</v>
      </c>
    </row>
    <row r="278" customFormat="false" ht="15.8" hidden="false" customHeight="false" outlineLevel="0" collapsed="false">
      <c r="A278" s="1" t="n">
        <v>277</v>
      </c>
      <c r="B278" s="1" t="n">
        <v>40.2</v>
      </c>
      <c r="C278" s="1" t="n">
        <v>-48</v>
      </c>
      <c r="D278" s="1" t="n">
        <v>-22.2</v>
      </c>
      <c r="E278" s="2" t="n">
        <v>1.9</v>
      </c>
      <c r="F278" s="2" t="n">
        <v>435</v>
      </c>
      <c r="G278" s="2" t="n">
        <v>38.6</v>
      </c>
      <c r="H278" s="2" t="n">
        <v>-49.1</v>
      </c>
      <c r="I278" s="2" t="n">
        <v>-22.6</v>
      </c>
      <c r="J278" s="2" t="n">
        <v>10.29735888</v>
      </c>
    </row>
    <row r="279" customFormat="false" ht="15.8" hidden="false" customHeight="false" outlineLevel="0" collapsed="false">
      <c r="A279" s="1" t="n">
        <v>278</v>
      </c>
      <c r="B279" s="1" t="n">
        <v>31.6</v>
      </c>
      <c r="C279" s="1" t="n">
        <v>-50.3</v>
      </c>
      <c r="D279" s="1" t="n">
        <v>-14.4</v>
      </c>
      <c r="E279" s="2" t="n">
        <v>1.4</v>
      </c>
      <c r="F279" s="2" t="n">
        <v>279</v>
      </c>
      <c r="G279" s="2" t="n">
        <v>32.7</v>
      </c>
      <c r="H279" s="2" t="n">
        <v>-51</v>
      </c>
      <c r="I279" s="2" t="n">
        <v>-14.8</v>
      </c>
      <c r="J279" s="2" t="n">
        <v>20.45496517</v>
      </c>
    </row>
    <row r="280" customFormat="false" ht="15.8" hidden="false" customHeight="false" outlineLevel="0" collapsed="false">
      <c r="A280" s="1" t="n">
        <v>279</v>
      </c>
      <c r="B280" s="1" t="n">
        <v>32.7</v>
      </c>
      <c r="C280" s="1" t="n">
        <v>-51</v>
      </c>
      <c r="D280" s="1" t="n">
        <v>-14.8</v>
      </c>
      <c r="E280" s="2" t="n">
        <v>1.3</v>
      </c>
      <c r="F280" s="2" t="n">
        <v>280</v>
      </c>
      <c r="G280" s="2" t="n">
        <v>33.8</v>
      </c>
      <c r="H280" s="2" t="n">
        <v>-51</v>
      </c>
      <c r="I280" s="2" t="n">
        <v>-15.5</v>
      </c>
      <c r="J280" s="2" t="n">
        <v>19.24550857</v>
      </c>
    </row>
    <row r="281" customFormat="false" ht="15.8" hidden="false" customHeight="false" outlineLevel="0" collapsed="false">
      <c r="A281" s="1" t="n">
        <v>280</v>
      </c>
      <c r="B281" s="1" t="n">
        <v>33.8</v>
      </c>
      <c r="C281" s="1" t="n">
        <v>-51</v>
      </c>
      <c r="D281" s="1" t="n">
        <v>-15.5</v>
      </c>
      <c r="E281" s="2" t="n">
        <v>1.3</v>
      </c>
      <c r="F281" s="2" t="n">
        <v>279</v>
      </c>
      <c r="G281" s="2" t="n">
        <v>32.7</v>
      </c>
      <c r="H281" s="2" t="n">
        <v>-51</v>
      </c>
      <c r="I281" s="2" t="n">
        <v>-14.8</v>
      </c>
      <c r="J281" s="2" t="n">
        <v>17.95576788</v>
      </c>
    </row>
    <row r="282" customFormat="false" ht="15.8" hidden="false" customHeight="false" outlineLevel="0" collapsed="false">
      <c r="A282" s="1" t="n">
        <v>281</v>
      </c>
      <c r="B282" s="1" t="n">
        <v>32.6</v>
      </c>
      <c r="C282" s="1" t="n">
        <v>-48.2</v>
      </c>
      <c r="D282" s="1" t="n">
        <v>-13.7</v>
      </c>
      <c r="E282" s="2" t="n">
        <v>1.7</v>
      </c>
      <c r="F282" s="2" t="n">
        <v>288</v>
      </c>
      <c r="G282" s="2" t="n">
        <v>33.8</v>
      </c>
      <c r="H282" s="2" t="n">
        <v>-48.1</v>
      </c>
      <c r="I282" s="2" t="n">
        <v>-14.8</v>
      </c>
      <c r="J282" s="2" t="n">
        <v>20.51266926</v>
      </c>
    </row>
    <row r="283" customFormat="false" ht="15.8" hidden="false" customHeight="false" outlineLevel="0" collapsed="false">
      <c r="A283" s="1" t="n">
        <v>282</v>
      </c>
      <c r="B283" s="1" t="n">
        <v>20.5</v>
      </c>
      <c r="C283" s="1" t="n">
        <v>-49.7</v>
      </c>
      <c r="D283" s="1" t="n">
        <v>-9.2</v>
      </c>
      <c r="E283" s="2" t="n">
        <v>2.6</v>
      </c>
      <c r="F283" s="2" t="n">
        <v>283</v>
      </c>
      <c r="G283" s="2" t="n">
        <v>20.5</v>
      </c>
      <c r="H283" s="2" t="n">
        <v>-52.3</v>
      </c>
      <c r="I283" s="2" t="n">
        <v>-8.9</v>
      </c>
      <c r="J283" s="2" t="n">
        <v>32.56021499</v>
      </c>
    </row>
    <row r="284" customFormat="false" ht="15.8" hidden="false" customHeight="false" outlineLevel="0" collapsed="false">
      <c r="A284" s="1" t="n">
        <v>283</v>
      </c>
      <c r="B284" s="1" t="n">
        <v>20.5</v>
      </c>
      <c r="C284" s="1" t="n">
        <v>-52.3</v>
      </c>
      <c r="D284" s="1" t="n">
        <v>-8.9</v>
      </c>
      <c r="E284" s="2" t="n">
        <v>2.6</v>
      </c>
      <c r="F284" s="2" t="n">
        <v>282</v>
      </c>
      <c r="G284" s="2" t="n">
        <v>20.5</v>
      </c>
      <c r="H284" s="2" t="n">
        <v>-49.7</v>
      </c>
      <c r="I284" s="2" t="n">
        <v>-9.2</v>
      </c>
      <c r="J284" s="2" t="n">
        <v>32.52958038</v>
      </c>
    </row>
    <row r="285" customFormat="false" ht="15.8" hidden="false" customHeight="false" outlineLevel="0" collapsed="false">
      <c r="A285" s="1" t="n">
        <v>284</v>
      </c>
      <c r="B285" s="1" t="n">
        <v>24.1</v>
      </c>
      <c r="C285" s="1" t="n">
        <v>-46.2</v>
      </c>
      <c r="D285" s="1" t="n">
        <v>-10</v>
      </c>
      <c r="E285" s="2" t="n">
        <v>1.5</v>
      </c>
      <c r="F285" s="2" t="n">
        <v>285</v>
      </c>
      <c r="G285" s="2" t="n">
        <v>25.5</v>
      </c>
      <c r="H285" s="2" t="n">
        <v>-46.5</v>
      </c>
      <c r="I285" s="2" t="n">
        <v>-10</v>
      </c>
      <c r="J285" s="2" t="n">
        <v>29.76880246</v>
      </c>
    </row>
    <row r="286" customFormat="false" ht="15.8" hidden="false" customHeight="false" outlineLevel="0" collapsed="false">
      <c r="A286" s="1" t="n">
        <v>285</v>
      </c>
      <c r="B286" s="1" t="n">
        <v>25.5</v>
      </c>
      <c r="C286" s="1" t="n">
        <v>-46.5</v>
      </c>
      <c r="D286" s="1" t="n">
        <v>-10</v>
      </c>
      <c r="E286" s="2" t="n">
        <v>1.5</v>
      </c>
      <c r="F286" s="2" t="n">
        <v>284</v>
      </c>
      <c r="G286" s="2" t="n">
        <v>24.1</v>
      </c>
      <c r="H286" s="2" t="n">
        <v>-46.2</v>
      </c>
      <c r="I286" s="2" t="n">
        <v>-10</v>
      </c>
      <c r="J286" s="2" t="n">
        <v>28.5815255</v>
      </c>
    </row>
    <row r="287" customFormat="false" ht="15.8" hidden="false" customHeight="false" outlineLevel="0" collapsed="false">
      <c r="A287" s="1" t="n">
        <v>286</v>
      </c>
      <c r="B287" s="1" t="n">
        <v>25</v>
      </c>
      <c r="C287" s="1" t="n">
        <v>-48.5</v>
      </c>
      <c r="D287" s="1" t="n">
        <v>-10.4</v>
      </c>
      <c r="E287" s="2" t="n">
        <v>2.1</v>
      </c>
      <c r="F287" s="2" t="n">
        <v>285</v>
      </c>
      <c r="G287" s="2" t="n">
        <v>25.5</v>
      </c>
      <c r="H287" s="2" t="n">
        <v>-46.5</v>
      </c>
      <c r="I287" s="2" t="n">
        <v>-10</v>
      </c>
      <c r="J287" s="2" t="n">
        <v>28.34553933</v>
      </c>
    </row>
    <row r="288" customFormat="false" ht="15.8" hidden="false" customHeight="false" outlineLevel="0" collapsed="false">
      <c r="A288" s="1" t="n">
        <v>287</v>
      </c>
      <c r="B288" s="1" t="n">
        <v>25.9</v>
      </c>
      <c r="C288" s="1" t="n">
        <v>-51.4</v>
      </c>
      <c r="D288" s="1" t="n">
        <v>-10.7</v>
      </c>
      <c r="E288" s="2" t="n">
        <v>3.1</v>
      </c>
      <c r="F288" s="2" t="n">
        <v>286</v>
      </c>
      <c r="G288" s="2" t="n">
        <v>25</v>
      </c>
      <c r="H288" s="2" t="n">
        <v>-48.5</v>
      </c>
      <c r="I288" s="2" t="n">
        <v>-10.4</v>
      </c>
      <c r="J288" s="2" t="n">
        <v>27.08600377</v>
      </c>
    </row>
    <row r="289" customFormat="false" ht="15.8" hidden="false" customHeight="false" outlineLevel="0" collapsed="false">
      <c r="A289" s="1" t="n">
        <v>288</v>
      </c>
      <c r="B289" s="1" t="n">
        <v>33.8</v>
      </c>
      <c r="C289" s="1" t="n">
        <v>-48.1</v>
      </c>
      <c r="D289" s="1" t="n">
        <v>-14.8</v>
      </c>
      <c r="E289" s="2" t="n">
        <v>1.7</v>
      </c>
      <c r="F289" s="2" t="n">
        <v>281</v>
      </c>
      <c r="G289" s="2" t="n">
        <v>32.6</v>
      </c>
      <c r="H289" s="2" t="n">
        <v>-48.2</v>
      </c>
      <c r="I289" s="2" t="n">
        <v>-13.7</v>
      </c>
      <c r="J289" s="2" t="n">
        <v>18.97233776</v>
      </c>
    </row>
    <row r="290" customFormat="false" ht="15.8" hidden="false" customHeight="false" outlineLevel="0" collapsed="false">
      <c r="A290" s="1" t="n">
        <v>289</v>
      </c>
      <c r="B290" s="1" t="n">
        <v>40.4</v>
      </c>
      <c r="C290" s="1" t="n">
        <v>-46.9</v>
      </c>
      <c r="D290" s="1" t="n">
        <v>-18.9</v>
      </c>
      <c r="E290" s="2" t="n">
        <v>3.5</v>
      </c>
      <c r="F290" s="2" t="n">
        <v>277</v>
      </c>
      <c r="G290" s="2" t="n">
        <v>40.2</v>
      </c>
      <c r="H290" s="2" t="n">
        <v>-48</v>
      </c>
      <c r="I290" s="2" t="n">
        <v>-22.2</v>
      </c>
      <c r="J290" s="2" t="n">
        <v>12.37334231</v>
      </c>
    </row>
    <row r="291" customFormat="false" ht="15.8" hidden="false" customHeight="false" outlineLevel="0" collapsed="false">
      <c r="A291" s="1" t="n">
        <v>290</v>
      </c>
      <c r="B291" s="1" t="n">
        <v>48.8</v>
      </c>
      <c r="C291" s="1" t="n">
        <v>-50.7</v>
      </c>
      <c r="D291" s="1" t="n">
        <v>-30.7</v>
      </c>
      <c r="E291" s="2" t="n">
        <v>3.4</v>
      </c>
      <c r="F291" s="2" t="n">
        <v>407</v>
      </c>
      <c r="G291" s="2" t="n">
        <v>47</v>
      </c>
      <c r="H291" s="2" t="n">
        <v>-47.7</v>
      </c>
      <c r="I291" s="2" t="n">
        <v>-30.7</v>
      </c>
      <c r="J291" s="2" t="n">
        <v>5.299396192</v>
      </c>
    </row>
    <row r="292" customFormat="false" ht="15.8" hidden="false" customHeight="false" outlineLevel="0" collapsed="false">
      <c r="A292" s="1" t="n">
        <v>291</v>
      </c>
      <c r="B292" s="1" t="n">
        <v>60.5</v>
      </c>
      <c r="C292" s="1" t="n">
        <v>-52.9</v>
      </c>
      <c r="D292" s="1" t="n">
        <v>-31.4</v>
      </c>
      <c r="E292" s="2" t="n">
        <v>1.1</v>
      </c>
      <c r="F292" s="2" t="n">
        <v>126</v>
      </c>
      <c r="G292" s="2" t="n">
        <v>60.2</v>
      </c>
      <c r="H292" s="2" t="n">
        <v>-52.1</v>
      </c>
      <c r="I292" s="2" t="n">
        <v>-30.7</v>
      </c>
      <c r="J292" s="2" t="n">
        <v>13.51708548</v>
      </c>
    </row>
    <row r="293" customFormat="false" ht="15.8" hidden="false" customHeight="false" outlineLevel="0" collapsed="false">
      <c r="A293" s="1" t="n">
        <v>292</v>
      </c>
      <c r="B293" s="1" t="n">
        <v>62.6</v>
      </c>
      <c r="C293" s="1" t="n">
        <v>-56</v>
      </c>
      <c r="D293" s="1" t="n">
        <v>-32.6</v>
      </c>
      <c r="E293" s="2" t="n">
        <v>1.3</v>
      </c>
      <c r="F293" s="2" t="n">
        <v>293</v>
      </c>
      <c r="G293" s="2" t="n">
        <v>63.3</v>
      </c>
      <c r="H293" s="2" t="n">
        <v>-55</v>
      </c>
      <c r="I293" s="2" t="n">
        <v>-32.2</v>
      </c>
      <c r="J293" s="2" t="n">
        <v>16.13008369</v>
      </c>
    </row>
    <row r="294" customFormat="false" ht="15.8" hidden="false" customHeight="false" outlineLevel="0" collapsed="false">
      <c r="A294" s="1" t="n">
        <v>293</v>
      </c>
      <c r="B294" s="1" t="n">
        <v>63.3</v>
      </c>
      <c r="C294" s="1" t="n">
        <v>-55</v>
      </c>
      <c r="D294" s="1" t="n">
        <v>-32.2</v>
      </c>
      <c r="E294" s="2" t="n">
        <v>1.3</v>
      </c>
      <c r="F294" s="2" t="n">
        <v>292</v>
      </c>
      <c r="G294" s="2" t="n">
        <v>62.6</v>
      </c>
      <c r="H294" s="2" t="n">
        <v>-56</v>
      </c>
      <c r="I294" s="2" t="n">
        <v>-32.6</v>
      </c>
      <c r="J294" s="2" t="n">
        <v>16.48628521</v>
      </c>
    </row>
    <row r="295" customFormat="false" ht="15.8" hidden="false" customHeight="false" outlineLevel="0" collapsed="false">
      <c r="A295" s="1" t="n">
        <v>294</v>
      </c>
      <c r="B295" s="1" t="n">
        <v>69.9</v>
      </c>
      <c r="C295" s="1" t="n">
        <v>-58.5</v>
      </c>
      <c r="D295" s="1" t="n">
        <v>-34</v>
      </c>
      <c r="E295" s="2" t="n">
        <v>1.6</v>
      </c>
      <c r="F295" s="2" t="n">
        <v>295</v>
      </c>
      <c r="G295" s="2" t="n">
        <v>71.1</v>
      </c>
      <c r="H295" s="2" t="n">
        <v>-57.7</v>
      </c>
      <c r="I295" s="2" t="n">
        <v>-33.3</v>
      </c>
      <c r="J295" s="2" t="n">
        <v>23.77880569</v>
      </c>
    </row>
    <row r="296" customFormat="false" ht="15.8" hidden="false" customHeight="false" outlineLevel="0" collapsed="false">
      <c r="A296" s="1" t="n">
        <v>295</v>
      </c>
      <c r="B296" s="1" t="n">
        <v>71.1</v>
      </c>
      <c r="C296" s="1" t="n">
        <v>-57.7</v>
      </c>
      <c r="D296" s="1" t="n">
        <v>-33.3</v>
      </c>
      <c r="E296" s="2" t="n">
        <v>1.6</v>
      </c>
      <c r="F296" s="2" t="n">
        <v>294</v>
      </c>
      <c r="G296" s="2" t="n">
        <v>69.9</v>
      </c>
      <c r="H296" s="2" t="n">
        <v>-58.5</v>
      </c>
      <c r="I296" s="2" t="n">
        <v>-34</v>
      </c>
      <c r="J296" s="2" t="n">
        <v>24.52128871</v>
      </c>
    </row>
    <row r="297" customFormat="false" ht="15.8" hidden="false" customHeight="false" outlineLevel="0" collapsed="false">
      <c r="A297" s="1" t="n">
        <v>296</v>
      </c>
      <c r="B297" s="1" t="n">
        <v>69</v>
      </c>
      <c r="C297" s="1" t="n">
        <v>-61.2</v>
      </c>
      <c r="D297" s="1" t="n">
        <v>-36.6</v>
      </c>
      <c r="E297" s="2" t="n">
        <v>3.8</v>
      </c>
      <c r="F297" s="2" t="n">
        <v>294</v>
      </c>
      <c r="G297" s="2" t="n">
        <v>69.9</v>
      </c>
      <c r="H297" s="2" t="n">
        <v>-58.5</v>
      </c>
      <c r="I297" s="2" t="n">
        <v>-34</v>
      </c>
      <c r="J297" s="2" t="n">
        <v>24.68529117</v>
      </c>
    </row>
    <row r="298" customFormat="false" ht="15.8" hidden="false" customHeight="false" outlineLevel="0" collapsed="false">
      <c r="A298" s="1" t="n">
        <v>297</v>
      </c>
      <c r="B298" s="1" t="n">
        <v>68.9</v>
      </c>
      <c r="C298" s="1" t="n">
        <v>-54.1</v>
      </c>
      <c r="D298" s="1" t="n">
        <v>-35.1</v>
      </c>
      <c r="E298" s="2" t="n">
        <v>2</v>
      </c>
      <c r="F298" s="2" t="n">
        <v>298</v>
      </c>
      <c r="G298" s="2" t="n">
        <v>68</v>
      </c>
      <c r="H298" s="2" t="n">
        <v>-55.6</v>
      </c>
      <c r="I298" s="2" t="n">
        <v>-34</v>
      </c>
      <c r="J298" s="2" t="n">
        <v>22.69919822</v>
      </c>
    </row>
    <row r="299" customFormat="false" ht="15.8" hidden="false" customHeight="false" outlineLevel="0" collapsed="false">
      <c r="A299" s="1" t="n">
        <v>298</v>
      </c>
      <c r="B299" s="1" t="n">
        <v>68</v>
      </c>
      <c r="C299" s="1" t="n">
        <v>-55.6</v>
      </c>
      <c r="D299" s="1" t="n">
        <v>-34</v>
      </c>
      <c r="E299" s="2" t="n">
        <v>2</v>
      </c>
      <c r="F299" s="2" t="n">
        <v>297</v>
      </c>
      <c r="G299" s="2" t="n">
        <v>68.9</v>
      </c>
      <c r="H299" s="2" t="n">
        <v>-54.1</v>
      </c>
      <c r="I299" s="2" t="n">
        <v>-35.1</v>
      </c>
      <c r="J299" s="2" t="n">
        <v>21.55392308</v>
      </c>
    </row>
    <row r="300" customFormat="false" ht="15.8" hidden="false" customHeight="false" outlineLevel="0" collapsed="false">
      <c r="A300" s="1" t="n">
        <v>299</v>
      </c>
      <c r="B300" s="1" t="n">
        <v>56.2</v>
      </c>
      <c r="C300" s="1" t="n">
        <v>-56</v>
      </c>
      <c r="D300" s="1" t="n">
        <v>-29.6</v>
      </c>
      <c r="E300" s="2" t="n">
        <v>2.2</v>
      </c>
      <c r="F300" s="2" t="n">
        <v>272</v>
      </c>
      <c r="G300" s="2" t="n">
        <v>57.1</v>
      </c>
      <c r="H300" s="2" t="n">
        <v>-55.2</v>
      </c>
      <c r="I300" s="2" t="n">
        <v>-27.7</v>
      </c>
      <c r="J300" s="2" t="n">
        <v>9.233179301</v>
      </c>
    </row>
    <row r="301" customFormat="false" ht="15.8" hidden="false" customHeight="false" outlineLevel="0" collapsed="false">
      <c r="A301" s="1" t="n">
        <v>300</v>
      </c>
      <c r="B301" s="1" t="n">
        <v>61</v>
      </c>
      <c r="C301" s="1" t="n">
        <v>-51</v>
      </c>
      <c r="D301" s="1" t="n">
        <v>-30.7</v>
      </c>
      <c r="E301" s="2" t="n">
        <v>1.4</v>
      </c>
      <c r="F301" s="2" t="n">
        <v>126</v>
      </c>
      <c r="G301" s="2" t="n">
        <v>60.2</v>
      </c>
      <c r="H301" s="2" t="n">
        <v>-52.1</v>
      </c>
      <c r="I301" s="2" t="n">
        <v>-30.7</v>
      </c>
      <c r="J301" s="2" t="n">
        <v>13.92700973</v>
      </c>
    </row>
    <row r="302" customFormat="false" ht="15.8" hidden="false" customHeight="false" outlineLevel="0" collapsed="false">
      <c r="A302" s="1" t="n">
        <v>301</v>
      </c>
      <c r="B302" s="1" t="n">
        <v>61.9</v>
      </c>
      <c r="C302" s="1" t="n">
        <v>-49.5</v>
      </c>
      <c r="D302" s="1" t="n">
        <v>-31.8</v>
      </c>
      <c r="E302" s="2" t="n">
        <v>2.1</v>
      </c>
      <c r="F302" s="2" t="n">
        <v>300</v>
      </c>
      <c r="G302" s="2" t="n">
        <v>61</v>
      </c>
      <c r="H302" s="2" t="n">
        <v>-51</v>
      </c>
      <c r="I302" s="2" t="n">
        <v>-30.7</v>
      </c>
      <c r="J302" s="2" t="n">
        <v>15.44615162</v>
      </c>
    </row>
    <row r="303" customFormat="false" ht="15.8" hidden="false" customHeight="false" outlineLevel="0" collapsed="false">
      <c r="A303" s="1" t="n">
        <v>302</v>
      </c>
      <c r="B303" s="1" t="n">
        <v>58.5</v>
      </c>
      <c r="C303" s="1" t="n">
        <v>-52.2</v>
      </c>
      <c r="D303" s="1" t="n">
        <v>-30.7</v>
      </c>
      <c r="E303" s="2" t="n">
        <v>1.7</v>
      </c>
      <c r="F303" s="2" t="n">
        <v>126</v>
      </c>
      <c r="G303" s="2" t="n">
        <v>60.2</v>
      </c>
      <c r="H303" s="2" t="n">
        <v>-52.1</v>
      </c>
      <c r="I303" s="2" t="n">
        <v>-30.7</v>
      </c>
      <c r="J303" s="2" t="n">
        <v>11.45371555</v>
      </c>
    </row>
    <row r="304" customFormat="false" ht="15.8" hidden="false" customHeight="false" outlineLevel="0" collapsed="false">
      <c r="A304" s="1" t="n">
        <v>303</v>
      </c>
      <c r="B304" s="1" t="n">
        <v>56.5</v>
      </c>
      <c r="C304" s="1" t="n">
        <v>-53.1</v>
      </c>
      <c r="D304" s="1" t="n">
        <v>-30.7</v>
      </c>
      <c r="E304" s="2" t="n">
        <v>1.9</v>
      </c>
      <c r="F304" s="2" t="n">
        <v>124</v>
      </c>
      <c r="G304" s="2" t="n">
        <v>57.7</v>
      </c>
      <c r="H304" s="2" t="n">
        <v>-53.1</v>
      </c>
      <c r="I304" s="2" t="n">
        <v>-29.2</v>
      </c>
      <c r="J304" s="2" t="n">
        <v>9.595290511</v>
      </c>
    </row>
    <row r="305" customFormat="false" ht="15.8" hidden="false" customHeight="false" outlineLevel="0" collapsed="false">
      <c r="A305" s="1" t="n">
        <v>304</v>
      </c>
      <c r="B305" s="1" t="n">
        <v>45.8</v>
      </c>
      <c r="C305" s="1" t="n">
        <v>-48.8</v>
      </c>
      <c r="D305" s="1" t="n">
        <v>-30</v>
      </c>
      <c r="E305" s="2" t="n">
        <v>1.8</v>
      </c>
      <c r="F305" s="2" t="n">
        <v>407</v>
      </c>
      <c r="G305" s="2" t="n">
        <v>47</v>
      </c>
      <c r="H305" s="2" t="n">
        <v>-47.7</v>
      </c>
      <c r="I305" s="2" t="n">
        <v>-30.7</v>
      </c>
      <c r="J305" s="2" t="n">
        <v>6.356382619</v>
      </c>
    </row>
    <row r="306" customFormat="false" ht="15.8" hidden="false" customHeight="false" outlineLevel="0" collapsed="false">
      <c r="A306" s="1" t="n">
        <v>305</v>
      </c>
      <c r="B306" s="1" t="n">
        <v>41.4</v>
      </c>
      <c r="C306" s="1" t="n">
        <v>-50.6</v>
      </c>
      <c r="D306" s="1" t="n">
        <v>-19.6</v>
      </c>
      <c r="E306" s="2" t="n">
        <v>2.7</v>
      </c>
      <c r="F306" s="2" t="n">
        <v>380</v>
      </c>
      <c r="G306" s="2" t="n">
        <v>41.2</v>
      </c>
      <c r="H306" s="2" t="n">
        <v>-51.5</v>
      </c>
      <c r="I306" s="2" t="n">
        <v>-22.2</v>
      </c>
      <c r="J306" s="2" t="n">
        <v>9.746979019</v>
      </c>
    </row>
    <row r="307" customFormat="false" ht="15.8" hidden="false" customHeight="false" outlineLevel="0" collapsed="false">
      <c r="A307" s="1" t="n">
        <v>306</v>
      </c>
      <c r="B307" s="1" t="n">
        <v>44.9</v>
      </c>
      <c r="C307" s="1" t="n">
        <v>-51.3</v>
      </c>
      <c r="D307" s="1" t="n">
        <v>-21.8</v>
      </c>
      <c r="E307" s="2" t="n">
        <v>3.8</v>
      </c>
      <c r="F307" s="2" t="n">
        <v>380</v>
      </c>
      <c r="G307" s="2" t="n">
        <v>41.2</v>
      </c>
      <c r="H307" s="2" t="n">
        <v>-51.5</v>
      </c>
      <c r="I307" s="2" t="n">
        <v>-22.2</v>
      </c>
      <c r="J307" s="2" t="n">
        <v>5.76954071</v>
      </c>
    </row>
    <row r="308" customFormat="false" ht="15.8" hidden="false" customHeight="false" outlineLevel="0" collapsed="false">
      <c r="A308" s="1" t="n">
        <v>307</v>
      </c>
      <c r="B308" s="1" t="n">
        <v>47.1</v>
      </c>
      <c r="C308" s="1" t="n">
        <v>-57.2</v>
      </c>
      <c r="D308" s="1" t="n">
        <v>-17.8</v>
      </c>
      <c r="E308" s="2" t="n">
        <v>0.9</v>
      </c>
      <c r="F308" s="2" t="n">
        <v>308</v>
      </c>
      <c r="G308" s="2" t="n">
        <v>47.2</v>
      </c>
      <c r="H308" s="2" t="n">
        <v>-58.1</v>
      </c>
      <c r="I308" s="2" t="n">
        <v>-18.1</v>
      </c>
      <c r="J308" s="2" t="n">
        <v>9.265721774</v>
      </c>
    </row>
    <row r="309" customFormat="false" ht="15.8" hidden="false" customHeight="false" outlineLevel="0" collapsed="false">
      <c r="A309" s="1" t="n">
        <v>308</v>
      </c>
      <c r="B309" s="1" t="n">
        <v>47.2</v>
      </c>
      <c r="C309" s="1" t="n">
        <v>-58.1</v>
      </c>
      <c r="D309" s="1" t="n">
        <v>-18.1</v>
      </c>
      <c r="E309" s="2" t="n">
        <v>0.9</v>
      </c>
      <c r="F309" s="2" t="n">
        <v>307</v>
      </c>
      <c r="G309" s="2" t="n">
        <v>47.1</v>
      </c>
      <c r="H309" s="2" t="n">
        <v>-57.2</v>
      </c>
      <c r="I309" s="2" t="n">
        <v>-17.8</v>
      </c>
      <c r="J309" s="2" t="n">
        <v>9.40529638</v>
      </c>
    </row>
    <row r="310" customFormat="false" ht="15.8" hidden="false" customHeight="false" outlineLevel="0" collapsed="false">
      <c r="A310" s="1" t="n">
        <v>309</v>
      </c>
      <c r="B310" s="1" t="n">
        <v>53.4</v>
      </c>
      <c r="C310" s="1" t="n">
        <v>-58.3</v>
      </c>
      <c r="D310" s="1" t="n">
        <v>-20.3</v>
      </c>
      <c r="E310" s="2" t="n">
        <v>3.7</v>
      </c>
      <c r="F310" s="2" t="n">
        <v>310</v>
      </c>
      <c r="G310" s="2" t="n">
        <v>55.4</v>
      </c>
      <c r="H310" s="2" t="n">
        <v>-55.3</v>
      </c>
      <c r="I310" s="2" t="n">
        <v>-21.5</v>
      </c>
      <c r="J310" s="2" t="n">
        <v>9.36523358</v>
      </c>
    </row>
    <row r="311" customFormat="false" ht="15.8" hidden="false" customHeight="false" outlineLevel="0" collapsed="false">
      <c r="A311" s="1" t="n">
        <v>310</v>
      </c>
      <c r="B311" s="1" t="n">
        <v>55.4</v>
      </c>
      <c r="C311" s="1" t="n">
        <v>-55.3</v>
      </c>
      <c r="D311" s="1" t="n">
        <v>-21.5</v>
      </c>
      <c r="E311" s="2" t="n">
        <v>1.9</v>
      </c>
      <c r="F311" s="2" t="n">
        <v>340</v>
      </c>
      <c r="G311" s="2" t="n">
        <v>54.3</v>
      </c>
      <c r="H311" s="2" t="n">
        <v>-54.2</v>
      </c>
      <c r="I311" s="2" t="n">
        <v>-20.3</v>
      </c>
      <c r="J311" s="2" t="n">
        <v>8.935076944</v>
      </c>
    </row>
    <row r="312" customFormat="false" ht="15.8" hidden="false" customHeight="false" outlineLevel="0" collapsed="false">
      <c r="A312" s="1" t="n">
        <v>311</v>
      </c>
      <c r="B312" s="1" t="n">
        <v>59.9</v>
      </c>
      <c r="C312" s="1" t="n">
        <v>-54.7</v>
      </c>
      <c r="D312" s="1" t="n">
        <v>-21.5</v>
      </c>
      <c r="E312" s="2" t="n">
        <v>2.3</v>
      </c>
      <c r="F312" s="2" t="n">
        <v>312</v>
      </c>
      <c r="G312" s="2" t="n">
        <v>58.7</v>
      </c>
      <c r="H312" s="2" t="n">
        <v>-54</v>
      </c>
      <c r="I312" s="2" t="n">
        <v>-23.3</v>
      </c>
      <c r="J312" s="2" t="n">
        <v>12.82020281</v>
      </c>
    </row>
    <row r="313" customFormat="false" ht="15.8" hidden="false" customHeight="false" outlineLevel="0" collapsed="false">
      <c r="A313" s="1" t="n">
        <v>312</v>
      </c>
      <c r="B313" s="1" t="n">
        <v>58.7</v>
      </c>
      <c r="C313" s="1" t="n">
        <v>-54</v>
      </c>
      <c r="D313" s="1" t="n">
        <v>-23.3</v>
      </c>
      <c r="E313" s="2" t="n">
        <v>0.6</v>
      </c>
      <c r="F313" s="2" t="n">
        <v>314</v>
      </c>
      <c r="G313" s="2" t="n">
        <v>58.3</v>
      </c>
      <c r="H313" s="2" t="n">
        <v>-53.9</v>
      </c>
      <c r="I313" s="2" t="n">
        <v>-22.9</v>
      </c>
      <c r="J313" s="2" t="n">
        <v>11.0607233</v>
      </c>
    </row>
    <row r="314" customFormat="false" ht="15.8" hidden="false" customHeight="false" outlineLevel="0" collapsed="false">
      <c r="A314" s="1" t="n">
        <v>313</v>
      </c>
      <c r="B314" s="1" t="n">
        <v>60</v>
      </c>
      <c r="C314" s="1" t="n">
        <v>-53.4</v>
      </c>
      <c r="D314" s="1" t="n">
        <v>-23.7</v>
      </c>
      <c r="E314" s="2" t="n">
        <v>1.4</v>
      </c>
      <c r="F314" s="2" t="n">
        <v>317</v>
      </c>
      <c r="G314" s="2" t="n">
        <v>58.8</v>
      </c>
      <c r="H314" s="2" t="n">
        <v>-52.8</v>
      </c>
      <c r="I314" s="2" t="n">
        <v>-24</v>
      </c>
      <c r="J314" s="2" t="n">
        <v>12.21448321</v>
      </c>
    </row>
    <row r="315" customFormat="false" ht="15.8" hidden="false" customHeight="false" outlineLevel="0" collapsed="false">
      <c r="A315" s="1" t="n">
        <v>314</v>
      </c>
      <c r="B315" s="1" t="n">
        <v>58.3</v>
      </c>
      <c r="C315" s="1" t="n">
        <v>-53.9</v>
      </c>
      <c r="D315" s="1" t="n">
        <v>-22.9</v>
      </c>
      <c r="E315" s="2" t="n">
        <v>0.6</v>
      </c>
      <c r="F315" s="2" t="n">
        <v>312</v>
      </c>
      <c r="G315" s="2" t="n">
        <v>58.7</v>
      </c>
      <c r="H315" s="2" t="n">
        <v>-54</v>
      </c>
      <c r="I315" s="2" t="n">
        <v>-23.3</v>
      </c>
      <c r="J315" s="2" t="n">
        <v>10.78506375</v>
      </c>
    </row>
    <row r="316" customFormat="false" ht="15.8" hidden="false" customHeight="false" outlineLevel="0" collapsed="false">
      <c r="A316" s="1" t="n">
        <v>315</v>
      </c>
      <c r="B316" s="1" t="n">
        <v>63.3</v>
      </c>
      <c r="C316" s="1" t="n">
        <v>-50.5</v>
      </c>
      <c r="D316" s="1" t="n">
        <v>-24.4</v>
      </c>
      <c r="E316" s="2" t="n">
        <v>2.1</v>
      </c>
      <c r="F316" s="2" t="n">
        <v>316</v>
      </c>
      <c r="G316" s="2" t="n">
        <v>61.4</v>
      </c>
      <c r="H316" s="2" t="n">
        <v>-50.6</v>
      </c>
      <c r="I316" s="2" t="n">
        <v>-23.7</v>
      </c>
      <c r="J316" s="2" t="n">
        <v>15.62739902</v>
      </c>
    </row>
    <row r="317" customFormat="false" ht="15.8" hidden="false" customHeight="false" outlineLevel="0" collapsed="false">
      <c r="A317" s="1" t="n">
        <v>316</v>
      </c>
      <c r="B317" s="1" t="n">
        <v>61.4</v>
      </c>
      <c r="C317" s="1" t="n">
        <v>-50.6</v>
      </c>
      <c r="D317" s="1" t="n">
        <v>-23.7</v>
      </c>
      <c r="E317" s="2" t="n">
        <v>1.8</v>
      </c>
      <c r="F317" s="2" t="n">
        <v>363</v>
      </c>
      <c r="G317" s="2" t="n">
        <v>61.1</v>
      </c>
      <c r="H317" s="2" t="n">
        <v>-49.7</v>
      </c>
      <c r="I317" s="2" t="n">
        <v>-22.2</v>
      </c>
      <c r="J317" s="2" t="n">
        <v>13.86569868</v>
      </c>
    </row>
    <row r="318" customFormat="false" ht="15.8" hidden="false" customHeight="false" outlineLevel="0" collapsed="false">
      <c r="A318" s="1" t="n">
        <v>317</v>
      </c>
      <c r="B318" s="1" t="n">
        <v>58.8</v>
      </c>
      <c r="C318" s="1" t="n">
        <v>-52.8</v>
      </c>
      <c r="D318" s="1" t="n">
        <v>-24</v>
      </c>
      <c r="E318" s="2" t="n">
        <v>1.4</v>
      </c>
      <c r="F318" s="2" t="n">
        <v>313</v>
      </c>
      <c r="G318" s="2" t="n">
        <v>60</v>
      </c>
      <c r="H318" s="2" t="n">
        <v>-53.4</v>
      </c>
      <c r="I318" s="2" t="n">
        <v>-23.7</v>
      </c>
      <c r="J318" s="2" t="n">
        <v>10.99288861</v>
      </c>
    </row>
    <row r="319" customFormat="false" ht="15.8" hidden="false" customHeight="false" outlineLevel="0" collapsed="false">
      <c r="A319" s="1" t="n">
        <v>318</v>
      </c>
      <c r="B319" s="1" t="n">
        <v>54.6</v>
      </c>
      <c r="C319" s="1" t="n">
        <v>-52.1</v>
      </c>
      <c r="D319" s="1" t="n">
        <v>-22.2</v>
      </c>
      <c r="E319" s="2" t="n">
        <v>2.4</v>
      </c>
      <c r="F319" s="2" t="n">
        <v>350</v>
      </c>
      <c r="G319" s="2" t="n">
        <v>55.5</v>
      </c>
      <c r="H319" s="2" t="n">
        <v>-52.3</v>
      </c>
      <c r="I319" s="2" t="n">
        <v>-20</v>
      </c>
      <c r="J319" s="2" t="n">
        <v>7.775705756</v>
      </c>
    </row>
    <row r="320" customFormat="false" ht="15.8" hidden="false" customHeight="false" outlineLevel="0" collapsed="false">
      <c r="A320" s="1" t="n">
        <v>319</v>
      </c>
      <c r="B320" s="1" t="n">
        <v>45.1</v>
      </c>
      <c r="C320" s="1" t="n">
        <v>-58.2</v>
      </c>
      <c r="D320" s="1" t="n">
        <v>-17.4</v>
      </c>
      <c r="E320" s="2" t="n">
        <v>0.6</v>
      </c>
      <c r="F320" s="2" t="n">
        <v>368</v>
      </c>
      <c r="G320" s="2" t="n">
        <v>44.7</v>
      </c>
      <c r="H320" s="2" t="n">
        <v>-58.3</v>
      </c>
      <c r="I320" s="2" t="n">
        <v>-17.8</v>
      </c>
      <c r="J320" s="2" t="n">
        <v>10.44785145</v>
      </c>
    </row>
    <row r="321" customFormat="false" ht="15.8" hidden="false" customHeight="false" outlineLevel="0" collapsed="false">
      <c r="A321" s="1" t="n">
        <v>320</v>
      </c>
      <c r="B321" s="1" t="n">
        <v>40.2</v>
      </c>
      <c r="C321" s="1" t="n">
        <v>-59.4</v>
      </c>
      <c r="D321" s="1" t="n">
        <v>-14.4</v>
      </c>
      <c r="E321" s="2" t="n">
        <v>2.2</v>
      </c>
      <c r="F321" s="2" t="n">
        <v>370</v>
      </c>
      <c r="G321" s="2" t="n">
        <v>39.3</v>
      </c>
      <c r="H321" s="2" t="n">
        <v>-61.1</v>
      </c>
      <c r="I321" s="2" t="n">
        <v>-15.5</v>
      </c>
      <c r="J321" s="2" t="n">
        <v>15.38556466</v>
      </c>
    </row>
    <row r="322" customFormat="false" ht="15.8" hidden="false" customHeight="false" outlineLevel="0" collapsed="false">
      <c r="A322" s="1" t="n">
        <v>321</v>
      </c>
      <c r="B322" s="1" t="n">
        <v>27.9</v>
      </c>
      <c r="C322" s="1" t="n">
        <v>-60</v>
      </c>
      <c r="D322" s="1" t="n">
        <v>-12.9</v>
      </c>
      <c r="E322" s="2" t="n">
        <v>3.3</v>
      </c>
      <c r="F322" s="2" t="n">
        <v>322</v>
      </c>
      <c r="G322" s="2" t="n">
        <v>30.5</v>
      </c>
      <c r="H322" s="2" t="n">
        <v>-58</v>
      </c>
      <c r="I322" s="2" t="n">
        <v>-13.3</v>
      </c>
      <c r="J322" s="2" t="n">
        <v>25.02134289</v>
      </c>
    </row>
    <row r="323" customFormat="false" ht="15.8" hidden="false" customHeight="false" outlineLevel="0" collapsed="false">
      <c r="A323" s="1" t="n">
        <v>322</v>
      </c>
      <c r="B323" s="1" t="n">
        <v>30.5</v>
      </c>
      <c r="C323" s="1" t="n">
        <v>-58</v>
      </c>
      <c r="D323" s="1" t="n">
        <v>-13.3</v>
      </c>
      <c r="E323" s="2" t="n">
        <v>2.5</v>
      </c>
      <c r="F323" s="2" t="n">
        <v>325</v>
      </c>
      <c r="G323" s="2" t="n">
        <v>32.9</v>
      </c>
      <c r="H323" s="2" t="n">
        <v>-58.9</v>
      </c>
      <c r="I323" s="2" t="n">
        <v>-13.3</v>
      </c>
      <c r="J323" s="2" t="n">
        <v>22.25029438</v>
      </c>
    </row>
    <row r="324" customFormat="false" ht="15.8" hidden="false" customHeight="false" outlineLevel="0" collapsed="false">
      <c r="A324" s="1" t="n">
        <v>323</v>
      </c>
      <c r="B324" s="1" t="n">
        <v>26.8</v>
      </c>
      <c r="C324" s="1" t="n">
        <v>-59.9</v>
      </c>
      <c r="D324" s="1" t="n">
        <v>-17.8</v>
      </c>
      <c r="E324" s="2" t="n">
        <v>4.4</v>
      </c>
      <c r="F324" s="2" t="n">
        <v>192</v>
      </c>
      <c r="G324" s="2" t="n">
        <v>29.2</v>
      </c>
      <c r="H324" s="2" t="n">
        <v>-60.2</v>
      </c>
      <c r="I324" s="2" t="n">
        <v>-21.5</v>
      </c>
      <c r="J324" s="2" t="n">
        <v>23.75149679</v>
      </c>
    </row>
    <row r="325" customFormat="false" ht="15.8" hidden="false" customHeight="false" outlineLevel="0" collapsed="false">
      <c r="A325" s="1" t="n">
        <v>324</v>
      </c>
      <c r="B325" s="1" t="n">
        <v>43.6</v>
      </c>
      <c r="C325" s="1" t="n">
        <v>-54.9</v>
      </c>
      <c r="D325" s="1" t="n">
        <v>-22.2</v>
      </c>
      <c r="E325" s="2" t="n">
        <v>3.9</v>
      </c>
      <c r="F325" s="2" t="n">
        <v>306</v>
      </c>
      <c r="G325" s="2" t="n">
        <v>44.9</v>
      </c>
      <c r="H325" s="2" t="n">
        <v>-51.3</v>
      </c>
      <c r="I325" s="2" t="n">
        <v>-21.8</v>
      </c>
      <c r="J325" s="2" t="n">
        <v>6.158376409</v>
      </c>
    </row>
    <row r="326" customFormat="false" ht="15.8" hidden="false" customHeight="false" outlineLevel="0" collapsed="false">
      <c r="A326" s="1" t="n">
        <v>325</v>
      </c>
      <c r="B326" s="1" t="n">
        <v>32.9</v>
      </c>
      <c r="C326" s="1" t="n">
        <v>-58.9</v>
      </c>
      <c r="D326" s="1" t="n">
        <v>-13.3</v>
      </c>
      <c r="E326" s="2" t="n">
        <v>2.5</v>
      </c>
      <c r="F326" s="2" t="n">
        <v>322</v>
      </c>
      <c r="G326" s="2" t="n">
        <v>30.5</v>
      </c>
      <c r="H326" s="2" t="n">
        <v>-58</v>
      </c>
      <c r="I326" s="2" t="n">
        <v>-13.3</v>
      </c>
      <c r="J326" s="2" t="n">
        <v>20.63505755</v>
      </c>
    </row>
    <row r="327" customFormat="false" ht="15.8" hidden="false" customHeight="false" outlineLevel="0" collapsed="false">
      <c r="A327" s="1" t="n">
        <v>326</v>
      </c>
      <c r="B327" s="1" t="n">
        <v>36.9</v>
      </c>
      <c r="C327" s="1" t="n">
        <v>-57.2</v>
      </c>
      <c r="D327" s="1" t="n">
        <v>-14.1</v>
      </c>
      <c r="E327" s="2" t="n">
        <v>0.9</v>
      </c>
      <c r="F327" s="2" t="n">
        <v>327</v>
      </c>
      <c r="G327" s="2" t="n">
        <v>36.1</v>
      </c>
      <c r="H327" s="2" t="n">
        <v>-57</v>
      </c>
      <c r="I327" s="2" t="n">
        <v>-14.4</v>
      </c>
      <c r="J327" s="2" t="n">
        <v>16.87517704</v>
      </c>
    </row>
    <row r="328" customFormat="false" ht="15.8" hidden="false" customHeight="false" outlineLevel="0" collapsed="false">
      <c r="A328" s="1" t="n">
        <v>327</v>
      </c>
      <c r="B328" s="1" t="n">
        <v>36.1</v>
      </c>
      <c r="C328" s="1" t="n">
        <v>-57</v>
      </c>
      <c r="D328" s="1" t="n">
        <v>-14.4</v>
      </c>
      <c r="E328" s="2" t="n">
        <v>0.9</v>
      </c>
      <c r="F328" s="2" t="n">
        <v>326</v>
      </c>
      <c r="G328" s="2" t="n">
        <v>36.9</v>
      </c>
      <c r="H328" s="2" t="n">
        <v>-57.2</v>
      </c>
      <c r="I328" s="2" t="n">
        <v>-14.1</v>
      </c>
      <c r="J328" s="2" t="n">
        <v>17.16337962</v>
      </c>
    </row>
    <row r="329" customFormat="false" ht="15.8" hidden="false" customHeight="false" outlineLevel="0" collapsed="false">
      <c r="A329" s="1" t="n">
        <v>328</v>
      </c>
      <c r="B329" s="1" t="n">
        <v>40.5</v>
      </c>
      <c r="C329" s="1" t="n">
        <v>-56.6</v>
      </c>
      <c r="D329" s="1" t="n">
        <v>-15.2</v>
      </c>
      <c r="E329" s="2" t="n">
        <v>1.6</v>
      </c>
      <c r="F329" s="2" t="n">
        <v>330</v>
      </c>
      <c r="G329" s="2" t="n">
        <v>41.6</v>
      </c>
      <c r="H329" s="2" t="n">
        <v>-56.3</v>
      </c>
      <c r="I329" s="2" t="n">
        <v>-14.1</v>
      </c>
      <c r="J329" s="2" t="n">
        <v>13.70801226</v>
      </c>
    </row>
    <row r="330" customFormat="false" ht="15.8" hidden="false" customHeight="false" outlineLevel="0" collapsed="false">
      <c r="A330" s="1" t="n">
        <v>329</v>
      </c>
      <c r="B330" s="1" t="n">
        <v>37.9</v>
      </c>
      <c r="C330" s="1" t="n">
        <v>-55.2</v>
      </c>
      <c r="D330" s="1" t="n">
        <v>-14.1</v>
      </c>
      <c r="E330" s="2" t="n">
        <v>2.2</v>
      </c>
      <c r="F330" s="2" t="n">
        <v>326</v>
      </c>
      <c r="G330" s="2" t="n">
        <v>36.9</v>
      </c>
      <c r="H330" s="2" t="n">
        <v>-57.2</v>
      </c>
      <c r="I330" s="2" t="n">
        <v>-14.1</v>
      </c>
      <c r="J330" s="2" t="n">
        <v>15.87865234</v>
      </c>
    </row>
    <row r="331" customFormat="false" ht="15.8" hidden="false" customHeight="false" outlineLevel="0" collapsed="false">
      <c r="A331" s="1" t="n">
        <v>330</v>
      </c>
      <c r="B331" s="1" t="n">
        <v>41.6</v>
      </c>
      <c r="C331" s="1" t="n">
        <v>-56.3</v>
      </c>
      <c r="D331" s="1" t="n">
        <v>-14.1</v>
      </c>
      <c r="E331" s="2" t="n">
        <v>1.6</v>
      </c>
      <c r="F331" s="2" t="n">
        <v>328</v>
      </c>
      <c r="G331" s="2" t="n">
        <v>40.5</v>
      </c>
      <c r="H331" s="2" t="n">
        <v>-56.6</v>
      </c>
      <c r="I331" s="2" t="n">
        <v>-15.2</v>
      </c>
      <c r="J331" s="2" t="n">
        <v>14.00155706</v>
      </c>
    </row>
    <row r="332" customFormat="false" ht="15.8" hidden="false" customHeight="false" outlineLevel="0" collapsed="false">
      <c r="A332" s="1" t="n">
        <v>331</v>
      </c>
      <c r="B332" s="1" t="n">
        <v>37.9</v>
      </c>
      <c r="C332" s="1" t="n">
        <v>-57.7</v>
      </c>
      <c r="D332" s="1" t="n">
        <v>-11.8</v>
      </c>
      <c r="E332" s="2" t="n">
        <v>2.5</v>
      </c>
      <c r="F332" s="2" t="n">
        <v>338</v>
      </c>
      <c r="G332" s="2" t="n">
        <v>37.1</v>
      </c>
      <c r="H332" s="2" t="n">
        <v>-59.2</v>
      </c>
      <c r="I332" s="2" t="n">
        <v>-10</v>
      </c>
      <c r="J332" s="2" t="n">
        <v>18.12290264</v>
      </c>
    </row>
    <row r="333" customFormat="false" ht="15.8" hidden="false" customHeight="false" outlineLevel="0" collapsed="false">
      <c r="A333" s="1" t="n">
        <v>332</v>
      </c>
      <c r="B333" s="1" t="n">
        <v>32.8</v>
      </c>
      <c r="C333" s="1" t="n">
        <v>-58.3</v>
      </c>
      <c r="D333" s="1" t="n">
        <v>-9.6</v>
      </c>
      <c r="E333" s="2" t="n">
        <v>3.7</v>
      </c>
      <c r="F333" s="2" t="n">
        <v>325</v>
      </c>
      <c r="G333" s="2" t="n">
        <v>32.9</v>
      </c>
      <c r="H333" s="2" t="n">
        <v>-58.9</v>
      </c>
      <c r="I333" s="2" t="n">
        <v>-13.3</v>
      </c>
      <c r="J333" s="2" t="n">
        <v>23.05553296</v>
      </c>
    </row>
    <row r="334" customFormat="false" ht="15.8" hidden="false" customHeight="false" outlineLevel="0" collapsed="false">
      <c r="A334" s="1" t="n">
        <v>333</v>
      </c>
      <c r="B334" s="1" t="n">
        <v>41.1</v>
      </c>
      <c r="C334" s="1" t="n">
        <v>-58.7</v>
      </c>
      <c r="D334" s="1" t="n">
        <v>-10.7</v>
      </c>
      <c r="E334" s="2" t="n">
        <v>0.9</v>
      </c>
      <c r="F334" s="2" t="n">
        <v>334</v>
      </c>
      <c r="G334" s="2" t="n">
        <v>40.6</v>
      </c>
      <c r="H334" s="2" t="n">
        <v>-59.4</v>
      </c>
      <c r="I334" s="2" t="n">
        <v>-11.1</v>
      </c>
      <c r="J334" s="2" t="n">
        <v>17.78509488</v>
      </c>
    </row>
    <row r="335" customFormat="false" ht="15.8" hidden="false" customHeight="false" outlineLevel="0" collapsed="false">
      <c r="A335" s="1" t="n">
        <v>334</v>
      </c>
      <c r="B335" s="1" t="n">
        <v>40.6</v>
      </c>
      <c r="C335" s="1" t="n">
        <v>-59.4</v>
      </c>
      <c r="D335" s="1" t="n">
        <v>-11.1</v>
      </c>
      <c r="E335" s="2" t="n">
        <v>0.9</v>
      </c>
      <c r="F335" s="2" t="n">
        <v>333</v>
      </c>
      <c r="G335" s="2" t="n">
        <v>41.1</v>
      </c>
      <c r="H335" s="2" t="n">
        <v>-58.7</v>
      </c>
      <c r="I335" s="2" t="n">
        <v>-10.7</v>
      </c>
      <c r="J335" s="2" t="n">
        <v>17.86733332</v>
      </c>
    </row>
    <row r="336" customFormat="false" ht="15.8" hidden="false" customHeight="false" outlineLevel="0" collapsed="false">
      <c r="A336" s="1" t="n">
        <v>335</v>
      </c>
      <c r="B336" s="1" t="n">
        <v>40.6</v>
      </c>
      <c r="C336" s="1" t="n">
        <v>-60.1</v>
      </c>
      <c r="D336" s="1" t="n">
        <v>-11.5</v>
      </c>
      <c r="E336" s="2" t="n">
        <v>0.9</v>
      </c>
      <c r="F336" s="2" t="n">
        <v>334</v>
      </c>
      <c r="G336" s="2" t="n">
        <v>40.6</v>
      </c>
      <c r="H336" s="2" t="n">
        <v>-59.4</v>
      </c>
      <c r="I336" s="2" t="n">
        <v>-11.1</v>
      </c>
      <c r="J336" s="2" t="n">
        <v>17.78436392</v>
      </c>
    </row>
    <row r="337" customFormat="false" ht="15.8" hidden="false" customHeight="false" outlineLevel="0" collapsed="false">
      <c r="A337" s="1" t="n">
        <v>336</v>
      </c>
      <c r="B337" s="1" t="n">
        <v>42.8</v>
      </c>
      <c r="C337" s="1" t="n">
        <v>-59.1</v>
      </c>
      <c r="D337" s="1" t="n">
        <v>-12.6</v>
      </c>
      <c r="E337" s="2" t="n">
        <v>2.6</v>
      </c>
      <c r="F337" s="2" t="n">
        <v>333</v>
      </c>
      <c r="G337" s="2" t="n">
        <v>41.1</v>
      </c>
      <c r="H337" s="2" t="n">
        <v>-58.7</v>
      </c>
      <c r="I337" s="2" t="n">
        <v>-10.7</v>
      </c>
      <c r="J337" s="2" t="n">
        <v>15.64677603</v>
      </c>
    </row>
    <row r="338" customFormat="false" ht="15.8" hidden="false" customHeight="false" outlineLevel="0" collapsed="false">
      <c r="A338" s="1" t="n">
        <v>337</v>
      </c>
      <c r="B338" s="1" t="n">
        <v>41.2</v>
      </c>
      <c r="C338" s="1" t="n">
        <v>-57.3</v>
      </c>
      <c r="D338" s="1" t="n">
        <v>-11.5</v>
      </c>
      <c r="E338" s="2" t="n">
        <v>1.6</v>
      </c>
      <c r="F338" s="2" t="n">
        <v>333</v>
      </c>
      <c r="G338" s="2" t="n">
        <v>41.1</v>
      </c>
      <c r="H338" s="2" t="n">
        <v>-58.7</v>
      </c>
      <c r="I338" s="2" t="n">
        <v>-10.7</v>
      </c>
      <c r="J338" s="2" t="n">
        <v>16.6676813</v>
      </c>
    </row>
    <row r="339" customFormat="false" ht="15.8" hidden="false" customHeight="false" outlineLevel="0" collapsed="false">
      <c r="A339" s="1" t="n">
        <v>338</v>
      </c>
      <c r="B339" s="1" t="n">
        <v>37.1</v>
      </c>
      <c r="C339" s="1" t="n">
        <v>-59.2</v>
      </c>
      <c r="D339" s="1" t="n">
        <v>-10</v>
      </c>
      <c r="E339" s="2" t="n">
        <v>2.5</v>
      </c>
      <c r="F339" s="2" t="n">
        <v>331</v>
      </c>
      <c r="G339" s="2" t="n">
        <v>37.9</v>
      </c>
      <c r="H339" s="2" t="n">
        <v>-57.7</v>
      </c>
      <c r="I339" s="2" t="n">
        <v>-11.8</v>
      </c>
      <c r="J339" s="2" t="n">
        <v>20.3858186</v>
      </c>
    </row>
    <row r="340" customFormat="false" ht="15.8" hidden="false" customHeight="false" outlineLevel="0" collapsed="false">
      <c r="A340" s="1" t="n">
        <v>339</v>
      </c>
      <c r="B340" s="1" t="n">
        <v>50.3</v>
      </c>
      <c r="C340" s="1" t="n">
        <v>-52.8</v>
      </c>
      <c r="D340" s="1" t="n">
        <v>-19.2</v>
      </c>
      <c r="E340" s="2" t="n">
        <v>1.7</v>
      </c>
      <c r="F340" s="2" t="n">
        <v>367</v>
      </c>
      <c r="G340" s="2" t="n">
        <v>48.7</v>
      </c>
      <c r="H340" s="2" t="n">
        <v>-53</v>
      </c>
      <c r="I340" s="2" t="n">
        <v>-19.6</v>
      </c>
      <c r="J340" s="2" t="n">
        <v>7.35809758</v>
      </c>
    </row>
    <row r="341" customFormat="false" ht="15.8" hidden="false" customHeight="false" outlineLevel="0" collapsed="false">
      <c r="A341" s="1" t="n">
        <v>340</v>
      </c>
      <c r="B341" s="1" t="n">
        <v>54.3</v>
      </c>
      <c r="C341" s="1" t="n">
        <v>-54.2</v>
      </c>
      <c r="D341" s="1" t="n">
        <v>-20.3</v>
      </c>
      <c r="E341" s="2" t="n">
        <v>1.9</v>
      </c>
      <c r="F341" s="2" t="n">
        <v>310</v>
      </c>
      <c r="G341" s="2" t="n">
        <v>55.4</v>
      </c>
      <c r="H341" s="2" t="n">
        <v>-55.3</v>
      </c>
      <c r="I341" s="2" t="n">
        <v>-21.5</v>
      </c>
      <c r="J341" s="2" t="n">
        <v>8.629461165</v>
      </c>
    </row>
    <row r="342" customFormat="false" ht="15.8" hidden="false" customHeight="false" outlineLevel="0" collapsed="false">
      <c r="A342" s="1" t="n">
        <v>341</v>
      </c>
      <c r="B342" s="1" t="n">
        <v>63</v>
      </c>
      <c r="C342" s="1" t="n">
        <v>-51.3</v>
      </c>
      <c r="D342" s="1" t="n">
        <v>-21.5</v>
      </c>
      <c r="E342" s="2" t="n">
        <v>1.2</v>
      </c>
      <c r="F342" s="2" t="n">
        <v>345</v>
      </c>
      <c r="G342" s="2" t="n">
        <v>63.5</v>
      </c>
      <c r="H342" s="2" t="n">
        <v>-51.3</v>
      </c>
      <c r="I342" s="2" t="n">
        <v>-20.3</v>
      </c>
      <c r="J342" s="2" t="n">
        <v>15.80973118</v>
      </c>
    </row>
    <row r="343" customFormat="false" ht="15.8" hidden="false" customHeight="false" outlineLevel="0" collapsed="false">
      <c r="A343" s="1" t="n">
        <v>342</v>
      </c>
      <c r="B343" s="1" t="n">
        <v>64.6</v>
      </c>
      <c r="C343" s="1" t="n">
        <v>-51.9</v>
      </c>
      <c r="D343" s="1" t="n">
        <v>-22.6</v>
      </c>
      <c r="E343" s="2" t="n">
        <v>1.5</v>
      </c>
      <c r="F343" s="2" t="n">
        <v>349</v>
      </c>
      <c r="G343" s="2" t="n">
        <v>65.4</v>
      </c>
      <c r="H343" s="2" t="n">
        <v>-52.3</v>
      </c>
      <c r="I343" s="2" t="n">
        <v>-21.5</v>
      </c>
      <c r="J343" s="2" t="n">
        <v>17.00534034</v>
      </c>
    </row>
    <row r="344" customFormat="false" ht="15.8" hidden="false" customHeight="false" outlineLevel="0" collapsed="false">
      <c r="A344" s="1" t="n">
        <v>343</v>
      </c>
      <c r="B344" s="1" t="n">
        <v>61</v>
      </c>
      <c r="C344" s="1" t="n">
        <v>-53.5</v>
      </c>
      <c r="D344" s="1" t="n">
        <v>-19.2</v>
      </c>
      <c r="E344" s="2" t="n">
        <v>2.6</v>
      </c>
      <c r="F344" s="2" t="n">
        <v>360</v>
      </c>
      <c r="G344" s="2" t="n">
        <v>61.1</v>
      </c>
      <c r="H344" s="2" t="n">
        <v>-51.3</v>
      </c>
      <c r="I344" s="2" t="n">
        <v>-17.8</v>
      </c>
      <c r="J344" s="2" t="n">
        <v>14.72078802</v>
      </c>
    </row>
    <row r="345" customFormat="false" ht="15.8" hidden="false" customHeight="false" outlineLevel="0" collapsed="false">
      <c r="A345" s="1" t="n">
        <v>344</v>
      </c>
      <c r="B345" s="1" t="n">
        <v>67.5</v>
      </c>
      <c r="C345" s="1" t="n">
        <v>-50.4</v>
      </c>
      <c r="D345" s="1" t="n">
        <v>-21.5</v>
      </c>
      <c r="E345" s="2" t="n">
        <v>2</v>
      </c>
      <c r="F345" s="2" t="n">
        <v>347</v>
      </c>
      <c r="G345" s="2" t="n">
        <v>66.2</v>
      </c>
      <c r="H345" s="2" t="n">
        <v>-51.9</v>
      </c>
      <c r="I345" s="2" t="n">
        <v>-20.7</v>
      </c>
      <c r="J345" s="2" t="n">
        <v>20.23253815</v>
      </c>
    </row>
    <row r="346" customFormat="false" ht="15.8" hidden="false" customHeight="false" outlineLevel="0" collapsed="false">
      <c r="A346" s="1" t="n">
        <v>345</v>
      </c>
      <c r="B346" s="1" t="n">
        <v>63.5</v>
      </c>
      <c r="C346" s="1" t="n">
        <v>-51.3</v>
      </c>
      <c r="D346" s="1" t="n">
        <v>-20.3</v>
      </c>
      <c r="E346" s="2" t="n">
        <v>1.2</v>
      </c>
      <c r="F346" s="2" t="n">
        <v>341</v>
      </c>
      <c r="G346" s="2" t="n">
        <v>63</v>
      </c>
      <c r="H346" s="2" t="n">
        <v>-51.3</v>
      </c>
      <c r="I346" s="2" t="n">
        <v>-21.5</v>
      </c>
      <c r="J346" s="2" t="n">
        <v>16.66822126</v>
      </c>
    </row>
    <row r="347" customFormat="false" ht="15.8" hidden="false" customHeight="false" outlineLevel="0" collapsed="false">
      <c r="A347" s="1" t="n">
        <v>346</v>
      </c>
      <c r="B347" s="1" t="n">
        <v>66.3</v>
      </c>
      <c r="C347" s="1" t="n">
        <v>-52.5</v>
      </c>
      <c r="D347" s="1" t="n">
        <v>-20.7</v>
      </c>
      <c r="E347" s="2" t="n">
        <v>0.7</v>
      </c>
      <c r="F347" s="2" t="n">
        <v>347</v>
      </c>
      <c r="G347" s="2" t="n">
        <v>66.2</v>
      </c>
      <c r="H347" s="2" t="n">
        <v>-51.9</v>
      </c>
      <c r="I347" s="2" t="n">
        <v>-20.7</v>
      </c>
      <c r="J347" s="2" t="n">
        <v>19.08396185</v>
      </c>
    </row>
    <row r="348" customFormat="false" ht="15.8" hidden="false" customHeight="false" outlineLevel="0" collapsed="false">
      <c r="A348" s="1" t="n">
        <v>347</v>
      </c>
      <c r="B348" s="1" t="n">
        <v>66.2</v>
      </c>
      <c r="C348" s="1" t="n">
        <v>-51.9</v>
      </c>
      <c r="D348" s="1" t="n">
        <v>-20.7</v>
      </c>
      <c r="E348" s="2" t="n">
        <v>0.7</v>
      </c>
      <c r="F348" s="2" t="n">
        <v>346</v>
      </c>
      <c r="G348" s="2" t="n">
        <v>66.3</v>
      </c>
      <c r="H348" s="2" t="n">
        <v>-52.5</v>
      </c>
      <c r="I348" s="2" t="n">
        <v>-20.7</v>
      </c>
      <c r="J348" s="2" t="n">
        <v>19.0249205</v>
      </c>
    </row>
    <row r="349" customFormat="false" ht="15.8" hidden="false" customHeight="false" outlineLevel="0" collapsed="false">
      <c r="A349" s="1" t="n">
        <v>348</v>
      </c>
      <c r="B349" s="1" t="n">
        <v>64.6</v>
      </c>
      <c r="C349" s="1" t="n">
        <v>-52.4</v>
      </c>
      <c r="D349" s="1" t="n">
        <v>-20.7</v>
      </c>
      <c r="E349" s="2" t="n">
        <v>1.1</v>
      </c>
      <c r="F349" s="2" t="n">
        <v>349</v>
      </c>
      <c r="G349" s="2" t="n">
        <v>65.4</v>
      </c>
      <c r="H349" s="2" t="n">
        <v>-52.3</v>
      </c>
      <c r="I349" s="2" t="n">
        <v>-21.5</v>
      </c>
      <c r="J349" s="2" t="n">
        <v>17.4695621</v>
      </c>
    </row>
    <row r="350" customFormat="false" ht="15.8" hidden="false" customHeight="false" outlineLevel="0" collapsed="false">
      <c r="A350" s="1" t="n">
        <v>349</v>
      </c>
      <c r="B350" s="1" t="n">
        <v>65.4</v>
      </c>
      <c r="C350" s="1" t="n">
        <v>-52.3</v>
      </c>
      <c r="D350" s="1" t="n">
        <v>-21.5</v>
      </c>
      <c r="E350" s="2" t="n">
        <v>1.1</v>
      </c>
      <c r="F350" s="2" t="n">
        <v>348</v>
      </c>
      <c r="G350" s="2" t="n">
        <v>64.6</v>
      </c>
      <c r="H350" s="2" t="n">
        <v>-52.4</v>
      </c>
      <c r="I350" s="2" t="n">
        <v>-20.7</v>
      </c>
      <c r="J350" s="2" t="n">
        <v>18.01098554</v>
      </c>
    </row>
    <row r="351" customFormat="false" ht="15.8" hidden="false" customHeight="false" outlineLevel="0" collapsed="false">
      <c r="A351" s="1" t="n">
        <v>350</v>
      </c>
      <c r="B351" s="1" t="n">
        <v>55.5</v>
      </c>
      <c r="C351" s="1" t="n">
        <v>-52.3</v>
      </c>
      <c r="D351" s="1" t="n">
        <v>-20</v>
      </c>
      <c r="E351" s="2" t="n">
        <v>2.3</v>
      </c>
      <c r="F351" s="2" t="n">
        <v>340</v>
      </c>
      <c r="G351" s="2" t="n">
        <v>54.3</v>
      </c>
      <c r="H351" s="2" t="n">
        <v>-54.2</v>
      </c>
      <c r="I351" s="2" t="n">
        <v>-20.3</v>
      </c>
      <c r="J351" s="2" t="n">
        <v>9.745132118</v>
      </c>
    </row>
    <row r="352" customFormat="false" ht="15.8" hidden="false" customHeight="false" outlineLevel="0" collapsed="false">
      <c r="A352" s="1" t="n">
        <v>351</v>
      </c>
      <c r="B352" s="1" t="n">
        <v>52.2</v>
      </c>
      <c r="C352" s="1" t="n">
        <v>-53</v>
      </c>
      <c r="D352" s="1" t="n">
        <v>-20.7</v>
      </c>
      <c r="E352" s="2" t="n">
        <v>2.4</v>
      </c>
      <c r="F352" s="2" t="n">
        <v>339</v>
      </c>
      <c r="G352" s="2" t="n">
        <v>50.3</v>
      </c>
      <c r="H352" s="2" t="n">
        <v>-52.8</v>
      </c>
      <c r="I352" s="2" t="n">
        <v>-19.2</v>
      </c>
      <c r="J352" s="2" t="n">
        <v>6.889528286</v>
      </c>
    </row>
    <row r="353" customFormat="false" ht="15.8" hidden="false" customHeight="false" outlineLevel="0" collapsed="false">
      <c r="A353" s="1" t="n">
        <v>352</v>
      </c>
      <c r="B353" s="1" t="n">
        <v>48</v>
      </c>
      <c r="C353" s="1" t="n">
        <v>-47.4</v>
      </c>
      <c r="D353" s="1" t="n">
        <v>-12.9</v>
      </c>
      <c r="E353" s="2" t="n">
        <v>4.9</v>
      </c>
      <c r="F353" s="2" t="n">
        <v>355</v>
      </c>
      <c r="G353" s="2" t="n">
        <v>52.8</v>
      </c>
      <c r="H353" s="2" t="n">
        <v>-46.3</v>
      </c>
      <c r="I353" s="2" t="n">
        <v>-12.6</v>
      </c>
      <c r="J353" s="2" t="n">
        <v>14.55615334</v>
      </c>
    </row>
    <row r="354" customFormat="false" ht="15.8" hidden="false" customHeight="false" outlineLevel="0" collapsed="false">
      <c r="A354" s="1" t="n">
        <v>353</v>
      </c>
      <c r="B354" s="1" t="n">
        <v>54.5</v>
      </c>
      <c r="C354" s="1" t="n">
        <v>-47.3</v>
      </c>
      <c r="D354" s="1" t="n">
        <v>-13.7</v>
      </c>
      <c r="E354" s="2" t="n">
        <v>0.9</v>
      </c>
      <c r="F354" s="2" t="n">
        <v>354</v>
      </c>
      <c r="G354" s="2" t="n">
        <v>54.8</v>
      </c>
      <c r="H354" s="2" t="n">
        <v>-48.2</v>
      </c>
      <c r="I354" s="2" t="n">
        <v>-13.7</v>
      </c>
      <c r="J354" s="2" t="n">
        <v>15.30377731</v>
      </c>
    </row>
    <row r="355" customFormat="false" ht="15.8" hidden="false" customHeight="false" outlineLevel="0" collapsed="false">
      <c r="A355" s="1" t="n">
        <v>354</v>
      </c>
      <c r="B355" s="1" t="n">
        <v>54.8</v>
      </c>
      <c r="C355" s="1" t="n">
        <v>-48.2</v>
      </c>
      <c r="D355" s="1" t="n">
        <v>-13.7</v>
      </c>
      <c r="E355" s="2" t="n">
        <v>0.9</v>
      </c>
      <c r="F355" s="2" t="n">
        <v>353</v>
      </c>
      <c r="G355" s="2" t="n">
        <v>54.5</v>
      </c>
      <c r="H355" s="2" t="n">
        <v>-47.3</v>
      </c>
      <c r="I355" s="2" t="n">
        <v>-13.7</v>
      </c>
      <c r="J355" s="2" t="n">
        <v>15.10210581</v>
      </c>
    </row>
    <row r="356" customFormat="false" ht="15.8" hidden="false" customHeight="false" outlineLevel="0" collapsed="false">
      <c r="A356" s="1" t="n">
        <v>355</v>
      </c>
      <c r="B356" s="1" t="n">
        <v>52.8</v>
      </c>
      <c r="C356" s="1" t="n">
        <v>-46.3</v>
      </c>
      <c r="D356" s="1" t="n">
        <v>-12.6</v>
      </c>
      <c r="E356" s="2" t="n">
        <v>2.2</v>
      </c>
      <c r="F356" s="2" t="n">
        <v>353</v>
      </c>
      <c r="G356" s="2" t="n">
        <v>54.5</v>
      </c>
      <c r="H356" s="2" t="n">
        <v>-47.3</v>
      </c>
      <c r="I356" s="2" t="n">
        <v>-13.7</v>
      </c>
      <c r="J356" s="2" t="n">
        <v>16.02864935</v>
      </c>
    </row>
    <row r="357" customFormat="false" ht="15.8" hidden="false" customHeight="false" outlineLevel="0" collapsed="false">
      <c r="A357" s="1" t="n">
        <v>356</v>
      </c>
      <c r="B357" s="1" t="n">
        <v>52.8</v>
      </c>
      <c r="C357" s="1" t="n">
        <v>-55.9</v>
      </c>
      <c r="D357" s="1" t="n">
        <v>-12.9</v>
      </c>
      <c r="E357" s="2" t="n">
        <v>1.9</v>
      </c>
      <c r="F357" s="2" t="n">
        <v>357</v>
      </c>
      <c r="G357" s="2" t="n">
        <v>51.6</v>
      </c>
      <c r="H357" s="2" t="n">
        <v>-57.3</v>
      </c>
      <c r="I357" s="2" t="n">
        <v>-13.3</v>
      </c>
      <c r="J357" s="2" t="n">
        <v>14.33414106</v>
      </c>
    </row>
    <row r="358" customFormat="false" ht="15.8" hidden="false" customHeight="false" outlineLevel="0" collapsed="false">
      <c r="A358" s="1" t="n">
        <v>357</v>
      </c>
      <c r="B358" s="1" t="n">
        <v>51.6</v>
      </c>
      <c r="C358" s="1" t="n">
        <v>-57.3</v>
      </c>
      <c r="D358" s="1" t="n">
        <v>-13.3</v>
      </c>
      <c r="E358" s="2" t="n">
        <v>1.3</v>
      </c>
      <c r="F358" s="2" t="n">
        <v>358</v>
      </c>
      <c r="G358" s="2" t="n">
        <v>50.4</v>
      </c>
      <c r="H358" s="2" t="n">
        <v>-56.9</v>
      </c>
      <c r="I358" s="2" t="n">
        <v>-13.3</v>
      </c>
      <c r="J358" s="2" t="n">
        <v>13.93167614</v>
      </c>
    </row>
    <row r="359" customFormat="false" ht="15.8" hidden="false" customHeight="false" outlineLevel="0" collapsed="false">
      <c r="A359" s="1" t="n">
        <v>358</v>
      </c>
      <c r="B359" s="1" t="n">
        <v>50.4</v>
      </c>
      <c r="C359" s="1" t="n">
        <v>-56.9</v>
      </c>
      <c r="D359" s="1" t="n">
        <v>-13.3</v>
      </c>
      <c r="E359" s="2" t="n">
        <v>1.3</v>
      </c>
      <c r="F359" s="2" t="n">
        <v>357</v>
      </c>
      <c r="G359" s="2" t="n">
        <v>51.6</v>
      </c>
      <c r="H359" s="2" t="n">
        <v>-57.3</v>
      </c>
      <c r="I359" s="2" t="n">
        <v>-13.3</v>
      </c>
      <c r="J359" s="2" t="n">
        <v>13.56449778</v>
      </c>
    </row>
    <row r="360" customFormat="false" ht="15.8" hidden="false" customHeight="false" outlineLevel="0" collapsed="false">
      <c r="A360" s="1" t="n">
        <v>359</v>
      </c>
      <c r="B360" s="1" t="n">
        <v>58.6</v>
      </c>
      <c r="C360" s="1" t="n">
        <v>-50.9</v>
      </c>
      <c r="D360" s="1" t="n">
        <v>-17.4</v>
      </c>
      <c r="E360" s="2" t="n">
        <v>2.6</v>
      </c>
      <c r="F360" s="2" t="n">
        <v>360</v>
      </c>
      <c r="G360" s="2" t="n">
        <v>61.1</v>
      </c>
      <c r="H360" s="2" t="n">
        <v>-51.3</v>
      </c>
      <c r="I360" s="2" t="n">
        <v>-17.8</v>
      </c>
      <c r="J360" s="2" t="n">
        <v>13.95183142</v>
      </c>
    </row>
    <row r="361" customFormat="false" ht="15.8" hidden="false" customHeight="false" outlineLevel="0" collapsed="false">
      <c r="A361" s="1" t="n">
        <v>360</v>
      </c>
      <c r="B361" s="1" t="n">
        <v>61.1</v>
      </c>
      <c r="C361" s="1" t="n">
        <v>-51.3</v>
      </c>
      <c r="D361" s="1" t="n">
        <v>-17.8</v>
      </c>
      <c r="E361" s="2" t="n">
        <v>2.6</v>
      </c>
      <c r="F361" s="2" t="n">
        <v>343</v>
      </c>
      <c r="G361" s="2" t="n">
        <v>61</v>
      </c>
      <c r="H361" s="2" t="n">
        <v>-53.5</v>
      </c>
      <c r="I361" s="2" t="n">
        <v>-19.2</v>
      </c>
      <c r="J361" s="2" t="n">
        <v>15.65348523</v>
      </c>
    </row>
    <row r="362" customFormat="false" ht="15.8" hidden="false" customHeight="false" outlineLevel="0" collapsed="false">
      <c r="A362" s="1" t="n">
        <v>361</v>
      </c>
      <c r="B362" s="1" t="n">
        <v>53.9</v>
      </c>
      <c r="C362" s="1" t="n">
        <v>-49.9</v>
      </c>
      <c r="D362" s="1" t="n">
        <v>-19.6</v>
      </c>
      <c r="E362" s="2" t="n">
        <v>1.3</v>
      </c>
      <c r="F362" s="2" t="n">
        <v>364</v>
      </c>
      <c r="G362" s="2" t="n">
        <v>54.3</v>
      </c>
      <c r="H362" s="2" t="n">
        <v>-49</v>
      </c>
      <c r="I362" s="2" t="n">
        <v>-20.3</v>
      </c>
      <c r="J362" s="2" t="n">
        <v>9.466129093</v>
      </c>
    </row>
    <row r="363" customFormat="false" ht="15.8" hidden="false" customHeight="false" outlineLevel="0" collapsed="false">
      <c r="A363" s="1" t="n">
        <v>362</v>
      </c>
      <c r="B363" s="1" t="n">
        <v>56.8</v>
      </c>
      <c r="C363" s="1" t="n">
        <v>-50</v>
      </c>
      <c r="D363" s="1" t="n">
        <v>-20.7</v>
      </c>
      <c r="E363" s="2" t="n">
        <v>2.1</v>
      </c>
      <c r="F363" s="2" t="n">
        <v>365</v>
      </c>
      <c r="G363" s="2" t="n">
        <v>55.4</v>
      </c>
      <c r="H363" s="2" t="n">
        <v>-48.5</v>
      </c>
      <c r="I363" s="2" t="n">
        <v>-20.7</v>
      </c>
      <c r="J363" s="2" t="n">
        <v>10.86543142</v>
      </c>
    </row>
    <row r="364" customFormat="false" ht="15.8" hidden="false" customHeight="false" outlineLevel="0" collapsed="false">
      <c r="A364" s="1" t="n">
        <v>363</v>
      </c>
      <c r="B364" s="1" t="n">
        <v>61.1</v>
      </c>
      <c r="C364" s="1" t="n">
        <v>-49.7</v>
      </c>
      <c r="D364" s="1" t="n">
        <v>-22.2</v>
      </c>
      <c r="E364" s="2" t="n">
        <v>1.6</v>
      </c>
      <c r="F364" s="2" t="n">
        <v>366</v>
      </c>
      <c r="G364" s="2" t="n">
        <v>60.9</v>
      </c>
      <c r="H364" s="2" t="n">
        <v>-48.1</v>
      </c>
      <c r="I364" s="2" t="n">
        <v>-22.2</v>
      </c>
      <c r="J364" s="2" t="n">
        <v>14.13504864</v>
      </c>
    </row>
    <row r="365" customFormat="false" ht="15.8" hidden="false" customHeight="false" outlineLevel="0" collapsed="false">
      <c r="A365" s="1" t="n">
        <v>364</v>
      </c>
      <c r="B365" s="1" t="n">
        <v>54.3</v>
      </c>
      <c r="C365" s="1" t="n">
        <v>-49</v>
      </c>
      <c r="D365" s="1" t="n">
        <v>-20.3</v>
      </c>
      <c r="E365" s="2" t="n">
        <v>1.3</v>
      </c>
      <c r="F365" s="2" t="n">
        <v>365</v>
      </c>
      <c r="G365" s="2" t="n">
        <v>55.4</v>
      </c>
      <c r="H365" s="2" t="n">
        <v>-48.5</v>
      </c>
      <c r="I365" s="2" t="n">
        <v>-20.7</v>
      </c>
      <c r="J365" s="2" t="n">
        <v>9.631801493</v>
      </c>
    </row>
    <row r="366" customFormat="false" ht="15.8" hidden="false" customHeight="false" outlineLevel="0" collapsed="false">
      <c r="A366" s="1" t="n">
        <v>365</v>
      </c>
      <c r="B366" s="1" t="n">
        <v>55.4</v>
      </c>
      <c r="C366" s="1" t="n">
        <v>-48.5</v>
      </c>
      <c r="D366" s="1" t="n">
        <v>-20.7</v>
      </c>
      <c r="E366" s="2" t="n">
        <v>1.3</v>
      </c>
      <c r="F366" s="2" t="n">
        <v>364</v>
      </c>
      <c r="G366" s="2" t="n">
        <v>54.3</v>
      </c>
      <c r="H366" s="2" t="n">
        <v>-49</v>
      </c>
      <c r="I366" s="2" t="n">
        <v>-20.3</v>
      </c>
      <c r="J366" s="2" t="n">
        <v>10.38362172</v>
      </c>
    </row>
    <row r="367" customFormat="false" ht="15.8" hidden="false" customHeight="false" outlineLevel="0" collapsed="false">
      <c r="A367" s="1" t="n">
        <v>366</v>
      </c>
      <c r="B367" s="1" t="n">
        <v>60.9</v>
      </c>
      <c r="C367" s="1" t="n">
        <v>-48.1</v>
      </c>
      <c r="D367" s="1" t="n">
        <v>-22.2</v>
      </c>
      <c r="E367" s="2" t="n">
        <v>1.6</v>
      </c>
      <c r="F367" s="2" t="n">
        <v>363</v>
      </c>
      <c r="G367" s="2" t="n">
        <v>61.1</v>
      </c>
      <c r="H367" s="2" t="n">
        <v>-49.7</v>
      </c>
      <c r="I367" s="2" t="n">
        <v>-22.2</v>
      </c>
      <c r="J367" s="2" t="n">
        <v>14.45294434</v>
      </c>
    </row>
    <row r="368" customFormat="false" ht="15.8" hidden="false" customHeight="false" outlineLevel="0" collapsed="false">
      <c r="A368" s="1" t="n">
        <v>367</v>
      </c>
      <c r="B368" s="1" t="n">
        <v>48.7</v>
      </c>
      <c r="C368" s="1" t="n">
        <v>-53</v>
      </c>
      <c r="D368" s="1" t="n">
        <v>-19.6</v>
      </c>
      <c r="E368" s="2" t="n">
        <v>1.7</v>
      </c>
      <c r="F368" s="2" t="n">
        <v>339</v>
      </c>
      <c r="G368" s="2" t="n">
        <v>50.3</v>
      </c>
      <c r="H368" s="2" t="n">
        <v>-52.8</v>
      </c>
      <c r="I368" s="2" t="n">
        <v>-19.2</v>
      </c>
      <c r="J368" s="2" t="n">
        <v>6.622809072</v>
      </c>
    </row>
    <row r="369" customFormat="false" ht="15.8" hidden="false" customHeight="false" outlineLevel="0" collapsed="false">
      <c r="A369" s="1" t="n">
        <v>368</v>
      </c>
      <c r="B369" s="1" t="n">
        <v>44.7</v>
      </c>
      <c r="C369" s="1" t="n">
        <v>-58.3</v>
      </c>
      <c r="D369" s="1" t="n">
        <v>-17.8</v>
      </c>
      <c r="E369" s="2" t="n">
        <v>0.6</v>
      </c>
      <c r="F369" s="2" t="n">
        <v>319</v>
      </c>
      <c r="G369" s="2" t="n">
        <v>45.1</v>
      </c>
      <c r="H369" s="2" t="n">
        <v>-58.2</v>
      </c>
      <c r="I369" s="2" t="n">
        <v>-17.4</v>
      </c>
      <c r="J369" s="2" t="n">
        <v>10.28511546</v>
      </c>
    </row>
    <row r="370" customFormat="false" ht="15.8" hidden="false" customHeight="false" outlineLevel="0" collapsed="false">
      <c r="A370" s="1" t="n">
        <v>369</v>
      </c>
      <c r="B370" s="1" t="n">
        <v>40.7</v>
      </c>
      <c r="C370" s="1" t="n">
        <v>-60.5</v>
      </c>
      <c r="D370" s="1" t="n">
        <v>-16.3</v>
      </c>
      <c r="E370" s="2" t="n">
        <v>1.7</v>
      </c>
      <c r="F370" s="2" t="n">
        <v>370</v>
      </c>
      <c r="G370" s="2" t="n">
        <v>39.3</v>
      </c>
      <c r="H370" s="2" t="n">
        <v>-61.1</v>
      </c>
      <c r="I370" s="2" t="n">
        <v>-15.5</v>
      </c>
      <c r="J370" s="2" t="n">
        <v>14.22918128</v>
      </c>
    </row>
    <row r="371" customFormat="false" ht="15.8" hidden="false" customHeight="false" outlineLevel="0" collapsed="false">
      <c r="A371" s="1" t="n">
        <v>370</v>
      </c>
      <c r="B371" s="1" t="n">
        <v>39.3</v>
      </c>
      <c r="C371" s="1" t="n">
        <v>-61.1</v>
      </c>
      <c r="D371" s="1" t="n">
        <v>-15.5</v>
      </c>
      <c r="E371" s="2" t="n">
        <v>1</v>
      </c>
      <c r="F371" s="2" t="n">
        <v>372</v>
      </c>
      <c r="G371" s="2" t="n">
        <v>38.9</v>
      </c>
      <c r="H371" s="2" t="n">
        <v>-61.9</v>
      </c>
      <c r="I371" s="2" t="n">
        <v>-15.9</v>
      </c>
      <c r="J371" s="2" t="n">
        <v>15.82269256</v>
      </c>
    </row>
    <row r="372" customFormat="false" ht="15.8" hidden="false" customHeight="false" outlineLevel="0" collapsed="false">
      <c r="A372" s="1" t="n">
        <v>371</v>
      </c>
      <c r="B372" s="1" t="n">
        <v>36.6</v>
      </c>
      <c r="C372" s="1" t="n">
        <v>-60.2</v>
      </c>
      <c r="D372" s="1" t="n">
        <v>-16.3</v>
      </c>
      <c r="E372" s="2" t="n">
        <v>2.2</v>
      </c>
      <c r="F372" s="2" t="n">
        <v>161</v>
      </c>
      <c r="G372" s="2" t="n">
        <v>36.7</v>
      </c>
      <c r="H372" s="2" t="n">
        <v>-60.3</v>
      </c>
      <c r="I372" s="2" t="n">
        <v>-18.5</v>
      </c>
      <c r="J372" s="2" t="n">
        <v>16.59137125</v>
      </c>
    </row>
    <row r="373" customFormat="false" ht="15.8" hidden="false" customHeight="false" outlineLevel="0" collapsed="false">
      <c r="A373" s="1" t="n">
        <v>372</v>
      </c>
      <c r="B373" s="1" t="n">
        <v>38.9</v>
      </c>
      <c r="C373" s="1" t="n">
        <v>-61.9</v>
      </c>
      <c r="D373" s="1" t="n">
        <v>-15.9</v>
      </c>
      <c r="E373" s="2" t="n">
        <v>1</v>
      </c>
      <c r="F373" s="2" t="n">
        <v>370</v>
      </c>
      <c r="G373" s="2" t="n">
        <v>39.3</v>
      </c>
      <c r="H373" s="2" t="n">
        <v>-61.1</v>
      </c>
      <c r="I373" s="2" t="n">
        <v>-15.5</v>
      </c>
      <c r="J373" s="2" t="n">
        <v>16.19103456</v>
      </c>
    </row>
    <row r="374" customFormat="false" ht="15.8" hidden="false" customHeight="false" outlineLevel="0" collapsed="false">
      <c r="A374" s="1" t="n">
        <v>373</v>
      </c>
      <c r="B374" s="1" t="n">
        <v>37.2</v>
      </c>
      <c r="C374" s="1" t="n">
        <v>-61.8</v>
      </c>
      <c r="D374" s="1" t="n">
        <v>-14.8</v>
      </c>
      <c r="E374" s="2" t="n">
        <v>1.7</v>
      </c>
      <c r="F374" s="2" t="n">
        <v>375</v>
      </c>
      <c r="G374" s="2" t="n">
        <v>37.6</v>
      </c>
      <c r="H374" s="2" t="n">
        <v>-62.5</v>
      </c>
      <c r="I374" s="2" t="n">
        <v>-13.3</v>
      </c>
      <c r="J374" s="2" t="n">
        <v>17.8393834</v>
      </c>
    </row>
    <row r="375" customFormat="false" ht="15.8" hidden="false" customHeight="false" outlineLevel="0" collapsed="false">
      <c r="A375" s="1" t="n">
        <v>374</v>
      </c>
      <c r="B375" s="1" t="n">
        <v>37.3</v>
      </c>
      <c r="C375" s="1" t="n">
        <v>-63.1</v>
      </c>
      <c r="D375" s="1" t="n">
        <v>-13.7</v>
      </c>
      <c r="E375" s="2" t="n">
        <v>0.8</v>
      </c>
      <c r="F375" s="2" t="n">
        <v>375</v>
      </c>
      <c r="G375" s="2" t="n">
        <v>37.6</v>
      </c>
      <c r="H375" s="2" t="n">
        <v>-62.5</v>
      </c>
      <c r="I375" s="2" t="n">
        <v>-13.3</v>
      </c>
      <c r="J375" s="2" t="n">
        <v>19.13022739</v>
      </c>
    </row>
    <row r="376" customFormat="false" ht="15.8" hidden="false" customHeight="false" outlineLevel="0" collapsed="false">
      <c r="A376" s="1" t="n">
        <v>375</v>
      </c>
      <c r="B376" s="1" t="n">
        <v>37.6</v>
      </c>
      <c r="C376" s="1" t="n">
        <v>-62.5</v>
      </c>
      <c r="D376" s="1" t="n">
        <v>-13.3</v>
      </c>
      <c r="E376" s="2" t="n">
        <v>0.8</v>
      </c>
      <c r="F376" s="2" t="n">
        <v>374</v>
      </c>
      <c r="G376" s="2" t="n">
        <v>37.3</v>
      </c>
      <c r="H376" s="2" t="n">
        <v>-63.1</v>
      </c>
      <c r="I376" s="2" t="n">
        <v>-13.7</v>
      </c>
      <c r="J376" s="2" t="n">
        <v>18.93218424</v>
      </c>
    </row>
    <row r="377" customFormat="false" ht="15.8" hidden="false" customHeight="false" outlineLevel="0" collapsed="false">
      <c r="A377" s="1" t="n">
        <v>376</v>
      </c>
      <c r="B377" s="1" t="n">
        <v>30.7</v>
      </c>
      <c r="C377" s="1" t="n">
        <v>-64.2</v>
      </c>
      <c r="D377" s="1" t="n">
        <v>-12.9</v>
      </c>
      <c r="E377" s="2" t="n">
        <v>1.9</v>
      </c>
      <c r="F377" s="2" t="n">
        <v>377</v>
      </c>
      <c r="G377" s="2" t="n">
        <v>30.6</v>
      </c>
      <c r="H377" s="2" t="n">
        <v>-64.8</v>
      </c>
      <c r="I377" s="2" t="n">
        <v>-11.1</v>
      </c>
      <c r="J377" s="2" t="n">
        <v>24.38318273</v>
      </c>
    </row>
    <row r="378" customFormat="false" ht="15.8" hidden="false" customHeight="false" outlineLevel="0" collapsed="false">
      <c r="A378" s="1" t="n">
        <v>377</v>
      </c>
      <c r="B378" s="1" t="n">
        <v>30.6</v>
      </c>
      <c r="C378" s="1" t="n">
        <v>-64.8</v>
      </c>
      <c r="D378" s="1" t="n">
        <v>-11.1</v>
      </c>
      <c r="E378" s="2" t="n">
        <v>1.9</v>
      </c>
      <c r="F378" s="2" t="n">
        <v>376</v>
      </c>
      <c r="G378" s="2" t="n">
        <v>30.7</v>
      </c>
      <c r="H378" s="2" t="n">
        <v>-64.2</v>
      </c>
      <c r="I378" s="2" t="n">
        <v>-12.9</v>
      </c>
      <c r="J378" s="2" t="n">
        <v>25.73778545</v>
      </c>
    </row>
    <row r="379" customFormat="false" ht="15.8" hidden="false" customHeight="false" outlineLevel="0" collapsed="false">
      <c r="A379" s="1" t="n">
        <v>378</v>
      </c>
      <c r="B379" s="1" t="n">
        <v>29.1</v>
      </c>
      <c r="C379" s="1" t="n">
        <v>-63.7</v>
      </c>
      <c r="D379" s="1" t="n">
        <v>-10</v>
      </c>
      <c r="E379" s="2" t="n">
        <v>2.1</v>
      </c>
      <c r="F379" s="2" t="n">
        <v>377</v>
      </c>
      <c r="G379" s="2" t="n">
        <v>30.6</v>
      </c>
      <c r="H379" s="2" t="n">
        <v>-64.8</v>
      </c>
      <c r="I379" s="2" t="n">
        <v>-11.1</v>
      </c>
      <c r="J379" s="2" t="n">
        <v>26.97093992</v>
      </c>
    </row>
    <row r="380" customFormat="false" ht="15.8" hidden="false" customHeight="false" outlineLevel="0" collapsed="false">
      <c r="A380" s="1" t="n">
        <v>379</v>
      </c>
      <c r="B380" s="1" t="n">
        <v>42.4</v>
      </c>
      <c r="C380" s="1" t="n">
        <v>-55.9</v>
      </c>
      <c r="D380" s="1" t="n">
        <v>-17.8</v>
      </c>
      <c r="E380" s="2" t="n">
        <v>3.3</v>
      </c>
      <c r="F380" s="2" t="n">
        <v>328</v>
      </c>
      <c r="G380" s="2" t="n">
        <v>40.5</v>
      </c>
      <c r="H380" s="2" t="n">
        <v>-56.6</v>
      </c>
      <c r="I380" s="2" t="n">
        <v>-15.2</v>
      </c>
      <c r="J380" s="2" t="n">
        <v>10.41564208</v>
      </c>
    </row>
    <row r="381" customFormat="false" ht="15.8" hidden="false" customHeight="false" outlineLevel="0" collapsed="false">
      <c r="A381" s="1" t="n">
        <v>380</v>
      </c>
      <c r="B381" s="1" t="n">
        <v>41.2</v>
      </c>
      <c r="C381" s="1" t="n">
        <v>-51.5</v>
      </c>
      <c r="D381" s="1" t="n">
        <v>-22.2</v>
      </c>
      <c r="E381" s="2" t="n">
        <v>0.3</v>
      </c>
      <c r="F381" s="2" t="n">
        <v>382</v>
      </c>
      <c r="G381" s="2" t="n">
        <v>40.9</v>
      </c>
      <c r="H381" s="2" t="n">
        <v>-51.7</v>
      </c>
      <c r="I381" s="2" t="n">
        <v>-22.2</v>
      </c>
      <c r="J381" s="2" t="n">
        <v>8.129305013</v>
      </c>
    </row>
    <row r="382" customFormat="false" ht="15.8" hidden="false" customHeight="false" outlineLevel="0" collapsed="false">
      <c r="A382" s="1" t="n">
        <v>381</v>
      </c>
      <c r="B382" s="1" t="n">
        <v>39</v>
      </c>
      <c r="C382" s="1" t="n">
        <v>-50.9</v>
      </c>
      <c r="D382" s="1" t="n">
        <v>-22.2</v>
      </c>
      <c r="E382" s="2" t="n">
        <v>1.8</v>
      </c>
      <c r="F382" s="2" t="n">
        <v>435</v>
      </c>
      <c r="G382" s="2" t="n">
        <v>38.6</v>
      </c>
      <c r="H382" s="2" t="n">
        <v>-49.1</v>
      </c>
      <c r="I382" s="2" t="n">
        <v>-22.6</v>
      </c>
      <c r="J382" s="2" t="n">
        <v>10.17907658</v>
      </c>
    </row>
    <row r="383" customFormat="false" ht="15.8" hidden="false" customHeight="false" outlineLevel="0" collapsed="false">
      <c r="A383" s="1" t="n">
        <v>382</v>
      </c>
      <c r="B383" s="1" t="n">
        <v>40.9</v>
      </c>
      <c r="C383" s="1" t="n">
        <v>-51.7</v>
      </c>
      <c r="D383" s="1" t="n">
        <v>-22.2</v>
      </c>
      <c r="E383" s="2" t="n">
        <v>0.3</v>
      </c>
      <c r="F383" s="2" t="n">
        <v>380</v>
      </c>
      <c r="G383" s="2" t="n">
        <v>41.2</v>
      </c>
      <c r="H383" s="2" t="n">
        <v>-51.5</v>
      </c>
      <c r="I383" s="2" t="n">
        <v>-22.2</v>
      </c>
      <c r="J383" s="2" t="n">
        <v>8.341198955</v>
      </c>
    </row>
    <row r="384" customFormat="false" ht="15.8" hidden="false" customHeight="false" outlineLevel="0" collapsed="false">
      <c r="A384" s="1" t="n">
        <v>383</v>
      </c>
      <c r="B384" s="1" t="n">
        <v>38.3</v>
      </c>
      <c r="C384" s="1" t="n">
        <v>-53</v>
      </c>
      <c r="D384" s="1" t="n">
        <v>-20</v>
      </c>
      <c r="E384" s="2" t="n">
        <v>3.2</v>
      </c>
      <c r="F384" s="2" t="n">
        <v>381</v>
      </c>
      <c r="G384" s="2" t="n">
        <v>39</v>
      </c>
      <c r="H384" s="2" t="n">
        <v>-50.9</v>
      </c>
      <c r="I384" s="2" t="n">
        <v>-22.2</v>
      </c>
      <c r="J384" s="2" t="n">
        <v>11.54077987</v>
      </c>
    </row>
    <row r="385" customFormat="false" ht="15.8" hidden="false" customHeight="false" outlineLevel="0" collapsed="false">
      <c r="A385" s="1" t="n">
        <v>384</v>
      </c>
      <c r="B385" s="1" t="n">
        <v>34.4</v>
      </c>
      <c r="C385" s="1" t="n">
        <v>-52.4</v>
      </c>
      <c r="D385" s="1" t="n">
        <v>-19.2</v>
      </c>
      <c r="E385" s="2" t="n">
        <v>1.4</v>
      </c>
      <c r="F385" s="2" t="n">
        <v>385</v>
      </c>
      <c r="G385" s="2" t="n">
        <v>34.5</v>
      </c>
      <c r="H385" s="2" t="n">
        <v>-53.8</v>
      </c>
      <c r="I385" s="2" t="n">
        <v>-18.9</v>
      </c>
      <c r="J385" s="2" t="n">
        <v>15.35225065</v>
      </c>
    </row>
    <row r="386" customFormat="false" ht="15.8" hidden="false" customHeight="false" outlineLevel="0" collapsed="false">
      <c r="A386" s="1" t="n">
        <v>385</v>
      </c>
      <c r="B386" s="1" t="n">
        <v>34.5</v>
      </c>
      <c r="C386" s="1" t="n">
        <v>-53.8</v>
      </c>
      <c r="D386" s="1" t="n">
        <v>-18.9</v>
      </c>
      <c r="E386" s="2" t="n">
        <v>1.4</v>
      </c>
      <c r="F386" s="2" t="n">
        <v>384</v>
      </c>
      <c r="G386" s="2" t="n">
        <v>34.4</v>
      </c>
      <c r="H386" s="2" t="n">
        <v>-52.4</v>
      </c>
      <c r="I386" s="2" t="n">
        <v>-19.2</v>
      </c>
      <c r="J386" s="2" t="n">
        <v>15.37932378</v>
      </c>
    </row>
    <row r="387" customFormat="false" ht="15.8" hidden="false" customHeight="false" outlineLevel="0" collapsed="false">
      <c r="A387" s="1" t="n">
        <v>386</v>
      </c>
      <c r="B387" s="1" t="n">
        <v>32.9</v>
      </c>
      <c r="C387" s="1" t="n">
        <v>-55.8</v>
      </c>
      <c r="D387" s="1" t="n">
        <v>-18.1</v>
      </c>
      <c r="E387" s="2" t="n">
        <v>2.7</v>
      </c>
      <c r="F387" s="2" t="n">
        <v>385</v>
      </c>
      <c r="G387" s="2" t="n">
        <v>34.5</v>
      </c>
      <c r="H387" s="2" t="n">
        <v>-53.8</v>
      </c>
      <c r="I387" s="2" t="n">
        <v>-18.9</v>
      </c>
      <c r="J387" s="2" t="n">
        <v>17.33377051</v>
      </c>
    </row>
    <row r="388" customFormat="false" ht="15.8" hidden="false" customHeight="false" outlineLevel="0" collapsed="false">
      <c r="A388" s="1" t="n">
        <v>387</v>
      </c>
      <c r="B388" s="1" t="n">
        <v>34.1</v>
      </c>
      <c r="C388" s="1" t="n">
        <v>-51.2</v>
      </c>
      <c r="D388" s="1" t="n">
        <v>-17</v>
      </c>
      <c r="E388" s="2" t="n">
        <v>1.5</v>
      </c>
      <c r="F388" s="2" t="n">
        <v>280</v>
      </c>
      <c r="G388" s="2" t="n">
        <v>33.8</v>
      </c>
      <c r="H388" s="2" t="n">
        <v>-51</v>
      </c>
      <c r="I388" s="2" t="n">
        <v>-15.5</v>
      </c>
      <c r="J388" s="2" t="n">
        <v>16.8303773</v>
      </c>
    </row>
    <row r="389" customFormat="false" ht="15.8" hidden="false" customHeight="false" outlineLevel="0" collapsed="false">
      <c r="A389" s="1" t="n">
        <v>388</v>
      </c>
      <c r="B389" s="1" t="n">
        <v>36.4</v>
      </c>
      <c r="C389" s="1" t="n">
        <v>-50.3</v>
      </c>
      <c r="D389" s="1" t="n">
        <v>-17.4</v>
      </c>
      <c r="E389" s="2" t="n">
        <v>2.5</v>
      </c>
      <c r="F389" s="2" t="n">
        <v>387</v>
      </c>
      <c r="G389" s="2" t="n">
        <v>34.1</v>
      </c>
      <c r="H389" s="2" t="n">
        <v>-51.2</v>
      </c>
      <c r="I389" s="2" t="n">
        <v>-17</v>
      </c>
      <c r="J389" s="2" t="n">
        <v>14.89770452</v>
      </c>
    </row>
    <row r="390" customFormat="false" ht="15.8" hidden="false" customHeight="false" outlineLevel="0" collapsed="false">
      <c r="A390" s="1" t="n">
        <v>389</v>
      </c>
      <c r="B390" s="1" t="n">
        <v>33.8</v>
      </c>
      <c r="C390" s="1" t="n">
        <v>-51</v>
      </c>
      <c r="D390" s="1" t="n">
        <v>-18.9</v>
      </c>
      <c r="E390" s="2" t="n">
        <v>1.6</v>
      </c>
      <c r="F390" s="2" t="n">
        <v>384</v>
      </c>
      <c r="G390" s="2" t="n">
        <v>34.4</v>
      </c>
      <c r="H390" s="2" t="n">
        <v>-52.4</v>
      </c>
      <c r="I390" s="2" t="n">
        <v>-19.2</v>
      </c>
      <c r="J390" s="2" t="n">
        <v>16.16618693</v>
      </c>
    </row>
    <row r="391" customFormat="false" ht="15.8" hidden="false" customHeight="false" outlineLevel="0" collapsed="false">
      <c r="A391" s="1" t="n">
        <v>390</v>
      </c>
      <c r="B391" s="1" t="n">
        <v>31.4</v>
      </c>
      <c r="C391" s="1" t="n">
        <v>-50.8</v>
      </c>
      <c r="D391" s="1" t="n">
        <v>-17.4</v>
      </c>
      <c r="E391" s="2" t="n">
        <v>2.7</v>
      </c>
      <c r="F391" s="2" t="n">
        <v>387</v>
      </c>
      <c r="G391" s="2" t="n">
        <v>34.1</v>
      </c>
      <c r="H391" s="2" t="n">
        <v>-51.2</v>
      </c>
      <c r="I391" s="2" t="n">
        <v>-17</v>
      </c>
      <c r="J391" s="2" t="n">
        <v>18.98766968</v>
      </c>
    </row>
    <row r="392" customFormat="false" ht="15.8" hidden="false" customHeight="false" outlineLevel="0" collapsed="false">
      <c r="A392" s="1" t="n">
        <v>391</v>
      </c>
      <c r="B392" s="1" t="n">
        <v>27.8</v>
      </c>
      <c r="C392" s="1" t="n">
        <v>-49.7</v>
      </c>
      <c r="D392" s="1" t="n">
        <v>-16.3</v>
      </c>
      <c r="E392" s="2" t="n">
        <v>3.9</v>
      </c>
      <c r="F392" s="2" t="n">
        <v>390</v>
      </c>
      <c r="G392" s="2" t="n">
        <v>31.4</v>
      </c>
      <c r="H392" s="2" t="n">
        <v>-50.8</v>
      </c>
      <c r="I392" s="2" t="n">
        <v>-17.4</v>
      </c>
      <c r="J392" s="2" t="n">
        <v>22.81814191</v>
      </c>
    </row>
    <row r="393" customFormat="false" ht="15.8" hidden="false" customHeight="false" outlineLevel="0" collapsed="false">
      <c r="A393" s="1" t="n">
        <v>392</v>
      </c>
      <c r="B393" s="1" t="n">
        <v>35.3</v>
      </c>
      <c r="C393" s="1" t="n">
        <v>-58.6</v>
      </c>
      <c r="D393" s="1" t="n">
        <v>-30</v>
      </c>
      <c r="E393" s="2" t="n">
        <v>1.2</v>
      </c>
      <c r="F393" s="2" t="n">
        <v>393</v>
      </c>
      <c r="G393" s="2" t="n">
        <v>34.7</v>
      </c>
      <c r="H393" s="2" t="n">
        <v>-59.7</v>
      </c>
      <c r="I393" s="2" t="n">
        <v>-30</v>
      </c>
      <c r="J393" s="2" t="n">
        <v>14.29536988</v>
      </c>
    </row>
    <row r="394" customFormat="false" ht="15.8" hidden="false" customHeight="false" outlineLevel="0" collapsed="false">
      <c r="A394" s="1" t="n">
        <v>393</v>
      </c>
      <c r="B394" s="1" t="n">
        <v>34.7</v>
      </c>
      <c r="C394" s="1" t="n">
        <v>-59.7</v>
      </c>
      <c r="D394" s="1" t="n">
        <v>-30</v>
      </c>
      <c r="E394" s="2" t="n">
        <v>1.2</v>
      </c>
      <c r="F394" s="2" t="n">
        <v>392</v>
      </c>
      <c r="G394" s="2" t="n">
        <v>35.3</v>
      </c>
      <c r="H394" s="2" t="n">
        <v>-58.6</v>
      </c>
      <c r="I394" s="2" t="n">
        <v>-30</v>
      </c>
      <c r="J394" s="2" t="n">
        <v>15.25593655</v>
      </c>
    </row>
    <row r="395" customFormat="false" ht="15.8" hidden="false" customHeight="false" outlineLevel="0" collapsed="false">
      <c r="A395" s="1" t="n">
        <v>394</v>
      </c>
      <c r="B395" s="1" t="n">
        <v>31.7</v>
      </c>
      <c r="C395" s="1" t="n">
        <v>-62.9</v>
      </c>
      <c r="D395" s="1" t="n">
        <v>-32.6</v>
      </c>
      <c r="E395" s="2" t="n">
        <v>2.8</v>
      </c>
      <c r="F395" s="2" t="n">
        <v>396</v>
      </c>
      <c r="G395" s="2" t="n">
        <v>33.7</v>
      </c>
      <c r="H395" s="2" t="n">
        <v>-61.3</v>
      </c>
      <c r="I395" s="2" t="n">
        <v>-31.4</v>
      </c>
      <c r="J395" s="2" t="n">
        <v>19.98058057</v>
      </c>
    </row>
    <row r="396" customFormat="false" ht="15.8" hidden="false" customHeight="false" outlineLevel="0" collapsed="false">
      <c r="A396" s="1" t="n">
        <v>395</v>
      </c>
      <c r="B396" s="1" t="n">
        <v>34.5</v>
      </c>
      <c r="C396" s="1" t="n">
        <v>-63.1</v>
      </c>
      <c r="D396" s="1" t="n">
        <v>-31.4</v>
      </c>
      <c r="E396" s="2" t="n">
        <v>1.9</v>
      </c>
      <c r="F396" s="2" t="n">
        <v>396</v>
      </c>
      <c r="G396" s="2" t="n">
        <v>33.7</v>
      </c>
      <c r="H396" s="2" t="n">
        <v>-61.3</v>
      </c>
      <c r="I396" s="2" t="n">
        <v>-31.4</v>
      </c>
      <c r="J396" s="2" t="n">
        <v>17.47705925</v>
      </c>
    </row>
    <row r="397" customFormat="false" ht="15.8" hidden="false" customHeight="false" outlineLevel="0" collapsed="false">
      <c r="A397" s="1" t="n">
        <v>396</v>
      </c>
      <c r="B397" s="1" t="n">
        <v>33.7</v>
      </c>
      <c r="C397" s="1" t="n">
        <v>-61.3</v>
      </c>
      <c r="D397" s="1" t="n">
        <v>-31.4</v>
      </c>
      <c r="E397" s="2" t="n">
        <v>1.9</v>
      </c>
      <c r="F397" s="2" t="n">
        <v>395</v>
      </c>
      <c r="G397" s="2" t="n">
        <v>34.5</v>
      </c>
      <c r="H397" s="2" t="n">
        <v>-63.1</v>
      </c>
      <c r="I397" s="2" t="n">
        <v>-31.4</v>
      </c>
      <c r="J397" s="2" t="n">
        <v>17.20254632</v>
      </c>
    </row>
    <row r="398" customFormat="false" ht="15.8" hidden="false" customHeight="false" outlineLevel="0" collapsed="false">
      <c r="A398" s="1" t="n">
        <v>397</v>
      </c>
      <c r="B398" s="1" t="n">
        <v>38.1</v>
      </c>
      <c r="C398" s="1" t="n">
        <v>-58.7</v>
      </c>
      <c r="D398" s="1" t="n">
        <v>-30.3</v>
      </c>
      <c r="E398" s="2" t="n">
        <v>2.8</v>
      </c>
      <c r="F398" s="2" t="n">
        <v>392</v>
      </c>
      <c r="G398" s="2" t="n">
        <v>35.3</v>
      </c>
      <c r="H398" s="2" t="n">
        <v>-58.6</v>
      </c>
      <c r="I398" s="2" t="n">
        <v>-30</v>
      </c>
      <c r="J398" s="2" t="n">
        <v>12.0122271</v>
      </c>
    </row>
    <row r="399" customFormat="false" ht="15.8" hidden="false" customHeight="false" outlineLevel="0" collapsed="false">
      <c r="A399" s="1" t="n">
        <v>398</v>
      </c>
      <c r="B399" s="1" t="n">
        <v>39.5</v>
      </c>
      <c r="C399" s="1" t="n">
        <v>-54.2</v>
      </c>
      <c r="D399" s="1" t="n">
        <v>-29.6</v>
      </c>
      <c r="E399" s="2" t="n">
        <v>1.7</v>
      </c>
      <c r="F399" s="2" t="n">
        <v>399</v>
      </c>
      <c r="G399" s="2" t="n">
        <v>38.4</v>
      </c>
      <c r="H399" s="2" t="n">
        <v>-55</v>
      </c>
      <c r="I399" s="2" t="n">
        <v>-28.5</v>
      </c>
      <c r="J399" s="2" t="n">
        <v>9.237618741</v>
      </c>
    </row>
    <row r="400" customFormat="false" ht="15.8" hidden="false" customHeight="false" outlineLevel="0" collapsed="false">
      <c r="A400" s="1" t="n">
        <v>399</v>
      </c>
      <c r="B400" s="1" t="n">
        <v>38.4</v>
      </c>
      <c r="C400" s="1" t="n">
        <v>-55</v>
      </c>
      <c r="D400" s="1" t="n">
        <v>-28.5</v>
      </c>
      <c r="E400" s="2" t="n">
        <v>1.7</v>
      </c>
      <c r="F400" s="2" t="n">
        <v>398</v>
      </c>
      <c r="G400" s="2" t="n">
        <v>39.5</v>
      </c>
      <c r="H400" s="2" t="n">
        <v>-54.2</v>
      </c>
      <c r="I400" s="2" t="n">
        <v>-29.6</v>
      </c>
      <c r="J400" s="2" t="n">
        <v>10.04995522</v>
      </c>
    </row>
    <row r="401" customFormat="false" ht="15.8" hidden="false" customHeight="false" outlineLevel="0" collapsed="false">
      <c r="A401" s="1" t="n">
        <v>400</v>
      </c>
      <c r="B401" s="1" t="n">
        <v>30.7</v>
      </c>
      <c r="C401" s="1" t="n">
        <v>-56.7</v>
      </c>
      <c r="D401" s="1" t="n">
        <v>-28.9</v>
      </c>
      <c r="E401" s="2" t="n">
        <v>1.3</v>
      </c>
      <c r="F401" s="2" t="n">
        <v>401</v>
      </c>
      <c r="G401" s="2" t="n">
        <v>31.5</v>
      </c>
      <c r="H401" s="2" t="n">
        <v>-55.7</v>
      </c>
      <c r="I401" s="2" t="n">
        <v>-29.2</v>
      </c>
      <c r="J401" s="2" t="n">
        <v>17.86699751</v>
      </c>
    </row>
    <row r="402" customFormat="false" ht="15.8" hidden="false" customHeight="false" outlineLevel="0" collapsed="false">
      <c r="A402" s="1" t="n">
        <v>401</v>
      </c>
      <c r="B402" s="1" t="n">
        <v>31.5</v>
      </c>
      <c r="C402" s="1" t="n">
        <v>-55.7</v>
      </c>
      <c r="D402" s="1" t="n">
        <v>-29.2</v>
      </c>
      <c r="E402" s="2" t="n">
        <v>1.3</v>
      </c>
      <c r="F402" s="2" t="n">
        <v>400</v>
      </c>
      <c r="G402" s="2" t="n">
        <v>30.7</v>
      </c>
      <c r="H402" s="2" t="n">
        <v>-56.7</v>
      </c>
      <c r="I402" s="2" t="n">
        <v>-28.9</v>
      </c>
      <c r="J402" s="2" t="n">
        <v>16.97549999</v>
      </c>
    </row>
    <row r="403" customFormat="false" ht="15.8" hidden="false" customHeight="false" outlineLevel="0" collapsed="false">
      <c r="A403" s="1" t="n">
        <v>402</v>
      </c>
      <c r="B403" s="1" t="n">
        <v>33.3</v>
      </c>
      <c r="C403" s="1" t="n">
        <v>-54.1</v>
      </c>
      <c r="D403" s="1" t="n">
        <v>-28.1</v>
      </c>
      <c r="E403" s="2" t="n">
        <v>2.6</v>
      </c>
      <c r="F403" s="2" t="n">
        <v>401</v>
      </c>
      <c r="G403" s="2" t="n">
        <v>31.5</v>
      </c>
      <c r="H403" s="2" t="n">
        <v>-55.7</v>
      </c>
      <c r="I403" s="2" t="n">
        <v>-29.2</v>
      </c>
      <c r="J403" s="2" t="n">
        <v>14.88292982</v>
      </c>
    </row>
    <row r="404" customFormat="false" ht="15.8" hidden="false" customHeight="false" outlineLevel="0" collapsed="false">
      <c r="A404" s="1" t="n">
        <v>403</v>
      </c>
      <c r="B404" s="1" t="n">
        <v>27.4</v>
      </c>
      <c r="C404" s="1" t="n">
        <v>-59.4</v>
      </c>
      <c r="D404" s="1" t="n">
        <v>-30</v>
      </c>
      <c r="E404" s="2" t="n">
        <v>0.8</v>
      </c>
      <c r="F404" s="2" t="n">
        <v>405</v>
      </c>
      <c r="G404" s="2" t="n">
        <v>27.1</v>
      </c>
      <c r="H404" s="2" t="n">
        <v>-59.3</v>
      </c>
      <c r="I404" s="2" t="n">
        <v>-29.2</v>
      </c>
      <c r="J404" s="2" t="n">
        <v>21.84224347</v>
      </c>
    </row>
    <row r="405" customFormat="false" ht="15.8" hidden="false" customHeight="false" outlineLevel="0" collapsed="false">
      <c r="A405" s="1" t="n">
        <v>404</v>
      </c>
      <c r="B405" s="1" t="n">
        <v>29.3</v>
      </c>
      <c r="C405" s="1" t="n">
        <v>-60</v>
      </c>
      <c r="D405" s="1" t="n">
        <v>-30.3</v>
      </c>
      <c r="E405" s="2" t="n">
        <v>2</v>
      </c>
      <c r="F405" s="2" t="n">
        <v>403</v>
      </c>
      <c r="G405" s="2" t="n">
        <v>27.4</v>
      </c>
      <c r="H405" s="2" t="n">
        <v>-59.4</v>
      </c>
      <c r="I405" s="2" t="n">
        <v>-30</v>
      </c>
      <c r="J405" s="2" t="n">
        <v>20.30397991</v>
      </c>
    </row>
    <row r="406" customFormat="false" ht="15.8" hidden="false" customHeight="false" outlineLevel="0" collapsed="false">
      <c r="A406" s="1" t="n">
        <v>405</v>
      </c>
      <c r="B406" s="1" t="n">
        <v>27.1</v>
      </c>
      <c r="C406" s="1" t="n">
        <v>-59.3</v>
      </c>
      <c r="D406" s="1" t="n">
        <v>-29.2</v>
      </c>
      <c r="E406" s="2" t="n">
        <v>0.8</v>
      </c>
      <c r="F406" s="2" t="n">
        <v>403</v>
      </c>
      <c r="G406" s="2" t="n">
        <v>27.4</v>
      </c>
      <c r="H406" s="2" t="n">
        <v>-59.4</v>
      </c>
      <c r="I406" s="2" t="n">
        <v>-30</v>
      </c>
      <c r="J406" s="2" t="n">
        <v>21.97470364</v>
      </c>
    </row>
    <row r="407" customFormat="false" ht="15.8" hidden="false" customHeight="false" outlineLevel="0" collapsed="false">
      <c r="A407" s="1" t="n">
        <v>406</v>
      </c>
      <c r="B407" s="1" t="n">
        <v>28.6</v>
      </c>
      <c r="C407" s="1" t="n">
        <v>-57.7</v>
      </c>
      <c r="D407" s="1" t="n">
        <v>-29.6</v>
      </c>
      <c r="E407" s="2" t="n">
        <v>2.1</v>
      </c>
      <c r="F407" s="2" t="n">
        <v>403</v>
      </c>
      <c r="G407" s="2" t="n">
        <v>27.4</v>
      </c>
      <c r="H407" s="2" t="n">
        <v>-59.4</v>
      </c>
      <c r="I407" s="2" t="n">
        <v>-30</v>
      </c>
      <c r="J407" s="2" t="n">
        <v>20.21003711</v>
      </c>
    </row>
    <row r="408" customFormat="false" ht="15.8" hidden="false" customHeight="false" outlineLevel="0" collapsed="false">
      <c r="A408" s="1" t="n">
        <v>407</v>
      </c>
      <c r="B408" s="1" t="n">
        <v>47</v>
      </c>
      <c r="C408" s="1" t="n">
        <v>-47.7</v>
      </c>
      <c r="D408" s="1" t="n">
        <v>-30.7</v>
      </c>
      <c r="E408" s="2" t="n">
        <v>1.8</v>
      </c>
      <c r="F408" s="2" t="n">
        <v>304</v>
      </c>
      <c r="G408" s="2" t="n">
        <v>45.8</v>
      </c>
      <c r="H408" s="2" t="n">
        <v>-48.8</v>
      </c>
      <c r="I408" s="2" t="n">
        <v>-30</v>
      </c>
      <c r="J408" s="2" t="n">
        <v>7.317622565</v>
      </c>
    </row>
    <row r="409" customFormat="false" ht="15.8" hidden="false" customHeight="false" outlineLevel="0" collapsed="false">
      <c r="A409" s="1" t="n">
        <v>408</v>
      </c>
      <c r="B409" s="1" t="n">
        <v>34</v>
      </c>
      <c r="C409" s="1" t="n">
        <v>-62.9</v>
      </c>
      <c r="D409" s="1" t="n">
        <v>-29.2</v>
      </c>
      <c r="E409" s="2" t="n">
        <v>2.3</v>
      </c>
      <c r="F409" s="2" t="n">
        <v>395</v>
      </c>
      <c r="G409" s="2" t="n">
        <v>34.5</v>
      </c>
      <c r="H409" s="2" t="n">
        <v>-63.1</v>
      </c>
      <c r="I409" s="2" t="n">
        <v>-31.4</v>
      </c>
      <c r="J409" s="2" t="n">
        <v>17.24104405</v>
      </c>
    </row>
    <row r="410" customFormat="false" ht="15.8" hidden="false" customHeight="false" outlineLevel="0" collapsed="false">
      <c r="A410" s="1" t="n">
        <v>409</v>
      </c>
      <c r="B410" s="1" t="n">
        <v>29.2</v>
      </c>
      <c r="C410" s="1" t="n">
        <v>-61.8</v>
      </c>
      <c r="D410" s="1" t="n">
        <v>-28.9</v>
      </c>
      <c r="E410" s="2" t="n">
        <v>2.3</v>
      </c>
      <c r="F410" s="2" t="n">
        <v>404</v>
      </c>
      <c r="G410" s="2" t="n">
        <v>29.3</v>
      </c>
      <c r="H410" s="2" t="n">
        <v>-60</v>
      </c>
      <c r="I410" s="2" t="n">
        <v>-30.3</v>
      </c>
      <c r="J410" s="2" t="n">
        <v>20.82252626</v>
      </c>
    </row>
    <row r="411" customFormat="false" ht="15.8" hidden="false" customHeight="false" outlineLevel="0" collapsed="false">
      <c r="A411" s="1" t="n">
        <v>410</v>
      </c>
      <c r="B411" s="1" t="n">
        <v>41.1</v>
      </c>
      <c r="C411" s="1" t="n">
        <v>-50.6</v>
      </c>
      <c r="D411" s="1" t="n">
        <v>-34.8</v>
      </c>
      <c r="E411" s="2" t="n">
        <v>1.8</v>
      </c>
      <c r="F411" s="2" t="n">
        <v>413</v>
      </c>
      <c r="G411" s="2" t="n">
        <v>42.5</v>
      </c>
      <c r="H411" s="2" t="n">
        <v>-51.4</v>
      </c>
      <c r="I411" s="2" t="n">
        <v>-34</v>
      </c>
      <c r="J411" s="2" t="n">
        <v>11.40550744</v>
      </c>
    </row>
    <row r="412" customFormat="false" ht="15.8" hidden="false" customHeight="false" outlineLevel="0" collapsed="false">
      <c r="A412" s="1" t="n">
        <v>411</v>
      </c>
      <c r="B412" s="1" t="n">
        <v>38.1</v>
      </c>
      <c r="C412" s="1" t="n">
        <v>-49.8</v>
      </c>
      <c r="D412" s="1" t="n">
        <v>-33.7</v>
      </c>
      <c r="E412" s="2" t="n">
        <v>0.9</v>
      </c>
      <c r="F412" s="2" t="n">
        <v>415</v>
      </c>
      <c r="G412" s="2" t="n">
        <v>38.5</v>
      </c>
      <c r="H412" s="2" t="n">
        <v>-50</v>
      </c>
      <c r="I412" s="2" t="n">
        <v>-34.4</v>
      </c>
      <c r="J412" s="2" t="n">
        <v>12.96254605</v>
      </c>
    </row>
    <row r="413" customFormat="false" ht="15.8" hidden="false" customHeight="false" outlineLevel="0" collapsed="false">
      <c r="A413" s="1" t="n">
        <v>412</v>
      </c>
      <c r="B413" s="1" t="n">
        <v>45.6</v>
      </c>
      <c r="C413" s="1" t="n">
        <v>-47.8</v>
      </c>
      <c r="D413" s="1" t="n">
        <v>-34</v>
      </c>
      <c r="E413" s="2" t="n">
        <v>0.8</v>
      </c>
      <c r="F413" s="2" t="n">
        <v>92</v>
      </c>
      <c r="G413" s="2" t="n">
        <v>46.2</v>
      </c>
      <c r="H413" s="2" t="n">
        <v>-48</v>
      </c>
      <c r="I413" s="2" t="n">
        <v>-34.4</v>
      </c>
      <c r="J413" s="2" t="n">
        <v>9.900484837</v>
      </c>
    </row>
    <row r="414" customFormat="false" ht="15.8" hidden="false" customHeight="false" outlineLevel="0" collapsed="false">
      <c r="A414" s="1" t="n">
        <v>413</v>
      </c>
      <c r="B414" s="1" t="n">
        <v>42.5</v>
      </c>
      <c r="C414" s="1" t="n">
        <v>-51.4</v>
      </c>
      <c r="D414" s="1" t="n">
        <v>-34</v>
      </c>
      <c r="E414" s="2" t="n">
        <v>1.8</v>
      </c>
      <c r="F414" s="2" t="n">
        <v>410</v>
      </c>
      <c r="G414" s="2" t="n">
        <v>41.1</v>
      </c>
      <c r="H414" s="2" t="n">
        <v>-50.6</v>
      </c>
      <c r="I414" s="2" t="n">
        <v>-34.8</v>
      </c>
      <c r="J414" s="2" t="n">
        <v>9.781901656</v>
      </c>
    </row>
    <row r="415" customFormat="false" ht="15.8" hidden="false" customHeight="false" outlineLevel="0" collapsed="false">
      <c r="A415" s="1" t="n">
        <v>414</v>
      </c>
      <c r="B415" s="1" t="n">
        <v>35.2</v>
      </c>
      <c r="C415" s="1" t="n">
        <v>-50.2</v>
      </c>
      <c r="D415" s="1" t="n">
        <v>-33.7</v>
      </c>
      <c r="E415" s="2" t="n">
        <v>1.6</v>
      </c>
      <c r="F415" s="2" t="n">
        <v>420</v>
      </c>
      <c r="G415" s="2" t="n">
        <v>34.2</v>
      </c>
      <c r="H415" s="2" t="n">
        <v>-49.1</v>
      </c>
      <c r="I415" s="2" t="n">
        <v>-32.9</v>
      </c>
      <c r="J415" s="2" t="n">
        <v>15.21189009</v>
      </c>
    </row>
    <row r="416" customFormat="false" ht="15.8" hidden="false" customHeight="false" outlineLevel="0" collapsed="false">
      <c r="A416" s="1" t="n">
        <v>415</v>
      </c>
      <c r="B416" s="1" t="n">
        <v>38.5</v>
      </c>
      <c r="C416" s="1" t="n">
        <v>-50</v>
      </c>
      <c r="D416" s="1" t="n">
        <v>-34.4</v>
      </c>
      <c r="E416" s="2" t="n">
        <v>0.9</v>
      </c>
      <c r="F416" s="2" t="n">
        <v>411</v>
      </c>
      <c r="G416" s="2" t="n">
        <v>38.1</v>
      </c>
      <c r="H416" s="2" t="n">
        <v>-49.8</v>
      </c>
      <c r="I416" s="2" t="n">
        <v>-33.7</v>
      </c>
      <c r="J416" s="2" t="n">
        <v>13.03340324</v>
      </c>
    </row>
    <row r="417" customFormat="false" ht="15.8" hidden="false" customHeight="false" outlineLevel="0" collapsed="false">
      <c r="A417" s="1" t="n">
        <v>416</v>
      </c>
      <c r="B417" s="1" t="n">
        <v>27</v>
      </c>
      <c r="C417" s="1" t="n">
        <v>-50.3</v>
      </c>
      <c r="D417" s="1" t="n">
        <v>-32.2</v>
      </c>
      <c r="E417" s="2" t="n">
        <v>2.7</v>
      </c>
      <c r="F417" s="2" t="n">
        <v>417</v>
      </c>
      <c r="G417" s="2" t="n">
        <v>29.6</v>
      </c>
      <c r="H417" s="2" t="n">
        <v>-51.1</v>
      </c>
      <c r="I417" s="2" t="n">
        <v>-32.6</v>
      </c>
      <c r="J417" s="2" t="n">
        <v>22.09718534</v>
      </c>
    </row>
    <row r="418" customFormat="false" ht="15.8" hidden="false" customHeight="false" outlineLevel="0" collapsed="false">
      <c r="A418" s="1" t="n">
        <v>417</v>
      </c>
      <c r="B418" s="1" t="n">
        <v>29.6</v>
      </c>
      <c r="C418" s="1" t="n">
        <v>-51.1</v>
      </c>
      <c r="D418" s="1" t="n">
        <v>-32.6</v>
      </c>
      <c r="E418" s="2" t="n">
        <v>2.2</v>
      </c>
      <c r="F418" s="2" t="n">
        <v>418</v>
      </c>
      <c r="G418" s="2" t="n">
        <v>31.4</v>
      </c>
      <c r="H418" s="2" t="n">
        <v>-50.1</v>
      </c>
      <c r="I418" s="2" t="n">
        <v>-33.3</v>
      </c>
      <c r="J418" s="2" t="n">
        <v>19.65598128</v>
      </c>
    </row>
    <row r="419" customFormat="false" ht="15.8" hidden="false" customHeight="false" outlineLevel="0" collapsed="false">
      <c r="A419" s="1" t="n">
        <v>418</v>
      </c>
      <c r="B419" s="1" t="n">
        <v>31.4</v>
      </c>
      <c r="C419" s="1" t="n">
        <v>-50.1</v>
      </c>
      <c r="D419" s="1" t="n">
        <v>-33.3</v>
      </c>
      <c r="E419" s="2" t="n">
        <v>2.2</v>
      </c>
      <c r="F419" s="2" t="n">
        <v>417</v>
      </c>
      <c r="G419" s="2" t="n">
        <v>29.6</v>
      </c>
      <c r="H419" s="2" t="n">
        <v>-51.1</v>
      </c>
      <c r="I419" s="2" t="n">
        <v>-32.6</v>
      </c>
      <c r="J419" s="2" t="n">
        <v>18.39053017</v>
      </c>
    </row>
    <row r="420" customFormat="false" ht="15.8" hidden="false" customHeight="false" outlineLevel="0" collapsed="false">
      <c r="A420" s="1" t="n">
        <v>419</v>
      </c>
      <c r="B420" s="1" t="n">
        <v>31.9</v>
      </c>
      <c r="C420" s="1" t="n">
        <v>-52.2</v>
      </c>
      <c r="D420" s="1" t="n">
        <v>-33.3</v>
      </c>
      <c r="E420" s="2" t="n">
        <v>2.2</v>
      </c>
      <c r="F420" s="2" t="n">
        <v>418</v>
      </c>
      <c r="G420" s="2" t="n">
        <v>31.4</v>
      </c>
      <c r="H420" s="2" t="n">
        <v>-50.1</v>
      </c>
      <c r="I420" s="2" t="n">
        <v>-33.3</v>
      </c>
      <c r="J420" s="2" t="n">
        <v>17.67878955</v>
      </c>
    </row>
    <row r="421" customFormat="false" ht="15.8" hidden="false" customHeight="false" outlineLevel="0" collapsed="false">
      <c r="A421" s="1" t="n">
        <v>420</v>
      </c>
      <c r="B421" s="1" t="n">
        <v>34.2</v>
      </c>
      <c r="C421" s="1" t="n">
        <v>-49.1</v>
      </c>
      <c r="D421" s="1" t="n">
        <v>-32.9</v>
      </c>
      <c r="E421" s="2" t="n">
        <v>1.6</v>
      </c>
      <c r="F421" s="2" t="n">
        <v>414</v>
      </c>
      <c r="G421" s="2" t="n">
        <v>35.2</v>
      </c>
      <c r="H421" s="2" t="n">
        <v>-50.2</v>
      </c>
      <c r="I421" s="2" t="n">
        <v>-33.7</v>
      </c>
      <c r="J421" s="2" t="n">
        <v>15.96407216</v>
      </c>
    </row>
    <row r="422" customFormat="false" ht="15.8" hidden="false" customHeight="false" outlineLevel="0" collapsed="false">
      <c r="A422" s="1" t="n">
        <v>421</v>
      </c>
      <c r="B422" s="1" t="n">
        <v>34.1</v>
      </c>
      <c r="C422" s="1" t="n">
        <v>-52</v>
      </c>
      <c r="D422" s="1" t="n">
        <v>-33.7</v>
      </c>
      <c r="E422" s="2" t="n">
        <v>2.1</v>
      </c>
      <c r="F422" s="2" t="n">
        <v>414</v>
      </c>
      <c r="G422" s="2" t="n">
        <v>35.2</v>
      </c>
      <c r="H422" s="2" t="n">
        <v>-50.2</v>
      </c>
      <c r="I422" s="2" t="n">
        <v>-33.7</v>
      </c>
      <c r="J422" s="2" t="n">
        <v>15.89728279</v>
      </c>
    </row>
    <row r="423" customFormat="false" ht="15.8" hidden="false" customHeight="false" outlineLevel="0" collapsed="false">
      <c r="A423" s="1" t="n">
        <v>422</v>
      </c>
      <c r="B423" s="1" t="n">
        <v>35.6</v>
      </c>
      <c r="C423" s="1" t="n">
        <v>-50.5</v>
      </c>
      <c r="D423" s="1" t="n">
        <v>-36.6</v>
      </c>
      <c r="E423" s="2" t="n">
        <v>1.4</v>
      </c>
      <c r="F423" s="2" t="n">
        <v>423</v>
      </c>
      <c r="G423" s="2" t="n">
        <v>34.6</v>
      </c>
      <c r="H423" s="2" t="n">
        <v>-49.8</v>
      </c>
      <c r="I423" s="2" t="n">
        <v>-37.4</v>
      </c>
      <c r="J423" s="2" t="n">
        <v>16.47754836</v>
      </c>
    </row>
    <row r="424" customFormat="false" ht="15.8" hidden="false" customHeight="false" outlineLevel="0" collapsed="false">
      <c r="A424" s="1" t="n">
        <v>423</v>
      </c>
      <c r="B424" s="1" t="n">
        <v>34.6</v>
      </c>
      <c r="C424" s="1" t="n">
        <v>-49.8</v>
      </c>
      <c r="D424" s="1" t="n">
        <v>-37.4</v>
      </c>
      <c r="E424" s="2" t="n">
        <v>1.4</v>
      </c>
      <c r="F424" s="2" t="n">
        <v>422</v>
      </c>
      <c r="G424" s="2" t="n">
        <v>35.6</v>
      </c>
      <c r="H424" s="2" t="n">
        <v>-50.5</v>
      </c>
      <c r="I424" s="2" t="n">
        <v>-36.6</v>
      </c>
      <c r="J424" s="2" t="n">
        <v>17.86604601</v>
      </c>
    </row>
    <row r="425" customFormat="false" ht="15.8" hidden="false" customHeight="false" outlineLevel="0" collapsed="false">
      <c r="A425" s="1" t="n">
        <v>424</v>
      </c>
      <c r="B425" s="1" t="n">
        <v>31.5</v>
      </c>
      <c r="C425" s="1" t="n">
        <v>-49</v>
      </c>
      <c r="D425" s="1" t="n">
        <v>-22.6</v>
      </c>
      <c r="E425" s="2" t="n">
        <v>1.6</v>
      </c>
      <c r="F425" s="2" t="n">
        <v>425</v>
      </c>
      <c r="G425" s="2" t="n">
        <v>33</v>
      </c>
      <c r="H425" s="2" t="n">
        <v>-48.3</v>
      </c>
      <c r="I425" s="2" t="n">
        <v>-22.6</v>
      </c>
      <c r="J425" s="2" t="n">
        <v>17.47562874</v>
      </c>
    </row>
    <row r="426" customFormat="false" ht="15.8" hidden="false" customHeight="false" outlineLevel="0" collapsed="false">
      <c r="A426" s="1" t="n">
        <v>425</v>
      </c>
      <c r="B426" s="1" t="n">
        <v>33</v>
      </c>
      <c r="C426" s="1" t="n">
        <v>-48.3</v>
      </c>
      <c r="D426" s="1" t="n">
        <v>-22.6</v>
      </c>
      <c r="E426" s="2" t="n">
        <v>1.5</v>
      </c>
      <c r="F426" s="2" t="n">
        <v>436</v>
      </c>
      <c r="G426" s="2" t="n">
        <v>33.3</v>
      </c>
      <c r="H426" s="2" t="n">
        <v>-47.1</v>
      </c>
      <c r="I426" s="2" t="n">
        <v>-23.3</v>
      </c>
      <c r="J426" s="2" t="n">
        <v>16.26719398</v>
      </c>
    </row>
    <row r="427" customFormat="false" ht="15.8" hidden="false" customHeight="false" outlineLevel="0" collapsed="false">
      <c r="A427" s="1" t="n">
        <v>426</v>
      </c>
      <c r="B427" s="1" t="n">
        <v>32.6</v>
      </c>
      <c r="C427" s="1" t="n">
        <v>-50.4</v>
      </c>
      <c r="D427" s="1" t="n">
        <v>-25.2</v>
      </c>
      <c r="E427" s="2" t="n">
        <v>2.5</v>
      </c>
      <c r="F427" s="2" t="n">
        <v>427</v>
      </c>
      <c r="G427" s="2" t="n">
        <v>34.3</v>
      </c>
      <c r="H427" s="2" t="n">
        <v>-48.8</v>
      </c>
      <c r="I427" s="2" t="n">
        <v>-24.4</v>
      </c>
      <c r="J427" s="2" t="n">
        <v>15.75168562</v>
      </c>
    </row>
    <row r="428" customFormat="false" ht="15.8" hidden="false" customHeight="false" outlineLevel="0" collapsed="false">
      <c r="A428" s="1" t="n">
        <v>427</v>
      </c>
      <c r="B428" s="1" t="n">
        <v>34.3</v>
      </c>
      <c r="C428" s="1" t="n">
        <v>-48.8</v>
      </c>
      <c r="D428" s="1" t="n">
        <v>-24.4</v>
      </c>
      <c r="E428" s="2" t="n">
        <v>1.4</v>
      </c>
      <c r="F428" s="2" t="n">
        <v>432</v>
      </c>
      <c r="G428" s="2" t="n">
        <v>35</v>
      </c>
      <c r="H428" s="2" t="n">
        <v>-47.8</v>
      </c>
      <c r="I428" s="2" t="n">
        <v>-25.2</v>
      </c>
      <c r="J428" s="2" t="n">
        <v>14.58593843</v>
      </c>
    </row>
    <row r="429" customFormat="false" ht="15.8" hidden="false" customHeight="false" outlineLevel="0" collapsed="false">
      <c r="A429" s="1" t="n">
        <v>428</v>
      </c>
      <c r="B429" s="1" t="n">
        <v>43.3</v>
      </c>
      <c r="C429" s="1" t="n">
        <v>-50.5</v>
      </c>
      <c r="D429" s="1" t="n">
        <v>-27.7</v>
      </c>
      <c r="E429" s="2" t="n">
        <v>3.7</v>
      </c>
      <c r="F429" s="2" t="n">
        <v>304</v>
      </c>
      <c r="G429" s="2" t="n">
        <v>45.8</v>
      </c>
      <c r="H429" s="2" t="n">
        <v>-48.8</v>
      </c>
      <c r="I429" s="2" t="n">
        <v>-30</v>
      </c>
      <c r="J429" s="2" t="n">
        <v>5.740871014</v>
      </c>
    </row>
    <row r="430" customFormat="false" ht="15.8" hidden="false" customHeight="false" outlineLevel="0" collapsed="false">
      <c r="A430" s="1" t="n">
        <v>429</v>
      </c>
      <c r="B430" s="1" t="n">
        <v>39.6</v>
      </c>
      <c r="C430" s="1" t="n">
        <v>-53.3</v>
      </c>
      <c r="D430" s="1" t="n">
        <v>-27.4</v>
      </c>
      <c r="E430" s="2" t="n">
        <v>2.4</v>
      </c>
      <c r="F430" s="2" t="n">
        <v>399</v>
      </c>
      <c r="G430" s="2" t="n">
        <v>38.4</v>
      </c>
      <c r="H430" s="2" t="n">
        <v>-55</v>
      </c>
      <c r="I430" s="2" t="n">
        <v>-28.5</v>
      </c>
      <c r="J430" s="2" t="n">
        <v>8.527930581</v>
      </c>
    </row>
    <row r="431" customFormat="false" ht="15.8" hidden="false" customHeight="false" outlineLevel="0" collapsed="false">
      <c r="A431" s="1" t="n">
        <v>430</v>
      </c>
      <c r="B431" s="1" t="n">
        <v>31.6</v>
      </c>
      <c r="C431" s="1" t="n">
        <v>-44.8</v>
      </c>
      <c r="D431" s="1" t="n">
        <v>-27.4</v>
      </c>
      <c r="E431" s="2" t="n">
        <v>0.9</v>
      </c>
      <c r="F431" s="2" t="n">
        <v>35</v>
      </c>
      <c r="G431" s="2" t="n">
        <v>31.4</v>
      </c>
      <c r="H431" s="2" t="n">
        <v>-44.3</v>
      </c>
      <c r="I431" s="2" t="n">
        <v>-26.6</v>
      </c>
      <c r="J431" s="2" t="n">
        <v>18.57513392</v>
      </c>
    </row>
    <row r="432" customFormat="false" ht="15.8" hidden="false" customHeight="false" outlineLevel="0" collapsed="false">
      <c r="A432" s="1" t="n">
        <v>431</v>
      </c>
      <c r="B432" s="1" t="n">
        <v>32.5</v>
      </c>
      <c r="C432" s="1" t="n">
        <v>-46.1</v>
      </c>
      <c r="D432" s="1" t="n">
        <v>-27</v>
      </c>
      <c r="E432" s="2" t="n">
        <v>1.7</v>
      </c>
      <c r="F432" s="2" t="n">
        <v>430</v>
      </c>
      <c r="G432" s="2" t="n">
        <v>31.6</v>
      </c>
      <c r="H432" s="2" t="n">
        <v>-44.8</v>
      </c>
      <c r="I432" s="2" t="n">
        <v>-27.4</v>
      </c>
      <c r="J432" s="2" t="n">
        <v>17.17182576</v>
      </c>
    </row>
    <row r="433" customFormat="false" ht="15.8" hidden="false" customHeight="false" outlineLevel="0" collapsed="false">
      <c r="A433" s="1" t="n">
        <v>432</v>
      </c>
      <c r="B433" s="1" t="n">
        <v>35</v>
      </c>
      <c r="C433" s="1" t="n">
        <v>-47.8</v>
      </c>
      <c r="D433" s="1" t="n">
        <v>-25.2</v>
      </c>
      <c r="E433" s="2" t="n">
        <v>1.4</v>
      </c>
      <c r="F433" s="2" t="n">
        <v>427</v>
      </c>
      <c r="G433" s="2" t="n">
        <v>34.3</v>
      </c>
      <c r="H433" s="2" t="n">
        <v>-48.8</v>
      </c>
      <c r="I433" s="2" t="n">
        <v>-24.4</v>
      </c>
      <c r="J433" s="2" t="n">
        <v>14.20970091</v>
      </c>
    </row>
    <row r="434" customFormat="false" ht="15.8" hidden="false" customHeight="false" outlineLevel="0" collapsed="false">
      <c r="A434" s="1" t="n">
        <v>433</v>
      </c>
      <c r="B434" s="1" t="n">
        <v>37.1</v>
      </c>
      <c r="C434" s="1" t="n">
        <v>-47.5</v>
      </c>
      <c r="D434" s="1" t="n">
        <v>-25.2</v>
      </c>
      <c r="E434" s="2" t="n">
        <v>2.1</v>
      </c>
      <c r="F434" s="2" t="n">
        <v>432</v>
      </c>
      <c r="G434" s="2" t="n">
        <v>35</v>
      </c>
      <c r="H434" s="2" t="n">
        <v>-47.8</v>
      </c>
      <c r="I434" s="2" t="n">
        <v>-25.2</v>
      </c>
      <c r="J434" s="2" t="n">
        <v>12.44924094</v>
      </c>
    </row>
    <row r="435" customFormat="false" ht="15.8" hidden="false" customHeight="false" outlineLevel="0" collapsed="false">
      <c r="A435" s="1" t="n">
        <v>434</v>
      </c>
      <c r="B435" s="1" t="n">
        <v>32.8</v>
      </c>
      <c r="C435" s="1" t="n">
        <v>-42.9</v>
      </c>
      <c r="D435" s="1" t="n">
        <v>-21.1</v>
      </c>
      <c r="E435" s="2" t="n">
        <v>3.4</v>
      </c>
      <c r="F435" s="2" t="n">
        <v>437</v>
      </c>
      <c r="G435" s="2" t="n">
        <v>32.7</v>
      </c>
      <c r="H435" s="2" t="n">
        <v>-46.3</v>
      </c>
      <c r="I435" s="2" t="n">
        <v>-21.8</v>
      </c>
      <c r="J435" s="2" t="n">
        <v>19.1696531</v>
      </c>
    </row>
    <row r="436" customFormat="false" ht="15.8" hidden="false" customHeight="false" outlineLevel="0" collapsed="false">
      <c r="A436" s="1" t="n">
        <v>435</v>
      </c>
      <c r="B436" s="1" t="n">
        <v>38.6</v>
      </c>
      <c r="C436" s="1" t="n">
        <v>-49.1</v>
      </c>
      <c r="D436" s="1" t="n">
        <v>-22.6</v>
      </c>
      <c r="E436" s="2" t="n">
        <v>1.8</v>
      </c>
      <c r="F436" s="2" t="n">
        <v>381</v>
      </c>
      <c r="G436" s="2" t="n">
        <v>39</v>
      </c>
      <c r="H436" s="2" t="n">
        <v>-50.9</v>
      </c>
      <c r="I436" s="2" t="n">
        <v>-22.2</v>
      </c>
      <c r="J436" s="2" t="n">
        <v>10.95799252</v>
      </c>
    </row>
    <row r="437" customFormat="false" ht="15.8" hidden="false" customHeight="false" outlineLevel="0" collapsed="false">
      <c r="A437" s="1" t="n">
        <v>436</v>
      </c>
      <c r="B437" s="1" t="n">
        <v>33.3</v>
      </c>
      <c r="C437" s="1" t="n">
        <v>-47.1</v>
      </c>
      <c r="D437" s="1" t="n">
        <v>-23.3</v>
      </c>
      <c r="E437" s="2" t="n">
        <v>1.5</v>
      </c>
      <c r="F437" s="2" t="n">
        <v>425</v>
      </c>
      <c r="G437" s="2" t="n">
        <v>33</v>
      </c>
      <c r="H437" s="2" t="n">
        <v>-48.3</v>
      </c>
      <c r="I437" s="2" t="n">
        <v>-22.6</v>
      </c>
      <c r="J437" s="2" t="n">
        <v>16.2711278</v>
      </c>
    </row>
    <row r="438" customFormat="false" ht="15.8" hidden="false" customHeight="false" outlineLevel="0" collapsed="false">
      <c r="A438" s="1" t="n">
        <v>437</v>
      </c>
      <c r="B438" s="1" t="n">
        <v>32.7</v>
      </c>
      <c r="C438" s="1" t="n">
        <v>-46.3</v>
      </c>
      <c r="D438" s="1" t="n">
        <v>-21.8</v>
      </c>
      <c r="E438" s="2" t="n">
        <v>1.8</v>
      </c>
      <c r="F438" s="2" t="n">
        <v>436</v>
      </c>
      <c r="G438" s="2" t="n">
        <v>33.3</v>
      </c>
      <c r="H438" s="2" t="n">
        <v>-47.1</v>
      </c>
      <c r="I438" s="2" t="n">
        <v>-23.3</v>
      </c>
      <c r="J438" s="2" t="n">
        <v>17.4454464</v>
      </c>
    </row>
    <row r="439" customFormat="false" ht="15.8" hidden="false" customHeight="false" outlineLevel="0" collapsed="false">
      <c r="A439" s="1" t="n">
        <v>438</v>
      </c>
      <c r="B439" s="1" t="n">
        <v>29.8</v>
      </c>
      <c r="C439" s="1" t="n">
        <v>-44.1</v>
      </c>
      <c r="D439" s="1" t="n">
        <v>-22.6</v>
      </c>
      <c r="E439" s="2" t="n">
        <v>3.5</v>
      </c>
      <c r="F439" s="2" t="n">
        <v>434</v>
      </c>
      <c r="G439" s="2" t="n">
        <v>32.8</v>
      </c>
      <c r="H439" s="2" t="n">
        <v>-42.9</v>
      </c>
      <c r="I439" s="2" t="n">
        <v>-21.1</v>
      </c>
      <c r="J439" s="2" t="n">
        <v>20.76683895</v>
      </c>
    </row>
    <row r="440" customFormat="false" ht="15.8" hidden="false" customHeight="false" outlineLevel="0" collapsed="false">
      <c r="A440" s="1" t="n">
        <v>439</v>
      </c>
      <c r="B440" s="1" t="n">
        <v>43.7</v>
      </c>
      <c r="C440" s="1" t="n">
        <v>-45.7</v>
      </c>
      <c r="D440" s="1" t="n">
        <v>-25.5</v>
      </c>
      <c r="E440" s="2" t="n">
        <v>3.5</v>
      </c>
      <c r="F440" s="2" t="n">
        <v>442</v>
      </c>
      <c r="G440" s="2" t="n">
        <v>41</v>
      </c>
      <c r="H440" s="2" t="n">
        <v>-43.9</v>
      </c>
      <c r="I440" s="2" t="n">
        <v>-24.1</v>
      </c>
      <c r="J440" s="2" t="n">
        <v>8.830266134</v>
      </c>
    </row>
    <row r="441" customFormat="false" ht="15.8" hidden="false" customHeight="false" outlineLevel="0" collapsed="false">
      <c r="A441" s="1" t="n">
        <v>440</v>
      </c>
      <c r="B441" s="1" t="n">
        <v>41.1</v>
      </c>
      <c r="C441" s="1" t="n">
        <v>-42.9</v>
      </c>
      <c r="D441" s="1" t="n">
        <v>-25.2</v>
      </c>
      <c r="E441" s="2" t="n">
        <v>0.6</v>
      </c>
      <c r="F441" s="2" t="n">
        <v>441</v>
      </c>
      <c r="G441" s="2" t="n">
        <v>41.6</v>
      </c>
      <c r="H441" s="2" t="n">
        <v>-42.7</v>
      </c>
      <c r="I441" s="2" t="n">
        <v>-25.2</v>
      </c>
      <c r="J441" s="2" t="n">
        <v>12.59109209</v>
      </c>
    </row>
    <row r="442" customFormat="false" ht="15.8" hidden="false" customHeight="false" outlineLevel="0" collapsed="false">
      <c r="A442" s="1" t="n">
        <v>441</v>
      </c>
      <c r="B442" s="1" t="n">
        <v>41.6</v>
      </c>
      <c r="C442" s="1" t="n">
        <v>-42.7</v>
      </c>
      <c r="D442" s="1" t="n">
        <v>-25.2</v>
      </c>
      <c r="E442" s="2" t="n">
        <v>0.6</v>
      </c>
      <c r="F442" s="2" t="n">
        <v>440</v>
      </c>
      <c r="G442" s="2" t="n">
        <v>41.1</v>
      </c>
      <c r="H442" s="2" t="n">
        <v>-42.9</v>
      </c>
      <c r="I442" s="2" t="n">
        <v>-25.2</v>
      </c>
      <c r="J442" s="2" t="n">
        <v>12.49278192</v>
      </c>
    </row>
    <row r="443" customFormat="false" ht="15.8" hidden="false" customHeight="false" outlineLevel="0" collapsed="false">
      <c r="A443" s="1" t="n">
        <v>442</v>
      </c>
      <c r="B443" s="1" t="n">
        <v>41</v>
      </c>
      <c r="C443" s="1" t="n">
        <v>-43.9</v>
      </c>
      <c r="D443" s="1" t="n">
        <v>-24.1</v>
      </c>
      <c r="E443" s="2" t="n">
        <v>1.5</v>
      </c>
      <c r="F443" s="2" t="n">
        <v>440</v>
      </c>
      <c r="G443" s="2" t="n">
        <v>41.1</v>
      </c>
      <c r="H443" s="2" t="n">
        <v>-42.9</v>
      </c>
      <c r="I443" s="2" t="n">
        <v>-25.2</v>
      </c>
      <c r="J443" s="2" t="n">
        <v>11.9741221</v>
      </c>
    </row>
    <row r="444" customFormat="false" ht="15.8" hidden="false" customHeight="false" outlineLevel="0" collapsed="false">
      <c r="A444" s="1" t="n">
        <v>443</v>
      </c>
      <c r="B444" s="1" t="n">
        <v>49.5</v>
      </c>
      <c r="C444" s="1" t="n">
        <v>-46</v>
      </c>
      <c r="D444" s="1" t="n">
        <v>-26.6</v>
      </c>
      <c r="E444" s="2" t="n">
        <v>3</v>
      </c>
      <c r="F444" s="2" t="n">
        <v>71</v>
      </c>
      <c r="G444" s="2" t="n">
        <v>48.3</v>
      </c>
      <c r="H444" s="2" t="n">
        <v>-44.5</v>
      </c>
      <c r="I444" s="2" t="n">
        <v>-28.9</v>
      </c>
      <c r="J444" s="2" t="n">
        <v>7.515158016</v>
      </c>
    </row>
  </sheetData>
  <printOptions headings="false" gridLines="false" gridLinesSet="true" horizontalCentered="false" verticalCentered="false"/>
  <pageMargins left="0.7875" right="0.7875" top="1.025" bottom="1.025" header="0.7875" footer="0.7875"/>
  <pageSetup paperSize="9" scale="100" firstPageNumber="0" fitToWidth="1" fitToHeight="1" pageOrder="downThenOver" orientation="portrait" usePrinterDefaults="false" blackAndWhite="false" draft="false" cellComments="none" useFirstPageNumber="false" horizontalDpi="300" verticalDpi="300" copies="1"/>
  <headerFooter differentFirst="false" differentOddEven="false">
    <oddHeader>&amp;C&amp;"Arial,Regular"&amp;10&amp;A</oddHeader>
    <oddFooter>&amp;C&amp;"Arial,Regular"&amp;10Page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88601</TotalTime>
  <Application>LibreOffice/4.3.5.2$MacOSX_X86_64 LibreOffice_project/3a87456aaa6a95c63eea1c1b3201acedf0751bd5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2017-06-25T19:43:29Z</dcterms:created>
  <dc:language>en-US</dc:language>
  <dcterms:modified xsi:type="dcterms:W3CDTF">2017-07-05T19:46:46Z</dcterms:modified>
  <cp:revision>55</cp:revision>
</cp:coreProperties>
</file>