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<sst xmlns="http://schemas.openxmlformats.org/spreadsheetml/2006/main" count="19" uniqueCount="17">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</sst>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59</v>
      </c>
      <c r="C2" s="1" t="n">
        <v>-56.8</v>
      </c>
      <c r="D2" s="1" t="n">
        <v>-9.6</v>
      </c>
      <c r="E2" s="2" t="n">
        <v>3</v>
      </c>
      <c r="F2" s="2" t="n">
        <v>2</v>
      </c>
      <c r="G2" s="2" t="n">
        <v>61.8</v>
      </c>
      <c r="H2" s="2" t="n">
        <v>-56.5</v>
      </c>
      <c r="I2" s="2" t="n">
        <v>-10.4</v>
      </c>
      <c r="J2" s="2" t="n">
        <v>9.841127171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408</v>
      </c>
    </row>
    <row r="3" customFormat="false" ht="15.8" hidden="false" customHeight="false" outlineLevel="0" collapsed="false">
      <c r="A3" s="1" t="n">
        <v>2</v>
      </c>
      <c r="B3" s="1" t="n">
        <v>61.8</v>
      </c>
      <c r="C3" s="1" t="n">
        <v>-56.5</v>
      </c>
      <c r="D3" s="1" t="n">
        <v>-10.4</v>
      </c>
      <c r="E3" s="2" t="n">
        <v>2.2</v>
      </c>
      <c r="F3" s="2" t="n">
        <v>3</v>
      </c>
      <c r="G3" s="2" t="n">
        <v>63.7</v>
      </c>
      <c r="H3" s="2" t="n">
        <v>-57.3</v>
      </c>
      <c r="I3" s="2" t="n">
        <v>-11.1</v>
      </c>
      <c r="J3" s="2" t="n">
        <v>11.4349195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0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63.7</v>
      </c>
      <c r="C4" s="1" t="n">
        <v>-57.3</v>
      </c>
      <c r="D4" s="1" t="n">
        <v>-11.1</v>
      </c>
      <c r="E4" s="2" t="n">
        <v>2.2</v>
      </c>
      <c r="F4" s="2" t="n">
        <v>2</v>
      </c>
      <c r="G4" s="2" t="n">
        <v>61.8</v>
      </c>
      <c r="H4" s="2" t="n">
        <v>-56.5</v>
      </c>
      <c r="I4" s="2" t="n">
        <v>-10.4</v>
      </c>
      <c r="J4" s="2" t="n">
        <v>13.34724631</v>
      </c>
      <c r="L4" s="3" t="n">
        <v>7.5</v>
      </c>
      <c r="M4" s="5" t="n">
        <f aca="false">COUNTIFS($J$2:$J$2000,"&lt;=7.5",$E$2:$E$2000,"&lt;=0.5")-SUM(M$2:M3)</f>
        <v>2</v>
      </c>
      <c r="N4" s="5" t="n">
        <f aca="false">COUNTIFS($J$2:$J$2000,"&lt;=7.5",$E$2:$E$2000,"&lt;=1")-SUM($N$2:N3,$M2:M4)</f>
        <v>2</v>
      </c>
      <c r="O4" s="5" t="n">
        <f aca="false">COUNTIFS($J$2:$J$2000,"&lt;=7.5",$E$2:$E$2000,"&lt;=1.5")-SUM($O$2:O3,$M2:N4)</f>
        <v>6</v>
      </c>
      <c r="P4" s="5" t="n">
        <f aca="false">COUNTIFS($J$2:$J$2000,"&lt;=7.5",$E$2:$E$2000,"&lt;=2")-SUM($P$2:P3,$M2:O4)</f>
        <v>1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3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16</v>
      </c>
      <c r="Y4" s="0" t="n">
        <f aca="false">SUM(X2:X25)</f>
        <v>408</v>
      </c>
    </row>
    <row r="5" customFormat="false" ht="15.8" hidden="false" customHeight="false" outlineLevel="0" collapsed="false">
      <c r="A5" s="1" t="n">
        <v>4</v>
      </c>
      <c r="B5" s="1" t="n">
        <v>60.9</v>
      </c>
      <c r="C5" s="1" t="n">
        <v>-54.5</v>
      </c>
      <c r="D5" s="1" t="n">
        <v>-10</v>
      </c>
      <c r="E5" s="2" t="n">
        <v>2.3</v>
      </c>
      <c r="F5" s="2" t="n">
        <v>2</v>
      </c>
      <c r="G5" s="2" t="n">
        <v>61.8</v>
      </c>
      <c r="H5" s="2" t="n">
        <v>-56.5</v>
      </c>
      <c r="I5" s="2" t="n">
        <v>-10.4</v>
      </c>
      <c r="J5" s="2" t="n">
        <v>9.623376954</v>
      </c>
      <c r="L5" s="3" t="n">
        <v>10</v>
      </c>
      <c r="M5" s="5" t="n">
        <f aca="false">COUNTIFS($J$2:$J$2000,"&lt;=10",$E$2:$E$2000,"&lt;=0.5")-SUM(M$2:M4)</f>
        <v>4</v>
      </c>
      <c r="N5" s="5" t="n">
        <f aca="false">COUNTIFS($J$2:$J$2000,"&lt;=10",$E$2:$E$2000,"&lt;=1")-SUM(N$2:N4,$M2:M5)</f>
        <v>13</v>
      </c>
      <c r="O5" s="5" t="n">
        <f aca="false">COUNTIFS($J$2:$J$2000,"&lt;=10",$E$2:$E$2000,"&lt;=1.5")-SUM(O$2:O4,$M2:N5)</f>
        <v>13</v>
      </c>
      <c r="P5" s="5" t="n">
        <f aca="false">COUNTIFS($J$2:$J$2000,"&lt;=10",$E$2:$E$2000,"&lt;=2")-SUM(P$2:P4,$M2:O5)</f>
        <v>6</v>
      </c>
      <c r="Q5" s="5" t="n">
        <f aca="false">COUNTIFS($J$2:$J$2000,"&lt;=10",$E$2:$E$2000,"&lt;=2.5")-SUM(Q$2:Q4,$M2:P5)</f>
        <v>6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1</v>
      </c>
      <c r="W5" s="5" t="n">
        <f aca="false">COUNTIFS($J$2:$J$2000,"&lt;=10",$E$2:$E$2000,"&gt;5")-SUM(W$2:W4)</f>
        <v>0</v>
      </c>
      <c r="X5" s="0" t="n">
        <f aca="false">SUM(M5:W5)</f>
        <v>45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64.7</v>
      </c>
      <c r="C6" s="1" t="n">
        <v>-52.6</v>
      </c>
      <c r="D6" s="1" t="n">
        <v>-9.2</v>
      </c>
      <c r="E6" s="2" t="n">
        <v>2.8</v>
      </c>
      <c r="F6" s="2" t="n">
        <v>6</v>
      </c>
      <c r="G6" s="2" t="n">
        <v>66.9</v>
      </c>
      <c r="H6" s="2" t="n">
        <v>-51</v>
      </c>
      <c r="I6" s="2" t="n">
        <v>-9.2</v>
      </c>
      <c r="J6" s="2" t="n">
        <v>12.44844504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15</v>
      </c>
      <c r="O6" s="5" t="n">
        <f aca="false">COUNTIFS($J$2:$J$2000,"&lt;=12.5",$E$2:$E$2000,"&lt;=1.5")-SUM(O$2:O5,$M2:N6)</f>
        <v>8</v>
      </c>
      <c r="P6" s="5" t="n">
        <f aca="false">COUNTIFS($J$2:$J$2000,"&lt;=12.5",$E$2:$E$2000,"&lt;=2")-SUM(P$2:P5,$M2:O6)</f>
        <v>8</v>
      </c>
      <c r="Q6" s="5" t="n">
        <f aca="false">COUNTIFS($J$2:$J$2000,"&lt;=12.5",$E$2:$E$2000,"&lt;=2.5")-SUM(Q$2:Q5,$M2:P6)</f>
        <v>5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39</v>
      </c>
      <c r="Y6" s="0" t="n">
        <f aca="false">SUM(M2:W25)</f>
        <v>408</v>
      </c>
    </row>
    <row r="7" customFormat="false" ht="15.8" hidden="false" customHeight="false" outlineLevel="0" collapsed="false">
      <c r="A7" s="1" t="n">
        <v>6</v>
      </c>
      <c r="B7" s="1" t="n">
        <v>66.9</v>
      </c>
      <c r="C7" s="1" t="n">
        <v>-51</v>
      </c>
      <c r="D7" s="1" t="n">
        <v>-9.2</v>
      </c>
      <c r="E7" s="2" t="n">
        <v>2.8</v>
      </c>
      <c r="F7" s="2" t="n">
        <v>5</v>
      </c>
      <c r="G7" s="2" t="n">
        <v>64.7</v>
      </c>
      <c r="H7" s="2" t="n">
        <v>-52.6</v>
      </c>
      <c r="I7" s="2" t="n">
        <v>-9.2</v>
      </c>
      <c r="J7" s="2" t="n">
        <v>14.26485836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9</v>
      </c>
      <c r="O7" s="5" t="n">
        <f aca="false">COUNTIFS($J$2:$J$2000,"&lt;=15",$E$2:$E$2000,"&lt;=1.5")-SUM(O$2:O6,$M2:N7)</f>
        <v>9</v>
      </c>
      <c r="P7" s="5" t="n">
        <f aca="false">COUNTIFS($J$2:$J$2000,"&lt;=15",$E$2:$E$2000,"&lt;=2")-SUM(P$2:P6,$M2:O7)</f>
        <v>4</v>
      </c>
      <c r="Q7" s="5" t="n">
        <f aca="false">COUNTIFS($J$2:$J$2000,"&lt;=15",$E$2:$E$2000,"&lt;=2.5")-SUM(Q$2:Q6,$M2:P7)</f>
        <v>5</v>
      </c>
      <c r="R7" s="5" t="n">
        <f aca="false">COUNTIFS($J$2:$J$2000,"&lt;=15",$E$2:$E$2000,"&lt;=3")-SUM(R$2:R6,$M2:Q7)</f>
        <v>2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34</v>
      </c>
    </row>
    <row r="8" customFormat="false" ht="15.8" hidden="false" customHeight="false" outlineLevel="0" collapsed="false">
      <c r="A8" s="1" t="n">
        <v>7</v>
      </c>
      <c r="B8" s="1" t="n">
        <v>42.9</v>
      </c>
      <c r="C8" s="1" t="n">
        <v>-63</v>
      </c>
      <c r="D8" s="1" t="n">
        <v>-8.1</v>
      </c>
      <c r="E8" s="2" t="n">
        <v>1</v>
      </c>
      <c r="F8" s="2" t="n">
        <v>9</v>
      </c>
      <c r="G8" s="2" t="n">
        <v>41.9</v>
      </c>
      <c r="H8" s="2" t="n">
        <v>-63.2</v>
      </c>
      <c r="I8" s="2" t="n">
        <v>-8.1</v>
      </c>
      <c r="J8" s="2" t="n">
        <v>17.40395886</v>
      </c>
      <c r="L8" s="3" t="n">
        <v>17.5</v>
      </c>
      <c r="M8" s="5" t="n">
        <f aca="false">COUNTIFS($J$2:$J$2000,"&lt;=17.5",$E$2:$E$2000,"&lt;=0.5")-SUM(M$2:M7)</f>
        <v>3</v>
      </c>
      <c r="N8" s="5" t="n">
        <f aca="false">COUNTIFS($J$2:$J$2000,"&lt;=17.5",$E$2:$E$2000,"&lt;=1")-SUM(N$2:N7,$M2:M8)</f>
        <v>3</v>
      </c>
      <c r="O8" s="5" t="n">
        <f aca="false">COUNTIFS($J$2:$J$2000,"&lt;=17.5",$E$2:$E$2000,"&lt;=1.5")-SUM(O$2:O7,$M2:N8)</f>
        <v>9</v>
      </c>
      <c r="P8" s="5" t="n">
        <f aca="false">COUNTIFS($J$2:$J$2000,"&lt;=17.5",$E$2:$E$2000,"&lt;=2")-SUM(P$2:P7,$M2:O8)</f>
        <v>14</v>
      </c>
      <c r="Q8" s="5" t="n">
        <f aca="false">COUNTIFS($J$2:$J$2000,"&lt;=17.5",$E$2:$E$2000,"&lt;=2.5")-SUM(Q$2:Q7,$M2:P8)</f>
        <v>3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0</v>
      </c>
      <c r="T8" s="5" t="n">
        <f aca="false">COUNTIFS($J$2:$J$2000,"&lt;=17.5",$E$2:$E$2000,"&lt;=4")-SUM(T$2:T7,$M2:S8)</f>
        <v>0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36</v>
      </c>
    </row>
    <row r="9" customFormat="false" ht="15.8" hidden="false" customHeight="false" outlineLevel="0" collapsed="false">
      <c r="A9" s="1" t="n">
        <v>8</v>
      </c>
      <c r="B9" s="1" t="n">
        <v>44.1</v>
      </c>
      <c r="C9" s="1" t="n">
        <v>-62.5</v>
      </c>
      <c r="D9" s="1" t="n">
        <v>-7.8</v>
      </c>
      <c r="E9" s="2" t="n">
        <v>0.4</v>
      </c>
      <c r="F9" s="2" t="n">
        <v>14</v>
      </c>
      <c r="G9" s="2" t="n">
        <v>44</v>
      </c>
      <c r="H9" s="2" t="n">
        <v>-62.9</v>
      </c>
      <c r="I9" s="2" t="n">
        <v>-7.8</v>
      </c>
      <c r="J9" s="2" t="n">
        <v>16.40487074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5</v>
      </c>
      <c r="O9" s="5" t="n">
        <f aca="false">COUNTIFS($J$2:$J$2000,"&lt;=20",$E$2:$E$2000,"&lt;=1.5")-SUM(O$2:O8,$M2:N9)</f>
        <v>14</v>
      </c>
      <c r="P9" s="5" t="n">
        <f aca="false">COUNTIFS($J$2:$J$2000,"&lt;=20",$E$2:$E$2000,"&lt;=2")-SUM(P$2:P8,$M2:O9)</f>
        <v>12</v>
      </c>
      <c r="Q9" s="5" t="n">
        <f aca="false">COUNTIFS($J$2:$J$2000,"&lt;=20",$E$2:$E$2000,"&lt;=2.5")-SUM(Q$2:Q8,$M2:P9)</f>
        <v>5</v>
      </c>
      <c r="R9" s="5" t="n">
        <f aca="false">COUNTIFS($J$2:$J$2000,"&lt;=20",$E$2:$E$2000,"&lt;=3")-SUM(R$2:R8,$M2:Q9)</f>
        <v>0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36</v>
      </c>
    </row>
    <row r="10" customFormat="false" ht="15.8" hidden="false" customHeight="false" outlineLevel="0" collapsed="false">
      <c r="A10" s="1" t="n">
        <v>9</v>
      </c>
      <c r="B10" s="1" t="n">
        <v>41.9</v>
      </c>
      <c r="C10" s="1" t="n">
        <v>-63.2</v>
      </c>
      <c r="D10" s="1" t="n">
        <v>-8.1</v>
      </c>
      <c r="E10" s="2" t="n">
        <v>1</v>
      </c>
      <c r="F10" s="2" t="n">
        <v>7</v>
      </c>
      <c r="G10" s="2" t="n">
        <v>42.9</v>
      </c>
      <c r="H10" s="2" t="n">
        <v>-63</v>
      </c>
      <c r="I10" s="2" t="n">
        <v>-8.1</v>
      </c>
      <c r="J10" s="2" t="n">
        <v>18.15476202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2</v>
      </c>
      <c r="O10" s="5" t="n">
        <f aca="false">COUNTIFS($J$2:$J$2000,"&lt;=22.5",$E$2:$E$2000,"&lt;=1.5")-SUM(O$2:O9,$M2:N10)</f>
        <v>9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4</v>
      </c>
      <c r="R10" s="5" t="n">
        <f aca="false">COUNTIFS($J$2:$J$2000,"&lt;=22.5",$E$2:$E$2000,"&lt;=3")-SUM(R$2:R9,$M2:Q10)</f>
        <v>4</v>
      </c>
      <c r="S10" s="5" t="n">
        <f aca="false">COUNTIFS($J$2:$J$2000,"&lt;=22.5",$E$2:$E$2000,"&lt;=3.5")-SUM(S$2:S9,$M2:R10)</f>
        <v>0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24</v>
      </c>
    </row>
    <row r="11" customFormat="false" ht="15.8" hidden="false" customHeight="false" outlineLevel="0" collapsed="false">
      <c r="A11" s="1" t="n">
        <v>10</v>
      </c>
      <c r="B11" s="1" t="n">
        <v>42.4</v>
      </c>
      <c r="C11" s="1" t="n">
        <v>-61.6</v>
      </c>
      <c r="D11" s="1" t="n">
        <v>-8.5</v>
      </c>
      <c r="E11" s="2" t="n">
        <v>1.6</v>
      </c>
      <c r="F11" s="2" t="n">
        <v>7</v>
      </c>
      <c r="G11" s="2" t="n">
        <v>42.9</v>
      </c>
      <c r="H11" s="2" t="n">
        <v>-63</v>
      </c>
      <c r="I11" s="2" t="n">
        <v>-8.1</v>
      </c>
      <c r="J11" s="2" t="n">
        <v>16.55597125</v>
      </c>
      <c r="L11" s="3" t="n">
        <v>25</v>
      </c>
      <c r="M11" s="5" t="n">
        <f aca="false">COUNTIFS($J$2:$J$2000,"&lt;=25",$E$2:$E$2000,"&lt;=0.5")-SUM(M$2:M10)</f>
        <v>2</v>
      </c>
      <c r="N11" s="5" t="n">
        <f aca="false">COUNTIFS($J$2:$J$2000,"&lt;=25",$E$2:$E$2000,"&lt;=1")-SUM(N$2:N10,$M2:M11)</f>
        <v>3</v>
      </c>
      <c r="O11" s="5" t="n">
        <f aca="false">COUNTIFS($J$2:$J$2000,"&lt;=25",$E$2:$E$2000,"&lt;=1.5")-SUM(O$2:O10,$M2:N11)</f>
        <v>8</v>
      </c>
      <c r="P11" s="5" t="n">
        <f aca="false">COUNTIFS($J$2:$J$2000,"&lt;=25",$E$2:$E$2000,"&lt;=2")-SUM(P$2:P10,$M2:O11)</f>
        <v>4</v>
      </c>
      <c r="Q11" s="5" t="n">
        <f aca="false">COUNTIFS($J$2:$J$2000,"&lt;=25",$E$2:$E$2000,"&lt;=2.5")-SUM(Q$2:Q10,$M2:P11)</f>
        <v>6</v>
      </c>
      <c r="R11" s="5" t="n">
        <f aca="false">COUNTIFS($J$2:$J$2000,"&lt;=25",$E$2:$E$2000,"&lt;=3")-SUM(R$2:R10,$M2:Q11)</f>
        <v>6</v>
      </c>
      <c r="S11" s="5" t="n">
        <f aca="false">COUNTIFS($J$2:$J$2000,"&lt;=25",$E$2:$E$2000,"&lt;=3.5")-SUM(S$2:S10,$M2:R11)</f>
        <v>1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30</v>
      </c>
    </row>
    <row r="12" customFormat="false" ht="15.8" hidden="false" customHeight="false" outlineLevel="0" collapsed="false">
      <c r="A12" s="1" t="n">
        <v>11</v>
      </c>
      <c r="B12" s="1" t="n">
        <v>43.9</v>
      </c>
      <c r="C12" s="1" t="n">
        <v>-62.7</v>
      </c>
      <c r="D12" s="1" t="n">
        <v>-8.1</v>
      </c>
      <c r="E12" s="2" t="n">
        <v>0.4</v>
      </c>
      <c r="F12" s="2" t="n">
        <v>14</v>
      </c>
      <c r="G12" s="2" t="n">
        <v>44</v>
      </c>
      <c r="H12" s="2" t="n">
        <v>-62.9</v>
      </c>
      <c r="I12" s="2" t="n">
        <v>-7.8</v>
      </c>
      <c r="J12" s="2" t="n">
        <v>16.6013067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5</v>
      </c>
      <c r="O12" s="5" t="n">
        <f aca="false">COUNTIFS($J$2:$J$2000,"&lt;=27.5",$E$2:$E$2000,"&lt;=1.5")-SUM(O$2:O11,$M2:N12)</f>
        <v>16</v>
      </c>
      <c r="P12" s="5" t="n">
        <f aca="false">COUNTIFS($J$2:$J$2000,"&lt;=27.5",$E$2:$E$2000,"&lt;=2")-SUM(P$2:P11,$M2:O12)</f>
        <v>8</v>
      </c>
      <c r="Q12" s="5" t="n">
        <f aca="false">COUNTIFS($J$2:$J$2000,"&lt;=27.5",$E$2:$E$2000,"&lt;=2.5")-SUM(Q$2:Q11,$M2:P12)</f>
        <v>2</v>
      </c>
      <c r="R12" s="5" t="n">
        <f aca="false">COUNTIFS($J$2:$J$2000,"&lt;=27.5",$E$2:$E$2000,"&lt;=3")-SUM(R$2:R11,$M2:Q12)</f>
        <v>5</v>
      </c>
      <c r="S12" s="5" t="n">
        <f aca="false">COUNTIFS($J$2:$J$2000,"&lt;=27.5",$E$2:$E$2000,"&lt;=3.5")-SUM(S$2:S11,$M2:R12)</f>
        <v>0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37</v>
      </c>
    </row>
    <row r="13" customFormat="false" ht="15.8" hidden="false" customHeight="false" outlineLevel="0" collapsed="false">
      <c r="A13" s="1" t="n">
        <v>12</v>
      </c>
      <c r="B13" s="1" t="n">
        <v>40</v>
      </c>
      <c r="C13" s="1" t="n">
        <v>-64.2</v>
      </c>
      <c r="D13" s="1" t="n">
        <v>-6.3</v>
      </c>
      <c r="E13" s="2" t="n">
        <v>2.9</v>
      </c>
      <c r="F13" s="2" t="n">
        <v>9</v>
      </c>
      <c r="G13" s="2" t="n">
        <v>41.9</v>
      </c>
      <c r="H13" s="2" t="n">
        <v>-63.2</v>
      </c>
      <c r="I13" s="2" t="n">
        <v>-8.1</v>
      </c>
      <c r="J13" s="2" t="n">
        <v>20.52378581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14</v>
      </c>
      <c r="O13" s="5" t="n">
        <f aca="false">COUNTIFS($J$2:$J$2000,"&lt;=30",$E$2:$E$2000,"&lt;=1.5")-SUM(O$2:O12,$M2:N13)</f>
        <v>13</v>
      </c>
      <c r="P13" s="5" t="n">
        <f aca="false">COUNTIFS($J$2:$J$2000,"&lt;=30",$E$2:$E$2000,"&lt;=2")-SUM(P$2:P12,$M2:O13)</f>
        <v>9</v>
      </c>
      <c r="Q13" s="5" t="n">
        <f aca="false">COUNTIFS($J$2:$J$2000,"&lt;=30",$E$2:$E$2000,"&lt;=2.5")-SUM(Q$2:Q12,$M2:P13)</f>
        <v>3</v>
      </c>
      <c r="R13" s="5" t="n">
        <f aca="false">COUNTIFS($J$2:$J$2000,"&lt;=30",$E$2:$E$2000,"&lt;=3")-SUM(R$2:R12,$M2:Q13)</f>
        <v>1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43</v>
      </c>
    </row>
    <row r="14" customFormat="false" ht="15.8" hidden="false" customHeight="false" outlineLevel="0" collapsed="false">
      <c r="A14" s="1" t="n">
        <v>13</v>
      </c>
      <c r="B14" s="1" t="n">
        <v>43</v>
      </c>
      <c r="C14" s="1" t="n">
        <v>-63.6</v>
      </c>
      <c r="D14" s="1" t="n">
        <v>-7</v>
      </c>
      <c r="E14" s="2" t="n">
        <v>1.3</v>
      </c>
      <c r="F14" s="2" t="n">
        <v>7</v>
      </c>
      <c r="G14" s="2" t="n">
        <v>42.9</v>
      </c>
      <c r="H14" s="2" t="n">
        <v>-63</v>
      </c>
      <c r="I14" s="2" t="n">
        <v>-8.1</v>
      </c>
      <c r="J14" s="2" t="n">
        <v>18.0922023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4</v>
      </c>
      <c r="O14" s="5" t="n">
        <f aca="false">COUNTIFS($J$2:$J$2000,"&lt;=32.5",$E$2:$E$2000,"&lt;=1.5")-SUM(O$2:O13,$M2:N14)</f>
        <v>4</v>
      </c>
      <c r="P14" s="5" t="n">
        <f aca="false">COUNTIFS($J$2:$J$2000,"&lt;=32.5",$E$2:$E$2000,"&lt;=2")-SUM(P$2:P13,$M2:O14)</f>
        <v>7</v>
      </c>
      <c r="Q14" s="5" t="n">
        <f aca="false">COUNTIFS($J$2:$J$2000,"&lt;=32.5",$E$2:$E$2000,"&lt;=2.5")-SUM(Q$2:Q13,$M2:P14)</f>
        <v>4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1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21</v>
      </c>
    </row>
    <row r="15" customFormat="false" ht="15.8" hidden="false" customHeight="false" outlineLevel="0" collapsed="false">
      <c r="A15" s="1" t="n">
        <v>14</v>
      </c>
      <c r="B15" s="1" t="n">
        <v>44</v>
      </c>
      <c r="C15" s="1" t="n">
        <v>-62.9</v>
      </c>
      <c r="D15" s="1" t="n">
        <v>-7.8</v>
      </c>
      <c r="E15" s="2" t="n">
        <v>0.4</v>
      </c>
      <c r="F15" s="2" t="n">
        <v>8</v>
      </c>
      <c r="G15" s="2" t="n">
        <v>44.1</v>
      </c>
      <c r="H15" s="2" t="n">
        <v>-62.5</v>
      </c>
      <c r="I15" s="2" t="n">
        <v>-7.8</v>
      </c>
      <c r="J15" s="2" t="n">
        <v>16.7802677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4</v>
      </c>
      <c r="O15" s="5" t="n">
        <f aca="false">COUNTIFS($J$2:$J$2000,"&lt;=35",$E$2:$E$2000,"&lt;=1.5")-SUM(O$2:O14,$M2:N15)</f>
        <v>4</v>
      </c>
      <c r="P15" s="5" t="n">
        <f aca="false">COUNTIFS($J$2:$J$2000,"&lt;=35",$E$2:$E$2000,"&lt;=2")-SUM(P$2:P14,$M2:O15)</f>
        <v>2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12</v>
      </c>
      <c r="Y15" s="3"/>
    </row>
    <row r="16" customFormat="false" ht="15.8" hidden="false" customHeight="false" outlineLevel="0" collapsed="false">
      <c r="A16" s="1" t="n">
        <v>15</v>
      </c>
      <c r="B16" s="1" t="n">
        <v>47</v>
      </c>
      <c r="C16" s="1" t="n">
        <v>-64.1</v>
      </c>
      <c r="D16" s="1" t="n">
        <v>-7.8</v>
      </c>
      <c r="E16" s="2" t="n">
        <v>1.5</v>
      </c>
      <c r="F16" s="2" t="n">
        <v>16</v>
      </c>
      <c r="G16" s="2" t="n">
        <v>46.7</v>
      </c>
      <c r="H16" s="2" t="n">
        <v>-62.8</v>
      </c>
      <c r="I16" s="2" t="n">
        <v>-8.5</v>
      </c>
      <c r="J16" s="2" t="n">
        <v>16.4464885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2</v>
      </c>
      <c r="O16" s="5" t="n">
        <f aca="false">COUNTIFS($J$2:$J$2000,"&lt;=37.5",$E$2:$E$2000,"&lt;=1.5")-SUM(O$2:O15,$M2:N16)</f>
        <v>2</v>
      </c>
      <c r="P16" s="5" t="n">
        <f aca="false">COUNTIFS($J$2:$J$2000,"&lt;=37.5",$E$2:$E$2000,"&lt;=2")-SUM(P$2:P15,$M2:O16)</f>
        <v>4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1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1</v>
      </c>
      <c r="X16" s="0" t="n">
        <f aca="false">SUM(M16:W16)</f>
        <v>11</v>
      </c>
    </row>
    <row r="17" customFormat="false" ht="15.8" hidden="false" customHeight="false" outlineLevel="0" collapsed="false">
      <c r="A17" s="1" t="n">
        <v>16</v>
      </c>
      <c r="B17" s="1" t="n">
        <v>46.7</v>
      </c>
      <c r="C17" s="1" t="n">
        <v>-62.8</v>
      </c>
      <c r="D17" s="1" t="n">
        <v>-8.5</v>
      </c>
      <c r="E17" s="2" t="n">
        <v>1.5</v>
      </c>
      <c r="F17" s="2" t="n">
        <v>15</v>
      </c>
      <c r="G17" s="2" t="n">
        <v>47</v>
      </c>
      <c r="H17" s="2" t="n">
        <v>-64.1</v>
      </c>
      <c r="I17" s="2" t="n">
        <v>-7.8</v>
      </c>
      <c r="J17" s="2" t="n">
        <v>15.23858865</v>
      </c>
      <c r="L17" s="3" t="n">
        <v>40</v>
      </c>
      <c r="M17" s="5" t="n">
        <f aca="false">COUNTIFS($J$2:$J$2000,"&lt;=40",$E$2:$E$2000,"&lt;=0.5")-SUM(M$2:M16)</f>
        <v>4</v>
      </c>
      <c r="N17" s="5" t="n">
        <f aca="false">COUNTIFS($J$2:$J$2000,"&lt;=40",$E$2:$E$2000,"&lt;=1")-SUM(N$2:N16,$M2:M17)</f>
        <v>4</v>
      </c>
      <c r="O17" s="5" t="n">
        <f aca="false">COUNTIFS($J$2:$J$2000,"&lt;=40",$E$2:$E$2000,"&lt;=1.5")-SUM(O$2:O16,$M2:N17)</f>
        <v>3</v>
      </c>
      <c r="P17" s="5" t="n">
        <f aca="false">COUNTIFS($J$2:$J$2000,"&lt;=40",$E$2:$E$2000,"&lt;=2")-SUM(P$2:P16,$M2:O17)</f>
        <v>2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13</v>
      </c>
    </row>
    <row r="18" customFormat="false" ht="15.8" hidden="false" customHeight="false" outlineLevel="0" collapsed="false">
      <c r="A18" s="1" t="n">
        <v>17</v>
      </c>
      <c r="B18" s="1" t="n">
        <v>50.1</v>
      </c>
      <c r="C18" s="1" t="n">
        <v>-57.5</v>
      </c>
      <c r="D18" s="1" t="n">
        <v>-13.3</v>
      </c>
      <c r="E18" s="2" t="n">
        <v>1</v>
      </c>
      <c r="F18" s="2" t="n">
        <v>18</v>
      </c>
      <c r="G18" s="2" t="n">
        <v>51</v>
      </c>
      <c r="H18" s="2" t="n">
        <v>-57.2</v>
      </c>
      <c r="I18" s="2" t="n">
        <v>-12.9</v>
      </c>
      <c r="J18" s="2" t="n">
        <v>8.738294113</v>
      </c>
      <c r="L18" s="3" t="n">
        <v>42.5</v>
      </c>
      <c r="M18" s="5" t="n">
        <f aca="false">COUNTIFS($J$2:$J$2000,"&lt;=42.5",$E$2:$E$2000,"&lt;=0.5")-SUM(M$2:M17)</f>
        <v>1</v>
      </c>
      <c r="N18" s="5" t="n">
        <f aca="false">COUNTIFS($J$2:$J$2000,"&lt;=42.5",$E$2:$E$2000,"&lt;=1")-SUM(N$2:N17,$M2:M18)</f>
        <v>6</v>
      </c>
      <c r="O18" s="5" t="n">
        <f aca="false">COUNTIFS($J$2:$J$2000,"&lt;=42.5",$E$2:$E$2000,"&lt;=1.5")-SUM(O$2:O17,$M2:N18)</f>
        <v>2</v>
      </c>
      <c r="P18" s="5" t="n">
        <f aca="false">COUNTIFS($J$2:$J$2000,"&lt;=42.5",$E$2:$E$2000,"&lt;=2")-SUM(P$2:P17,$M2:O18)</f>
        <v>1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11</v>
      </c>
    </row>
    <row r="19" customFormat="false" ht="15.8" hidden="false" customHeight="false" outlineLevel="0" collapsed="false">
      <c r="A19" s="1" t="n">
        <v>18</v>
      </c>
      <c r="B19" s="1" t="n">
        <v>51</v>
      </c>
      <c r="C19" s="1" t="n">
        <v>-57.2</v>
      </c>
      <c r="D19" s="1" t="n">
        <v>-12.9</v>
      </c>
      <c r="E19" s="2" t="n">
        <v>0.9</v>
      </c>
      <c r="F19" s="2" t="n">
        <v>19</v>
      </c>
      <c r="G19" s="2" t="n">
        <v>51.1</v>
      </c>
      <c r="H19" s="2" t="n">
        <v>-58</v>
      </c>
      <c r="I19" s="2" t="n">
        <v>-12.6</v>
      </c>
      <c r="J19" s="2" t="n">
        <v>8.139298741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51.1</v>
      </c>
      <c r="C20" s="1" t="n">
        <v>-58</v>
      </c>
      <c r="D20" s="1" t="n">
        <v>-12.6</v>
      </c>
      <c r="E20" s="2" t="n">
        <v>0.9</v>
      </c>
      <c r="F20" s="2" t="n">
        <v>18</v>
      </c>
      <c r="G20" s="2" t="n">
        <v>51</v>
      </c>
      <c r="H20" s="2" t="n">
        <v>-57.2</v>
      </c>
      <c r="I20" s="2" t="n">
        <v>-12.9</v>
      </c>
      <c r="J20" s="2" t="n">
        <v>8.863576253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49.1</v>
      </c>
      <c r="C21" s="1" t="n">
        <v>-58.9</v>
      </c>
      <c r="D21" s="1" t="n">
        <v>-12.2</v>
      </c>
      <c r="E21" s="2" t="n">
        <v>2.1</v>
      </c>
      <c r="F21" s="2" t="n">
        <v>17</v>
      </c>
      <c r="G21" s="2" t="n">
        <v>50.1</v>
      </c>
      <c r="H21" s="2" t="n">
        <v>-57.5</v>
      </c>
      <c r="I21" s="2" t="n">
        <v>-13.3</v>
      </c>
      <c r="J21" s="2" t="n">
        <v>10.30420225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45.1</v>
      </c>
      <c r="C22" s="1" t="n">
        <v>-60.6</v>
      </c>
      <c r="D22" s="1" t="n">
        <v>-9.6</v>
      </c>
      <c r="E22" s="2" t="n">
        <v>2.8</v>
      </c>
      <c r="F22" s="2" t="n">
        <v>11</v>
      </c>
      <c r="G22" s="2" t="n">
        <v>43.9</v>
      </c>
      <c r="H22" s="2" t="n">
        <v>-62.7</v>
      </c>
      <c r="I22" s="2" t="n">
        <v>-8.1</v>
      </c>
      <c r="J22" s="2" t="n">
        <v>13.93742387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50.7</v>
      </c>
      <c r="C23" s="1" t="n">
        <v>-58</v>
      </c>
      <c r="D23" s="1" t="n">
        <v>-9.2</v>
      </c>
      <c r="E23" s="2" t="n">
        <v>2.3</v>
      </c>
      <c r="F23" s="2" t="n">
        <v>52</v>
      </c>
      <c r="G23" s="2" t="n">
        <v>51.6</v>
      </c>
      <c r="H23" s="2" t="n">
        <v>-56.9</v>
      </c>
      <c r="I23" s="2" t="n">
        <v>-7.4</v>
      </c>
      <c r="J23" s="2" t="n">
        <v>9.35451677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50</v>
      </c>
      <c r="C24" s="1" t="n">
        <v>-67.3</v>
      </c>
      <c r="D24" s="1" t="n">
        <v>-4.8</v>
      </c>
      <c r="E24" s="2" t="n">
        <v>0.6</v>
      </c>
      <c r="F24" s="2" t="n">
        <v>24</v>
      </c>
      <c r="G24" s="2" t="n">
        <v>49.4</v>
      </c>
      <c r="H24" s="2" t="n">
        <v>-67.3</v>
      </c>
      <c r="I24" s="2" t="n">
        <v>-4.8</v>
      </c>
      <c r="J24" s="2" t="n">
        <v>19.54534686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49.4</v>
      </c>
      <c r="C25" s="1" t="n">
        <v>-67.3</v>
      </c>
      <c r="D25" s="1" t="n">
        <v>-4.8</v>
      </c>
      <c r="E25" s="2" t="n">
        <v>0.6</v>
      </c>
      <c r="F25" s="2" t="n">
        <v>23</v>
      </c>
      <c r="G25" s="2" t="n">
        <v>50</v>
      </c>
      <c r="H25" s="2" t="n">
        <v>-67.3</v>
      </c>
      <c r="I25" s="2" t="n">
        <v>-4.8</v>
      </c>
      <c r="J25" s="2" t="n">
        <v>19.64644965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49.3</v>
      </c>
      <c r="C26" s="1" t="n">
        <v>-64.9</v>
      </c>
      <c r="D26" s="1" t="n">
        <v>-8.5</v>
      </c>
      <c r="E26" s="2" t="n">
        <v>2.5</v>
      </c>
      <c r="F26" s="2" t="n">
        <v>15</v>
      </c>
      <c r="G26" s="2" t="n">
        <v>47</v>
      </c>
      <c r="H26" s="2" t="n">
        <v>-64.1</v>
      </c>
      <c r="I26" s="2" t="n">
        <v>-7.8</v>
      </c>
      <c r="J26" s="2" t="n">
        <v>16.34126629</v>
      </c>
      <c r="L26" s="3"/>
    </row>
    <row r="27" customFormat="false" ht="15.8" hidden="false" customHeight="false" outlineLevel="0" collapsed="false">
      <c r="A27" s="1" t="n">
        <v>26</v>
      </c>
      <c r="B27" s="1" t="n">
        <v>52.5</v>
      </c>
      <c r="C27" s="1" t="n">
        <v>-65.2</v>
      </c>
      <c r="D27" s="1" t="n">
        <v>-8.9</v>
      </c>
      <c r="E27" s="2" t="n">
        <v>0.7</v>
      </c>
      <c r="F27" s="2" t="n">
        <v>27</v>
      </c>
      <c r="G27" s="2" t="n">
        <v>52.6</v>
      </c>
      <c r="H27" s="2" t="n">
        <v>-64.6</v>
      </c>
      <c r="I27" s="2" t="n">
        <v>-8.5</v>
      </c>
      <c r="J27" s="2" t="n">
        <v>16.1363002</v>
      </c>
      <c r="L27" s="3"/>
    </row>
    <row r="28" customFormat="false" ht="15.8" hidden="false" customHeight="false" outlineLevel="0" collapsed="false">
      <c r="A28" s="1" t="n">
        <v>27</v>
      </c>
      <c r="B28" s="1" t="n">
        <v>52.6</v>
      </c>
      <c r="C28" s="1" t="n">
        <v>-64.6</v>
      </c>
      <c r="D28" s="1" t="n">
        <v>-8.5</v>
      </c>
      <c r="E28" s="2" t="n">
        <v>0.7</v>
      </c>
      <c r="F28" s="2" t="n">
        <v>26</v>
      </c>
      <c r="G28" s="2" t="n">
        <v>52.5</v>
      </c>
      <c r="H28" s="2" t="n">
        <v>-65.2</v>
      </c>
      <c r="I28" s="2" t="n">
        <v>-8.9</v>
      </c>
      <c r="J28" s="2" t="n">
        <v>15.62892779</v>
      </c>
    </row>
    <row r="29" customFormat="false" ht="15.8" hidden="false" customHeight="false" outlineLevel="0" collapsed="false">
      <c r="A29" s="1" t="n">
        <v>28</v>
      </c>
      <c r="B29" s="1" t="n">
        <v>53.3</v>
      </c>
      <c r="C29" s="1" t="n">
        <v>-56.2</v>
      </c>
      <c r="D29" s="1" t="n">
        <v>-9.2</v>
      </c>
      <c r="E29" s="2" t="n">
        <v>1.2</v>
      </c>
      <c r="F29" s="2" t="n">
        <v>29</v>
      </c>
      <c r="G29" s="2" t="n">
        <v>54.5</v>
      </c>
      <c r="H29" s="2" t="n">
        <v>-55.9</v>
      </c>
      <c r="I29" s="2" t="n">
        <v>-9.2</v>
      </c>
      <c r="J29" s="2" t="n">
        <v>7.379307827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54.5</v>
      </c>
      <c r="C30" s="1" t="n">
        <v>-55.9</v>
      </c>
      <c r="D30" s="1" t="n">
        <v>-9.2</v>
      </c>
      <c r="E30" s="2" t="n">
        <v>1.2</v>
      </c>
      <c r="F30" s="2" t="n">
        <v>28</v>
      </c>
      <c r="G30" s="2" t="n">
        <v>53.3</v>
      </c>
      <c r="H30" s="2" t="n">
        <v>-56.2</v>
      </c>
      <c r="I30" s="2" t="n">
        <v>-9.2</v>
      </c>
      <c r="J30" s="2" t="n">
        <v>7.252515701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49.1</v>
      </c>
      <c r="C31" s="1" t="n">
        <v>-56.9</v>
      </c>
      <c r="D31" s="1" t="n">
        <v>-7.8</v>
      </c>
      <c r="E31" s="2" t="n">
        <v>0.4</v>
      </c>
      <c r="F31" s="2" t="n">
        <v>33</v>
      </c>
      <c r="G31" s="2" t="n">
        <v>48.9</v>
      </c>
      <c r="H31" s="2" t="n">
        <v>-57.2</v>
      </c>
      <c r="I31" s="2" t="n">
        <v>-7.8</v>
      </c>
      <c r="J31" s="2" t="n">
        <v>9.452988099</v>
      </c>
      <c r="L31" s="8" t="n">
        <v>5</v>
      </c>
      <c r="M31" s="7" t="e">
        <f aca="false">M3/(SUM($M3:$W3))*100</f>
        <v>#DIV/0!</v>
      </c>
      <c r="N31" s="7" t="e">
        <f aca="false">N3/(SUM($M3:$W3))*100</f>
        <v>#DIV/0!</v>
      </c>
      <c r="O31" s="7" t="e">
        <f aca="false">O3/(SUM($M3:$W3))*100</f>
        <v>#DIV/0!</v>
      </c>
      <c r="P31" s="7" t="e">
        <f aca="false">P3/(SUM($M3:$W3))*100</f>
        <v>#DIV/0!</v>
      </c>
      <c r="Q31" s="7" t="e">
        <f aca="false">Q3/(SUM($M3:$W3))*100</f>
        <v>#DIV/0!</v>
      </c>
      <c r="R31" s="7" t="e">
        <f aca="false">R3/(SUM($M3:$W3))*100</f>
        <v>#DIV/0!</v>
      </c>
      <c r="S31" s="7" t="e">
        <f aca="false">S3/(SUM($M3:$W3))*100</f>
        <v>#DIV/0!</v>
      </c>
      <c r="T31" s="7" t="e">
        <f aca="false">T3/(SUM($M3:$W3))*100</f>
        <v>#DIV/0!</v>
      </c>
      <c r="U31" s="7" t="e">
        <f aca="false">U3/(SUM($M3:$W3))*100</f>
        <v>#DIV/0!</v>
      </c>
      <c r="V31" s="7" t="e">
        <f aca="false">V3/(SUM($M3:$W3))*100</f>
        <v>#DIV/0!</v>
      </c>
      <c r="W31" s="7" t="e">
        <f aca="false">W3/(SUM($M3:$W3))*100</f>
        <v>#DIV/0!</v>
      </c>
      <c r="X31" s="7" t="e">
        <f aca="false">SUM(M31:W31)</f>
        <v>#DIV/0!</v>
      </c>
    </row>
    <row r="32" customFormat="false" ht="15.8" hidden="false" customHeight="false" outlineLevel="0" collapsed="false">
      <c r="A32" s="1" t="n">
        <v>31</v>
      </c>
      <c r="B32" s="1" t="n">
        <v>47</v>
      </c>
      <c r="C32" s="1" t="n">
        <v>-58.5</v>
      </c>
      <c r="D32" s="1" t="n">
        <v>-7.8</v>
      </c>
      <c r="E32" s="2" t="n">
        <v>1</v>
      </c>
      <c r="F32" s="2" t="n">
        <v>34</v>
      </c>
      <c r="G32" s="2" t="n">
        <v>46.6</v>
      </c>
      <c r="H32" s="2" t="n">
        <v>-58</v>
      </c>
      <c r="I32" s="2" t="n">
        <v>-7</v>
      </c>
      <c r="J32" s="2" t="n">
        <v>11.6972725</v>
      </c>
      <c r="L32" s="8" t="n">
        <v>7.5</v>
      </c>
      <c r="M32" s="7" t="n">
        <f aca="false">M4/(SUM($M4:$W4))*100</f>
        <v>12.5</v>
      </c>
      <c r="N32" s="7" t="n">
        <f aca="false">N4/(SUM($M4:$W4))*100</f>
        <v>12.5</v>
      </c>
      <c r="O32" s="7" t="n">
        <f aca="false">O4/(SUM($M4:$W4))*100</f>
        <v>37.5</v>
      </c>
      <c r="P32" s="7" t="n">
        <f aca="false">P4/(SUM($M4:$W4))*100</f>
        <v>6.25</v>
      </c>
      <c r="Q32" s="7" t="n">
        <f aca="false">Q4/(SUM($M4:$W4))*100</f>
        <v>0</v>
      </c>
      <c r="R32" s="7" t="n">
        <f aca="false">R4/(SUM($M4:$W4))*100</f>
        <v>18.75</v>
      </c>
      <c r="S32" s="7" t="n">
        <f aca="false">S4/(SUM($M4:$W4))*100</f>
        <v>6.25</v>
      </c>
      <c r="T32" s="7" t="n">
        <f aca="false">T4/(SUM($M4:$W4))*100</f>
        <v>0</v>
      </c>
      <c r="U32" s="7" t="n">
        <f aca="false">U4/(SUM($M4:$W4))*100</f>
        <v>6.25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48.8</v>
      </c>
      <c r="C33" s="1" t="n">
        <v>-58.1</v>
      </c>
      <c r="D33" s="1" t="n">
        <v>-7.8</v>
      </c>
      <c r="E33" s="2" t="n">
        <v>0.9</v>
      </c>
      <c r="F33" s="2" t="n">
        <v>33</v>
      </c>
      <c r="G33" s="2" t="n">
        <v>48.9</v>
      </c>
      <c r="H33" s="2" t="n">
        <v>-57.2</v>
      </c>
      <c r="I33" s="2" t="n">
        <v>-7.8</v>
      </c>
      <c r="J33" s="2" t="n">
        <v>10.55043999</v>
      </c>
      <c r="L33" s="8" t="n">
        <v>10</v>
      </c>
      <c r="M33" s="7" t="n">
        <f aca="false">M5/(SUM($M5:$W5))*100</f>
        <v>8.88888888888889</v>
      </c>
      <c r="N33" s="7" t="n">
        <f aca="false">N5/(SUM($M5:$W5))*100</f>
        <v>28.8888888888889</v>
      </c>
      <c r="O33" s="7" t="n">
        <f aca="false">O5/(SUM($M5:$W5))*100</f>
        <v>28.8888888888889</v>
      </c>
      <c r="P33" s="7" t="n">
        <f aca="false">P5/(SUM($M5:$W5))*100</f>
        <v>13.3333333333333</v>
      </c>
      <c r="Q33" s="7" t="n">
        <f aca="false">Q5/(SUM($M5:$W5))*100</f>
        <v>13.3333333333333</v>
      </c>
      <c r="R33" s="7" t="n">
        <f aca="false">R5/(SUM($M5:$W5))*100</f>
        <v>2.22222222222222</v>
      </c>
      <c r="S33" s="7" t="n">
        <f aca="false">S5/(SUM($M5:$W5))*100</f>
        <v>0</v>
      </c>
      <c r="T33" s="7" t="n">
        <f aca="false">T5/(SUM($M5:$W5))*100</f>
        <v>2.22222222222222</v>
      </c>
      <c r="U33" s="7" t="n">
        <f aca="false">U5/(SUM($M5:$W5))*100</f>
        <v>0</v>
      </c>
      <c r="V33" s="7" t="n">
        <f aca="false">V5/(SUM($M5:$W5))*100</f>
        <v>2.22222222222222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48.9</v>
      </c>
      <c r="C34" s="1" t="n">
        <v>-57.2</v>
      </c>
      <c r="D34" s="1" t="n">
        <v>-7.8</v>
      </c>
      <c r="E34" s="2" t="n">
        <v>0.4</v>
      </c>
      <c r="F34" s="2" t="n">
        <v>30</v>
      </c>
      <c r="G34" s="2" t="n">
        <v>49.1</v>
      </c>
      <c r="H34" s="2" t="n">
        <v>-56.9</v>
      </c>
      <c r="I34" s="2" t="n">
        <v>-7.8</v>
      </c>
      <c r="J34" s="2" t="n">
        <v>9.776000409</v>
      </c>
      <c r="L34" s="8" t="n">
        <v>12.5</v>
      </c>
      <c r="M34" s="7" t="n">
        <f aca="false">M6/(SUM($M6:$W6))*100</f>
        <v>0</v>
      </c>
      <c r="N34" s="7" t="n">
        <f aca="false">N6/(SUM($M6:$W6))*100</f>
        <v>38.4615384615385</v>
      </c>
      <c r="O34" s="7" t="n">
        <f aca="false">O6/(SUM($M6:$W6))*100</f>
        <v>20.5128205128205</v>
      </c>
      <c r="P34" s="7" t="n">
        <f aca="false">P6/(SUM($M6:$W6))*100</f>
        <v>20.5128205128205</v>
      </c>
      <c r="Q34" s="7" t="n">
        <f aca="false">Q6/(SUM($M6:$W6))*100</f>
        <v>12.8205128205128</v>
      </c>
      <c r="R34" s="7" t="n">
        <f aca="false">R6/(SUM($M6:$W6))*100</f>
        <v>5.12820512820513</v>
      </c>
      <c r="S34" s="7" t="n">
        <f aca="false">S6/(SUM($M6:$W6))*100</f>
        <v>2.56410256410256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46.6</v>
      </c>
      <c r="C35" s="1" t="n">
        <v>-58</v>
      </c>
      <c r="D35" s="1" t="n">
        <v>-7</v>
      </c>
      <c r="E35" s="2" t="n">
        <v>1</v>
      </c>
      <c r="F35" s="2" t="n">
        <v>31</v>
      </c>
      <c r="G35" s="2" t="n">
        <v>47</v>
      </c>
      <c r="H35" s="2" t="n">
        <v>-58.5</v>
      </c>
      <c r="I35" s="2" t="n">
        <v>-7.8</v>
      </c>
      <c r="J35" s="2" t="n">
        <v>11.84113947</v>
      </c>
      <c r="L35" s="8" t="n">
        <v>15</v>
      </c>
      <c r="M35" s="7" t="n">
        <f aca="false">M7/(SUM($M7:$W7))*100</f>
        <v>5.88235294117647</v>
      </c>
      <c r="N35" s="7" t="n">
        <f aca="false">N7/(SUM($M7:$W7))*100</f>
        <v>26.4705882352941</v>
      </c>
      <c r="O35" s="7" t="n">
        <f aca="false">O7/(SUM($M7:$W7))*100</f>
        <v>26.4705882352941</v>
      </c>
      <c r="P35" s="7" t="n">
        <f aca="false">P7/(SUM($M7:$W7))*100</f>
        <v>11.7647058823529</v>
      </c>
      <c r="Q35" s="7" t="n">
        <f aca="false">Q7/(SUM($M7:$W7))*100</f>
        <v>14.7058823529412</v>
      </c>
      <c r="R35" s="7" t="n">
        <f aca="false">R7/(SUM($M7:$W7))*100</f>
        <v>5.88235294117647</v>
      </c>
      <c r="S35" s="7" t="n">
        <f aca="false">S7/(SUM($M7:$W7))*100</f>
        <v>2.94117647058823</v>
      </c>
      <c r="T35" s="7" t="n">
        <f aca="false">T7/(SUM($M7:$W7))*100</f>
        <v>2.94117647058823</v>
      </c>
      <c r="U35" s="7" t="n">
        <f aca="false">U7/(SUM($M7:$W7))*100</f>
        <v>2.94117647058823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46.5</v>
      </c>
      <c r="C36" s="1" t="n">
        <v>-56.6</v>
      </c>
      <c r="D36" s="1" t="n">
        <v>-6.7</v>
      </c>
      <c r="E36" s="2" t="n">
        <v>1</v>
      </c>
      <c r="F36" s="2" t="n">
        <v>36</v>
      </c>
      <c r="G36" s="2" t="n">
        <v>47.5</v>
      </c>
      <c r="H36" s="2" t="n">
        <v>-56.2</v>
      </c>
      <c r="I36" s="2" t="n">
        <v>-6.7</v>
      </c>
      <c r="J36" s="2" t="n">
        <v>11.06158144</v>
      </c>
      <c r="L36" s="8" t="n">
        <v>17.5</v>
      </c>
      <c r="M36" s="7" t="n">
        <f aca="false">M8/(SUM($M8:$W8))*100</f>
        <v>8.33333333333333</v>
      </c>
      <c r="N36" s="7" t="n">
        <f aca="false">N8/(SUM($M8:$W8))*100</f>
        <v>8.33333333333333</v>
      </c>
      <c r="O36" s="7" t="n">
        <f aca="false">O8/(SUM($M8:$W8))*100</f>
        <v>25</v>
      </c>
      <c r="P36" s="7" t="n">
        <f aca="false">P8/(SUM($M8:$W8))*100</f>
        <v>38.8888888888889</v>
      </c>
      <c r="Q36" s="7" t="n">
        <f aca="false">Q8/(SUM($M8:$W8))*100</f>
        <v>8.33333333333333</v>
      </c>
      <c r="R36" s="7" t="n">
        <f aca="false">R8/(SUM($M8:$W8))*100</f>
        <v>8.33333333333333</v>
      </c>
      <c r="S36" s="7" t="n">
        <f aca="false">S8/(SUM($M8:$W8))*100</f>
        <v>0</v>
      </c>
      <c r="T36" s="7" t="n">
        <f aca="false">T8/(SUM($M8:$W8))*100</f>
        <v>0</v>
      </c>
      <c r="U36" s="7" t="n">
        <f aca="false">U8/(SUM($M8:$W8))*100</f>
        <v>2.77777777777778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47.5</v>
      </c>
      <c r="C37" s="1" t="n">
        <v>-56.2</v>
      </c>
      <c r="D37" s="1" t="n">
        <v>-6.7</v>
      </c>
      <c r="E37" s="2" t="n">
        <v>1</v>
      </c>
      <c r="F37" s="2" t="n">
        <v>35</v>
      </c>
      <c r="G37" s="2" t="n">
        <v>46.5</v>
      </c>
      <c r="H37" s="2" t="n">
        <v>-56.6</v>
      </c>
      <c r="I37" s="2" t="n">
        <v>-6.7</v>
      </c>
      <c r="J37" s="2" t="n">
        <v>10.23363982</v>
      </c>
      <c r="L37" s="8" t="n">
        <v>20</v>
      </c>
      <c r="M37" s="7" t="n">
        <f aca="false">M9/(SUM($M9:$W9))*100</f>
        <v>0</v>
      </c>
      <c r="N37" s="7" t="n">
        <f aca="false">N9/(SUM($M9:$W9))*100</f>
        <v>13.8888888888889</v>
      </c>
      <c r="O37" s="7" t="n">
        <f aca="false">O9/(SUM($M9:$W9))*100</f>
        <v>38.8888888888889</v>
      </c>
      <c r="P37" s="7" t="n">
        <f aca="false">P9/(SUM($M9:$W9))*100</f>
        <v>33.3333333333333</v>
      </c>
      <c r="Q37" s="7" t="n">
        <f aca="false">Q9/(SUM($M9:$W9))*100</f>
        <v>13.8888888888889</v>
      </c>
      <c r="R37" s="7" t="n">
        <f aca="false">R9/(SUM($M9:$W9))*100</f>
        <v>0</v>
      </c>
      <c r="S37" s="7" t="n">
        <f aca="false">S9/(SUM($M9:$W9))*100</f>
        <v>0</v>
      </c>
      <c r="T37" s="7" t="n">
        <f aca="false">T9/(SUM($M9:$W9))*100</f>
        <v>0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48.6</v>
      </c>
      <c r="C38" s="1" t="n">
        <v>-55.6</v>
      </c>
      <c r="D38" s="1" t="n">
        <v>-7</v>
      </c>
      <c r="E38" s="2" t="n">
        <v>1.3</v>
      </c>
      <c r="F38" s="2" t="n">
        <v>36</v>
      </c>
      <c r="G38" s="2" t="n">
        <v>47.5</v>
      </c>
      <c r="H38" s="2" t="n">
        <v>-56.2</v>
      </c>
      <c r="I38" s="2" t="n">
        <v>-6.7</v>
      </c>
      <c r="J38" s="2" t="n">
        <v>9.106117943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8.33333333333333</v>
      </c>
      <c r="O38" s="7" t="n">
        <f aca="false">O10/(SUM($M10:$W10))*100</f>
        <v>37.5</v>
      </c>
      <c r="P38" s="7" t="n">
        <f aca="false">P10/(SUM($M10:$W10))*100</f>
        <v>20.8333333333333</v>
      </c>
      <c r="Q38" s="7" t="n">
        <f aca="false">Q10/(SUM($M10:$W10))*100</f>
        <v>16.6666666666667</v>
      </c>
      <c r="R38" s="7" t="n">
        <f aca="false">R10/(SUM($M10:$W10))*100</f>
        <v>16.6666666666667</v>
      </c>
      <c r="S38" s="7" t="n">
        <f aca="false">S10/(SUM($M10:$W10))*100</f>
        <v>0</v>
      </c>
      <c r="T38" s="7" t="n">
        <f aca="false">T10/(SUM($M10:$W10))*100</f>
        <v>0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37.6</v>
      </c>
      <c r="C39" s="1" t="n">
        <v>-58.3</v>
      </c>
      <c r="D39" s="1" t="n">
        <v>-2.6</v>
      </c>
      <c r="E39" s="2" t="n">
        <v>1.6</v>
      </c>
      <c r="F39" s="2" t="n">
        <v>208</v>
      </c>
      <c r="G39" s="2" t="n">
        <v>37.7</v>
      </c>
      <c r="H39" s="2" t="n">
        <v>-59.9</v>
      </c>
      <c r="I39" s="2" t="n">
        <v>-2.2</v>
      </c>
      <c r="J39" s="2" t="n">
        <v>20.11957713</v>
      </c>
      <c r="L39" s="8" t="n">
        <v>25</v>
      </c>
      <c r="M39" s="7" t="n">
        <f aca="false">M11/(SUM($M11:$W11))*100</f>
        <v>6.66666666666667</v>
      </c>
      <c r="N39" s="7" t="n">
        <f aca="false">N11/(SUM($M11:$W11))*100</f>
        <v>10</v>
      </c>
      <c r="O39" s="7" t="n">
        <f aca="false">O11/(SUM($M11:$W11))*100</f>
        <v>26.6666666666667</v>
      </c>
      <c r="P39" s="7" t="n">
        <f aca="false">P11/(SUM($M11:$W11))*100</f>
        <v>13.3333333333333</v>
      </c>
      <c r="Q39" s="7" t="n">
        <f aca="false">Q11/(SUM($M11:$W11))*100</f>
        <v>20</v>
      </c>
      <c r="R39" s="7" t="n">
        <f aca="false">R11/(SUM($M11:$W11))*100</f>
        <v>20</v>
      </c>
      <c r="S39" s="7" t="n">
        <f aca="false">S11/(SUM($M11:$W11))*100</f>
        <v>3.33333333333333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41.4</v>
      </c>
      <c r="C40" s="1" t="n">
        <v>-60.2</v>
      </c>
      <c r="D40" s="1" t="n">
        <v>-1.5</v>
      </c>
      <c r="E40" s="2" t="n">
        <v>1.8</v>
      </c>
      <c r="F40" s="2" t="n">
        <v>40</v>
      </c>
      <c r="G40" s="2" t="n">
        <v>42</v>
      </c>
      <c r="H40" s="2" t="n">
        <v>-58.5</v>
      </c>
      <c r="I40" s="2" t="n">
        <v>-1.5</v>
      </c>
      <c r="J40" s="2" t="n">
        <v>19.01475701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13.5135135135135</v>
      </c>
      <c r="O40" s="7" t="n">
        <f aca="false">O12/(SUM($M12:$W12))*100</f>
        <v>43.2432432432432</v>
      </c>
      <c r="P40" s="7" t="n">
        <f aca="false">P12/(SUM($M12:$W12))*100</f>
        <v>21.6216216216216</v>
      </c>
      <c r="Q40" s="7" t="n">
        <f aca="false">Q12/(SUM($M12:$W12))*100</f>
        <v>5.40540540540541</v>
      </c>
      <c r="R40" s="7" t="n">
        <f aca="false">R12/(SUM($M12:$W12))*100</f>
        <v>13.5135135135135</v>
      </c>
      <c r="S40" s="7" t="n">
        <f aca="false">S12/(SUM($M12:$W12))*100</f>
        <v>0</v>
      </c>
      <c r="T40" s="7" t="n">
        <f aca="false">T12/(SUM($M12:$W12))*100</f>
        <v>2.7027027027027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42</v>
      </c>
      <c r="C41" s="1" t="n">
        <v>-58.5</v>
      </c>
      <c r="D41" s="1" t="n">
        <v>-1.5</v>
      </c>
      <c r="E41" s="2" t="n">
        <v>1.8</v>
      </c>
      <c r="F41" s="2" t="n">
        <v>39</v>
      </c>
      <c r="G41" s="2" t="n">
        <v>41.4</v>
      </c>
      <c r="H41" s="2" t="n">
        <v>-60.2</v>
      </c>
      <c r="I41" s="2" t="n">
        <v>-1.5</v>
      </c>
      <c r="J41" s="2" t="n">
        <v>17.72154011</v>
      </c>
      <c r="L41" s="8" t="n">
        <v>30</v>
      </c>
      <c r="M41" s="7" t="n">
        <f aca="false">M13/(SUM($M13:$W13))*100</f>
        <v>4.65116279069768</v>
      </c>
      <c r="N41" s="7" t="n">
        <f aca="false">N13/(SUM($M13:$W13))*100</f>
        <v>32.5581395348837</v>
      </c>
      <c r="O41" s="7" t="n">
        <f aca="false">O13/(SUM($M13:$W13))*100</f>
        <v>30.2325581395349</v>
      </c>
      <c r="P41" s="7" t="n">
        <f aca="false">P13/(SUM($M13:$W13))*100</f>
        <v>20.9302325581395</v>
      </c>
      <c r="Q41" s="7" t="n">
        <f aca="false">Q13/(SUM($M13:$W13))*100</f>
        <v>6.97674418604651</v>
      </c>
      <c r="R41" s="7" t="n">
        <f aca="false">R13/(SUM($M13:$W13))*100</f>
        <v>2.32558139534884</v>
      </c>
      <c r="S41" s="7" t="n">
        <f aca="false">S13/(SUM($M13:$W13))*100</f>
        <v>0</v>
      </c>
      <c r="T41" s="7" t="n">
        <f aca="false">T13/(SUM($M13:$W13))*100</f>
        <v>2.32558139534884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45.2</v>
      </c>
      <c r="C42" s="1" t="n">
        <v>-59.6</v>
      </c>
      <c r="D42" s="1" t="n">
        <v>-4.8</v>
      </c>
      <c r="E42" s="2" t="n">
        <v>1.2</v>
      </c>
      <c r="F42" s="2" t="n">
        <v>48</v>
      </c>
      <c r="G42" s="2" t="n">
        <v>45</v>
      </c>
      <c r="H42" s="2" t="n">
        <v>-60.1</v>
      </c>
      <c r="I42" s="2" t="n">
        <v>-5.9</v>
      </c>
      <c r="J42" s="2" t="n">
        <v>14.73045091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19.047619047619</v>
      </c>
      <c r="O42" s="7" t="n">
        <f aca="false">O14/(SUM($M14:$W14))*100</f>
        <v>19.047619047619</v>
      </c>
      <c r="P42" s="7" t="n">
        <f aca="false">P14/(SUM($M14:$W14))*100</f>
        <v>33.3333333333333</v>
      </c>
      <c r="Q42" s="7" t="n">
        <f aca="false">Q14/(SUM($M14:$W14))*100</f>
        <v>19.047619047619</v>
      </c>
      <c r="R42" s="7" t="n">
        <f aca="false">R14/(SUM($M14:$W14))*100</f>
        <v>4.76190476190476</v>
      </c>
      <c r="S42" s="7" t="n">
        <f aca="false">S14/(SUM($M14:$W14))*100</f>
        <v>0</v>
      </c>
      <c r="T42" s="7" t="n">
        <f aca="false">T14/(SUM($M14:$W14))*100</f>
        <v>4.76190476190476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45.7</v>
      </c>
      <c r="C43" s="1" t="n">
        <v>-60.1</v>
      </c>
      <c r="D43" s="1" t="n">
        <v>-5.9</v>
      </c>
      <c r="E43" s="2" t="n">
        <v>0.1</v>
      </c>
      <c r="F43" s="2" t="n">
        <v>47</v>
      </c>
      <c r="G43" s="2" t="n">
        <v>45.6</v>
      </c>
      <c r="H43" s="2" t="n">
        <v>-60.2</v>
      </c>
      <c r="I43" s="2" t="n">
        <v>-5.9</v>
      </c>
      <c r="J43" s="2" t="n">
        <v>14.33033789</v>
      </c>
      <c r="L43" s="8" t="n">
        <v>35</v>
      </c>
      <c r="M43" s="7" t="n">
        <f aca="false">M15/(SUM($M15:$W15))*100</f>
        <v>0</v>
      </c>
      <c r="N43" s="7" t="n">
        <f aca="false">N15/(SUM($M15:$W15))*100</f>
        <v>33.3333333333333</v>
      </c>
      <c r="O43" s="7" t="n">
        <f aca="false">O15/(SUM($M15:$W15))*100</f>
        <v>33.3333333333333</v>
      </c>
      <c r="P43" s="7" t="n">
        <f aca="false">P15/(SUM($M15:$W15))*100</f>
        <v>16.6666666666667</v>
      </c>
      <c r="Q43" s="7" t="n">
        <f aca="false">Q15/(SUM($M15:$W15))*100</f>
        <v>0</v>
      </c>
      <c r="R43" s="7" t="n">
        <f aca="false">R15/(SUM($M15:$W15))*100</f>
        <v>0</v>
      </c>
      <c r="S43" s="7" t="n">
        <f aca="false">S15/(SUM($M15:$W15))*100</f>
        <v>8.33333333333333</v>
      </c>
      <c r="T43" s="7" t="n">
        <f aca="false">T15/(SUM($M15:$W15))*100</f>
        <v>8.33333333333333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34.9</v>
      </c>
      <c r="C44" s="1" t="n">
        <v>-65</v>
      </c>
      <c r="D44" s="1" t="n">
        <v>-2.2</v>
      </c>
      <c r="E44" s="2" t="n">
        <v>2.6</v>
      </c>
      <c r="F44" s="2" t="n">
        <v>44</v>
      </c>
      <c r="G44" s="2" t="n">
        <v>37.5</v>
      </c>
      <c r="H44" s="2" t="n">
        <v>-64.7</v>
      </c>
      <c r="I44" s="2" t="n">
        <v>-1.9</v>
      </c>
      <c r="J44" s="2" t="n">
        <v>25.83637327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18.1818181818182</v>
      </c>
      <c r="O44" s="7" t="n">
        <f aca="false">O16/(SUM($M16:$W16))*100</f>
        <v>18.1818181818182</v>
      </c>
      <c r="P44" s="7" t="n">
        <f aca="false">P16/(SUM($M16:$W16))*100</f>
        <v>36.3636363636364</v>
      </c>
      <c r="Q44" s="7" t="n">
        <f aca="false">Q16/(SUM($M16:$W16))*100</f>
        <v>9.09090909090909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9.09090909090909</v>
      </c>
      <c r="V44" s="7" t="n">
        <f aca="false">V16/(SUM($M16:$W16))*100</f>
        <v>0</v>
      </c>
      <c r="W44" s="7" t="n">
        <f aca="false">W16/(SUM($M16:$W16))*100</f>
        <v>9.09090909090909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37.5</v>
      </c>
      <c r="C45" s="1" t="n">
        <v>-64.7</v>
      </c>
      <c r="D45" s="1" t="n">
        <v>-1.9</v>
      </c>
      <c r="E45" s="2" t="n">
        <v>2.5</v>
      </c>
      <c r="F45" s="2" t="n">
        <v>46</v>
      </c>
      <c r="G45" s="2" t="n">
        <v>38.7</v>
      </c>
      <c r="H45" s="2" t="n">
        <v>-65.9</v>
      </c>
      <c r="I45" s="2" t="n">
        <v>-3.7</v>
      </c>
      <c r="J45" s="2" t="n">
        <v>24.01683126</v>
      </c>
      <c r="L45" s="8" t="n">
        <v>40</v>
      </c>
      <c r="M45" s="7" t="n">
        <f aca="false">M17/(SUM($M17:$W17))*100</f>
        <v>30.7692307692308</v>
      </c>
      <c r="N45" s="7" t="n">
        <f aca="false">N17/(SUM($M17:$W17))*100</f>
        <v>30.7692307692308</v>
      </c>
      <c r="O45" s="7" t="n">
        <f aca="false">O17/(SUM($M17:$W17))*100</f>
        <v>23.0769230769231</v>
      </c>
      <c r="P45" s="7" t="n">
        <f aca="false">P17/(SUM($M17:$W17))*100</f>
        <v>15.3846153846154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36.4</v>
      </c>
      <c r="C46" s="1" t="n">
        <v>-67.3</v>
      </c>
      <c r="D46" s="1" t="n">
        <v>-3</v>
      </c>
      <c r="E46" s="2" t="n">
        <v>2.8</v>
      </c>
      <c r="F46" s="2" t="n">
        <v>46</v>
      </c>
      <c r="G46" s="2" t="n">
        <v>38.7</v>
      </c>
      <c r="H46" s="2" t="n">
        <v>-65.9</v>
      </c>
      <c r="I46" s="2" t="n">
        <v>-3.7</v>
      </c>
      <c r="J46" s="2" t="n">
        <v>26.0322835</v>
      </c>
      <c r="L46" s="8" t="n">
        <v>42.5</v>
      </c>
      <c r="M46" s="7" t="n">
        <f aca="false">M18/(SUM($M18:$W18))*100</f>
        <v>9.09090909090909</v>
      </c>
      <c r="N46" s="7" t="n">
        <f aca="false">N18/(SUM($M18:$W18))*100</f>
        <v>54.5454545454545</v>
      </c>
      <c r="O46" s="7" t="n">
        <f aca="false">O18/(SUM($M18:$W18))*100</f>
        <v>18.1818181818182</v>
      </c>
      <c r="P46" s="7" t="n">
        <f aca="false">P18/(SUM($M18:$W18))*100</f>
        <v>9.09090909090909</v>
      </c>
      <c r="Q46" s="7" t="n">
        <f aca="false">Q18/(SUM($M18:$W18))*100</f>
        <v>0</v>
      </c>
      <c r="R46" s="7" t="n">
        <f aca="false">R18/(SUM($M18:$W18))*100</f>
        <v>9.09090909090909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38.7</v>
      </c>
      <c r="C47" s="1" t="n">
        <v>-65.9</v>
      </c>
      <c r="D47" s="1" t="n">
        <v>-3.7</v>
      </c>
      <c r="E47" s="2" t="n">
        <v>2.5</v>
      </c>
      <c r="F47" s="2" t="n">
        <v>44</v>
      </c>
      <c r="G47" s="2" t="n">
        <v>37.5</v>
      </c>
      <c r="H47" s="2" t="n">
        <v>-64.7</v>
      </c>
      <c r="I47" s="2" t="n">
        <v>-1.9</v>
      </c>
      <c r="J47" s="2" t="n">
        <v>23.37263751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45.6</v>
      </c>
      <c r="C48" s="1" t="n">
        <v>-60.2</v>
      </c>
      <c r="D48" s="1" t="n">
        <v>-5.9</v>
      </c>
      <c r="E48" s="2" t="n">
        <v>0.1</v>
      </c>
      <c r="F48" s="2" t="n">
        <v>42</v>
      </c>
      <c r="G48" s="2" t="n">
        <v>45.7</v>
      </c>
      <c r="H48" s="2" t="n">
        <v>-60.1</v>
      </c>
      <c r="I48" s="2" t="n">
        <v>-5.9</v>
      </c>
      <c r="J48" s="2" t="n">
        <v>14.45634062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45</v>
      </c>
      <c r="C49" s="1" t="n">
        <v>-60.1</v>
      </c>
      <c r="D49" s="1" t="n">
        <v>-5.9</v>
      </c>
      <c r="E49" s="2" t="n">
        <v>0.7</v>
      </c>
      <c r="F49" s="2" t="n">
        <v>47</v>
      </c>
      <c r="G49" s="2" t="n">
        <v>45.6</v>
      </c>
      <c r="H49" s="2" t="n">
        <v>-60.2</v>
      </c>
      <c r="I49" s="2" t="n">
        <v>-5.9</v>
      </c>
      <c r="J49" s="2" t="n">
        <v>14.69936679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41</v>
      </c>
      <c r="C50" s="1" t="n">
        <v>-61.5</v>
      </c>
      <c r="D50" s="1" t="n">
        <v>-5.2</v>
      </c>
      <c r="E50" s="2" t="n">
        <v>1.4</v>
      </c>
      <c r="F50" s="2" t="n">
        <v>50</v>
      </c>
      <c r="G50" s="2" t="n">
        <v>41.8</v>
      </c>
      <c r="H50" s="2" t="n">
        <v>-61.9</v>
      </c>
      <c r="I50" s="2" t="n">
        <v>-4.1</v>
      </c>
      <c r="J50" s="2" t="n">
        <v>18.35995054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41.8</v>
      </c>
      <c r="C51" s="1" t="n">
        <v>-61.9</v>
      </c>
      <c r="D51" s="1" t="n">
        <v>-4.1</v>
      </c>
      <c r="E51" s="2" t="n">
        <v>1.4</v>
      </c>
      <c r="F51" s="2" t="n">
        <v>49</v>
      </c>
      <c r="G51" s="2" t="n">
        <v>41</v>
      </c>
      <c r="H51" s="2" t="n">
        <v>-61.5</v>
      </c>
      <c r="I51" s="2" t="n">
        <v>-5.2</v>
      </c>
      <c r="J51" s="2" t="n">
        <v>18.56047909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43.7</v>
      </c>
      <c r="C52" s="1" t="n">
        <v>-62.7</v>
      </c>
      <c r="D52" s="1" t="n">
        <v>-5.2</v>
      </c>
      <c r="E52" s="2" t="n">
        <v>2.2</v>
      </c>
      <c r="F52" s="2" t="n">
        <v>13</v>
      </c>
      <c r="G52" s="2" t="n">
        <v>43</v>
      </c>
      <c r="H52" s="2" t="n">
        <v>-63.6</v>
      </c>
      <c r="I52" s="2" t="n">
        <v>-7</v>
      </c>
      <c r="J52" s="2" t="n">
        <v>17.61046802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51.6</v>
      </c>
      <c r="C53" s="1" t="n">
        <v>-56.9</v>
      </c>
      <c r="D53" s="1" t="n">
        <v>-7.4</v>
      </c>
      <c r="E53" s="2" t="n">
        <v>1</v>
      </c>
      <c r="F53" s="2" t="n">
        <v>53</v>
      </c>
      <c r="G53" s="2" t="n">
        <v>51.8</v>
      </c>
      <c r="H53" s="2" t="n">
        <v>-56.3</v>
      </c>
      <c r="I53" s="2" t="n">
        <v>-6.7</v>
      </c>
      <c r="J53" s="2" t="n">
        <v>8.921512428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51.8</v>
      </c>
      <c r="C54" s="1" t="n">
        <v>-56.3</v>
      </c>
      <c r="D54" s="1" t="n">
        <v>-6.7</v>
      </c>
      <c r="E54" s="2" t="n">
        <v>1</v>
      </c>
      <c r="F54" s="2" t="n">
        <v>52</v>
      </c>
      <c r="G54" s="2" t="n">
        <v>51.6</v>
      </c>
      <c r="H54" s="2" t="n">
        <v>-56.9</v>
      </c>
      <c r="I54" s="2" t="n">
        <v>-7.4</v>
      </c>
      <c r="J54" s="2" t="n">
        <v>8.790732848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46.7</v>
      </c>
      <c r="C55" s="1" t="n">
        <v>-52</v>
      </c>
      <c r="D55" s="1" t="n">
        <v>-11.1</v>
      </c>
      <c r="E55" s="2" t="n">
        <v>4.4</v>
      </c>
      <c r="F55" s="2" t="n">
        <v>220</v>
      </c>
      <c r="G55" s="2" t="n">
        <v>43.6</v>
      </c>
      <c r="H55" s="2" t="n">
        <v>-55</v>
      </c>
      <c r="I55" s="2" t="n">
        <v>-11.1</v>
      </c>
      <c r="J55" s="2" t="n">
        <v>6.885243932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56.5</v>
      </c>
      <c r="C56" s="1" t="n">
        <v>-40.9</v>
      </c>
      <c r="D56" s="1" t="n">
        <v>-10</v>
      </c>
      <c r="E56" s="2" t="n">
        <v>2.4</v>
      </c>
      <c r="F56" s="2" t="n">
        <v>59</v>
      </c>
      <c r="G56" s="2" t="n">
        <v>57.2</v>
      </c>
      <c r="H56" s="2" t="n">
        <v>-43.2</v>
      </c>
      <c r="I56" s="2" t="n">
        <v>-10</v>
      </c>
      <c r="J56" s="2" t="n">
        <v>9.369214695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54.3</v>
      </c>
      <c r="C57" s="1" t="n">
        <v>-39.5</v>
      </c>
      <c r="D57" s="1" t="n">
        <v>-8.9</v>
      </c>
      <c r="E57" s="2" t="n">
        <v>2.8</v>
      </c>
      <c r="F57" s="2" t="n">
        <v>55</v>
      </c>
      <c r="G57" s="2" t="n">
        <v>56.5</v>
      </c>
      <c r="H57" s="2" t="n">
        <v>-40.9</v>
      </c>
      <c r="I57" s="2" t="n">
        <v>-10</v>
      </c>
      <c r="J57" s="2" t="n">
        <v>10.4132312</v>
      </c>
    </row>
    <row r="58" customFormat="false" ht="15.8" hidden="false" customHeight="false" outlineLevel="0" collapsed="false">
      <c r="A58" s="1" t="n">
        <v>57</v>
      </c>
      <c r="B58" s="1" t="n">
        <v>51.8</v>
      </c>
      <c r="C58" s="1" t="n">
        <v>-41.6</v>
      </c>
      <c r="D58" s="1" t="n">
        <v>-9.6</v>
      </c>
      <c r="E58" s="2" t="n">
        <v>1.3</v>
      </c>
      <c r="F58" s="2" t="n">
        <v>58</v>
      </c>
      <c r="G58" s="2" t="n">
        <v>52.5</v>
      </c>
      <c r="H58" s="2" t="n">
        <v>-41.8</v>
      </c>
      <c r="I58" s="2" t="n">
        <v>-8.5</v>
      </c>
      <c r="J58" s="2" t="n">
        <v>8.207495599</v>
      </c>
    </row>
    <row r="59" customFormat="false" ht="15.8" hidden="false" customHeight="false" outlineLevel="0" collapsed="false">
      <c r="A59" s="1" t="n">
        <v>58</v>
      </c>
      <c r="B59" s="1" t="n">
        <v>52.5</v>
      </c>
      <c r="C59" s="1" t="n">
        <v>-41.8</v>
      </c>
      <c r="D59" s="1" t="n">
        <v>-8.5</v>
      </c>
      <c r="E59" s="2" t="n">
        <v>1.3</v>
      </c>
      <c r="F59" s="2" t="n">
        <v>57</v>
      </c>
      <c r="G59" s="2" t="n">
        <v>51.8</v>
      </c>
      <c r="H59" s="2" t="n">
        <v>-41.6</v>
      </c>
      <c r="I59" s="2" t="n">
        <v>-9.6</v>
      </c>
      <c r="J59" s="2" t="n">
        <v>8.338068361</v>
      </c>
    </row>
    <row r="60" customFormat="false" ht="15.8" hidden="false" customHeight="false" outlineLevel="0" collapsed="false">
      <c r="A60" s="1" t="n">
        <v>59</v>
      </c>
      <c r="B60" s="1" t="n">
        <v>57.2</v>
      </c>
      <c r="C60" s="1" t="n">
        <v>-43.2</v>
      </c>
      <c r="D60" s="1" t="n">
        <v>-10</v>
      </c>
      <c r="E60" s="2" t="n">
        <v>2.4</v>
      </c>
      <c r="F60" s="2" t="n">
        <v>55</v>
      </c>
      <c r="G60" s="2" t="n">
        <v>56.5</v>
      </c>
      <c r="H60" s="2" t="n">
        <v>-40.9</v>
      </c>
      <c r="I60" s="2" t="n">
        <v>-10</v>
      </c>
      <c r="J60" s="2" t="n">
        <v>7.714647367</v>
      </c>
    </row>
    <row r="61" customFormat="false" ht="15.8" hidden="false" customHeight="false" outlineLevel="0" collapsed="false">
      <c r="A61" s="1" t="n">
        <v>60</v>
      </c>
      <c r="B61" s="1" t="n">
        <v>65</v>
      </c>
      <c r="C61" s="1" t="n">
        <v>-43.3</v>
      </c>
      <c r="D61" s="1" t="n">
        <v>-8.1</v>
      </c>
      <c r="E61" s="2" t="n">
        <v>3.9</v>
      </c>
      <c r="F61" s="2" t="n">
        <v>61</v>
      </c>
      <c r="G61" s="2" t="n">
        <v>64.7</v>
      </c>
      <c r="H61" s="2" t="n">
        <v>-47.2</v>
      </c>
      <c r="I61" s="2" t="n">
        <v>-7.8</v>
      </c>
      <c r="J61" s="2" t="n">
        <v>13.9896313</v>
      </c>
    </row>
    <row r="62" customFormat="false" ht="15.8" hidden="false" customHeight="false" outlineLevel="0" collapsed="false">
      <c r="A62" s="1" t="n">
        <v>61</v>
      </c>
      <c r="B62" s="1" t="n">
        <v>64.7</v>
      </c>
      <c r="C62" s="1" t="n">
        <v>-47.2</v>
      </c>
      <c r="D62" s="1" t="n">
        <v>-7.8</v>
      </c>
      <c r="E62" s="2" t="n">
        <v>3.1</v>
      </c>
      <c r="F62" s="2" t="n">
        <v>82</v>
      </c>
      <c r="G62" s="2" t="n">
        <v>65.4</v>
      </c>
      <c r="H62" s="2" t="n">
        <v>-46.8</v>
      </c>
      <c r="I62" s="2" t="n">
        <v>-10.7</v>
      </c>
      <c r="J62" s="2" t="n">
        <v>12.60583135</v>
      </c>
    </row>
    <row r="63" customFormat="false" ht="15.8" hidden="false" customHeight="false" outlineLevel="0" collapsed="false">
      <c r="A63" s="1" t="n">
        <v>62</v>
      </c>
      <c r="B63" s="1" t="n">
        <v>62.1</v>
      </c>
      <c r="C63" s="1" t="n">
        <v>-51.1</v>
      </c>
      <c r="D63" s="1" t="n">
        <v>-9.6</v>
      </c>
      <c r="E63" s="2" t="n">
        <v>2.3</v>
      </c>
      <c r="F63" s="2" t="n">
        <v>63</v>
      </c>
      <c r="G63" s="2" t="n">
        <v>60.2</v>
      </c>
      <c r="H63" s="2" t="n">
        <v>-50</v>
      </c>
      <c r="I63" s="2" t="n">
        <v>-10.4</v>
      </c>
      <c r="J63" s="2" t="n">
        <v>9.559695811</v>
      </c>
    </row>
    <row r="64" customFormat="false" ht="15.8" hidden="false" customHeight="false" outlineLevel="0" collapsed="false">
      <c r="A64" s="1" t="n">
        <v>63</v>
      </c>
      <c r="B64" s="1" t="n">
        <v>60.2</v>
      </c>
      <c r="C64" s="1" t="n">
        <v>-50</v>
      </c>
      <c r="D64" s="1" t="n">
        <v>-10.4</v>
      </c>
      <c r="E64" s="2" t="n">
        <v>1.5</v>
      </c>
      <c r="F64" s="2" t="n">
        <v>64</v>
      </c>
      <c r="G64" s="2" t="n">
        <v>60.8</v>
      </c>
      <c r="H64" s="2" t="n">
        <v>-49.1</v>
      </c>
      <c r="I64" s="2" t="n">
        <v>-11.5</v>
      </c>
      <c r="J64" s="2" t="n">
        <v>7.394037057</v>
      </c>
    </row>
    <row r="65" customFormat="false" ht="15.8" hidden="false" customHeight="false" outlineLevel="0" collapsed="false">
      <c r="A65" s="1" t="n">
        <v>64</v>
      </c>
      <c r="B65" s="1" t="n">
        <v>60.8</v>
      </c>
      <c r="C65" s="1" t="n">
        <v>-49.1</v>
      </c>
      <c r="D65" s="1" t="n">
        <v>-11.5</v>
      </c>
      <c r="E65" s="2" t="n">
        <v>1.5</v>
      </c>
      <c r="F65" s="2" t="n">
        <v>63</v>
      </c>
      <c r="G65" s="2" t="n">
        <v>60.2</v>
      </c>
      <c r="H65" s="2" t="n">
        <v>-50</v>
      </c>
      <c r="I65" s="2" t="n">
        <v>-10.4</v>
      </c>
      <c r="J65" s="2" t="n">
        <v>7.816558322</v>
      </c>
    </row>
    <row r="66" customFormat="false" ht="15.8" hidden="false" customHeight="false" outlineLevel="0" collapsed="false">
      <c r="A66" s="1" t="n">
        <v>65</v>
      </c>
      <c r="B66" s="1" t="n">
        <v>72.4</v>
      </c>
      <c r="C66" s="1" t="n">
        <v>-36.6</v>
      </c>
      <c r="D66" s="1" t="n">
        <v>-19.2</v>
      </c>
      <c r="E66" s="2" t="n">
        <v>1.7</v>
      </c>
      <c r="F66" s="2" t="n">
        <v>66</v>
      </c>
      <c r="G66" s="2" t="n">
        <v>71.5</v>
      </c>
      <c r="H66" s="2" t="n">
        <v>-35.6</v>
      </c>
      <c r="I66" s="2" t="n">
        <v>-20.4</v>
      </c>
      <c r="J66" s="2" t="n">
        <v>24.32190338</v>
      </c>
    </row>
    <row r="67" customFormat="false" ht="15.8" hidden="false" customHeight="false" outlineLevel="0" collapsed="false">
      <c r="A67" s="1" t="n">
        <v>66</v>
      </c>
      <c r="B67" s="1" t="n">
        <v>71.5</v>
      </c>
      <c r="C67" s="1" t="n">
        <v>-35.6</v>
      </c>
      <c r="D67" s="1" t="n">
        <v>-20.4</v>
      </c>
      <c r="E67" s="2" t="n">
        <v>1.7</v>
      </c>
      <c r="F67" s="2" t="n">
        <v>65</v>
      </c>
      <c r="G67" s="2" t="n">
        <v>72.4</v>
      </c>
      <c r="H67" s="2" t="n">
        <v>-36.6</v>
      </c>
      <c r="I67" s="2" t="n">
        <v>-19.2</v>
      </c>
      <c r="J67" s="2" t="n">
        <v>24.55152509</v>
      </c>
    </row>
    <row r="68" customFormat="false" ht="15.8" hidden="false" customHeight="false" outlineLevel="0" collapsed="false">
      <c r="A68" s="1" t="n">
        <v>67</v>
      </c>
      <c r="B68" s="1" t="n">
        <v>66</v>
      </c>
      <c r="C68" s="1" t="n">
        <v>-44.7</v>
      </c>
      <c r="D68" s="1" t="n">
        <v>-18.1</v>
      </c>
      <c r="E68" s="2" t="n">
        <v>4.2</v>
      </c>
      <c r="F68" s="2" t="n">
        <v>73</v>
      </c>
      <c r="G68" s="2" t="n">
        <v>64.3</v>
      </c>
      <c r="H68" s="2" t="n">
        <v>-46.6</v>
      </c>
      <c r="I68" s="2" t="n">
        <v>-14.8</v>
      </c>
      <c r="J68" s="2" t="n">
        <v>15.11029397</v>
      </c>
    </row>
    <row r="69" customFormat="false" ht="15.8" hidden="false" customHeight="false" outlineLevel="0" collapsed="false">
      <c r="A69" s="1" t="n">
        <v>68</v>
      </c>
      <c r="B69" s="1" t="n">
        <v>75.9</v>
      </c>
      <c r="C69" s="1" t="n">
        <v>-41.4</v>
      </c>
      <c r="D69" s="1" t="n">
        <v>-15.5</v>
      </c>
      <c r="E69" s="2" t="n">
        <v>2.7</v>
      </c>
      <c r="F69" s="2" t="n">
        <v>72</v>
      </c>
      <c r="G69" s="2" t="n">
        <v>76</v>
      </c>
      <c r="H69" s="2" t="n">
        <v>-44.1</v>
      </c>
      <c r="I69" s="2" t="n">
        <v>-15.2</v>
      </c>
      <c r="J69" s="2" t="n">
        <v>24.50001192</v>
      </c>
    </row>
    <row r="70" customFormat="false" ht="15.8" hidden="false" customHeight="false" outlineLevel="0" collapsed="false">
      <c r="A70" s="1" t="n">
        <v>69</v>
      </c>
      <c r="B70" s="1" t="n">
        <v>79.8</v>
      </c>
      <c r="C70" s="1" t="n">
        <v>-42.2</v>
      </c>
      <c r="D70" s="1" t="n">
        <v>-14.8</v>
      </c>
      <c r="E70" s="2" t="n">
        <v>3.6</v>
      </c>
      <c r="F70" s="2" t="n">
        <v>70</v>
      </c>
      <c r="G70" s="2" t="n">
        <v>78.8</v>
      </c>
      <c r="H70" s="2" t="n">
        <v>-45.1</v>
      </c>
      <c r="I70" s="2" t="n">
        <v>-12.9</v>
      </c>
      <c r="J70" s="2" t="n">
        <v>27.88376919</v>
      </c>
    </row>
    <row r="71" customFormat="false" ht="15.8" hidden="false" customHeight="false" outlineLevel="0" collapsed="false">
      <c r="A71" s="1" t="n">
        <v>70</v>
      </c>
      <c r="B71" s="1" t="n">
        <v>78.8</v>
      </c>
      <c r="C71" s="1" t="n">
        <v>-45.1</v>
      </c>
      <c r="D71" s="1" t="n">
        <v>-12.9</v>
      </c>
      <c r="E71" s="2" t="n">
        <v>1.3</v>
      </c>
      <c r="F71" s="2" t="n">
        <v>71</v>
      </c>
      <c r="G71" s="2" t="n">
        <v>78.1</v>
      </c>
      <c r="H71" s="2" t="n">
        <v>-45.4</v>
      </c>
      <c r="I71" s="2" t="n">
        <v>-14.1</v>
      </c>
      <c r="J71" s="2" t="n">
        <v>26.16494189</v>
      </c>
    </row>
    <row r="72" customFormat="false" ht="15.8" hidden="false" customHeight="false" outlineLevel="0" collapsed="false">
      <c r="A72" s="1" t="n">
        <v>71</v>
      </c>
      <c r="B72" s="1" t="n">
        <v>78.1</v>
      </c>
      <c r="C72" s="1" t="n">
        <v>-45.4</v>
      </c>
      <c r="D72" s="1" t="n">
        <v>-14.1</v>
      </c>
      <c r="E72" s="2" t="n">
        <v>1.3</v>
      </c>
      <c r="F72" s="2" t="n">
        <v>70</v>
      </c>
      <c r="G72" s="2" t="n">
        <v>78.8</v>
      </c>
      <c r="H72" s="2" t="n">
        <v>-45.1</v>
      </c>
      <c r="I72" s="2" t="n">
        <v>-12.9</v>
      </c>
      <c r="J72" s="2" t="n">
        <v>25.49870946</v>
      </c>
    </row>
    <row r="73" customFormat="false" ht="15.8" hidden="false" customHeight="false" outlineLevel="0" collapsed="false">
      <c r="A73" s="1" t="n">
        <v>72</v>
      </c>
      <c r="B73" s="1" t="n">
        <v>76</v>
      </c>
      <c r="C73" s="1" t="n">
        <v>-44.1</v>
      </c>
      <c r="D73" s="1" t="n">
        <v>-15.2</v>
      </c>
      <c r="E73" s="2" t="n">
        <v>2.7</v>
      </c>
      <c r="F73" s="2" t="n">
        <v>68</v>
      </c>
      <c r="G73" s="2" t="n">
        <v>75.9</v>
      </c>
      <c r="H73" s="2" t="n">
        <v>-41.4</v>
      </c>
      <c r="I73" s="2" t="n">
        <v>-15.5</v>
      </c>
      <c r="J73" s="2" t="n">
        <v>23.81353783</v>
      </c>
    </row>
    <row r="74" customFormat="false" ht="15.8" hidden="false" customHeight="false" outlineLevel="0" collapsed="false">
      <c r="A74" s="1" t="n">
        <v>73</v>
      </c>
      <c r="B74" s="1" t="n">
        <v>64.3</v>
      </c>
      <c r="C74" s="1" t="n">
        <v>-46.6</v>
      </c>
      <c r="D74" s="1" t="n">
        <v>-14.8</v>
      </c>
      <c r="E74" s="2" t="n">
        <v>1.9</v>
      </c>
      <c r="F74" s="2" t="n">
        <v>74</v>
      </c>
      <c r="G74" s="2" t="n">
        <v>62.9</v>
      </c>
      <c r="H74" s="2" t="n">
        <v>-47</v>
      </c>
      <c r="I74" s="2" t="n">
        <v>-15.9</v>
      </c>
      <c r="J74" s="2" t="n">
        <v>11.97145705</v>
      </c>
    </row>
    <row r="75" customFormat="false" ht="15.8" hidden="false" customHeight="false" outlineLevel="0" collapsed="false">
      <c r="A75" s="1" t="n">
        <v>74</v>
      </c>
      <c r="B75" s="1" t="n">
        <v>62.9</v>
      </c>
      <c r="C75" s="1" t="n">
        <v>-47</v>
      </c>
      <c r="D75" s="1" t="n">
        <v>-15.9</v>
      </c>
      <c r="E75" s="2" t="n">
        <v>1.9</v>
      </c>
      <c r="F75" s="2" t="n">
        <v>73</v>
      </c>
      <c r="G75" s="2" t="n">
        <v>64.3</v>
      </c>
      <c r="H75" s="2" t="n">
        <v>-46.6</v>
      </c>
      <c r="I75" s="2" t="n">
        <v>-14.8</v>
      </c>
      <c r="J75" s="2" t="n">
        <v>10.91004051</v>
      </c>
    </row>
    <row r="76" customFormat="false" ht="15.8" hidden="false" customHeight="false" outlineLevel="0" collapsed="false">
      <c r="A76" s="1" t="n">
        <v>75</v>
      </c>
      <c r="B76" s="1" t="n">
        <v>61.2</v>
      </c>
      <c r="C76" s="1" t="n">
        <v>-47.5</v>
      </c>
      <c r="D76" s="1" t="n">
        <v>-12.9</v>
      </c>
      <c r="E76" s="2" t="n">
        <v>1.7</v>
      </c>
      <c r="F76" s="2" t="n">
        <v>76</v>
      </c>
      <c r="G76" s="2" t="n">
        <v>61.4</v>
      </c>
      <c r="H76" s="2" t="n">
        <v>-46.7</v>
      </c>
      <c r="I76" s="2" t="n">
        <v>-11.5</v>
      </c>
      <c r="J76" s="2" t="n">
        <v>8.459183412</v>
      </c>
    </row>
    <row r="77" customFormat="false" ht="15.8" hidden="false" customHeight="false" outlineLevel="0" collapsed="false">
      <c r="A77" s="1" t="n">
        <v>76</v>
      </c>
      <c r="B77" s="1" t="n">
        <v>61.4</v>
      </c>
      <c r="C77" s="1" t="n">
        <v>-46.7</v>
      </c>
      <c r="D77" s="1" t="n">
        <v>-11.5</v>
      </c>
      <c r="E77" s="2" t="n">
        <v>1.2</v>
      </c>
      <c r="F77" s="2" t="n">
        <v>84</v>
      </c>
      <c r="G77" s="2" t="n">
        <v>61.9</v>
      </c>
      <c r="H77" s="2" t="n">
        <v>-46.6</v>
      </c>
      <c r="I77" s="2" t="n">
        <v>-10.4</v>
      </c>
      <c r="J77" s="2" t="n">
        <v>8.823433799</v>
      </c>
    </row>
    <row r="78" customFormat="false" ht="15.8" hidden="false" customHeight="false" outlineLevel="0" collapsed="false">
      <c r="A78" s="1" t="n">
        <v>77</v>
      </c>
      <c r="B78" s="1" t="n">
        <v>63.4</v>
      </c>
      <c r="C78" s="1" t="n">
        <v>-46.4</v>
      </c>
      <c r="D78" s="1" t="n">
        <v>-11.5</v>
      </c>
      <c r="E78" s="2" t="n">
        <v>1.5</v>
      </c>
      <c r="F78" s="2" t="n">
        <v>78</v>
      </c>
      <c r="G78" s="2" t="n">
        <v>63.5</v>
      </c>
      <c r="H78" s="2" t="n">
        <v>-47.8</v>
      </c>
      <c r="I78" s="2" t="n">
        <v>-11.1</v>
      </c>
      <c r="J78" s="2" t="n">
        <v>10.82287319</v>
      </c>
    </row>
    <row r="79" customFormat="false" ht="15.8" hidden="false" customHeight="false" outlineLevel="0" collapsed="false">
      <c r="A79" s="1" t="n">
        <v>78</v>
      </c>
      <c r="B79" s="1" t="n">
        <v>63.5</v>
      </c>
      <c r="C79" s="1" t="n">
        <v>-47.8</v>
      </c>
      <c r="D79" s="1" t="n">
        <v>-11.1</v>
      </c>
      <c r="E79" s="2" t="n">
        <v>1.5</v>
      </c>
      <c r="F79" s="2" t="n">
        <v>77</v>
      </c>
      <c r="G79" s="2" t="n">
        <v>63.4</v>
      </c>
      <c r="H79" s="2" t="n">
        <v>-46.4</v>
      </c>
      <c r="I79" s="2" t="n">
        <v>-11.5</v>
      </c>
      <c r="J79" s="2" t="n">
        <v>10.64959079</v>
      </c>
    </row>
    <row r="80" customFormat="false" ht="15.8" hidden="false" customHeight="false" outlineLevel="0" collapsed="false">
      <c r="A80" s="1" t="n">
        <v>79</v>
      </c>
      <c r="B80" s="1" t="n">
        <v>69.7</v>
      </c>
      <c r="C80" s="1" t="n">
        <v>-47.7</v>
      </c>
      <c r="D80" s="1" t="n">
        <v>-10</v>
      </c>
      <c r="E80" s="2" t="n">
        <v>1.7</v>
      </c>
      <c r="F80" s="2" t="n">
        <v>80</v>
      </c>
      <c r="G80" s="2" t="n">
        <v>70.5</v>
      </c>
      <c r="H80" s="2" t="n">
        <v>-46.3</v>
      </c>
      <c r="I80" s="2" t="n">
        <v>-10.4</v>
      </c>
      <c r="J80" s="2" t="n">
        <v>16.89591027</v>
      </c>
    </row>
    <row r="81" customFormat="false" ht="15.8" hidden="false" customHeight="false" outlineLevel="0" collapsed="false">
      <c r="A81" s="1" t="n">
        <v>80</v>
      </c>
      <c r="B81" s="1" t="n">
        <v>70.5</v>
      </c>
      <c r="C81" s="1" t="n">
        <v>-46.3</v>
      </c>
      <c r="D81" s="1" t="n">
        <v>-10.4</v>
      </c>
      <c r="E81" s="2" t="n">
        <v>1.7</v>
      </c>
      <c r="F81" s="2" t="n">
        <v>79</v>
      </c>
      <c r="G81" s="2" t="n">
        <v>69.7</v>
      </c>
      <c r="H81" s="2" t="n">
        <v>-47.7</v>
      </c>
      <c r="I81" s="2" t="n">
        <v>-10</v>
      </c>
      <c r="J81" s="2" t="n">
        <v>17.83364752</v>
      </c>
    </row>
    <row r="82" customFormat="false" ht="15.8" hidden="false" customHeight="false" outlineLevel="0" collapsed="false">
      <c r="A82" s="1" t="n">
        <v>81</v>
      </c>
      <c r="B82" s="1" t="n">
        <v>68.8</v>
      </c>
      <c r="C82" s="1" t="n">
        <v>-44</v>
      </c>
      <c r="D82" s="1" t="n">
        <v>-12.2</v>
      </c>
      <c r="E82" s="2" t="n">
        <v>2.6</v>
      </c>
      <c r="F82" s="2" t="n">
        <v>83</v>
      </c>
      <c r="G82" s="2" t="n">
        <v>67.4</v>
      </c>
      <c r="H82" s="2" t="n">
        <v>-45.5</v>
      </c>
      <c r="I82" s="2" t="n">
        <v>-10.7</v>
      </c>
      <c r="J82" s="2" t="n">
        <v>16.68605957</v>
      </c>
    </row>
    <row r="83" customFormat="false" ht="15.8" hidden="false" customHeight="false" outlineLevel="0" collapsed="false">
      <c r="A83" s="1" t="n">
        <v>82</v>
      </c>
      <c r="B83" s="1" t="n">
        <v>65.4</v>
      </c>
      <c r="C83" s="1" t="n">
        <v>-46.8</v>
      </c>
      <c r="D83" s="1" t="n">
        <v>-10.7</v>
      </c>
      <c r="E83" s="2" t="n">
        <v>2.2</v>
      </c>
      <c r="F83" s="2" t="n">
        <v>77</v>
      </c>
      <c r="G83" s="2" t="n">
        <v>63.4</v>
      </c>
      <c r="H83" s="2" t="n">
        <v>-46.4</v>
      </c>
      <c r="I83" s="2" t="n">
        <v>-11.5</v>
      </c>
      <c r="J83" s="2" t="n">
        <v>12.72409462</v>
      </c>
    </row>
    <row r="84" customFormat="false" ht="15.8" hidden="false" customHeight="false" outlineLevel="0" collapsed="false">
      <c r="A84" s="1" t="n">
        <v>83</v>
      </c>
      <c r="B84" s="1" t="n">
        <v>67.4</v>
      </c>
      <c r="C84" s="1" t="n">
        <v>-45.5</v>
      </c>
      <c r="D84" s="1" t="n">
        <v>-10.7</v>
      </c>
      <c r="E84" s="2" t="n">
        <v>2.3</v>
      </c>
      <c r="F84" s="2" t="n">
        <v>82</v>
      </c>
      <c r="G84" s="2" t="n">
        <v>65.4</v>
      </c>
      <c r="H84" s="2" t="n">
        <v>-46.8</v>
      </c>
      <c r="I84" s="2" t="n">
        <v>-10.7</v>
      </c>
      <c r="J84" s="2" t="n">
        <v>14.96182422</v>
      </c>
    </row>
    <row r="85" customFormat="false" ht="15.8" hidden="false" customHeight="false" outlineLevel="0" collapsed="false">
      <c r="A85" s="1" t="n">
        <v>84</v>
      </c>
      <c r="B85" s="1" t="n">
        <v>61.9</v>
      </c>
      <c r="C85" s="1" t="n">
        <v>-46.6</v>
      </c>
      <c r="D85" s="1" t="n">
        <v>-10.4</v>
      </c>
      <c r="E85" s="2" t="n">
        <v>1.2</v>
      </c>
      <c r="F85" s="2" t="n">
        <v>76</v>
      </c>
      <c r="G85" s="2" t="n">
        <v>61.4</v>
      </c>
      <c r="H85" s="2" t="n">
        <v>-46.7</v>
      </c>
      <c r="I85" s="2" t="n">
        <v>-11.5</v>
      </c>
      <c r="J85" s="2" t="n">
        <v>9.449009684</v>
      </c>
    </row>
    <row r="86" customFormat="false" ht="15.8" hidden="false" customHeight="false" outlineLevel="0" collapsed="false">
      <c r="A86" s="1" t="n">
        <v>85</v>
      </c>
      <c r="B86" s="1" t="n">
        <v>63</v>
      </c>
      <c r="C86" s="1" t="n">
        <v>-51</v>
      </c>
      <c r="D86" s="1" t="n">
        <v>-13.7</v>
      </c>
      <c r="E86" s="2" t="n">
        <v>2</v>
      </c>
      <c r="F86" s="2" t="n">
        <v>86</v>
      </c>
      <c r="G86" s="2" t="n">
        <v>62.1</v>
      </c>
      <c r="H86" s="2" t="n">
        <v>-49.3</v>
      </c>
      <c r="I86" s="2" t="n">
        <v>-14.4</v>
      </c>
      <c r="J86" s="2" t="n">
        <v>10.27763514</v>
      </c>
    </row>
    <row r="87" customFormat="false" ht="15.8" hidden="false" customHeight="false" outlineLevel="0" collapsed="false">
      <c r="A87" s="1" t="n">
        <v>86</v>
      </c>
      <c r="B87" s="1" t="n">
        <v>62.1</v>
      </c>
      <c r="C87" s="1" t="n">
        <v>-49.3</v>
      </c>
      <c r="D87" s="1" t="n">
        <v>-14.4</v>
      </c>
      <c r="E87" s="2" t="n">
        <v>1.9</v>
      </c>
      <c r="F87" s="2" t="n">
        <v>87</v>
      </c>
      <c r="G87" s="2" t="n">
        <v>60.3</v>
      </c>
      <c r="H87" s="2" t="n">
        <v>-50.1</v>
      </c>
      <c r="I87" s="2" t="n">
        <v>-14.4</v>
      </c>
      <c r="J87" s="2" t="n">
        <v>9.417674023</v>
      </c>
    </row>
    <row r="88" customFormat="false" ht="15.8" hidden="false" customHeight="false" outlineLevel="0" collapsed="false">
      <c r="A88" s="1" t="n">
        <v>87</v>
      </c>
      <c r="B88" s="1" t="n">
        <v>60.3</v>
      </c>
      <c r="C88" s="1" t="n">
        <v>-50.1</v>
      </c>
      <c r="D88" s="1" t="n">
        <v>-14.4</v>
      </c>
      <c r="E88" s="2" t="n">
        <v>0.8</v>
      </c>
      <c r="F88" s="2" t="n">
        <v>88</v>
      </c>
      <c r="G88" s="2" t="n">
        <v>59.7</v>
      </c>
      <c r="H88" s="2" t="n">
        <v>-49.7</v>
      </c>
      <c r="I88" s="2" t="n">
        <v>-14.4</v>
      </c>
      <c r="J88" s="2" t="n">
        <v>7.727495325</v>
      </c>
    </row>
    <row r="89" customFormat="false" ht="15.8" hidden="false" customHeight="false" outlineLevel="0" collapsed="false">
      <c r="A89" s="1" t="n">
        <v>88</v>
      </c>
      <c r="B89" s="1" t="n">
        <v>59.7</v>
      </c>
      <c r="C89" s="1" t="n">
        <v>-49.7</v>
      </c>
      <c r="D89" s="1" t="n">
        <v>-14.4</v>
      </c>
      <c r="E89" s="2" t="n">
        <v>0.8</v>
      </c>
      <c r="F89" s="2" t="n">
        <v>87</v>
      </c>
      <c r="G89" s="2" t="n">
        <v>60.3</v>
      </c>
      <c r="H89" s="2" t="n">
        <v>-50.1</v>
      </c>
      <c r="I89" s="2" t="n">
        <v>-14.4</v>
      </c>
      <c r="J89" s="2" t="n">
        <v>7.133679555</v>
      </c>
    </row>
    <row r="90" customFormat="false" ht="15.8" hidden="false" customHeight="false" outlineLevel="0" collapsed="false">
      <c r="A90" s="1" t="n">
        <v>89</v>
      </c>
      <c r="B90" s="1" t="n">
        <v>58.8</v>
      </c>
      <c r="C90" s="1" t="n">
        <v>-47.3</v>
      </c>
      <c r="D90" s="1" t="n">
        <v>-14.1</v>
      </c>
      <c r="E90" s="2" t="n">
        <v>2.6</v>
      </c>
      <c r="F90" s="2" t="n">
        <v>88</v>
      </c>
      <c r="G90" s="2" t="n">
        <v>59.7</v>
      </c>
      <c r="H90" s="2" t="n">
        <v>-49.7</v>
      </c>
      <c r="I90" s="2" t="n">
        <v>-14.4</v>
      </c>
      <c r="J90" s="2" t="n">
        <v>6.513876265</v>
      </c>
    </row>
    <row r="91" customFormat="false" ht="15.8" hidden="false" customHeight="false" outlineLevel="0" collapsed="false">
      <c r="A91" s="1" t="n">
        <v>90</v>
      </c>
      <c r="B91" s="1" t="n">
        <v>46.7</v>
      </c>
      <c r="C91" s="1" t="n">
        <v>-45.9</v>
      </c>
      <c r="D91" s="1" t="n">
        <v>-11.1</v>
      </c>
      <c r="E91" s="2" t="n">
        <v>3.5</v>
      </c>
      <c r="F91" s="2" t="n">
        <v>307</v>
      </c>
      <c r="G91" s="2" t="n">
        <v>44.1</v>
      </c>
      <c r="H91" s="2" t="n">
        <v>-47.9</v>
      </c>
      <c r="I91" s="2" t="n">
        <v>-12.2</v>
      </c>
      <c r="J91" s="2" t="n">
        <v>7.244431241</v>
      </c>
    </row>
    <row r="92" customFormat="false" ht="15.8" hidden="false" customHeight="false" outlineLevel="0" collapsed="false">
      <c r="A92" s="1" t="n">
        <v>91</v>
      </c>
      <c r="B92" s="1" t="n">
        <v>57</v>
      </c>
      <c r="C92" s="1" t="n">
        <v>-54.9</v>
      </c>
      <c r="D92" s="1" t="n">
        <v>-7.4</v>
      </c>
      <c r="E92" s="2" t="n">
        <v>0.9</v>
      </c>
      <c r="F92" s="2" t="n">
        <v>94</v>
      </c>
      <c r="G92" s="2" t="n">
        <v>57.8</v>
      </c>
      <c r="H92" s="2" t="n">
        <v>-54.7</v>
      </c>
      <c r="I92" s="2" t="n">
        <v>-7</v>
      </c>
      <c r="J92" s="2" t="n">
        <v>8.214364492</v>
      </c>
    </row>
    <row r="93" customFormat="false" ht="15.8" hidden="false" customHeight="false" outlineLevel="0" collapsed="false">
      <c r="A93" s="1" t="n">
        <v>92</v>
      </c>
      <c r="B93" s="1" t="n">
        <v>55</v>
      </c>
      <c r="C93" s="1" t="n">
        <v>-55.1</v>
      </c>
      <c r="D93" s="1" t="n">
        <v>-7.4</v>
      </c>
      <c r="E93" s="2" t="n">
        <v>1.2</v>
      </c>
      <c r="F93" s="2" t="n">
        <v>93</v>
      </c>
      <c r="G93" s="2" t="n">
        <v>55.6</v>
      </c>
      <c r="H93" s="2" t="n">
        <v>-56.1</v>
      </c>
      <c r="I93" s="2" t="n">
        <v>-7</v>
      </c>
      <c r="J93" s="2" t="n">
        <v>7.59851196</v>
      </c>
    </row>
    <row r="94" customFormat="false" ht="15.8" hidden="false" customHeight="false" outlineLevel="0" collapsed="false">
      <c r="A94" s="1" t="n">
        <v>93</v>
      </c>
      <c r="B94" s="1" t="n">
        <v>55.6</v>
      </c>
      <c r="C94" s="1" t="n">
        <v>-56.1</v>
      </c>
      <c r="D94" s="1" t="n">
        <v>-7</v>
      </c>
      <c r="E94" s="2" t="n">
        <v>1.2</v>
      </c>
      <c r="F94" s="2" t="n">
        <v>92</v>
      </c>
      <c r="G94" s="2" t="n">
        <v>55</v>
      </c>
      <c r="H94" s="2" t="n">
        <v>-55.1</v>
      </c>
      <c r="I94" s="2" t="n">
        <v>-7.4</v>
      </c>
      <c r="J94" s="2" t="n">
        <v>8.762270482</v>
      </c>
    </row>
    <row r="95" customFormat="false" ht="15.8" hidden="false" customHeight="false" outlineLevel="0" collapsed="false">
      <c r="A95" s="1" t="n">
        <v>94</v>
      </c>
      <c r="B95" s="1" t="n">
        <v>57.8</v>
      </c>
      <c r="C95" s="1" t="n">
        <v>-54.7</v>
      </c>
      <c r="D95" s="1" t="n">
        <v>-7</v>
      </c>
      <c r="E95" s="2" t="n">
        <v>0.9</v>
      </c>
      <c r="F95" s="2" t="n">
        <v>91</v>
      </c>
      <c r="G95" s="2" t="n">
        <v>57</v>
      </c>
      <c r="H95" s="2" t="n">
        <v>-54.9</v>
      </c>
      <c r="I95" s="2" t="n">
        <v>-7.4</v>
      </c>
      <c r="J95" s="2" t="n">
        <v>8.726590629</v>
      </c>
    </row>
    <row r="96" customFormat="false" ht="15.8" hidden="false" customHeight="false" outlineLevel="0" collapsed="false">
      <c r="A96" s="1" t="n">
        <v>95</v>
      </c>
      <c r="B96" s="1" t="n">
        <v>58.4</v>
      </c>
      <c r="C96" s="1" t="n">
        <v>-53.8</v>
      </c>
      <c r="D96" s="1" t="n">
        <v>-7.8</v>
      </c>
      <c r="E96" s="2" t="n">
        <v>1.3</v>
      </c>
      <c r="F96" s="2" t="n">
        <v>94</v>
      </c>
      <c r="G96" s="2" t="n">
        <v>57.8</v>
      </c>
      <c r="H96" s="2" t="n">
        <v>-54.7</v>
      </c>
      <c r="I96" s="2" t="n">
        <v>-7</v>
      </c>
      <c r="J96" s="2" t="n">
        <v>8.134554936</v>
      </c>
    </row>
    <row r="97" customFormat="false" ht="15.8" hidden="false" customHeight="false" outlineLevel="0" collapsed="false">
      <c r="A97" s="1" t="n">
        <v>96</v>
      </c>
      <c r="B97" s="1" t="n">
        <v>62.3</v>
      </c>
      <c r="C97" s="1" t="n">
        <v>-54.3</v>
      </c>
      <c r="D97" s="1" t="n">
        <v>-5.5</v>
      </c>
      <c r="E97" s="2" t="n">
        <v>2.2</v>
      </c>
      <c r="F97" s="2" t="n">
        <v>98</v>
      </c>
      <c r="G97" s="2" t="n">
        <v>63.9</v>
      </c>
      <c r="H97" s="2" t="n">
        <v>-52.8</v>
      </c>
      <c r="I97" s="2" t="n">
        <v>-5.9</v>
      </c>
      <c r="J97" s="2" t="n">
        <v>12.35443985</v>
      </c>
    </row>
    <row r="98" customFormat="false" ht="15.8" hidden="false" customHeight="false" outlineLevel="0" collapsed="false">
      <c r="A98" s="1" t="n">
        <v>97</v>
      </c>
      <c r="B98" s="1" t="n">
        <v>64.7</v>
      </c>
      <c r="C98" s="1" t="n">
        <v>-53.7</v>
      </c>
      <c r="D98" s="1" t="n">
        <v>-5.9</v>
      </c>
      <c r="E98" s="2" t="n">
        <v>1.2</v>
      </c>
      <c r="F98" s="2" t="n">
        <v>98</v>
      </c>
      <c r="G98" s="2" t="n">
        <v>63.9</v>
      </c>
      <c r="H98" s="2" t="n">
        <v>-52.8</v>
      </c>
      <c r="I98" s="2" t="n">
        <v>-5.9</v>
      </c>
      <c r="J98" s="2" t="n">
        <v>13.87254065</v>
      </c>
    </row>
    <row r="99" customFormat="false" ht="15.8" hidden="false" customHeight="false" outlineLevel="0" collapsed="false">
      <c r="A99" s="1" t="n">
        <v>98</v>
      </c>
      <c r="B99" s="1" t="n">
        <v>63.9</v>
      </c>
      <c r="C99" s="1" t="n">
        <v>-52.8</v>
      </c>
      <c r="D99" s="1" t="n">
        <v>-5.9</v>
      </c>
      <c r="E99" s="2" t="n">
        <v>1.2</v>
      </c>
      <c r="F99" s="2" t="n">
        <v>97</v>
      </c>
      <c r="G99" s="2" t="n">
        <v>64.7</v>
      </c>
      <c r="H99" s="2" t="n">
        <v>-53.7</v>
      </c>
      <c r="I99" s="2" t="n">
        <v>-5.9</v>
      </c>
      <c r="J99" s="2" t="n">
        <v>12.93751846</v>
      </c>
    </row>
    <row r="100" customFormat="false" ht="15.8" hidden="false" customHeight="false" outlineLevel="0" collapsed="false">
      <c r="A100" s="1" t="n">
        <v>99</v>
      </c>
      <c r="B100" s="1" t="n">
        <v>63.9</v>
      </c>
      <c r="C100" s="1" t="n">
        <v>-52.9</v>
      </c>
      <c r="D100" s="1" t="n">
        <v>-4.4</v>
      </c>
      <c r="E100" s="2" t="n">
        <v>1.3</v>
      </c>
      <c r="F100" s="2" t="n">
        <v>100</v>
      </c>
      <c r="G100" s="2" t="n">
        <v>65.3</v>
      </c>
      <c r="H100" s="2" t="n">
        <v>-52.9</v>
      </c>
      <c r="I100" s="2" t="n">
        <v>-4.4</v>
      </c>
      <c r="J100" s="2" t="n">
        <v>13.73062941</v>
      </c>
    </row>
    <row r="101" customFormat="false" ht="15.8" hidden="false" customHeight="false" outlineLevel="0" collapsed="false">
      <c r="A101" s="1" t="n">
        <v>100</v>
      </c>
      <c r="B101" s="1" t="n">
        <v>65.3</v>
      </c>
      <c r="C101" s="1" t="n">
        <v>-52.9</v>
      </c>
      <c r="D101" s="1" t="n">
        <v>-4.4</v>
      </c>
      <c r="E101" s="2" t="n">
        <v>1.3</v>
      </c>
      <c r="F101" s="2" t="n">
        <v>99</v>
      </c>
      <c r="G101" s="2" t="n">
        <v>63.9</v>
      </c>
      <c r="H101" s="2" t="n">
        <v>-52.9</v>
      </c>
      <c r="I101" s="2" t="n">
        <v>-4.4</v>
      </c>
      <c r="J101" s="2" t="n">
        <v>14.86622292</v>
      </c>
    </row>
    <row r="102" customFormat="false" ht="15.8" hidden="false" customHeight="false" outlineLevel="0" collapsed="false">
      <c r="A102" s="1" t="n">
        <v>101</v>
      </c>
      <c r="B102" s="1" t="n">
        <v>56.8</v>
      </c>
      <c r="C102" s="1" t="n">
        <v>-47</v>
      </c>
      <c r="D102" s="1" t="n">
        <v>-5.9</v>
      </c>
      <c r="E102" s="2" t="n">
        <v>4.6</v>
      </c>
      <c r="F102" s="2" t="n">
        <v>112</v>
      </c>
      <c r="G102" s="2" t="n">
        <v>55.7</v>
      </c>
      <c r="H102" s="2" t="n">
        <v>-50</v>
      </c>
      <c r="I102" s="2" t="n">
        <v>-2.6</v>
      </c>
      <c r="J102" s="2" t="n">
        <v>7.539455153</v>
      </c>
    </row>
    <row r="103" customFormat="false" ht="15.8" hidden="false" customHeight="false" outlineLevel="0" collapsed="false">
      <c r="A103" s="1" t="n">
        <v>102</v>
      </c>
      <c r="B103" s="1" t="n">
        <v>57.2</v>
      </c>
      <c r="C103" s="1" t="n">
        <v>-50.7</v>
      </c>
      <c r="D103" s="1" t="n">
        <v>-17.4</v>
      </c>
      <c r="E103" s="2" t="n">
        <v>2</v>
      </c>
      <c r="F103" s="2" t="n">
        <v>104</v>
      </c>
      <c r="G103" s="2" t="n">
        <v>58.2</v>
      </c>
      <c r="H103" s="2" t="n">
        <v>-49.5</v>
      </c>
      <c r="I103" s="2" t="n">
        <v>-18.5</v>
      </c>
      <c r="J103" s="2" t="n">
        <v>6.993524433</v>
      </c>
    </row>
    <row r="104" customFormat="false" ht="15.8" hidden="false" customHeight="false" outlineLevel="0" collapsed="false">
      <c r="A104" s="1" t="n">
        <v>103</v>
      </c>
      <c r="B104" s="1" t="n">
        <v>60.2</v>
      </c>
      <c r="C104" s="1" t="n">
        <v>-47</v>
      </c>
      <c r="D104" s="1" t="n">
        <v>-18.5</v>
      </c>
      <c r="E104" s="2" t="n">
        <v>1.2</v>
      </c>
      <c r="F104" s="2" t="n">
        <v>105</v>
      </c>
      <c r="G104" s="2" t="n">
        <v>59.1</v>
      </c>
      <c r="H104" s="2" t="n">
        <v>-46.8</v>
      </c>
      <c r="I104" s="2" t="n">
        <v>-18.5</v>
      </c>
      <c r="J104" s="2" t="n">
        <v>10.00380847</v>
      </c>
    </row>
    <row r="105" customFormat="false" ht="15.8" hidden="false" customHeight="false" outlineLevel="0" collapsed="false">
      <c r="A105" s="1" t="n">
        <v>104</v>
      </c>
      <c r="B105" s="1" t="n">
        <v>58.2</v>
      </c>
      <c r="C105" s="1" t="n">
        <v>-49.5</v>
      </c>
      <c r="D105" s="1" t="n">
        <v>-18.5</v>
      </c>
      <c r="E105" s="2" t="n">
        <v>2</v>
      </c>
      <c r="F105" s="2" t="n">
        <v>102</v>
      </c>
      <c r="G105" s="2" t="n">
        <v>57.2</v>
      </c>
      <c r="H105" s="2" t="n">
        <v>-50.7</v>
      </c>
      <c r="I105" s="2" t="n">
        <v>-17.4</v>
      </c>
      <c r="J105" s="2" t="n">
        <v>8.348903161</v>
      </c>
    </row>
    <row r="106" customFormat="false" ht="15.8" hidden="false" customHeight="false" outlineLevel="0" collapsed="false">
      <c r="A106" s="1" t="n">
        <v>105</v>
      </c>
      <c r="B106" s="1" t="n">
        <v>59.1</v>
      </c>
      <c r="C106" s="1" t="n">
        <v>-46.8</v>
      </c>
      <c r="D106" s="1" t="n">
        <v>-18.5</v>
      </c>
      <c r="E106" s="2" t="n">
        <v>1.2</v>
      </c>
      <c r="F106" s="2" t="n">
        <v>103</v>
      </c>
      <c r="G106" s="2" t="n">
        <v>60.2</v>
      </c>
      <c r="H106" s="2" t="n">
        <v>-47</v>
      </c>
      <c r="I106" s="2" t="n">
        <v>-18.5</v>
      </c>
      <c r="J106" s="2" t="n">
        <v>9.29714924</v>
      </c>
    </row>
    <row r="107" customFormat="false" ht="15.8" hidden="false" customHeight="false" outlineLevel="0" collapsed="false">
      <c r="A107" s="1" t="n">
        <v>106</v>
      </c>
      <c r="B107" s="1" t="n">
        <v>59.7</v>
      </c>
      <c r="C107" s="1" t="n">
        <v>-45.9</v>
      </c>
      <c r="D107" s="1" t="n">
        <v>-18.1</v>
      </c>
      <c r="E107" s="2" t="n">
        <v>1.2</v>
      </c>
      <c r="F107" s="2" t="n">
        <v>105</v>
      </c>
      <c r="G107" s="2" t="n">
        <v>59.1</v>
      </c>
      <c r="H107" s="2" t="n">
        <v>-46.8</v>
      </c>
      <c r="I107" s="2" t="n">
        <v>-18.5</v>
      </c>
      <c r="J107" s="2" t="n">
        <v>9.719968313</v>
      </c>
    </row>
    <row r="108" customFormat="false" ht="15.8" hidden="false" customHeight="false" outlineLevel="0" collapsed="false">
      <c r="A108" s="1" t="n">
        <v>107</v>
      </c>
      <c r="B108" s="1" t="n">
        <v>56.7</v>
      </c>
      <c r="C108" s="1" t="n">
        <v>-45.1</v>
      </c>
      <c r="D108" s="1" t="n">
        <v>-16.6</v>
      </c>
      <c r="E108" s="2" t="n">
        <v>3</v>
      </c>
      <c r="F108" s="2" t="n">
        <v>108</v>
      </c>
      <c r="G108" s="2" t="n">
        <v>59.1</v>
      </c>
      <c r="H108" s="2" t="n">
        <v>-43.3</v>
      </c>
      <c r="I108" s="2" t="n">
        <v>-16.6</v>
      </c>
      <c r="J108" s="2" t="n">
        <v>7.302697036</v>
      </c>
    </row>
    <row r="109" customFormat="false" ht="15.8" hidden="false" customHeight="false" outlineLevel="0" collapsed="false">
      <c r="A109" s="1" t="n">
        <v>108</v>
      </c>
      <c r="B109" s="1" t="n">
        <v>59.1</v>
      </c>
      <c r="C109" s="1" t="n">
        <v>-43.3</v>
      </c>
      <c r="D109" s="1" t="n">
        <v>-16.6</v>
      </c>
      <c r="E109" s="2" t="n">
        <v>0.9</v>
      </c>
      <c r="F109" s="2" t="n">
        <v>109</v>
      </c>
      <c r="G109" s="2" t="n">
        <v>59.9</v>
      </c>
      <c r="H109" s="2" t="n">
        <v>-43.2</v>
      </c>
      <c r="I109" s="2" t="n">
        <v>-16.3</v>
      </c>
      <c r="J109" s="2" t="n">
        <v>9.769205904</v>
      </c>
    </row>
    <row r="110" customFormat="false" ht="15.8" hidden="false" customHeight="false" outlineLevel="0" collapsed="false">
      <c r="A110" s="1" t="n">
        <v>109</v>
      </c>
      <c r="B110" s="1" t="n">
        <v>59.9</v>
      </c>
      <c r="C110" s="1" t="n">
        <v>-43.2</v>
      </c>
      <c r="D110" s="1" t="n">
        <v>-16.3</v>
      </c>
      <c r="E110" s="2" t="n">
        <v>0.9</v>
      </c>
      <c r="F110" s="2" t="n">
        <v>108</v>
      </c>
      <c r="G110" s="2" t="n">
        <v>59.1</v>
      </c>
      <c r="H110" s="2" t="n">
        <v>-43.3</v>
      </c>
      <c r="I110" s="2" t="n">
        <v>-16.6</v>
      </c>
      <c r="J110" s="2" t="n">
        <v>10.21607478</v>
      </c>
    </row>
    <row r="111" customFormat="false" ht="15.8" hidden="false" customHeight="false" outlineLevel="0" collapsed="false">
      <c r="A111" s="1" t="n">
        <v>110</v>
      </c>
      <c r="B111" s="1" t="n">
        <v>60.5</v>
      </c>
      <c r="C111" s="1" t="n">
        <v>-43.5</v>
      </c>
      <c r="D111" s="1" t="n">
        <v>-15.5</v>
      </c>
      <c r="E111" s="2" t="n">
        <v>1</v>
      </c>
      <c r="F111" s="2" t="n">
        <v>109</v>
      </c>
      <c r="G111" s="2" t="n">
        <v>59.9</v>
      </c>
      <c r="H111" s="2" t="n">
        <v>-43.2</v>
      </c>
      <c r="I111" s="2" t="n">
        <v>-16.3</v>
      </c>
      <c r="J111" s="2" t="n">
        <v>10.15406244</v>
      </c>
    </row>
    <row r="112" customFormat="false" ht="15.8" hidden="false" customHeight="false" outlineLevel="0" collapsed="false">
      <c r="A112" s="1" t="n">
        <v>111</v>
      </c>
      <c r="B112" s="1" t="n">
        <v>59.2</v>
      </c>
      <c r="C112" s="1" t="n">
        <v>-41.8</v>
      </c>
      <c r="D112" s="1" t="n">
        <v>-17.4</v>
      </c>
      <c r="E112" s="2" t="n">
        <v>1.7</v>
      </c>
      <c r="F112" s="2" t="n">
        <v>108</v>
      </c>
      <c r="G112" s="2" t="n">
        <v>59.1</v>
      </c>
      <c r="H112" s="2" t="n">
        <v>-43.3</v>
      </c>
      <c r="I112" s="2" t="n">
        <v>-16.6</v>
      </c>
      <c r="J112" s="2" t="n">
        <v>11.18776939</v>
      </c>
    </row>
    <row r="113" customFormat="false" ht="15.8" hidden="false" customHeight="false" outlineLevel="0" collapsed="false">
      <c r="A113" s="1" t="n">
        <v>112</v>
      </c>
      <c r="B113" s="1" t="n">
        <v>55.7</v>
      </c>
      <c r="C113" s="1" t="n">
        <v>-50</v>
      </c>
      <c r="D113" s="1" t="n">
        <v>-2.6</v>
      </c>
      <c r="E113" s="2" t="n">
        <v>3.9</v>
      </c>
      <c r="F113" s="2" t="n">
        <v>127</v>
      </c>
      <c r="G113" s="2" t="n">
        <v>59.5</v>
      </c>
      <c r="H113" s="2" t="n">
        <v>-50.1</v>
      </c>
      <c r="I113" s="2" t="n">
        <v>-3</v>
      </c>
      <c r="J113" s="2" t="n">
        <v>9.769369683</v>
      </c>
    </row>
    <row r="114" customFormat="false" ht="15.8" hidden="false" customHeight="false" outlineLevel="0" collapsed="false">
      <c r="A114" s="1" t="n">
        <v>113</v>
      </c>
      <c r="B114" s="1" t="n">
        <v>59.9</v>
      </c>
      <c r="C114" s="1" t="n">
        <v>-50.5</v>
      </c>
      <c r="D114" s="1" t="n">
        <v>-7</v>
      </c>
      <c r="E114" s="2" t="n">
        <v>1.8</v>
      </c>
      <c r="F114" s="2" t="n">
        <v>115</v>
      </c>
      <c r="G114" s="2" t="n">
        <v>59.6</v>
      </c>
      <c r="H114" s="2" t="n">
        <v>-52.1</v>
      </c>
      <c r="I114" s="2" t="n">
        <v>-6.3</v>
      </c>
      <c r="J114" s="2" t="n">
        <v>8.576093749</v>
      </c>
    </row>
    <row r="115" customFormat="false" ht="15.8" hidden="false" customHeight="false" outlineLevel="0" collapsed="false">
      <c r="A115" s="1" t="n">
        <v>114</v>
      </c>
      <c r="B115" s="1" t="n">
        <v>59.3</v>
      </c>
      <c r="C115" s="1" t="n">
        <v>-52.1</v>
      </c>
      <c r="D115" s="1" t="n">
        <v>-6.3</v>
      </c>
      <c r="E115" s="2" t="n">
        <v>0.3</v>
      </c>
      <c r="F115" s="2" t="n">
        <v>115</v>
      </c>
      <c r="G115" s="2" t="n">
        <v>59.6</v>
      </c>
      <c r="H115" s="2" t="n">
        <v>-52.1</v>
      </c>
      <c r="I115" s="2" t="n">
        <v>-6.3</v>
      </c>
      <c r="J115" s="2" t="n">
        <v>8.903133381</v>
      </c>
    </row>
    <row r="116" customFormat="false" ht="15.8" hidden="false" customHeight="false" outlineLevel="0" collapsed="false">
      <c r="A116" s="1" t="n">
        <v>115</v>
      </c>
      <c r="B116" s="1" t="n">
        <v>59.6</v>
      </c>
      <c r="C116" s="1" t="n">
        <v>-52.1</v>
      </c>
      <c r="D116" s="1" t="n">
        <v>-6.3</v>
      </c>
      <c r="E116" s="2" t="n">
        <v>0.3</v>
      </c>
      <c r="F116" s="2" t="n">
        <v>114</v>
      </c>
      <c r="G116" s="2" t="n">
        <v>59.3</v>
      </c>
      <c r="H116" s="2" t="n">
        <v>-52.1</v>
      </c>
      <c r="I116" s="2" t="n">
        <v>-6.3</v>
      </c>
      <c r="J116" s="2" t="n">
        <v>9.117816844</v>
      </c>
    </row>
    <row r="117" customFormat="false" ht="15.8" hidden="false" customHeight="false" outlineLevel="0" collapsed="false">
      <c r="A117" s="1" t="n">
        <v>116</v>
      </c>
      <c r="B117" s="1" t="n">
        <v>59.8</v>
      </c>
      <c r="C117" s="1" t="n">
        <v>-52.6</v>
      </c>
      <c r="D117" s="1" t="n">
        <v>-5.9</v>
      </c>
      <c r="E117" s="2" t="n">
        <v>0.7</v>
      </c>
      <c r="F117" s="2" t="n">
        <v>115</v>
      </c>
      <c r="G117" s="2" t="n">
        <v>59.6</v>
      </c>
      <c r="H117" s="2" t="n">
        <v>-52.1</v>
      </c>
      <c r="I117" s="2" t="n">
        <v>-6.3</v>
      </c>
      <c r="J117" s="2" t="n">
        <v>9.669135639</v>
      </c>
    </row>
    <row r="118" customFormat="false" ht="15.8" hidden="false" customHeight="false" outlineLevel="0" collapsed="false">
      <c r="A118" s="1" t="n">
        <v>117</v>
      </c>
      <c r="B118" s="1" t="n">
        <v>63.6</v>
      </c>
      <c r="C118" s="1" t="n">
        <v>-50.5</v>
      </c>
      <c r="D118" s="1" t="n">
        <v>-5.5</v>
      </c>
      <c r="E118" s="2" t="n">
        <v>1.5</v>
      </c>
      <c r="F118" s="2" t="n">
        <v>138</v>
      </c>
      <c r="G118" s="2" t="n">
        <v>62.3</v>
      </c>
      <c r="H118" s="2" t="n">
        <v>-50.3</v>
      </c>
      <c r="I118" s="2" t="n">
        <v>-4.8</v>
      </c>
      <c r="J118" s="2" t="n">
        <v>12.46750111</v>
      </c>
    </row>
    <row r="119" customFormat="false" ht="15.8" hidden="false" customHeight="false" outlineLevel="0" collapsed="false">
      <c r="A119" s="1" t="n">
        <v>118</v>
      </c>
      <c r="B119" s="1" t="n">
        <v>68.5</v>
      </c>
      <c r="C119" s="1" t="n">
        <v>-50</v>
      </c>
      <c r="D119" s="1" t="n">
        <v>-3</v>
      </c>
      <c r="E119" s="2" t="n">
        <v>1.2</v>
      </c>
      <c r="F119" s="2" t="n">
        <v>135</v>
      </c>
      <c r="G119" s="2" t="n">
        <v>68.7</v>
      </c>
      <c r="H119" s="2" t="n">
        <v>-49.1</v>
      </c>
      <c r="I119" s="2" t="n">
        <v>-2.2</v>
      </c>
      <c r="J119" s="2" t="n">
        <v>17.91689102</v>
      </c>
    </row>
    <row r="120" customFormat="false" ht="15.8" hidden="false" customHeight="false" outlineLevel="0" collapsed="false">
      <c r="A120" s="1" t="n">
        <v>119</v>
      </c>
      <c r="B120" s="1" t="n">
        <v>69.5</v>
      </c>
      <c r="C120" s="1" t="n">
        <v>-49.1</v>
      </c>
      <c r="D120" s="1" t="n">
        <v>-3</v>
      </c>
      <c r="E120" s="2" t="n">
        <v>1.1</v>
      </c>
      <c r="F120" s="2" t="n">
        <v>135</v>
      </c>
      <c r="G120" s="2" t="n">
        <v>68.7</v>
      </c>
      <c r="H120" s="2" t="n">
        <v>-49.1</v>
      </c>
      <c r="I120" s="2" t="n">
        <v>-2.2</v>
      </c>
      <c r="J120" s="2" t="n">
        <v>18.77977061</v>
      </c>
    </row>
    <row r="121" customFormat="false" ht="15.8" hidden="false" customHeight="false" outlineLevel="0" collapsed="false">
      <c r="A121" s="1" t="n">
        <v>120</v>
      </c>
      <c r="B121" s="1" t="n">
        <v>71.8</v>
      </c>
      <c r="C121" s="1" t="n">
        <v>-49.9</v>
      </c>
      <c r="D121" s="1" t="n">
        <v>-2.6</v>
      </c>
      <c r="E121" s="2" t="n">
        <v>2.5</v>
      </c>
      <c r="F121" s="2" t="n">
        <v>119</v>
      </c>
      <c r="G121" s="2" t="n">
        <v>69.5</v>
      </c>
      <c r="H121" s="2" t="n">
        <v>-49.1</v>
      </c>
      <c r="I121" s="2" t="n">
        <v>-3</v>
      </c>
      <c r="J121" s="2" t="n">
        <v>21.00974498</v>
      </c>
    </row>
    <row r="122" customFormat="false" ht="15.8" hidden="false" customHeight="false" outlineLevel="0" collapsed="false">
      <c r="A122" s="1" t="n">
        <v>121</v>
      </c>
      <c r="B122" s="1" t="n">
        <v>66.4</v>
      </c>
      <c r="C122" s="1" t="n">
        <v>-53.6</v>
      </c>
      <c r="D122" s="1" t="n">
        <v>-5.9</v>
      </c>
      <c r="E122" s="2" t="n">
        <v>1.7</v>
      </c>
      <c r="F122" s="2" t="n">
        <v>97</v>
      </c>
      <c r="G122" s="2" t="n">
        <v>64.7</v>
      </c>
      <c r="H122" s="2" t="n">
        <v>-53.7</v>
      </c>
      <c r="I122" s="2" t="n">
        <v>-5.9</v>
      </c>
      <c r="J122" s="2" t="n">
        <v>15.30535148</v>
      </c>
    </row>
    <row r="123" customFormat="false" ht="15.8" hidden="false" customHeight="false" outlineLevel="0" collapsed="false">
      <c r="A123" s="1" t="n">
        <v>122</v>
      </c>
      <c r="B123" s="1" t="n">
        <v>68.9</v>
      </c>
      <c r="C123" s="1" t="n">
        <v>-54.5</v>
      </c>
      <c r="D123" s="1" t="n">
        <v>-5.5</v>
      </c>
      <c r="E123" s="2" t="n">
        <v>1.5</v>
      </c>
      <c r="F123" s="2" t="n">
        <v>123</v>
      </c>
      <c r="G123" s="2" t="n">
        <v>68.7</v>
      </c>
      <c r="H123" s="2" t="n">
        <v>-55.8</v>
      </c>
      <c r="I123" s="2" t="n">
        <v>-4.8</v>
      </c>
      <c r="J123" s="2" t="n">
        <v>17.91478116</v>
      </c>
    </row>
    <row r="124" customFormat="false" ht="15.8" hidden="false" customHeight="false" outlineLevel="0" collapsed="false">
      <c r="A124" s="1" t="n">
        <v>123</v>
      </c>
      <c r="B124" s="1" t="n">
        <v>68.7</v>
      </c>
      <c r="C124" s="1" t="n">
        <v>-55.8</v>
      </c>
      <c r="D124" s="1" t="n">
        <v>-4.8</v>
      </c>
      <c r="E124" s="2" t="n">
        <v>1.5</v>
      </c>
      <c r="F124" s="2" t="n">
        <v>122</v>
      </c>
      <c r="G124" s="2" t="n">
        <v>68.9</v>
      </c>
      <c r="H124" s="2" t="n">
        <v>-54.5</v>
      </c>
      <c r="I124" s="2" t="n">
        <v>-5.5</v>
      </c>
      <c r="J124" s="2" t="n">
        <v>18.41748582</v>
      </c>
    </row>
    <row r="125" customFormat="false" ht="15.8" hidden="false" customHeight="false" outlineLevel="0" collapsed="false">
      <c r="A125" s="1" t="n">
        <v>124</v>
      </c>
      <c r="B125" s="1" t="n">
        <v>72.5</v>
      </c>
      <c r="C125" s="1" t="n">
        <v>-54.5</v>
      </c>
      <c r="D125" s="1" t="n">
        <v>-3.7</v>
      </c>
      <c r="E125" s="2" t="n">
        <v>1.7</v>
      </c>
      <c r="F125" s="2" t="n">
        <v>125</v>
      </c>
      <c r="G125" s="2" t="n">
        <v>71.1</v>
      </c>
      <c r="H125" s="2" t="n">
        <v>-54.1</v>
      </c>
      <c r="I125" s="2" t="n">
        <v>-4.4</v>
      </c>
      <c r="J125" s="2" t="n">
        <v>21.79196604</v>
      </c>
    </row>
    <row r="126" customFormat="false" ht="15.8" hidden="false" customHeight="false" outlineLevel="0" collapsed="false">
      <c r="A126" s="1" t="n">
        <v>125</v>
      </c>
      <c r="B126" s="1" t="n">
        <v>71.1</v>
      </c>
      <c r="C126" s="1" t="n">
        <v>-54.1</v>
      </c>
      <c r="D126" s="1" t="n">
        <v>-4.4</v>
      </c>
      <c r="E126" s="2" t="n">
        <v>1.7</v>
      </c>
      <c r="F126" s="2" t="n">
        <v>124</v>
      </c>
      <c r="G126" s="2" t="n">
        <v>72.5</v>
      </c>
      <c r="H126" s="2" t="n">
        <v>-54.5</v>
      </c>
      <c r="I126" s="2" t="n">
        <v>-3.7</v>
      </c>
      <c r="J126" s="2" t="n">
        <v>20.1797667</v>
      </c>
    </row>
    <row r="127" customFormat="false" ht="15.8" hidden="false" customHeight="false" outlineLevel="0" collapsed="false">
      <c r="A127" s="1" t="n">
        <v>126</v>
      </c>
      <c r="B127" s="1" t="n">
        <v>60</v>
      </c>
      <c r="C127" s="1" t="n">
        <v>-50.5</v>
      </c>
      <c r="D127" s="1" t="n">
        <v>-4.4</v>
      </c>
      <c r="E127" s="2" t="n">
        <v>1.2</v>
      </c>
      <c r="F127" s="2" t="n">
        <v>136</v>
      </c>
      <c r="G127" s="2" t="n">
        <v>61</v>
      </c>
      <c r="H127" s="2" t="n">
        <v>-50.3</v>
      </c>
      <c r="I127" s="2" t="n">
        <v>-5.2</v>
      </c>
      <c r="J127" s="2" t="n">
        <v>10.3697919</v>
      </c>
    </row>
    <row r="128" customFormat="false" ht="15.8" hidden="false" customHeight="false" outlineLevel="0" collapsed="false">
      <c r="A128" s="1" t="n">
        <v>127</v>
      </c>
      <c r="B128" s="1" t="n">
        <v>59.5</v>
      </c>
      <c r="C128" s="1" t="n">
        <v>-50.1</v>
      </c>
      <c r="D128" s="1" t="n">
        <v>-3</v>
      </c>
      <c r="E128" s="2" t="n">
        <v>1.6</v>
      </c>
      <c r="F128" s="2" t="n">
        <v>126</v>
      </c>
      <c r="G128" s="2" t="n">
        <v>60</v>
      </c>
      <c r="H128" s="2" t="n">
        <v>-50.5</v>
      </c>
      <c r="I128" s="2" t="n">
        <v>-4.4</v>
      </c>
      <c r="J128" s="2" t="n">
        <v>11.09899923</v>
      </c>
    </row>
    <row r="129" customFormat="false" ht="15.8" hidden="false" customHeight="false" outlineLevel="0" collapsed="false">
      <c r="A129" s="1" t="n">
        <v>128</v>
      </c>
      <c r="B129" s="1" t="n">
        <v>63.3</v>
      </c>
      <c r="C129" s="1" t="n">
        <v>-50.3</v>
      </c>
      <c r="D129" s="1" t="n">
        <v>-1.9</v>
      </c>
      <c r="E129" s="2" t="n">
        <v>0.6</v>
      </c>
      <c r="F129" s="2" t="n">
        <v>132</v>
      </c>
      <c r="G129" s="2" t="n">
        <v>63.6</v>
      </c>
      <c r="H129" s="2" t="n">
        <v>-50.8</v>
      </c>
      <c r="I129" s="2" t="n">
        <v>-1.5</v>
      </c>
      <c r="J129" s="2" t="n">
        <v>14.43210948</v>
      </c>
    </row>
    <row r="130" customFormat="false" ht="15.8" hidden="false" customHeight="false" outlineLevel="0" collapsed="false">
      <c r="A130" s="1" t="n">
        <v>129</v>
      </c>
      <c r="B130" s="1" t="n">
        <v>62.1</v>
      </c>
      <c r="C130" s="1" t="n">
        <v>-51</v>
      </c>
      <c r="D130" s="1" t="n">
        <v>-1.5</v>
      </c>
      <c r="E130" s="2" t="n">
        <v>1.4</v>
      </c>
      <c r="F130" s="2" t="n">
        <v>128</v>
      </c>
      <c r="G130" s="2" t="n">
        <v>63.3</v>
      </c>
      <c r="H130" s="2" t="n">
        <v>-50.3</v>
      </c>
      <c r="I130" s="2" t="n">
        <v>-1.9</v>
      </c>
      <c r="J130" s="2" t="n">
        <v>13.96504866</v>
      </c>
    </row>
    <row r="131" customFormat="false" ht="15.8" hidden="false" customHeight="false" outlineLevel="0" collapsed="false">
      <c r="A131" s="1" t="n">
        <v>130</v>
      </c>
      <c r="B131" s="1" t="n">
        <v>62.3</v>
      </c>
      <c r="C131" s="1" t="n">
        <v>-48.4</v>
      </c>
      <c r="D131" s="1" t="n">
        <v>-2.2</v>
      </c>
      <c r="E131" s="2" t="n">
        <v>2.3</v>
      </c>
      <c r="F131" s="2" t="n">
        <v>128</v>
      </c>
      <c r="G131" s="2" t="n">
        <v>63.3</v>
      </c>
      <c r="H131" s="2" t="n">
        <v>-50.3</v>
      </c>
      <c r="I131" s="2" t="n">
        <v>-1.9</v>
      </c>
      <c r="J131" s="2" t="n">
        <v>13.52034704</v>
      </c>
    </row>
    <row r="132" customFormat="false" ht="15.8" hidden="false" customHeight="false" outlineLevel="0" collapsed="false">
      <c r="A132" s="1" t="n">
        <v>131</v>
      </c>
      <c r="B132" s="1" t="n">
        <v>65</v>
      </c>
      <c r="C132" s="1" t="n">
        <v>-50.1</v>
      </c>
      <c r="D132" s="1" t="n">
        <v>-1.9</v>
      </c>
      <c r="E132" s="2" t="n">
        <v>1.7</v>
      </c>
      <c r="F132" s="2" t="n">
        <v>132</v>
      </c>
      <c r="G132" s="2" t="n">
        <v>63.6</v>
      </c>
      <c r="H132" s="2" t="n">
        <v>-50.8</v>
      </c>
      <c r="I132" s="2" t="n">
        <v>-1.5</v>
      </c>
      <c r="J132" s="2" t="n">
        <v>15.67977627</v>
      </c>
    </row>
    <row r="133" customFormat="false" ht="15.8" hidden="false" customHeight="false" outlineLevel="0" collapsed="false">
      <c r="A133" s="1" t="n">
        <v>132</v>
      </c>
      <c r="B133" s="1" t="n">
        <v>63.6</v>
      </c>
      <c r="C133" s="1" t="n">
        <v>-50.8</v>
      </c>
      <c r="D133" s="1" t="n">
        <v>-1.5</v>
      </c>
      <c r="E133" s="2" t="n">
        <v>0.6</v>
      </c>
      <c r="F133" s="2" t="n">
        <v>128</v>
      </c>
      <c r="G133" s="2" t="n">
        <v>63.3</v>
      </c>
      <c r="H133" s="2" t="n">
        <v>-50.3</v>
      </c>
      <c r="I133" s="2" t="n">
        <v>-1.9</v>
      </c>
      <c r="J133" s="2" t="n">
        <v>14.96505877</v>
      </c>
    </row>
    <row r="134" customFormat="false" ht="15.8" hidden="false" customHeight="false" outlineLevel="0" collapsed="false">
      <c r="A134" s="1" t="n">
        <v>133</v>
      </c>
      <c r="B134" s="1" t="n">
        <v>65.8</v>
      </c>
      <c r="C134" s="1" t="n">
        <v>-48</v>
      </c>
      <c r="D134" s="1" t="n">
        <v>-1.9</v>
      </c>
      <c r="E134" s="2" t="n">
        <v>1.7</v>
      </c>
      <c r="F134" s="2" t="n">
        <v>134</v>
      </c>
      <c r="G134" s="2" t="n">
        <v>67</v>
      </c>
      <c r="H134" s="2" t="n">
        <v>-48.8</v>
      </c>
      <c r="I134" s="2" t="n">
        <v>-1.1</v>
      </c>
      <c r="J134" s="2" t="n">
        <v>16.34072777</v>
      </c>
    </row>
    <row r="135" customFormat="false" ht="15.8" hidden="false" customHeight="false" outlineLevel="0" collapsed="false">
      <c r="A135" s="1" t="n">
        <v>134</v>
      </c>
      <c r="B135" s="1" t="n">
        <v>67</v>
      </c>
      <c r="C135" s="1" t="n">
        <v>-48.8</v>
      </c>
      <c r="D135" s="1" t="n">
        <v>-1.1</v>
      </c>
      <c r="E135" s="2" t="n">
        <v>1.7</v>
      </c>
      <c r="F135" s="2" t="n">
        <v>133</v>
      </c>
      <c r="G135" s="2" t="n">
        <v>65.8</v>
      </c>
      <c r="H135" s="2" t="n">
        <v>-48</v>
      </c>
      <c r="I135" s="2" t="n">
        <v>-1.9</v>
      </c>
      <c r="J135" s="2" t="n">
        <v>17.73070173</v>
      </c>
    </row>
    <row r="136" customFormat="false" ht="15.8" hidden="false" customHeight="false" outlineLevel="0" collapsed="false">
      <c r="A136" s="1" t="n">
        <v>135</v>
      </c>
      <c r="B136" s="1" t="n">
        <v>68.7</v>
      </c>
      <c r="C136" s="1" t="n">
        <v>-49.1</v>
      </c>
      <c r="D136" s="1" t="n">
        <v>-2.2</v>
      </c>
      <c r="E136" s="2" t="n">
        <v>1.1</v>
      </c>
      <c r="F136" s="2" t="n">
        <v>119</v>
      </c>
      <c r="G136" s="2" t="n">
        <v>69.5</v>
      </c>
      <c r="H136" s="2" t="n">
        <v>-49.1</v>
      </c>
      <c r="I136" s="2" t="n">
        <v>-3</v>
      </c>
      <c r="J136" s="2" t="n">
        <v>18.49085677</v>
      </c>
    </row>
    <row r="137" customFormat="false" ht="15.8" hidden="false" customHeight="false" outlineLevel="0" collapsed="false">
      <c r="A137" s="1" t="n">
        <v>136</v>
      </c>
      <c r="B137" s="1" t="n">
        <v>61</v>
      </c>
      <c r="C137" s="1" t="n">
        <v>-50.3</v>
      </c>
      <c r="D137" s="1" t="n">
        <v>-5.2</v>
      </c>
      <c r="E137" s="2" t="n">
        <v>0.6</v>
      </c>
      <c r="F137" s="2" t="n">
        <v>137</v>
      </c>
      <c r="G137" s="2" t="n">
        <v>61.5</v>
      </c>
      <c r="H137" s="2" t="n">
        <v>-50.5</v>
      </c>
      <c r="I137" s="2" t="n">
        <v>-5.2</v>
      </c>
      <c r="J137" s="2" t="n">
        <v>10.51884899</v>
      </c>
    </row>
    <row r="138" customFormat="false" ht="15.8" hidden="false" customHeight="false" outlineLevel="0" collapsed="false">
      <c r="A138" s="1" t="n">
        <v>137</v>
      </c>
      <c r="B138" s="1" t="n">
        <v>61.5</v>
      </c>
      <c r="C138" s="1" t="n">
        <v>-50.5</v>
      </c>
      <c r="D138" s="1" t="n">
        <v>-5.2</v>
      </c>
      <c r="E138" s="2" t="n">
        <v>0.6</v>
      </c>
      <c r="F138" s="2" t="n">
        <v>136</v>
      </c>
      <c r="G138" s="2" t="n">
        <v>61</v>
      </c>
      <c r="H138" s="2" t="n">
        <v>-50.3</v>
      </c>
      <c r="I138" s="2" t="n">
        <v>-5.2</v>
      </c>
      <c r="J138" s="2" t="n">
        <v>10.92281026</v>
      </c>
    </row>
    <row r="139" customFormat="false" ht="15.8" hidden="false" customHeight="false" outlineLevel="0" collapsed="false">
      <c r="A139" s="1" t="n">
        <v>138</v>
      </c>
      <c r="B139" s="1" t="n">
        <v>62.3</v>
      </c>
      <c r="C139" s="1" t="n">
        <v>-50.3</v>
      </c>
      <c r="D139" s="1" t="n">
        <v>-4.8</v>
      </c>
      <c r="E139" s="2" t="n">
        <v>0.9</v>
      </c>
      <c r="F139" s="2" t="n">
        <v>139</v>
      </c>
      <c r="G139" s="2" t="n">
        <v>62.7</v>
      </c>
      <c r="H139" s="2" t="n">
        <v>-50.4</v>
      </c>
      <c r="I139" s="2" t="n">
        <v>-4.1</v>
      </c>
      <c r="J139" s="2" t="n">
        <v>11.77732499</v>
      </c>
    </row>
    <row r="140" customFormat="false" ht="15.8" hidden="false" customHeight="false" outlineLevel="0" collapsed="false">
      <c r="A140" s="1" t="n">
        <v>139</v>
      </c>
      <c r="B140" s="1" t="n">
        <v>62.7</v>
      </c>
      <c r="C140" s="1" t="n">
        <v>-50.4</v>
      </c>
      <c r="D140" s="1" t="n">
        <v>-4.1</v>
      </c>
      <c r="E140" s="2" t="n">
        <v>0.9</v>
      </c>
      <c r="F140" s="2" t="n">
        <v>138</v>
      </c>
      <c r="G140" s="2" t="n">
        <v>62.3</v>
      </c>
      <c r="H140" s="2" t="n">
        <v>-50.3</v>
      </c>
      <c r="I140" s="2" t="n">
        <v>-4.8</v>
      </c>
      <c r="J140" s="2" t="n">
        <v>12.53099294</v>
      </c>
    </row>
    <row r="141" customFormat="false" ht="15.8" hidden="false" customHeight="false" outlineLevel="0" collapsed="false">
      <c r="A141" s="1" t="n">
        <v>140</v>
      </c>
      <c r="B141" s="1" t="n">
        <v>64.6</v>
      </c>
      <c r="C141" s="1" t="n">
        <v>-51.7</v>
      </c>
      <c r="D141" s="1" t="n">
        <v>-4.1</v>
      </c>
      <c r="E141" s="2" t="n">
        <v>1</v>
      </c>
      <c r="F141" s="2" t="n">
        <v>142</v>
      </c>
      <c r="G141" s="2" t="n">
        <v>63.6</v>
      </c>
      <c r="H141" s="2" t="n">
        <v>-51.7</v>
      </c>
      <c r="I141" s="2" t="n">
        <v>-3.7</v>
      </c>
      <c r="J141" s="2" t="n">
        <v>14.20797607</v>
      </c>
    </row>
    <row r="142" customFormat="false" ht="15.8" hidden="false" customHeight="false" outlineLevel="0" collapsed="false">
      <c r="A142" s="1" t="n">
        <v>141</v>
      </c>
      <c r="B142" s="1" t="n">
        <v>66.8</v>
      </c>
      <c r="C142" s="1" t="n">
        <v>-49.8</v>
      </c>
      <c r="D142" s="1" t="n">
        <v>-3</v>
      </c>
      <c r="E142" s="2" t="n">
        <v>1.7</v>
      </c>
      <c r="F142" s="2" t="n">
        <v>118</v>
      </c>
      <c r="G142" s="2" t="n">
        <v>68.5</v>
      </c>
      <c r="H142" s="2" t="n">
        <v>-50</v>
      </c>
      <c r="I142" s="2" t="n">
        <v>-3</v>
      </c>
      <c r="J142" s="2" t="n">
        <v>16.46202248</v>
      </c>
    </row>
    <row r="143" customFormat="false" ht="15.8" hidden="false" customHeight="false" outlineLevel="0" collapsed="false">
      <c r="A143" s="1" t="n">
        <v>142</v>
      </c>
      <c r="B143" s="1" t="n">
        <v>63.6</v>
      </c>
      <c r="C143" s="1" t="n">
        <v>-51.7</v>
      </c>
      <c r="D143" s="1" t="n">
        <v>-3.7</v>
      </c>
      <c r="E143" s="2" t="n">
        <v>1</v>
      </c>
      <c r="F143" s="2" t="n">
        <v>140</v>
      </c>
      <c r="G143" s="2" t="n">
        <v>64.6</v>
      </c>
      <c r="H143" s="2" t="n">
        <v>-51.7</v>
      </c>
      <c r="I143" s="2" t="n">
        <v>-4.1</v>
      </c>
      <c r="J143" s="2" t="n">
        <v>13.64276306</v>
      </c>
    </row>
    <row r="144" customFormat="false" ht="15.8" hidden="false" customHeight="false" outlineLevel="0" collapsed="false">
      <c r="A144" s="1" t="n">
        <v>143</v>
      </c>
      <c r="B144" s="1" t="n">
        <v>50.5</v>
      </c>
      <c r="C144" s="1" t="n">
        <v>-44</v>
      </c>
      <c r="D144" s="1" t="n">
        <v>-14.8</v>
      </c>
      <c r="E144" s="2" t="n">
        <v>0.5</v>
      </c>
      <c r="F144" s="2" t="n">
        <v>144</v>
      </c>
      <c r="G144" s="2" t="n">
        <v>50.9</v>
      </c>
      <c r="H144" s="2" t="n">
        <v>-43.9</v>
      </c>
      <c r="I144" s="2" t="n">
        <v>-14.4</v>
      </c>
      <c r="J144" s="2" t="n">
        <v>6.563092564</v>
      </c>
    </row>
    <row r="145" customFormat="false" ht="15.8" hidden="false" customHeight="false" outlineLevel="0" collapsed="false">
      <c r="A145" s="1" t="n">
        <v>144</v>
      </c>
      <c r="B145" s="1" t="n">
        <v>50.9</v>
      </c>
      <c r="C145" s="1" t="n">
        <v>-43.9</v>
      </c>
      <c r="D145" s="1" t="n">
        <v>-14.4</v>
      </c>
      <c r="E145" s="2" t="n">
        <v>0.5</v>
      </c>
      <c r="F145" s="2" t="n">
        <v>143</v>
      </c>
      <c r="G145" s="2" t="n">
        <v>50.5</v>
      </c>
      <c r="H145" s="2" t="n">
        <v>-44</v>
      </c>
      <c r="I145" s="2" t="n">
        <v>-14.8</v>
      </c>
      <c r="J145" s="2" t="n">
        <v>6.341150053</v>
      </c>
    </row>
    <row r="146" customFormat="false" ht="15.8" hidden="false" customHeight="false" outlineLevel="0" collapsed="false">
      <c r="A146" s="1" t="n">
        <v>145</v>
      </c>
      <c r="B146" s="1" t="n">
        <v>52.6</v>
      </c>
      <c r="C146" s="1" t="n">
        <v>-43.7</v>
      </c>
      <c r="D146" s="1" t="n">
        <v>-15.2</v>
      </c>
      <c r="E146" s="2" t="n">
        <v>1.3</v>
      </c>
      <c r="F146" s="2" t="n">
        <v>147</v>
      </c>
      <c r="G146" s="2" t="n">
        <v>53.5</v>
      </c>
      <c r="H146" s="2" t="n">
        <v>-43.2</v>
      </c>
      <c r="I146" s="2" t="n">
        <v>-15.9</v>
      </c>
      <c r="J146" s="2" t="n">
        <v>6.535364106</v>
      </c>
    </row>
    <row r="147" customFormat="false" ht="15.8" hidden="false" customHeight="false" outlineLevel="0" collapsed="false">
      <c r="A147" s="1" t="n">
        <v>146</v>
      </c>
      <c r="B147" s="1" t="n">
        <v>54.6</v>
      </c>
      <c r="C147" s="1" t="n">
        <v>-42.4</v>
      </c>
      <c r="D147" s="1" t="n">
        <v>-16.3</v>
      </c>
      <c r="E147" s="2" t="n">
        <v>1.4</v>
      </c>
      <c r="F147" s="2" t="n">
        <v>147</v>
      </c>
      <c r="G147" s="2" t="n">
        <v>53.5</v>
      </c>
      <c r="H147" s="2" t="n">
        <v>-43.2</v>
      </c>
      <c r="I147" s="2" t="n">
        <v>-15.9</v>
      </c>
      <c r="J147" s="2" t="n">
        <v>8.357331153</v>
      </c>
    </row>
    <row r="148" customFormat="false" ht="15.8" hidden="false" customHeight="false" outlineLevel="0" collapsed="false">
      <c r="A148" s="1" t="n">
        <v>147</v>
      </c>
      <c r="B148" s="1" t="n">
        <v>53.5</v>
      </c>
      <c r="C148" s="1" t="n">
        <v>-43.2</v>
      </c>
      <c r="D148" s="1" t="n">
        <v>-15.9</v>
      </c>
      <c r="E148" s="2" t="n">
        <v>1.3</v>
      </c>
      <c r="F148" s="2" t="n">
        <v>145</v>
      </c>
      <c r="G148" s="2" t="n">
        <v>52.6</v>
      </c>
      <c r="H148" s="2" t="n">
        <v>-43.7</v>
      </c>
      <c r="I148" s="2" t="n">
        <v>-15.2</v>
      </c>
      <c r="J148" s="2" t="n">
        <v>7.329951159</v>
      </c>
    </row>
    <row r="149" customFormat="false" ht="15.8" hidden="false" customHeight="false" outlineLevel="0" collapsed="false">
      <c r="A149" s="1" t="n">
        <v>148</v>
      </c>
      <c r="B149" s="1" t="n">
        <v>57.3</v>
      </c>
      <c r="C149" s="1" t="n">
        <v>-42.1</v>
      </c>
      <c r="D149" s="1" t="n">
        <v>-16.3</v>
      </c>
      <c r="E149" s="2" t="n">
        <v>2.2</v>
      </c>
      <c r="F149" s="2" t="n">
        <v>108</v>
      </c>
      <c r="G149" s="2" t="n">
        <v>59.1</v>
      </c>
      <c r="H149" s="2" t="n">
        <v>-43.3</v>
      </c>
      <c r="I149" s="2" t="n">
        <v>-16.6</v>
      </c>
      <c r="J149" s="2" t="n">
        <v>9.488613387</v>
      </c>
    </row>
    <row r="150" customFormat="false" ht="15.8" hidden="false" customHeight="false" outlineLevel="0" collapsed="false">
      <c r="A150" s="1" t="n">
        <v>149</v>
      </c>
      <c r="B150" s="1" t="n">
        <v>50.8</v>
      </c>
      <c r="C150" s="1" t="n">
        <v>-49.3</v>
      </c>
      <c r="D150" s="1" t="n">
        <v>-16.6</v>
      </c>
      <c r="E150" s="2" t="n">
        <v>2.7</v>
      </c>
      <c r="F150" s="2" t="n">
        <v>188</v>
      </c>
      <c r="G150" s="2" t="n">
        <v>49.8</v>
      </c>
      <c r="H150" s="2" t="n">
        <v>-47.2</v>
      </c>
      <c r="I150" s="2" t="n">
        <v>-18.1</v>
      </c>
      <c r="J150" s="2" t="n">
        <v>5.12918941</v>
      </c>
    </row>
    <row r="151" customFormat="false" ht="15.8" hidden="false" customHeight="false" outlineLevel="0" collapsed="false">
      <c r="A151" s="1" t="n">
        <v>150</v>
      </c>
      <c r="B151" s="1" t="n">
        <v>48.3</v>
      </c>
      <c r="C151" s="1" t="n">
        <v>-50.4</v>
      </c>
      <c r="D151" s="1" t="n">
        <v>-17</v>
      </c>
      <c r="E151" s="2" t="n">
        <v>1.5</v>
      </c>
      <c r="F151" s="2" t="n">
        <v>181</v>
      </c>
      <c r="G151" s="2" t="n">
        <v>48.2</v>
      </c>
      <c r="H151" s="2" t="n">
        <v>-49.1</v>
      </c>
      <c r="I151" s="2" t="n">
        <v>-17.8</v>
      </c>
      <c r="J151" s="2" t="n">
        <v>6.964121194</v>
      </c>
    </row>
    <row r="152" customFormat="false" ht="15.8" hidden="false" customHeight="false" outlineLevel="0" collapsed="false">
      <c r="A152" s="1" t="n">
        <v>151</v>
      </c>
      <c r="B152" s="1" t="n">
        <v>47.4</v>
      </c>
      <c r="C152" s="1" t="n">
        <v>-48.8</v>
      </c>
      <c r="D152" s="1" t="n">
        <v>-17.8</v>
      </c>
      <c r="E152" s="2" t="n">
        <v>0.8</v>
      </c>
      <c r="F152" s="2" t="n">
        <v>181</v>
      </c>
      <c r="G152" s="2" t="n">
        <v>48.2</v>
      </c>
      <c r="H152" s="2" t="n">
        <v>-49.1</v>
      </c>
      <c r="I152" s="2" t="n">
        <v>-17.8</v>
      </c>
      <c r="J152" s="2" t="n">
        <v>8.106477904</v>
      </c>
    </row>
    <row r="153" customFormat="false" ht="15.8" hidden="false" customHeight="false" outlineLevel="0" collapsed="false">
      <c r="A153" s="1" t="n">
        <v>152</v>
      </c>
      <c r="B153" s="1" t="n">
        <v>44.2</v>
      </c>
      <c r="C153" s="1" t="n">
        <v>-50.4</v>
      </c>
      <c r="D153" s="1" t="n">
        <v>-18.9</v>
      </c>
      <c r="E153" s="2" t="n">
        <v>1.3</v>
      </c>
      <c r="F153" s="2" t="n">
        <v>182</v>
      </c>
      <c r="G153" s="2" t="n">
        <v>43.4</v>
      </c>
      <c r="H153" s="2" t="n">
        <v>-49.5</v>
      </c>
      <c r="I153" s="2" t="n">
        <v>-18.9</v>
      </c>
      <c r="J153" s="2" t="n">
        <v>11.25153252</v>
      </c>
    </row>
    <row r="154" customFormat="false" ht="15.8" hidden="false" customHeight="false" outlineLevel="0" collapsed="false">
      <c r="A154" s="1" t="n">
        <v>153</v>
      </c>
      <c r="B154" s="1" t="n">
        <v>40</v>
      </c>
      <c r="C154" s="1" t="n">
        <v>-52.2</v>
      </c>
      <c r="D154" s="1" t="n">
        <v>-20</v>
      </c>
      <c r="E154" s="2" t="n">
        <v>2.1</v>
      </c>
      <c r="F154" s="2" t="n">
        <v>155</v>
      </c>
      <c r="G154" s="2" t="n">
        <v>38.5</v>
      </c>
      <c r="H154" s="2" t="n">
        <v>-51.2</v>
      </c>
      <c r="I154" s="2" t="n">
        <v>-21.1</v>
      </c>
      <c r="J154" s="2" t="n">
        <v>15.5433775</v>
      </c>
    </row>
    <row r="155" customFormat="false" ht="15.8" hidden="false" customHeight="false" outlineLevel="0" collapsed="false">
      <c r="A155" s="1" t="n">
        <v>154</v>
      </c>
      <c r="B155" s="1" t="n">
        <v>39.9</v>
      </c>
      <c r="C155" s="1" t="n">
        <v>-50.3</v>
      </c>
      <c r="D155" s="1" t="n">
        <v>-21.1</v>
      </c>
      <c r="E155" s="2" t="n">
        <v>1.7</v>
      </c>
      <c r="F155" s="2" t="n">
        <v>155</v>
      </c>
      <c r="G155" s="2" t="n">
        <v>38.5</v>
      </c>
      <c r="H155" s="2" t="n">
        <v>-51.2</v>
      </c>
      <c r="I155" s="2" t="n">
        <v>-21.1</v>
      </c>
      <c r="J155" s="2" t="n">
        <v>15.99775559</v>
      </c>
    </row>
    <row r="156" customFormat="false" ht="15.8" hidden="false" customHeight="false" outlineLevel="0" collapsed="false">
      <c r="A156" s="1" t="n">
        <v>155</v>
      </c>
      <c r="B156" s="1" t="n">
        <v>38.5</v>
      </c>
      <c r="C156" s="1" t="n">
        <v>-51.2</v>
      </c>
      <c r="D156" s="1" t="n">
        <v>-21.1</v>
      </c>
      <c r="E156" s="2" t="n">
        <v>1.6</v>
      </c>
      <c r="F156" s="2" t="n">
        <v>157</v>
      </c>
      <c r="G156" s="2" t="n">
        <v>36.9</v>
      </c>
      <c r="H156" s="2" t="n">
        <v>-51.1</v>
      </c>
      <c r="I156" s="2" t="n">
        <v>-21.1</v>
      </c>
      <c r="J156" s="2" t="n">
        <v>17.23557321</v>
      </c>
    </row>
    <row r="157" customFormat="false" ht="15.8" hidden="false" customHeight="false" outlineLevel="0" collapsed="false">
      <c r="A157" s="1" t="n">
        <v>156</v>
      </c>
      <c r="B157" s="1" t="n">
        <v>37.4</v>
      </c>
      <c r="C157" s="1" t="n">
        <v>-50</v>
      </c>
      <c r="D157" s="1" t="n">
        <v>-20.4</v>
      </c>
      <c r="E157" s="2" t="n">
        <v>1.4</v>
      </c>
      <c r="F157" s="2" t="n">
        <v>157</v>
      </c>
      <c r="G157" s="2" t="n">
        <v>36.9</v>
      </c>
      <c r="H157" s="2" t="n">
        <v>-51.1</v>
      </c>
      <c r="I157" s="2" t="n">
        <v>-21.1</v>
      </c>
      <c r="J157" s="2" t="n">
        <v>17.74606954</v>
      </c>
    </row>
    <row r="158" customFormat="false" ht="15.8" hidden="false" customHeight="false" outlineLevel="0" collapsed="false">
      <c r="A158" s="1" t="n">
        <v>157</v>
      </c>
      <c r="B158" s="1" t="n">
        <v>36.9</v>
      </c>
      <c r="C158" s="1" t="n">
        <v>-51.1</v>
      </c>
      <c r="D158" s="1" t="n">
        <v>-21.1</v>
      </c>
      <c r="E158" s="2" t="n">
        <v>1.4</v>
      </c>
      <c r="F158" s="2" t="n">
        <v>156</v>
      </c>
      <c r="G158" s="2" t="n">
        <v>37.4</v>
      </c>
      <c r="H158" s="2" t="n">
        <v>-50</v>
      </c>
      <c r="I158" s="2" t="n">
        <v>-20.4</v>
      </c>
      <c r="J158" s="2" t="n">
        <v>18.59232594</v>
      </c>
    </row>
    <row r="159" customFormat="false" ht="15.8" hidden="false" customHeight="false" outlineLevel="0" collapsed="false">
      <c r="A159" s="1" t="n">
        <v>158</v>
      </c>
      <c r="B159" s="1" t="n">
        <v>32.3</v>
      </c>
      <c r="C159" s="1" t="n">
        <v>-50.6</v>
      </c>
      <c r="D159" s="1" t="n">
        <v>-24.1</v>
      </c>
      <c r="E159" s="2" t="n">
        <v>2.2</v>
      </c>
      <c r="F159" s="2" t="n">
        <v>159</v>
      </c>
      <c r="G159" s="2" t="n">
        <v>30.3</v>
      </c>
      <c r="H159" s="2" t="n">
        <v>-50.2</v>
      </c>
      <c r="I159" s="2" t="n">
        <v>-23.3</v>
      </c>
      <c r="J159" s="2" t="n">
        <v>24.02667235</v>
      </c>
    </row>
    <row r="160" customFormat="false" ht="15.8" hidden="false" customHeight="false" outlineLevel="0" collapsed="false">
      <c r="A160" s="1" t="n">
        <v>159</v>
      </c>
      <c r="B160" s="1" t="n">
        <v>30.3</v>
      </c>
      <c r="C160" s="1" t="n">
        <v>-50.2</v>
      </c>
      <c r="D160" s="1" t="n">
        <v>-23.3</v>
      </c>
      <c r="E160" s="2" t="n">
        <v>1.9</v>
      </c>
      <c r="F160" s="2" t="n">
        <v>160</v>
      </c>
      <c r="G160" s="2" t="n">
        <v>30.2</v>
      </c>
      <c r="H160" s="2" t="n">
        <v>-49</v>
      </c>
      <c r="I160" s="2" t="n">
        <v>-24.8</v>
      </c>
      <c r="J160" s="2" t="n">
        <v>25.3868191</v>
      </c>
    </row>
    <row r="161" customFormat="false" ht="15.8" hidden="false" customHeight="false" outlineLevel="0" collapsed="false">
      <c r="A161" s="1" t="n">
        <v>160</v>
      </c>
      <c r="B161" s="1" t="n">
        <v>30.2</v>
      </c>
      <c r="C161" s="1" t="n">
        <v>-49</v>
      </c>
      <c r="D161" s="1" t="n">
        <v>-24.8</v>
      </c>
      <c r="E161" s="2" t="n">
        <v>1.5</v>
      </c>
      <c r="F161" s="2" t="n">
        <v>161</v>
      </c>
      <c r="G161" s="2" t="n">
        <v>28.7</v>
      </c>
      <c r="H161" s="2" t="n">
        <v>-49.2</v>
      </c>
      <c r="I161" s="2" t="n">
        <v>-25.2</v>
      </c>
      <c r="J161" s="2" t="n">
        <v>26.16725786</v>
      </c>
    </row>
    <row r="162" customFormat="false" ht="15.8" hidden="false" customHeight="false" outlineLevel="0" collapsed="false">
      <c r="A162" s="1" t="n">
        <v>161</v>
      </c>
      <c r="B162" s="1" t="n">
        <v>28.7</v>
      </c>
      <c r="C162" s="1" t="n">
        <v>-49.2</v>
      </c>
      <c r="D162" s="1" t="n">
        <v>-25.2</v>
      </c>
      <c r="E162" s="2" t="n">
        <v>1</v>
      </c>
      <c r="F162" s="2" t="n">
        <v>162</v>
      </c>
      <c r="G162" s="2" t="n">
        <v>27.9</v>
      </c>
      <c r="H162" s="2" t="n">
        <v>-48.8</v>
      </c>
      <c r="I162" s="2" t="n">
        <v>-25.5</v>
      </c>
      <c r="J162" s="2" t="n">
        <v>27.67129531</v>
      </c>
    </row>
    <row r="163" customFormat="false" ht="15.8" hidden="false" customHeight="false" outlineLevel="0" collapsed="false">
      <c r="A163" s="1" t="n">
        <v>162</v>
      </c>
      <c r="B163" s="1" t="n">
        <v>27.9</v>
      </c>
      <c r="C163" s="1" t="n">
        <v>-48.8</v>
      </c>
      <c r="D163" s="1" t="n">
        <v>-25.5</v>
      </c>
      <c r="E163" s="2" t="n">
        <v>1</v>
      </c>
      <c r="F163" s="2" t="n">
        <v>161</v>
      </c>
      <c r="G163" s="2" t="n">
        <v>28.7</v>
      </c>
      <c r="H163" s="2" t="n">
        <v>-49.2</v>
      </c>
      <c r="I163" s="2" t="n">
        <v>-25.2</v>
      </c>
      <c r="J163" s="2" t="n">
        <v>28.52272399</v>
      </c>
    </row>
    <row r="164" customFormat="false" ht="15.8" hidden="false" customHeight="false" outlineLevel="0" collapsed="false">
      <c r="A164" s="1" t="n">
        <v>163</v>
      </c>
      <c r="B164" s="1" t="n">
        <v>31.9</v>
      </c>
      <c r="C164" s="1" t="n">
        <v>-54.8</v>
      </c>
      <c r="D164" s="1" t="n">
        <v>-22.9</v>
      </c>
      <c r="E164" s="2" t="n">
        <v>1.2</v>
      </c>
      <c r="F164" s="2" t="n">
        <v>165</v>
      </c>
      <c r="G164" s="2" t="n">
        <v>32.7</v>
      </c>
      <c r="H164" s="2" t="n">
        <v>-54.1</v>
      </c>
      <c r="I164" s="2" t="n">
        <v>-23.3</v>
      </c>
      <c r="J164" s="2" t="n">
        <v>24.37891269</v>
      </c>
    </row>
    <row r="165" customFormat="false" ht="15.8" hidden="false" customHeight="false" outlineLevel="0" collapsed="false">
      <c r="A165" s="1" t="n">
        <v>164</v>
      </c>
      <c r="B165" s="1" t="n">
        <v>31.1</v>
      </c>
      <c r="C165" s="1" t="n">
        <v>-53.5</v>
      </c>
      <c r="D165" s="1" t="n">
        <v>-22.6</v>
      </c>
      <c r="E165" s="2" t="n">
        <v>1.2</v>
      </c>
      <c r="F165" s="2" t="n">
        <v>166</v>
      </c>
      <c r="G165" s="2" t="n">
        <v>31.2</v>
      </c>
      <c r="H165" s="2" t="n">
        <v>-52.5</v>
      </c>
      <c r="I165" s="2" t="n">
        <v>-23.3</v>
      </c>
      <c r="J165" s="2" t="n">
        <v>24.69467522</v>
      </c>
    </row>
    <row r="166" customFormat="false" ht="15.8" hidden="false" customHeight="false" outlineLevel="0" collapsed="false">
      <c r="A166" s="1" t="n">
        <v>165</v>
      </c>
      <c r="B166" s="1" t="n">
        <v>32.7</v>
      </c>
      <c r="C166" s="1" t="n">
        <v>-54.1</v>
      </c>
      <c r="D166" s="1" t="n">
        <v>-23.3</v>
      </c>
      <c r="E166" s="2" t="n">
        <v>1.2</v>
      </c>
      <c r="F166" s="2" t="n">
        <v>163</v>
      </c>
      <c r="G166" s="2" t="n">
        <v>31.9</v>
      </c>
      <c r="H166" s="2" t="n">
        <v>-54.8</v>
      </c>
      <c r="I166" s="2" t="n">
        <v>-22.9</v>
      </c>
      <c r="J166" s="2" t="n">
        <v>23.72754062</v>
      </c>
    </row>
    <row r="167" customFormat="false" ht="15.8" hidden="false" customHeight="false" outlineLevel="0" collapsed="false">
      <c r="A167" s="1" t="n">
        <v>166</v>
      </c>
      <c r="B167" s="1" t="n">
        <v>31.2</v>
      </c>
      <c r="C167" s="1" t="n">
        <v>-52.5</v>
      </c>
      <c r="D167" s="1" t="n">
        <v>-23.3</v>
      </c>
      <c r="E167" s="2" t="n">
        <v>1.2</v>
      </c>
      <c r="F167" s="2" t="n">
        <v>164</v>
      </c>
      <c r="G167" s="2" t="n">
        <v>31.1</v>
      </c>
      <c r="H167" s="2" t="n">
        <v>-53.5</v>
      </c>
      <c r="I167" s="2" t="n">
        <v>-22.6</v>
      </c>
      <c r="J167" s="2" t="n">
        <v>24.77021163</v>
      </c>
    </row>
    <row r="168" customFormat="false" ht="15.8" hidden="false" customHeight="false" outlineLevel="0" collapsed="false">
      <c r="A168" s="1" t="n">
        <v>167</v>
      </c>
      <c r="B168" s="1" t="n">
        <v>29.8</v>
      </c>
      <c r="C168" s="1" t="n">
        <v>-53.2</v>
      </c>
      <c r="D168" s="1" t="n">
        <v>-24.1</v>
      </c>
      <c r="E168" s="2" t="n">
        <v>1.6</v>
      </c>
      <c r="F168" s="2" t="n">
        <v>175</v>
      </c>
      <c r="G168" s="2" t="n">
        <v>28.4</v>
      </c>
      <c r="H168" s="2" t="n">
        <v>-53.7</v>
      </c>
      <c r="I168" s="2" t="n">
        <v>-24.8</v>
      </c>
      <c r="J168" s="2" t="n">
        <v>26.46162852</v>
      </c>
    </row>
    <row r="169" customFormat="false" ht="15.8" hidden="false" customHeight="false" outlineLevel="0" collapsed="false">
      <c r="A169" s="1" t="n">
        <v>168</v>
      </c>
      <c r="B169" s="1" t="n">
        <v>30.6</v>
      </c>
      <c r="C169" s="1" t="n">
        <v>-55.3</v>
      </c>
      <c r="D169" s="1" t="n">
        <v>-23.7</v>
      </c>
      <c r="E169" s="2" t="n">
        <v>1.5</v>
      </c>
      <c r="F169" s="2" t="n">
        <v>163</v>
      </c>
      <c r="G169" s="2" t="n">
        <v>31.9</v>
      </c>
      <c r="H169" s="2" t="n">
        <v>-54.8</v>
      </c>
      <c r="I169" s="2" t="n">
        <v>-22.9</v>
      </c>
      <c r="J169" s="2" t="n">
        <v>25.97502231</v>
      </c>
    </row>
    <row r="170" customFormat="false" ht="15.8" hidden="false" customHeight="false" outlineLevel="0" collapsed="false">
      <c r="A170" s="1" t="n">
        <v>169</v>
      </c>
      <c r="B170" s="1" t="n">
        <v>31.5</v>
      </c>
      <c r="C170" s="1" t="n">
        <v>-57.8</v>
      </c>
      <c r="D170" s="1" t="n">
        <v>-24.8</v>
      </c>
      <c r="E170" s="2" t="n">
        <v>2.9</v>
      </c>
      <c r="F170" s="2" t="n">
        <v>168</v>
      </c>
      <c r="G170" s="2" t="n">
        <v>30.6</v>
      </c>
      <c r="H170" s="2" t="n">
        <v>-55.3</v>
      </c>
      <c r="I170" s="2" t="n">
        <v>-23.7</v>
      </c>
      <c r="J170" s="2" t="n">
        <v>26.422123</v>
      </c>
    </row>
    <row r="171" customFormat="false" ht="15.8" hidden="false" customHeight="false" outlineLevel="0" collapsed="false">
      <c r="A171" s="1" t="n">
        <v>170</v>
      </c>
      <c r="B171" s="1" t="n">
        <v>26.7</v>
      </c>
      <c r="C171" s="1" t="n">
        <v>-57.2</v>
      </c>
      <c r="D171" s="1" t="n">
        <v>-22.6</v>
      </c>
      <c r="E171" s="2" t="n">
        <v>1.4</v>
      </c>
      <c r="F171" s="2" t="n">
        <v>172</v>
      </c>
      <c r="G171" s="2" t="n">
        <v>25.9</v>
      </c>
      <c r="H171" s="2" t="n">
        <v>-56.3</v>
      </c>
      <c r="I171" s="2" t="n">
        <v>-21.8</v>
      </c>
      <c r="J171" s="2" t="n">
        <v>29.43138094</v>
      </c>
    </row>
    <row r="172" customFormat="false" ht="15.8" hidden="false" customHeight="false" outlineLevel="0" collapsed="false">
      <c r="A172" s="1" t="n">
        <v>171</v>
      </c>
      <c r="B172" s="1" t="n">
        <v>26.3</v>
      </c>
      <c r="C172" s="1" t="n">
        <v>-55.7</v>
      </c>
      <c r="D172" s="1" t="n">
        <v>-22.6</v>
      </c>
      <c r="E172" s="2" t="n">
        <v>1</v>
      </c>
      <c r="F172" s="2" t="n">
        <v>172</v>
      </c>
      <c r="G172" s="2" t="n">
        <v>25.9</v>
      </c>
      <c r="H172" s="2" t="n">
        <v>-56.3</v>
      </c>
      <c r="I172" s="2" t="n">
        <v>-21.8</v>
      </c>
      <c r="J172" s="2" t="n">
        <v>29.4305247</v>
      </c>
    </row>
    <row r="173" customFormat="false" ht="15.8" hidden="false" customHeight="false" outlineLevel="0" collapsed="false">
      <c r="A173" s="1" t="n">
        <v>172</v>
      </c>
      <c r="B173" s="1" t="n">
        <v>25.9</v>
      </c>
      <c r="C173" s="1" t="n">
        <v>-56.3</v>
      </c>
      <c r="D173" s="1" t="n">
        <v>-21.8</v>
      </c>
      <c r="E173" s="2" t="n">
        <v>1</v>
      </c>
      <c r="F173" s="2" t="n">
        <v>171</v>
      </c>
      <c r="G173" s="2" t="n">
        <v>26.3</v>
      </c>
      <c r="H173" s="2" t="n">
        <v>-55.7</v>
      </c>
      <c r="I173" s="2" t="n">
        <v>-22.6</v>
      </c>
      <c r="J173" s="2" t="n">
        <v>29.65243639</v>
      </c>
    </row>
    <row r="174" customFormat="false" ht="15.8" hidden="false" customHeight="false" outlineLevel="0" collapsed="false">
      <c r="A174" s="1" t="n">
        <v>173</v>
      </c>
      <c r="B174" s="1" t="n">
        <v>26.8</v>
      </c>
      <c r="C174" s="1" t="n">
        <v>-56.4</v>
      </c>
      <c r="D174" s="1" t="n">
        <v>-21.1</v>
      </c>
      <c r="E174" s="2" t="n">
        <v>1.1</v>
      </c>
      <c r="F174" s="2" t="n">
        <v>172</v>
      </c>
      <c r="G174" s="2" t="n">
        <v>25.9</v>
      </c>
      <c r="H174" s="2" t="n">
        <v>-56.3</v>
      </c>
      <c r="I174" s="2" t="n">
        <v>-21.8</v>
      </c>
      <c r="J174" s="2" t="n">
        <v>28.62543247</v>
      </c>
    </row>
    <row r="175" customFormat="false" ht="15.8" hidden="false" customHeight="false" outlineLevel="0" collapsed="false">
      <c r="A175" s="1" t="n">
        <v>174</v>
      </c>
      <c r="B175" s="1" t="n">
        <v>28.5</v>
      </c>
      <c r="C175" s="1" t="n">
        <v>-54.2</v>
      </c>
      <c r="D175" s="1" t="n">
        <v>-24.8</v>
      </c>
      <c r="E175" s="2" t="n">
        <v>0.4</v>
      </c>
      <c r="F175" s="2" t="n">
        <v>175</v>
      </c>
      <c r="G175" s="2" t="n">
        <v>28.4</v>
      </c>
      <c r="H175" s="2" t="n">
        <v>-53.7</v>
      </c>
      <c r="I175" s="2" t="n">
        <v>-24.8</v>
      </c>
      <c r="J175" s="2" t="n">
        <v>28.07803027</v>
      </c>
    </row>
    <row r="176" customFormat="false" ht="15.8" hidden="false" customHeight="false" outlineLevel="0" collapsed="false">
      <c r="A176" s="1" t="n">
        <v>175</v>
      </c>
      <c r="B176" s="1" t="n">
        <v>28.4</v>
      </c>
      <c r="C176" s="1" t="n">
        <v>-53.7</v>
      </c>
      <c r="D176" s="1" t="n">
        <v>-24.8</v>
      </c>
      <c r="E176" s="2" t="n">
        <v>0.4</v>
      </c>
      <c r="F176" s="2" t="n">
        <v>174</v>
      </c>
      <c r="G176" s="2" t="n">
        <v>28.5</v>
      </c>
      <c r="H176" s="2" t="n">
        <v>-54.2</v>
      </c>
      <c r="I176" s="2" t="n">
        <v>-24.8</v>
      </c>
      <c r="J176" s="2" t="n">
        <v>28.08384204</v>
      </c>
    </row>
    <row r="177" customFormat="false" ht="15.8" hidden="false" customHeight="false" outlineLevel="0" collapsed="false">
      <c r="A177" s="1" t="n">
        <v>176</v>
      </c>
      <c r="B177" s="1" t="n">
        <v>25.5</v>
      </c>
      <c r="C177" s="1" t="n">
        <v>-53.5</v>
      </c>
      <c r="D177" s="1" t="n">
        <v>-24.1</v>
      </c>
      <c r="E177" s="2" t="n">
        <v>2.8</v>
      </c>
      <c r="F177" s="2" t="n">
        <v>171</v>
      </c>
      <c r="G177" s="2" t="n">
        <v>26.3</v>
      </c>
      <c r="H177" s="2" t="n">
        <v>-55.7</v>
      </c>
      <c r="I177" s="2" t="n">
        <v>-22.6</v>
      </c>
      <c r="J177" s="2" t="n">
        <v>30.34197396</v>
      </c>
    </row>
    <row r="178" customFormat="false" ht="15.8" hidden="false" customHeight="false" outlineLevel="0" collapsed="false">
      <c r="A178" s="1" t="n">
        <v>177</v>
      </c>
      <c r="B178" s="1" t="n">
        <v>23.1</v>
      </c>
      <c r="C178" s="1" t="n">
        <v>-51.9</v>
      </c>
      <c r="D178" s="1" t="n">
        <v>-25.5</v>
      </c>
      <c r="E178" s="2" t="n">
        <v>3.2</v>
      </c>
      <c r="F178" s="2" t="n">
        <v>176</v>
      </c>
      <c r="G178" s="2" t="n">
        <v>25.5</v>
      </c>
      <c r="H178" s="2" t="n">
        <v>-53.5</v>
      </c>
      <c r="I178" s="2" t="n">
        <v>-24.1</v>
      </c>
      <c r="J178" s="2" t="n">
        <v>32.91907933</v>
      </c>
    </row>
    <row r="179" customFormat="false" ht="15.8" hidden="false" customHeight="false" outlineLevel="0" collapsed="false">
      <c r="A179" s="1" t="n">
        <v>178</v>
      </c>
      <c r="B179" s="1" t="n">
        <v>18.2</v>
      </c>
      <c r="C179" s="1" t="n">
        <v>-53.3</v>
      </c>
      <c r="D179" s="1" t="n">
        <v>-24.4</v>
      </c>
      <c r="E179" s="2" t="n">
        <v>1.7</v>
      </c>
      <c r="F179" s="2" t="n">
        <v>179</v>
      </c>
      <c r="G179" s="2" t="n">
        <v>18.5</v>
      </c>
      <c r="H179" s="2" t="n">
        <v>-52.5</v>
      </c>
      <c r="I179" s="2" t="n">
        <v>-25.9</v>
      </c>
      <c r="J179" s="2" t="n">
        <v>37.1646362</v>
      </c>
    </row>
    <row r="180" customFormat="false" ht="15.8" hidden="false" customHeight="false" outlineLevel="0" collapsed="false">
      <c r="A180" s="1" t="n">
        <v>179</v>
      </c>
      <c r="B180" s="1" t="n">
        <v>18.5</v>
      </c>
      <c r="C180" s="1" t="n">
        <v>-52.5</v>
      </c>
      <c r="D180" s="1" t="n">
        <v>-25.9</v>
      </c>
      <c r="E180" s="2" t="n">
        <v>1.7</v>
      </c>
      <c r="F180" s="2" t="n">
        <v>178</v>
      </c>
      <c r="G180" s="2" t="n">
        <v>18.2</v>
      </c>
      <c r="H180" s="2" t="n">
        <v>-53.3</v>
      </c>
      <c r="I180" s="2" t="n">
        <v>-24.4</v>
      </c>
      <c r="J180" s="2" t="n">
        <v>37.34046845</v>
      </c>
    </row>
    <row r="181" customFormat="false" ht="15.8" hidden="false" customHeight="false" outlineLevel="0" collapsed="false">
      <c r="A181" s="1" t="n">
        <v>180</v>
      </c>
      <c r="B181" s="1" t="n">
        <v>27.4</v>
      </c>
      <c r="C181" s="1" t="n">
        <v>-52</v>
      </c>
      <c r="D181" s="1" t="n">
        <v>-26.3</v>
      </c>
      <c r="E181" s="2" t="n">
        <v>2.5</v>
      </c>
      <c r="F181" s="2" t="n">
        <v>175</v>
      </c>
      <c r="G181" s="2" t="n">
        <v>28.4</v>
      </c>
      <c r="H181" s="2" t="n">
        <v>-53.7</v>
      </c>
      <c r="I181" s="2" t="n">
        <v>-24.8</v>
      </c>
      <c r="J181" s="2" t="n">
        <v>29.45855706</v>
      </c>
    </row>
    <row r="182" customFormat="false" ht="15.8" hidden="false" customHeight="false" outlineLevel="0" collapsed="false">
      <c r="A182" s="1" t="n">
        <v>181</v>
      </c>
      <c r="B182" s="1" t="n">
        <v>48.2</v>
      </c>
      <c r="C182" s="1" t="n">
        <v>-49.1</v>
      </c>
      <c r="D182" s="1" t="n">
        <v>-17.8</v>
      </c>
      <c r="E182" s="2" t="n">
        <v>0.8</v>
      </c>
      <c r="F182" s="2" t="n">
        <v>151</v>
      </c>
      <c r="G182" s="2" t="n">
        <v>47.4</v>
      </c>
      <c r="H182" s="2" t="n">
        <v>-48.8</v>
      </c>
      <c r="I182" s="2" t="n">
        <v>-17.8</v>
      </c>
      <c r="J182" s="2" t="n">
        <v>7.559244936</v>
      </c>
    </row>
    <row r="183" customFormat="false" ht="15.8" hidden="false" customHeight="false" outlineLevel="0" collapsed="false">
      <c r="A183" s="1" t="n">
        <v>182</v>
      </c>
      <c r="B183" s="1" t="n">
        <v>43.4</v>
      </c>
      <c r="C183" s="1" t="n">
        <v>-49.5</v>
      </c>
      <c r="D183" s="1" t="n">
        <v>-18.9</v>
      </c>
      <c r="E183" s="2" t="n">
        <v>1</v>
      </c>
      <c r="F183" s="2" t="n">
        <v>192</v>
      </c>
      <c r="G183" s="2" t="n">
        <v>43.7</v>
      </c>
      <c r="H183" s="2" t="n">
        <v>-48.9</v>
      </c>
      <c r="I183" s="2" t="n">
        <v>-19.6</v>
      </c>
      <c r="J183" s="2" t="n">
        <v>11.84352076</v>
      </c>
    </row>
    <row r="184" customFormat="false" ht="15.8" hidden="false" customHeight="false" outlineLevel="0" collapsed="false">
      <c r="A184" s="1" t="n">
        <v>183</v>
      </c>
      <c r="B184" s="1" t="n">
        <v>54.2</v>
      </c>
      <c r="C184" s="1" t="n">
        <v>-45.9</v>
      </c>
      <c r="D184" s="1" t="n">
        <v>-23.7</v>
      </c>
      <c r="E184" s="2" t="n">
        <v>1.7</v>
      </c>
      <c r="F184" s="2" t="n">
        <v>184</v>
      </c>
      <c r="G184" s="2" t="n">
        <v>53.5</v>
      </c>
      <c r="H184" s="2" t="n">
        <v>-44.3</v>
      </c>
      <c r="I184" s="2" t="n">
        <v>-23.7</v>
      </c>
      <c r="J184" s="2" t="n">
        <v>12.29179336</v>
      </c>
    </row>
    <row r="185" customFormat="false" ht="15.8" hidden="false" customHeight="false" outlineLevel="0" collapsed="false">
      <c r="A185" s="1" t="n">
        <v>184</v>
      </c>
      <c r="B185" s="1" t="n">
        <v>53.5</v>
      </c>
      <c r="C185" s="1" t="n">
        <v>-44.3</v>
      </c>
      <c r="D185" s="1" t="n">
        <v>-23.7</v>
      </c>
      <c r="E185" s="2" t="n">
        <v>1.7</v>
      </c>
      <c r="F185" s="2" t="n">
        <v>183</v>
      </c>
      <c r="G185" s="2" t="n">
        <v>54.2</v>
      </c>
      <c r="H185" s="2" t="n">
        <v>-45.9</v>
      </c>
      <c r="I185" s="2" t="n">
        <v>-23.7</v>
      </c>
      <c r="J185" s="2" t="n">
        <v>12.78875225</v>
      </c>
    </row>
    <row r="186" customFormat="false" ht="15.8" hidden="false" customHeight="false" outlineLevel="0" collapsed="false">
      <c r="A186" s="1" t="n">
        <v>185</v>
      </c>
      <c r="B186" s="1" t="n">
        <v>49</v>
      </c>
      <c r="C186" s="1" t="n">
        <v>-48</v>
      </c>
      <c r="D186" s="1" t="n">
        <v>-19.6</v>
      </c>
      <c r="E186" s="2" t="n">
        <v>1.9</v>
      </c>
      <c r="F186" s="2" t="n">
        <v>188</v>
      </c>
      <c r="G186" s="2" t="n">
        <v>49.8</v>
      </c>
      <c r="H186" s="2" t="n">
        <v>-47.2</v>
      </c>
      <c r="I186" s="2" t="n">
        <v>-18.1</v>
      </c>
      <c r="J186" s="2" t="n">
        <v>8.725215413</v>
      </c>
    </row>
    <row r="187" customFormat="false" ht="15.8" hidden="false" customHeight="false" outlineLevel="0" collapsed="false">
      <c r="A187" s="1" t="n">
        <v>186</v>
      </c>
      <c r="B187" s="1" t="n">
        <v>50.8</v>
      </c>
      <c r="C187" s="1" t="n">
        <v>-44.4</v>
      </c>
      <c r="D187" s="1" t="n">
        <v>-21.5</v>
      </c>
      <c r="E187" s="2" t="n">
        <v>3.5</v>
      </c>
      <c r="F187" s="2" t="n">
        <v>184</v>
      </c>
      <c r="G187" s="2" t="n">
        <v>53.5</v>
      </c>
      <c r="H187" s="2" t="n">
        <v>-44.3</v>
      </c>
      <c r="I187" s="2" t="n">
        <v>-23.7</v>
      </c>
      <c r="J187" s="2" t="n">
        <v>10.97127996</v>
      </c>
    </row>
    <row r="188" customFormat="false" ht="15.8" hidden="false" customHeight="false" outlineLevel="0" collapsed="false">
      <c r="A188" s="1" t="n">
        <v>187</v>
      </c>
      <c r="B188" s="1" t="n">
        <v>45.4</v>
      </c>
      <c r="C188" s="1" t="n">
        <v>-45.6</v>
      </c>
      <c r="D188" s="1" t="n">
        <v>-23.7</v>
      </c>
      <c r="E188" s="2" t="n">
        <v>4.4</v>
      </c>
      <c r="F188" s="2" t="n">
        <v>191</v>
      </c>
      <c r="G188" s="2" t="n">
        <v>46.6</v>
      </c>
      <c r="H188" s="2" t="n">
        <v>-46.7</v>
      </c>
      <c r="I188" s="2" t="n">
        <v>-19.6</v>
      </c>
      <c r="J188" s="2" t="n">
        <v>14.47801727</v>
      </c>
    </row>
    <row r="189" customFormat="false" ht="15.8" hidden="false" customHeight="false" outlineLevel="0" collapsed="false">
      <c r="A189" s="1" t="n">
        <v>188</v>
      </c>
      <c r="B189" s="1" t="n">
        <v>49.8</v>
      </c>
      <c r="C189" s="1" t="n">
        <v>-47.2</v>
      </c>
      <c r="D189" s="1" t="n">
        <v>-18.1</v>
      </c>
      <c r="E189" s="2" t="n">
        <v>1</v>
      </c>
      <c r="F189" s="2" t="n">
        <v>189</v>
      </c>
      <c r="G189" s="2" t="n">
        <v>50.3</v>
      </c>
      <c r="H189" s="2" t="n">
        <v>-46.8</v>
      </c>
      <c r="I189" s="2" t="n">
        <v>-18.9</v>
      </c>
      <c r="J189" s="2" t="n">
        <v>7.248847081</v>
      </c>
    </row>
    <row r="190" customFormat="false" ht="15.8" hidden="false" customHeight="false" outlineLevel="0" collapsed="false">
      <c r="A190" s="1" t="n">
        <v>189</v>
      </c>
      <c r="B190" s="1" t="n">
        <v>50.3</v>
      </c>
      <c r="C190" s="1" t="n">
        <v>-46.8</v>
      </c>
      <c r="D190" s="1" t="n">
        <v>-18.9</v>
      </c>
      <c r="E190" s="2" t="n">
        <v>1</v>
      </c>
      <c r="F190" s="2" t="n">
        <v>188</v>
      </c>
      <c r="G190" s="2" t="n">
        <v>49.8</v>
      </c>
      <c r="H190" s="2" t="n">
        <v>-47.2</v>
      </c>
      <c r="I190" s="2" t="n">
        <v>-18.1</v>
      </c>
      <c r="J190" s="2" t="n">
        <v>7.870056162</v>
      </c>
    </row>
    <row r="191" customFormat="false" ht="15.8" hidden="false" customHeight="false" outlineLevel="0" collapsed="false">
      <c r="A191" s="1" t="n">
        <v>190</v>
      </c>
      <c r="B191" s="1" t="n">
        <v>47.1</v>
      </c>
      <c r="C191" s="1" t="n">
        <v>-48.9</v>
      </c>
      <c r="D191" s="1" t="n">
        <v>-19.2</v>
      </c>
      <c r="E191" s="2" t="n">
        <v>1.5</v>
      </c>
      <c r="F191" s="2" t="n">
        <v>151</v>
      </c>
      <c r="G191" s="2" t="n">
        <v>47.4</v>
      </c>
      <c r="H191" s="2" t="n">
        <v>-48.8</v>
      </c>
      <c r="I191" s="2" t="n">
        <v>-17.8</v>
      </c>
      <c r="J191" s="2" t="n">
        <v>9.346260429</v>
      </c>
    </row>
    <row r="192" customFormat="false" ht="15.8" hidden="false" customHeight="false" outlineLevel="0" collapsed="false">
      <c r="A192" s="1" t="n">
        <v>191</v>
      </c>
      <c r="B192" s="1" t="n">
        <v>46.6</v>
      </c>
      <c r="C192" s="1" t="n">
        <v>-46.7</v>
      </c>
      <c r="D192" s="1" t="n">
        <v>-19.6</v>
      </c>
      <c r="E192" s="2" t="n">
        <v>2.3</v>
      </c>
      <c r="F192" s="2" t="n">
        <v>190</v>
      </c>
      <c r="G192" s="2" t="n">
        <v>47.1</v>
      </c>
      <c r="H192" s="2" t="n">
        <v>-48.9</v>
      </c>
      <c r="I192" s="2" t="n">
        <v>-19.2</v>
      </c>
      <c r="J192" s="2" t="n">
        <v>10.3121571</v>
      </c>
    </row>
    <row r="193" customFormat="false" ht="15.8" hidden="false" customHeight="false" outlineLevel="0" collapsed="false">
      <c r="A193" s="1" t="n">
        <v>192</v>
      </c>
      <c r="B193" s="1" t="n">
        <v>43.7</v>
      </c>
      <c r="C193" s="1" t="n">
        <v>-48.9</v>
      </c>
      <c r="D193" s="1" t="n">
        <v>-19.6</v>
      </c>
      <c r="E193" s="2" t="n">
        <v>1</v>
      </c>
      <c r="F193" s="2" t="n">
        <v>182</v>
      </c>
      <c r="G193" s="2" t="n">
        <v>43.4</v>
      </c>
      <c r="H193" s="2" t="n">
        <v>-49.5</v>
      </c>
      <c r="I193" s="2" t="n">
        <v>-18.9</v>
      </c>
      <c r="J193" s="2" t="n">
        <v>12.04125342</v>
      </c>
    </row>
    <row r="194" customFormat="false" ht="15.8" hidden="false" customHeight="false" outlineLevel="0" collapsed="false">
      <c r="A194" s="1" t="n">
        <v>193</v>
      </c>
      <c r="B194" s="1" t="n">
        <v>43.1</v>
      </c>
      <c r="C194" s="1" t="n">
        <v>-50.8</v>
      </c>
      <c r="D194" s="1" t="n">
        <v>-22.6</v>
      </c>
      <c r="E194" s="2" t="n">
        <v>2</v>
      </c>
      <c r="F194" s="2" t="n">
        <v>194</v>
      </c>
      <c r="G194" s="2" t="n">
        <v>42.9</v>
      </c>
      <c r="H194" s="2" t="n">
        <v>-51.6</v>
      </c>
      <c r="I194" s="2" t="n">
        <v>-20.7</v>
      </c>
      <c r="J194" s="2" t="n">
        <v>14.59949944</v>
      </c>
    </row>
    <row r="195" customFormat="false" ht="15.8" hidden="false" customHeight="false" outlineLevel="0" collapsed="false">
      <c r="A195" s="1" t="n">
        <v>194</v>
      </c>
      <c r="B195" s="1" t="n">
        <v>42.9</v>
      </c>
      <c r="C195" s="1" t="n">
        <v>-51.6</v>
      </c>
      <c r="D195" s="1" t="n">
        <v>-20.7</v>
      </c>
      <c r="E195" s="2" t="n">
        <v>2</v>
      </c>
      <c r="F195" s="2" t="n">
        <v>193</v>
      </c>
      <c r="G195" s="2" t="n">
        <v>43.1</v>
      </c>
      <c r="H195" s="2" t="n">
        <v>-50.8</v>
      </c>
      <c r="I195" s="2" t="n">
        <v>-22.6</v>
      </c>
      <c r="J195" s="2" t="n">
        <v>13.5384262</v>
      </c>
    </row>
    <row r="196" customFormat="false" ht="15.8" hidden="false" customHeight="false" outlineLevel="0" collapsed="false">
      <c r="A196" s="1" t="n">
        <v>195</v>
      </c>
      <c r="B196" s="1" t="n">
        <v>40.6</v>
      </c>
      <c r="C196" s="1" t="n">
        <v>-50.8</v>
      </c>
      <c r="D196" s="1" t="n">
        <v>-22.9</v>
      </c>
      <c r="E196" s="2" t="n">
        <v>2</v>
      </c>
      <c r="F196" s="2" t="n">
        <v>154</v>
      </c>
      <c r="G196" s="2" t="n">
        <v>39.9</v>
      </c>
      <c r="H196" s="2" t="n">
        <v>-50.3</v>
      </c>
      <c r="I196" s="2" t="n">
        <v>-21.1</v>
      </c>
      <c r="J196" s="2" t="n">
        <v>16.59441424</v>
      </c>
    </row>
    <row r="197" customFormat="false" ht="15.8" hidden="false" customHeight="false" outlineLevel="0" collapsed="false">
      <c r="A197" s="1" t="n">
        <v>196</v>
      </c>
      <c r="B197" s="1" t="n">
        <v>37.9</v>
      </c>
      <c r="C197" s="1" t="n">
        <v>-49.9</v>
      </c>
      <c r="D197" s="1" t="n">
        <v>-22.6</v>
      </c>
      <c r="E197" s="2" t="n">
        <v>2.1</v>
      </c>
      <c r="F197" s="2" t="n">
        <v>155</v>
      </c>
      <c r="G197" s="2" t="n">
        <v>38.5</v>
      </c>
      <c r="H197" s="2" t="n">
        <v>-51.2</v>
      </c>
      <c r="I197" s="2" t="n">
        <v>-21.1</v>
      </c>
      <c r="J197" s="2" t="n">
        <v>18.47687701</v>
      </c>
    </row>
    <row r="198" customFormat="false" ht="15.8" hidden="false" customHeight="false" outlineLevel="0" collapsed="false">
      <c r="A198" s="1" t="n">
        <v>197</v>
      </c>
      <c r="B198" s="1" t="n">
        <v>37.2</v>
      </c>
      <c r="C198" s="1" t="n">
        <v>-51.2</v>
      </c>
      <c r="D198" s="1" t="n">
        <v>-24.4</v>
      </c>
      <c r="E198" s="2" t="n">
        <v>2.4</v>
      </c>
      <c r="F198" s="2" t="n">
        <v>196</v>
      </c>
      <c r="G198" s="2" t="n">
        <v>37.9</v>
      </c>
      <c r="H198" s="2" t="n">
        <v>-49.9</v>
      </c>
      <c r="I198" s="2" t="n">
        <v>-22.6</v>
      </c>
      <c r="J198" s="2" t="n">
        <v>20.18963556</v>
      </c>
    </row>
    <row r="199" customFormat="false" ht="15.8" hidden="false" customHeight="false" outlineLevel="0" collapsed="false">
      <c r="A199" s="1" t="n">
        <v>198</v>
      </c>
      <c r="B199" s="1" t="n">
        <v>34.4</v>
      </c>
      <c r="C199" s="1" t="n">
        <v>-53</v>
      </c>
      <c r="D199" s="1" t="n">
        <v>-23.3</v>
      </c>
      <c r="E199" s="2" t="n">
        <v>2</v>
      </c>
      <c r="F199" s="2" t="n">
        <v>165</v>
      </c>
      <c r="G199" s="2" t="n">
        <v>32.7</v>
      </c>
      <c r="H199" s="2" t="n">
        <v>-54.1</v>
      </c>
      <c r="I199" s="2" t="n">
        <v>-23.3</v>
      </c>
      <c r="J199" s="2" t="n">
        <v>22.08290253</v>
      </c>
    </row>
    <row r="200" customFormat="false" ht="15.8" hidden="false" customHeight="false" outlineLevel="0" collapsed="false">
      <c r="A200" s="1" t="n">
        <v>199</v>
      </c>
      <c r="B200" s="1" t="n">
        <v>46.2</v>
      </c>
      <c r="C200" s="1" t="n">
        <v>-50.6</v>
      </c>
      <c r="D200" s="1" t="n">
        <v>-21.8</v>
      </c>
      <c r="E200" s="2" t="n">
        <v>1.1</v>
      </c>
      <c r="F200" s="2" t="n">
        <v>200</v>
      </c>
      <c r="G200" s="2" t="n">
        <v>45.8</v>
      </c>
      <c r="H200" s="2" t="n">
        <v>-51.6</v>
      </c>
      <c r="I200" s="2" t="n">
        <v>-21.5</v>
      </c>
      <c r="J200" s="2" t="n">
        <v>12.01907584</v>
      </c>
    </row>
    <row r="201" customFormat="false" ht="15.8" hidden="false" customHeight="false" outlineLevel="0" collapsed="false">
      <c r="A201" s="1" t="n">
        <v>200</v>
      </c>
      <c r="B201" s="1" t="n">
        <v>45.8</v>
      </c>
      <c r="C201" s="1" t="n">
        <v>-51.6</v>
      </c>
      <c r="D201" s="1" t="n">
        <v>-21.5</v>
      </c>
      <c r="E201" s="2" t="n">
        <v>1.1</v>
      </c>
      <c r="F201" s="2" t="n">
        <v>199</v>
      </c>
      <c r="G201" s="2" t="n">
        <v>46.2</v>
      </c>
      <c r="H201" s="2" t="n">
        <v>-50.6</v>
      </c>
      <c r="I201" s="2" t="n">
        <v>-21.8</v>
      </c>
      <c r="J201" s="2" t="n">
        <v>12.15395343</v>
      </c>
    </row>
    <row r="202" customFormat="false" ht="15.8" hidden="false" customHeight="false" outlineLevel="0" collapsed="false">
      <c r="A202" s="1" t="n">
        <v>201</v>
      </c>
      <c r="B202" s="1" t="n">
        <v>35.9</v>
      </c>
      <c r="C202" s="1" t="n">
        <v>-54.2</v>
      </c>
      <c r="D202" s="1" t="n">
        <v>-5.9</v>
      </c>
      <c r="E202" s="2" t="n">
        <v>1.6</v>
      </c>
      <c r="F202" s="2" t="n">
        <v>217</v>
      </c>
      <c r="G202" s="2" t="n">
        <v>35.4</v>
      </c>
      <c r="H202" s="2" t="n">
        <v>-55.7</v>
      </c>
      <c r="I202" s="2" t="n">
        <v>-6.3</v>
      </c>
      <c r="J202" s="2" t="n">
        <v>18.77941916</v>
      </c>
    </row>
    <row r="203" customFormat="false" ht="15.8" hidden="false" customHeight="false" outlineLevel="0" collapsed="false">
      <c r="A203" s="1" t="n">
        <v>202</v>
      </c>
      <c r="B203" s="1" t="n">
        <v>39.8</v>
      </c>
      <c r="C203" s="1" t="n">
        <v>-54.7</v>
      </c>
      <c r="D203" s="1" t="n">
        <v>-6.3</v>
      </c>
      <c r="E203" s="2" t="n">
        <v>1.5</v>
      </c>
      <c r="F203" s="2" t="n">
        <v>203</v>
      </c>
      <c r="G203" s="2" t="n">
        <v>40</v>
      </c>
      <c r="H203" s="2" t="n">
        <v>-56.2</v>
      </c>
      <c r="I203" s="2" t="n">
        <v>-5.9</v>
      </c>
      <c r="J203" s="2" t="n">
        <v>15.32548805</v>
      </c>
    </row>
    <row r="204" customFormat="false" ht="15.8" hidden="false" customHeight="false" outlineLevel="0" collapsed="false">
      <c r="A204" s="1" t="n">
        <v>203</v>
      </c>
      <c r="B204" s="1" t="n">
        <v>40</v>
      </c>
      <c r="C204" s="1" t="n">
        <v>-56.2</v>
      </c>
      <c r="D204" s="1" t="n">
        <v>-5.9</v>
      </c>
      <c r="E204" s="2" t="n">
        <v>1.5</v>
      </c>
      <c r="F204" s="2" t="n">
        <v>202</v>
      </c>
      <c r="G204" s="2" t="n">
        <v>39.8</v>
      </c>
      <c r="H204" s="2" t="n">
        <v>-54.7</v>
      </c>
      <c r="I204" s="2" t="n">
        <v>-6.3</v>
      </c>
      <c r="J204" s="2" t="n">
        <v>15.89264559</v>
      </c>
    </row>
    <row r="205" customFormat="false" ht="15.8" hidden="false" customHeight="false" outlineLevel="0" collapsed="false">
      <c r="A205" s="1" t="n">
        <v>204</v>
      </c>
      <c r="B205" s="1" t="n">
        <v>35.9</v>
      </c>
      <c r="C205" s="1" t="n">
        <v>-55.2</v>
      </c>
      <c r="D205" s="1" t="n">
        <v>-3.3</v>
      </c>
      <c r="E205" s="2" t="n">
        <v>2.6</v>
      </c>
      <c r="F205" s="2" t="n">
        <v>206</v>
      </c>
      <c r="G205" s="2" t="n">
        <v>36.8</v>
      </c>
      <c r="H205" s="2" t="n">
        <v>-56.8</v>
      </c>
      <c r="I205" s="2" t="n">
        <v>-5.2</v>
      </c>
      <c r="J205" s="2" t="n">
        <v>20.04116224</v>
      </c>
    </row>
    <row r="206" customFormat="false" ht="15.8" hidden="false" customHeight="false" outlineLevel="0" collapsed="false">
      <c r="A206" s="1" t="n">
        <v>205</v>
      </c>
      <c r="B206" s="1" t="n">
        <v>38.6</v>
      </c>
      <c r="C206" s="1" t="n">
        <v>-56.6</v>
      </c>
      <c r="D206" s="1" t="n">
        <v>-4.4</v>
      </c>
      <c r="E206" s="2" t="n">
        <v>2</v>
      </c>
      <c r="F206" s="2" t="n">
        <v>206</v>
      </c>
      <c r="G206" s="2" t="n">
        <v>36.8</v>
      </c>
      <c r="H206" s="2" t="n">
        <v>-56.8</v>
      </c>
      <c r="I206" s="2" t="n">
        <v>-5.2</v>
      </c>
      <c r="J206" s="2" t="n">
        <v>17.80513926</v>
      </c>
    </row>
    <row r="207" customFormat="false" ht="15.8" hidden="false" customHeight="false" outlineLevel="0" collapsed="false">
      <c r="A207" s="1" t="n">
        <v>206</v>
      </c>
      <c r="B207" s="1" t="n">
        <v>36.8</v>
      </c>
      <c r="C207" s="1" t="n">
        <v>-56.8</v>
      </c>
      <c r="D207" s="1" t="n">
        <v>-5.2</v>
      </c>
      <c r="E207" s="2" t="n">
        <v>0.7</v>
      </c>
      <c r="F207" s="2" t="n">
        <v>207</v>
      </c>
      <c r="G207" s="2" t="n">
        <v>36.5</v>
      </c>
      <c r="H207" s="2" t="n">
        <v>-57.3</v>
      </c>
      <c r="I207" s="2" t="n">
        <v>-5.5</v>
      </c>
      <c r="J207" s="2" t="n">
        <v>19.06764233</v>
      </c>
    </row>
    <row r="208" customFormat="false" ht="15.8" hidden="false" customHeight="false" outlineLevel="0" collapsed="false">
      <c r="A208" s="1" t="n">
        <v>207</v>
      </c>
      <c r="B208" s="1" t="n">
        <v>36.5</v>
      </c>
      <c r="C208" s="1" t="n">
        <v>-57.3</v>
      </c>
      <c r="D208" s="1" t="n">
        <v>-5.5</v>
      </c>
      <c r="E208" s="2" t="n">
        <v>0.7</v>
      </c>
      <c r="F208" s="2" t="n">
        <v>206</v>
      </c>
      <c r="G208" s="2" t="n">
        <v>36.8</v>
      </c>
      <c r="H208" s="2" t="n">
        <v>-56.8</v>
      </c>
      <c r="I208" s="2" t="n">
        <v>-5.2</v>
      </c>
      <c r="J208" s="2" t="n">
        <v>19.41904694</v>
      </c>
    </row>
    <row r="209" customFormat="false" ht="15.8" hidden="false" customHeight="false" outlineLevel="0" collapsed="false">
      <c r="A209" s="1" t="n">
        <v>208</v>
      </c>
      <c r="B209" s="1" t="n">
        <v>37.7</v>
      </c>
      <c r="C209" s="1" t="n">
        <v>-59.9</v>
      </c>
      <c r="D209" s="1" t="n">
        <v>-2.2</v>
      </c>
      <c r="E209" s="2" t="n">
        <v>1.5</v>
      </c>
      <c r="F209" s="2" t="n">
        <v>213</v>
      </c>
      <c r="G209" s="2" t="n">
        <v>36.5</v>
      </c>
      <c r="H209" s="2" t="n">
        <v>-60</v>
      </c>
      <c r="I209" s="2" t="n">
        <v>-3</v>
      </c>
      <c r="J209" s="2" t="n">
        <v>20.98881092</v>
      </c>
    </row>
    <row r="210" customFormat="false" ht="15.8" hidden="false" customHeight="false" outlineLevel="0" collapsed="false">
      <c r="A210" s="1" t="n">
        <v>209</v>
      </c>
      <c r="B210" s="1" t="n">
        <v>35.2</v>
      </c>
      <c r="C210" s="1" t="n">
        <v>-59.4</v>
      </c>
      <c r="D210" s="1" t="n">
        <v>-1.9</v>
      </c>
      <c r="E210" s="2" t="n">
        <v>0.5</v>
      </c>
      <c r="F210" s="2" t="n">
        <v>211</v>
      </c>
      <c r="G210" s="2" t="n">
        <v>34.7</v>
      </c>
      <c r="H210" s="2" t="n">
        <v>-59.3</v>
      </c>
      <c r="I210" s="2" t="n">
        <v>-1.9</v>
      </c>
      <c r="J210" s="2" t="n">
        <v>22.78062738</v>
      </c>
    </row>
    <row r="211" customFormat="false" ht="15.8" hidden="false" customHeight="false" outlineLevel="0" collapsed="false">
      <c r="A211" s="1" t="n">
        <v>210</v>
      </c>
      <c r="B211" s="1" t="n">
        <v>35.4</v>
      </c>
      <c r="C211" s="1" t="n">
        <v>-58.2</v>
      </c>
      <c r="D211" s="1" t="n">
        <v>-1.5</v>
      </c>
      <c r="E211" s="2" t="n">
        <v>1.3</v>
      </c>
      <c r="F211" s="2" t="n">
        <v>209</v>
      </c>
      <c r="G211" s="2" t="n">
        <v>35.2</v>
      </c>
      <c r="H211" s="2" t="n">
        <v>-59.4</v>
      </c>
      <c r="I211" s="2" t="n">
        <v>-1.9</v>
      </c>
      <c r="J211" s="2" t="n">
        <v>22.30356438</v>
      </c>
    </row>
    <row r="212" customFormat="false" ht="15.8" hidden="false" customHeight="false" outlineLevel="0" collapsed="false">
      <c r="A212" s="1" t="n">
        <v>211</v>
      </c>
      <c r="B212" s="1" t="n">
        <v>34.7</v>
      </c>
      <c r="C212" s="1" t="n">
        <v>-59.3</v>
      </c>
      <c r="D212" s="1" t="n">
        <v>-1.9</v>
      </c>
      <c r="E212" s="2" t="n">
        <v>0.5</v>
      </c>
      <c r="F212" s="2" t="n">
        <v>209</v>
      </c>
      <c r="G212" s="2" t="n">
        <v>35.2</v>
      </c>
      <c r="H212" s="2" t="n">
        <v>-59.4</v>
      </c>
      <c r="I212" s="2" t="n">
        <v>-1.9</v>
      </c>
      <c r="J212" s="2" t="n">
        <v>23.13033039</v>
      </c>
    </row>
    <row r="213" customFormat="false" ht="15.8" hidden="false" customHeight="false" outlineLevel="0" collapsed="false">
      <c r="A213" s="1" t="n">
        <v>212</v>
      </c>
      <c r="B213" s="1" t="n">
        <v>35</v>
      </c>
      <c r="C213" s="1" t="n">
        <v>-60.8</v>
      </c>
      <c r="D213" s="1" t="n">
        <v>-2.6</v>
      </c>
      <c r="E213" s="2" t="n">
        <v>1.6</v>
      </c>
      <c r="F213" s="2" t="n">
        <v>209</v>
      </c>
      <c r="G213" s="2" t="n">
        <v>35.2</v>
      </c>
      <c r="H213" s="2" t="n">
        <v>-59.4</v>
      </c>
      <c r="I213" s="2" t="n">
        <v>-1.9</v>
      </c>
      <c r="J213" s="2" t="n">
        <v>23.29308447</v>
      </c>
    </row>
    <row r="214" customFormat="false" ht="15.8" hidden="false" customHeight="false" outlineLevel="0" collapsed="false">
      <c r="A214" s="1" t="n">
        <v>213</v>
      </c>
      <c r="B214" s="1" t="n">
        <v>36.5</v>
      </c>
      <c r="C214" s="1" t="n">
        <v>-60</v>
      </c>
      <c r="D214" s="1" t="n">
        <v>-3</v>
      </c>
      <c r="E214" s="2" t="n">
        <v>1.5</v>
      </c>
      <c r="F214" s="2" t="n">
        <v>208</v>
      </c>
      <c r="G214" s="2" t="n">
        <v>37.7</v>
      </c>
      <c r="H214" s="2" t="n">
        <v>-59.9</v>
      </c>
      <c r="I214" s="2" t="n">
        <v>-2.2</v>
      </c>
      <c r="J214" s="2" t="n">
        <v>21.5829327</v>
      </c>
    </row>
    <row r="215" customFormat="false" ht="15.8" hidden="false" customHeight="false" outlineLevel="0" collapsed="false">
      <c r="A215" s="1" t="n">
        <v>214</v>
      </c>
      <c r="B215" s="1" t="n">
        <v>31.4</v>
      </c>
      <c r="C215" s="1" t="n">
        <v>-61.1</v>
      </c>
      <c r="D215" s="1" t="n">
        <v>-1.9</v>
      </c>
      <c r="E215" s="2" t="n">
        <v>1.3</v>
      </c>
      <c r="F215" s="2" t="n">
        <v>215</v>
      </c>
      <c r="G215" s="2" t="n">
        <v>30.7</v>
      </c>
      <c r="H215" s="2" t="n">
        <v>-60.1</v>
      </c>
      <c r="I215" s="2" t="n">
        <v>-1.9</v>
      </c>
      <c r="J215" s="2" t="n">
        <v>26.56497288</v>
      </c>
    </row>
    <row r="216" customFormat="false" ht="15.8" hidden="false" customHeight="false" outlineLevel="0" collapsed="false">
      <c r="A216" s="1" t="n">
        <v>215</v>
      </c>
      <c r="B216" s="1" t="n">
        <v>30.7</v>
      </c>
      <c r="C216" s="1" t="n">
        <v>-60.1</v>
      </c>
      <c r="D216" s="1" t="n">
        <v>-1.9</v>
      </c>
      <c r="E216" s="2" t="n">
        <v>1.3</v>
      </c>
      <c r="F216" s="2" t="n">
        <v>214</v>
      </c>
      <c r="G216" s="2" t="n">
        <v>31.4</v>
      </c>
      <c r="H216" s="2" t="n">
        <v>-61.1</v>
      </c>
      <c r="I216" s="2" t="n">
        <v>-1.9</v>
      </c>
      <c r="J216" s="2" t="n">
        <v>26.72007829</v>
      </c>
    </row>
    <row r="217" customFormat="false" ht="15.8" hidden="false" customHeight="false" outlineLevel="0" collapsed="false">
      <c r="A217" s="1" t="n">
        <v>216</v>
      </c>
      <c r="B217" s="1" t="n">
        <v>38.3</v>
      </c>
      <c r="C217" s="1" t="n">
        <v>-52.9</v>
      </c>
      <c r="D217" s="1" t="n">
        <v>-7.8</v>
      </c>
      <c r="E217" s="2" t="n">
        <v>2.8</v>
      </c>
      <c r="F217" s="2" t="n">
        <v>202</v>
      </c>
      <c r="G217" s="2" t="n">
        <v>39.8</v>
      </c>
      <c r="H217" s="2" t="n">
        <v>-54.7</v>
      </c>
      <c r="I217" s="2" t="n">
        <v>-6.3</v>
      </c>
      <c r="J217" s="2" t="n">
        <v>15.68471179</v>
      </c>
    </row>
    <row r="218" customFormat="false" ht="15.8" hidden="false" customHeight="false" outlineLevel="0" collapsed="false">
      <c r="A218" s="1" t="n">
        <v>217</v>
      </c>
      <c r="B218" s="1" t="n">
        <v>35.4</v>
      </c>
      <c r="C218" s="1" t="n">
        <v>-55.7</v>
      </c>
      <c r="D218" s="1" t="n">
        <v>-6.3</v>
      </c>
      <c r="E218" s="2" t="n">
        <v>1.1</v>
      </c>
      <c r="F218" s="2" t="n">
        <v>218</v>
      </c>
      <c r="G218" s="2" t="n">
        <v>34.4</v>
      </c>
      <c r="H218" s="2" t="n">
        <v>-56.2</v>
      </c>
      <c r="I218" s="2" t="n">
        <v>-6.3</v>
      </c>
      <c r="J218" s="2" t="n">
        <v>19.54676914</v>
      </c>
    </row>
    <row r="219" customFormat="false" ht="15.8" hidden="false" customHeight="false" outlineLevel="0" collapsed="false">
      <c r="A219" s="1" t="n">
        <v>218</v>
      </c>
      <c r="B219" s="1" t="n">
        <v>34.4</v>
      </c>
      <c r="C219" s="1" t="n">
        <v>-56.2</v>
      </c>
      <c r="D219" s="1" t="n">
        <v>-6.3</v>
      </c>
      <c r="E219" s="2" t="n">
        <v>1.1</v>
      </c>
      <c r="F219" s="2" t="n">
        <v>217</v>
      </c>
      <c r="G219" s="2" t="n">
        <v>35.4</v>
      </c>
      <c r="H219" s="2" t="n">
        <v>-55.7</v>
      </c>
      <c r="I219" s="2" t="n">
        <v>-6.3</v>
      </c>
      <c r="J219" s="2" t="n">
        <v>20.61223384</v>
      </c>
    </row>
    <row r="220" customFormat="false" ht="15.8" hidden="false" customHeight="false" outlineLevel="0" collapsed="false">
      <c r="A220" s="1" t="n">
        <v>219</v>
      </c>
      <c r="B220" s="1" t="n">
        <v>32.5</v>
      </c>
      <c r="C220" s="1" t="n">
        <v>-56.6</v>
      </c>
      <c r="D220" s="1" t="n">
        <v>-5.2</v>
      </c>
      <c r="E220" s="2" t="n">
        <v>2.3</v>
      </c>
      <c r="F220" s="2" t="n">
        <v>218</v>
      </c>
      <c r="G220" s="2" t="n">
        <v>34.4</v>
      </c>
      <c r="H220" s="2" t="n">
        <v>-56.2</v>
      </c>
      <c r="I220" s="2" t="n">
        <v>-6.3</v>
      </c>
      <c r="J220" s="2" t="n">
        <v>22.76990523</v>
      </c>
    </row>
    <row r="221" customFormat="false" ht="15.8" hidden="false" customHeight="false" outlineLevel="0" collapsed="false">
      <c r="A221" s="1" t="n">
        <v>220</v>
      </c>
      <c r="B221" s="1" t="n">
        <v>43.6</v>
      </c>
      <c r="C221" s="1" t="n">
        <v>-55</v>
      </c>
      <c r="D221" s="1" t="n">
        <v>-11.1</v>
      </c>
      <c r="E221" s="2" t="n">
        <v>2.5</v>
      </c>
      <c r="F221" s="2" t="n">
        <v>221</v>
      </c>
      <c r="G221" s="2" t="n">
        <v>41.7</v>
      </c>
      <c r="H221" s="2" t="n">
        <v>-56.6</v>
      </c>
      <c r="I221" s="2" t="n">
        <v>-11.5</v>
      </c>
      <c r="J221" s="2" t="n">
        <v>10.99513456</v>
      </c>
    </row>
    <row r="222" customFormat="false" ht="15.8" hidden="false" customHeight="false" outlineLevel="0" collapsed="false">
      <c r="A222" s="1" t="n">
        <v>221</v>
      </c>
      <c r="B222" s="1" t="n">
        <v>41.7</v>
      </c>
      <c r="C222" s="1" t="n">
        <v>-56.6</v>
      </c>
      <c r="D222" s="1" t="n">
        <v>-11.5</v>
      </c>
      <c r="E222" s="2" t="n">
        <v>2.5</v>
      </c>
      <c r="F222" s="2" t="n">
        <v>220</v>
      </c>
      <c r="G222" s="2" t="n">
        <v>43.6</v>
      </c>
      <c r="H222" s="2" t="n">
        <v>-55</v>
      </c>
      <c r="I222" s="2" t="n">
        <v>-11.1</v>
      </c>
      <c r="J222" s="2" t="n">
        <v>13.42702439</v>
      </c>
    </row>
    <row r="223" customFormat="false" ht="15.8" hidden="false" customHeight="false" outlineLevel="0" collapsed="false">
      <c r="A223" s="1" t="n">
        <v>222</v>
      </c>
      <c r="B223" s="1" t="n">
        <v>39.4</v>
      </c>
      <c r="C223" s="1" t="n">
        <v>-58.3</v>
      </c>
      <c r="D223" s="1" t="n">
        <v>-11.5</v>
      </c>
      <c r="E223" s="2" t="n">
        <v>2.1</v>
      </c>
      <c r="F223" s="2" t="n">
        <v>227</v>
      </c>
      <c r="G223" s="2" t="n">
        <v>38.1</v>
      </c>
      <c r="H223" s="2" t="n">
        <v>-59.8</v>
      </c>
      <c r="I223" s="2" t="n">
        <v>-12.2</v>
      </c>
      <c r="J223" s="2" t="n">
        <v>16.28034963</v>
      </c>
    </row>
    <row r="224" customFormat="false" ht="15.8" hidden="false" customHeight="false" outlineLevel="0" collapsed="false">
      <c r="A224" s="1" t="n">
        <v>223</v>
      </c>
      <c r="B224" s="1" t="n">
        <v>38.1</v>
      </c>
      <c r="C224" s="1" t="n">
        <v>-61.3</v>
      </c>
      <c r="D224" s="1" t="n">
        <v>-10</v>
      </c>
      <c r="E224" s="2" t="n">
        <v>1.4</v>
      </c>
      <c r="F224" s="2" t="n">
        <v>225</v>
      </c>
      <c r="G224" s="2" t="n">
        <v>38</v>
      </c>
      <c r="H224" s="2" t="n">
        <v>-62.6</v>
      </c>
      <c r="I224" s="2" t="n">
        <v>-9.6</v>
      </c>
      <c r="J224" s="2" t="n">
        <v>19.19278469</v>
      </c>
    </row>
    <row r="225" customFormat="false" ht="15.8" hidden="false" customHeight="false" outlineLevel="0" collapsed="false">
      <c r="A225" s="1" t="n">
        <v>224</v>
      </c>
      <c r="B225" s="1" t="n">
        <v>36.9</v>
      </c>
      <c r="C225" s="1" t="n">
        <v>-63.5</v>
      </c>
      <c r="D225" s="1" t="n">
        <v>-10</v>
      </c>
      <c r="E225" s="2" t="n">
        <v>1.5</v>
      </c>
      <c r="F225" s="2" t="n">
        <v>225</v>
      </c>
      <c r="G225" s="2" t="n">
        <v>38</v>
      </c>
      <c r="H225" s="2" t="n">
        <v>-62.6</v>
      </c>
      <c r="I225" s="2" t="n">
        <v>-9.6</v>
      </c>
      <c r="J225" s="2" t="n">
        <v>21.51551496</v>
      </c>
    </row>
    <row r="226" customFormat="false" ht="15.8" hidden="false" customHeight="false" outlineLevel="0" collapsed="false">
      <c r="A226" s="1" t="n">
        <v>225</v>
      </c>
      <c r="B226" s="1" t="n">
        <v>38</v>
      </c>
      <c r="C226" s="1" t="n">
        <v>-62.6</v>
      </c>
      <c r="D226" s="1" t="n">
        <v>-9.6</v>
      </c>
      <c r="E226" s="2" t="n">
        <v>1.4</v>
      </c>
      <c r="F226" s="2" t="n">
        <v>223</v>
      </c>
      <c r="G226" s="2" t="n">
        <v>38.1</v>
      </c>
      <c r="H226" s="2" t="n">
        <v>-61.3</v>
      </c>
      <c r="I226" s="2" t="n">
        <v>-10</v>
      </c>
      <c r="J226" s="2" t="n">
        <v>20.14463164</v>
      </c>
    </row>
    <row r="227" customFormat="false" ht="15.8" hidden="false" customHeight="false" outlineLevel="0" collapsed="false">
      <c r="A227" s="1" t="n">
        <v>226</v>
      </c>
      <c r="B227" s="1" t="n">
        <v>33.7</v>
      </c>
      <c r="C227" s="1" t="n">
        <v>-64.9</v>
      </c>
      <c r="D227" s="1" t="n">
        <v>-7.4</v>
      </c>
      <c r="E227" s="2" t="n">
        <v>3.6</v>
      </c>
      <c r="F227" s="2" t="n">
        <v>242</v>
      </c>
      <c r="G227" s="2" t="n">
        <v>32</v>
      </c>
      <c r="H227" s="2" t="n">
        <v>-63.6</v>
      </c>
      <c r="I227" s="2" t="n">
        <v>-10.4</v>
      </c>
      <c r="J227" s="2" t="n">
        <v>25.19402675</v>
      </c>
    </row>
    <row r="228" customFormat="false" ht="15.8" hidden="false" customHeight="false" outlineLevel="0" collapsed="false">
      <c r="A228" s="1" t="n">
        <v>227</v>
      </c>
      <c r="B228" s="1" t="n">
        <v>38.1</v>
      </c>
      <c r="C228" s="1" t="n">
        <v>-59.8</v>
      </c>
      <c r="D228" s="1" t="n">
        <v>-12.2</v>
      </c>
      <c r="E228" s="2" t="n">
        <v>2.1</v>
      </c>
      <c r="F228" s="2" t="n">
        <v>286</v>
      </c>
      <c r="G228" s="2" t="n">
        <v>37.8</v>
      </c>
      <c r="H228" s="2" t="n">
        <v>-58.4</v>
      </c>
      <c r="I228" s="2" t="n">
        <v>-13.7</v>
      </c>
      <c r="J228" s="2" t="n">
        <v>18.1931796</v>
      </c>
    </row>
    <row r="229" customFormat="false" ht="15.8" hidden="false" customHeight="false" outlineLevel="0" collapsed="false">
      <c r="A229" s="1" t="n">
        <v>228</v>
      </c>
      <c r="B229" s="1" t="n">
        <v>35.1</v>
      </c>
      <c r="C229" s="1" t="n">
        <v>-59.9</v>
      </c>
      <c r="D229" s="1" t="n">
        <v>-11.8</v>
      </c>
      <c r="E229" s="2" t="n">
        <v>2.6</v>
      </c>
      <c r="F229" s="2" t="n">
        <v>252</v>
      </c>
      <c r="G229" s="2" t="n">
        <v>34.2</v>
      </c>
      <c r="H229" s="2" t="n">
        <v>-57.6</v>
      </c>
      <c r="I229" s="2" t="n">
        <v>-12.9</v>
      </c>
      <c r="J229" s="2" t="n">
        <v>20.77197593</v>
      </c>
    </row>
    <row r="230" customFormat="false" ht="15.8" hidden="false" customHeight="false" outlineLevel="0" collapsed="false">
      <c r="A230" s="1" t="n">
        <v>229</v>
      </c>
      <c r="B230" s="1" t="n">
        <v>29.8</v>
      </c>
      <c r="C230" s="1" t="n">
        <v>-61.5</v>
      </c>
      <c r="D230" s="1" t="n">
        <v>-10.7</v>
      </c>
      <c r="E230" s="2" t="n">
        <v>1.3</v>
      </c>
      <c r="F230" s="2" t="n">
        <v>231</v>
      </c>
      <c r="G230" s="2" t="n">
        <v>29.6</v>
      </c>
      <c r="H230" s="2" t="n">
        <v>-60.9</v>
      </c>
      <c r="I230" s="2" t="n">
        <v>-9.6</v>
      </c>
      <c r="J230" s="2" t="n">
        <v>26.21401503</v>
      </c>
    </row>
    <row r="231" customFormat="false" ht="15.8" hidden="false" customHeight="false" outlineLevel="0" collapsed="false">
      <c r="A231" s="1" t="n">
        <v>230</v>
      </c>
      <c r="B231" s="1" t="n">
        <v>31.3</v>
      </c>
      <c r="C231" s="1" t="n">
        <v>-59.8</v>
      </c>
      <c r="D231" s="1" t="n">
        <v>-10.7</v>
      </c>
      <c r="E231" s="2" t="n">
        <v>0.7</v>
      </c>
      <c r="F231" s="2" t="n">
        <v>232</v>
      </c>
      <c r="G231" s="2" t="n">
        <v>31</v>
      </c>
      <c r="H231" s="2" t="n">
        <v>-60.3</v>
      </c>
      <c r="I231" s="2" t="n">
        <v>-10.4</v>
      </c>
      <c r="J231" s="2" t="n">
        <v>24.11333623</v>
      </c>
    </row>
    <row r="232" customFormat="false" ht="15.8" hidden="false" customHeight="false" outlineLevel="0" collapsed="false">
      <c r="A232" s="1" t="n">
        <v>231</v>
      </c>
      <c r="B232" s="1" t="n">
        <v>29.6</v>
      </c>
      <c r="C232" s="1" t="n">
        <v>-60.9</v>
      </c>
      <c r="D232" s="1" t="n">
        <v>-9.6</v>
      </c>
      <c r="E232" s="2" t="n">
        <v>1.3</v>
      </c>
      <c r="F232" s="2" t="n">
        <v>229</v>
      </c>
      <c r="G232" s="2" t="n">
        <v>29.8</v>
      </c>
      <c r="H232" s="2" t="n">
        <v>-61.5</v>
      </c>
      <c r="I232" s="2" t="n">
        <v>-10.7</v>
      </c>
      <c r="J232" s="2" t="n">
        <v>26.1972171</v>
      </c>
    </row>
    <row r="233" customFormat="false" ht="15.8" hidden="false" customHeight="false" outlineLevel="0" collapsed="false">
      <c r="A233" s="1" t="n">
        <v>232</v>
      </c>
      <c r="B233" s="1" t="n">
        <v>31</v>
      </c>
      <c r="C233" s="1" t="n">
        <v>-60.3</v>
      </c>
      <c r="D233" s="1" t="n">
        <v>-10.4</v>
      </c>
      <c r="E233" s="2" t="n">
        <v>0.7</v>
      </c>
      <c r="F233" s="2" t="n">
        <v>230</v>
      </c>
      <c r="G233" s="2" t="n">
        <v>31.3</v>
      </c>
      <c r="H233" s="2" t="n">
        <v>-59.8</v>
      </c>
      <c r="I233" s="2" t="n">
        <v>-10.7</v>
      </c>
      <c r="J233" s="2" t="n">
        <v>24.61907764</v>
      </c>
    </row>
    <row r="234" customFormat="false" ht="15.8" hidden="false" customHeight="false" outlineLevel="0" collapsed="false">
      <c r="A234" s="1" t="n">
        <v>233</v>
      </c>
      <c r="B234" s="1" t="n">
        <v>28</v>
      </c>
      <c r="C234" s="1" t="n">
        <v>-60.5</v>
      </c>
      <c r="D234" s="1" t="n">
        <v>-9.2</v>
      </c>
      <c r="E234" s="2" t="n">
        <v>1.6</v>
      </c>
      <c r="F234" s="2" t="n">
        <v>231</v>
      </c>
      <c r="G234" s="2" t="n">
        <v>29.6</v>
      </c>
      <c r="H234" s="2" t="n">
        <v>-60.9</v>
      </c>
      <c r="I234" s="2" t="n">
        <v>-9.6</v>
      </c>
      <c r="J234" s="2" t="n">
        <v>27.50868561</v>
      </c>
    </row>
    <row r="235" customFormat="false" ht="15.8" hidden="false" customHeight="false" outlineLevel="0" collapsed="false">
      <c r="A235" s="1" t="n">
        <v>234</v>
      </c>
      <c r="B235" s="1" t="n">
        <v>25.9</v>
      </c>
      <c r="C235" s="1" t="n">
        <v>-62.5</v>
      </c>
      <c r="D235" s="1" t="n">
        <v>-8.1</v>
      </c>
      <c r="E235" s="2" t="n">
        <v>2.2</v>
      </c>
      <c r="F235" s="2" t="n">
        <v>294</v>
      </c>
      <c r="G235" s="2" t="n">
        <v>27.4</v>
      </c>
      <c r="H235" s="2" t="n">
        <v>-63.1</v>
      </c>
      <c r="I235" s="2" t="n">
        <v>-6.7</v>
      </c>
      <c r="J235" s="2" t="n">
        <v>30.36415294</v>
      </c>
    </row>
    <row r="236" customFormat="false" ht="15.8" hidden="false" customHeight="false" outlineLevel="0" collapsed="false">
      <c r="A236" s="1" t="n">
        <v>235</v>
      </c>
      <c r="B236" s="1" t="n">
        <v>22</v>
      </c>
      <c r="C236" s="1" t="n">
        <v>-61.3</v>
      </c>
      <c r="D236" s="1" t="n">
        <v>-6.3</v>
      </c>
      <c r="E236" s="2" t="n">
        <v>1.2</v>
      </c>
      <c r="F236" s="2" t="n">
        <v>236</v>
      </c>
      <c r="G236" s="2" t="n">
        <v>22.2</v>
      </c>
      <c r="H236" s="2" t="n">
        <v>-62.5</v>
      </c>
      <c r="I236" s="2" t="n">
        <v>-6.7</v>
      </c>
      <c r="J236" s="2" t="n">
        <v>33.69971193</v>
      </c>
    </row>
    <row r="237" customFormat="false" ht="15.8" hidden="false" customHeight="false" outlineLevel="0" collapsed="false">
      <c r="A237" s="1" t="n">
        <v>236</v>
      </c>
      <c r="B237" s="1" t="n">
        <v>22.2</v>
      </c>
      <c r="C237" s="1" t="n">
        <v>-62.5</v>
      </c>
      <c r="D237" s="1" t="n">
        <v>-6.7</v>
      </c>
      <c r="E237" s="2" t="n">
        <v>1.2</v>
      </c>
      <c r="F237" s="2" t="n">
        <v>235</v>
      </c>
      <c r="G237" s="2" t="n">
        <v>22</v>
      </c>
      <c r="H237" s="2" t="n">
        <v>-61.3</v>
      </c>
      <c r="I237" s="2" t="n">
        <v>-6.3</v>
      </c>
      <c r="J237" s="2" t="n">
        <v>33.89715304</v>
      </c>
    </row>
    <row r="238" customFormat="false" ht="15.8" hidden="false" customHeight="false" outlineLevel="0" collapsed="false">
      <c r="A238" s="1" t="n">
        <v>237</v>
      </c>
      <c r="B238" s="1" t="n">
        <v>27.9</v>
      </c>
      <c r="C238" s="1" t="n">
        <v>-59.8</v>
      </c>
      <c r="D238" s="1" t="n">
        <v>-7.4</v>
      </c>
      <c r="E238" s="2" t="n">
        <v>2</v>
      </c>
      <c r="F238" s="2" t="n">
        <v>233</v>
      </c>
      <c r="G238" s="2" t="n">
        <v>28</v>
      </c>
      <c r="H238" s="2" t="n">
        <v>-60.5</v>
      </c>
      <c r="I238" s="2" t="n">
        <v>-9.2</v>
      </c>
      <c r="J238" s="2" t="n">
        <v>27.56529311</v>
      </c>
    </row>
    <row r="239" customFormat="false" ht="15.8" hidden="false" customHeight="false" outlineLevel="0" collapsed="false">
      <c r="A239" s="1" t="n">
        <v>238</v>
      </c>
      <c r="B239" s="1" t="n">
        <v>25.8</v>
      </c>
      <c r="C239" s="1" t="n">
        <v>-66.6</v>
      </c>
      <c r="D239" s="1" t="n">
        <v>-8.5</v>
      </c>
      <c r="E239" s="2" t="n">
        <v>1</v>
      </c>
      <c r="F239" s="2" t="n">
        <v>239</v>
      </c>
      <c r="G239" s="2" t="n">
        <v>25</v>
      </c>
      <c r="H239" s="2" t="n">
        <v>-67</v>
      </c>
      <c r="I239" s="2" t="n">
        <v>-8.1</v>
      </c>
      <c r="J239" s="2" t="n">
        <v>32.38806237</v>
      </c>
    </row>
    <row r="240" customFormat="false" ht="15.8" hidden="false" customHeight="false" outlineLevel="0" collapsed="false">
      <c r="A240" s="1" t="n">
        <v>239</v>
      </c>
      <c r="B240" s="1" t="n">
        <v>25</v>
      </c>
      <c r="C240" s="1" t="n">
        <v>-67</v>
      </c>
      <c r="D240" s="1" t="n">
        <v>-8.1</v>
      </c>
      <c r="E240" s="2" t="n">
        <v>1</v>
      </c>
      <c r="F240" s="2" t="n">
        <v>238</v>
      </c>
      <c r="G240" s="2" t="n">
        <v>25.8</v>
      </c>
      <c r="H240" s="2" t="n">
        <v>-66.6</v>
      </c>
      <c r="I240" s="2" t="n">
        <v>-8.5</v>
      </c>
      <c r="J240" s="2" t="n">
        <v>33.31713349</v>
      </c>
    </row>
    <row r="241" customFormat="false" ht="15.8" hidden="false" customHeight="false" outlineLevel="0" collapsed="false">
      <c r="A241" s="1" t="n">
        <v>240</v>
      </c>
      <c r="B241" s="1" t="n">
        <v>32.6</v>
      </c>
      <c r="C241" s="1" t="n">
        <v>-62.9</v>
      </c>
      <c r="D241" s="1" t="n">
        <v>-10.4</v>
      </c>
      <c r="E241" s="2" t="n">
        <v>0.9</v>
      </c>
      <c r="F241" s="2" t="n">
        <v>242</v>
      </c>
      <c r="G241" s="2" t="n">
        <v>32</v>
      </c>
      <c r="H241" s="2" t="n">
        <v>-63.6</v>
      </c>
      <c r="I241" s="2" t="n">
        <v>-10.4</v>
      </c>
      <c r="J241" s="2" t="n">
        <v>24.53302639</v>
      </c>
    </row>
    <row r="242" customFormat="false" ht="15.8" hidden="false" customHeight="false" outlineLevel="0" collapsed="false">
      <c r="A242" s="1" t="n">
        <v>241</v>
      </c>
      <c r="B242" s="1" t="n">
        <v>31.1</v>
      </c>
      <c r="C242" s="1" t="n">
        <v>-63</v>
      </c>
      <c r="D242" s="1" t="n">
        <v>-10</v>
      </c>
      <c r="E242" s="2" t="n">
        <v>1.2</v>
      </c>
      <c r="F242" s="2" t="n">
        <v>242</v>
      </c>
      <c r="G242" s="2" t="n">
        <v>32</v>
      </c>
      <c r="H242" s="2" t="n">
        <v>-63.6</v>
      </c>
      <c r="I242" s="2" t="n">
        <v>-10.4</v>
      </c>
      <c r="J242" s="2" t="n">
        <v>25.87385909</v>
      </c>
    </row>
    <row r="243" customFormat="false" ht="15.8" hidden="false" customHeight="false" outlineLevel="0" collapsed="false">
      <c r="A243" s="1" t="n">
        <v>242</v>
      </c>
      <c r="B243" s="1" t="n">
        <v>32</v>
      </c>
      <c r="C243" s="1" t="n">
        <v>-63.6</v>
      </c>
      <c r="D243" s="1" t="n">
        <v>-10.4</v>
      </c>
      <c r="E243" s="2" t="n">
        <v>0.9</v>
      </c>
      <c r="F243" s="2" t="n">
        <v>240</v>
      </c>
      <c r="G243" s="2" t="n">
        <v>32.6</v>
      </c>
      <c r="H243" s="2" t="n">
        <v>-62.9</v>
      </c>
      <c r="I243" s="2" t="n">
        <v>-10.4</v>
      </c>
      <c r="J243" s="2" t="n">
        <v>25.4194686</v>
      </c>
    </row>
    <row r="244" customFormat="false" ht="15.8" hidden="false" customHeight="false" outlineLevel="0" collapsed="false">
      <c r="A244" s="1" t="n">
        <v>243</v>
      </c>
      <c r="B244" s="1" t="n">
        <v>33</v>
      </c>
      <c r="C244" s="1" t="n">
        <v>-66</v>
      </c>
      <c r="D244" s="1" t="n">
        <v>-11.5</v>
      </c>
      <c r="E244" s="2" t="n">
        <v>1.8</v>
      </c>
      <c r="F244" s="2" t="n">
        <v>244</v>
      </c>
      <c r="G244" s="2" t="n">
        <v>33.3</v>
      </c>
      <c r="H244" s="2" t="n">
        <v>-64.3</v>
      </c>
      <c r="I244" s="2" t="n">
        <v>-12.2</v>
      </c>
      <c r="J244" s="2" t="n">
        <v>26.01901197</v>
      </c>
    </row>
    <row r="245" customFormat="false" ht="15.8" hidden="false" customHeight="false" outlineLevel="0" collapsed="false">
      <c r="A245" s="1" t="n">
        <v>244</v>
      </c>
      <c r="B245" s="1" t="n">
        <v>33.3</v>
      </c>
      <c r="C245" s="1" t="n">
        <v>-64.3</v>
      </c>
      <c r="D245" s="1" t="n">
        <v>-12.2</v>
      </c>
      <c r="E245" s="2" t="n">
        <v>1.8</v>
      </c>
      <c r="F245" s="2" t="n">
        <v>243</v>
      </c>
      <c r="G245" s="2" t="n">
        <v>33</v>
      </c>
      <c r="H245" s="2" t="n">
        <v>-66</v>
      </c>
      <c r="I245" s="2" t="n">
        <v>-11.5</v>
      </c>
      <c r="J245" s="2" t="n">
        <v>24.72340964</v>
      </c>
    </row>
    <row r="246" customFormat="false" ht="15.8" hidden="false" customHeight="false" outlineLevel="0" collapsed="false">
      <c r="A246" s="1" t="n">
        <v>245</v>
      </c>
      <c r="B246" s="1" t="n">
        <v>29</v>
      </c>
      <c r="C246" s="1" t="n">
        <v>-69.7</v>
      </c>
      <c r="D246" s="1" t="n">
        <v>-10</v>
      </c>
      <c r="E246" s="2" t="n">
        <v>1.6</v>
      </c>
      <c r="F246" s="2" t="n">
        <v>246</v>
      </c>
      <c r="G246" s="2" t="n">
        <v>28.6</v>
      </c>
      <c r="H246" s="2" t="n">
        <v>-70.2</v>
      </c>
      <c r="I246" s="2" t="n">
        <v>-11.5</v>
      </c>
      <c r="J246" s="2" t="n">
        <v>31.51889249</v>
      </c>
    </row>
    <row r="247" customFormat="false" ht="15.8" hidden="false" customHeight="false" outlineLevel="0" collapsed="false">
      <c r="A247" s="1" t="n">
        <v>246</v>
      </c>
      <c r="B247" s="1" t="n">
        <v>28.6</v>
      </c>
      <c r="C247" s="1" t="n">
        <v>-70.2</v>
      </c>
      <c r="D247" s="1" t="n">
        <v>-11.5</v>
      </c>
      <c r="E247" s="2" t="n">
        <v>1.6</v>
      </c>
      <c r="F247" s="2" t="n">
        <v>245</v>
      </c>
      <c r="G247" s="2" t="n">
        <v>29</v>
      </c>
      <c r="H247" s="2" t="n">
        <v>-69.7</v>
      </c>
      <c r="I247" s="2" t="n">
        <v>-10</v>
      </c>
      <c r="J247" s="2" t="n">
        <v>32.08944038</v>
      </c>
    </row>
    <row r="248" customFormat="false" ht="15.8" hidden="false" customHeight="false" outlineLevel="0" collapsed="false">
      <c r="A248" s="1" t="n">
        <v>247</v>
      </c>
      <c r="B248" s="1" t="n">
        <v>31</v>
      </c>
      <c r="C248" s="1" t="n">
        <v>-72.3</v>
      </c>
      <c r="D248" s="1" t="n">
        <v>-8.5</v>
      </c>
      <c r="E248" s="2" t="n">
        <v>3.6</v>
      </c>
      <c r="F248" s="2" t="n">
        <v>245</v>
      </c>
      <c r="G248" s="2" t="n">
        <v>29</v>
      </c>
      <c r="H248" s="2" t="n">
        <v>-69.7</v>
      </c>
      <c r="I248" s="2" t="n">
        <v>-10</v>
      </c>
      <c r="J248" s="2" t="n">
        <v>31.97003885</v>
      </c>
    </row>
    <row r="249" customFormat="false" ht="15.8" hidden="false" customHeight="false" outlineLevel="0" collapsed="false">
      <c r="A249" s="1" t="n">
        <v>248</v>
      </c>
      <c r="B249" s="1" t="n">
        <v>30.4</v>
      </c>
      <c r="C249" s="1" t="n">
        <v>-64.3</v>
      </c>
      <c r="D249" s="1" t="n">
        <v>-10.4</v>
      </c>
      <c r="E249" s="2" t="n">
        <v>1.6</v>
      </c>
      <c r="F249" s="2" t="n">
        <v>241</v>
      </c>
      <c r="G249" s="2" t="n">
        <v>31.1</v>
      </c>
      <c r="H249" s="2" t="n">
        <v>-63</v>
      </c>
      <c r="I249" s="2" t="n">
        <v>-10</v>
      </c>
      <c r="J249" s="2" t="n">
        <v>27.13546359</v>
      </c>
    </row>
    <row r="250" customFormat="false" ht="15.8" hidden="false" customHeight="false" outlineLevel="0" collapsed="false">
      <c r="A250" s="1" t="n">
        <v>249</v>
      </c>
      <c r="B250" s="1" t="n">
        <v>26.8</v>
      </c>
      <c r="C250" s="1" t="n">
        <v>-67.8</v>
      </c>
      <c r="D250" s="1" t="n">
        <v>-9.2</v>
      </c>
      <c r="E250" s="2" t="n">
        <v>1.7</v>
      </c>
      <c r="F250" s="2" t="n">
        <v>238</v>
      </c>
      <c r="G250" s="2" t="n">
        <v>25.8</v>
      </c>
      <c r="H250" s="2" t="n">
        <v>-66.6</v>
      </c>
      <c r="I250" s="2" t="n">
        <v>-8.5</v>
      </c>
      <c r="J250" s="2" t="n">
        <v>32.15616557</v>
      </c>
    </row>
    <row r="251" customFormat="false" ht="15.8" hidden="false" customHeight="false" outlineLevel="0" collapsed="false">
      <c r="A251" s="1" t="n">
        <v>250</v>
      </c>
      <c r="B251" s="1" t="n">
        <v>32.3</v>
      </c>
      <c r="C251" s="1" t="n">
        <v>-59.4</v>
      </c>
      <c r="D251" s="1" t="n">
        <v>-14.1</v>
      </c>
      <c r="E251" s="2" t="n">
        <v>2.6</v>
      </c>
      <c r="F251" s="2" t="n">
        <v>251</v>
      </c>
      <c r="G251" s="2" t="n">
        <v>30.9</v>
      </c>
      <c r="H251" s="2" t="n">
        <v>-59.5</v>
      </c>
      <c r="I251" s="2" t="n">
        <v>-11.8</v>
      </c>
      <c r="J251" s="2" t="n">
        <v>23.10409886</v>
      </c>
    </row>
    <row r="252" customFormat="false" ht="15.8" hidden="false" customHeight="false" outlineLevel="0" collapsed="false">
      <c r="A252" s="1" t="n">
        <v>251</v>
      </c>
      <c r="B252" s="1" t="n">
        <v>30.9</v>
      </c>
      <c r="C252" s="1" t="n">
        <v>-59.5</v>
      </c>
      <c r="D252" s="1" t="n">
        <v>-11.8</v>
      </c>
      <c r="E252" s="2" t="n">
        <v>1.2</v>
      </c>
      <c r="F252" s="2" t="n">
        <v>230</v>
      </c>
      <c r="G252" s="2" t="n">
        <v>31.3</v>
      </c>
      <c r="H252" s="2" t="n">
        <v>-59.8</v>
      </c>
      <c r="I252" s="2" t="n">
        <v>-10.7</v>
      </c>
      <c r="J252" s="2" t="n">
        <v>24.3151102</v>
      </c>
    </row>
    <row r="253" customFormat="false" ht="15.8" hidden="false" customHeight="false" outlineLevel="0" collapsed="false">
      <c r="A253" s="1" t="n">
        <v>252</v>
      </c>
      <c r="B253" s="1" t="n">
        <v>34.2</v>
      </c>
      <c r="C253" s="1" t="n">
        <v>-57.6</v>
      </c>
      <c r="D253" s="1" t="n">
        <v>-12.9</v>
      </c>
      <c r="E253" s="2" t="n">
        <v>2.3</v>
      </c>
      <c r="F253" s="2" t="n">
        <v>292</v>
      </c>
      <c r="G253" s="2" t="n">
        <v>35.9</v>
      </c>
      <c r="H253" s="2" t="n">
        <v>-58</v>
      </c>
      <c r="I253" s="2" t="n">
        <v>-14.4</v>
      </c>
      <c r="J253" s="2" t="n">
        <v>20.54708213</v>
      </c>
    </row>
    <row r="254" customFormat="false" ht="15.8" hidden="false" customHeight="false" outlineLevel="0" collapsed="false">
      <c r="A254" s="1" t="n">
        <v>253</v>
      </c>
      <c r="B254" s="1" t="n">
        <v>28</v>
      </c>
      <c r="C254" s="1" t="n">
        <v>-60.5</v>
      </c>
      <c r="D254" s="1" t="n">
        <v>-12.9</v>
      </c>
      <c r="E254" s="2" t="n">
        <v>1.9</v>
      </c>
      <c r="F254" s="2" t="n">
        <v>254</v>
      </c>
      <c r="G254" s="2" t="n">
        <v>29</v>
      </c>
      <c r="H254" s="2" t="n">
        <v>-61.9</v>
      </c>
      <c r="I254" s="2" t="n">
        <v>-12.2</v>
      </c>
      <c r="J254" s="2" t="n">
        <v>27.38493352</v>
      </c>
    </row>
    <row r="255" customFormat="false" ht="15.8" hidden="false" customHeight="false" outlineLevel="0" collapsed="false">
      <c r="A255" s="1" t="n">
        <v>254</v>
      </c>
      <c r="B255" s="1" t="n">
        <v>29</v>
      </c>
      <c r="C255" s="1" t="n">
        <v>-61.9</v>
      </c>
      <c r="D255" s="1" t="n">
        <v>-12.2</v>
      </c>
      <c r="E255" s="2" t="n">
        <v>1.7</v>
      </c>
      <c r="F255" s="2" t="n">
        <v>229</v>
      </c>
      <c r="G255" s="2" t="n">
        <v>29.8</v>
      </c>
      <c r="H255" s="2" t="n">
        <v>-61.5</v>
      </c>
      <c r="I255" s="2" t="n">
        <v>-10.7</v>
      </c>
      <c r="J255" s="2" t="n">
        <v>27.0786075</v>
      </c>
    </row>
    <row r="256" customFormat="false" ht="15.8" hidden="false" customHeight="false" outlineLevel="0" collapsed="false">
      <c r="A256" s="1" t="n">
        <v>255</v>
      </c>
      <c r="B256" s="1" t="n">
        <v>21.6</v>
      </c>
      <c r="C256" s="1" t="n">
        <v>-62.3</v>
      </c>
      <c r="D256" s="1" t="n">
        <v>-12.6</v>
      </c>
      <c r="E256" s="2" t="n">
        <v>3.6</v>
      </c>
      <c r="F256" s="2" t="n">
        <v>263</v>
      </c>
      <c r="G256" s="2" t="n">
        <v>23</v>
      </c>
      <c r="H256" s="2" t="n">
        <v>-65.6</v>
      </c>
      <c r="I256" s="2" t="n">
        <v>-12.6</v>
      </c>
      <c r="J256" s="2" t="n">
        <v>33.96723986</v>
      </c>
    </row>
    <row r="257" customFormat="false" ht="15.8" hidden="false" customHeight="false" outlineLevel="0" collapsed="false">
      <c r="A257" s="1" t="n">
        <v>256</v>
      </c>
      <c r="B257" s="1" t="n">
        <v>18.3</v>
      </c>
      <c r="C257" s="1" t="n">
        <v>-68.5</v>
      </c>
      <c r="D257" s="1" t="n">
        <v>-8.1</v>
      </c>
      <c r="E257" s="2" t="n">
        <v>0.5</v>
      </c>
      <c r="F257" s="2" t="n">
        <v>261</v>
      </c>
      <c r="G257" s="2" t="n">
        <v>18.1</v>
      </c>
      <c r="H257" s="2" t="n">
        <v>-68.9</v>
      </c>
      <c r="I257" s="2" t="n">
        <v>-7.8</v>
      </c>
      <c r="J257" s="2" t="n">
        <v>39.81582831</v>
      </c>
    </row>
    <row r="258" customFormat="false" ht="15.8" hidden="false" customHeight="false" outlineLevel="0" collapsed="false">
      <c r="A258" s="1" t="n">
        <v>257</v>
      </c>
      <c r="B258" s="1" t="n">
        <v>18.7</v>
      </c>
      <c r="C258" s="1" t="n">
        <v>-69</v>
      </c>
      <c r="D258" s="1" t="n">
        <v>-8.1</v>
      </c>
      <c r="E258" s="2" t="n">
        <v>0.6</v>
      </c>
      <c r="F258" s="2" t="n">
        <v>256</v>
      </c>
      <c r="G258" s="2" t="n">
        <v>18.3</v>
      </c>
      <c r="H258" s="2" t="n">
        <v>-68.5</v>
      </c>
      <c r="I258" s="2" t="n">
        <v>-8.1</v>
      </c>
      <c r="J258" s="2" t="n">
        <v>39.71249909</v>
      </c>
    </row>
    <row r="259" customFormat="false" ht="15.8" hidden="false" customHeight="false" outlineLevel="0" collapsed="false">
      <c r="A259" s="1" t="n">
        <v>258</v>
      </c>
      <c r="B259" s="1" t="n">
        <v>19.3</v>
      </c>
      <c r="C259" s="1" t="n">
        <v>-68.4</v>
      </c>
      <c r="D259" s="1" t="n">
        <v>-8.5</v>
      </c>
      <c r="E259" s="2" t="n">
        <v>1</v>
      </c>
      <c r="F259" s="2" t="n">
        <v>257</v>
      </c>
      <c r="G259" s="2" t="n">
        <v>18.7</v>
      </c>
      <c r="H259" s="2" t="n">
        <v>-69</v>
      </c>
      <c r="I259" s="2" t="n">
        <v>-8.1</v>
      </c>
      <c r="J259" s="2" t="n">
        <v>38.86058394</v>
      </c>
    </row>
    <row r="260" customFormat="false" ht="15.8" hidden="false" customHeight="false" outlineLevel="0" collapsed="false">
      <c r="A260" s="1" t="n">
        <v>259</v>
      </c>
      <c r="B260" s="1" t="n">
        <v>18.6</v>
      </c>
      <c r="C260" s="1" t="n">
        <v>-69.2</v>
      </c>
      <c r="D260" s="1" t="n">
        <v>-7</v>
      </c>
      <c r="E260" s="2" t="n">
        <v>0.9</v>
      </c>
      <c r="F260" s="2" t="n">
        <v>261</v>
      </c>
      <c r="G260" s="2" t="n">
        <v>18.1</v>
      </c>
      <c r="H260" s="2" t="n">
        <v>-68.9</v>
      </c>
      <c r="I260" s="2" t="n">
        <v>-7.8</v>
      </c>
      <c r="J260" s="2" t="n">
        <v>40.01957251</v>
      </c>
    </row>
    <row r="261" customFormat="false" ht="15.8" hidden="false" customHeight="false" outlineLevel="0" collapsed="false">
      <c r="A261" s="1" t="n">
        <v>260</v>
      </c>
      <c r="B261" s="1" t="n">
        <v>17.8</v>
      </c>
      <c r="C261" s="1" t="n">
        <v>-69.3</v>
      </c>
      <c r="D261" s="1" t="n">
        <v>-8.5</v>
      </c>
      <c r="E261" s="2" t="n">
        <v>0.9</v>
      </c>
      <c r="F261" s="2" t="n">
        <v>261</v>
      </c>
      <c r="G261" s="2" t="n">
        <v>18.1</v>
      </c>
      <c r="H261" s="2" t="n">
        <v>-68.9</v>
      </c>
      <c r="I261" s="2" t="n">
        <v>-7.8</v>
      </c>
      <c r="J261" s="2" t="n">
        <v>40.60261302</v>
      </c>
    </row>
    <row r="262" customFormat="false" ht="15.8" hidden="false" customHeight="false" outlineLevel="0" collapsed="false">
      <c r="A262" s="1" t="n">
        <v>261</v>
      </c>
      <c r="B262" s="1" t="n">
        <v>18.1</v>
      </c>
      <c r="C262" s="1" t="n">
        <v>-68.9</v>
      </c>
      <c r="D262" s="1" t="n">
        <v>-7.8</v>
      </c>
      <c r="E262" s="2" t="n">
        <v>0.5</v>
      </c>
      <c r="F262" s="2" t="n">
        <v>256</v>
      </c>
      <c r="G262" s="2" t="n">
        <v>18.3</v>
      </c>
      <c r="H262" s="2" t="n">
        <v>-68.5</v>
      </c>
      <c r="I262" s="2" t="n">
        <v>-8.1</v>
      </c>
      <c r="J262" s="2" t="n">
        <v>40.21316929</v>
      </c>
    </row>
    <row r="263" customFormat="false" ht="15.8" hidden="false" customHeight="false" outlineLevel="0" collapsed="false">
      <c r="A263" s="1" t="n">
        <v>262</v>
      </c>
      <c r="B263" s="1" t="n">
        <v>17</v>
      </c>
      <c r="C263" s="1" t="n">
        <v>-71.2</v>
      </c>
      <c r="D263" s="1" t="n">
        <v>-6.3</v>
      </c>
      <c r="E263" s="2" t="n">
        <v>2.6</v>
      </c>
      <c r="F263" s="2" t="n">
        <v>259</v>
      </c>
      <c r="G263" s="2" t="n">
        <v>18.6</v>
      </c>
      <c r="H263" s="2" t="n">
        <v>-69.2</v>
      </c>
      <c r="I263" s="2" t="n">
        <v>-7</v>
      </c>
      <c r="J263" s="2" t="n">
        <v>42.48521842</v>
      </c>
    </row>
    <row r="264" customFormat="false" ht="15.8" hidden="false" customHeight="false" outlineLevel="0" collapsed="false">
      <c r="A264" s="1" t="n">
        <v>263</v>
      </c>
      <c r="B264" s="1" t="n">
        <v>23</v>
      </c>
      <c r="C264" s="1" t="n">
        <v>-65.6</v>
      </c>
      <c r="D264" s="1" t="n">
        <v>-12.6</v>
      </c>
      <c r="E264" s="2" t="n">
        <v>0.6</v>
      </c>
      <c r="F264" s="2" t="n">
        <v>264</v>
      </c>
      <c r="G264" s="2" t="n">
        <v>23.4</v>
      </c>
      <c r="H264" s="2" t="n">
        <v>-65.8</v>
      </c>
      <c r="I264" s="2" t="n">
        <v>-12.2</v>
      </c>
      <c r="J264" s="2" t="n">
        <v>34.11835553</v>
      </c>
    </row>
    <row r="265" customFormat="false" ht="15.8" hidden="false" customHeight="false" outlineLevel="0" collapsed="false">
      <c r="A265" s="1" t="n">
        <v>264</v>
      </c>
      <c r="B265" s="1" t="n">
        <v>23.4</v>
      </c>
      <c r="C265" s="1" t="n">
        <v>-65.8</v>
      </c>
      <c r="D265" s="1" t="n">
        <v>-12.2</v>
      </c>
      <c r="E265" s="2" t="n">
        <v>0.6</v>
      </c>
      <c r="F265" s="2" t="n">
        <v>263</v>
      </c>
      <c r="G265" s="2" t="n">
        <v>23</v>
      </c>
      <c r="H265" s="2" t="n">
        <v>-65.6</v>
      </c>
      <c r="I265" s="2" t="n">
        <v>-12.6</v>
      </c>
      <c r="J265" s="2" t="n">
        <v>33.85865597</v>
      </c>
    </row>
    <row r="266" customFormat="false" ht="15.8" hidden="false" customHeight="false" outlineLevel="0" collapsed="false">
      <c r="A266" s="1" t="n">
        <v>265</v>
      </c>
      <c r="B266" s="1" t="n">
        <v>24.9</v>
      </c>
      <c r="C266" s="1" t="n">
        <v>-67.5</v>
      </c>
      <c r="D266" s="1" t="n">
        <v>-12.9</v>
      </c>
      <c r="E266" s="2" t="n">
        <v>1.8</v>
      </c>
      <c r="F266" s="2" t="n">
        <v>285</v>
      </c>
      <c r="G266" s="2" t="n">
        <v>23.9</v>
      </c>
      <c r="H266" s="2" t="n">
        <v>-67.5</v>
      </c>
      <c r="I266" s="2" t="n">
        <v>-14.4</v>
      </c>
      <c r="J266" s="2" t="n">
        <v>33.45792857</v>
      </c>
    </row>
    <row r="267" customFormat="false" ht="15.8" hidden="false" customHeight="false" outlineLevel="0" collapsed="false">
      <c r="A267" s="1" t="n">
        <v>266</v>
      </c>
      <c r="B267" s="1" t="n">
        <v>20.9</v>
      </c>
      <c r="C267" s="1" t="n">
        <v>-66</v>
      </c>
      <c r="D267" s="1" t="n">
        <v>-14.1</v>
      </c>
      <c r="E267" s="2" t="n">
        <v>2.2</v>
      </c>
      <c r="F267" s="2" t="n">
        <v>282</v>
      </c>
      <c r="G267" s="2" t="n">
        <v>19.2</v>
      </c>
      <c r="H267" s="2" t="n">
        <v>-66.2</v>
      </c>
      <c r="I267" s="2" t="n">
        <v>-12.6</v>
      </c>
      <c r="J267" s="2" t="n">
        <v>36.21841775</v>
      </c>
    </row>
    <row r="268" customFormat="false" ht="15.8" hidden="false" customHeight="false" outlineLevel="0" collapsed="false">
      <c r="A268" s="1" t="n">
        <v>267</v>
      </c>
      <c r="B268" s="1" t="n">
        <v>17.8</v>
      </c>
      <c r="C268" s="1" t="n">
        <v>-68.1</v>
      </c>
      <c r="D268" s="1" t="n">
        <v>-12.2</v>
      </c>
      <c r="E268" s="2" t="n">
        <v>0.6</v>
      </c>
      <c r="F268" s="2" t="n">
        <v>277</v>
      </c>
      <c r="G268" s="2" t="n">
        <v>17.5</v>
      </c>
      <c r="H268" s="2" t="n">
        <v>-67.6</v>
      </c>
      <c r="I268" s="2" t="n">
        <v>-12.2</v>
      </c>
      <c r="J268" s="2" t="n">
        <v>39.87727904</v>
      </c>
    </row>
    <row r="269" customFormat="false" ht="15.8" hidden="false" customHeight="false" outlineLevel="0" collapsed="false">
      <c r="A269" s="1" t="n">
        <v>268</v>
      </c>
      <c r="B269" s="1" t="n">
        <v>17.1</v>
      </c>
      <c r="C269" s="1" t="n">
        <v>-66.4</v>
      </c>
      <c r="D269" s="1" t="n">
        <v>-13.3</v>
      </c>
      <c r="E269" s="2" t="n">
        <v>1.7</v>
      </c>
      <c r="F269" s="2" t="n">
        <v>277</v>
      </c>
      <c r="G269" s="2" t="n">
        <v>17.5</v>
      </c>
      <c r="H269" s="2" t="n">
        <v>-67.6</v>
      </c>
      <c r="I269" s="2" t="n">
        <v>-12.2</v>
      </c>
      <c r="J269" s="2" t="n">
        <v>39.76034436</v>
      </c>
    </row>
    <row r="270" customFormat="false" ht="15.8" hidden="false" customHeight="false" outlineLevel="0" collapsed="false">
      <c r="A270" s="1" t="n">
        <v>269</v>
      </c>
      <c r="B270" s="1" t="n">
        <v>23.4</v>
      </c>
      <c r="C270" s="1" t="n">
        <v>-68.4</v>
      </c>
      <c r="D270" s="1" t="n">
        <v>-12.2</v>
      </c>
      <c r="E270" s="2" t="n">
        <v>1.9</v>
      </c>
      <c r="F270" s="2" t="n">
        <v>265</v>
      </c>
      <c r="G270" s="2" t="n">
        <v>24.9</v>
      </c>
      <c r="H270" s="2" t="n">
        <v>-67.5</v>
      </c>
      <c r="I270" s="2" t="n">
        <v>-12.9</v>
      </c>
      <c r="J270" s="2" t="n">
        <v>35.19411008</v>
      </c>
    </row>
    <row r="271" customFormat="false" ht="15.8" hidden="false" customHeight="false" outlineLevel="0" collapsed="false">
      <c r="A271" s="1" t="n">
        <v>270</v>
      </c>
      <c r="B271" s="1" t="n">
        <v>21.6</v>
      </c>
      <c r="C271" s="1" t="n">
        <v>-68.7</v>
      </c>
      <c r="D271" s="1" t="n">
        <v>-11.5</v>
      </c>
      <c r="E271" s="2" t="n">
        <v>2</v>
      </c>
      <c r="F271" s="2" t="n">
        <v>269</v>
      </c>
      <c r="G271" s="2" t="n">
        <v>23.4</v>
      </c>
      <c r="H271" s="2" t="n">
        <v>-68.4</v>
      </c>
      <c r="I271" s="2" t="n">
        <v>-12.2</v>
      </c>
      <c r="J271" s="2" t="n">
        <v>36.87964458</v>
      </c>
    </row>
    <row r="272" customFormat="false" ht="15.8" hidden="false" customHeight="false" outlineLevel="0" collapsed="false">
      <c r="A272" s="1" t="n">
        <v>271</v>
      </c>
      <c r="B272" s="1" t="n">
        <v>18.9</v>
      </c>
      <c r="C272" s="1" t="n">
        <v>-70.2</v>
      </c>
      <c r="D272" s="1" t="n">
        <v>-9.6</v>
      </c>
      <c r="E272" s="2" t="n">
        <v>1.1</v>
      </c>
      <c r="F272" s="2" t="n">
        <v>272</v>
      </c>
      <c r="G272" s="2" t="n">
        <v>17.9</v>
      </c>
      <c r="H272" s="2" t="n">
        <v>-70.5</v>
      </c>
      <c r="I272" s="2" t="n">
        <v>-10</v>
      </c>
      <c r="J272" s="2" t="n">
        <v>40.03260401</v>
      </c>
    </row>
    <row r="273" customFormat="false" ht="15.8" hidden="false" customHeight="false" outlineLevel="0" collapsed="false">
      <c r="A273" s="1" t="n">
        <v>272</v>
      </c>
      <c r="B273" s="1" t="n">
        <v>17.9</v>
      </c>
      <c r="C273" s="1" t="n">
        <v>-70.5</v>
      </c>
      <c r="D273" s="1" t="n">
        <v>-10</v>
      </c>
      <c r="E273" s="2" t="n">
        <v>1.1</v>
      </c>
      <c r="F273" s="2" t="n">
        <v>271</v>
      </c>
      <c r="G273" s="2" t="n">
        <v>18.9</v>
      </c>
      <c r="H273" s="2" t="n">
        <v>-70.2</v>
      </c>
      <c r="I273" s="2" t="n">
        <v>-9.6</v>
      </c>
      <c r="J273" s="2" t="n">
        <v>41.02035329</v>
      </c>
    </row>
    <row r="274" customFormat="false" ht="15.8" hidden="false" customHeight="false" outlineLevel="0" collapsed="false">
      <c r="A274" s="1" t="n">
        <v>273</v>
      </c>
      <c r="B274" s="1" t="n">
        <v>16.6</v>
      </c>
      <c r="C274" s="1" t="n">
        <v>-70.5</v>
      </c>
      <c r="D274" s="1" t="n">
        <v>-10.7</v>
      </c>
      <c r="E274" s="2" t="n">
        <v>0.6</v>
      </c>
      <c r="F274" s="2" t="n">
        <v>274</v>
      </c>
      <c r="G274" s="2" t="n">
        <v>16.7</v>
      </c>
      <c r="H274" s="2" t="n">
        <v>-71</v>
      </c>
      <c r="I274" s="2" t="n">
        <v>-11.1</v>
      </c>
      <c r="J274" s="2" t="n">
        <v>42.11127383</v>
      </c>
    </row>
    <row r="275" customFormat="false" ht="15.8" hidden="false" customHeight="false" outlineLevel="0" collapsed="false">
      <c r="A275" s="1" t="n">
        <v>274</v>
      </c>
      <c r="B275" s="1" t="n">
        <v>16.7</v>
      </c>
      <c r="C275" s="1" t="n">
        <v>-71</v>
      </c>
      <c r="D275" s="1" t="n">
        <v>-11.1</v>
      </c>
      <c r="E275" s="2" t="n">
        <v>0.6</v>
      </c>
      <c r="F275" s="2" t="n">
        <v>273</v>
      </c>
      <c r="G275" s="2" t="n">
        <v>16.6</v>
      </c>
      <c r="H275" s="2" t="n">
        <v>-70.5</v>
      </c>
      <c r="I275" s="2" t="n">
        <v>-10.7</v>
      </c>
      <c r="J275" s="2" t="n">
        <v>42.26841118</v>
      </c>
    </row>
    <row r="276" customFormat="false" ht="15.8" hidden="false" customHeight="false" outlineLevel="0" collapsed="false">
      <c r="A276" s="1" t="n">
        <v>275</v>
      </c>
      <c r="B276" s="1" t="n">
        <v>15.9</v>
      </c>
      <c r="C276" s="1" t="n">
        <v>-69</v>
      </c>
      <c r="D276" s="1" t="n">
        <v>-10.7</v>
      </c>
      <c r="E276" s="2" t="n">
        <v>0.6</v>
      </c>
      <c r="F276" s="2" t="n">
        <v>276</v>
      </c>
      <c r="G276" s="2" t="n">
        <v>15.5</v>
      </c>
      <c r="H276" s="2" t="n">
        <v>-68.6</v>
      </c>
      <c r="I276" s="2" t="n">
        <v>-10.7</v>
      </c>
      <c r="J276" s="2" t="n">
        <v>41.99595438</v>
      </c>
    </row>
    <row r="277" customFormat="false" ht="15.8" hidden="false" customHeight="false" outlineLevel="0" collapsed="false">
      <c r="A277" s="1" t="n">
        <v>276</v>
      </c>
      <c r="B277" s="1" t="n">
        <v>15.5</v>
      </c>
      <c r="C277" s="1" t="n">
        <v>-68.6</v>
      </c>
      <c r="D277" s="1" t="n">
        <v>-10.7</v>
      </c>
      <c r="E277" s="2" t="n">
        <v>0.6</v>
      </c>
      <c r="F277" s="2" t="n">
        <v>275</v>
      </c>
      <c r="G277" s="2" t="n">
        <v>15.9</v>
      </c>
      <c r="H277" s="2" t="n">
        <v>-69</v>
      </c>
      <c r="I277" s="2" t="n">
        <v>-10.7</v>
      </c>
      <c r="J277" s="2" t="n">
        <v>42.16579875</v>
      </c>
    </row>
    <row r="278" customFormat="false" ht="15.8" hidden="false" customHeight="false" outlineLevel="0" collapsed="false">
      <c r="A278" s="1" t="n">
        <v>277</v>
      </c>
      <c r="B278" s="1" t="n">
        <v>17.5</v>
      </c>
      <c r="C278" s="1" t="n">
        <v>-67.6</v>
      </c>
      <c r="D278" s="1" t="n">
        <v>-12.2</v>
      </c>
      <c r="E278" s="2" t="n">
        <v>0.6</v>
      </c>
      <c r="F278" s="2" t="n">
        <v>267</v>
      </c>
      <c r="G278" s="2" t="n">
        <v>17.8</v>
      </c>
      <c r="H278" s="2" t="n">
        <v>-68.1</v>
      </c>
      <c r="I278" s="2" t="n">
        <v>-12.2</v>
      </c>
      <c r="J278" s="2" t="n">
        <v>39.91145931</v>
      </c>
    </row>
    <row r="279" customFormat="false" ht="15.8" hidden="false" customHeight="false" outlineLevel="0" collapsed="false">
      <c r="A279" s="1" t="n">
        <v>278</v>
      </c>
      <c r="B279" s="1" t="n">
        <v>19.4</v>
      </c>
      <c r="C279" s="1" t="n">
        <v>-68.1</v>
      </c>
      <c r="D279" s="1" t="n">
        <v>-11.5</v>
      </c>
      <c r="E279" s="2" t="n">
        <v>0.5</v>
      </c>
      <c r="F279" s="2" t="n">
        <v>280</v>
      </c>
      <c r="G279" s="2" t="n">
        <v>19.1</v>
      </c>
      <c r="H279" s="2" t="n">
        <v>-68</v>
      </c>
      <c r="I279" s="2" t="n">
        <v>-11.8</v>
      </c>
      <c r="J279" s="2" t="n">
        <v>38.47435749</v>
      </c>
    </row>
    <row r="280" customFormat="false" ht="15.8" hidden="false" customHeight="false" outlineLevel="0" collapsed="false">
      <c r="A280" s="1" t="n">
        <v>279</v>
      </c>
      <c r="B280" s="1" t="n">
        <v>18.7</v>
      </c>
      <c r="C280" s="1" t="n">
        <v>-68</v>
      </c>
      <c r="D280" s="1" t="n">
        <v>-11.5</v>
      </c>
      <c r="E280" s="2" t="n">
        <v>0.5</v>
      </c>
      <c r="F280" s="2" t="n">
        <v>280</v>
      </c>
      <c r="G280" s="2" t="n">
        <v>19.1</v>
      </c>
      <c r="H280" s="2" t="n">
        <v>-68</v>
      </c>
      <c r="I280" s="2" t="n">
        <v>-11.8</v>
      </c>
      <c r="J280" s="2" t="n">
        <v>39.03936711</v>
      </c>
    </row>
    <row r="281" customFormat="false" ht="15.8" hidden="false" customHeight="false" outlineLevel="0" collapsed="false">
      <c r="A281" s="1" t="n">
        <v>280</v>
      </c>
      <c r="B281" s="1" t="n">
        <v>19.1</v>
      </c>
      <c r="C281" s="1" t="n">
        <v>-68</v>
      </c>
      <c r="D281" s="1" t="n">
        <v>-11.8</v>
      </c>
      <c r="E281" s="2" t="n">
        <v>0.5</v>
      </c>
      <c r="F281" s="2" t="n">
        <v>278</v>
      </c>
      <c r="G281" s="2" t="n">
        <v>19.4</v>
      </c>
      <c r="H281" s="2" t="n">
        <v>-68.1</v>
      </c>
      <c r="I281" s="2" t="n">
        <v>-11.5</v>
      </c>
      <c r="J281" s="2" t="n">
        <v>38.68591196</v>
      </c>
    </row>
    <row r="282" customFormat="false" ht="15.8" hidden="false" customHeight="false" outlineLevel="0" collapsed="false">
      <c r="A282" s="1" t="n">
        <v>281</v>
      </c>
      <c r="B282" s="1" t="n">
        <v>19.8</v>
      </c>
      <c r="C282" s="1" t="n">
        <v>-67.1</v>
      </c>
      <c r="D282" s="1" t="n">
        <v>-12.2</v>
      </c>
      <c r="E282" s="2" t="n">
        <v>1.1</v>
      </c>
      <c r="F282" s="2" t="n">
        <v>282</v>
      </c>
      <c r="G282" s="2" t="n">
        <v>19.2</v>
      </c>
      <c r="H282" s="2" t="n">
        <v>-66.2</v>
      </c>
      <c r="I282" s="2" t="n">
        <v>-12.6</v>
      </c>
      <c r="J282" s="2" t="n">
        <v>37.64201621</v>
      </c>
    </row>
    <row r="283" customFormat="false" ht="15.8" hidden="false" customHeight="false" outlineLevel="0" collapsed="false">
      <c r="A283" s="1" t="n">
        <v>282</v>
      </c>
      <c r="B283" s="1" t="n">
        <v>19.2</v>
      </c>
      <c r="C283" s="1" t="n">
        <v>-66.2</v>
      </c>
      <c r="D283" s="1" t="n">
        <v>-12.6</v>
      </c>
      <c r="E283" s="2" t="n">
        <v>1.1</v>
      </c>
      <c r="F283" s="2" t="n">
        <v>281</v>
      </c>
      <c r="G283" s="2" t="n">
        <v>19.8</v>
      </c>
      <c r="H283" s="2" t="n">
        <v>-67.1</v>
      </c>
      <c r="I283" s="2" t="n">
        <v>-12.2</v>
      </c>
      <c r="J283" s="2" t="n">
        <v>37.76715748</v>
      </c>
    </row>
    <row r="284" customFormat="false" ht="15.8" hidden="false" customHeight="false" outlineLevel="0" collapsed="false">
      <c r="A284" s="1" t="n">
        <v>283</v>
      </c>
      <c r="B284" s="1" t="n">
        <v>24.4</v>
      </c>
      <c r="C284" s="1" t="n">
        <v>-66.2</v>
      </c>
      <c r="D284" s="1" t="n">
        <v>-14.8</v>
      </c>
      <c r="E284" s="2" t="n">
        <v>1.5</v>
      </c>
      <c r="F284" s="2" t="n">
        <v>285</v>
      </c>
      <c r="G284" s="2" t="n">
        <v>23.9</v>
      </c>
      <c r="H284" s="2" t="n">
        <v>-67.5</v>
      </c>
      <c r="I284" s="2" t="n">
        <v>-14.4</v>
      </c>
      <c r="J284" s="2" t="n">
        <v>33.30883042</v>
      </c>
    </row>
    <row r="285" customFormat="false" ht="15.8" hidden="false" customHeight="false" outlineLevel="0" collapsed="false">
      <c r="A285" s="1" t="n">
        <v>284</v>
      </c>
      <c r="B285" s="1" t="n">
        <v>26.8</v>
      </c>
      <c r="C285" s="1" t="n">
        <v>-65.6</v>
      </c>
      <c r="D285" s="1" t="n">
        <v>-15.2</v>
      </c>
      <c r="E285" s="2" t="n">
        <v>2.5</v>
      </c>
      <c r="F285" s="2" t="n">
        <v>283</v>
      </c>
      <c r="G285" s="2" t="n">
        <v>24.4</v>
      </c>
      <c r="H285" s="2" t="n">
        <v>-66.2</v>
      </c>
      <c r="I285" s="2" t="n">
        <v>-14.8</v>
      </c>
      <c r="J285" s="2" t="n">
        <v>30.99247302</v>
      </c>
    </row>
    <row r="286" customFormat="false" ht="15.8" hidden="false" customHeight="false" outlineLevel="0" collapsed="false">
      <c r="A286" s="1" t="n">
        <v>285</v>
      </c>
      <c r="B286" s="1" t="n">
        <v>23.9</v>
      </c>
      <c r="C286" s="1" t="n">
        <v>-67.5</v>
      </c>
      <c r="D286" s="1" t="n">
        <v>-14.4</v>
      </c>
      <c r="E286" s="2" t="n">
        <v>1.5</v>
      </c>
      <c r="F286" s="2" t="n">
        <v>283</v>
      </c>
      <c r="G286" s="2" t="n">
        <v>24.4</v>
      </c>
      <c r="H286" s="2" t="n">
        <v>-66.2</v>
      </c>
      <c r="I286" s="2" t="n">
        <v>-14.8</v>
      </c>
      <c r="J286" s="2" t="n">
        <v>34.37561613</v>
      </c>
    </row>
    <row r="287" customFormat="false" ht="15.8" hidden="false" customHeight="false" outlineLevel="0" collapsed="false">
      <c r="A287" s="1" t="n">
        <v>286</v>
      </c>
      <c r="B287" s="1" t="n">
        <v>37.8</v>
      </c>
      <c r="C287" s="1" t="n">
        <v>-58.4</v>
      </c>
      <c r="D287" s="1" t="n">
        <v>-13.7</v>
      </c>
      <c r="E287" s="2" t="n">
        <v>1.7</v>
      </c>
      <c r="F287" s="2" t="n">
        <v>290</v>
      </c>
      <c r="G287" s="2" t="n">
        <v>38.6</v>
      </c>
      <c r="H287" s="2" t="n">
        <v>-56.9</v>
      </c>
      <c r="I287" s="2" t="n">
        <v>-13.7</v>
      </c>
      <c r="J287" s="2" t="n">
        <v>17.76833656</v>
      </c>
    </row>
    <row r="288" customFormat="false" ht="15.8" hidden="false" customHeight="false" outlineLevel="0" collapsed="false">
      <c r="A288" s="1" t="n">
        <v>287</v>
      </c>
      <c r="B288" s="1" t="n">
        <v>40.5</v>
      </c>
      <c r="C288" s="1" t="n">
        <v>-59</v>
      </c>
      <c r="D288" s="1" t="n">
        <v>-14.8</v>
      </c>
      <c r="E288" s="2" t="n">
        <v>1.1</v>
      </c>
      <c r="F288" s="2" t="n">
        <v>288</v>
      </c>
      <c r="G288" s="2" t="n">
        <v>41</v>
      </c>
      <c r="H288" s="2" t="n">
        <v>-58.1</v>
      </c>
      <c r="I288" s="2" t="n">
        <v>-14.4</v>
      </c>
      <c r="J288" s="2" t="n">
        <v>16.03540408</v>
      </c>
    </row>
    <row r="289" customFormat="false" ht="15.8" hidden="false" customHeight="false" outlineLevel="0" collapsed="false">
      <c r="A289" s="1" t="n">
        <v>288</v>
      </c>
      <c r="B289" s="1" t="n">
        <v>41</v>
      </c>
      <c r="C289" s="1" t="n">
        <v>-58.1</v>
      </c>
      <c r="D289" s="1" t="n">
        <v>-14.4</v>
      </c>
      <c r="E289" s="2" t="n">
        <v>1.1</v>
      </c>
      <c r="F289" s="2" t="n">
        <v>287</v>
      </c>
      <c r="G289" s="2" t="n">
        <v>40.5</v>
      </c>
      <c r="H289" s="2" t="n">
        <v>-59</v>
      </c>
      <c r="I289" s="2" t="n">
        <v>-14.8</v>
      </c>
      <c r="J289" s="2" t="n">
        <v>15.04145551</v>
      </c>
    </row>
    <row r="290" customFormat="false" ht="15.8" hidden="false" customHeight="false" outlineLevel="0" collapsed="false">
      <c r="A290" s="1" t="n">
        <v>289</v>
      </c>
      <c r="B290" s="1" t="n">
        <v>36.4</v>
      </c>
      <c r="C290" s="1" t="n">
        <v>-62.3</v>
      </c>
      <c r="D290" s="1" t="n">
        <v>-12.6</v>
      </c>
      <c r="E290" s="2" t="n">
        <v>2.8</v>
      </c>
      <c r="F290" s="2" t="n">
        <v>228</v>
      </c>
      <c r="G290" s="2" t="n">
        <v>35.1</v>
      </c>
      <c r="H290" s="2" t="n">
        <v>-59.9</v>
      </c>
      <c r="I290" s="2" t="n">
        <v>-11.8</v>
      </c>
      <c r="J290" s="2" t="n">
        <v>21.05502752</v>
      </c>
    </row>
    <row r="291" customFormat="false" ht="15.8" hidden="false" customHeight="false" outlineLevel="0" collapsed="false">
      <c r="A291" s="1" t="n">
        <v>290</v>
      </c>
      <c r="B291" s="1" t="n">
        <v>38.6</v>
      </c>
      <c r="C291" s="1" t="n">
        <v>-56.9</v>
      </c>
      <c r="D291" s="1" t="n">
        <v>-13.7</v>
      </c>
      <c r="E291" s="2" t="n">
        <v>1.6</v>
      </c>
      <c r="F291" s="2" t="n">
        <v>291</v>
      </c>
      <c r="G291" s="2" t="n">
        <v>38.6</v>
      </c>
      <c r="H291" s="2" t="n">
        <v>-56.3</v>
      </c>
      <c r="I291" s="2" t="n">
        <v>-15.2</v>
      </c>
      <c r="J291" s="2" t="n">
        <v>16.34559831</v>
      </c>
    </row>
    <row r="292" customFormat="false" ht="15.8" hidden="false" customHeight="false" outlineLevel="0" collapsed="false">
      <c r="A292" s="1" t="n">
        <v>291</v>
      </c>
      <c r="B292" s="1" t="n">
        <v>38.6</v>
      </c>
      <c r="C292" s="1" t="n">
        <v>-56.3</v>
      </c>
      <c r="D292" s="1" t="n">
        <v>-15.2</v>
      </c>
      <c r="E292" s="2" t="n">
        <v>1.6</v>
      </c>
      <c r="F292" s="2" t="n">
        <v>290</v>
      </c>
      <c r="G292" s="2" t="n">
        <v>38.6</v>
      </c>
      <c r="H292" s="2" t="n">
        <v>-56.9</v>
      </c>
      <c r="I292" s="2" t="n">
        <v>-13.7</v>
      </c>
      <c r="J292" s="2" t="n">
        <v>16.30778293</v>
      </c>
    </row>
    <row r="293" customFormat="false" ht="15.8" hidden="false" customHeight="false" outlineLevel="0" collapsed="false">
      <c r="A293" s="1" t="n">
        <v>292</v>
      </c>
      <c r="B293" s="1" t="n">
        <v>35.9</v>
      </c>
      <c r="C293" s="1" t="n">
        <v>-58</v>
      </c>
      <c r="D293" s="1" t="n">
        <v>-14.4</v>
      </c>
      <c r="E293" s="2" t="n">
        <v>2.1</v>
      </c>
      <c r="F293" s="2" t="n">
        <v>286</v>
      </c>
      <c r="G293" s="2" t="n">
        <v>37.8</v>
      </c>
      <c r="H293" s="2" t="n">
        <v>-58.4</v>
      </c>
      <c r="I293" s="2" t="n">
        <v>-13.7</v>
      </c>
      <c r="J293" s="2" t="n">
        <v>19.31162821</v>
      </c>
    </row>
    <row r="294" customFormat="false" ht="15.8" hidden="false" customHeight="false" outlineLevel="0" collapsed="false">
      <c r="A294" s="1" t="n">
        <v>293</v>
      </c>
      <c r="B294" s="1" t="n">
        <v>36.1</v>
      </c>
      <c r="C294" s="1" t="n">
        <v>-57.1</v>
      </c>
      <c r="D294" s="1" t="n">
        <v>-7</v>
      </c>
      <c r="E294" s="2" t="n">
        <v>1.5</v>
      </c>
      <c r="F294" s="2" t="n">
        <v>207</v>
      </c>
      <c r="G294" s="2" t="n">
        <v>36.5</v>
      </c>
      <c r="H294" s="2" t="n">
        <v>-57.3</v>
      </c>
      <c r="I294" s="2" t="n">
        <v>-5.5</v>
      </c>
      <c r="J294" s="2" t="n">
        <v>19.23989044</v>
      </c>
    </row>
    <row r="295" customFormat="false" ht="15.8" hidden="false" customHeight="false" outlineLevel="0" collapsed="false">
      <c r="A295" s="1" t="n">
        <v>294</v>
      </c>
      <c r="B295" s="1" t="n">
        <v>27.4</v>
      </c>
      <c r="C295" s="1" t="n">
        <v>-63.1</v>
      </c>
      <c r="D295" s="1" t="n">
        <v>-6.7</v>
      </c>
      <c r="E295" s="2" t="n">
        <v>1.7</v>
      </c>
      <c r="F295" s="2" t="n">
        <v>295</v>
      </c>
      <c r="G295" s="2" t="n">
        <v>27.9</v>
      </c>
      <c r="H295" s="2" t="n">
        <v>-64.7</v>
      </c>
      <c r="I295" s="2" t="n">
        <v>-6.7</v>
      </c>
      <c r="J295" s="2" t="n">
        <v>29.52688578</v>
      </c>
    </row>
    <row r="296" customFormat="false" ht="15.8" hidden="false" customHeight="false" outlineLevel="0" collapsed="false">
      <c r="A296" s="1" t="n">
        <v>295</v>
      </c>
      <c r="B296" s="1" t="n">
        <v>27.9</v>
      </c>
      <c r="C296" s="1" t="n">
        <v>-64.7</v>
      </c>
      <c r="D296" s="1" t="n">
        <v>-6.7</v>
      </c>
      <c r="E296" s="2" t="n">
        <v>1.7</v>
      </c>
      <c r="F296" s="2" t="n">
        <v>294</v>
      </c>
      <c r="G296" s="2" t="n">
        <v>27.4</v>
      </c>
      <c r="H296" s="2" t="n">
        <v>-63.1</v>
      </c>
      <c r="I296" s="2" t="n">
        <v>-6.7</v>
      </c>
      <c r="J296" s="2" t="n">
        <v>29.88300159</v>
      </c>
    </row>
    <row r="297" customFormat="false" ht="15.8" hidden="false" customHeight="false" outlineLevel="0" collapsed="false">
      <c r="A297" s="1" t="n">
        <v>296</v>
      </c>
      <c r="B297" s="1" t="n">
        <v>32.6</v>
      </c>
      <c r="C297" s="1" t="n">
        <v>-60.1</v>
      </c>
      <c r="D297" s="1" t="n">
        <v>-4.4</v>
      </c>
      <c r="E297" s="2" t="n">
        <v>3</v>
      </c>
      <c r="F297" s="2" t="n">
        <v>214</v>
      </c>
      <c r="G297" s="2" t="n">
        <v>31.4</v>
      </c>
      <c r="H297" s="2" t="n">
        <v>-61.1</v>
      </c>
      <c r="I297" s="2" t="n">
        <v>-1.9</v>
      </c>
      <c r="J297" s="2" t="n">
        <v>24.26386169</v>
      </c>
    </row>
    <row r="298" customFormat="false" ht="15.8" hidden="false" customHeight="false" outlineLevel="0" collapsed="false">
      <c r="A298" s="1" t="n">
        <v>297</v>
      </c>
      <c r="B298" s="1" t="n">
        <v>30.2</v>
      </c>
      <c r="C298" s="1" t="n">
        <v>-63.3</v>
      </c>
      <c r="D298" s="1" t="n">
        <v>-5.9</v>
      </c>
      <c r="E298" s="2" t="n">
        <v>1.5</v>
      </c>
      <c r="F298" s="2" t="n">
        <v>298</v>
      </c>
      <c r="G298" s="2" t="n">
        <v>30.1</v>
      </c>
      <c r="H298" s="2" t="n">
        <v>-64.3</v>
      </c>
      <c r="I298" s="2" t="n">
        <v>-4.8</v>
      </c>
      <c r="J298" s="2" t="n">
        <v>27.40270395</v>
      </c>
    </row>
    <row r="299" customFormat="false" ht="15.8" hidden="false" customHeight="false" outlineLevel="0" collapsed="false">
      <c r="A299" s="1" t="n">
        <v>298</v>
      </c>
      <c r="B299" s="1" t="n">
        <v>30.1</v>
      </c>
      <c r="C299" s="1" t="n">
        <v>-64.3</v>
      </c>
      <c r="D299" s="1" t="n">
        <v>-4.8</v>
      </c>
      <c r="E299" s="2" t="n">
        <v>1.5</v>
      </c>
      <c r="F299" s="2" t="n">
        <v>297</v>
      </c>
      <c r="G299" s="2" t="n">
        <v>30.2</v>
      </c>
      <c r="H299" s="2" t="n">
        <v>-63.3</v>
      </c>
      <c r="I299" s="2" t="n">
        <v>-5.9</v>
      </c>
      <c r="J299" s="2" t="n">
        <v>28.26492852</v>
      </c>
    </row>
    <row r="300" customFormat="false" ht="15.8" hidden="false" customHeight="false" outlineLevel="0" collapsed="false">
      <c r="A300" s="1" t="n">
        <v>299</v>
      </c>
      <c r="B300" s="1" t="n">
        <v>28</v>
      </c>
      <c r="C300" s="1" t="n">
        <v>-62.8</v>
      </c>
      <c r="D300" s="1" t="n">
        <v>-3</v>
      </c>
      <c r="E300" s="2" t="n">
        <v>2.1</v>
      </c>
      <c r="F300" s="2" t="n">
        <v>301</v>
      </c>
      <c r="G300" s="2" t="n">
        <v>27.3</v>
      </c>
      <c r="H300" s="2" t="n">
        <v>-60.9</v>
      </c>
      <c r="I300" s="2" t="n">
        <v>-2.2</v>
      </c>
      <c r="J300" s="2" t="n">
        <v>29.76570819</v>
      </c>
    </row>
    <row r="301" customFormat="false" ht="15.8" hidden="false" customHeight="false" outlineLevel="0" collapsed="false">
      <c r="A301" s="1" t="n">
        <v>300</v>
      </c>
      <c r="B301" s="1" t="n">
        <v>20</v>
      </c>
      <c r="C301" s="1" t="n">
        <v>-61.1</v>
      </c>
      <c r="D301" s="1" t="n">
        <v>-1.5</v>
      </c>
      <c r="E301" s="2" t="n">
        <v>4.5</v>
      </c>
      <c r="F301" s="2" t="n">
        <v>304</v>
      </c>
      <c r="G301" s="2" t="n">
        <v>24.5</v>
      </c>
      <c r="H301" s="2" t="n">
        <v>-60.8</v>
      </c>
      <c r="I301" s="2" t="n">
        <v>-1.1</v>
      </c>
      <c r="J301" s="2" t="n">
        <v>36.5567748</v>
      </c>
    </row>
    <row r="302" customFormat="false" ht="15.8" hidden="false" customHeight="false" outlineLevel="0" collapsed="false">
      <c r="A302" s="1" t="n">
        <v>301</v>
      </c>
      <c r="B302" s="1" t="n">
        <v>27.3</v>
      </c>
      <c r="C302" s="1" t="n">
        <v>-60.9</v>
      </c>
      <c r="D302" s="1" t="n">
        <v>-2.2</v>
      </c>
      <c r="E302" s="2" t="n">
        <v>1.4</v>
      </c>
      <c r="F302" s="2" t="n">
        <v>302</v>
      </c>
      <c r="G302" s="2" t="n">
        <v>26.2</v>
      </c>
      <c r="H302" s="2" t="n">
        <v>-61.5</v>
      </c>
      <c r="I302" s="2" t="n">
        <v>-1.5</v>
      </c>
      <c r="J302" s="2" t="n">
        <v>29.81677018</v>
      </c>
    </row>
    <row r="303" customFormat="false" ht="15.8" hidden="false" customHeight="false" outlineLevel="0" collapsed="false">
      <c r="A303" s="1" t="n">
        <v>302</v>
      </c>
      <c r="B303" s="1" t="n">
        <v>26.2</v>
      </c>
      <c r="C303" s="1" t="n">
        <v>-61.5</v>
      </c>
      <c r="D303" s="1" t="n">
        <v>-1.5</v>
      </c>
      <c r="E303" s="2" t="n">
        <v>1.4</v>
      </c>
      <c r="F303" s="2" t="n">
        <v>301</v>
      </c>
      <c r="G303" s="2" t="n">
        <v>27.3</v>
      </c>
      <c r="H303" s="2" t="n">
        <v>-60.9</v>
      </c>
      <c r="I303" s="2" t="n">
        <v>-2.2</v>
      </c>
      <c r="J303" s="2" t="n">
        <v>31.22755488</v>
      </c>
    </row>
    <row r="304" customFormat="false" ht="15.8" hidden="false" customHeight="false" outlineLevel="0" collapsed="false">
      <c r="A304" s="1" t="n">
        <v>303</v>
      </c>
      <c r="B304" s="1" t="n">
        <v>24.9</v>
      </c>
      <c r="C304" s="1" t="n">
        <v>-60.2</v>
      </c>
      <c r="D304" s="1" t="n">
        <v>-0.7</v>
      </c>
      <c r="E304" s="2" t="n">
        <v>0.8</v>
      </c>
      <c r="F304" s="2" t="n">
        <v>304</v>
      </c>
      <c r="G304" s="2" t="n">
        <v>24.5</v>
      </c>
      <c r="H304" s="2" t="n">
        <v>-60.8</v>
      </c>
      <c r="I304" s="2" t="n">
        <v>-1.1</v>
      </c>
      <c r="J304" s="2" t="n">
        <v>32.15689326</v>
      </c>
    </row>
    <row r="305" customFormat="false" ht="15.8" hidden="false" customHeight="false" outlineLevel="0" collapsed="false">
      <c r="A305" s="1" t="n">
        <v>304</v>
      </c>
      <c r="B305" s="1" t="n">
        <v>24.5</v>
      </c>
      <c r="C305" s="1" t="n">
        <v>-60.8</v>
      </c>
      <c r="D305" s="1" t="n">
        <v>-1.1</v>
      </c>
      <c r="E305" s="2" t="n">
        <v>0.8</v>
      </c>
      <c r="F305" s="2" t="n">
        <v>303</v>
      </c>
      <c r="G305" s="2" t="n">
        <v>24.9</v>
      </c>
      <c r="H305" s="2" t="n">
        <v>-60.2</v>
      </c>
      <c r="I305" s="2" t="n">
        <v>-0.7</v>
      </c>
      <c r="J305" s="2" t="n">
        <v>32.5762764</v>
      </c>
    </row>
    <row r="306" customFormat="false" ht="15.8" hidden="false" customHeight="false" outlineLevel="0" collapsed="false">
      <c r="A306" s="1" t="n">
        <v>305</v>
      </c>
      <c r="B306" s="1" t="n">
        <v>40.1</v>
      </c>
      <c r="C306" s="1" t="n">
        <v>-46.4</v>
      </c>
      <c r="D306" s="1" t="n">
        <v>-12.6</v>
      </c>
      <c r="E306" s="2" t="n">
        <v>0.8</v>
      </c>
      <c r="F306" s="2" t="n">
        <v>347</v>
      </c>
      <c r="G306" s="2" t="n">
        <v>40.2</v>
      </c>
      <c r="H306" s="2" t="n">
        <v>-47.1</v>
      </c>
      <c r="I306" s="2" t="n">
        <v>-12.9</v>
      </c>
      <c r="J306" s="2" t="n">
        <v>13.25361023</v>
      </c>
    </row>
    <row r="307" customFormat="false" ht="15.8" hidden="false" customHeight="false" outlineLevel="0" collapsed="false">
      <c r="A307" s="1" t="n">
        <v>306</v>
      </c>
      <c r="B307" s="1" t="n">
        <v>41.4</v>
      </c>
      <c r="C307" s="1" t="n">
        <v>-45.6</v>
      </c>
      <c r="D307" s="1" t="n">
        <v>-11.8</v>
      </c>
      <c r="E307" s="2" t="n">
        <v>1.7</v>
      </c>
      <c r="F307" s="2" t="n">
        <v>305</v>
      </c>
      <c r="G307" s="2" t="n">
        <v>40.1</v>
      </c>
      <c r="H307" s="2" t="n">
        <v>-46.4</v>
      </c>
      <c r="I307" s="2" t="n">
        <v>-12.6</v>
      </c>
      <c r="J307" s="2" t="n">
        <v>12.19907308</v>
      </c>
    </row>
    <row r="308" customFormat="false" ht="15.8" hidden="false" customHeight="false" outlineLevel="0" collapsed="false">
      <c r="A308" s="1" t="n">
        <v>307</v>
      </c>
      <c r="B308" s="1" t="n">
        <v>44.1</v>
      </c>
      <c r="C308" s="1" t="n">
        <v>-47.9</v>
      </c>
      <c r="D308" s="1" t="n">
        <v>-12.2</v>
      </c>
      <c r="E308" s="2" t="n">
        <v>1.8</v>
      </c>
      <c r="F308" s="2" t="n">
        <v>310</v>
      </c>
      <c r="G308" s="2" t="n">
        <v>42.5</v>
      </c>
      <c r="H308" s="2" t="n">
        <v>-47.6</v>
      </c>
      <c r="I308" s="2" t="n">
        <v>-12.9</v>
      </c>
      <c r="J308" s="2" t="n">
        <v>9.024886924</v>
      </c>
    </row>
    <row r="309" customFormat="false" ht="15.8" hidden="false" customHeight="false" outlineLevel="0" collapsed="false">
      <c r="A309" s="1" t="n">
        <v>308</v>
      </c>
      <c r="B309" s="1" t="n">
        <v>42.9</v>
      </c>
      <c r="C309" s="1" t="n">
        <v>-47.4</v>
      </c>
      <c r="D309" s="1" t="n">
        <v>-13.7</v>
      </c>
      <c r="E309" s="2" t="n">
        <v>0.9</v>
      </c>
      <c r="F309" s="2" t="n">
        <v>310</v>
      </c>
      <c r="G309" s="2" t="n">
        <v>42.5</v>
      </c>
      <c r="H309" s="2" t="n">
        <v>-47.6</v>
      </c>
      <c r="I309" s="2" t="n">
        <v>-12.9</v>
      </c>
      <c r="J309" s="2" t="n">
        <v>10.43625335</v>
      </c>
    </row>
    <row r="310" customFormat="false" ht="15.8" hidden="false" customHeight="false" outlineLevel="0" collapsed="false">
      <c r="A310" s="1" t="n">
        <v>309</v>
      </c>
      <c r="B310" s="1" t="n">
        <v>42.1</v>
      </c>
      <c r="C310" s="1" t="n">
        <v>-48.1</v>
      </c>
      <c r="D310" s="1" t="n">
        <v>-12.9</v>
      </c>
      <c r="E310" s="2" t="n">
        <v>0.6</v>
      </c>
      <c r="F310" s="2" t="n">
        <v>310</v>
      </c>
      <c r="G310" s="2" t="n">
        <v>42.5</v>
      </c>
      <c r="H310" s="2" t="n">
        <v>-47.6</v>
      </c>
      <c r="I310" s="2" t="n">
        <v>-12.9</v>
      </c>
      <c r="J310" s="2" t="n">
        <v>11.01476209</v>
      </c>
    </row>
    <row r="311" customFormat="false" ht="15.8" hidden="false" customHeight="false" outlineLevel="0" collapsed="false">
      <c r="A311" s="1" t="n">
        <v>310</v>
      </c>
      <c r="B311" s="1" t="n">
        <v>42.5</v>
      </c>
      <c r="C311" s="1" t="n">
        <v>-47.6</v>
      </c>
      <c r="D311" s="1" t="n">
        <v>-12.9</v>
      </c>
      <c r="E311" s="2" t="n">
        <v>0.6</v>
      </c>
      <c r="F311" s="2" t="n">
        <v>309</v>
      </c>
      <c r="G311" s="2" t="n">
        <v>42.1</v>
      </c>
      <c r="H311" s="2" t="n">
        <v>-48.1</v>
      </c>
      <c r="I311" s="2" t="n">
        <v>-12.9</v>
      </c>
      <c r="J311" s="2" t="n">
        <v>10.6901536</v>
      </c>
    </row>
    <row r="312" customFormat="false" ht="15.8" hidden="false" customHeight="false" outlineLevel="0" collapsed="false">
      <c r="A312" s="1" t="n">
        <v>311</v>
      </c>
      <c r="B312" s="1" t="n">
        <v>37.6</v>
      </c>
      <c r="C312" s="1" t="n">
        <v>-44.1</v>
      </c>
      <c r="D312" s="1" t="n">
        <v>-12.9</v>
      </c>
      <c r="E312" s="2" t="n">
        <v>3</v>
      </c>
      <c r="F312" s="2" t="n">
        <v>353</v>
      </c>
      <c r="G312" s="2" t="n">
        <v>37.5</v>
      </c>
      <c r="H312" s="2" t="n">
        <v>-47</v>
      </c>
      <c r="I312" s="2" t="n">
        <v>-12.6</v>
      </c>
      <c r="J312" s="2" t="n">
        <v>16.30401742</v>
      </c>
    </row>
    <row r="313" customFormat="false" ht="15.8" hidden="false" customHeight="false" outlineLevel="0" collapsed="false">
      <c r="A313" s="1" t="n">
        <v>312</v>
      </c>
      <c r="B313" s="1" t="n">
        <v>34.7</v>
      </c>
      <c r="C313" s="1" t="n">
        <v>-44.3</v>
      </c>
      <c r="D313" s="1" t="n">
        <v>-14.8</v>
      </c>
      <c r="E313" s="2" t="n">
        <v>1.7</v>
      </c>
      <c r="F313" s="2" t="n">
        <v>313</v>
      </c>
      <c r="G313" s="2" t="n">
        <v>33.6</v>
      </c>
      <c r="H313" s="2" t="n">
        <v>-45.4</v>
      </c>
      <c r="I313" s="2" t="n">
        <v>-14.1</v>
      </c>
      <c r="J313" s="2" t="n">
        <v>19.20020271</v>
      </c>
    </row>
    <row r="314" customFormat="false" ht="15.8" hidden="false" customHeight="false" outlineLevel="0" collapsed="false">
      <c r="A314" s="1" t="n">
        <v>313</v>
      </c>
      <c r="B314" s="1" t="n">
        <v>33.6</v>
      </c>
      <c r="C314" s="1" t="n">
        <v>-45.4</v>
      </c>
      <c r="D314" s="1" t="n">
        <v>-14.1</v>
      </c>
      <c r="E314" s="2" t="n">
        <v>1.7</v>
      </c>
      <c r="F314" s="2" t="n">
        <v>312</v>
      </c>
      <c r="G314" s="2" t="n">
        <v>34.7</v>
      </c>
      <c r="H314" s="2" t="n">
        <v>-44.3</v>
      </c>
      <c r="I314" s="2" t="n">
        <v>-14.8</v>
      </c>
      <c r="J314" s="2" t="n">
        <v>19.917635</v>
      </c>
    </row>
    <row r="315" customFormat="false" ht="15.8" hidden="false" customHeight="false" outlineLevel="0" collapsed="false">
      <c r="A315" s="1" t="n">
        <v>314</v>
      </c>
      <c r="B315" s="1" t="n">
        <v>42.7</v>
      </c>
      <c r="C315" s="1" t="n">
        <v>-44.7</v>
      </c>
      <c r="D315" s="1" t="n">
        <v>-14.8</v>
      </c>
      <c r="E315" s="2" t="n">
        <v>2</v>
      </c>
      <c r="F315" s="2" t="n">
        <v>315</v>
      </c>
      <c r="G315" s="2" t="n">
        <v>41.1</v>
      </c>
      <c r="H315" s="2" t="n">
        <v>-43.8</v>
      </c>
      <c r="I315" s="2" t="n">
        <v>-15.5</v>
      </c>
      <c r="J315" s="2" t="n">
        <v>11.65860129</v>
      </c>
    </row>
    <row r="316" customFormat="false" ht="15.8" hidden="false" customHeight="false" outlineLevel="0" collapsed="false">
      <c r="A316" s="1" t="n">
        <v>315</v>
      </c>
      <c r="B316" s="1" t="n">
        <v>41.1</v>
      </c>
      <c r="C316" s="1" t="n">
        <v>-43.8</v>
      </c>
      <c r="D316" s="1" t="n">
        <v>-15.5</v>
      </c>
      <c r="E316" s="2" t="n">
        <v>2</v>
      </c>
      <c r="F316" s="2" t="n">
        <v>314</v>
      </c>
      <c r="G316" s="2" t="n">
        <v>42.7</v>
      </c>
      <c r="H316" s="2" t="n">
        <v>-44.7</v>
      </c>
      <c r="I316" s="2" t="n">
        <v>-14.8</v>
      </c>
      <c r="J316" s="2" t="n">
        <v>13.60562325</v>
      </c>
    </row>
    <row r="317" customFormat="false" ht="15.8" hidden="false" customHeight="false" outlineLevel="0" collapsed="false">
      <c r="A317" s="1" t="n">
        <v>316</v>
      </c>
      <c r="B317" s="1" t="n">
        <v>41.6</v>
      </c>
      <c r="C317" s="1" t="n">
        <v>-42.6</v>
      </c>
      <c r="D317" s="1" t="n">
        <v>-18.5</v>
      </c>
      <c r="E317" s="2" t="n">
        <v>1.3</v>
      </c>
      <c r="F317" s="2" t="n">
        <v>317</v>
      </c>
      <c r="G317" s="2" t="n">
        <v>41</v>
      </c>
      <c r="H317" s="2" t="n">
        <v>-42.6</v>
      </c>
      <c r="I317" s="2" t="n">
        <v>-17.4</v>
      </c>
      <c r="J317" s="2" t="n">
        <v>14.78010095</v>
      </c>
    </row>
    <row r="318" customFormat="false" ht="15.8" hidden="false" customHeight="false" outlineLevel="0" collapsed="false">
      <c r="A318" s="1" t="n">
        <v>317</v>
      </c>
      <c r="B318" s="1" t="n">
        <v>41</v>
      </c>
      <c r="C318" s="1" t="n">
        <v>-42.6</v>
      </c>
      <c r="D318" s="1" t="n">
        <v>-17.4</v>
      </c>
      <c r="E318" s="2" t="n">
        <v>1.3</v>
      </c>
      <c r="F318" s="2" t="n">
        <v>316</v>
      </c>
      <c r="G318" s="2" t="n">
        <v>41.6</v>
      </c>
      <c r="H318" s="2" t="n">
        <v>-42.6</v>
      </c>
      <c r="I318" s="2" t="n">
        <v>-18.5</v>
      </c>
      <c r="J318" s="2" t="n">
        <v>14.8099083</v>
      </c>
    </row>
    <row r="319" customFormat="false" ht="15.8" hidden="false" customHeight="false" outlineLevel="0" collapsed="false">
      <c r="A319" s="1" t="n">
        <v>318</v>
      </c>
      <c r="B319" s="1" t="n">
        <v>36.6</v>
      </c>
      <c r="C319" s="1" t="n">
        <v>-45.9</v>
      </c>
      <c r="D319" s="1" t="n">
        <v>-15.2</v>
      </c>
      <c r="E319" s="2" t="n">
        <v>1.2</v>
      </c>
      <c r="F319" s="2" t="n">
        <v>321</v>
      </c>
      <c r="G319" s="2" t="n">
        <v>35.8</v>
      </c>
      <c r="H319" s="2" t="n">
        <v>-46.4</v>
      </c>
      <c r="I319" s="2" t="n">
        <v>-15.9</v>
      </c>
      <c r="J319" s="2" t="n">
        <v>17.07291961</v>
      </c>
    </row>
    <row r="320" customFormat="false" ht="15.8" hidden="false" customHeight="false" outlineLevel="0" collapsed="false">
      <c r="A320" s="1" t="n">
        <v>319</v>
      </c>
      <c r="B320" s="1" t="n">
        <v>35.8</v>
      </c>
      <c r="C320" s="1" t="n">
        <v>-42.9</v>
      </c>
      <c r="D320" s="1" t="n">
        <v>-15.9</v>
      </c>
      <c r="E320" s="2" t="n">
        <v>1.6</v>
      </c>
      <c r="F320" s="2" t="n">
        <v>320</v>
      </c>
      <c r="G320" s="2" t="n">
        <v>34.4</v>
      </c>
      <c r="H320" s="2" t="n">
        <v>-42.6</v>
      </c>
      <c r="I320" s="2" t="n">
        <v>-16.6</v>
      </c>
      <c r="J320" s="2" t="n">
        <v>18.79304616</v>
      </c>
    </row>
    <row r="321" customFormat="false" ht="15.8" hidden="false" customHeight="false" outlineLevel="0" collapsed="false">
      <c r="A321" s="1" t="n">
        <v>320</v>
      </c>
      <c r="B321" s="1" t="n">
        <v>34.4</v>
      </c>
      <c r="C321" s="1" t="n">
        <v>-42.6</v>
      </c>
      <c r="D321" s="1" t="n">
        <v>-16.6</v>
      </c>
      <c r="E321" s="2" t="n">
        <v>1.6</v>
      </c>
      <c r="F321" s="2" t="n">
        <v>319</v>
      </c>
      <c r="G321" s="2" t="n">
        <v>35.8</v>
      </c>
      <c r="H321" s="2" t="n">
        <v>-42.9</v>
      </c>
      <c r="I321" s="2" t="n">
        <v>-15.9</v>
      </c>
      <c r="J321" s="2" t="n">
        <v>20.32900844</v>
      </c>
    </row>
    <row r="322" customFormat="false" ht="15.8" hidden="false" customHeight="false" outlineLevel="0" collapsed="false">
      <c r="A322" s="1" t="n">
        <v>321</v>
      </c>
      <c r="B322" s="1" t="n">
        <v>35.8</v>
      </c>
      <c r="C322" s="1" t="n">
        <v>-46.4</v>
      </c>
      <c r="D322" s="1" t="n">
        <v>-15.9</v>
      </c>
      <c r="E322" s="2" t="n">
        <v>1.2</v>
      </c>
      <c r="F322" s="2" t="n">
        <v>318</v>
      </c>
      <c r="G322" s="2" t="n">
        <v>36.6</v>
      </c>
      <c r="H322" s="2" t="n">
        <v>-45.9</v>
      </c>
      <c r="I322" s="2" t="n">
        <v>-15.2</v>
      </c>
      <c r="J322" s="2" t="n">
        <v>17.89319938</v>
      </c>
    </row>
    <row r="323" customFormat="false" ht="15.8" hidden="false" customHeight="false" outlineLevel="0" collapsed="false">
      <c r="A323" s="1" t="n">
        <v>322</v>
      </c>
      <c r="B323" s="1" t="n">
        <v>33.9</v>
      </c>
      <c r="C323" s="1" t="n">
        <v>-47.5</v>
      </c>
      <c r="D323" s="1" t="n">
        <v>-15.5</v>
      </c>
      <c r="E323" s="2" t="n">
        <v>2.2</v>
      </c>
      <c r="F323" s="2" t="n">
        <v>321</v>
      </c>
      <c r="G323" s="2" t="n">
        <v>35.8</v>
      </c>
      <c r="H323" s="2" t="n">
        <v>-46.4</v>
      </c>
      <c r="I323" s="2" t="n">
        <v>-15.9</v>
      </c>
      <c r="J323" s="2" t="n">
        <v>19.51520904</v>
      </c>
    </row>
    <row r="324" customFormat="false" ht="15.8" hidden="false" customHeight="false" outlineLevel="0" collapsed="false">
      <c r="A324" s="1" t="n">
        <v>323</v>
      </c>
      <c r="B324" s="1" t="n">
        <v>36</v>
      </c>
      <c r="C324" s="1" t="n">
        <v>-44.6</v>
      </c>
      <c r="D324" s="1" t="n">
        <v>-16.3</v>
      </c>
      <c r="E324" s="2" t="n">
        <v>1.8</v>
      </c>
      <c r="F324" s="2" t="n">
        <v>321</v>
      </c>
      <c r="G324" s="2" t="n">
        <v>35.8</v>
      </c>
      <c r="H324" s="2" t="n">
        <v>-46.4</v>
      </c>
      <c r="I324" s="2" t="n">
        <v>-15.9</v>
      </c>
      <c r="J324" s="2" t="n">
        <v>18.18100613</v>
      </c>
    </row>
    <row r="325" customFormat="false" ht="15.8" hidden="false" customHeight="false" outlineLevel="0" collapsed="false">
      <c r="A325" s="1" t="n">
        <v>324</v>
      </c>
      <c r="B325" s="1" t="n">
        <v>33.8</v>
      </c>
      <c r="C325" s="1" t="n">
        <v>-45.2</v>
      </c>
      <c r="D325" s="1" t="n">
        <v>-17</v>
      </c>
      <c r="E325" s="2" t="n">
        <v>0.7</v>
      </c>
      <c r="F325" s="2" t="n">
        <v>325</v>
      </c>
      <c r="G325" s="2" t="n">
        <v>33.2</v>
      </c>
      <c r="H325" s="2" t="n">
        <v>-45.3</v>
      </c>
      <c r="I325" s="2" t="n">
        <v>-16.6</v>
      </c>
      <c r="J325" s="2" t="n">
        <v>20.28283471</v>
      </c>
    </row>
    <row r="326" customFormat="false" ht="15.8" hidden="false" customHeight="false" outlineLevel="0" collapsed="false">
      <c r="A326" s="1" t="n">
        <v>325</v>
      </c>
      <c r="B326" s="1" t="n">
        <v>33.2</v>
      </c>
      <c r="C326" s="1" t="n">
        <v>-45.3</v>
      </c>
      <c r="D326" s="1" t="n">
        <v>-16.6</v>
      </c>
      <c r="E326" s="2" t="n">
        <v>0.7</v>
      </c>
      <c r="F326" s="2" t="n">
        <v>324</v>
      </c>
      <c r="G326" s="2" t="n">
        <v>33.8</v>
      </c>
      <c r="H326" s="2" t="n">
        <v>-45.2</v>
      </c>
      <c r="I326" s="2" t="n">
        <v>-17</v>
      </c>
      <c r="J326" s="2" t="n">
        <v>20.73902081</v>
      </c>
    </row>
    <row r="327" customFormat="false" ht="15.8" hidden="false" customHeight="false" outlineLevel="0" collapsed="false">
      <c r="A327" s="1" t="n">
        <v>326</v>
      </c>
      <c r="B327" s="1" t="n">
        <v>32.8</v>
      </c>
      <c r="C327" s="1" t="n">
        <v>-43.8</v>
      </c>
      <c r="D327" s="1" t="n">
        <v>-18.5</v>
      </c>
      <c r="E327" s="2" t="n">
        <v>1.4</v>
      </c>
      <c r="F327" s="2" t="n">
        <v>327</v>
      </c>
      <c r="G327" s="2" t="n">
        <v>33.1</v>
      </c>
      <c r="H327" s="2" t="n">
        <v>-42.4</v>
      </c>
      <c r="I327" s="2" t="n">
        <v>-18.9</v>
      </c>
      <c r="J327" s="2" t="n">
        <v>21.9492183</v>
      </c>
    </row>
    <row r="328" customFormat="false" ht="15.8" hidden="false" customHeight="false" outlineLevel="0" collapsed="false">
      <c r="A328" s="1" t="n">
        <v>327</v>
      </c>
      <c r="B328" s="1" t="n">
        <v>33.1</v>
      </c>
      <c r="C328" s="1" t="n">
        <v>-42.4</v>
      </c>
      <c r="D328" s="1" t="n">
        <v>-18.9</v>
      </c>
      <c r="E328" s="2" t="n">
        <v>1.4</v>
      </c>
      <c r="F328" s="2" t="n">
        <v>326</v>
      </c>
      <c r="G328" s="2" t="n">
        <v>32.8</v>
      </c>
      <c r="H328" s="2" t="n">
        <v>-43.8</v>
      </c>
      <c r="I328" s="2" t="n">
        <v>-18.5</v>
      </c>
      <c r="J328" s="2" t="n">
        <v>22.19611191</v>
      </c>
    </row>
    <row r="329" customFormat="false" ht="15.8" hidden="false" customHeight="false" outlineLevel="0" collapsed="false">
      <c r="A329" s="1" t="n">
        <v>328</v>
      </c>
      <c r="B329" s="1" t="n">
        <v>25.3</v>
      </c>
      <c r="C329" s="1" t="n">
        <v>-42.2</v>
      </c>
      <c r="D329" s="1" t="n">
        <v>-20</v>
      </c>
      <c r="E329" s="2" t="n">
        <v>0.9</v>
      </c>
      <c r="F329" s="2" t="n">
        <v>329</v>
      </c>
      <c r="G329" s="2" t="n">
        <v>25.7</v>
      </c>
      <c r="H329" s="2" t="n">
        <v>-41.9</v>
      </c>
      <c r="I329" s="2" t="n">
        <v>-19.2</v>
      </c>
      <c r="J329" s="2" t="n">
        <v>29.71978102</v>
      </c>
    </row>
    <row r="330" customFormat="false" ht="15.8" hidden="false" customHeight="false" outlineLevel="0" collapsed="false">
      <c r="A330" s="1" t="n">
        <v>329</v>
      </c>
      <c r="B330" s="1" t="n">
        <v>25.7</v>
      </c>
      <c r="C330" s="1" t="n">
        <v>-41.9</v>
      </c>
      <c r="D330" s="1" t="n">
        <v>-19.2</v>
      </c>
      <c r="E330" s="2" t="n">
        <v>0.9</v>
      </c>
      <c r="F330" s="2" t="n">
        <v>328</v>
      </c>
      <c r="G330" s="2" t="n">
        <v>25.3</v>
      </c>
      <c r="H330" s="2" t="n">
        <v>-42.2</v>
      </c>
      <c r="I330" s="2" t="n">
        <v>-20</v>
      </c>
      <c r="J330" s="2" t="n">
        <v>29.2137328</v>
      </c>
    </row>
    <row r="331" customFormat="false" ht="15.8" hidden="false" customHeight="false" outlineLevel="0" collapsed="false">
      <c r="A331" s="1" t="n">
        <v>330</v>
      </c>
      <c r="B331" s="1" t="n">
        <v>27</v>
      </c>
      <c r="C331" s="1" t="n">
        <v>-41.6</v>
      </c>
      <c r="D331" s="1" t="n">
        <v>-21.1</v>
      </c>
      <c r="E331" s="2" t="n">
        <v>1.2</v>
      </c>
      <c r="F331" s="2" t="n">
        <v>333</v>
      </c>
      <c r="G331" s="2" t="n">
        <v>27</v>
      </c>
      <c r="H331" s="2" t="n">
        <v>-41.2</v>
      </c>
      <c r="I331" s="2" t="n">
        <v>-22.2</v>
      </c>
      <c r="J331" s="2" t="n">
        <v>28.63229268</v>
      </c>
    </row>
    <row r="332" customFormat="false" ht="15.8" hidden="false" customHeight="false" outlineLevel="0" collapsed="false">
      <c r="A332" s="1" t="n">
        <v>331</v>
      </c>
      <c r="B332" s="1" t="n">
        <v>31.3</v>
      </c>
      <c r="C332" s="1" t="n">
        <v>-40.4</v>
      </c>
      <c r="D332" s="1" t="n">
        <v>-20</v>
      </c>
      <c r="E332" s="2" t="n">
        <v>2.9</v>
      </c>
      <c r="F332" s="2" t="n">
        <v>327</v>
      </c>
      <c r="G332" s="2" t="n">
        <v>33.1</v>
      </c>
      <c r="H332" s="2" t="n">
        <v>-42.4</v>
      </c>
      <c r="I332" s="2" t="n">
        <v>-18.9</v>
      </c>
      <c r="J332" s="2" t="n">
        <v>24.81690924</v>
      </c>
    </row>
    <row r="333" customFormat="false" ht="15.8" hidden="false" customHeight="false" outlineLevel="0" collapsed="false">
      <c r="A333" s="1" t="n">
        <v>332</v>
      </c>
      <c r="B333" s="1" t="n">
        <v>27.8</v>
      </c>
      <c r="C333" s="1" t="n">
        <v>-39.6</v>
      </c>
      <c r="D333" s="1" t="n">
        <v>-21.1</v>
      </c>
      <c r="E333" s="2" t="n">
        <v>2.1</v>
      </c>
      <c r="F333" s="2" t="n">
        <v>333</v>
      </c>
      <c r="G333" s="2" t="n">
        <v>27</v>
      </c>
      <c r="H333" s="2" t="n">
        <v>-41.2</v>
      </c>
      <c r="I333" s="2" t="n">
        <v>-22.2</v>
      </c>
      <c r="J333" s="2" t="n">
        <v>28.52909014</v>
      </c>
    </row>
    <row r="334" customFormat="false" ht="15.8" hidden="false" customHeight="false" outlineLevel="0" collapsed="false">
      <c r="A334" s="1" t="n">
        <v>333</v>
      </c>
      <c r="B334" s="1" t="n">
        <v>27</v>
      </c>
      <c r="C334" s="1" t="n">
        <v>-41.2</v>
      </c>
      <c r="D334" s="1" t="n">
        <v>-22.2</v>
      </c>
      <c r="E334" s="2" t="n">
        <v>1.1</v>
      </c>
      <c r="F334" s="2" t="n">
        <v>335</v>
      </c>
      <c r="G334" s="2" t="n">
        <v>26.3</v>
      </c>
      <c r="H334" s="2" t="n">
        <v>-41.9</v>
      </c>
      <c r="I334" s="2" t="n">
        <v>-22.6</v>
      </c>
      <c r="J334" s="2" t="n">
        <v>29.11153352</v>
      </c>
    </row>
    <row r="335" customFormat="false" ht="15.8" hidden="false" customHeight="false" outlineLevel="0" collapsed="false">
      <c r="A335" s="1" t="n">
        <v>334</v>
      </c>
      <c r="B335" s="1" t="n">
        <v>25.4</v>
      </c>
      <c r="C335" s="1" t="n">
        <v>-42.1</v>
      </c>
      <c r="D335" s="1" t="n">
        <v>-22.6</v>
      </c>
      <c r="E335" s="2" t="n">
        <v>1</v>
      </c>
      <c r="F335" s="2" t="n">
        <v>335</v>
      </c>
      <c r="G335" s="2" t="n">
        <v>26.3</v>
      </c>
      <c r="H335" s="2" t="n">
        <v>-41.9</v>
      </c>
      <c r="I335" s="2" t="n">
        <v>-22.6</v>
      </c>
      <c r="J335" s="2" t="n">
        <v>30.45824328</v>
      </c>
    </row>
    <row r="336" customFormat="false" ht="15.8" hidden="false" customHeight="false" outlineLevel="0" collapsed="false">
      <c r="A336" s="1" t="n">
        <v>335</v>
      </c>
      <c r="B336" s="1" t="n">
        <v>26.3</v>
      </c>
      <c r="C336" s="1" t="n">
        <v>-41.9</v>
      </c>
      <c r="D336" s="1" t="n">
        <v>-22.6</v>
      </c>
      <c r="E336" s="2" t="n">
        <v>1</v>
      </c>
      <c r="F336" s="2" t="n">
        <v>334</v>
      </c>
      <c r="G336" s="2" t="n">
        <v>25.4</v>
      </c>
      <c r="H336" s="2" t="n">
        <v>-42.1</v>
      </c>
      <c r="I336" s="2" t="n">
        <v>-22.6</v>
      </c>
      <c r="J336" s="2" t="n">
        <v>29.69473664</v>
      </c>
    </row>
    <row r="337" customFormat="false" ht="15.8" hidden="false" customHeight="false" outlineLevel="0" collapsed="false">
      <c r="A337" s="1" t="n">
        <v>336</v>
      </c>
      <c r="B337" s="1" t="n">
        <v>29.7</v>
      </c>
      <c r="C337" s="1" t="n">
        <v>-45.9</v>
      </c>
      <c r="D337" s="1" t="n">
        <v>-16.6</v>
      </c>
      <c r="E337" s="2" t="n">
        <v>1.2</v>
      </c>
      <c r="F337" s="2" t="n">
        <v>337</v>
      </c>
      <c r="G337" s="2" t="n">
        <v>28.6</v>
      </c>
      <c r="H337" s="2" t="n">
        <v>-45.5</v>
      </c>
      <c r="I337" s="2" t="n">
        <v>-17</v>
      </c>
      <c r="J337" s="2" t="n">
        <v>24.00941032</v>
      </c>
    </row>
    <row r="338" customFormat="false" ht="15.8" hidden="false" customHeight="false" outlineLevel="0" collapsed="false">
      <c r="A338" s="1" t="n">
        <v>337</v>
      </c>
      <c r="B338" s="1" t="n">
        <v>28.6</v>
      </c>
      <c r="C338" s="1" t="n">
        <v>-45.5</v>
      </c>
      <c r="D338" s="1" t="n">
        <v>-17</v>
      </c>
      <c r="E338" s="2" t="n">
        <v>1.2</v>
      </c>
      <c r="F338" s="2" t="n">
        <v>336</v>
      </c>
      <c r="G338" s="2" t="n">
        <v>29.7</v>
      </c>
      <c r="H338" s="2" t="n">
        <v>-45.9</v>
      </c>
      <c r="I338" s="2" t="n">
        <v>-16.6</v>
      </c>
      <c r="J338" s="2" t="n">
        <v>25.21357936</v>
      </c>
    </row>
    <row r="339" customFormat="false" ht="15.8" hidden="false" customHeight="false" outlineLevel="0" collapsed="false">
      <c r="A339" s="1" t="n">
        <v>338</v>
      </c>
      <c r="B339" s="1" t="n">
        <v>27.9</v>
      </c>
      <c r="C339" s="1" t="n">
        <v>-46.9</v>
      </c>
      <c r="D339" s="1" t="n">
        <v>-19.2</v>
      </c>
      <c r="E339" s="2" t="n">
        <v>1.4</v>
      </c>
      <c r="F339" s="2" t="n">
        <v>339</v>
      </c>
      <c r="G339" s="2" t="n">
        <v>26.5</v>
      </c>
      <c r="H339" s="2" t="n">
        <v>-46.7</v>
      </c>
      <c r="I339" s="2" t="n">
        <v>-19.2</v>
      </c>
      <c r="J339" s="2" t="n">
        <v>26.23915746</v>
      </c>
    </row>
    <row r="340" customFormat="false" ht="15.8" hidden="false" customHeight="false" outlineLevel="0" collapsed="false">
      <c r="A340" s="1" t="n">
        <v>339</v>
      </c>
      <c r="B340" s="1" t="n">
        <v>26.5</v>
      </c>
      <c r="C340" s="1" t="n">
        <v>-46.7</v>
      </c>
      <c r="D340" s="1" t="n">
        <v>-19.2</v>
      </c>
      <c r="E340" s="2" t="n">
        <v>1.4</v>
      </c>
      <c r="F340" s="2" t="n">
        <v>338</v>
      </c>
      <c r="G340" s="2" t="n">
        <v>27.9</v>
      </c>
      <c r="H340" s="2" t="n">
        <v>-46.9</v>
      </c>
      <c r="I340" s="2" t="n">
        <v>-19.2</v>
      </c>
      <c r="J340" s="2" t="n">
        <v>27.60009754</v>
      </c>
    </row>
    <row r="341" customFormat="false" ht="15.8" hidden="false" customHeight="false" outlineLevel="0" collapsed="false">
      <c r="A341" s="1" t="n">
        <v>340</v>
      </c>
      <c r="B341" s="1" t="n">
        <v>24.9</v>
      </c>
      <c r="C341" s="1" t="n">
        <v>-46.7</v>
      </c>
      <c r="D341" s="1" t="n">
        <v>-18.9</v>
      </c>
      <c r="E341" s="2" t="n">
        <v>1.1</v>
      </c>
      <c r="F341" s="2" t="n">
        <v>342</v>
      </c>
      <c r="G341" s="2" t="n">
        <v>24.4</v>
      </c>
      <c r="H341" s="2" t="n">
        <v>-47.6</v>
      </c>
      <c r="I341" s="2" t="n">
        <v>-18.5</v>
      </c>
      <c r="J341" s="2" t="n">
        <v>29.06686402</v>
      </c>
    </row>
    <row r="342" customFormat="false" ht="15.8" hidden="false" customHeight="false" outlineLevel="0" collapsed="false">
      <c r="A342" s="1" t="n">
        <v>341</v>
      </c>
      <c r="B342" s="1" t="n">
        <v>23</v>
      </c>
      <c r="C342" s="1" t="n">
        <v>-46.9</v>
      </c>
      <c r="D342" s="1" t="n">
        <v>-18.5</v>
      </c>
      <c r="E342" s="2" t="n">
        <v>1.5</v>
      </c>
      <c r="F342" s="2" t="n">
        <v>342</v>
      </c>
      <c r="G342" s="2" t="n">
        <v>24.4</v>
      </c>
      <c r="H342" s="2" t="n">
        <v>-47.6</v>
      </c>
      <c r="I342" s="2" t="n">
        <v>-18.5</v>
      </c>
      <c r="J342" s="2" t="n">
        <v>30.80370406</v>
      </c>
    </row>
    <row r="343" customFormat="false" ht="15.8" hidden="false" customHeight="false" outlineLevel="0" collapsed="false">
      <c r="A343" s="1" t="n">
        <v>342</v>
      </c>
      <c r="B343" s="1" t="n">
        <v>24.4</v>
      </c>
      <c r="C343" s="1" t="n">
        <v>-47.6</v>
      </c>
      <c r="D343" s="1" t="n">
        <v>-18.5</v>
      </c>
      <c r="E343" s="2" t="n">
        <v>1.1</v>
      </c>
      <c r="F343" s="2" t="n">
        <v>340</v>
      </c>
      <c r="G343" s="2" t="n">
        <v>24.9</v>
      </c>
      <c r="H343" s="2" t="n">
        <v>-46.7</v>
      </c>
      <c r="I343" s="2" t="n">
        <v>-18.9</v>
      </c>
      <c r="J343" s="2" t="n">
        <v>29.3914985</v>
      </c>
    </row>
    <row r="344" customFormat="false" ht="15.8" hidden="false" customHeight="false" outlineLevel="0" collapsed="false">
      <c r="A344" s="1" t="n">
        <v>343</v>
      </c>
      <c r="B344" s="1" t="n">
        <v>24.1</v>
      </c>
      <c r="C344" s="1" t="n">
        <v>-47.9</v>
      </c>
      <c r="D344" s="1" t="n">
        <v>-19.6</v>
      </c>
      <c r="E344" s="2" t="n">
        <v>1.2</v>
      </c>
      <c r="F344" s="2" t="n">
        <v>342</v>
      </c>
      <c r="G344" s="2" t="n">
        <v>24.4</v>
      </c>
      <c r="H344" s="2" t="n">
        <v>-47.6</v>
      </c>
      <c r="I344" s="2" t="n">
        <v>-18.5</v>
      </c>
      <c r="J344" s="2" t="n">
        <v>29.92861814</v>
      </c>
    </row>
    <row r="345" customFormat="false" ht="15.8" hidden="false" customHeight="false" outlineLevel="0" collapsed="false">
      <c r="A345" s="1" t="n">
        <v>344</v>
      </c>
      <c r="B345" s="1" t="n">
        <v>22</v>
      </c>
      <c r="C345" s="1" t="n">
        <v>-49.1</v>
      </c>
      <c r="D345" s="1" t="n">
        <v>-18.9</v>
      </c>
      <c r="E345" s="2" t="n">
        <v>2.4</v>
      </c>
      <c r="F345" s="2" t="n">
        <v>341</v>
      </c>
      <c r="G345" s="2" t="n">
        <v>23</v>
      </c>
      <c r="H345" s="2" t="n">
        <v>-46.9</v>
      </c>
      <c r="I345" s="2" t="n">
        <v>-18.5</v>
      </c>
      <c r="J345" s="2" t="n">
        <v>31.76865411</v>
      </c>
    </row>
    <row r="346" customFormat="false" ht="15.8" hidden="false" customHeight="false" outlineLevel="0" collapsed="false">
      <c r="A346" s="1" t="n">
        <v>345</v>
      </c>
      <c r="B346" s="1" t="n">
        <v>17.2</v>
      </c>
      <c r="C346" s="1" t="n">
        <v>-51.6</v>
      </c>
      <c r="D346" s="1" t="n">
        <v>-17.8</v>
      </c>
      <c r="E346" s="2" t="n">
        <v>5.5</v>
      </c>
      <c r="F346" s="2" t="n">
        <v>344</v>
      </c>
      <c r="G346" s="2" t="n">
        <v>22</v>
      </c>
      <c r="H346" s="2" t="n">
        <v>-49.1</v>
      </c>
      <c r="I346" s="2" t="n">
        <v>-18.9</v>
      </c>
      <c r="J346" s="2" t="n">
        <v>36.34262214</v>
      </c>
    </row>
    <row r="347" customFormat="false" ht="15.8" hidden="false" customHeight="false" outlineLevel="0" collapsed="false">
      <c r="A347" s="1" t="n">
        <v>346</v>
      </c>
      <c r="B347" s="1" t="n">
        <v>39</v>
      </c>
      <c r="C347" s="1" t="n">
        <v>-46.7</v>
      </c>
      <c r="D347" s="1" t="n">
        <v>-13.7</v>
      </c>
      <c r="E347" s="2" t="n">
        <v>1.5</v>
      </c>
      <c r="F347" s="2" t="n">
        <v>347</v>
      </c>
      <c r="G347" s="2" t="n">
        <v>40.2</v>
      </c>
      <c r="H347" s="2" t="n">
        <v>-47.1</v>
      </c>
      <c r="I347" s="2" t="n">
        <v>-12.9</v>
      </c>
      <c r="J347" s="2" t="n">
        <v>14.35839072</v>
      </c>
    </row>
    <row r="348" customFormat="false" ht="15.8" hidden="false" customHeight="false" outlineLevel="0" collapsed="false">
      <c r="A348" s="1" t="n">
        <v>347</v>
      </c>
      <c r="B348" s="1" t="n">
        <v>40.2</v>
      </c>
      <c r="C348" s="1" t="n">
        <v>-47.1</v>
      </c>
      <c r="D348" s="1" t="n">
        <v>-12.9</v>
      </c>
      <c r="E348" s="2" t="n">
        <v>0.6</v>
      </c>
      <c r="F348" s="2" t="n">
        <v>348</v>
      </c>
      <c r="G348" s="2" t="n">
        <v>39.9</v>
      </c>
      <c r="H348" s="2" t="n">
        <v>-47.5</v>
      </c>
      <c r="I348" s="2" t="n">
        <v>-12.6</v>
      </c>
      <c r="J348" s="2" t="n">
        <v>13.03436166</v>
      </c>
    </row>
    <row r="349" customFormat="false" ht="15.8" hidden="false" customHeight="false" outlineLevel="0" collapsed="false">
      <c r="A349" s="1" t="n">
        <v>348</v>
      </c>
      <c r="B349" s="1" t="n">
        <v>39.9</v>
      </c>
      <c r="C349" s="1" t="n">
        <v>-47.5</v>
      </c>
      <c r="D349" s="1" t="n">
        <v>-12.6</v>
      </c>
      <c r="E349" s="2" t="n">
        <v>0.6</v>
      </c>
      <c r="F349" s="2" t="n">
        <v>347</v>
      </c>
      <c r="G349" s="2" t="n">
        <v>40.2</v>
      </c>
      <c r="H349" s="2" t="n">
        <v>-47.1</v>
      </c>
      <c r="I349" s="2" t="n">
        <v>-12.9</v>
      </c>
      <c r="J349" s="2" t="n">
        <v>13.24929372</v>
      </c>
    </row>
    <row r="350" customFormat="false" ht="15.8" hidden="false" customHeight="false" outlineLevel="0" collapsed="false">
      <c r="A350" s="1" t="n">
        <v>349</v>
      </c>
      <c r="B350" s="1" t="n">
        <v>36.6</v>
      </c>
      <c r="C350" s="1" t="n">
        <v>-53.1</v>
      </c>
      <c r="D350" s="1" t="n">
        <v>-12.6</v>
      </c>
      <c r="E350" s="2" t="n">
        <v>1.2</v>
      </c>
      <c r="F350" s="2" t="n">
        <v>350</v>
      </c>
      <c r="G350" s="2" t="n">
        <v>36.4</v>
      </c>
      <c r="H350" s="2" t="n">
        <v>-54.1</v>
      </c>
      <c r="I350" s="2" t="n">
        <v>-11.8</v>
      </c>
      <c r="J350" s="2" t="n">
        <v>16.83353154</v>
      </c>
    </row>
    <row r="351" customFormat="false" ht="15.8" hidden="false" customHeight="false" outlineLevel="0" collapsed="false">
      <c r="A351" s="1" t="n">
        <v>350</v>
      </c>
      <c r="B351" s="1" t="n">
        <v>36.4</v>
      </c>
      <c r="C351" s="1" t="n">
        <v>-54.1</v>
      </c>
      <c r="D351" s="1" t="n">
        <v>-11.8</v>
      </c>
      <c r="E351" s="2" t="n">
        <v>1.2</v>
      </c>
      <c r="F351" s="2" t="n">
        <v>349</v>
      </c>
      <c r="G351" s="2" t="n">
        <v>36.6</v>
      </c>
      <c r="H351" s="2" t="n">
        <v>-53.1</v>
      </c>
      <c r="I351" s="2" t="n">
        <v>-12.6</v>
      </c>
      <c r="J351" s="2" t="n">
        <v>17.26457019</v>
      </c>
    </row>
    <row r="352" customFormat="false" ht="15.8" hidden="false" customHeight="false" outlineLevel="0" collapsed="false">
      <c r="A352" s="1" t="n">
        <v>351</v>
      </c>
      <c r="B352" s="1" t="n">
        <v>34.9</v>
      </c>
      <c r="C352" s="1" t="n">
        <v>-55.2</v>
      </c>
      <c r="D352" s="1" t="n">
        <v>-11.5</v>
      </c>
      <c r="E352" s="2" t="n">
        <v>1.9</v>
      </c>
      <c r="F352" s="2" t="n">
        <v>350</v>
      </c>
      <c r="G352" s="2" t="n">
        <v>36.4</v>
      </c>
      <c r="H352" s="2" t="n">
        <v>-54.1</v>
      </c>
      <c r="I352" s="2" t="n">
        <v>-11.8</v>
      </c>
      <c r="J352" s="2" t="n">
        <v>19.02464149</v>
      </c>
    </row>
    <row r="353" customFormat="false" ht="15.8" hidden="false" customHeight="false" outlineLevel="0" collapsed="false">
      <c r="A353" s="1" t="n">
        <v>352</v>
      </c>
      <c r="B353" s="1" t="n">
        <v>37</v>
      </c>
      <c r="C353" s="1" t="n">
        <v>-48.7</v>
      </c>
      <c r="D353" s="1" t="n">
        <v>-12.6</v>
      </c>
      <c r="E353" s="2" t="n">
        <v>1.7</v>
      </c>
      <c r="F353" s="2" t="n">
        <v>353</v>
      </c>
      <c r="G353" s="2" t="n">
        <v>37.5</v>
      </c>
      <c r="H353" s="2" t="n">
        <v>-47</v>
      </c>
      <c r="I353" s="2" t="n">
        <v>-12.6</v>
      </c>
      <c r="J353" s="2" t="n">
        <v>16.02831819</v>
      </c>
    </row>
    <row r="354" customFormat="false" ht="15.8" hidden="false" customHeight="false" outlineLevel="0" collapsed="false">
      <c r="A354" s="1" t="n">
        <v>353</v>
      </c>
      <c r="B354" s="1" t="n">
        <v>37.5</v>
      </c>
      <c r="C354" s="1" t="n">
        <v>-47</v>
      </c>
      <c r="D354" s="1" t="n">
        <v>-12.6</v>
      </c>
      <c r="E354" s="2" t="n">
        <v>1.7</v>
      </c>
      <c r="F354" s="2" t="n">
        <v>352</v>
      </c>
      <c r="G354" s="2" t="n">
        <v>37</v>
      </c>
      <c r="H354" s="2" t="n">
        <v>-48.7</v>
      </c>
      <c r="I354" s="2" t="n">
        <v>-12.6</v>
      </c>
      <c r="J354" s="2" t="n">
        <v>15.69424684</v>
      </c>
    </row>
    <row r="355" customFormat="false" ht="15.8" hidden="false" customHeight="false" outlineLevel="0" collapsed="false">
      <c r="A355" s="1" t="n">
        <v>354</v>
      </c>
      <c r="B355" s="1" t="n">
        <v>31.6</v>
      </c>
      <c r="C355" s="1" t="n">
        <v>-45</v>
      </c>
      <c r="D355" s="1" t="n">
        <v>-14.8</v>
      </c>
      <c r="E355" s="2" t="n">
        <v>2.1</v>
      </c>
      <c r="F355" s="2" t="n">
        <v>313</v>
      </c>
      <c r="G355" s="2" t="n">
        <v>33.6</v>
      </c>
      <c r="H355" s="2" t="n">
        <v>-45.4</v>
      </c>
      <c r="I355" s="2" t="n">
        <v>-14.1</v>
      </c>
      <c r="J355" s="2" t="n">
        <v>22.02561654</v>
      </c>
    </row>
    <row r="356" customFormat="false" ht="15.8" hidden="false" customHeight="false" outlineLevel="0" collapsed="false">
      <c r="A356" s="1" t="n">
        <v>355</v>
      </c>
      <c r="B356" s="1" t="n">
        <v>35.6</v>
      </c>
      <c r="C356" s="1" t="n">
        <v>-49.4</v>
      </c>
      <c r="D356" s="1" t="n">
        <v>-13.3</v>
      </c>
      <c r="E356" s="2" t="n">
        <v>1.8</v>
      </c>
      <c r="F356" s="2" t="n">
        <v>352</v>
      </c>
      <c r="G356" s="2" t="n">
        <v>37</v>
      </c>
      <c r="H356" s="2" t="n">
        <v>-48.7</v>
      </c>
      <c r="I356" s="2" t="n">
        <v>-12.6</v>
      </c>
      <c r="J356" s="2" t="n">
        <v>17.45293626</v>
      </c>
    </row>
    <row r="357" customFormat="false" ht="15.8" hidden="false" customHeight="false" outlineLevel="0" collapsed="false">
      <c r="A357" s="1" t="n">
        <v>356</v>
      </c>
      <c r="B357" s="1" t="n">
        <v>30.7</v>
      </c>
      <c r="C357" s="1" t="n">
        <v>-50</v>
      </c>
      <c r="D357" s="1" t="n">
        <v>-12.9</v>
      </c>
      <c r="E357" s="2" t="n">
        <v>1.5</v>
      </c>
      <c r="F357" s="2" t="n">
        <v>399</v>
      </c>
      <c r="G357" s="2" t="n">
        <v>29.5</v>
      </c>
      <c r="H357" s="2" t="n">
        <v>-49.3</v>
      </c>
      <c r="I357" s="2" t="n">
        <v>-12.6</v>
      </c>
      <c r="J357" s="2" t="n">
        <v>22.33046762</v>
      </c>
    </row>
    <row r="358" customFormat="false" ht="15.8" hidden="false" customHeight="false" outlineLevel="0" collapsed="false">
      <c r="A358" s="1" t="n">
        <v>357</v>
      </c>
      <c r="B358" s="1" t="n">
        <v>29.3</v>
      </c>
      <c r="C358" s="1" t="n">
        <v>-51.8</v>
      </c>
      <c r="D358" s="1" t="n">
        <v>-15.9</v>
      </c>
      <c r="E358" s="2" t="n">
        <v>3.2</v>
      </c>
      <c r="F358" s="2" t="n">
        <v>362</v>
      </c>
      <c r="G358" s="2" t="n">
        <v>27.7</v>
      </c>
      <c r="H358" s="2" t="n">
        <v>-52.8</v>
      </c>
      <c r="I358" s="2" t="n">
        <v>-13.3</v>
      </c>
      <c r="J358" s="2" t="n">
        <v>24.14890855</v>
      </c>
    </row>
    <row r="359" customFormat="false" ht="15.8" hidden="false" customHeight="false" outlineLevel="0" collapsed="false">
      <c r="A359" s="1" t="n">
        <v>358</v>
      </c>
      <c r="B359" s="1" t="n">
        <v>26.8</v>
      </c>
      <c r="C359" s="1" t="n">
        <v>-53.8</v>
      </c>
      <c r="D359" s="1" t="n">
        <v>-15.9</v>
      </c>
      <c r="E359" s="2" t="n">
        <v>2.4</v>
      </c>
      <c r="F359" s="2" t="n">
        <v>360</v>
      </c>
      <c r="G359" s="2" t="n">
        <v>26.2</v>
      </c>
      <c r="H359" s="2" t="n">
        <v>-56.1</v>
      </c>
      <c r="I359" s="2" t="n">
        <v>-15.5</v>
      </c>
      <c r="J359" s="2" t="n">
        <v>26.86383785</v>
      </c>
    </row>
    <row r="360" customFormat="false" ht="15.8" hidden="false" customHeight="false" outlineLevel="0" collapsed="false">
      <c r="A360" s="1" t="n">
        <v>359</v>
      </c>
      <c r="B360" s="1" t="n">
        <v>28</v>
      </c>
      <c r="C360" s="1" t="n">
        <v>-56.1</v>
      </c>
      <c r="D360" s="1" t="n">
        <v>-15.5</v>
      </c>
      <c r="E360" s="2" t="n">
        <v>1.8</v>
      </c>
      <c r="F360" s="2" t="n">
        <v>360</v>
      </c>
      <c r="G360" s="2" t="n">
        <v>26.2</v>
      </c>
      <c r="H360" s="2" t="n">
        <v>-56.1</v>
      </c>
      <c r="I360" s="2" t="n">
        <v>-15.5</v>
      </c>
      <c r="J360" s="2" t="n">
        <v>26.13277222</v>
      </c>
    </row>
    <row r="361" customFormat="false" ht="15.8" hidden="false" customHeight="false" outlineLevel="0" collapsed="false">
      <c r="A361" s="1" t="n">
        <v>360</v>
      </c>
      <c r="B361" s="1" t="n">
        <v>26.2</v>
      </c>
      <c r="C361" s="1" t="n">
        <v>-56.1</v>
      </c>
      <c r="D361" s="1" t="n">
        <v>-15.5</v>
      </c>
      <c r="E361" s="2" t="n">
        <v>1.8</v>
      </c>
      <c r="F361" s="2" t="n">
        <v>359</v>
      </c>
      <c r="G361" s="2" t="n">
        <v>28</v>
      </c>
      <c r="H361" s="2" t="n">
        <v>-56.1</v>
      </c>
      <c r="I361" s="2" t="n">
        <v>-15.5</v>
      </c>
      <c r="J361" s="2" t="n">
        <v>27.85980948</v>
      </c>
    </row>
    <row r="362" customFormat="false" ht="15.8" hidden="false" customHeight="false" outlineLevel="0" collapsed="false">
      <c r="A362" s="1" t="n">
        <v>361</v>
      </c>
      <c r="B362" s="1" t="n">
        <v>26.4</v>
      </c>
      <c r="C362" s="1" t="n">
        <v>-50.2</v>
      </c>
      <c r="D362" s="1" t="n">
        <v>-17.4</v>
      </c>
      <c r="E362" s="2" t="n">
        <v>2.6</v>
      </c>
      <c r="F362" s="2" t="n">
        <v>363</v>
      </c>
      <c r="G362" s="2" t="n">
        <v>26.6</v>
      </c>
      <c r="H362" s="2" t="n">
        <v>-50.5</v>
      </c>
      <c r="I362" s="2" t="n">
        <v>-14.8</v>
      </c>
      <c r="J362" s="2" t="n">
        <v>27.16373656</v>
      </c>
    </row>
    <row r="363" customFormat="false" ht="15.8" hidden="false" customHeight="false" outlineLevel="0" collapsed="false">
      <c r="A363" s="1" t="n">
        <v>362</v>
      </c>
      <c r="B363" s="1" t="n">
        <v>27.7</v>
      </c>
      <c r="C363" s="1" t="n">
        <v>-52.8</v>
      </c>
      <c r="D363" s="1" t="n">
        <v>-13.3</v>
      </c>
      <c r="E363" s="2" t="n">
        <v>2.9</v>
      </c>
      <c r="F363" s="2" t="n">
        <v>358</v>
      </c>
      <c r="G363" s="2" t="n">
        <v>26.8</v>
      </c>
      <c r="H363" s="2" t="n">
        <v>-53.8</v>
      </c>
      <c r="I363" s="2" t="n">
        <v>-15.9</v>
      </c>
      <c r="J363" s="2" t="n">
        <v>25.56868757</v>
      </c>
    </row>
    <row r="364" customFormat="false" ht="15.8" hidden="false" customHeight="false" outlineLevel="0" collapsed="false">
      <c r="A364" s="1" t="n">
        <v>363</v>
      </c>
      <c r="B364" s="1" t="n">
        <v>26.6</v>
      </c>
      <c r="C364" s="1" t="n">
        <v>-50.5</v>
      </c>
      <c r="D364" s="1" t="n">
        <v>-14.8</v>
      </c>
      <c r="E364" s="2" t="n">
        <v>2.5</v>
      </c>
      <c r="F364" s="2" t="n">
        <v>364</v>
      </c>
      <c r="G364" s="2" t="n">
        <v>24.4</v>
      </c>
      <c r="H364" s="2" t="n">
        <v>-51</v>
      </c>
      <c r="I364" s="2" t="n">
        <v>-13.7</v>
      </c>
      <c r="J364" s="2" t="n">
        <v>26.57765573</v>
      </c>
    </row>
    <row r="365" customFormat="false" ht="15.8" hidden="false" customHeight="false" outlineLevel="0" collapsed="false">
      <c r="A365" s="1" t="n">
        <v>364</v>
      </c>
      <c r="B365" s="1" t="n">
        <v>24.4</v>
      </c>
      <c r="C365" s="1" t="n">
        <v>-51</v>
      </c>
      <c r="D365" s="1" t="n">
        <v>-13.7</v>
      </c>
      <c r="E365" s="2" t="n">
        <v>1.7</v>
      </c>
      <c r="F365" s="2" t="n">
        <v>403</v>
      </c>
      <c r="G365" s="2" t="n">
        <v>24.4</v>
      </c>
      <c r="H365" s="2" t="n">
        <v>-49.3</v>
      </c>
      <c r="I365" s="2" t="n">
        <v>-13.3</v>
      </c>
      <c r="J365" s="2" t="n">
        <v>28.70094396</v>
      </c>
    </row>
    <row r="366" customFormat="false" ht="15.8" hidden="false" customHeight="false" outlineLevel="0" collapsed="false">
      <c r="A366" s="1" t="n">
        <v>365</v>
      </c>
      <c r="B366" s="1" t="n">
        <v>24.2</v>
      </c>
      <c r="C366" s="1" t="n">
        <v>-53.6</v>
      </c>
      <c r="D366" s="1" t="n">
        <v>-14.8</v>
      </c>
      <c r="E366" s="2" t="n">
        <v>2.9</v>
      </c>
      <c r="F366" s="2" t="n">
        <v>358</v>
      </c>
      <c r="G366" s="2" t="n">
        <v>26.8</v>
      </c>
      <c r="H366" s="2" t="n">
        <v>-53.8</v>
      </c>
      <c r="I366" s="2" t="n">
        <v>-15.9</v>
      </c>
      <c r="J366" s="2" t="n">
        <v>29.24896894</v>
      </c>
    </row>
    <row r="367" customFormat="false" ht="15.8" hidden="false" customHeight="false" outlineLevel="0" collapsed="false">
      <c r="A367" s="1" t="n">
        <v>366</v>
      </c>
      <c r="B367" s="1" t="n">
        <v>30.7</v>
      </c>
      <c r="C367" s="1" t="n">
        <v>-46.2</v>
      </c>
      <c r="D367" s="1" t="n">
        <v>-11.5</v>
      </c>
      <c r="E367" s="2" t="n">
        <v>2.6</v>
      </c>
      <c r="F367" s="2" t="n">
        <v>400</v>
      </c>
      <c r="G367" s="2" t="n">
        <v>29.4</v>
      </c>
      <c r="H367" s="2" t="n">
        <v>-48.4</v>
      </c>
      <c r="I367" s="2" t="n">
        <v>-11.5</v>
      </c>
      <c r="J367" s="2" t="n">
        <v>22.53046347</v>
      </c>
    </row>
    <row r="368" customFormat="false" ht="15.8" hidden="false" customHeight="false" outlineLevel="0" collapsed="false">
      <c r="A368" s="1" t="n">
        <v>367</v>
      </c>
      <c r="B368" s="1" t="n">
        <v>30.5</v>
      </c>
      <c r="C368" s="1" t="n">
        <v>-42</v>
      </c>
      <c r="D368" s="1" t="n">
        <v>-10.4</v>
      </c>
      <c r="E368" s="2" t="n">
        <v>2.3</v>
      </c>
      <c r="F368" s="2" t="n">
        <v>368</v>
      </c>
      <c r="G368" s="2" t="n">
        <v>31.6</v>
      </c>
      <c r="H368" s="2" t="n">
        <v>-40</v>
      </c>
      <c r="I368" s="2" t="n">
        <v>-10.4</v>
      </c>
      <c r="J368" s="2" t="n">
        <v>23.72881337</v>
      </c>
    </row>
    <row r="369" customFormat="false" ht="15.8" hidden="false" customHeight="false" outlineLevel="0" collapsed="false">
      <c r="A369" s="1" t="n">
        <v>368</v>
      </c>
      <c r="B369" s="1" t="n">
        <v>31.6</v>
      </c>
      <c r="C369" s="1" t="n">
        <v>-40</v>
      </c>
      <c r="D369" s="1" t="n">
        <v>-10.4</v>
      </c>
      <c r="E369" s="2" t="n">
        <v>2.3</v>
      </c>
      <c r="F369" s="2" t="n">
        <v>367</v>
      </c>
      <c r="G369" s="2" t="n">
        <v>30.5</v>
      </c>
      <c r="H369" s="2" t="n">
        <v>-42</v>
      </c>
      <c r="I369" s="2" t="n">
        <v>-10.4</v>
      </c>
      <c r="J369" s="2" t="n">
        <v>23.41423037</v>
      </c>
    </row>
    <row r="370" customFormat="false" ht="15.8" hidden="false" customHeight="false" outlineLevel="0" collapsed="false">
      <c r="A370" s="1" t="n">
        <v>369</v>
      </c>
      <c r="B370" s="1" t="n">
        <v>27.7</v>
      </c>
      <c r="C370" s="1" t="n">
        <v>-40</v>
      </c>
      <c r="D370" s="1" t="n">
        <v>-8.1</v>
      </c>
      <c r="E370" s="2" t="n">
        <v>1.5</v>
      </c>
      <c r="F370" s="2" t="n">
        <v>370</v>
      </c>
      <c r="G370" s="2" t="n">
        <v>26.3</v>
      </c>
      <c r="H370" s="2" t="n">
        <v>-40.6</v>
      </c>
      <c r="I370" s="2" t="n">
        <v>-7.8</v>
      </c>
      <c r="J370" s="2" t="n">
        <v>27.25572571</v>
      </c>
    </row>
    <row r="371" customFormat="false" ht="15.8" hidden="false" customHeight="false" outlineLevel="0" collapsed="false">
      <c r="A371" s="1" t="n">
        <v>370</v>
      </c>
      <c r="B371" s="1" t="n">
        <v>26.3</v>
      </c>
      <c r="C371" s="1" t="n">
        <v>-40.6</v>
      </c>
      <c r="D371" s="1" t="n">
        <v>-7.8</v>
      </c>
      <c r="E371" s="2" t="n">
        <v>1.5</v>
      </c>
      <c r="F371" s="2" t="n">
        <v>369</v>
      </c>
      <c r="G371" s="2" t="n">
        <v>27.7</v>
      </c>
      <c r="H371" s="2" t="n">
        <v>-40</v>
      </c>
      <c r="I371" s="2" t="n">
        <v>-8.1</v>
      </c>
      <c r="J371" s="2" t="n">
        <v>28.41147275</v>
      </c>
    </row>
    <row r="372" customFormat="false" ht="15.8" hidden="false" customHeight="false" outlineLevel="0" collapsed="false">
      <c r="A372" s="1" t="n">
        <v>371</v>
      </c>
      <c r="B372" s="1" t="n">
        <v>24.9</v>
      </c>
      <c r="C372" s="1" t="n">
        <v>-43.6</v>
      </c>
      <c r="D372" s="1" t="n">
        <v>-10</v>
      </c>
      <c r="E372" s="2" t="n">
        <v>0.8</v>
      </c>
      <c r="F372" s="2" t="n">
        <v>377</v>
      </c>
      <c r="G372" s="2" t="n">
        <v>24.5</v>
      </c>
      <c r="H372" s="2" t="n">
        <v>-44.1</v>
      </c>
      <c r="I372" s="2" t="n">
        <v>-10.4</v>
      </c>
      <c r="J372" s="2" t="n">
        <v>28.75486366</v>
      </c>
    </row>
    <row r="373" customFormat="false" ht="15.8" hidden="false" customHeight="false" outlineLevel="0" collapsed="false">
      <c r="A373" s="1" t="n">
        <v>372</v>
      </c>
      <c r="B373" s="1" t="n">
        <v>24.9</v>
      </c>
      <c r="C373" s="1" t="n">
        <v>-44.9</v>
      </c>
      <c r="D373" s="1" t="n">
        <v>-10.4</v>
      </c>
      <c r="E373" s="2" t="n">
        <v>0.9</v>
      </c>
      <c r="F373" s="2" t="n">
        <v>374</v>
      </c>
      <c r="G373" s="2" t="n">
        <v>25.4</v>
      </c>
      <c r="H373" s="2" t="n">
        <v>-44.9</v>
      </c>
      <c r="I373" s="2" t="n">
        <v>-9.6</v>
      </c>
      <c r="J373" s="2" t="n">
        <v>28.49782771</v>
      </c>
    </row>
    <row r="374" customFormat="false" ht="15.8" hidden="false" customHeight="false" outlineLevel="0" collapsed="false">
      <c r="A374" s="1" t="n">
        <v>373</v>
      </c>
      <c r="B374" s="1" t="n">
        <v>23.8</v>
      </c>
      <c r="C374" s="1" t="n">
        <v>-46.6</v>
      </c>
      <c r="D374" s="1" t="n">
        <v>-10</v>
      </c>
      <c r="E374" s="2" t="n">
        <v>1.6</v>
      </c>
      <c r="F374" s="2" t="n">
        <v>389</v>
      </c>
      <c r="G374" s="2" t="n">
        <v>22.6</v>
      </c>
      <c r="H374" s="2" t="n">
        <v>-47.6</v>
      </c>
      <c r="I374" s="2" t="n">
        <v>-10.4</v>
      </c>
      <c r="J374" s="2" t="n">
        <v>29.39864936</v>
      </c>
    </row>
    <row r="375" customFormat="false" ht="15.8" hidden="false" customHeight="false" outlineLevel="0" collapsed="false">
      <c r="A375" s="1" t="n">
        <v>374</v>
      </c>
      <c r="B375" s="1" t="n">
        <v>25.4</v>
      </c>
      <c r="C375" s="1" t="n">
        <v>-44.9</v>
      </c>
      <c r="D375" s="1" t="n">
        <v>-9.6</v>
      </c>
      <c r="E375" s="2" t="n">
        <v>0.9</v>
      </c>
      <c r="F375" s="2" t="n">
        <v>372</v>
      </c>
      <c r="G375" s="2" t="n">
        <v>24.9</v>
      </c>
      <c r="H375" s="2" t="n">
        <v>-44.9</v>
      </c>
      <c r="I375" s="2" t="n">
        <v>-10.4</v>
      </c>
      <c r="J375" s="2" t="n">
        <v>28.06105814</v>
      </c>
    </row>
    <row r="376" customFormat="false" ht="15.8" hidden="false" customHeight="false" outlineLevel="0" collapsed="false">
      <c r="A376" s="1" t="n">
        <v>375</v>
      </c>
      <c r="B376" s="1" t="n">
        <v>23.2</v>
      </c>
      <c r="C376" s="1" t="n">
        <v>-45.5</v>
      </c>
      <c r="D376" s="1" t="n">
        <v>-8.5</v>
      </c>
      <c r="E376" s="2" t="n">
        <v>2</v>
      </c>
      <c r="F376" s="2" t="n">
        <v>373</v>
      </c>
      <c r="G376" s="2" t="n">
        <v>23.8</v>
      </c>
      <c r="H376" s="2" t="n">
        <v>-46.6</v>
      </c>
      <c r="I376" s="2" t="n">
        <v>-10</v>
      </c>
      <c r="J376" s="2" t="n">
        <v>30.25115178</v>
      </c>
    </row>
    <row r="377" customFormat="false" ht="15.8" hidden="false" customHeight="false" outlineLevel="0" collapsed="false">
      <c r="A377" s="1" t="n">
        <v>376</v>
      </c>
      <c r="B377" s="1" t="n">
        <v>21.3</v>
      </c>
      <c r="C377" s="1" t="n">
        <v>-45.3</v>
      </c>
      <c r="D377" s="1" t="n">
        <v>-9.6</v>
      </c>
      <c r="E377" s="2" t="n">
        <v>2.2</v>
      </c>
      <c r="F377" s="2" t="n">
        <v>375</v>
      </c>
      <c r="G377" s="2" t="n">
        <v>23.2</v>
      </c>
      <c r="H377" s="2" t="n">
        <v>-45.5</v>
      </c>
      <c r="I377" s="2" t="n">
        <v>-8.5</v>
      </c>
      <c r="J377" s="2" t="n">
        <v>32.04928367</v>
      </c>
    </row>
    <row r="378" customFormat="false" ht="15.8" hidden="false" customHeight="false" outlineLevel="0" collapsed="false">
      <c r="A378" s="1" t="n">
        <v>377</v>
      </c>
      <c r="B378" s="1" t="n">
        <v>24.5</v>
      </c>
      <c r="C378" s="1" t="n">
        <v>-44.1</v>
      </c>
      <c r="D378" s="1" t="n">
        <v>-10.4</v>
      </c>
      <c r="E378" s="2" t="n">
        <v>0.8</v>
      </c>
      <c r="F378" s="2" t="n">
        <v>371</v>
      </c>
      <c r="G378" s="2" t="n">
        <v>24.9</v>
      </c>
      <c r="H378" s="2" t="n">
        <v>-43.6</v>
      </c>
      <c r="I378" s="2" t="n">
        <v>-10</v>
      </c>
      <c r="J378" s="2" t="n">
        <v>29.02677013</v>
      </c>
    </row>
    <row r="379" customFormat="false" ht="15.8" hidden="false" customHeight="false" outlineLevel="0" collapsed="false">
      <c r="A379" s="1" t="n">
        <v>378</v>
      </c>
      <c r="B379" s="1" t="n">
        <v>20.8</v>
      </c>
      <c r="C379" s="1" t="n">
        <v>-47.5</v>
      </c>
      <c r="D379" s="1" t="n">
        <v>-8.5</v>
      </c>
      <c r="E379" s="2" t="n">
        <v>1.8</v>
      </c>
      <c r="F379" s="2" t="n">
        <v>379</v>
      </c>
      <c r="G379" s="2" t="n">
        <v>19.2</v>
      </c>
      <c r="H379" s="2" t="n">
        <v>-47.7</v>
      </c>
      <c r="I379" s="2" t="n">
        <v>-7.8</v>
      </c>
      <c r="J379" s="2" t="n">
        <v>32.441914</v>
      </c>
    </row>
    <row r="380" customFormat="false" ht="15.8" hidden="false" customHeight="false" outlineLevel="0" collapsed="false">
      <c r="A380" s="1" t="n">
        <v>379</v>
      </c>
      <c r="B380" s="1" t="n">
        <v>19.2</v>
      </c>
      <c r="C380" s="1" t="n">
        <v>-47.7</v>
      </c>
      <c r="D380" s="1" t="n">
        <v>-7.8</v>
      </c>
      <c r="E380" s="2" t="n">
        <v>1.8</v>
      </c>
      <c r="F380" s="2" t="n">
        <v>378</v>
      </c>
      <c r="G380" s="2" t="n">
        <v>20.8</v>
      </c>
      <c r="H380" s="2" t="n">
        <v>-47.5</v>
      </c>
      <c r="I380" s="2" t="n">
        <v>-8.5</v>
      </c>
      <c r="J380" s="2" t="n">
        <v>34.09872408</v>
      </c>
    </row>
    <row r="381" customFormat="false" ht="15.8" hidden="false" customHeight="false" outlineLevel="0" collapsed="false">
      <c r="A381" s="1" t="n">
        <v>380</v>
      </c>
      <c r="B381" s="1" t="n">
        <v>17</v>
      </c>
      <c r="C381" s="1" t="n">
        <v>-46.3</v>
      </c>
      <c r="D381" s="1" t="n">
        <v>-7.8</v>
      </c>
      <c r="E381" s="2" t="n">
        <v>1.4</v>
      </c>
      <c r="F381" s="2" t="n">
        <v>381</v>
      </c>
      <c r="G381" s="2" t="n">
        <v>15.7</v>
      </c>
      <c r="H381" s="2" t="n">
        <v>-46.6</v>
      </c>
      <c r="I381" s="2" t="n">
        <v>-7.4</v>
      </c>
      <c r="J381" s="2" t="n">
        <v>36.37192027</v>
      </c>
    </row>
    <row r="382" customFormat="false" ht="15.8" hidden="false" customHeight="false" outlineLevel="0" collapsed="false">
      <c r="A382" s="1" t="n">
        <v>381</v>
      </c>
      <c r="B382" s="1" t="n">
        <v>15.7</v>
      </c>
      <c r="C382" s="1" t="n">
        <v>-46.6</v>
      </c>
      <c r="D382" s="1" t="n">
        <v>-7.4</v>
      </c>
      <c r="E382" s="2" t="n">
        <v>1.4</v>
      </c>
      <c r="F382" s="2" t="n">
        <v>380</v>
      </c>
      <c r="G382" s="2" t="n">
        <v>17</v>
      </c>
      <c r="H382" s="2" t="n">
        <v>-46.3</v>
      </c>
      <c r="I382" s="2" t="n">
        <v>-7.8</v>
      </c>
      <c r="J382" s="2" t="n">
        <v>37.68231129</v>
      </c>
    </row>
    <row r="383" customFormat="false" ht="15.8" hidden="false" customHeight="false" outlineLevel="0" collapsed="false">
      <c r="A383" s="1" t="n">
        <v>382</v>
      </c>
      <c r="B383" s="1" t="n">
        <v>16.8</v>
      </c>
      <c r="C383" s="1" t="n">
        <v>-48.3</v>
      </c>
      <c r="D383" s="1" t="n">
        <v>-6.3</v>
      </c>
      <c r="E383" s="2" t="n">
        <v>0.8</v>
      </c>
      <c r="F383" s="2" t="n">
        <v>384</v>
      </c>
      <c r="G383" s="2" t="n">
        <v>17.6</v>
      </c>
      <c r="H383" s="2" t="n">
        <v>-48.6</v>
      </c>
      <c r="I383" s="2" t="n">
        <v>-6.3</v>
      </c>
      <c r="J383" s="2" t="n">
        <v>36.65852403</v>
      </c>
    </row>
    <row r="384" customFormat="false" ht="15.8" hidden="false" customHeight="false" outlineLevel="0" collapsed="false">
      <c r="A384" s="1" t="n">
        <v>383</v>
      </c>
      <c r="B384" s="1" t="n">
        <v>16</v>
      </c>
      <c r="C384" s="1" t="n">
        <v>-47.6</v>
      </c>
      <c r="D384" s="1" t="n">
        <v>-6.3</v>
      </c>
      <c r="E384" s="2" t="n">
        <v>1.1</v>
      </c>
      <c r="F384" s="2" t="n">
        <v>382</v>
      </c>
      <c r="G384" s="2" t="n">
        <v>16.8</v>
      </c>
      <c r="H384" s="2" t="n">
        <v>-48.3</v>
      </c>
      <c r="I384" s="2" t="n">
        <v>-6.3</v>
      </c>
      <c r="J384" s="2" t="n">
        <v>37.47523161</v>
      </c>
    </row>
    <row r="385" customFormat="false" ht="15.8" hidden="false" customHeight="false" outlineLevel="0" collapsed="false">
      <c r="A385" s="1" t="n">
        <v>384</v>
      </c>
      <c r="B385" s="1" t="n">
        <v>17.6</v>
      </c>
      <c r="C385" s="1" t="n">
        <v>-48.6</v>
      </c>
      <c r="D385" s="1" t="n">
        <v>-6.3</v>
      </c>
      <c r="E385" s="2" t="n">
        <v>0.8</v>
      </c>
      <c r="F385" s="2" t="n">
        <v>382</v>
      </c>
      <c r="G385" s="2" t="n">
        <v>16.8</v>
      </c>
      <c r="H385" s="2" t="n">
        <v>-48.3</v>
      </c>
      <c r="I385" s="2" t="n">
        <v>-6.3</v>
      </c>
      <c r="J385" s="2" t="n">
        <v>35.8610455</v>
      </c>
    </row>
    <row r="386" customFormat="false" ht="15.8" hidden="false" customHeight="false" outlineLevel="0" collapsed="false">
      <c r="A386" s="1" t="n">
        <v>385</v>
      </c>
      <c r="B386" s="1" t="n">
        <v>21.1</v>
      </c>
      <c r="C386" s="1" t="n">
        <v>-46.4</v>
      </c>
      <c r="D386" s="1" t="n">
        <v>-6.7</v>
      </c>
      <c r="E386" s="2" t="n">
        <v>1.4</v>
      </c>
      <c r="F386" s="2" t="n">
        <v>386</v>
      </c>
      <c r="G386" s="2" t="n">
        <v>22.3</v>
      </c>
      <c r="H386" s="2" t="n">
        <v>-45.8</v>
      </c>
      <c r="I386" s="2" t="n">
        <v>-6.7</v>
      </c>
      <c r="J386" s="2" t="n">
        <v>32.46977955</v>
      </c>
    </row>
    <row r="387" customFormat="false" ht="15.8" hidden="false" customHeight="false" outlineLevel="0" collapsed="false">
      <c r="A387" s="1" t="n">
        <v>386</v>
      </c>
      <c r="B387" s="1" t="n">
        <v>22.3</v>
      </c>
      <c r="C387" s="1" t="n">
        <v>-45.8</v>
      </c>
      <c r="D387" s="1" t="n">
        <v>-6.7</v>
      </c>
      <c r="E387" s="2" t="n">
        <v>1.4</v>
      </c>
      <c r="F387" s="2" t="n">
        <v>385</v>
      </c>
      <c r="G387" s="2" t="n">
        <v>21.1</v>
      </c>
      <c r="H387" s="2" t="n">
        <v>-46.4</v>
      </c>
      <c r="I387" s="2" t="n">
        <v>-6.7</v>
      </c>
      <c r="J387" s="2" t="n">
        <v>31.35412228</v>
      </c>
    </row>
    <row r="388" customFormat="false" ht="15.8" hidden="false" customHeight="false" outlineLevel="0" collapsed="false">
      <c r="A388" s="1" t="n">
        <v>387</v>
      </c>
      <c r="B388" s="1" t="n">
        <v>14.7</v>
      </c>
      <c r="C388" s="1" t="n">
        <v>-48.9</v>
      </c>
      <c r="D388" s="1" t="n">
        <v>-5.2</v>
      </c>
      <c r="E388" s="2" t="n">
        <v>1.6</v>
      </c>
      <c r="F388" s="2" t="n">
        <v>388</v>
      </c>
      <c r="G388" s="2" t="n">
        <v>13.2</v>
      </c>
      <c r="H388" s="2" t="n">
        <v>-49.1</v>
      </c>
      <c r="I388" s="2" t="n">
        <v>-4.8</v>
      </c>
      <c r="J388" s="2" t="n">
        <v>38.89815142</v>
      </c>
    </row>
    <row r="389" customFormat="false" ht="15.8" hidden="false" customHeight="false" outlineLevel="0" collapsed="false">
      <c r="A389" s="1" t="n">
        <v>388</v>
      </c>
      <c r="B389" s="1" t="n">
        <v>13.2</v>
      </c>
      <c r="C389" s="1" t="n">
        <v>-49.1</v>
      </c>
      <c r="D389" s="1" t="n">
        <v>-4.8</v>
      </c>
      <c r="E389" s="2" t="n">
        <v>1.6</v>
      </c>
      <c r="F389" s="2" t="n">
        <v>387</v>
      </c>
      <c r="G389" s="2" t="n">
        <v>14.7</v>
      </c>
      <c r="H389" s="2" t="n">
        <v>-48.9</v>
      </c>
      <c r="I389" s="2" t="n">
        <v>-5.2</v>
      </c>
      <c r="J389" s="2" t="n">
        <v>40.44317228</v>
      </c>
    </row>
    <row r="390" customFormat="false" ht="15.8" hidden="false" customHeight="false" outlineLevel="0" collapsed="false">
      <c r="A390" s="1" t="n">
        <v>389</v>
      </c>
      <c r="B390" s="1" t="n">
        <v>22.6</v>
      </c>
      <c r="C390" s="1" t="n">
        <v>-47.6</v>
      </c>
      <c r="D390" s="1" t="n">
        <v>-10.4</v>
      </c>
      <c r="E390" s="2" t="n">
        <v>1.6</v>
      </c>
      <c r="F390" s="2" t="n">
        <v>373</v>
      </c>
      <c r="G390" s="2" t="n">
        <v>23.8</v>
      </c>
      <c r="H390" s="2" t="n">
        <v>-46.6</v>
      </c>
      <c r="I390" s="2" t="n">
        <v>-10</v>
      </c>
      <c r="J390" s="2" t="n">
        <v>30.49358923</v>
      </c>
    </row>
    <row r="391" customFormat="false" ht="15.8" hidden="false" customHeight="false" outlineLevel="0" collapsed="false">
      <c r="A391" s="1" t="n">
        <v>390</v>
      </c>
      <c r="B391" s="1" t="n">
        <v>20.9</v>
      </c>
      <c r="C391" s="1" t="n">
        <v>-49.5</v>
      </c>
      <c r="D391" s="1" t="n">
        <v>-8.5</v>
      </c>
      <c r="E391" s="2" t="n">
        <v>1.9</v>
      </c>
      <c r="F391" s="2" t="n">
        <v>378</v>
      </c>
      <c r="G391" s="2" t="n">
        <v>20.8</v>
      </c>
      <c r="H391" s="2" t="n">
        <v>-47.5</v>
      </c>
      <c r="I391" s="2" t="n">
        <v>-8.5</v>
      </c>
      <c r="J391" s="2" t="n">
        <v>32.28905982</v>
      </c>
    </row>
    <row r="392" customFormat="false" ht="15.8" hidden="false" customHeight="false" outlineLevel="0" collapsed="false">
      <c r="A392" s="1" t="n">
        <v>391</v>
      </c>
      <c r="B392" s="1" t="n">
        <v>25.9</v>
      </c>
      <c r="C392" s="1" t="n">
        <v>-49.7</v>
      </c>
      <c r="D392" s="1" t="n">
        <v>-9.2</v>
      </c>
      <c r="E392" s="2" t="n">
        <v>1</v>
      </c>
      <c r="F392" s="2" t="n">
        <v>393</v>
      </c>
      <c r="G392" s="2" t="n">
        <v>26.6</v>
      </c>
      <c r="H392" s="2" t="n">
        <v>-49.5</v>
      </c>
      <c r="I392" s="2" t="n">
        <v>-8.5</v>
      </c>
      <c r="J392" s="2" t="n">
        <v>27.24503228</v>
      </c>
    </row>
    <row r="393" customFormat="false" ht="15.8" hidden="false" customHeight="false" outlineLevel="0" collapsed="false">
      <c r="A393" s="1" t="n">
        <v>392</v>
      </c>
      <c r="B393" s="1" t="n">
        <v>24.1</v>
      </c>
      <c r="C393" s="1" t="n">
        <v>-49.6</v>
      </c>
      <c r="D393" s="1" t="n">
        <v>-9.6</v>
      </c>
      <c r="E393" s="2" t="n">
        <v>1.5</v>
      </c>
      <c r="F393" s="2" t="n">
        <v>395</v>
      </c>
      <c r="G393" s="2" t="n">
        <v>23.9</v>
      </c>
      <c r="H393" s="2" t="n">
        <v>-48.6</v>
      </c>
      <c r="I393" s="2" t="n">
        <v>-8.5</v>
      </c>
      <c r="J393" s="2" t="n">
        <v>28.99978938</v>
      </c>
    </row>
    <row r="394" customFormat="false" ht="15.8" hidden="false" customHeight="false" outlineLevel="0" collapsed="false">
      <c r="A394" s="1" t="n">
        <v>393</v>
      </c>
      <c r="B394" s="1" t="n">
        <v>26.6</v>
      </c>
      <c r="C394" s="1" t="n">
        <v>-49.5</v>
      </c>
      <c r="D394" s="1" t="n">
        <v>-8.5</v>
      </c>
      <c r="E394" s="2" t="n">
        <v>1</v>
      </c>
      <c r="F394" s="2" t="n">
        <v>391</v>
      </c>
      <c r="G394" s="2" t="n">
        <v>25.9</v>
      </c>
      <c r="H394" s="2" t="n">
        <v>-49.7</v>
      </c>
      <c r="I394" s="2" t="n">
        <v>-9.2</v>
      </c>
      <c r="J394" s="2" t="n">
        <v>26.62913037</v>
      </c>
    </row>
    <row r="395" customFormat="false" ht="15.8" hidden="false" customHeight="false" outlineLevel="0" collapsed="false">
      <c r="A395" s="1" t="n">
        <v>394</v>
      </c>
      <c r="B395" s="1" t="n">
        <v>24.4</v>
      </c>
      <c r="C395" s="1" t="n">
        <v>-49</v>
      </c>
      <c r="D395" s="1" t="n">
        <v>-8.1</v>
      </c>
      <c r="E395" s="2" t="n">
        <v>0.7</v>
      </c>
      <c r="F395" s="2" t="n">
        <v>395</v>
      </c>
      <c r="G395" s="2" t="n">
        <v>23.9</v>
      </c>
      <c r="H395" s="2" t="n">
        <v>-48.6</v>
      </c>
      <c r="I395" s="2" t="n">
        <v>-8.5</v>
      </c>
      <c r="J395" s="2" t="n">
        <v>28.86468056</v>
      </c>
    </row>
    <row r="396" customFormat="false" ht="15.8" hidden="false" customHeight="false" outlineLevel="0" collapsed="false">
      <c r="A396" s="1" t="n">
        <v>395</v>
      </c>
      <c r="B396" s="1" t="n">
        <v>23.9</v>
      </c>
      <c r="C396" s="1" t="n">
        <v>-48.6</v>
      </c>
      <c r="D396" s="1" t="n">
        <v>-8.5</v>
      </c>
      <c r="E396" s="2" t="n">
        <v>0.7</v>
      </c>
      <c r="F396" s="2" t="n">
        <v>394</v>
      </c>
      <c r="G396" s="2" t="n">
        <v>24.4</v>
      </c>
      <c r="H396" s="2" t="n">
        <v>-49</v>
      </c>
      <c r="I396" s="2" t="n">
        <v>-8.1</v>
      </c>
      <c r="J396" s="2" t="n">
        <v>29.31791575</v>
      </c>
    </row>
    <row r="397" customFormat="false" ht="15.8" hidden="false" customHeight="false" outlineLevel="0" collapsed="false">
      <c r="A397" s="1" t="n">
        <v>396</v>
      </c>
      <c r="B397" s="1" t="n">
        <v>27.2</v>
      </c>
      <c r="C397" s="1" t="n">
        <v>-48.2</v>
      </c>
      <c r="D397" s="1" t="n">
        <v>-8.9</v>
      </c>
      <c r="E397" s="2" t="n">
        <v>1.4</v>
      </c>
      <c r="F397" s="2" t="n">
        <v>393</v>
      </c>
      <c r="G397" s="2" t="n">
        <v>26.6</v>
      </c>
      <c r="H397" s="2" t="n">
        <v>-49.5</v>
      </c>
      <c r="I397" s="2" t="n">
        <v>-8.5</v>
      </c>
      <c r="J397" s="2" t="n">
        <v>26.00990934</v>
      </c>
    </row>
    <row r="398" customFormat="false" ht="15.8" hidden="false" customHeight="false" outlineLevel="0" collapsed="false">
      <c r="A398" s="1" t="n">
        <v>397</v>
      </c>
      <c r="B398" s="1" t="n">
        <v>27.6</v>
      </c>
      <c r="C398" s="1" t="n">
        <v>-46.7</v>
      </c>
      <c r="D398" s="1" t="n">
        <v>-8.5</v>
      </c>
      <c r="E398" s="2" t="n">
        <v>1.6</v>
      </c>
      <c r="F398" s="2" t="n">
        <v>396</v>
      </c>
      <c r="G398" s="2" t="n">
        <v>27.2</v>
      </c>
      <c r="H398" s="2" t="n">
        <v>-48.2</v>
      </c>
      <c r="I398" s="2" t="n">
        <v>-8.9</v>
      </c>
      <c r="J398" s="2" t="n">
        <v>25.77588377</v>
      </c>
    </row>
    <row r="399" customFormat="false" ht="15.8" hidden="false" customHeight="false" outlineLevel="0" collapsed="false">
      <c r="A399" s="1" t="n">
        <v>398</v>
      </c>
      <c r="B399" s="1" t="n">
        <v>26.5</v>
      </c>
      <c r="C399" s="1" t="n">
        <v>-47</v>
      </c>
      <c r="D399" s="1" t="n">
        <v>-12.9</v>
      </c>
      <c r="E399" s="2" t="n">
        <v>1.3</v>
      </c>
      <c r="F399" s="2" t="n">
        <v>404</v>
      </c>
      <c r="G399" s="2" t="n">
        <v>25.9</v>
      </c>
      <c r="H399" s="2" t="n">
        <v>-47.2</v>
      </c>
      <c r="I399" s="2" t="n">
        <v>-11.8</v>
      </c>
      <c r="J399" s="2" t="n">
        <v>26.6237222</v>
      </c>
    </row>
    <row r="400" customFormat="false" ht="15.8" hidden="false" customHeight="false" outlineLevel="0" collapsed="false">
      <c r="A400" s="1" t="n">
        <v>399</v>
      </c>
      <c r="B400" s="1" t="n">
        <v>29.5</v>
      </c>
      <c r="C400" s="1" t="n">
        <v>-49.3</v>
      </c>
      <c r="D400" s="1" t="n">
        <v>-12.6</v>
      </c>
      <c r="E400" s="2" t="n">
        <v>1.4</v>
      </c>
      <c r="F400" s="2" t="n">
        <v>400</v>
      </c>
      <c r="G400" s="2" t="n">
        <v>29.4</v>
      </c>
      <c r="H400" s="2" t="n">
        <v>-48.4</v>
      </c>
      <c r="I400" s="2" t="n">
        <v>-11.5</v>
      </c>
      <c r="J400" s="2" t="n">
        <v>23.51058876</v>
      </c>
    </row>
    <row r="401" customFormat="false" ht="15.8" hidden="false" customHeight="false" outlineLevel="0" collapsed="false">
      <c r="A401" s="1" t="n">
        <v>400</v>
      </c>
      <c r="B401" s="1" t="n">
        <v>29.4</v>
      </c>
      <c r="C401" s="1" t="n">
        <v>-48.4</v>
      </c>
      <c r="D401" s="1" t="n">
        <v>-11.5</v>
      </c>
      <c r="E401" s="2" t="n">
        <v>1.4</v>
      </c>
      <c r="F401" s="2" t="n">
        <v>399</v>
      </c>
      <c r="G401" s="2" t="n">
        <v>29.5</v>
      </c>
      <c r="H401" s="2" t="n">
        <v>-49.3</v>
      </c>
      <c r="I401" s="2" t="n">
        <v>-12.6</v>
      </c>
      <c r="J401" s="2" t="n">
        <v>23.62639592</v>
      </c>
    </row>
    <row r="402" customFormat="false" ht="15.8" hidden="false" customHeight="false" outlineLevel="0" collapsed="false">
      <c r="A402" s="1" t="n">
        <v>401</v>
      </c>
      <c r="B402" s="1" t="n">
        <v>26.2</v>
      </c>
      <c r="C402" s="1" t="n">
        <v>-49</v>
      </c>
      <c r="D402" s="1" t="n">
        <v>-11.8</v>
      </c>
      <c r="E402" s="2" t="n">
        <v>1.5</v>
      </c>
      <c r="F402" s="2" t="n">
        <v>402</v>
      </c>
      <c r="G402" s="2" t="n">
        <v>26.6</v>
      </c>
      <c r="H402" s="2" t="n">
        <v>-47.6</v>
      </c>
      <c r="I402" s="2" t="n">
        <v>-11.5</v>
      </c>
      <c r="J402" s="2" t="n">
        <v>26.80502535</v>
      </c>
    </row>
    <row r="403" customFormat="false" ht="15.8" hidden="false" customHeight="false" outlineLevel="0" collapsed="false">
      <c r="A403" s="1" t="n">
        <v>402</v>
      </c>
      <c r="B403" s="1" t="n">
        <v>26.6</v>
      </c>
      <c r="C403" s="1" t="n">
        <v>-47.6</v>
      </c>
      <c r="D403" s="1" t="n">
        <v>-11.5</v>
      </c>
      <c r="E403" s="2" t="n">
        <v>0.8</v>
      </c>
      <c r="F403" s="2" t="n">
        <v>404</v>
      </c>
      <c r="G403" s="2" t="n">
        <v>25.9</v>
      </c>
      <c r="H403" s="2" t="n">
        <v>-47.2</v>
      </c>
      <c r="I403" s="2" t="n">
        <v>-11.8</v>
      </c>
      <c r="J403" s="2" t="n">
        <v>26.46513525</v>
      </c>
    </row>
    <row r="404" customFormat="false" ht="15.8" hidden="false" customHeight="false" outlineLevel="0" collapsed="false">
      <c r="A404" s="1" t="n">
        <v>403</v>
      </c>
      <c r="B404" s="1" t="n">
        <v>24.4</v>
      </c>
      <c r="C404" s="1" t="n">
        <v>-49.3</v>
      </c>
      <c r="D404" s="1" t="n">
        <v>-13.3</v>
      </c>
      <c r="E404" s="2" t="n">
        <v>1.1</v>
      </c>
      <c r="F404" s="2" t="n">
        <v>406</v>
      </c>
      <c r="G404" s="2" t="n">
        <v>23.3</v>
      </c>
      <c r="H404" s="2" t="n">
        <v>-49.4</v>
      </c>
      <c r="I404" s="2" t="n">
        <v>-13.3</v>
      </c>
      <c r="J404" s="2" t="n">
        <v>28.633075</v>
      </c>
    </row>
    <row r="405" customFormat="false" ht="15.8" hidden="false" customHeight="false" outlineLevel="0" collapsed="false">
      <c r="A405" s="1" t="n">
        <v>404</v>
      </c>
      <c r="B405" s="1" t="n">
        <v>25.9</v>
      </c>
      <c r="C405" s="1" t="n">
        <v>-47.2</v>
      </c>
      <c r="D405" s="1" t="n">
        <v>-11.8</v>
      </c>
      <c r="E405" s="2" t="n">
        <v>0.8</v>
      </c>
      <c r="F405" s="2" t="n">
        <v>402</v>
      </c>
      <c r="G405" s="2" t="n">
        <v>26.6</v>
      </c>
      <c r="H405" s="2" t="n">
        <v>-47.6</v>
      </c>
      <c r="I405" s="2" t="n">
        <v>-11.5</v>
      </c>
      <c r="J405" s="2" t="n">
        <v>27.18893496</v>
      </c>
    </row>
    <row r="406" customFormat="false" ht="15.8" hidden="false" customHeight="false" outlineLevel="0" collapsed="false">
      <c r="A406" s="1" t="n">
        <v>405</v>
      </c>
      <c r="B406" s="1" t="n">
        <v>22.9</v>
      </c>
      <c r="C406" s="1" t="n">
        <v>-49.2</v>
      </c>
      <c r="D406" s="1" t="n">
        <v>-12.9</v>
      </c>
      <c r="E406" s="2" t="n">
        <v>0.6</v>
      </c>
      <c r="F406" s="2" t="n">
        <v>406</v>
      </c>
      <c r="G406" s="2" t="n">
        <v>23.3</v>
      </c>
      <c r="H406" s="2" t="n">
        <v>-49.4</v>
      </c>
      <c r="I406" s="2" t="n">
        <v>-13.3</v>
      </c>
      <c r="J406" s="2" t="n">
        <v>30.11688204</v>
      </c>
    </row>
    <row r="407" customFormat="false" ht="15.8" hidden="false" customHeight="false" outlineLevel="0" collapsed="false">
      <c r="A407" s="1" t="n">
        <v>406</v>
      </c>
      <c r="B407" s="1" t="n">
        <v>23.3</v>
      </c>
      <c r="C407" s="1" t="n">
        <v>-49.4</v>
      </c>
      <c r="D407" s="1" t="n">
        <v>-13.3</v>
      </c>
      <c r="E407" s="2" t="n">
        <v>0.6</v>
      </c>
      <c r="F407" s="2" t="n">
        <v>405</v>
      </c>
      <c r="G407" s="2" t="n">
        <v>22.9</v>
      </c>
      <c r="H407" s="2" t="n">
        <v>-49.2</v>
      </c>
      <c r="I407" s="2" t="n">
        <v>-12.9</v>
      </c>
      <c r="J407" s="2" t="n">
        <v>29.73187152</v>
      </c>
    </row>
    <row r="408" customFormat="false" ht="15.8" hidden="false" customHeight="false" outlineLevel="0" collapsed="false">
      <c r="A408" s="1" t="n">
        <v>407</v>
      </c>
      <c r="B408" s="1" t="n">
        <v>24.9</v>
      </c>
      <c r="C408" s="1" t="n">
        <v>-47.8</v>
      </c>
      <c r="D408" s="1" t="n">
        <v>-14.1</v>
      </c>
      <c r="E408" s="2" t="n">
        <v>1.8</v>
      </c>
      <c r="F408" s="2" t="n">
        <v>403</v>
      </c>
      <c r="G408" s="2" t="n">
        <v>24.4</v>
      </c>
      <c r="H408" s="2" t="n">
        <v>-49.3</v>
      </c>
      <c r="I408" s="2" t="n">
        <v>-13.3</v>
      </c>
      <c r="J408" s="2" t="n">
        <v>28.2262322</v>
      </c>
    </row>
    <row r="409" customFormat="false" ht="15.8" hidden="false" customHeight="false" outlineLevel="0" collapsed="false">
      <c r="A409" s="1" t="n">
        <v>408</v>
      </c>
      <c r="B409" s="1" t="n">
        <v>23.9</v>
      </c>
      <c r="C409" s="1" t="n">
        <v>-46.3</v>
      </c>
      <c r="D409" s="1" t="n">
        <v>-13.3</v>
      </c>
      <c r="E409" s="2" t="n">
        <v>1.9</v>
      </c>
      <c r="F409" s="2" t="n">
        <v>407</v>
      </c>
      <c r="G409" s="2" t="n">
        <v>24.9</v>
      </c>
      <c r="H409" s="2" t="n">
        <v>-47.8</v>
      </c>
      <c r="I409" s="2" t="n">
        <v>-14.1</v>
      </c>
      <c r="J409" s="2" t="n">
        <v>29.29336075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88381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2017-07-31T15:33:51Z</dcterms:modified>
  <cp:revision>47</cp:revision>
</cp:coreProperties>
</file>