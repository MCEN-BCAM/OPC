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<sst xmlns="http://schemas.openxmlformats.org/spreadsheetml/2006/main" count="23" uniqueCount="18">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</sst>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50.4</v>
      </c>
      <c r="C2" s="1" t="n">
        <v>-67.2</v>
      </c>
      <c r="D2" s="1" t="n">
        <v>-9.9</v>
      </c>
      <c r="E2" s="2" t="n">
        <v>1.8</v>
      </c>
      <c r="F2" s="2" t="n">
        <v>3</v>
      </c>
      <c r="G2" s="2" t="n">
        <v>50.1</v>
      </c>
      <c r="H2" s="2" t="n">
        <v>-68.7</v>
      </c>
      <c r="I2" s="2" t="n">
        <v>-10.9</v>
      </c>
      <c r="J2" s="2" t="n">
        <v>9.361558204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2</v>
      </c>
      <c r="O2" s="1" t="n">
        <f aca="false">COUNTIFS($J$2:$J$2000,"&lt;=5",$E$2:$E$2000,"&lt;=1.5")-SUM($M2:N2)</f>
        <v>1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1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1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1</v>
      </c>
      <c r="W2" s="1" t="n">
        <f aca="false">COUNTIFS($J$2:$J$2000,"&lt;=5",$E$2:$E$2000,"&gt;5")</f>
        <v>0</v>
      </c>
      <c r="X2" s="0" t="n">
        <f aca="false">SUM(M2:W2)</f>
        <v>6</v>
      </c>
      <c r="Y2" s="0" t="n">
        <f aca="false">COUNT(J2:J2000)</f>
        <v>334</v>
      </c>
    </row>
    <row r="3" customFormat="false" ht="15.8" hidden="false" customHeight="false" outlineLevel="0" collapsed="false">
      <c r="A3" s="1" t="n">
        <v>2</v>
      </c>
      <c r="B3" s="1" t="n">
        <v>50.9</v>
      </c>
      <c r="C3" s="1" t="n">
        <v>-66.1</v>
      </c>
      <c r="D3" s="1" t="n">
        <v>-12.2</v>
      </c>
      <c r="E3" s="2" t="n">
        <v>2.6</v>
      </c>
      <c r="F3" s="2" t="n">
        <v>1</v>
      </c>
      <c r="G3" s="2" t="n">
        <v>50.4</v>
      </c>
      <c r="H3" s="2" t="n">
        <v>-67.2</v>
      </c>
      <c r="I3" s="2" t="n">
        <v>-9.9</v>
      </c>
      <c r="J3" s="2" t="n">
        <v>8.47738002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4</v>
      </c>
      <c r="O3" s="1" t="n">
        <f aca="false">COUNTIFS($J$2:$J$2000,"&lt;=10",$E$2:$E$2000,"&lt;=1.5")-SUM(O2,$M2:N3)</f>
        <v>7</v>
      </c>
      <c r="P3" s="1" t="n">
        <f aca="false">COUNTIFS($J$2:$J$2000,"&lt;=10",$E$2:$E$2000,"&lt;=2")-SUM(P2,$M2:O3)</f>
        <v>7</v>
      </c>
      <c r="Q3" s="1" t="n">
        <f aca="false">COUNTIFS($J$2:$J$2000,"&lt;=10",$E$2:$E$2000,"&lt;=2.5")-SUM(Q2,$M2:P3)</f>
        <v>7</v>
      </c>
      <c r="R3" s="1" t="n">
        <f aca="false">COUNTIFS($J$2:$J$2000,"&lt;=10",$E$2:$E$2000,"&lt;=3")-SUM(R2,$M2:Q3)</f>
        <v>1</v>
      </c>
      <c r="S3" s="1" t="n">
        <f aca="false">COUNTIFS($J$2:$J$2000,"&lt;=10",$E$2:$E$2000,"&lt;=3.5")-SUM(S2,$M2:R3)</f>
        <v>2</v>
      </c>
      <c r="T3" s="1" t="n">
        <f aca="false">COUNTIFS($J$2:$J$2000,"&lt;=10",$E$2:$E$2000,"&lt;=4")-SUM(T2,$M2:S3)</f>
        <v>2</v>
      </c>
      <c r="U3" s="1" t="n">
        <f aca="false">COUNTIFS($J$2:$J$2000,"&lt;=10",$E$2:$E$2000,"&lt;=4.5")-SUM(U2,$M2:T3)</f>
        <v>1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1</v>
      </c>
      <c r="X3" s="0" t="n">
        <f aca="false">SUM(M3:W3)</f>
        <v>32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50.1</v>
      </c>
      <c r="C4" s="1" t="n">
        <v>-68.7</v>
      </c>
      <c r="D4" s="1" t="n">
        <v>-10.9</v>
      </c>
      <c r="E4" s="2" t="n">
        <v>1.1</v>
      </c>
      <c r="F4" s="2" t="n">
        <v>4</v>
      </c>
      <c r="G4" s="2" t="n">
        <v>49.3</v>
      </c>
      <c r="H4" s="2" t="n">
        <v>-69.4</v>
      </c>
      <c r="I4" s="2" t="n">
        <v>-10.6</v>
      </c>
      <c r="J4" s="2" t="n">
        <v>10.58368424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5</v>
      </c>
      <c r="O4" s="1" t="n">
        <f aca="false">COUNTIFS($J$2:$J$2000,"&lt;=15",$E$2:$E$2000,"&lt;=1.5")-SUM(O$2:O3,$M2:N4)</f>
        <v>10</v>
      </c>
      <c r="P4" s="1" t="n">
        <f aca="false">COUNTIFS($J$2:$J$2000,"&lt;=15",$E$2:$E$2000,"&lt;=2")-SUM(P$2:P3,$M2:O4)</f>
        <v>7</v>
      </c>
      <c r="Q4" s="1" t="n">
        <f aca="false">COUNTIFS($J$2:$J$2000,"&lt;=15",$E$2:$E$2000,"&lt;=2.5")-SUM(Q$2:Q3,$M2:P4)</f>
        <v>7</v>
      </c>
      <c r="R4" s="1" t="n">
        <f aca="false">COUNTIFS($J$2:$J$2000,"&lt;=15",$E$2:$E$2000,"&lt;=3")-SUM(R$2:R3,$M2:Q4)</f>
        <v>0</v>
      </c>
      <c r="S4" s="1" t="n">
        <f aca="false">COUNTIFS($J$2:$J$2000,"&lt;=15",$E$2:$E$2000,"&lt;=3.5")-SUM(S$2:S3,$M2:R4)</f>
        <v>1</v>
      </c>
      <c r="T4" s="1" t="n">
        <f aca="false">COUNTIFS($J$2:$J$2000,"&lt;=15",$E$2:$E$2000,"&lt;=4")-SUM(T$2:T3,$M2:S4)</f>
        <v>2</v>
      </c>
      <c r="U4" s="1" t="n">
        <f aca="false">COUNTIFS($J$2:$J$2000,"&lt;=15",$E$2:$E$2000,"&lt;=4.5")-SUM(U$2:U3,$M2:T4)</f>
        <v>1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0</v>
      </c>
      <c r="X4" s="0" t="n">
        <f aca="false">SUM(M4:W4)</f>
        <v>33</v>
      </c>
      <c r="Y4" s="0" t="n">
        <f aca="false">SUM(X2:X13)</f>
        <v>333</v>
      </c>
    </row>
    <row r="5" customFormat="false" ht="15.8" hidden="false" customHeight="false" outlineLevel="0" collapsed="false">
      <c r="A5" s="1" t="n">
        <v>4</v>
      </c>
      <c r="B5" s="1" t="n">
        <v>49.3</v>
      </c>
      <c r="C5" s="1" t="n">
        <v>-69.4</v>
      </c>
      <c r="D5" s="1" t="n">
        <v>-10.6</v>
      </c>
      <c r="E5" s="2" t="n">
        <v>1.1</v>
      </c>
      <c r="F5" s="2" t="n">
        <v>3</v>
      </c>
      <c r="G5" s="2" t="n">
        <v>50.1</v>
      </c>
      <c r="H5" s="2" t="n">
        <v>-68.7</v>
      </c>
      <c r="I5" s="2" t="n">
        <v>-10.9</v>
      </c>
      <c r="J5" s="2" t="n">
        <v>11.63510086</v>
      </c>
      <c r="L5" s="3" t="n">
        <v>20</v>
      </c>
      <c r="M5" s="1" t="n">
        <f aca="false">COUNTIFS($J$2:$J$2000,"&lt;=20",$E$2:$E$2000,"&lt;=0.5")-SUM(M$2:M4)</f>
        <v>3</v>
      </c>
      <c r="N5" s="1" t="n">
        <f aca="false">COUNTIFS($J$2:$J$2000,"&lt;=20",$E$2:$E$2000,"&lt;=1")-SUM(N$2:N4,$M2:M5)</f>
        <v>3</v>
      </c>
      <c r="O5" s="1" t="n">
        <f aca="false">COUNTIFS($J$2:$J$2000,"&lt;=20",$E$2:$E$2000,"&lt;=1.5")-SUM(O$2:O4,$M2:N5)</f>
        <v>13</v>
      </c>
      <c r="P5" s="1" t="n">
        <f aca="false">COUNTIFS($J$2:$J$2000,"&lt;=20",$E$2:$E$2000,"&lt;=2")-SUM(P$2:P4,$M2:O5)</f>
        <v>12</v>
      </c>
      <c r="Q5" s="1" t="n">
        <f aca="false">COUNTIFS($J$2:$J$2000,"&lt;=20",$E$2:$E$2000,"&lt;=2.5")-SUM(Q$2:Q4,$M2:P5)</f>
        <v>5</v>
      </c>
      <c r="R5" s="1" t="n">
        <f aca="false">COUNTIFS($J$2:$J$2000,"&lt;=20",$E$2:$E$2000,"&lt;=3")-SUM(R$2:R4,$M2:Q5)</f>
        <v>1</v>
      </c>
      <c r="S5" s="1" t="n">
        <f aca="false">COUNTIFS($J$2:$J$2000,"&lt;=20",$E$2:$E$2000,"&lt;=3.5")-SUM(S$2:S4,$M2:R5)</f>
        <v>5</v>
      </c>
      <c r="T5" s="1" t="n">
        <f aca="false">COUNTIFS($J$2:$J$2000,"&lt;=20",$E$2:$E$2000,"&lt;=4")-SUM(T$2:T4,$M2:S5)</f>
        <v>1</v>
      </c>
      <c r="U5" s="1" t="n">
        <f aca="false">COUNTIFS($J$2:$J$2000,"&lt;=20",$E$2:$E$2000,"&lt;=4.5")-SUM(U$2:U4,$M2:T5)</f>
        <v>0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0</v>
      </c>
      <c r="X5" s="0" t="n">
        <f aca="false">SUM(M5:W5)</f>
        <v>43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47.9</v>
      </c>
      <c r="C6" s="1" t="n">
        <v>-67.4</v>
      </c>
      <c r="D6" s="1" t="n">
        <v>-9.9</v>
      </c>
      <c r="E6" s="2" t="n">
        <v>1.8</v>
      </c>
      <c r="F6" s="2" t="n">
        <v>6</v>
      </c>
      <c r="G6" s="2" t="n">
        <v>48.8</v>
      </c>
      <c r="H6" s="2" t="n">
        <v>-68.9</v>
      </c>
      <c r="I6" s="2" t="n">
        <v>-9.6</v>
      </c>
      <c r="J6" s="2" t="n">
        <v>11.51374709</v>
      </c>
      <c r="L6" s="3" t="n">
        <v>25</v>
      </c>
      <c r="M6" s="1" t="n">
        <f aca="false">COUNTIFS($J$2:$J$2000,"&lt;=25",$E$2:$E$2000,"&lt;=0.5")-SUM(M$2:M5)</f>
        <v>3</v>
      </c>
      <c r="N6" s="1" t="n">
        <f aca="false">COUNTIFS($J$2:$J$2000,"&lt;=25",$E$2:$E$2000,"&lt;=1")-SUM(N$2:N5,$M2:M6)</f>
        <v>2</v>
      </c>
      <c r="O6" s="1" t="n">
        <f aca="false">COUNTIFS($J$2:$J$2000,"&lt;=25",$E$2:$E$2000,"&lt;=1.5")-SUM(O$2:O5,$M2:N6)</f>
        <v>17</v>
      </c>
      <c r="P6" s="1" t="n">
        <f aca="false">COUNTIFS($J$2:$J$2000,"&lt;=25",$E$2:$E$2000,"&lt;=2")-SUM(P$2:P5,$M2:O6)</f>
        <v>14</v>
      </c>
      <c r="Q6" s="1" t="n">
        <f aca="false">COUNTIFS($J$2:$J$2000,"&lt;=25",$E$2:$E$2000,"&lt;=2.5")-SUM(Q$2:Q5,$M2:P6)</f>
        <v>5</v>
      </c>
      <c r="R6" s="1" t="n">
        <f aca="false">COUNTIFS($J$2:$J$2000,"&lt;=25",$E$2:$E$2000,"&lt;=3")-SUM(R$2:R5,$M2:Q6)</f>
        <v>2</v>
      </c>
      <c r="S6" s="1" t="n">
        <f aca="false">COUNTIFS($J$2:$J$2000,"&lt;=25",$E$2:$E$2000,"&lt;=3.5")-SUM(S$2:S5,$M2:R6)</f>
        <v>6</v>
      </c>
      <c r="T6" s="1" t="n">
        <f aca="false">COUNTIFS($J$2:$J$2000,"&lt;=25",$E$2:$E$2000,"&lt;=4")-SUM(T$2:T5,$M2:S6)</f>
        <v>0</v>
      </c>
      <c r="U6" s="1" t="n">
        <f aca="false">COUNTIFS($J$2:$J$2000,"&lt;=25",$E$2:$E$2000,"&lt;=4.5")-SUM(U$2:U5,$M2:T6)</f>
        <v>1</v>
      </c>
      <c r="V6" s="1" t="n">
        <f aca="false">COUNTIFS($J$2:$J$2000,"&lt;=25",$E$2:$E$2000,"&lt;=5")-SUM(V$2:V5,$M2:U6)</f>
        <v>0</v>
      </c>
      <c r="W6" s="1" t="n">
        <f aca="false">COUNTIFS($J$2:$J$2000,"&lt;=25",$E$2:$E$2000,"&gt;5")-SUM(W$2:W5)</f>
        <v>0</v>
      </c>
      <c r="X6" s="0" t="n">
        <f aca="false">SUM(M6:W6)</f>
        <v>50</v>
      </c>
      <c r="Y6" s="0" t="n">
        <f aca="false">SUM(M2:W13)</f>
        <v>333</v>
      </c>
    </row>
    <row r="7" customFormat="false" ht="15.8" hidden="false" customHeight="false" outlineLevel="0" collapsed="false">
      <c r="A7" s="1" t="n">
        <v>6</v>
      </c>
      <c r="B7" s="1" t="n">
        <v>48.8</v>
      </c>
      <c r="C7" s="1" t="n">
        <v>-68.9</v>
      </c>
      <c r="D7" s="1" t="n">
        <v>-9.6</v>
      </c>
      <c r="E7" s="2" t="n">
        <v>1.2</v>
      </c>
      <c r="F7" s="2" t="n">
        <v>4</v>
      </c>
      <c r="G7" s="2" t="n">
        <v>49.3</v>
      </c>
      <c r="H7" s="2" t="n">
        <v>-69.4</v>
      </c>
      <c r="I7" s="2" t="n">
        <v>-10.6</v>
      </c>
      <c r="J7" s="2" t="n">
        <v>11.69348417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10</v>
      </c>
      <c r="O7" s="1" t="n">
        <f aca="false">COUNTIFS($J$2:$J$2000,"&lt;=30",$E$2:$E$2000,"&lt;=1.5")-SUM(O$2:O6,$M2:N7)</f>
        <v>5</v>
      </c>
      <c r="P7" s="1" t="n">
        <f aca="false">COUNTIFS($J$2:$J$2000,"&lt;=30",$E$2:$E$2000,"&lt;=2")-SUM(P$2:P6,$M2:O7)</f>
        <v>18</v>
      </c>
      <c r="Q7" s="1" t="n">
        <f aca="false">COUNTIFS($J$2:$J$2000,"&lt;=30",$E$2:$E$2000,"&lt;=2.5")-SUM(Q$2:Q6,$M2:P7)</f>
        <v>6</v>
      </c>
      <c r="R7" s="1" t="n">
        <f aca="false">COUNTIFS($J$2:$J$2000,"&lt;=30",$E$2:$E$2000,"&lt;=3")-SUM(R$2:R6,$M2:Q7)</f>
        <v>3</v>
      </c>
      <c r="S7" s="1" t="n">
        <f aca="false">COUNTIFS($J$2:$J$2000,"&lt;=30",$E$2:$E$2000,"&lt;=3.5")-SUM(S$2:S6,$M2:R7)</f>
        <v>2</v>
      </c>
      <c r="T7" s="1" t="n">
        <f aca="false">COUNTIFS($J$2:$J$2000,"&lt;=30",$E$2:$E$2000,"&lt;=4")-SUM(T$2:T6,$M2:S7)</f>
        <v>2</v>
      </c>
      <c r="U7" s="1" t="n">
        <f aca="false">COUNTIFS($J$2:$J$2000,"&lt;=30",$E$2:$E$2000,"&lt;=4.5")-SUM(U$2:U6,$M2:T7)</f>
        <v>0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0</v>
      </c>
      <c r="X7" s="0" t="n">
        <f aca="false">SUM(M7:W7)</f>
        <v>46</v>
      </c>
    </row>
    <row r="8" customFormat="false" ht="15.8" hidden="false" customHeight="false" outlineLevel="0" collapsed="false">
      <c r="A8" s="1" t="n">
        <v>7</v>
      </c>
      <c r="B8" s="1" t="n">
        <v>46.5</v>
      </c>
      <c r="C8" s="1" t="n">
        <v>-69.3</v>
      </c>
      <c r="D8" s="1" t="n">
        <v>-8.9</v>
      </c>
      <c r="E8" s="2" t="n">
        <v>2.1</v>
      </c>
      <c r="F8" s="2" t="n">
        <v>17</v>
      </c>
      <c r="G8" s="2" t="n">
        <v>45.7</v>
      </c>
      <c r="H8" s="2" t="n">
        <v>-70.2</v>
      </c>
      <c r="I8" s="2" t="n">
        <v>-10.6</v>
      </c>
      <c r="J8" s="2" t="n">
        <v>13.80617152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2</v>
      </c>
      <c r="O8" s="1" t="n">
        <f aca="false">COUNTIFS($J$2:$J$2000,"&lt;=35",$E$2:$E$2000,"&lt;=1.5")-SUM(O$2:O7,$M2:N8)</f>
        <v>10</v>
      </c>
      <c r="P8" s="1" t="n">
        <f aca="false">COUNTIFS($J$2:$J$2000,"&lt;=35",$E$2:$E$2000,"&lt;=2")-SUM(P$2:P7,$M2:O8)</f>
        <v>8</v>
      </c>
      <c r="Q8" s="1" t="n">
        <f aca="false">COUNTIFS($J$2:$J$2000,"&lt;=35",$E$2:$E$2000,"&lt;=2.5")-SUM(Q$2:Q7,$M2:P8)</f>
        <v>6</v>
      </c>
      <c r="R8" s="1" t="n">
        <f aca="false">COUNTIFS($J$2:$J$2000,"&lt;=35",$E$2:$E$2000,"&lt;=3")-SUM(R$2:R7,$M2:Q8)</f>
        <v>1</v>
      </c>
      <c r="S8" s="1" t="n">
        <f aca="false">COUNTIFS($J$2:$J$2000,"&lt;=35",$E$2:$E$2000,"&lt;=3.5")-SUM(S$2:S7,$M2:R8)</f>
        <v>2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1</v>
      </c>
      <c r="X8" s="0" t="n">
        <f aca="false">SUM(M8:W8)</f>
        <v>30</v>
      </c>
    </row>
    <row r="9" customFormat="false" ht="15.8" hidden="false" customHeight="false" outlineLevel="0" collapsed="false">
      <c r="A9" s="1" t="n">
        <v>8</v>
      </c>
      <c r="B9" s="1" t="n">
        <v>48.1</v>
      </c>
      <c r="C9" s="1" t="n">
        <v>-63.7</v>
      </c>
      <c r="D9" s="1" t="n">
        <v>-11.9</v>
      </c>
      <c r="E9" s="2" t="n">
        <v>2</v>
      </c>
      <c r="F9" s="2" t="n">
        <v>9</v>
      </c>
      <c r="G9" s="2" t="n">
        <v>46.2</v>
      </c>
      <c r="H9" s="2" t="n">
        <v>-64.3</v>
      </c>
      <c r="I9" s="2" t="n">
        <v>-11.5</v>
      </c>
      <c r="J9" s="2" t="n">
        <v>9.964856848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2</v>
      </c>
      <c r="O9" s="1" t="n">
        <f aca="false">COUNTIFS($J$2:$J$2000,"&lt;=40",$E$2:$E$2000,"&lt;=1.5")-SUM(O$2:O8,$M2:N9)</f>
        <v>4</v>
      </c>
      <c r="P9" s="1" t="n">
        <f aca="false">COUNTIFS($J$2:$J$2000,"&lt;=40",$E$2:$E$2000,"&lt;=2")-SUM(P$2:P8,$M2:O9)</f>
        <v>10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3</v>
      </c>
      <c r="S9" s="1" t="n">
        <f aca="false">COUNTIFS($J$2:$J$2000,"&lt;=40",$E$2:$E$2000,"&lt;=3.5")-SUM(S$2:S8,$M2:R9)</f>
        <v>2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1</v>
      </c>
      <c r="X9" s="0" t="n">
        <f aca="false">SUM(M9:W9)</f>
        <v>23</v>
      </c>
    </row>
    <row r="10" customFormat="false" ht="15.8" hidden="false" customHeight="false" outlineLevel="0" collapsed="false">
      <c r="A10" s="1" t="n">
        <v>9</v>
      </c>
      <c r="B10" s="1" t="n">
        <v>46.2</v>
      </c>
      <c r="C10" s="1" t="n">
        <v>-64.3</v>
      </c>
      <c r="D10" s="1" t="n">
        <v>-11.5</v>
      </c>
      <c r="E10" s="2" t="n">
        <v>2</v>
      </c>
      <c r="F10" s="2" t="n">
        <v>8</v>
      </c>
      <c r="G10" s="2" t="n">
        <v>48.1</v>
      </c>
      <c r="H10" s="2" t="n">
        <v>-63.7</v>
      </c>
      <c r="I10" s="2" t="n">
        <v>-11.9</v>
      </c>
      <c r="J10" s="2" t="n">
        <v>11.89176068</v>
      </c>
      <c r="L10" s="3" t="n">
        <v>45</v>
      </c>
      <c r="M10" s="1" t="n">
        <f aca="false">COUNTIFS($J$2:$J$2000,"&lt;=45",$E$2:$E$2000,"&lt;=0.5")-SUM(M$2:M9)</f>
        <v>4</v>
      </c>
      <c r="N10" s="1" t="n">
        <f aca="false">COUNTIFS($J$2:$J$2000,"&lt;=45",$E$2:$E$2000,"&lt;=1")-SUM(N$2:N9,$M2:M10)</f>
        <v>10</v>
      </c>
      <c r="O10" s="1" t="n">
        <f aca="false">COUNTIFS($J$2:$J$2000,"&lt;=45",$E$2:$E$2000,"&lt;=1.5")-SUM(O$2:O9,$M2:N10)</f>
        <v>10</v>
      </c>
      <c r="P10" s="1" t="n">
        <f aca="false">COUNTIFS($J$2:$J$2000,"&lt;=45",$E$2:$E$2000,"&lt;=2")-SUM(P$2:P9,$M2:O10)</f>
        <v>4</v>
      </c>
      <c r="Q10" s="1" t="n">
        <f aca="false">COUNTIFS($J$2:$J$2000,"&lt;=45",$E$2:$E$2000,"&lt;=2.5")-SUM(Q$2:Q9,$M2:P10)</f>
        <v>8</v>
      </c>
      <c r="R10" s="1" t="n">
        <f aca="false">COUNTIFS($J$2:$J$2000,"&lt;=45",$E$2:$E$2000,"&lt;=3")-SUM(R$2:R9,$M2:Q10)</f>
        <v>4</v>
      </c>
      <c r="S10" s="1" t="n">
        <f aca="false">COUNTIFS($J$2:$J$2000,"&lt;=45",$E$2:$E$2000,"&lt;=3.5")-SUM(S$2:S9,$M2:R10)</f>
        <v>1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41</v>
      </c>
    </row>
    <row r="11" customFormat="false" ht="15.8" hidden="false" customHeight="false" outlineLevel="0" collapsed="false">
      <c r="A11" s="1" t="n">
        <v>10</v>
      </c>
      <c r="B11" s="1" t="n">
        <v>44.6</v>
      </c>
      <c r="C11" s="1" t="n">
        <v>-64.3</v>
      </c>
      <c r="D11" s="1" t="n">
        <v>-14.8</v>
      </c>
      <c r="E11" s="2" t="n">
        <v>3.7</v>
      </c>
      <c r="F11" s="2" t="n">
        <v>9</v>
      </c>
      <c r="G11" s="2" t="n">
        <v>46.2</v>
      </c>
      <c r="H11" s="2" t="n">
        <v>-64.3</v>
      </c>
      <c r="I11" s="2" t="n">
        <v>-11.5</v>
      </c>
      <c r="J11" s="2" t="n">
        <v>14.09904862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5</v>
      </c>
      <c r="P11" s="1" t="n">
        <f aca="false">COUNTIFS($J$2:$J$2000,"&lt;=50",$E$2:$E$2000,"&lt;=2")-SUM(P$2:P10,$M2:O11)</f>
        <v>4</v>
      </c>
      <c r="Q11" s="1" t="n">
        <f aca="false">COUNTIFS($J$2:$J$2000,"&lt;=50",$E$2:$E$2000,"&lt;=2.5")-SUM(Q$2:Q10,$M2:P11)</f>
        <v>5</v>
      </c>
      <c r="R11" s="1" t="n">
        <f aca="false">COUNTIFS($J$2:$J$2000,"&lt;=50",$E$2:$E$2000,"&lt;=3")-SUM(R$2:R10,$M2:Q11)</f>
        <v>2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1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17</v>
      </c>
    </row>
    <row r="12" customFormat="false" ht="15.8" hidden="false" customHeight="false" outlineLevel="0" collapsed="false">
      <c r="A12" s="1" t="n">
        <v>11</v>
      </c>
      <c r="B12" s="1" t="n">
        <v>40.6</v>
      </c>
      <c r="C12" s="1" t="n">
        <v>-63</v>
      </c>
      <c r="D12" s="1" t="n">
        <v>-16.5</v>
      </c>
      <c r="E12" s="2" t="n">
        <v>2.4</v>
      </c>
      <c r="F12" s="2" t="n">
        <v>12</v>
      </c>
      <c r="G12" s="2" t="n">
        <v>38.4</v>
      </c>
      <c r="H12" s="2" t="n">
        <v>-62.9</v>
      </c>
      <c r="I12" s="2" t="n">
        <v>-17.5</v>
      </c>
      <c r="J12" s="2" t="n">
        <v>18.19304186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4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2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2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8</v>
      </c>
    </row>
    <row r="13" customFormat="false" ht="15.8" hidden="false" customHeight="false" outlineLevel="0" collapsed="false">
      <c r="A13" s="1" t="n">
        <v>12</v>
      </c>
      <c r="B13" s="1" t="n">
        <v>38.4</v>
      </c>
      <c r="C13" s="1" t="n">
        <v>-62.9</v>
      </c>
      <c r="D13" s="1" t="n">
        <v>-17.5</v>
      </c>
      <c r="E13" s="2" t="n">
        <v>2.4</v>
      </c>
      <c r="F13" s="2" t="n">
        <v>11</v>
      </c>
      <c r="G13" s="2" t="n">
        <v>40.6</v>
      </c>
      <c r="H13" s="2" t="n">
        <v>-63</v>
      </c>
      <c r="I13" s="2" t="n">
        <v>-16.5</v>
      </c>
      <c r="J13" s="2" t="n">
        <v>20.58505215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2</v>
      </c>
      <c r="P13" s="1" t="n">
        <f aca="false">COUNTIFS($J$2:$J$2000,"&lt;=60",$E$2:$E$2000,"&lt;=2")-SUM(P$2:P12,$M2:O13)</f>
        <v>1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1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4</v>
      </c>
    </row>
    <row r="14" customFormat="false" ht="15.8" hidden="false" customHeight="false" outlineLevel="0" collapsed="false">
      <c r="A14" s="1" t="n">
        <v>13</v>
      </c>
      <c r="B14" s="1" t="n">
        <v>43.2</v>
      </c>
      <c r="C14" s="1" t="n">
        <v>-61</v>
      </c>
      <c r="D14" s="1" t="n">
        <v>-16.2</v>
      </c>
      <c r="E14" s="2" t="n">
        <v>3.3</v>
      </c>
      <c r="F14" s="2" t="n">
        <v>11</v>
      </c>
      <c r="G14" s="2" t="n">
        <v>40.6</v>
      </c>
      <c r="H14" s="2" t="n">
        <v>-63</v>
      </c>
      <c r="I14" s="2" t="n">
        <v>-16.5</v>
      </c>
      <c r="J14" s="2" t="n">
        <v>15.579139</v>
      </c>
    </row>
    <row r="15" customFormat="false" ht="15.8" hidden="false" customHeight="false" outlineLevel="0" collapsed="false">
      <c r="A15" s="1" t="n">
        <v>14</v>
      </c>
      <c r="B15" s="1" t="n">
        <v>47.4</v>
      </c>
      <c r="C15" s="1" t="n">
        <v>-61.1</v>
      </c>
      <c r="D15" s="1" t="n">
        <v>-17.5</v>
      </c>
      <c r="E15" s="2" t="n">
        <v>4.4</v>
      </c>
      <c r="F15" s="2" t="n">
        <v>13</v>
      </c>
      <c r="G15" s="2" t="n">
        <v>43.2</v>
      </c>
      <c r="H15" s="2" t="n">
        <v>-61</v>
      </c>
      <c r="I15" s="2" t="n">
        <v>-16.2</v>
      </c>
      <c r="J15" s="2" t="n">
        <v>12.47549486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46.4</v>
      </c>
      <c r="C16" s="1" t="n">
        <v>-66.4</v>
      </c>
      <c r="D16" s="1" t="n">
        <v>-10.9</v>
      </c>
      <c r="E16" s="2" t="n">
        <v>2</v>
      </c>
      <c r="F16" s="2" t="n">
        <v>5</v>
      </c>
      <c r="G16" s="2" t="n">
        <v>47.9</v>
      </c>
      <c r="H16" s="2" t="n">
        <v>-67.4</v>
      </c>
      <c r="I16" s="2" t="n">
        <v>-9.9</v>
      </c>
      <c r="J16" s="2" t="n">
        <v>12.36512725</v>
      </c>
      <c r="L16" s="3" t="n">
        <v>5</v>
      </c>
      <c r="M16" s="0" t="n">
        <f aca="false">M2*100/$Y$6</f>
        <v>0</v>
      </c>
      <c r="N16" s="0" t="n">
        <f aca="false">N2*100/$Y$6</f>
        <v>0.600600600600601</v>
      </c>
      <c r="O16" s="0" t="n">
        <f aca="false">O2*100/$Y$6</f>
        <v>0.3003003003003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0.3003003003003</v>
      </c>
      <c r="S16" s="0" t="n">
        <f aca="false">S2*100/$Y$6</f>
        <v>0</v>
      </c>
      <c r="T16" s="0" t="n">
        <f aca="false">T2*100/$Y$6</f>
        <v>0.3003003003003</v>
      </c>
      <c r="U16" s="0" t="n">
        <f aca="false">U2*100/$Y$6</f>
        <v>0</v>
      </c>
      <c r="V16" s="0" t="n">
        <f aca="false">V2*100/$Y$6</f>
        <v>0.3003003003003</v>
      </c>
      <c r="W16" s="0" t="n">
        <f aca="false">W2*100/$Y$6</f>
        <v>0</v>
      </c>
      <c r="X16" s="0" t="n">
        <f aca="false">SUM(M16:W16)</f>
        <v>1.8018018018018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44.9</v>
      </c>
      <c r="C17" s="1" t="n">
        <v>-67.8</v>
      </c>
      <c r="D17" s="1" t="n">
        <v>-11.5</v>
      </c>
      <c r="E17" s="2" t="n">
        <v>2</v>
      </c>
      <c r="F17" s="2" t="n">
        <v>15</v>
      </c>
      <c r="G17" s="2" t="n">
        <v>46.4</v>
      </c>
      <c r="H17" s="2" t="n">
        <v>-66.4</v>
      </c>
      <c r="I17" s="2" t="n">
        <v>-10.9</v>
      </c>
      <c r="J17" s="2" t="n">
        <v>14.35609877</v>
      </c>
      <c r="L17" s="3" t="n">
        <v>10</v>
      </c>
      <c r="M17" s="0" t="n">
        <f aca="false">M3*100/$Y$6</f>
        <v>0</v>
      </c>
      <c r="N17" s="0" t="n">
        <f aca="false">N3*100/$Y$6</f>
        <v>1.2012012012012</v>
      </c>
      <c r="O17" s="0" t="n">
        <f aca="false">O3*100/$Y$6</f>
        <v>2.1021021021021</v>
      </c>
      <c r="P17" s="0" t="n">
        <f aca="false">P3*100/$Y$6</f>
        <v>2.1021021021021</v>
      </c>
      <c r="Q17" s="0" t="n">
        <f aca="false">Q3*100/$Y$6</f>
        <v>2.1021021021021</v>
      </c>
      <c r="R17" s="0" t="n">
        <f aca="false">R3*100/$Y$6</f>
        <v>0.3003003003003</v>
      </c>
      <c r="S17" s="0" t="n">
        <f aca="false">S3*100/$Y$6</f>
        <v>0.600600600600601</v>
      </c>
      <c r="T17" s="0" t="n">
        <f aca="false">T3*100/$Y$6</f>
        <v>0.600600600600601</v>
      </c>
      <c r="U17" s="0" t="n">
        <f aca="false">U3*100/$Y$6</f>
        <v>0.3003003003003</v>
      </c>
      <c r="V17" s="0" t="n">
        <f aca="false">V3*100/$Y$6</f>
        <v>0</v>
      </c>
      <c r="W17" s="0" t="n">
        <f aca="false">W3*100/$Y$6</f>
        <v>0.3003003003003</v>
      </c>
      <c r="X17" s="0" t="n">
        <f aca="false">SUM(M17:W17)</f>
        <v>9.60960960960961</v>
      </c>
    </row>
    <row r="18" customFormat="false" ht="15.8" hidden="false" customHeight="false" outlineLevel="0" collapsed="false">
      <c r="A18" s="1" t="n">
        <v>17</v>
      </c>
      <c r="B18" s="1" t="n">
        <v>45.7</v>
      </c>
      <c r="C18" s="1" t="n">
        <v>-70.2</v>
      </c>
      <c r="D18" s="1" t="n">
        <v>-10.6</v>
      </c>
      <c r="E18" s="2" t="n">
        <v>2.1</v>
      </c>
      <c r="F18" s="2" t="n">
        <v>7</v>
      </c>
      <c r="G18" s="2" t="n">
        <v>46.5</v>
      </c>
      <c r="H18" s="2" t="n">
        <v>-69.3</v>
      </c>
      <c r="I18" s="2" t="n">
        <v>-8.9</v>
      </c>
      <c r="J18" s="2" t="n">
        <v>14.90265654</v>
      </c>
      <c r="L18" s="3" t="n">
        <v>15</v>
      </c>
      <c r="M18" s="0" t="n">
        <f aca="false">M4*100/$Y$6</f>
        <v>0</v>
      </c>
      <c r="N18" s="0" t="n">
        <f aca="false">N4*100/$Y$6</f>
        <v>1.5015015015015</v>
      </c>
      <c r="O18" s="0" t="n">
        <f aca="false">O4*100/$Y$6</f>
        <v>3.003003003003</v>
      </c>
      <c r="P18" s="0" t="n">
        <f aca="false">P4*100/$Y$6</f>
        <v>2.1021021021021</v>
      </c>
      <c r="Q18" s="0" t="n">
        <f aca="false">Q4*100/$Y$6</f>
        <v>2.1021021021021</v>
      </c>
      <c r="R18" s="0" t="n">
        <f aca="false">R4*100/$Y$6</f>
        <v>0</v>
      </c>
      <c r="S18" s="0" t="n">
        <f aca="false">S4*100/$Y$6</f>
        <v>0.3003003003003</v>
      </c>
      <c r="T18" s="0" t="n">
        <f aca="false">T4*100/$Y$6</f>
        <v>0.600600600600601</v>
      </c>
      <c r="U18" s="0" t="n">
        <f aca="false">U4*100/$Y$6</f>
        <v>0.3003003003003</v>
      </c>
      <c r="V18" s="0" t="n">
        <f aca="false">V4*100/$Y$6</f>
        <v>0</v>
      </c>
      <c r="W18" s="0" t="n">
        <f aca="false">W4*100/$Y$6</f>
        <v>0</v>
      </c>
      <c r="X18" s="0" t="n">
        <f aca="false">SUM(M18:W18)</f>
        <v>9.90990990990991</v>
      </c>
    </row>
    <row r="19" customFormat="false" ht="15.8" hidden="false" customHeight="false" outlineLevel="0" collapsed="false">
      <c r="A19" s="1" t="n">
        <v>18</v>
      </c>
      <c r="B19" s="1" t="n">
        <v>43.1</v>
      </c>
      <c r="C19" s="1" t="n">
        <v>-78.9</v>
      </c>
      <c r="D19" s="1" t="n">
        <v>-12.2</v>
      </c>
      <c r="E19" s="2" t="n">
        <v>1.9</v>
      </c>
      <c r="F19" s="2" t="n">
        <v>19</v>
      </c>
      <c r="G19" s="2" t="n">
        <v>43.7</v>
      </c>
      <c r="H19" s="2" t="n">
        <v>-80.7</v>
      </c>
      <c r="I19" s="2" t="n">
        <v>-12.5</v>
      </c>
      <c r="J19" s="2" t="n">
        <v>22.90558823</v>
      </c>
      <c r="L19" s="3" t="n">
        <v>20</v>
      </c>
      <c r="M19" s="0" t="n">
        <f aca="false">M5*100/$Y$6</f>
        <v>0.900900900900901</v>
      </c>
      <c r="N19" s="0" t="n">
        <f aca="false">N5*100/$Y$6</f>
        <v>0.900900900900901</v>
      </c>
      <c r="O19" s="0" t="n">
        <f aca="false">O5*100/$Y$6</f>
        <v>3.9039039039039</v>
      </c>
      <c r="P19" s="0" t="n">
        <f aca="false">P5*100/$Y$6</f>
        <v>3.6036036036036</v>
      </c>
      <c r="Q19" s="0" t="n">
        <f aca="false">Q5*100/$Y$6</f>
        <v>1.5015015015015</v>
      </c>
      <c r="R19" s="0" t="n">
        <f aca="false">R5*100/$Y$6</f>
        <v>0.3003003003003</v>
      </c>
      <c r="S19" s="0" t="n">
        <f aca="false">S5*100/$Y$6</f>
        <v>1.5015015015015</v>
      </c>
      <c r="T19" s="0" t="n">
        <f aca="false">T5*100/$Y$6</f>
        <v>0.3003003003003</v>
      </c>
      <c r="U19" s="0" t="n">
        <f aca="false">U5*100/$Y$6</f>
        <v>0</v>
      </c>
      <c r="V19" s="0" t="n">
        <f aca="false">V5*100/$Y$6</f>
        <v>0</v>
      </c>
      <c r="W19" s="0" t="n">
        <f aca="false">W5*100/$Y$6</f>
        <v>0</v>
      </c>
      <c r="X19" s="0" t="n">
        <f aca="false">SUM(M19:W19)</f>
        <v>12.9129129129129</v>
      </c>
    </row>
    <row r="20" customFormat="false" ht="15.8" hidden="false" customHeight="false" outlineLevel="0" collapsed="false">
      <c r="A20" s="1" t="n">
        <v>19</v>
      </c>
      <c r="B20" s="1" t="n">
        <v>43.7</v>
      </c>
      <c r="C20" s="1" t="n">
        <v>-80.7</v>
      </c>
      <c r="D20" s="1" t="n">
        <v>-12.5</v>
      </c>
      <c r="E20" s="2" t="n">
        <v>0.5</v>
      </c>
      <c r="F20" s="2" t="n">
        <v>20</v>
      </c>
      <c r="G20" s="2" t="n">
        <v>43.5</v>
      </c>
      <c r="H20" s="2" t="n">
        <v>-81</v>
      </c>
      <c r="I20" s="2" t="n">
        <v>-12.9</v>
      </c>
      <c r="J20" s="2" t="n">
        <v>23.98556174</v>
      </c>
      <c r="L20" s="3" t="n">
        <v>25</v>
      </c>
      <c r="M20" s="0" t="n">
        <f aca="false">M6*100/$Y$6</f>
        <v>0.900900900900901</v>
      </c>
      <c r="N20" s="0" t="n">
        <f aca="false">N6*100/$Y$6</f>
        <v>0.600600600600601</v>
      </c>
      <c r="O20" s="0" t="n">
        <f aca="false">O6*100/$Y$6</f>
        <v>5.10510510510511</v>
      </c>
      <c r="P20" s="0" t="n">
        <f aca="false">P6*100/$Y$6</f>
        <v>4.2042042042042</v>
      </c>
      <c r="Q20" s="0" t="n">
        <f aca="false">Q6*100/$Y$6</f>
        <v>1.5015015015015</v>
      </c>
      <c r="R20" s="0" t="n">
        <f aca="false">R6*100/$Y$6</f>
        <v>0.600600600600601</v>
      </c>
      <c r="S20" s="0" t="n">
        <f aca="false">S6*100/$Y$6</f>
        <v>1.8018018018018</v>
      </c>
      <c r="T20" s="0" t="n">
        <f aca="false">T6*100/$Y$6</f>
        <v>0</v>
      </c>
      <c r="U20" s="0" t="n">
        <f aca="false">U6*100/$Y$6</f>
        <v>0.3003003003003</v>
      </c>
      <c r="V20" s="0" t="n">
        <f aca="false">V6*100/$Y$6</f>
        <v>0</v>
      </c>
      <c r="W20" s="0" t="n">
        <f aca="false">W6*100/$Y$6</f>
        <v>0</v>
      </c>
      <c r="X20" s="0" t="n">
        <f aca="false">SUM(M20:W20)</f>
        <v>15.015015015015</v>
      </c>
    </row>
    <row r="21" customFormat="false" ht="15.8" hidden="false" customHeight="false" outlineLevel="0" collapsed="false">
      <c r="A21" s="1" t="n">
        <v>20</v>
      </c>
      <c r="B21" s="1" t="n">
        <v>43.5</v>
      </c>
      <c r="C21" s="1" t="n">
        <v>-81</v>
      </c>
      <c r="D21" s="1" t="n">
        <v>-12.9</v>
      </c>
      <c r="E21" s="2" t="n">
        <v>0.5</v>
      </c>
      <c r="F21" s="2" t="n">
        <v>19</v>
      </c>
      <c r="G21" s="2" t="n">
        <v>43.7</v>
      </c>
      <c r="H21" s="2" t="n">
        <v>-80.7</v>
      </c>
      <c r="I21" s="2" t="n">
        <v>-12.5</v>
      </c>
      <c r="J21" s="2" t="n">
        <v>24.38228808</v>
      </c>
      <c r="L21" s="3" t="n">
        <v>30</v>
      </c>
      <c r="M21" s="0" t="n">
        <f aca="false">M7*100/$Y$6</f>
        <v>0</v>
      </c>
      <c r="N21" s="0" t="n">
        <f aca="false">N7*100/$Y$6</f>
        <v>3.003003003003</v>
      </c>
      <c r="O21" s="0" t="n">
        <f aca="false">O7*100/$Y$6</f>
        <v>1.5015015015015</v>
      </c>
      <c r="P21" s="0" t="n">
        <f aca="false">P7*100/$Y$6</f>
        <v>5.40540540540541</v>
      </c>
      <c r="Q21" s="0" t="n">
        <f aca="false">Q7*100/$Y$6</f>
        <v>1.8018018018018</v>
      </c>
      <c r="R21" s="0" t="n">
        <f aca="false">R7*100/$Y$6</f>
        <v>0.900900900900901</v>
      </c>
      <c r="S21" s="0" t="n">
        <f aca="false">S7*100/$Y$6</f>
        <v>0.600600600600601</v>
      </c>
      <c r="T21" s="0" t="n">
        <f aca="false">T7*100/$Y$6</f>
        <v>0.600600600600601</v>
      </c>
      <c r="U21" s="0" t="n">
        <f aca="false">U7*100/$Y$6</f>
        <v>0</v>
      </c>
      <c r="V21" s="0" t="n">
        <f aca="false">V7*100/$Y$6</f>
        <v>0</v>
      </c>
      <c r="W21" s="0" t="n">
        <f aca="false">W7*100/$Y$6</f>
        <v>0</v>
      </c>
      <c r="X21" s="0" t="n">
        <f aca="false">SUM(M21:W21)</f>
        <v>13.8138138138138</v>
      </c>
    </row>
    <row r="22" customFormat="false" ht="15.8" hidden="false" customHeight="false" outlineLevel="0" collapsed="false">
      <c r="A22" s="1" t="n">
        <v>21</v>
      </c>
      <c r="B22" s="1" t="n">
        <v>35.6</v>
      </c>
      <c r="C22" s="1" t="n">
        <v>-68.1</v>
      </c>
      <c r="D22" s="1" t="n">
        <v>-10.6</v>
      </c>
      <c r="E22" s="2" t="n">
        <v>3.1</v>
      </c>
      <c r="F22" s="2" t="n">
        <v>41</v>
      </c>
      <c r="G22" s="2" t="n">
        <v>37.2</v>
      </c>
      <c r="H22" s="2" t="n">
        <v>-70.7</v>
      </c>
      <c r="I22" s="2" t="n">
        <v>-10.2</v>
      </c>
      <c r="J22" s="2" t="n">
        <v>23.07954878</v>
      </c>
      <c r="L22" s="3" t="n">
        <v>35</v>
      </c>
      <c r="M22" s="0" t="n">
        <f aca="false">M8*100/$Y$6</f>
        <v>0</v>
      </c>
      <c r="N22" s="0" t="n">
        <f aca="false">N8*100/$Y$6</f>
        <v>0.600600600600601</v>
      </c>
      <c r="O22" s="0" t="n">
        <f aca="false">O8*100/$Y$6</f>
        <v>3.003003003003</v>
      </c>
      <c r="P22" s="0" t="n">
        <f aca="false">P8*100/$Y$6</f>
        <v>2.4024024024024</v>
      </c>
      <c r="Q22" s="0" t="n">
        <f aca="false">Q8*100/$Y$6</f>
        <v>1.8018018018018</v>
      </c>
      <c r="R22" s="0" t="n">
        <f aca="false">R8*100/$Y$6</f>
        <v>0.3003003003003</v>
      </c>
      <c r="S22" s="0" t="n">
        <f aca="false">S8*100/$Y$6</f>
        <v>0.600600600600601</v>
      </c>
      <c r="T22" s="0" t="n">
        <f aca="false">T8*100/$Y$6</f>
        <v>0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0.3003003003003</v>
      </c>
      <c r="X22" s="0" t="n">
        <f aca="false">SUM(M22:W22)</f>
        <v>9.00900900900901</v>
      </c>
    </row>
    <row r="23" customFormat="false" ht="15.8" hidden="false" customHeight="false" outlineLevel="0" collapsed="false">
      <c r="A23" s="1" t="n">
        <v>22</v>
      </c>
      <c r="B23" s="1" t="n">
        <v>30.5</v>
      </c>
      <c r="C23" s="1" t="n">
        <v>-68.9</v>
      </c>
      <c r="D23" s="1" t="n">
        <v>-10.2</v>
      </c>
      <c r="E23" s="2" t="n">
        <v>1.7</v>
      </c>
      <c r="F23" s="2" t="n">
        <v>27</v>
      </c>
      <c r="G23" s="2" t="n">
        <v>32.1</v>
      </c>
      <c r="H23" s="2" t="n">
        <v>-68.6</v>
      </c>
      <c r="I23" s="2" t="n">
        <v>-9.6</v>
      </c>
      <c r="J23" s="2" t="n">
        <v>28.19853138</v>
      </c>
      <c r="L23" s="3" t="n">
        <v>40</v>
      </c>
      <c r="M23" s="0" t="n">
        <f aca="false">M9*100/$Y$6</f>
        <v>0</v>
      </c>
      <c r="N23" s="0" t="n">
        <f aca="false">N9*100/$Y$6</f>
        <v>0.600600600600601</v>
      </c>
      <c r="O23" s="0" t="n">
        <f aca="false">O9*100/$Y$6</f>
        <v>1.2012012012012</v>
      </c>
      <c r="P23" s="0" t="n">
        <f aca="false">P9*100/$Y$6</f>
        <v>3.003003003003</v>
      </c>
      <c r="Q23" s="0" t="n">
        <f aca="false">Q9*100/$Y$6</f>
        <v>0.3003003003003</v>
      </c>
      <c r="R23" s="0" t="n">
        <f aca="false">R9*100/$Y$6</f>
        <v>0.900900900900901</v>
      </c>
      <c r="S23" s="0" t="n">
        <f aca="false">S9*100/$Y$6</f>
        <v>0.600600600600601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0.3003003003003</v>
      </c>
      <c r="X23" s="0" t="n">
        <f aca="false">SUM(M23:W23)</f>
        <v>6.90690690690691</v>
      </c>
    </row>
    <row r="24" customFormat="false" ht="15.8" hidden="false" customHeight="false" outlineLevel="0" collapsed="false">
      <c r="A24" s="1" t="n">
        <v>23</v>
      </c>
      <c r="B24" s="1" t="n">
        <v>33.1</v>
      </c>
      <c r="C24" s="1" t="n">
        <v>-66.3</v>
      </c>
      <c r="D24" s="1" t="n">
        <v>-11.9</v>
      </c>
      <c r="E24" s="2" t="n">
        <v>1.9</v>
      </c>
      <c r="F24" s="2" t="n">
        <v>26</v>
      </c>
      <c r="G24" s="2" t="n">
        <v>32.7</v>
      </c>
      <c r="H24" s="2" t="n">
        <v>-68</v>
      </c>
      <c r="I24" s="2" t="n">
        <v>-12.5</v>
      </c>
      <c r="J24" s="2" t="n">
        <v>25.10352907</v>
      </c>
      <c r="L24" s="3" t="n">
        <v>45</v>
      </c>
      <c r="M24" s="0" t="n">
        <f aca="false">M10*100/$Y$6</f>
        <v>1.2012012012012</v>
      </c>
      <c r="N24" s="0" t="n">
        <f aca="false">N10*100/$Y$6</f>
        <v>3.003003003003</v>
      </c>
      <c r="O24" s="0" t="n">
        <f aca="false">O10*100/$Y$6</f>
        <v>3.003003003003</v>
      </c>
      <c r="P24" s="0" t="n">
        <f aca="false">P10*100/$Y$6</f>
        <v>1.2012012012012</v>
      </c>
      <c r="Q24" s="0" t="n">
        <f aca="false">Q10*100/$Y$6</f>
        <v>2.4024024024024</v>
      </c>
      <c r="R24" s="0" t="n">
        <f aca="false">R10*100/$Y$6</f>
        <v>1.2012012012012</v>
      </c>
      <c r="S24" s="0" t="n">
        <f aca="false">S10*100/$Y$6</f>
        <v>0.3003003003003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12.3123123123123</v>
      </c>
    </row>
    <row r="25" customFormat="false" ht="15.8" hidden="false" customHeight="false" outlineLevel="0" collapsed="false">
      <c r="A25" s="1" t="n">
        <v>24</v>
      </c>
      <c r="B25" s="1" t="n">
        <v>29.9</v>
      </c>
      <c r="C25" s="1" t="n">
        <v>-65.4</v>
      </c>
      <c r="D25" s="1" t="n">
        <v>-11.5</v>
      </c>
      <c r="E25" s="2" t="n">
        <v>1.9</v>
      </c>
      <c r="F25" s="2" t="n">
        <v>25</v>
      </c>
      <c r="G25" s="2" t="n">
        <v>29.3</v>
      </c>
      <c r="H25" s="2" t="n">
        <v>-67.2</v>
      </c>
      <c r="I25" s="2" t="n">
        <v>-11.5</v>
      </c>
      <c r="J25" s="2" t="n">
        <v>28.07786267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1.5015015015015</v>
      </c>
      <c r="P25" s="0" t="n">
        <f aca="false">P11*100/$Y$6</f>
        <v>1.2012012012012</v>
      </c>
      <c r="Q25" s="0" t="n">
        <f aca="false">Q11*100/$Y$6</f>
        <v>1.5015015015015</v>
      </c>
      <c r="R25" s="0" t="n">
        <f aca="false">R11*100/$Y$6</f>
        <v>0.600600600600601</v>
      </c>
      <c r="S25" s="0" t="n">
        <f aca="false">S11*100/$Y$6</f>
        <v>0</v>
      </c>
      <c r="T25" s="0" t="n">
        <f aca="false">T11*100/$Y$6</f>
        <v>0.3003003003003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5.10510510510511</v>
      </c>
    </row>
    <row r="26" customFormat="false" ht="15.8" hidden="false" customHeight="false" outlineLevel="0" collapsed="false">
      <c r="A26" s="1" t="n">
        <v>25</v>
      </c>
      <c r="B26" s="1" t="n">
        <v>29.3</v>
      </c>
      <c r="C26" s="1" t="n">
        <v>-67.2</v>
      </c>
      <c r="D26" s="1" t="n">
        <v>-11.5</v>
      </c>
      <c r="E26" s="2" t="n">
        <v>1.9</v>
      </c>
      <c r="F26" s="2" t="n">
        <v>24</v>
      </c>
      <c r="G26" s="2" t="n">
        <v>29.9</v>
      </c>
      <c r="H26" s="2" t="n">
        <v>-65.4</v>
      </c>
      <c r="I26" s="2" t="n">
        <v>-11.5</v>
      </c>
      <c r="J26" s="2" t="n">
        <v>28.98296003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1.2012012012012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0.600600600600601</v>
      </c>
      <c r="S26" s="0" t="n">
        <f aca="false">S12*100/$Y$6</f>
        <v>0</v>
      </c>
      <c r="T26" s="0" t="n">
        <f aca="false">T12*100/$Y$6</f>
        <v>0.600600600600601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2.4024024024024</v>
      </c>
    </row>
    <row r="27" customFormat="false" ht="15.8" hidden="false" customHeight="false" outlineLevel="0" collapsed="false">
      <c r="A27" s="1" t="n">
        <v>26</v>
      </c>
      <c r="B27" s="1" t="n">
        <v>32.7</v>
      </c>
      <c r="C27" s="1" t="n">
        <v>-68</v>
      </c>
      <c r="D27" s="1" t="n">
        <v>-12.5</v>
      </c>
      <c r="E27" s="2" t="n">
        <v>1.9</v>
      </c>
      <c r="F27" s="2" t="n">
        <v>23</v>
      </c>
      <c r="G27" s="2" t="n">
        <v>33.1</v>
      </c>
      <c r="H27" s="2" t="n">
        <v>-66.3</v>
      </c>
      <c r="I27" s="2" t="n">
        <v>-11.9</v>
      </c>
      <c r="J27" s="2" t="n">
        <v>25.92337887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0.600600600600601</v>
      </c>
      <c r="P27" s="0" t="n">
        <f aca="false">P13*100/$Y$6</f>
        <v>0.3003003003003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0.3003003003003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1.2012012012012</v>
      </c>
    </row>
    <row r="28" customFormat="false" ht="15.8" hidden="false" customHeight="false" outlineLevel="0" collapsed="false">
      <c r="A28" s="1" t="n">
        <v>27</v>
      </c>
      <c r="B28" s="1" t="n">
        <v>32.1</v>
      </c>
      <c r="C28" s="1" t="n">
        <v>-68.6</v>
      </c>
      <c r="D28" s="1" t="n">
        <v>-9.6</v>
      </c>
      <c r="E28" s="2" t="n">
        <v>1.7</v>
      </c>
      <c r="F28" s="2" t="n">
        <v>22</v>
      </c>
      <c r="G28" s="2" t="n">
        <v>30.5</v>
      </c>
      <c r="H28" s="2" t="n">
        <v>-68.9</v>
      </c>
      <c r="I28" s="2" t="n">
        <v>-10.2</v>
      </c>
      <c r="J28" s="2" t="n">
        <v>26.58856092</v>
      </c>
    </row>
    <row r="29" customFormat="false" ht="15.8" hidden="false" customHeight="false" outlineLevel="0" collapsed="false">
      <c r="A29" s="1" t="n">
        <v>28</v>
      </c>
      <c r="B29" s="1" t="n">
        <v>28.8</v>
      </c>
      <c r="C29" s="1" t="n">
        <v>-68.6</v>
      </c>
      <c r="D29" s="1" t="n">
        <v>-9.2</v>
      </c>
      <c r="E29" s="2" t="n">
        <v>2</v>
      </c>
      <c r="F29" s="2" t="n">
        <v>22</v>
      </c>
      <c r="G29" s="2" t="n">
        <v>30.5</v>
      </c>
      <c r="H29" s="2" t="n">
        <v>-68.9</v>
      </c>
      <c r="I29" s="2" t="n">
        <v>-10.2</v>
      </c>
      <c r="J29" s="2" t="n">
        <v>29.78776883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19.3</v>
      </c>
      <c r="C30" s="1" t="n">
        <v>-68.5</v>
      </c>
      <c r="D30" s="1" t="n">
        <v>-7.3</v>
      </c>
      <c r="E30" s="2" t="n">
        <v>1.6</v>
      </c>
      <c r="F30" s="2" t="n">
        <v>30</v>
      </c>
      <c r="G30" s="2" t="n">
        <v>18.6</v>
      </c>
      <c r="H30" s="2" t="n">
        <v>-67.1</v>
      </c>
      <c r="I30" s="2" t="n">
        <v>-6.9</v>
      </c>
      <c r="J30" s="2" t="n">
        <v>39.14775054</v>
      </c>
      <c r="L30" s="3" t="n">
        <v>5</v>
      </c>
      <c r="M30" s="0" t="n">
        <f aca="false">M2/(SUM($M2:$W2))*100</f>
        <v>0</v>
      </c>
      <c r="N30" s="0" t="n">
        <f aca="false">N2/(SUM($M2:$W2))*100</f>
        <v>33.3333333333333</v>
      </c>
      <c r="O30" s="0" t="n">
        <f aca="false">O2/(SUM($M2:$W2))*100</f>
        <v>16.6666666666667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16.6666666666667</v>
      </c>
      <c r="S30" s="0" t="n">
        <f aca="false">S2/(SUM($M2:$W2))*100</f>
        <v>0</v>
      </c>
      <c r="T30" s="0" t="n">
        <f aca="false">T2/(SUM($M2:$W2))*100</f>
        <v>16.6666666666667</v>
      </c>
      <c r="U30" s="0" t="n">
        <f aca="false">U2/(SUM($M2:$W2))*100</f>
        <v>0</v>
      </c>
      <c r="V30" s="0" t="n">
        <f aca="false">V2/(SUM($M2:$W2))*100</f>
        <v>16.6666666666667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18.6</v>
      </c>
      <c r="C31" s="1" t="n">
        <v>-67.1</v>
      </c>
      <c r="D31" s="1" t="n">
        <v>-6.9</v>
      </c>
      <c r="E31" s="2" t="n">
        <v>1.6</v>
      </c>
      <c r="F31" s="2" t="n">
        <v>29</v>
      </c>
      <c r="G31" s="2" t="n">
        <v>19.3</v>
      </c>
      <c r="H31" s="2" t="n">
        <v>-68.5</v>
      </c>
      <c r="I31" s="2" t="n">
        <v>-7.3</v>
      </c>
      <c r="J31" s="2" t="n">
        <v>39.63825894</v>
      </c>
      <c r="L31" s="3" t="n">
        <v>10</v>
      </c>
      <c r="M31" s="0" t="n">
        <f aca="false">M3/(SUM($M3:$W3))*100</f>
        <v>0</v>
      </c>
      <c r="N31" s="0" t="n">
        <f aca="false">N3/(SUM($M3:$W3))*100</f>
        <v>12.5</v>
      </c>
      <c r="O31" s="0" t="n">
        <f aca="false">O3/(SUM($M3:$W3))*100</f>
        <v>21.875</v>
      </c>
      <c r="P31" s="0" t="n">
        <f aca="false">P3/(SUM($M3:$W3))*100</f>
        <v>21.875</v>
      </c>
      <c r="Q31" s="0" t="n">
        <f aca="false">Q3/(SUM($M3:$W3))*100</f>
        <v>21.875</v>
      </c>
      <c r="R31" s="0" t="n">
        <f aca="false">R3/(SUM($M3:$W3))*100</f>
        <v>3.125</v>
      </c>
      <c r="S31" s="0" t="n">
        <f aca="false">S3/(SUM($M3:$W3))*100</f>
        <v>6.25</v>
      </c>
      <c r="T31" s="0" t="n">
        <f aca="false">T3/(SUM($M3:$W3))*100</f>
        <v>6.25</v>
      </c>
      <c r="U31" s="0" t="n">
        <f aca="false">U3/(SUM($M3:$W3))*100</f>
        <v>3.125</v>
      </c>
      <c r="V31" s="0" t="n">
        <f aca="false">V3/(SUM($M3:$W3))*100</f>
        <v>0</v>
      </c>
      <c r="W31" s="0" t="n">
        <f aca="false">W3/(SUM($M3:$W3))*100</f>
        <v>3.125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17.1</v>
      </c>
      <c r="C32" s="1" t="n">
        <v>-67.1</v>
      </c>
      <c r="D32" s="1" t="n">
        <v>-6.3</v>
      </c>
      <c r="E32" s="2" t="n">
        <v>0.8</v>
      </c>
      <c r="F32" s="2" t="n">
        <v>32</v>
      </c>
      <c r="G32" s="2" t="n">
        <v>16.4</v>
      </c>
      <c r="H32" s="2" t="n">
        <v>-66.9</v>
      </c>
      <c r="I32" s="2" t="n">
        <v>-5.9</v>
      </c>
      <c r="J32" s="2" t="n">
        <v>41.17243704</v>
      </c>
      <c r="L32" s="3" t="n">
        <v>15</v>
      </c>
      <c r="M32" s="0" t="n">
        <f aca="false">M4/(SUM($M4:$W4))*100</f>
        <v>0</v>
      </c>
      <c r="N32" s="0" t="n">
        <f aca="false">N4/(SUM($M4:$W4))*100</f>
        <v>15.1515151515152</v>
      </c>
      <c r="O32" s="0" t="n">
        <f aca="false">O4/(SUM($M4:$W4))*100</f>
        <v>30.3030303030303</v>
      </c>
      <c r="P32" s="0" t="n">
        <f aca="false">P4/(SUM($M4:$W4))*100</f>
        <v>21.2121212121212</v>
      </c>
      <c r="Q32" s="0" t="n">
        <f aca="false">Q4/(SUM($M4:$W4))*100</f>
        <v>21.2121212121212</v>
      </c>
      <c r="R32" s="0" t="n">
        <f aca="false">R4/(SUM($M4:$W4))*100</f>
        <v>0</v>
      </c>
      <c r="S32" s="0" t="n">
        <f aca="false">S4/(SUM($M4:$W4))*100</f>
        <v>3.03030303030303</v>
      </c>
      <c r="T32" s="0" t="n">
        <f aca="false">T4/(SUM($M4:$W4))*100</f>
        <v>6.06060606060606</v>
      </c>
      <c r="U32" s="0" t="n">
        <f aca="false">U4/(SUM($M4:$W4))*100</f>
        <v>3.03030303030303</v>
      </c>
      <c r="V32" s="0" t="n">
        <f aca="false">V4/(SUM($M4:$W4))*100</f>
        <v>0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16.4</v>
      </c>
      <c r="C33" s="1" t="n">
        <v>-66.9</v>
      </c>
      <c r="D33" s="1" t="n">
        <v>-5.9</v>
      </c>
      <c r="E33" s="2" t="n">
        <v>0.8</v>
      </c>
      <c r="F33" s="2" t="n">
        <v>31</v>
      </c>
      <c r="G33" s="2" t="n">
        <v>17.1</v>
      </c>
      <c r="H33" s="2" t="n">
        <v>-67.1</v>
      </c>
      <c r="I33" s="2" t="n">
        <v>-6.3</v>
      </c>
      <c r="J33" s="2" t="n">
        <v>41.87601189</v>
      </c>
      <c r="L33" s="3" t="n">
        <v>20</v>
      </c>
      <c r="M33" s="0" t="n">
        <f aca="false">M5/(SUM($M5:$W5))*100</f>
        <v>6.97674418604651</v>
      </c>
      <c r="N33" s="0" t="n">
        <f aca="false">N5/(SUM($M5:$W5))*100</f>
        <v>6.97674418604651</v>
      </c>
      <c r="O33" s="0" t="n">
        <f aca="false">O5/(SUM($M5:$W5))*100</f>
        <v>30.2325581395349</v>
      </c>
      <c r="P33" s="0" t="n">
        <f aca="false">P5/(SUM($M5:$W5))*100</f>
        <v>27.906976744186</v>
      </c>
      <c r="Q33" s="0" t="n">
        <f aca="false">Q5/(SUM($M5:$W5))*100</f>
        <v>11.6279069767442</v>
      </c>
      <c r="R33" s="0" t="n">
        <f aca="false">R5/(SUM($M5:$W5))*100</f>
        <v>2.32558139534884</v>
      </c>
      <c r="S33" s="0" t="n">
        <f aca="false">S5/(SUM($M5:$W5))*100</f>
        <v>11.6279069767442</v>
      </c>
      <c r="T33" s="0" t="n">
        <f aca="false">T5/(SUM($M5:$W5))*100</f>
        <v>2.32558139534884</v>
      </c>
      <c r="U33" s="0" t="n">
        <f aca="false">U5/(SUM($M5:$W5))*100</f>
        <v>0</v>
      </c>
      <c r="V33" s="0" t="n">
        <f aca="false">V5/(SUM($M5:$W5))*100</f>
        <v>0</v>
      </c>
      <c r="W33" s="0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16.4</v>
      </c>
      <c r="C34" s="1" t="n">
        <v>-66.1</v>
      </c>
      <c r="D34" s="1" t="n">
        <v>-5.6</v>
      </c>
      <c r="E34" s="2" t="n">
        <v>0.9</v>
      </c>
      <c r="F34" s="2" t="n">
        <v>32</v>
      </c>
      <c r="G34" s="2" t="n">
        <v>16.4</v>
      </c>
      <c r="H34" s="2" t="n">
        <v>-66.9</v>
      </c>
      <c r="I34" s="2" t="n">
        <v>-5.9</v>
      </c>
      <c r="J34" s="2" t="n">
        <v>41.8100463</v>
      </c>
      <c r="L34" s="3" t="n">
        <v>25</v>
      </c>
      <c r="M34" s="0" t="n">
        <f aca="false">M6/(SUM($M6:$W6))*100</f>
        <v>6</v>
      </c>
      <c r="N34" s="0" t="n">
        <f aca="false">N6/(SUM($M6:$W6))*100</f>
        <v>4</v>
      </c>
      <c r="O34" s="0" t="n">
        <f aca="false">O6/(SUM($M6:$W6))*100</f>
        <v>34</v>
      </c>
      <c r="P34" s="0" t="n">
        <f aca="false">P6/(SUM($M6:$W6))*100</f>
        <v>28</v>
      </c>
      <c r="Q34" s="0" t="n">
        <f aca="false">Q6/(SUM($M6:$W6))*100</f>
        <v>10</v>
      </c>
      <c r="R34" s="0" t="n">
        <f aca="false">R6/(SUM($M6:$W6))*100</f>
        <v>4</v>
      </c>
      <c r="S34" s="0" t="n">
        <f aca="false">S6/(SUM($M6:$W6))*100</f>
        <v>12</v>
      </c>
      <c r="T34" s="0" t="n">
        <f aca="false">T6/(SUM($M6:$W6))*100</f>
        <v>0</v>
      </c>
      <c r="U34" s="0" t="n">
        <f aca="false">U6/(SUM($M6:$W6))*100</f>
        <v>2</v>
      </c>
      <c r="V34" s="0" t="n">
        <f aca="false">V6/(SUM($M6:$W6))*100</f>
        <v>0</v>
      </c>
      <c r="W34" s="0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17.6</v>
      </c>
      <c r="C35" s="1" t="n">
        <v>-67.5</v>
      </c>
      <c r="D35" s="1" t="n">
        <v>-4.6</v>
      </c>
      <c r="E35" s="2" t="n">
        <v>0.6</v>
      </c>
      <c r="F35" s="2" t="n">
        <v>35</v>
      </c>
      <c r="G35" s="2" t="n">
        <v>18.2</v>
      </c>
      <c r="H35" s="2" t="n">
        <v>-67.6</v>
      </c>
      <c r="I35" s="2" t="n">
        <v>-4.6</v>
      </c>
      <c r="J35" s="2" t="n">
        <v>40.94494806</v>
      </c>
      <c r="L35" s="3" t="n">
        <v>30</v>
      </c>
      <c r="M35" s="0" t="n">
        <f aca="false">M7/(SUM($M7:$W7))*100</f>
        <v>0</v>
      </c>
      <c r="N35" s="0" t="n">
        <f aca="false">N7/(SUM($M7:$W7))*100</f>
        <v>21.7391304347826</v>
      </c>
      <c r="O35" s="0" t="n">
        <f aca="false">O7/(SUM($M7:$W7))*100</f>
        <v>10.8695652173913</v>
      </c>
      <c r="P35" s="0" t="n">
        <f aca="false">P7/(SUM($M7:$W7))*100</f>
        <v>39.1304347826087</v>
      </c>
      <c r="Q35" s="0" t="n">
        <f aca="false">Q7/(SUM($M7:$W7))*100</f>
        <v>13.0434782608696</v>
      </c>
      <c r="R35" s="0" t="n">
        <f aca="false">R7/(SUM($M7:$W7))*100</f>
        <v>6.52173913043478</v>
      </c>
      <c r="S35" s="0" t="n">
        <f aca="false">S7/(SUM($M7:$W7))*100</f>
        <v>4.34782608695652</v>
      </c>
      <c r="T35" s="0" t="n">
        <f aca="false">T7/(SUM($M7:$W7))*100</f>
        <v>4.34782608695652</v>
      </c>
      <c r="U35" s="0" t="n">
        <f aca="false">U7/(SUM($M7:$W7))*100</f>
        <v>0</v>
      </c>
      <c r="V35" s="0" t="n">
        <f aca="false">V7/(SUM($M7:$W7))*100</f>
        <v>0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18.2</v>
      </c>
      <c r="C36" s="1" t="n">
        <v>-67.6</v>
      </c>
      <c r="D36" s="1" t="n">
        <v>-4.6</v>
      </c>
      <c r="E36" s="2" t="n">
        <v>0.6</v>
      </c>
      <c r="F36" s="2" t="n">
        <v>34</v>
      </c>
      <c r="G36" s="2" t="n">
        <v>17.6</v>
      </c>
      <c r="H36" s="2" t="n">
        <v>-67.5</v>
      </c>
      <c r="I36" s="2" t="n">
        <v>-4.6</v>
      </c>
      <c r="J36" s="2" t="n">
        <v>40.37363461</v>
      </c>
      <c r="L36" s="3" t="n">
        <v>35</v>
      </c>
      <c r="M36" s="0" t="n">
        <f aca="false">M8/(SUM($M8:$W8))*100</f>
        <v>0</v>
      </c>
      <c r="N36" s="0" t="n">
        <f aca="false">N8/(SUM($M8:$W8))*100</f>
        <v>6.66666666666667</v>
      </c>
      <c r="O36" s="0" t="n">
        <f aca="false">O8/(SUM($M8:$W8))*100</f>
        <v>33.3333333333333</v>
      </c>
      <c r="P36" s="0" t="n">
        <f aca="false">P8/(SUM($M8:$W8))*100</f>
        <v>26.6666666666667</v>
      </c>
      <c r="Q36" s="0" t="n">
        <f aca="false">Q8/(SUM($M8:$W8))*100</f>
        <v>20</v>
      </c>
      <c r="R36" s="0" t="n">
        <f aca="false">R8/(SUM($M8:$W8))*100</f>
        <v>3.33333333333333</v>
      </c>
      <c r="S36" s="0" t="n">
        <f aca="false">S8/(SUM($M8:$W8))*100</f>
        <v>6.66666666666667</v>
      </c>
      <c r="T36" s="0" t="n">
        <f aca="false">T8/(SUM($M8:$W8))*100</f>
        <v>0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3.33333333333333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17.7</v>
      </c>
      <c r="C37" s="1" t="n">
        <v>-65.5</v>
      </c>
      <c r="D37" s="1" t="n">
        <v>-4.3</v>
      </c>
      <c r="E37" s="2" t="n">
        <v>1.9</v>
      </c>
      <c r="F37" s="2" t="n">
        <v>33</v>
      </c>
      <c r="G37" s="2" t="n">
        <v>16.4</v>
      </c>
      <c r="H37" s="2" t="n">
        <v>-66.1</v>
      </c>
      <c r="I37" s="2" t="n">
        <v>-5.6</v>
      </c>
      <c r="J37" s="2" t="n">
        <v>40.63596402</v>
      </c>
      <c r="L37" s="3" t="n">
        <v>40</v>
      </c>
      <c r="M37" s="0" t="n">
        <f aca="false">M9/(SUM($M9:$W9))*100</f>
        <v>0</v>
      </c>
      <c r="N37" s="0" t="n">
        <f aca="false">N9/(SUM($M9:$W9))*100</f>
        <v>8.69565217391304</v>
      </c>
      <c r="O37" s="0" t="n">
        <f aca="false">O9/(SUM($M9:$W9))*100</f>
        <v>17.3913043478261</v>
      </c>
      <c r="P37" s="0" t="n">
        <f aca="false">P9/(SUM($M9:$W9))*100</f>
        <v>43.4782608695652</v>
      </c>
      <c r="Q37" s="0" t="n">
        <f aca="false">Q9/(SUM($M9:$W9))*100</f>
        <v>4.34782608695652</v>
      </c>
      <c r="R37" s="0" t="n">
        <f aca="false">R9/(SUM($M9:$W9))*100</f>
        <v>13.0434782608696</v>
      </c>
      <c r="S37" s="0" t="n">
        <f aca="false">S9/(SUM($M9:$W9))*100</f>
        <v>8.69565217391304</v>
      </c>
      <c r="T37" s="0" t="n">
        <f aca="false">T9/(SUM($M9:$W9))*100</f>
        <v>0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4.34782608695652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41.2</v>
      </c>
      <c r="C38" s="1" t="n">
        <v>-65.3</v>
      </c>
      <c r="D38" s="1" t="n">
        <v>-9.6</v>
      </c>
      <c r="E38" s="2" t="n">
        <v>3.1</v>
      </c>
      <c r="F38" s="2" t="n">
        <v>38</v>
      </c>
      <c r="G38" s="2" t="n">
        <v>38.1</v>
      </c>
      <c r="H38" s="2" t="n">
        <v>-65.1</v>
      </c>
      <c r="I38" s="2" t="n">
        <v>-9.6</v>
      </c>
      <c r="J38" s="2" t="n">
        <v>16.95263909</v>
      </c>
      <c r="L38" s="3" t="n">
        <v>45</v>
      </c>
      <c r="M38" s="0" t="n">
        <f aca="false">M10/(SUM($M10:$W10))*100</f>
        <v>9.75609756097561</v>
      </c>
      <c r="N38" s="0" t="n">
        <f aca="false">N10/(SUM($M10:$W10))*100</f>
        <v>24.390243902439</v>
      </c>
      <c r="O38" s="0" t="n">
        <f aca="false">O10/(SUM($M10:$W10))*100</f>
        <v>24.390243902439</v>
      </c>
      <c r="P38" s="0" t="n">
        <f aca="false">P10/(SUM($M10:$W10))*100</f>
        <v>9.75609756097561</v>
      </c>
      <c r="Q38" s="0" t="n">
        <f aca="false">Q10/(SUM($M10:$W10))*100</f>
        <v>19.5121951219512</v>
      </c>
      <c r="R38" s="0" t="n">
        <f aca="false">R10/(SUM($M10:$W10))*100</f>
        <v>9.75609756097561</v>
      </c>
      <c r="S38" s="0" t="n">
        <f aca="false">S10/(SUM($M10:$W10))*100</f>
        <v>2.4390243902439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38.1</v>
      </c>
      <c r="C39" s="1" t="n">
        <v>-65.1</v>
      </c>
      <c r="D39" s="1" t="n">
        <v>-9.6</v>
      </c>
      <c r="E39" s="2" t="n">
        <v>3.1</v>
      </c>
      <c r="F39" s="2" t="n">
        <v>37</v>
      </c>
      <c r="G39" s="2" t="n">
        <v>41.2</v>
      </c>
      <c r="H39" s="2" t="n">
        <v>-65.3</v>
      </c>
      <c r="I39" s="2" t="n">
        <v>-9.6</v>
      </c>
      <c r="J39" s="2" t="n">
        <v>19.93668909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29.4117647058824</v>
      </c>
      <c r="P39" s="0" t="n">
        <f aca="false">P11/(SUM($M11:$W11))*100</f>
        <v>23.5294117647059</v>
      </c>
      <c r="Q39" s="0" t="n">
        <f aca="false">Q11/(SUM($M11:$W11))*100</f>
        <v>29.4117647058824</v>
      </c>
      <c r="R39" s="0" t="n">
        <f aca="false">R11/(SUM($M11:$W11))*100</f>
        <v>11.7647058823529</v>
      </c>
      <c r="S39" s="0" t="n">
        <f aca="false">S11/(SUM($M11:$W11))*100</f>
        <v>0</v>
      </c>
      <c r="T39" s="0" t="n">
        <f aca="false">T11/(SUM($M11:$W11))*100</f>
        <v>5.88235294117647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43.2</v>
      </c>
      <c r="C40" s="1" t="n">
        <v>-70.2</v>
      </c>
      <c r="D40" s="1" t="n">
        <v>-10.2</v>
      </c>
      <c r="E40" s="2" t="n">
        <v>2.5</v>
      </c>
      <c r="F40" s="2" t="n">
        <v>17</v>
      </c>
      <c r="G40" s="2" t="n">
        <v>45.7</v>
      </c>
      <c r="H40" s="2" t="n">
        <v>-70.2</v>
      </c>
      <c r="I40" s="2" t="n">
        <v>-10.6</v>
      </c>
      <c r="J40" s="2" t="n">
        <v>16.97407352</v>
      </c>
      <c r="L40" s="3" t="n">
        <v>55</v>
      </c>
      <c r="M40" s="0" t="n">
        <f aca="false">M12/(SUM($M12:$W12))*100</f>
        <v>0</v>
      </c>
      <c r="N40" s="0" t="n">
        <f aca="false">N12/(SUM($M12:$W12))*100</f>
        <v>0</v>
      </c>
      <c r="O40" s="0" t="n">
        <f aca="false">O12/(SUM($M12:$W12))*100</f>
        <v>50</v>
      </c>
      <c r="P40" s="0" t="n">
        <f aca="false">P12/(SUM($M12:$W12))*100</f>
        <v>0</v>
      </c>
      <c r="Q40" s="0" t="n">
        <f aca="false">Q12/(SUM($M12:$W12))*100</f>
        <v>0</v>
      </c>
      <c r="R40" s="0" t="n">
        <f aca="false">R12/(SUM($M12:$W12))*100</f>
        <v>25</v>
      </c>
      <c r="S40" s="0" t="n">
        <f aca="false">S12/(SUM($M12:$W12))*100</f>
        <v>0</v>
      </c>
      <c r="T40" s="0" t="n">
        <f aca="false">T12/(SUM($M12:$W12))*100</f>
        <v>25</v>
      </c>
      <c r="U40" s="0" t="n">
        <f aca="false">U12/(SUM($M12:$W12))*100</f>
        <v>0</v>
      </c>
      <c r="V40" s="0" t="n">
        <f aca="false">V12/(SUM($M12:$W12))*100</f>
        <v>0</v>
      </c>
      <c r="W40" s="0" t="n">
        <f aca="false">W12/(SUM($M12:$W12))*100</f>
        <v>0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38.4</v>
      </c>
      <c r="C41" s="1" t="n">
        <v>-70.1</v>
      </c>
      <c r="D41" s="1" t="n">
        <v>-10.2</v>
      </c>
      <c r="E41" s="2" t="n">
        <v>1.3</v>
      </c>
      <c r="F41" s="2" t="n">
        <v>41</v>
      </c>
      <c r="G41" s="2" t="n">
        <v>37.2</v>
      </c>
      <c r="H41" s="2" t="n">
        <v>-70.7</v>
      </c>
      <c r="I41" s="2" t="n">
        <v>-10.2</v>
      </c>
      <c r="J41" s="2" t="n">
        <v>21.16997808</v>
      </c>
      <c r="L41" s="3" t="n">
        <v>60</v>
      </c>
      <c r="M41" s="0" t="n">
        <f aca="false">M13/(SUM($M13:$W13))*100</f>
        <v>0</v>
      </c>
      <c r="N41" s="0" t="n">
        <f aca="false">N13/(SUM($M13:$W13))*100</f>
        <v>0</v>
      </c>
      <c r="O41" s="0" t="n">
        <f aca="false">O13/(SUM($M13:$W13))*100</f>
        <v>50</v>
      </c>
      <c r="P41" s="0" t="n">
        <f aca="false">P13/(SUM($M13:$W13))*100</f>
        <v>25</v>
      </c>
      <c r="Q41" s="0" t="n">
        <f aca="false">Q13/(SUM($M13:$W13))*100</f>
        <v>0</v>
      </c>
      <c r="R41" s="0" t="n">
        <f aca="false">R13/(SUM($M13:$W13))*100</f>
        <v>0</v>
      </c>
      <c r="S41" s="0" t="n">
        <f aca="false">S13/(SUM($M13:$W13))*100</f>
        <v>25</v>
      </c>
      <c r="T41" s="0" t="n">
        <f aca="false">T13/(SUM($M13:$W13))*100</f>
        <v>0</v>
      </c>
      <c r="U41" s="0" t="n">
        <f aca="false">U13/(SUM($M13:$W13))*100</f>
        <v>0</v>
      </c>
      <c r="V41" s="0" t="n">
        <f aca="false">V13/(SUM($M13:$W13))*100</f>
        <v>0</v>
      </c>
      <c r="W41" s="0" t="n">
        <f aca="false">W13/(SUM($M13:$W13))*100</f>
        <v>0</v>
      </c>
      <c r="X41" s="0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37.2</v>
      </c>
      <c r="C42" s="1" t="n">
        <v>-70.7</v>
      </c>
      <c r="D42" s="1" t="n">
        <v>-10.2</v>
      </c>
      <c r="E42" s="2" t="n">
        <v>1.3</v>
      </c>
      <c r="F42" s="2" t="n">
        <v>40</v>
      </c>
      <c r="G42" s="2" t="n">
        <v>38.4</v>
      </c>
      <c r="H42" s="2" t="n">
        <v>-70.1</v>
      </c>
      <c r="I42" s="2" t="n">
        <v>-10.2</v>
      </c>
      <c r="J42" s="2" t="n">
        <v>22.51077902</v>
      </c>
    </row>
    <row r="43" customFormat="false" ht="15.8" hidden="false" customHeight="false" outlineLevel="0" collapsed="false">
      <c r="A43" s="1" t="n">
        <v>42</v>
      </c>
      <c r="B43" s="1" t="n">
        <v>34.6</v>
      </c>
      <c r="C43" s="1" t="n">
        <v>-72.2</v>
      </c>
      <c r="D43" s="1" t="n">
        <v>-9.9</v>
      </c>
      <c r="E43" s="2" t="n">
        <v>2.2</v>
      </c>
      <c r="F43" s="2" t="n">
        <v>43</v>
      </c>
      <c r="G43" s="2" t="n">
        <v>32.9</v>
      </c>
      <c r="H43" s="2" t="n">
        <v>-71</v>
      </c>
      <c r="I43" s="2" t="n">
        <v>-9.2</v>
      </c>
      <c r="J43" s="2" t="n">
        <v>25.50506561</v>
      </c>
    </row>
    <row r="44" customFormat="false" ht="15.8" hidden="false" customHeight="false" outlineLevel="0" collapsed="false">
      <c r="A44" s="1" t="n">
        <v>43</v>
      </c>
      <c r="B44" s="1" t="n">
        <v>32.9</v>
      </c>
      <c r="C44" s="1" t="n">
        <v>-71</v>
      </c>
      <c r="D44" s="1" t="n">
        <v>-9.2</v>
      </c>
      <c r="E44" s="2" t="n">
        <v>2.2</v>
      </c>
      <c r="F44" s="2" t="n">
        <v>42</v>
      </c>
      <c r="G44" s="2" t="n">
        <v>34.6</v>
      </c>
      <c r="H44" s="2" t="n">
        <v>-72.2</v>
      </c>
      <c r="I44" s="2" t="n">
        <v>-9.9</v>
      </c>
      <c r="J44" s="2" t="n">
        <v>26.61340211</v>
      </c>
    </row>
    <row r="45" customFormat="false" ht="15.8" hidden="false" customHeight="false" outlineLevel="0" collapsed="false">
      <c r="A45" s="1" t="n">
        <v>44</v>
      </c>
      <c r="B45" s="1" t="n">
        <v>40.9</v>
      </c>
      <c r="C45" s="1" t="n">
        <v>-70.4</v>
      </c>
      <c r="D45" s="1" t="n">
        <v>-12.5</v>
      </c>
      <c r="E45" s="2" t="n">
        <v>2.2</v>
      </c>
      <c r="F45" s="2" t="n">
        <v>48</v>
      </c>
      <c r="G45" s="2" t="n">
        <v>42.8</v>
      </c>
      <c r="H45" s="2" t="n">
        <v>-71.5</v>
      </c>
      <c r="I45" s="2" t="n">
        <v>-12.9</v>
      </c>
      <c r="J45" s="2" t="n">
        <v>19.18005141</v>
      </c>
    </row>
    <row r="46" customFormat="false" ht="15.8" hidden="false" customHeight="false" outlineLevel="0" collapsed="false">
      <c r="A46" s="1" t="n">
        <v>45</v>
      </c>
      <c r="B46" s="1" t="n">
        <v>40.9</v>
      </c>
      <c r="C46" s="1" t="n">
        <v>-72.6</v>
      </c>
      <c r="D46" s="1" t="n">
        <v>-14.5</v>
      </c>
      <c r="E46" s="2" t="n">
        <v>1.1</v>
      </c>
      <c r="F46" s="2" t="n">
        <v>49</v>
      </c>
      <c r="G46" s="2" t="n">
        <v>41.4</v>
      </c>
      <c r="H46" s="2" t="n">
        <v>-72.8</v>
      </c>
      <c r="I46" s="2" t="n">
        <v>-13.5</v>
      </c>
      <c r="J46" s="2" t="n">
        <v>20.61863167</v>
      </c>
    </row>
    <row r="47" customFormat="false" ht="15.8" hidden="false" customHeight="false" outlineLevel="0" collapsed="false">
      <c r="A47" s="1" t="n">
        <v>46</v>
      </c>
      <c r="B47" s="1" t="n">
        <v>38.6</v>
      </c>
      <c r="C47" s="1" t="n">
        <v>-72.9</v>
      </c>
      <c r="D47" s="1" t="n">
        <v>-12.9</v>
      </c>
      <c r="E47" s="2" t="n">
        <v>1.6</v>
      </c>
      <c r="F47" s="2" t="n">
        <v>47</v>
      </c>
      <c r="G47" s="2" t="n">
        <v>39.3</v>
      </c>
      <c r="H47" s="2" t="n">
        <v>-74.3</v>
      </c>
      <c r="I47" s="2" t="n">
        <v>-12.9</v>
      </c>
      <c r="J47" s="2" t="n">
        <v>22.44553345</v>
      </c>
    </row>
    <row r="48" customFormat="false" ht="15.8" hidden="false" customHeight="false" outlineLevel="0" collapsed="false">
      <c r="A48" s="1" t="n">
        <v>47</v>
      </c>
      <c r="B48" s="1" t="n">
        <v>39.3</v>
      </c>
      <c r="C48" s="1" t="n">
        <v>-74.3</v>
      </c>
      <c r="D48" s="1" t="n">
        <v>-12.9</v>
      </c>
      <c r="E48" s="2" t="n">
        <v>1.6</v>
      </c>
      <c r="F48" s="2" t="n">
        <v>46</v>
      </c>
      <c r="G48" s="2" t="n">
        <v>38.6</v>
      </c>
      <c r="H48" s="2" t="n">
        <v>-72.9</v>
      </c>
      <c r="I48" s="2" t="n">
        <v>-12.9</v>
      </c>
      <c r="J48" s="2" t="n">
        <v>22.62822954</v>
      </c>
    </row>
    <row r="49" customFormat="false" ht="15.8" hidden="false" customHeight="false" outlineLevel="0" collapsed="false">
      <c r="A49" s="1" t="n">
        <v>48</v>
      </c>
      <c r="B49" s="1" t="n">
        <v>42.8</v>
      </c>
      <c r="C49" s="1" t="n">
        <v>-71.5</v>
      </c>
      <c r="D49" s="1" t="n">
        <v>-12.9</v>
      </c>
      <c r="E49" s="2" t="n">
        <v>1.6</v>
      </c>
      <c r="F49" s="2" t="n">
        <v>50</v>
      </c>
      <c r="G49" s="2" t="n">
        <v>43.5</v>
      </c>
      <c r="H49" s="2" t="n">
        <v>-70.9</v>
      </c>
      <c r="I49" s="2" t="n">
        <v>-14.2</v>
      </c>
      <c r="J49" s="2" t="n">
        <v>18.18978757</v>
      </c>
    </row>
    <row r="50" customFormat="false" ht="15.8" hidden="false" customHeight="false" outlineLevel="0" collapsed="false">
      <c r="A50" s="1" t="n">
        <v>49</v>
      </c>
      <c r="B50" s="1" t="n">
        <v>41.4</v>
      </c>
      <c r="C50" s="1" t="n">
        <v>-72.8</v>
      </c>
      <c r="D50" s="1" t="n">
        <v>-13.5</v>
      </c>
      <c r="E50" s="2" t="n">
        <v>1.1</v>
      </c>
      <c r="F50" s="2" t="n">
        <v>45</v>
      </c>
      <c r="G50" s="2" t="n">
        <v>40.9</v>
      </c>
      <c r="H50" s="2" t="n">
        <v>-72.6</v>
      </c>
      <c r="I50" s="2" t="n">
        <v>-14.5</v>
      </c>
      <c r="J50" s="2" t="n">
        <v>20.14893476</v>
      </c>
    </row>
    <row r="51" customFormat="false" ht="15.8" hidden="false" customHeight="false" outlineLevel="0" collapsed="false">
      <c r="A51" s="1" t="n">
        <v>50</v>
      </c>
      <c r="B51" s="1" t="n">
        <v>43.5</v>
      </c>
      <c r="C51" s="1" t="n">
        <v>-70.9</v>
      </c>
      <c r="D51" s="1" t="n">
        <v>-14.2</v>
      </c>
      <c r="E51" s="2" t="n">
        <v>1.6</v>
      </c>
      <c r="F51" s="2" t="n">
        <v>48</v>
      </c>
      <c r="G51" s="2" t="n">
        <v>42.8</v>
      </c>
      <c r="H51" s="2" t="n">
        <v>-71.5</v>
      </c>
      <c r="I51" s="2" t="n">
        <v>-12.9</v>
      </c>
      <c r="J51" s="2" t="n">
        <v>17.51791004</v>
      </c>
    </row>
    <row r="52" customFormat="false" ht="15.8" hidden="false" customHeight="false" outlineLevel="0" collapsed="false">
      <c r="A52" s="1" t="n">
        <v>51</v>
      </c>
      <c r="B52" s="1" t="n">
        <v>44.7</v>
      </c>
      <c r="C52" s="1" t="n">
        <v>-72</v>
      </c>
      <c r="D52" s="1" t="n">
        <v>-14.2</v>
      </c>
      <c r="E52" s="2" t="n">
        <v>1.4</v>
      </c>
      <c r="F52" s="2" t="n">
        <v>52</v>
      </c>
      <c r="G52" s="2" t="n">
        <v>45.6</v>
      </c>
      <c r="H52" s="2" t="n">
        <v>-71</v>
      </c>
      <c r="I52" s="2" t="n">
        <v>-14.5</v>
      </c>
      <c r="J52" s="2" t="n">
        <v>17.22380829</v>
      </c>
    </row>
    <row r="53" customFormat="false" ht="15.8" hidden="false" customHeight="false" outlineLevel="0" collapsed="false">
      <c r="A53" s="1" t="n">
        <v>52</v>
      </c>
      <c r="B53" s="1" t="n">
        <v>45.6</v>
      </c>
      <c r="C53" s="1" t="n">
        <v>-71</v>
      </c>
      <c r="D53" s="1" t="n">
        <v>-14.5</v>
      </c>
      <c r="E53" s="2" t="n">
        <v>1.4</v>
      </c>
      <c r="F53" s="2" t="n">
        <v>51</v>
      </c>
      <c r="G53" s="2" t="n">
        <v>44.7</v>
      </c>
      <c r="H53" s="2" t="n">
        <v>-72</v>
      </c>
      <c r="I53" s="2" t="n">
        <v>-14.2</v>
      </c>
      <c r="J53" s="2" t="n">
        <v>16.0040861</v>
      </c>
    </row>
    <row r="54" customFormat="false" ht="15.8" hidden="false" customHeight="false" outlineLevel="0" collapsed="false">
      <c r="A54" s="1" t="n">
        <v>53</v>
      </c>
      <c r="B54" s="1" t="n">
        <v>54.9</v>
      </c>
      <c r="C54" s="1" t="n">
        <v>-68</v>
      </c>
      <c r="D54" s="1" t="n">
        <v>-9.9</v>
      </c>
      <c r="E54" s="2" t="n">
        <v>2</v>
      </c>
      <c r="F54" s="2" t="n">
        <v>55</v>
      </c>
      <c r="G54" s="2" t="n">
        <v>56.7</v>
      </c>
      <c r="H54" s="2" t="n">
        <v>-68.4</v>
      </c>
      <c r="I54" s="2" t="n">
        <v>-10.6</v>
      </c>
      <c r="J54" s="2" t="n">
        <v>7.256388358</v>
      </c>
    </row>
    <row r="55" customFormat="false" ht="15.8" hidden="false" customHeight="false" outlineLevel="0" collapsed="false">
      <c r="A55" s="1" t="n">
        <v>54</v>
      </c>
      <c r="B55" s="1" t="n">
        <v>58</v>
      </c>
      <c r="C55" s="1" t="n">
        <v>-68.6</v>
      </c>
      <c r="D55" s="1" t="n">
        <v>-10.2</v>
      </c>
      <c r="E55" s="2" t="n">
        <v>1.4</v>
      </c>
      <c r="F55" s="2" t="n">
        <v>55</v>
      </c>
      <c r="G55" s="2" t="n">
        <v>56.7</v>
      </c>
      <c r="H55" s="2" t="n">
        <v>-68.4</v>
      </c>
      <c r="I55" s="2" t="n">
        <v>-10.6</v>
      </c>
      <c r="J55" s="2" t="n">
        <v>7.304845789</v>
      </c>
    </row>
    <row r="56" customFormat="false" ht="15.8" hidden="false" customHeight="false" outlineLevel="0" collapsed="false">
      <c r="A56" s="1" t="n">
        <v>55</v>
      </c>
      <c r="B56" s="1" t="n">
        <v>56.7</v>
      </c>
      <c r="C56" s="1" t="n">
        <v>-68.4</v>
      </c>
      <c r="D56" s="1" t="n">
        <v>-10.6</v>
      </c>
      <c r="E56" s="2" t="n">
        <v>1.4</v>
      </c>
      <c r="F56" s="2" t="n">
        <v>54</v>
      </c>
      <c r="G56" s="2" t="n">
        <v>58</v>
      </c>
      <c r="H56" s="2" t="n">
        <v>-68.6</v>
      </c>
      <c r="I56" s="2" t="n">
        <v>-10.2</v>
      </c>
      <c r="J56" s="2" t="n">
        <v>7.160919773</v>
      </c>
    </row>
    <row r="57" customFormat="false" ht="15.8" hidden="false" customHeight="false" outlineLevel="0" collapsed="false">
      <c r="A57" s="1" t="n">
        <v>56</v>
      </c>
      <c r="B57" s="1" t="n">
        <v>61.2</v>
      </c>
      <c r="C57" s="1" t="n">
        <v>-67.4</v>
      </c>
      <c r="D57" s="1" t="n">
        <v>-10.9</v>
      </c>
      <c r="E57" s="2" t="n">
        <v>3.5</v>
      </c>
      <c r="F57" s="2" t="n">
        <v>54</v>
      </c>
      <c r="G57" s="2" t="n">
        <v>58</v>
      </c>
      <c r="H57" s="2" t="n">
        <v>-68.6</v>
      </c>
      <c r="I57" s="2" t="n">
        <v>-10.2</v>
      </c>
      <c r="J57" s="2" t="n">
        <v>7.067303022</v>
      </c>
    </row>
    <row r="58" customFormat="false" ht="15.8" hidden="false" customHeight="false" outlineLevel="0" collapsed="false">
      <c r="A58" s="1" t="n">
        <v>57</v>
      </c>
      <c r="B58" s="1" t="n">
        <v>54.9</v>
      </c>
      <c r="C58" s="1" t="n">
        <v>-42.3</v>
      </c>
      <c r="D58" s="1" t="n">
        <v>-11.5</v>
      </c>
      <c r="E58" s="2" t="n">
        <v>2.2</v>
      </c>
      <c r="F58" s="2" t="n">
        <v>58</v>
      </c>
      <c r="G58" s="2" t="n">
        <v>55.5</v>
      </c>
      <c r="H58" s="2" t="n">
        <v>-40.2</v>
      </c>
      <c r="I58" s="2" t="n">
        <v>-11.2</v>
      </c>
      <c r="J58" s="2" t="n">
        <v>19.2362567</v>
      </c>
    </row>
    <row r="59" customFormat="false" ht="15.8" hidden="false" customHeight="false" outlineLevel="0" collapsed="false">
      <c r="A59" s="1" t="n">
        <v>58</v>
      </c>
      <c r="B59" s="1" t="n">
        <v>55.5</v>
      </c>
      <c r="C59" s="1" t="n">
        <v>-40.2</v>
      </c>
      <c r="D59" s="1" t="n">
        <v>-11.2</v>
      </c>
      <c r="E59" s="2" t="n">
        <v>2.1</v>
      </c>
      <c r="F59" s="2" t="n">
        <v>68</v>
      </c>
      <c r="G59" s="2" t="n">
        <v>54.5</v>
      </c>
      <c r="H59" s="2" t="n">
        <v>-38.5</v>
      </c>
      <c r="I59" s="2" t="n">
        <v>-10.6</v>
      </c>
      <c r="J59" s="2" t="n">
        <v>21.23091077</v>
      </c>
    </row>
    <row r="60" customFormat="false" ht="15.8" hidden="false" customHeight="false" outlineLevel="0" collapsed="false">
      <c r="A60" s="1" t="n">
        <v>59</v>
      </c>
      <c r="B60" s="1" t="n">
        <v>58.6</v>
      </c>
      <c r="C60" s="1" t="n">
        <v>-39.7</v>
      </c>
      <c r="D60" s="1" t="n">
        <v>-10.6</v>
      </c>
      <c r="E60" s="2" t="n">
        <v>1.3</v>
      </c>
      <c r="F60" s="2" t="n">
        <v>60</v>
      </c>
      <c r="G60" s="2" t="n">
        <v>59.3</v>
      </c>
      <c r="H60" s="2" t="n">
        <v>-38.8</v>
      </c>
      <c r="I60" s="2" t="n">
        <v>-9.9</v>
      </c>
      <c r="J60" s="2" t="n">
        <v>21.62753735</v>
      </c>
    </row>
    <row r="61" customFormat="false" ht="15.8" hidden="false" customHeight="false" outlineLevel="0" collapsed="false">
      <c r="A61" s="1" t="n">
        <v>60</v>
      </c>
      <c r="B61" s="1" t="n">
        <v>59.3</v>
      </c>
      <c r="C61" s="1" t="n">
        <v>-38.8</v>
      </c>
      <c r="D61" s="1" t="n">
        <v>-9.9</v>
      </c>
      <c r="E61" s="2" t="n">
        <v>1.3</v>
      </c>
      <c r="F61" s="2" t="n">
        <v>59</v>
      </c>
      <c r="G61" s="2" t="n">
        <v>58.6</v>
      </c>
      <c r="H61" s="2" t="n">
        <v>-39.7</v>
      </c>
      <c r="I61" s="2" t="n">
        <v>-10.6</v>
      </c>
      <c r="J61" s="2" t="n">
        <v>22.57150354</v>
      </c>
    </row>
    <row r="62" customFormat="false" ht="15.8" hidden="false" customHeight="false" outlineLevel="0" collapsed="false">
      <c r="A62" s="1" t="n">
        <v>61</v>
      </c>
      <c r="B62" s="1" t="n">
        <v>58.4</v>
      </c>
      <c r="C62" s="1" t="n">
        <v>-37.3</v>
      </c>
      <c r="D62" s="1" t="n">
        <v>-9.2</v>
      </c>
      <c r="E62" s="2" t="n">
        <v>1.9</v>
      </c>
      <c r="F62" s="2" t="n">
        <v>60</v>
      </c>
      <c r="G62" s="2" t="n">
        <v>59.3</v>
      </c>
      <c r="H62" s="2" t="n">
        <v>-38.8</v>
      </c>
      <c r="I62" s="2" t="n">
        <v>-9.9</v>
      </c>
      <c r="J62" s="2" t="n">
        <v>24.04748577</v>
      </c>
    </row>
    <row r="63" customFormat="false" ht="15.8" hidden="false" customHeight="false" outlineLevel="0" collapsed="false">
      <c r="A63" s="1" t="n">
        <v>62</v>
      </c>
      <c r="B63" s="1" t="n">
        <v>60.4</v>
      </c>
      <c r="C63" s="1" t="n">
        <v>-36.9</v>
      </c>
      <c r="D63" s="1" t="n">
        <v>-8.9</v>
      </c>
      <c r="E63" s="2" t="n">
        <v>2.1</v>
      </c>
      <c r="F63" s="2" t="n">
        <v>61</v>
      </c>
      <c r="G63" s="2" t="n">
        <v>58.4</v>
      </c>
      <c r="H63" s="2" t="n">
        <v>-37.3</v>
      </c>
      <c r="I63" s="2" t="n">
        <v>-9.2</v>
      </c>
      <c r="J63" s="2" t="n">
        <v>24.60553539</v>
      </c>
    </row>
    <row r="64" customFormat="false" ht="15.8" hidden="false" customHeight="false" outlineLevel="0" collapsed="false">
      <c r="A64" s="1" t="n">
        <v>63</v>
      </c>
      <c r="B64" s="1" t="n">
        <v>58.9</v>
      </c>
      <c r="C64" s="1" t="n">
        <v>-38.1</v>
      </c>
      <c r="D64" s="1" t="n">
        <v>-11.5</v>
      </c>
      <c r="E64" s="2" t="n">
        <v>1.5</v>
      </c>
      <c r="F64" s="2" t="n">
        <v>64</v>
      </c>
      <c r="G64" s="2" t="n">
        <v>57.5</v>
      </c>
      <c r="H64" s="2" t="n">
        <v>-37.6</v>
      </c>
      <c r="I64" s="2" t="n">
        <v>-11.5</v>
      </c>
      <c r="J64" s="2" t="n">
        <v>23.26533842</v>
      </c>
    </row>
    <row r="65" customFormat="false" ht="15.8" hidden="false" customHeight="false" outlineLevel="0" collapsed="false">
      <c r="A65" s="1" t="n">
        <v>64</v>
      </c>
      <c r="B65" s="1" t="n">
        <v>57.5</v>
      </c>
      <c r="C65" s="1" t="n">
        <v>-37.6</v>
      </c>
      <c r="D65" s="1" t="n">
        <v>-11.5</v>
      </c>
      <c r="E65" s="2" t="n">
        <v>1.5</v>
      </c>
      <c r="F65" s="2" t="n">
        <v>63</v>
      </c>
      <c r="G65" s="2" t="n">
        <v>58.9</v>
      </c>
      <c r="H65" s="2" t="n">
        <v>-38.1</v>
      </c>
      <c r="I65" s="2" t="n">
        <v>-11.5</v>
      </c>
      <c r="J65" s="2" t="n">
        <v>23.73201997</v>
      </c>
    </row>
    <row r="66" customFormat="false" ht="15.8" hidden="false" customHeight="false" outlineLevel="0" collapsed="false">
      <c r="A66" s="1" t="n">
        <v>65</v>
      </c>
      <c r="B66" s="1" t="n">
        <v>61.5</v>
      </c>
      <c r="C66" s="1" t="n">
        <v>-36.3</v>
      </c>
      <c r="D66" s="1" t="n">
        <v>-12.2</v>
      </c>
      <c r="E66" s="2" t="n">
        <v>3.2</v>
      </c>
      <c r="F66" s="2" t="n">
        <v>63</v>
      </c>
      <c r="G66" s="2" t="n">
        <v>58.9</v>
      </c>
      <c r="H66" s="2" t="n">
        <v>-38.1</v>
      </c>
      <c r="I66" s="2" t="n">
        <v>-11.5</v>
      </c>
      <c r="J66" s="2" t="n">
        <v>25.36368215</v>
      </c>
    </row>
    <row r="67" customFormat="false" ht="15.8" hidden="false" customHeight="false" outlineLevel="0" collapsed="false">
      <c r="A67" s="1" t="n">
        <v>66</v>
      </c>
      <c r="B67" s="1" t="n">
        <v>67.6</v>
      </c>
      <c r="C67" s="1" t="n">
        <v>-36.6</v>
      </c>
      <c r="D67" s="1" t="n">
        <v>-13.2</v>
      </c>
      <c r="E67" s="2" t="n">
        <v>1.9</v>
      </c>
      <c r="F67" s="2" t="n">
        <v>67</v>
      </c>
      <c r="G67" s="2" t="n">
        <v>69.2</v>
      </c>
      <c r="H67" s="2" t="n">
        <v>-35.7</v>
      </c>
      <c r="I67" s="2" t="n">
        <v>-13.2</v>
      </c>
      <c r="J67" s="2" t="n">
        <v>26.77890162</v>
      </c>
    </row>
    <row r="68" customFormat="false" ht="15.8" hidden="false" customHeight="false" outlineLevel="0" collapsed="false">
      <c r="A68" s="1" t="n">
        <v>67</v>
      </c>
      <c r="B68" s="1" t="n">
        <v>69.2</v>
      </c>
      <c r="C68" s="1" t="n">
        <v>-35.7</v>
      </c>
      <c r="D68" s="1" t="n">
        <v>-13.2</v>
      </c>
      <c r="E68" s="2" t="n">
        <v>1.9</v>
      </c>
      <c r="F68" s="2" t="n">
        <v>66</v>
      </c>
      <c r="G68" s="2" t="n">
        <v>67.6</v>
      </c>
      <c r="H68" s="2" t="n">
        <v>-36.6</v>
      </c>
      <c r="I68" s="2" t="n">
        <v>-13.2</v>
      </c>
      <c r="J68" s="2" t="n">
        <v>28.22713538</v>
      </c>
    </row>
    <row r="69" customFormat="false" ht="15.8" hidden="false" customHeight="false" outlineLevel="0" collapsed="false">
      <c r="A69" s="1" t="n">
        <v>68</v>
      </c>
      <c r="B69" s="1" t="n">
        <v>54.5</v>
      </c>
      <c r="C69" s="1" t="n">
        <v>-38.5</v>
      </c>
      <c r="D69" s="1" t="n">
        <v>-10.6</v>
      </c>
      <c r="E69" s="2" t="n">
        <v>2.1</v>
      </c>
      <c r="F69" s="2" t="n">
        <v>58</v>
      </c>
      <c r="G69" s="2" t="n">
        <v>55.5</v>
      </c>
      <c r="H69" s="2" t="n">
        <v>-40.2</v>
      </c>
      <c r="I69" s="2" t="n">
        <v>-11.2</v>
      </c>
      <c r="J69" s="2" t="n">
        <v>23.02420405</v>
      </c>
    </row>
    <row r="70" customFormat="false" ht="15.8" hidden="false" customHeight="false" outlineLevel="0" collapsed="false">
      <c r="A70" s="1" t="n">
        <v>69</v>
      </c>
      <c r="B70" s="1" t="n">
        <v>51.2</v>
      </c>
      <c r="C70" s="1" t="n">
        <v>-40.7</v>
      </c>
      <c r="D70" s="1" t="n">
        <v>-9.6</v>
      </c>
      <c r="E70" s="2" t="n">
        <v>3.1</v>
      </c>
      <c r="F70" s="2" t="n">
        <v>71</v>
      </c>
      <c r="G70" s="2" t="n">
        <v>48.6</v>
      </c>
      <c r="H70" s="2" t="n">
        <v>-39.2</v>
      </c>
      <c r="I70" s="2" t="n">
        <v>-10.2</v>
      </c>
      <c r="J70" s="2" t="n">
        <v>21.60849768</v>
      </c>
    </row>
    <row r="71" customFormat="false" ht="15.8" hidden="false" customHeight="false" outlineLevel="0" collapsed="false">
      <c r="A71" s="1" t="n">
        <v>70</v>
      </c>
      <c r="B71" s="1" t="n">
        <v>42.4</v>
      </c>
      <c r="C71" s="1" t="n">
        <v>-40.8</v>
      </c>
      <c r="D71" s="1" t="n">
        <v>-8.6</v>
      </c>
      <c r="E71" s="2" t="n">
        <v>0.9</v>
      </c>
      <c r="F71" s="2" t="n">
        <v>74</v>
      </c>
      <c r="G71" s="2" t="n">
        <v>42.2</v>
      </c>
      <c r="H71" s="2" t="n">
        <v>-39.9</v>
      </c>
      <c r="I71" s="2" t="n">
        <v>-8.6</v>
      </c>
      <c r="J71" s="2" t="n">
        <v>25.62189634</v>
      </c>
    </row>
    <row r="72" customFormat="false" ht="15.8" hidden="false" customHeight="false" outlineLevel="0" collapsed="false">
      <c r="A72" s="1" t="n">
        <v>71</v>
      </c>
      <c r="B72" s="1" t="n">
        <v>48.6</v>
      </c>
      <c r="C72" s="1" t="n">
        <v>-39.2</v>
      </c>
      <c r="D72" s="1" t="n">
        <v>-10.2</v>
      </c>
      <c r="E72" s="2" t="n">
        <v>3.1</v>
      </c>
      <c r="F72" s="2" t="n">
        <v>69</v>
      </c>
      <c r="G72" s="2" t="n">
        <v>51.2</v>
      </c>
      <c r="H72" s="2" t="n">
        <v>-40.7</v>
      </c>
      <c r="I72" s="2" t="n">
        <v>-9.6</v>
      </c>
      <c r="J72" s="2" t="n">
        <v>23.88988012</v>
      </c>
    </row>
    <row r="73" customFormat="false" ht="15.8" hidden="false" customHeight="false" outlineLevel="0" collapsed="false">
      <c r="A73" s="1" t="n">
        <v>72</v>
      </c>
      <c r="B73" s="1" t="n">
        <v>43.8</v>
      </c>
      <c r="C73" s="1" t="n">
        <v>-42.1</v>
      </c>
      <c r="D73" s="1" t="n">
        <v>-9.2</v>
      </c>
      <c r="E73" s="2" t="n">
        <v>2</v>
      </c>
      <c r="F73" s="2" t="n">
        <v>70</v>
      </c>
      <c r="G73" s="2" t="n">
        <v>42.4</v>
      </c>
      <c r="H73" s="2" t="n">
        <v>-40.8</v>
      </c>
      <c r="I73" s="2" t="n">
        <v>-8.6</v>
      </c>
      <c r="J73" s="2" t="n">
        <v>23.71284825</v>
      </c>
    </row>
    <row r="74" customFormat="false" ht="15.8" hidden="false" customHeight="false" outlineLevel="0" collapsed="false">
      <c r="A74" s="1" t="n">
        <v>73</v>
      </c>
      <c r="B74" s="1" t="n">
        <v>41.7</v>
      </c>
      <c r="C74" s="1" t="n">
        <v>-40.3</v>
      </c>
      <c r="D74" s="1" t="n">
        <v>-8.9</v>
      </c>
      <c r="E74" s="2" t="n">
        <v>0.7</v>
      </c>
      <c r="F74" s="2" t="n">
        <v>74</v>
      </c>
      <c r="G74" s="2" t="n">
        <v>42.2</v>
      </c>
      <c r="H74" s="2" t="n">
        <v>-39.9</v>
      </c>
      <c r="I74" s="2" t="n">
        <v>-8.6</v>
      </c>
      <c r="J74" s="2" t="n">
        <v>26.42150586</v>
      </c>
    </row>
    <row r="75" customFormat="false" ht="15.8" hidden="false" customHeight="false" outlineLevel="0" collapsed="false">
      <c r="A75" s="1" t="n">
        <v>74</v>
      </c>
      <c r="B75" s="1" t="n">
        <v>42.2</v>
      </c>
      <c r="C75" s="1" t="n">
        <v>-39.9</v>
      </c>
      <c r="D75" s="1" t="n">
        <v>-8.6</v>
      </c>
      <c r="E75" s="2" t="n">
        <v>0.7</v>
      </c>
      <c r="F75" s="2" t="n">
        <v>73</v>
      </c>
      <c r="G75" s="2" t="n">
        <v>41.7</v>
      </c>
      <c r="H75" s="2" t="n">
        <v>-40.3</v>
      </c>
      <c r="I75" s="2" t="n">
        <v>-8.9</v>
      </c>
      <c r="J75" s="2" t="n">
        <v>26.46402789</v>
      </c>
    </row>
    <row r="76" customFormat="false" ht="15.8" hidden="false" customHeight="false" outlineLevel="0" collapsed="false">
      <c r="A76" s="1" t="n">
        <v>75</v>
      </c>
      <c r="B76" s="1" t="n">
        <v>35.8</v>
      </c>
      <c r="C76" s="1" t="n">
        <v>-41</v>
      </c>
      <c r="D76" s="1" t="n">
        <v>-6.9</v>
      </c>
      <c r="E76" s="2" t="n">
        <v>3.3</v>
      </c>
      <c r="F76" s="2" t="n">
        <v>78</v>
      </c>
      <c r="G76" s="2" t="n">
        <v>37.9</v>
      </c>
      <c r="H76" s="2" t="n">
        <v>-42.2</v>
      </c>
      <c r="I76" s="2" t="n">
        <v>-9.2</v>
      </c>
      <c r="J76" s="2" t="n">
        <v>30.03778241</v>
      </c>
    </row>
    <row r="77" customFormat="false" ht="15.8" hidden="false" customHeight="false" outlineLevel="0" collapsed="false">
      <c r="A77" s="1" t="n">
        <v>76</v>
      </c>
      <c r="B77" s="1" t="n">
        <v>31.9</v>
      </c>
      <c r="C77" s="1" t="n">
        <v>-41.8</v>
      </c>
      <c r="D77" s="1" t="n">
        <v>-7.3</v>
      </c>
      <c r="E77" s="2" t="n">
        <v>2.1</v>
      </c>
      <c r="F77" s="2" t="n">
        <v>77</v>
      </c>
      <c r="G77" s="2" t="n">
        <v>30.6</v>
      </c>
      <c r="H77" s="2" t="n">
        <v>-42.7</v>
      </c>
      <c r="I77" s="2" t="n">
        <v>-8.6</v>
      </c>
      <c r="J77" s="2" t="n">
        <v>32.45713438</v>
      </c>
    </row>
    <row r="78" customFormat="false" ht="15.8" hidden="false" customHeight="false" outlineLevel="0" collapsed="false">
      <c r="A78" s="1" t="n">
        <v>77</v>
      </c>
      <c r="B78" s="1" t="n">
        <v>30.6</v>
      </c>
      <c r="C78" s="1" t="n">
        <v>-42.7</v>
      </c>
      <c r="D78" s="1" t="n">
        <v>-8.6</v>
      </c>
      <c r="E78" s="2" t="n">
        <v>2.1</v>
      </c>
      <c r="F78" s="2" t="n">
        <v>76</v>
      </c>
      <c r="G78" s="2" t="n">
        <v>31.9</v>
      </c>
      <c r="H78" s="2" t="n">
        <v>-41.8</v>
      </c>
      <c r="I78" s="2" t="n">
        <v>-7.3</v>
      </c>
      <c r="J78" s="2" t="n">
        <v>32.88541275</v>
      </c>
    </row>
    <row r="79" customFormat="false" ht="15.8" hidden="false" customHeight="false" outlineLevel="0" collapsed="false">
      <c r="A79" s="1" t="n">
        <v>78</v>
      </c>
      <c r="B79" s="1" t="n">
        <v>37.9</v>
      </c>
      <c r="C79" s="1" t="n">
        <v>-42.2</v>
      </c>
      <c r="D79" s="1" t="n">
        <v>-9.2</v>
      </c>
      <c r="E79" s="2" t="n">
        <v>3</v>
      </c>
      <c r="F79" s="2" t="n">
        <v>79</v>
      </c>
      <c r="G79" s="2" t="n">
        <v>40.9</v>
      </c>
      <c r="H79" s="2" t="n">
        <v>-42.5</v>
      </c>
      <c r="I79" s="2" t="n">
        <v>-9.6</v>
      </c>
      <c r="J79" s="2" t="n">
        <v>27.50961236</v>
      </c>
    </row>
    <row r="80" customFormat="false" ht="15.8" hidden="false" customHeight="false" outlineLevel="0" collapsed="false">
      <c r="A80" s="1" t="n">
        <v>79</v>
      </c>
      <c r="B80" s="1" t="n">
        <v>40.9</v>
      </c>
      <c r="C80" s="1" t="n">
        <v>-42.5</v>
      </c>
      <c r="D80" s="1" t="n">
        <v>-9.6</v>
      </c>
      <c r="E80" s="2" t="n">
        <v>2.5</v>
      </c>
      <c r="F80" s="2" t="n">
        <v>73</v>
      </c>
      <c r="G80" s="2" t="n">
        <v>41.7</v>
      </c>
      <c r="H80" s="2" t="n">
        <v>-40.3</v>
      </c>
      <c r="I80" s="2" t="n">
        <v>-8.9</v>
      </c>
      <c r="J80" s="2" t="n">
        <v>25.2005788</v>
      </c>
    </row>
    <row r="81" customFormat="false" ht="15.8" hidden="false" customHeight="false" outlineLevel="0" collapsed="false">
      <c r="A81" s="1" t="n">
        <v>80</v>
      </c>
      <c r="B81" s="1" t="n">
        <v>57.6</v>
      </c>
      <c r="C81" s="1" t="n">
        <v>-52.8</v>
      </c>
      <c r="D81" s="1" t="n">
        <v>-9.2</v>
      </c>
      <c r="E81" s="2" t="n">
        <v>3.8</v>
      </c>
      <c r="F81" s="2" t="n">
        <v>312</v>
      </c>
      <c r="G81" s="2" t="n">
        <v>58.6</v>
      </c>
      <c r="H81" s="2" t="n">
        <v>-53</v>
      </c>
      <c r="I81" s="2" t="n">
        <v>-5.6</v>
      </c>
      <c r="J81" s="2" t="n">
        <v>8.590411632</v>
      </c>
    </row>
    <row r="82" customFormat="false" ht="15.8" hidden="false" customHeight="false" outlineLevel="0" collapsed="false">
      <c r="A82" s="1" t="n">
        <v>81</v>
      </c>
      <c r="B82" s="1" t="n">
        <v>53.5</v>
      </c>
      <c r="C82" s="1" t="n">
        <v>-52.4</v>
      </c>
      <c r="D82" s="1" t="n">
        <v>-9.6</v>
      </c>
      <c r="E82" s="2" t="n">
        <v>4.1</v>
      </c>
      <c r="F82" s="2" t="n">
        <v>80</v>
      </c>
      <c r="G82" s="2" t="n">
        <v>57.6</v>
      </c>
      <c r="H82" s="2" t="n">
        <v>-52.8</v>
      </c>
      <c r="I82" s="2" t="n">
        <v>-9.2</v>
      </c>
      <c r="J82" s="2" t="n">
        <v>9.860485384</v>
      </c>
    </row>
    <row r="83" customFormat="false" ht="15.8" hidden="false" customHeight="false" outlineLevel="0" collapsed="false">
      <c r="A83" s="1" t="n">
        <v>82</v>
      </c>
      <c r="B83" s="1" t="n">
        <v>47.3</v>
      </c>
      <c r="C83" s="1" t="n">
        <v>-48.3</v>
      </c>
      <c r="D83" s="1" t="n">
        <v>-10.6</v>
      </c>
      <c r="E83" s="2" t="n">
        <v>2</v>
      </c>
      <c r="F83" s="2" t="n">
        <v>83</v>
      </c>
      <c r="G83" s="2" t="n">
        <v>46.9</v>
      </c>
      <c r="H83" s="2" t="n">
        <v>-50.2</v>
      </c>
      <c r="I83" s="2" t="n">
        <v>-9.9</v>
      </c>
      <c r="J83" s="2" t="n">
        <v>16.62656826</v>
      </c>
    </row>
    <row r="84" customFormat="false" ht="15.8" hidden="false" customHeight="false" outlineLevel="0" collapsed="false">
      <c r="A84" s="1" t="n">
        <v>83</v>
      </c>
      <c r="B84" s="1" t="n">
        <v>46.9</v>
      </c>
      <c r="C84" s="1" t="n">
        <v>-50.2</v>
      </c>
      <c r="D84" s="1" t="n">
        <v>-9.9</v>
      </c>
      <c r="E84" s="2" t="n">
        <v>2</v>
      </c>
      <c r="F84" s="2" t="n">
        <v>82</v>
      </c>
      <c r="G84" s="2" t="n">
        <v>47.3</v>
      </c>
      <c r="H84" s="2" t="n">
        <v>-48.3</v>
      </c>
      <c r="I84" s="2" t="n">
        <v>-10.6</v>
      </c>
      <c r="J84" s="2" t="n">
        <v>15.46883228</v>
      </c>
    </row>
    <row r="85" customFormat="false" ht="15.8" hidden="false" customHeight="false" outlineLevel="0" collapsed="false">
      <c r="A85" s="1" t="n">
        <v>84</v>
      </c>
      <c r="B85" s="1" t="n">
        <v>43.4</v>
      </c>
      <c r="C85" s="1" t="n">
        <v>-50.6</v>
      </c>
      <c r="D85" s="1" t="n">
        <v>-10.6</v>
      </c>
      <c r="E85" s="2" t="n">
        <v>3.3</v>
      </c>
      <c r="F85" s="2" t="n">
        <v>87</v>
      </c>
      <c r="G85" s="2" t="n">
        <v>43</v>
      </c>
      <c r="H85" s="2" t="n">
        <v>-53.6</v>
      </c>
      <c r="I85" s="2" t="n">
        <v>-9.2</v>
      </c>
      <c r="J85" s="2" t="n">
        <v>17.82952529</v>
      </c>
    </row>
    <row r="86" customFormat="false" ht="15.8" hidden="false" customHeight="false" outlineLevel="0" collapsed="false">
      <c r="A86" s="1" t="n">
        <v>85</v>
      </c>
      <c r="B86" s="1" t="n">
        <v>48.1</v>
      </c>
      <c r="C86" s="1" t="n">
        <v>-53.3</v>
      </c>
      <c r="D86" s="1" t="n">
        <v>-9.2</v>
      </c>
      <c r="E86" s="2" t="n">
        <v>3.4</v>
      </c>
      <c r="F86" s="2" t="n">
        <v>83</v>
      </c>
      <c r="G86" s="2" t="n">
        <v>46.9</v>
      </c>
      <c r="H86" s="2" t="n">
        <v>-50.2</v>
      </c>
      <c r="I86" s="2" t="n">
        <v>-9.9</v>
      </c>
      <c r="J86" s="2" t="n">
        <v>12.52410364</v>
      </c>
    </row>
    <row r="87" customFormat="false" ht="15.8" hidden="false" customHeight="false" outlineLevel="0" collapsed="false">
      <c r="A87" s="1" t="n">
        <v>86</v>
      </c>
      <c r="B87" s="1" t="n">
        <v>43</v>
      </c>
      <c r="C87" s="1" t="n">
        <v>-54.7</v>
      </c>
      <c r="D87" s="1" t="n">
        <v>-9.6</v>
      </c>
      <c r="E87" s="2" t="n">
        <v>0.5</v>
      </c>
      <c r="F87" s="2" t="n">
        <v>88</v>
      </c>
      <c r="G87" s="2" t="n">
        <v>42.6</v>
      </c>
      <c r="H87" s="2" t="n">
        <v>-54.8</v>
      </c>
      <c r="I87" s="2" t="n">
        <v>-9.2</v>
      </c>
      <c r="J87" s="2" t="n">
        <v>16.0958868</v>
      </c>
    </row>
    <row r="88" customFormat="false" ht="15.8" hidden="false" customHeight="false" outlineLevel="0" collapsed="false">
      <c r="A88" s="1" t="n">
        <v>87</v>
      </c>
      <c r="B88" s="1" t="n">
        <v>43</v>
      </c>
      <c r="C88" s="1" t="n">
        <v>-53.6</v>
      </c>
      <c r="D88" s="1" t="n">
        <v>-9.2</v>
      </c>
      <c r="E88" s="2" t="n">
        <v>1.2</v>
      </c>
      <c r="F88" s="2" t="n">
        <v>86</v>
      </c>
      <c r="G88" s="2" t="n">
        <v>43</v>
      </c>
      <c r="H88" s="2" t="n">
        <v>-54.7</v>
      </c>
      <c r="I88" s="2" t="n">
        <v>-9.6</v>
      </c>
      <c r="J88" s="2" t="n">
        <v>16.60183038</v>
      </c>
    </row>
    <row r="89" customFormat="false" ht="15.8" hidden="false" customHeight="false" outlineLevel="0" collapsed="false">
      <c r="A89" s="1" t="n">
        <v>88</v>
      </c>
      <c r="B89" s="1" t="n">
        <v>42.6</v>
      </c>
      <c r="C89" s="1" t="n">
        <v>-54.8</v>
      </c>
      <c r="D89" s="1" t="n">
        <v>-9.2</v>
      </c>
      <c r="E89" s="2" t="n">
        <v>0.5</v>
      </c>
      <c r="F89" s="2" t="n">
        <v>86</v>
      </c>
      <c r="G89" s="2" t="n">
        <v>43</v>
      </c>
      <c r="H89" s="2" t="n">
        <v>-54.7</v>
      </c>
      <c r="I89" s="2" t="n">
        <v>-9.6</v>
      </c>
      <c r="J89" s="2" t="n">
        <v>16.44539972</v>
      </c>
    </row>
    <row r="90" customFormat="false" ht="15.8" hidden="false" customHeight="false" outlineLevel="0" collapsed="false">
      <c r="A90" s="1" t="n">
        <v>89</v>
      </c>
      <c r="B90" s="1" t="n">
        <v>35.3</v>
      </c>
      <c r="C90" s="1" t="n">
        <v>-55.1</v>
      </c>
      <c r="D90" s="1" t="n">
        <v>-9.2</v>
      </c>
      <c r="E90" s="2" t="n">
        <v>2.8</v>
      </c>
      <c r="F90" s="2" t="n">
        <v>100</v>
      </c>
      <c r="G90" s="2" t="n">
        <v>38</v>
      </c>
      <c r="H90" s="2" t="n">
        <v>-54.5</v>
      </c>
      <c r="I90" s="2" t="n">
        <v>-9.2</v>
      </c>
      <c r="J90" s="2" t="n">
        <v>23.2324164</v>
      </c>
    </row>
    <row r="91" customFormat="false" ht="15.8" hidden="false" customHeight="false" outlineLevel="0" collapsed="false">
      <c r="A91" s="1" t="n">
        <v>90</v>
      </c>
      <c r="B91" s="1" t="n">
        <v>32.2</v>
      </c>
      <c r="C91" s="1" t="n">
        <v>-54.6</v>
      </c>
      <c r="D91" s="1" t="n">
        <v>-9.2</v>
      </c>
      <c r="E91" s="2" t="n">
        <v>1.8</v>
      </c>
      <c r="F91" s="2" t="n">
        <v>91</v>
      </c>
      <c r="G91" s="2" t="n">
        <v>31.4</v>
      </c>
      <c r="H91" s="2" t="n">
        <v>-56.1</v>
      </c>
      <c r="I91" s="2" t="n">
        <v>-9.6</v>
      </c>
      <c r="J91" s="2" t="n">
        <v>26.35181914</v>
      </c>
    </row>
    <row r="92" customFormat="false" ht="15.8" hidden="false" customHeight="false" outlineLevel="0" collapsed="false">
      <c r="A92" s="1" t="n">
        <v>91</v>
      </c>
      <c r="B92" s="1" t="n">
        <v>31.4</v>
      </c>
      <c r="C92" s="1" t="n">
        <v>-56.1</v>
      </c>
      <c r="D92" s="1" t="n">
        <v>-9.6</v>
      </c>
      <c r="E92" s="2" t="n">
        <v>1.8</v>
      </c>
      <c r="F92" s="2" t="n">
        <v>90</v>
      </c>
      <c r="G92" s="2" t="n">
        <v>32.2</v>
      </c>
      <c r="H92" s="2" t="n">
        <v>-54.6</v>
      </c>
      <c r="I92" s="2" t="n">
        <v>-9.2</v>
      </c>
      <c r="J92" s="2" t="n">
        <v>26.7790958</v>
      </c>
    </row>
    <row r="93" customFormat="false" ht="15.8" hidden="false" customHeight="false" outlineLevel="0" collapsed="false">
      <c r="A93" s="1" t="n">
        <v>92</v>
      </c>
      <c r="B93" s="1" t="n">
        <v>28.5</v>
      </c>
      <c r="C93" s="1" t="n">
        <v>-55.4</v>
      </c>
      <c r="D93" s="1" t="n">
        <v>-8.9</v>
      </c>
      <c r="E93" s="2" t="n">
        <v>3.1</v>
      </c>
      <c r="F93" s="2" t="n">
        <v>91</v>
      </c>
      <c r="G93" s="2" t="n">
        <v>31.4</v>
      </c>
      <c r="H93" s="2" t="n">
        <v>-56.1</v>
      </c>
      <c r="I93" s="2" t="n">
        <v>-9.6</v>
      </c>
      <c r="J93" s="2" t="n">
        <v>29.78595595</v>
      </c>
    </row>
    <row r="94" customFormat="false" ht="15.8" hidden="false" customHeight="false" outlineLevel="0" collapsed="false">
      <c r="A94" s="1" t="n">
        <v>93</v>
      </c>
      <c r="B94" s="1" t="n">
        <v>21.9</v>
      </c>
      <c r="C94" s="1" t="n">
        <v>-55.2</v>
      </c>
      <c r="D94" s="1" t="n">
        <v>-7.9</v>
      </c>
      <c r="E94" s="2" t="n">
        <v>5.6</v>
      </c>
      <c r="F94" s="2" t="n">
        <v>94</v>
      </c>
      <c r="G94" s="2" t="n">
        <v>16.7</v>
      </c>
      <c r="H94" s="2" t="n">
        <v>-56.5</v>
      </c>
      <c r="I94" s="2" t="n">
        <v>-9.6</v>
      </c>
      <c r="J94" s="2" t="n">
        <v>36.35965858</v>
      </c>
    </row>
    <row r="95" customFormat="false" ht="15.8" hidden="false" customHeight="false" outlineLevel="0" collapsed="false">
      <c r="A95" s="1" t="n">
        <v>94</v>
      </c>
      <c r="B95" s="1" t="n">
        <v>16.7</v>
      </c>
      <c r="C95" s="1" t="n">
        <v>-56.5</v>
      </c>
      <c r="D95" s="1" t="n">
        <v>-9.6</v>
      </c>
      <c r="E95" s="2" t="n">
        <v>0.8</v>
      </c>
      <c r="F95" s="2" t="n">
        <v>95</v>
      </c>
      <c r="G95" s="2" t="n">
        <v>15.9</v>
      </c>
      <c r="H95" s="2" t="n">
        <v>-56.3</v>
      </c>
      <c r="I95" s="2" t="n">
        <v>-9.6</v>
      </c>
      <c r="J95" s="2" t="n">
        <v>41.2447763</v>
      </c>
    </row>
    <row r="96" customFormat="false" ht="15.8" hidden="false" customHeight="false" outlineLevel="0" collapsed="false">
      <c r="A96" s="1" t="n">
        <v>95</v>
      </c>
      <c r="B96" s="1" t="n">
        <v>15.9</v>
      </c>
      <c r="C96" s="1" t="n">
        <v>-56.3</v>
      </c>
      <c r="D96" s="1" t="n">
        <v>-9.6</v>
      </c>
      <c r="E96" s="2" t="n">
        <v>0.8</v>
      </c>
      <c r="F96" s="2" t="n">
        <v>94</v>
      </c>
      <c r="G96" s="2" t="n">
        <v>16.7</v>
      </c>
      <c r="H96" s="2" t="n">
        <v>-56.5</v>
      </c>
      <c r="I96" s="2" t="n">
        <v>-9.6</v>
      </c>
      <c r="J96" s="2" t="n">
        <v>42.0626149</v>
      </c>
    </row>
    <row r="97" customFormat="false" ht="15.8" hidden="false" customHeight="false" outlineLevel="0" collapsed="false">
      <c r="A97" s="1" t="n">
        <v>96</v>
      </c>
      <c r="B97" s="1" t="n">
        <v>13.4</v>
      </c>
      <c r="C97" s="1" t="n">
        <v>-56.8</v>
      </c>
      <c r="D97" s="1" t="n">
        <v>-9.9</v>
      </c>
      <c r="E97" s="2" t="n">
        <v>0.5</v>
      </c>
      <c r="F97" s="2" t="n">
        <v>97</v>
      </c>
      <c r="G97" s="2" t="n">
        <v>13.1</v>
      </c>
      <c r="H97" s="2" t="n">
        <v>-56.4</v>
      </c>
      <c r="I97" s="2" t="n">
        <v>-9.9</v>
      </c>
      <c r="J97" s="2" t="n">
        <v>44.48761144</v>
      </c>
    </row>
    <row r="98" customFormat="false" ht="15.8" hidden="false" customHeight="false" outlineLevel="0" collapsed="false">
      <c r="A98" s="1" t="n">
        <v>97</v>
      </c>
      <c r="B98" s="1" t="n">
        <v>13.1</v>
      </c>
      <c r="C98" s="1" t="n">
        <v>-56.4</v>
      </c>
      <c r="D98" s="1" t="n">
        <v>-9.9</v>
      </c>
      <c r="E98" s="2" t="n">
        <v>0.5</v>
      </c>
      <c r="F98" s="2" t="n">
        <v>96</v>
      </c>
      <c r="G98" s="2" t="n">
        <v>13.4</v>
      </c>
      <c r="H98" s="2" t="n">
        <v>-56.8</v>
      </c>
      <c r="I98" s="2" t="n">
        <v>-9.9</v>
      </c>
      <c r="J98" s="2" t="n">
        <v>44.82807125</v>
      </c>
    </row>
    <row r="99" customFormat="false" ht="15.8" hidden="false" customHeight="false" outlineLevel="0" collapsed="false">
      <c r="A99" s="1" t="n">
        <v>98</v>
      </c>
      <c r="B99" s="1" t="n">
        <v>41</v>
      </c>
      <c r="C99" s="1" t="n">
        <v>-54.4</v>
      </c>
      <c r="D99" s="1" t="n">
        <v>-9.2</v>
      </c>
      <c r="E99" s="2" t="n">
        <v>1.6</v>
      </c>
      <c r="F99" s="2" t="n">
        <v>99</v>
      </c>
      <c r="G99" s="2" t="n">
        <v>39.4</v>
      </c>
      <c r="H99" s="2" t="n">
        <v>-55</v>
      </c>
      <c r="I99" s="2" t="n">
        <v>-9.2</v>
      </c>
      <c r="J99" s="2" t="n">
        <v>18.07083761</v>
      </c>
    </row>
    <row r="100" customFormat="false" ht="15.8" hidden="false" customHeight="false" outlineLevel="0" collapsed="false">
      <c r="A100" s="1" t="n">
        <v>99</v>
      </c>
      <c r="B100" s="1" t="n">
        <v>39.4</v>
      </c>
      <c r="C100" s="1" t="n">
        <v>-55</v>
      </c>
      <c r="D100" s="1" t="n">
        <v>-9.2</v>
      </c>
      <c r="E100" s="2" t="n">
        <v>1.5</v>
      </c>
      <c r="F100" s="2" t="n">
        <v>100</v>
      </c>
      <c r="G100" s="2" t="n">
        <v>38</v>
      </c>
      <c r="H100" s="2" t="n">
        <v>-54.5</v>
      </c>
      <c r="I100" s="2" t="n">
        <v>-9.2</v>
      </c>
      <c r="J100" s="2" t="n">
        <v>19.35167104</v>
      </c>
    </row>
    <row r="101" customFormat="false" ht="15.8" hidden="false" customHeight="false" outlineLevel="0" collapsed="false">
      <c r="A101" s="1" t="n">
        <v>100</v>
      </c>
      <c r="B101" s="1" t="n">
        <v>38</v>
      </c>
      <c r="C101" s="1" t="n">
        <v>-54.5</v>
      </c>
      <c r="D101" s="1" t="n">
        <v>-9.2</v>
      </c>
      <c r="E101" s="2" t="n">
        <v>1.5</v>
      </c>
      <c r="F101" s="2" t="n">
        <v>99</v>
      </c>
      <c r="G101" s="2" t="n">
        <v>39.4</v>
      </c>
      <c r="H101" s="2" t="n">
        <v>-55</v>
      </c>
      <c r="I101" s="2" t="n">
        <v>-9.2</v>
      </c>
      <c r="J101" s="2" t="n">
        <v>20.83554588</v>
      </c>
    </row>
    <row r="102" customFormat="false" ht="15.8" hidden="false" customHeight="false" outlineLevel="0" collapsed="false">
      <c r="A102" s="1" t="n">
        <v>101</v>
      </c>
      <c r="B102" s="1" t="n">
        <v>73.4</v>
      </c>
      <c r="C102" s="1" t="n">
        <v>-55.9</v>
      </c>
      <c r="D102" s="1" t="n">
        <v>-10.2</v>
      </c>
      <c r="E102" s="2" t="n">
        <v>2.1</v>
      </c>
      <c r="F102" s="2" t="n">
        <v>161</v>
      </c>
      <c r="G102" s="2" t="n">
        <v>75.4</v>
      </c>
      <c r="H102" s="2" t="n">
        <v>-55.5</v>
      </c>
      <c r="I102" s="2" t="n">
        <v>-10.2</v>
      </c>
      <c r="J102" s="2" t="n">
        <v>16.64747344</v>
      </c>
    </row>
    <row r="103" customFormat="false" ht="15.8" hidden="false" customHeight="false" outlineLevel="0" collapsed="false">
      <c r="A103" s="1" t="n">
        <v>102</v>
      </c>
      <c r="B103" s="1" t="n">
        <v>71.1</v>
      </c>
      <c r="C103" s="1" t="n">
        <v>-59.2</v>
      </c>
      <c r="D103" s="1" t="n">
        <v>-12.9</v>
      </c>
      <c r="E103" s="2" t="n">
        <v>2.4</v>
      </c>
      <c r="F103" s="2" t="n">
        <v>324</v>
      </c>
      <c r="G103" s="2" t="n">
        <v>71.8</v>
      </c>
      <c r="H103" s="2" t="n">
        <v>-61.2</v>
      </c>
      <c r="I103" s="2" t="n">
        <v>-11.9</v>
      </c>
      <c r="J103" s="2" t="n">
        <v>13.83569196</v>
      </c>
    </row>
    <row r="104" customFormat="false" ht="15.8" hidden="false" customHeight="false" outlineLevel="0" collapsed="false">
      <c r="A104" s="1" t="n">
        <v>103</v>
      </c>
      <c r="B104" s="1" t="n">
        <v>74.8</v>
      </c>
      <c r="C104" s="1" t="n">
        <v>-54.3</v>
      </c>
      <c r="D104" s="1" t="n">
        <v>-11.5</v>
      </c>
      <c r="E104" s="2" t="n">
        <v>1.9</v>
      </c>
      <c r="F104" s="2" t="n">
        <v>161</v>
      </c>
      <c r="G104" s="2" t="n">
        <v>75.4</v>
      </c>
      <c r="H104" s="2" t="n">
        <v>-55.5</v>
      </c>
      <c r="I104" s="2" t="n">
        <v>-10.2</v>
      </c>
      <c r="J104" s="2" t="n">
        <v>18.55291815</v>
      </c>
    </row>
    <row r="105" customFormat="false" ht="15.8" hidden="false" customHeight="false" outlineLevel="0" collapsed="false">
      <c r="A105" s="1" t="n">
        <v>104</v>
      </c>
      <c r="B105" s="1" t="n">
        <v>76.7</v>
      </c>
      <c r="C105" s="1" t="n">
        <v>-55.8</v>
      </c>
      <c r="D105" s="1" t="n">
        <v>-13.2</v>
      </c>
      <c r="E105" s="2" t="n">
        <v>0.1</v>
      </c>
      <c r="F105" s="2" t="n">
        <v>330</v>
      </c>
      <c r="G105" s="2" t="n">
        <v>76.6</v>
      </c>
      <c r="H105" s="2" t="n">
        <v>-55.8</v>
      </c>
      <c r="I105" s="2" t="n">
        <v>-13.2</v>
      </c>
      <c r="J105" s="2" t="n">
        <v>20.02073855</v>
      </c>
    </row>
    <row r="106" customFormat="false" ht="15.8" hidden="false" customHeight="false" outlineLevel="0" collapsed="false">
      <c r="A106" s="1" t="n">
        <v>105</v>
      </c>
      <c r="B106" s="1" t="n">
        <v>78.5</v>
      </c>
      <c r="C106" s="1" t="n">
        <v>-55.2</v>
      </c>
      <c r="D106" s="1" t="n">
        <v>-12.9</v>
      </c>
      <c r="E106" s="2" t="n">
        <v>1.8</v>
      </c>
      <c r="F106" s="2" t="n">
        <v>109</v>
      </c>
      <c r="G106" s="2" t="n">
        <v>79.1</v>
      </c>
      <c r="H106" s="2" t="n">
        <v>-56.3</v>
      </c>
      <c r="I106" s="2" t="n">
        <v>-14.2</v>
      </c>
      <c r="J106" s="2" t="n">
        <v>21.86333854</v>
      </c>
    </row>
    <row r="107" customFormat="false" ht="15.8" hidden="false" customHeight="false" outlineLevel="0" collapsed="false">
      <c r="A107" s="1" t="n">
        <v>106</v>
      </c>
      <c r="B107" s="1" t="n">
        <v>83.7</v>
      </c>
      <c r="C107" s="1" t="n">
        <v>-53</v>
      </c>
      <c r="D107" s="1" t="n">
        <v>-14.8</v>
      </c>
      <c r="E107" s="2" t="n">
        <v>2.2</v>
      </c>
      <c r="F107" s="2" t="n">
        <v>120</v>
      </c>
      <c r="G107" s="2" t="n">
        <v>85.2</v>
      </c>
      <c r="H107" s="2" t="n">
        <v>-52.8</v>
      </c>
      <c r="I107" s="2" t="n">
        <v>-13.2</v>
      </c>
      <c r="J107" s="2" t="n">
        <v>27.68825693</v>
      </c>
    </row>
    <row r="108" customFormat="false" ht="15.8" hidden="false" customHeight="false" outlineLevel="0" collapsed="false">
      <c r="A108" s="1" t="n">
        <v>107</v>
      </c>
      <c r="B108" s="1" t="n">
        <v>80.8</v>
      </c>
      <c r="C108" s="1" t="n">
        <v>-53.5</v>
      </c>
      <c r="D108" s="1" t="n">
        <v>-13.9</v>
      </c>
      <c r="E108" s="2" t="n">
        <v>1.8</v>
      </c>
      <c r="F108" s="2" t="n">
        <v>112</v>
      </c>
      <c r="G108" s="2" t="n">
        <v>81.6</v>
      </c>
      <c r="H108" s="2" t="n">
        <v>-55.1</v>
      </c>
      <c r="I108" s="2" t="n">
        <v>-14.2</v>
      </c>
      <c r="J108" s="2" t="n">
        <v>24.67444775</v>
      </c>
    </row>
    <row r="109" customFormat="false" ht="15.8" hidden="false" customHeight="false" outlineLevel="0" collapsed="false">
      <c r="A109" s="1" t="n">
        <v>108</v>
      </c>
      <c r="B109" s="1" t="n">
        <v>77</v>
      </c>
      <c r="C109" s="1" t="n">
        <v>-55.9</v>
      </c>
      <c r="D109" s="1" t="n">
        <v>-14.8</v>
      </c>
      <c r="E109" s="2" t="n">
        <v>1.7</v>
      </c>
      <c r="F109" s="2" t="n">
        <v>104</v>
      </c>
      <c r="G109" s="2" t="n">
        <v>76.7</v>
      </c>
      <c r="H109" s="2" t="n">
        <v>-55.8</v>
      </c>
      <c r="I109" s="2" t="n">
        <v>-13.2</v>
      </c>
      <c r="J109" s="2" t="n">
        <v>20.56149732</v>
      </c>
    </row>
    <row r="110" customFormat="false" ht="15.8" hidden="false" customHeight="false" outlineLevel="0" collapsed="false">
      <c r="A110" s="1" t="n">
        <v>109</v>
      </c>
      <c r="B110" s="1" t="n">
        <v>79.1</v>
      </c>
      <c r="C110" s="1" t="n">
        <v>-56.3</v>
      </c>
      <c r="D110" s="1" t="n">
        <v>-14.2</v>
      </c>
      <c r="E110" s="2" t="n">
        <v>1.2</v>
      </c>
      <c r="F110" s="2" t="n">
        <v>110</v>
      </c>
      <c r="G110" s="2" t="n">
        <v>80.2</v>
      </c>
      <c r="H110" s="2" t="n">
        <v>-56.1</v>
      </c>
      <c r="I110" s="2" t="n">
        <v>-13.9</v>
      </c>
      <c r="J110" s="2" t="n">
        <v>22.34603258</v>
      </c>
    </row>
    <row r="111" customFormat="false" ht="15.8" hidden="false" customHeight="false" outlineLevel="0" collapsed="false">
      <c r="A111" s="1" t="n">
        <v>110</v>
      </c>
      <c r="B111" s="1" t="n">
        <v>80.2</v>
      </c>
      <c r="C111" s="1" t="n">
        <v>-56.1</v>
      </c>
      <c r="D111" s="1" t="n">
        <v>-13.9</v>
      </c>
      <c r="E111" s="2" t="n">
        <v>0.9</v>
      </c>
      <c r="F111" s="2" t="n">
        <v>111</v>
      </c>
      <c r="G111" s="2" t="n">
        <v>81</v>
      </c>
      <c r="H111" s="2" t="n">
        <v>-55.7</v>
      </c>
      <c r="I111" s="2" t="n">
        <v>-13.9</v>
      </c>
      <c r="J111" s="2" t="n">
        <v>23.40052076</v>
      </c>
    </row>
    <row r="112" customFormat="false" ht="15.8" hidden="false" customHeight="false" outlineLevel="0" collapsed="false">
      <c r="A112" s="1" t="n">
        <v>111</v>
      </c>
      <c r="B112" s="1" t="n">
        <v>81</v>
      </c>
      <c r="C112" s="1" t="n">
        <v>-55.7</v>
      </c>
      <c r="D112" s="1" t="n">
        <v>-13.9</v>
      </c>
      <c r="E112" s="2" t="n">
        <v>0.9</v>
      </c>
      <c r="F112" s="2" t="n">
        <v>110</v>
      </c>
      <c r="G112" s="2" t="n">
        <v>80.2</v>
      </c>
      <c r="H112" s="2" t="n">
        <v>-56.1</v>
      </c>
      <c r="I112" s="2" t="n">
        <v>-13.9</v>
      </c>
      <c r="J112" s="2" t="n">
        <v>24.2614833</v>
      </c>
    </row>
    <row r="113" customFormat="false" ht="15.8" hidden="false" customHeight="false" outlineLevel="0" collapsed="false">
      <c r="A113" s="1" t="n">
        <v>112</v>
      </c>
      <c r="B113" s="1" t="n">
        <v>81.6</v>
      </c>
      <c r="C113" s="1" t="n">
        <v>-55.1</v>
      </c>
      <c r="D113" s="1" t="n">
        <v>-14.2</v>
      </c>
      <c r="E113" s="2" t="n">
        <v>1</v>
      </c>
      <c r="F113" s="2" t="n">
        <v>111</v>
      </c>
      <c r="G113" s="2" t="n">
        <v>81</v>
      </c>
      <c r="H113" s="2" t="n">
        <v>-55.7</v>
      </c>
      <c r="I113" s="2" t="n">
        <v>-13.9</v>
      </c>
      <c r="J113" s="2" t="n">
        <v>25.02537856</v>
      </c>
    </row>
    <row r="114" customFormat="false" ht="15.8" hidden="false" customHeight="false" outlineLevel="0" collapsed="false">
      <c r="A114" s="1" t="n">
        <v>113</v>
      </c>
      <c r="B114" s="1" t="n">
        <v>99.2</v>
      </c>
      <c r="C114" s="1" t="n">
        <v>-46.9</v>
      </c>
      <c r="D114" s="1" t="n">
        <v>-15.5</v>
      </c>
      <c r="E114" s="2" t="n">
        <v>2.1</v>
      </c>
      <c r="F114" s="2" t="n">
        <v>116</v>
      </c>
      <c r="G114" s="2" t="n">
        <v>97.4</v>
      </c>
      <c r="H114" s="2" t="n">
        <v>-46</v>
      </c>
      <c r="I114" s="2" t="n">
        <v>-14.8</v>
      </c>
      <c r="J114" s="2" t="n">
        <v>44.26563873</v>
      </c>
    </row>
    <row r="115" customFormat="false" ht="15.8" hidden="false" customHeight="false" outlineLevel="0" collapsed="false">
      <c r="A115" s="1" t="n">
        <v>114</v>
      </c>
      <c r="B115" s="1" t="n">
        <v>103.5</v>
      </c>
      <c r="C115" s="1" t="n">
        <v>-46.2</v>
      </c>
      <c r="D115" s="1" t="n">
        <v>-15.8</v>
      </c>
      <c r="E115" s="2" t="n">
        <v>2.5</v>
      </c>
      <c r="F115" s="2" t="n">
        <v>115</v>
      </c>
      <c r="G115" s="2" t="n">
        <v>102</v>
      </c>
      <c r="H115" s="2" t="n">
        <v>-44.7</v>
      </c>
      <c r="I115" s="2" t="n">
        <v>-14.5</v>
      </c>
      <c r="J115" s="2" t="n">
        <v>48.56978044</v>
      </c>
    </row>
    <row r="116" customFormat="false" ht="15.8" hidden="false" customHeight="false" outlineLevel="0" collapsed="false">
      <c r="A116" s="1" t="n">
        <v>115</v>
      </c>
      <c r="B116" s="1" t="n">
        <v>102</v>
      </c>
      <c r="C116" s="1" t="n">
        <v>-44.7</v>
      </c>
      <c r="D116" s="1" t="n">
        <v>-14.5</v>
      </c>
      <c r="E116" s="2" t="n">
        <v>2.5</v>
      </c>
      <c r="F116" s="2" t="n">
        <v>114</v>
      </c>
      <c r="G116" s="2" t="n">
        <v>103.5</v>
      </c>
      <c r="H116" s="2" t="n">
        <v>-46.2</v>
      </c>
      <c r="I116" s="2" t="n">
        <v>-15.8</v>
      </c>
      <c r="J116" s="2" t="n">
        <v>47.52851325</v>
      </c>
    </row>
    <row r="117" customFormat="false" ht="15.8" hidden="false" customHeight="false" outlineLevel="0" collapsed="false">
      <c r="A117" s="1" t="n">
        <v>116</v>
      </c>
      <c r="B117" s="1" t="n">
        <v>97.4</v>
      </c>
      <c r="C117" s="1" t="n">
        <v>-46</v>
      </c>
      <c r="D117" s="1" t="n">
        <v>-14.8</v>
      </c>
      <c r="E117" s="2" t="n">
        <v>2.1</v>
      </c>
      <c r="F117" s="2" t="n">
        <v>113</v>
      </c>
      <c r="G117" s="2" t="n">
        <v>99.2</v>
      </c>
      <c r="H117" s="2" t="n">
        <v>-46.9</v>
      </c>
      <c r="I117" s="2" t="n">
        <v>-15.5</v>
      </c>
      <c r="J117" s="2" t="n">
        <v>42.81610879</v>
      </c>
    </row>
    <row r="118" customFormat="false" ht="15.8" hidden="false" customHeight="false" outlineLevel="0" collapsed="false">
      <c r="A118" s="1" t="n">
        <v>117</v>
      </c>
      <c r="B118" s="1" t="n">
        <v>92.3</v>
      </c>
      <c r="C118" s="1" t="n">
        <v>-47.2</v>
      </c>
      <c r="D118" s="1" t="n">
        <v>-13.2</v>
      </c>
      <c r="E118" s="2" t="n">
        <v>3.3</v>
      </c>
      <c r="F118" s="2" t="n">
        <v>219</v>
      </c>
      <c r="G118" s="2" t="n">
        <v>89.7</v>
      </c>
      <c r="H118" s="2" t="n">
        <v>-47.3</v>
      </c>
      <c r="I118" s="2" t="n">
        <v>-11.2</v>
      </c>
      <c r="J118" s="2" t="n">
        <v>37.51034487</v>
      </c>
    </row>
    <row r="119" customFormat="false" ht="15.8" hidden="false" customHeight="false" outlineLevel="0" collapsed="false">
      <c r="A119" s="1" t="n">
        <v>118</v>
      </c>
      <c r="B119" s="1" t="n">
        <v>87.9</v>
      </c>
      <c r="C119" s="1" t="n">
        <v>-49.8</v>
      </c>
      <c r="D119" s="1" t="n">
        <v>-12.9</v>
      </c>
      <c r="E119" s="2" t="n">
        <v>1.8</v>
      </c>
      <c r="F119" s="2" t="n">
        <v>218</v>
      </c>
      <c r="G119" s="2" t="n">
        <v>87.2</v>
      </c>
      <c r="H119" s="2" t="n">
        <v>-48.4</v>
      </c>
      <c r="I119" s="2" t="n">
        <v>-11.9</v>
      </c>
      <c r="J119" s="2" t="n">
        <v>32.45516249</v>
      </c>
    </row>
    <row r="120" customFormat="false" ht="15.8" hidden="false" customHeight="false" outlineLevel="0" collapsed="false">
      <c r="A120" s="1" t="n">
        <v>119</v>
      </c>
      <c r="B120" s="1" t="n">
        <v>86.3</v>
      </c>
      <c r="C120" s="1" t="n">
        <v>-51.2</v>
      </c>
      <c r="D120" s="1" t="n">
        <v>-13.5</v>
      </c>
      <c r="E120" s="2" t="n">
        <v>1.9</v>
      </c>
      <c r="F120" s="2" t="n">
        <v>120</v>
      </c>
      <c r="G120" s="2" t="n">
        <v>85.2</v>
      </c>
      <c r="H120" s="2" t="n">
        <v>-52.8</v>
      </c>
      <c r="I120" s="2" t="n">
        <v>-13.2</v>
      </c>
      <c r="J120" s="2" t="n">
        <v>30.53227754</v>
      </c>
    </row>
    <row r="121" customFormat="false" ht="15.8" hidden="false" customHeight="false" outlineLevel="0" collapsed="false">
      <c r="A121" s="1" t="n">
        <v>120</v>
      </c>
      <c r="B121" s="1" t="n">
        <v>85.2</v>
      </c>
      <c r="C121" s="1" t="n">
        <v>-52.8</v>
      </c>
      <c r="D121" s="1" t="n">
        <v>-13.2</v>
      </c>
      <c r="E121" s="2" t="n">
        <v>0.7</v>
      </c>
      <c r="F121" s="2" t="n">
        <v>121</v>
      </c>
      <c r="G121" s="2" t="n">
        <v>84.7</v>
      </c>
      <c r="H121" s="2" t="n">
        <v>-52.4</v>
      </c>
      <c r="I121" s="2" t="n">
        <v>-12.9</v>
      </c>
      <c r="J121" s="2" t="n">
        <v>28.96314852</v>
      </c>
    </row>
    <row r="122" customFormat="false" ht="15.8" hidden="false" customHeight="false" outlineLevel="0" collapsed="false">
      <c r="A122" s="1" t="n">
        <v>121</v>
      </c>
      <c r="B122" s="1" t="n">
        <v>84.7</v>
      </c>
      <c r="C122" s="1" t="n">
        <v>-52.4</v>
      </c>
      <c r="D122" s="1" t="n">
        <v>-12.9</v>
      </c>
      <c r="E122" s="2" t="n">
        <v>0.7</v>
      </c>
      <c r="F122" s="2" t="n">
        <v>120</v>
      </c>
      <c r="G122" s="2" t="n">
        <v>85.2</v>
      </c>
      <c r="H122" s="2" t="n">
        <v>-52.8</v>
      </c>
      <c r="I122" s="2" t="n">
        <v>-13.2</v>
      </c>
      <c r="J122" s="2" t="n">
        <v>28.58224575</v>
      </c>
    </row>
    <row r="123" customFormat="false" ht="15.8" hidden="false" customHeight="false" outlineLevel="0" collapsed="false">
      <c r="A123" s="1" t="n">
        <v>122</v>
      </c>
      <c r="B123" s="1" t="n">
        <v>82.5</v>
      </c>
      <c r="C123" s="1" t="n">
        <v>-50.1</v>
      </c>
      <c r="D123" s="1" t="n">
        <v>-12.2</v>
      </c>
      <c r="E123" s="2" t="n">
        <v>1</v>
      </c>
      <c r="F123" s="2" t="n">
        <v>123</v>
      </c>
      <c r="G123" s="2" t="n">
        <v>82.9</v>
      </c>
      <c r="H123" s="2" t="n">
        <v>-50.7</v>
      </c>
      <c r="I123" s="2" t="n">
        <v>-11.5</v>
      </c>
      <c r="J123" s="2" t="n">
        <v>27.31371033</v>
      </c>
    </row>
    <row r="124" customFormat="false" ht="15.8" hidden="false" customHeight="false" outlineLevel="0" collapsed="false">
      <c r="A124" s="1" t="n">
        <v>123</v>
      </c>
      <c r="B124" s="1" t="n">
        <v>82.9</v>
      </c>
      <c r="C124" s="1" t="n">
        <v>-50.7</v>
      </c>
      <c r="D124" s="1" t="n">
        <v>-11.5</v>
      </c>
      <c r="E124" s="2" t="n">
        <v>1</v>
      </c>
      <c r="F124" s="2" t="n">
        <v>122</v>
      </c>
      <c r="G124" s="2" t="n">
        <v>82.5</v>
      </c>
      <c r="H124" s="2" t="n">
        <v>-50.1</v>
      </c>
      <c r="I124" s="2" t="n">
        <v>-12.2</v>
      </c>
      <c r="J124" s="2" t="n">
        <v>27.40359049</v>
      </c>
    </row>
    <row r="125" customFormat="false" ht="15.8" hidden="false" customHeight="false" outlineLevel="0" collapsed="false">
      <c r="A125" s="1" t="n">
        <v>124</v>
      </c>
      <c r="B125" s="1" t="n">
        <v>83.3</v>
      </c>
      <c r="C125" s="1" t="n">
        <v>-51.9</v>
      </c>
      <c r="D125" s="1" t="n">
        <v>-11.9</v>
      </c>
      <c r="E125" s="2" t="n">
        <v>1.3</v>
      </c>
      <c r="F125" s="2" t="n">
        <v>123</v>
      </c>
      <c r="G125" s="2" t="n">
        <v>82.9</v>
      </c>
      <c r="H125" s="2" t="n">
        <v>-50.7</v>
      </c>
      <c r="I125" s="2" t="n">
        <v>-11.5</v>
      </c>
      <c r="J125" s="2" t="n">
        <v>27.35575939</v>
      </c>
    </row>
    <row r="126" customFormat="false" ht="15.8" hidden="false" customHeight="false" outlineLevel="0" collapsed="false">
      <c r="A126" s="1" t="n">
        <v>125</v>
      </c>
      <c r="B126" s="1" t="n">
        <v>81.4</v>
      </c>
      <c r="C126" s="1" t="n">
        <v>-51</v>
      </c>
      <c r="D126" s="1" t="n">
        <v>-11.9</v>
      </c>
      <c r="E126" s="2" t="n">
        <v>1.5</v>
      </c>
      <c r="F126" s="2" t="n">
        <v>122</v>
      </c>
      <c r="G126" s="2" t="n">
        <v>82.5</v>
      </c>
      <c r="H126" s="2" t="n">
        <v>-50.1</v>
      </c>
      <c r="I126" s="2" t="n">
        <v>-12.2</v>
      </c>
      <c r="J126" s="2" t="n">
        <v>25.92761408</v>
      </c>
    </row>
    <row r="127" customFormat="false" ht="15.8" hidden="false" customHeight="false" outlineLevel="0" collapsed="false">
      <c r="A127" s="1" t="n">
        <v>126</v>
      </c>
      <c r="B127" s="1" t="n">
        <v>78</v>
      </c>
      <c r="C127" s="1" t="n">
        <v>-54</v>
      </c>
      <c r="D127" s="1" t="n">
        <v>-11.5</v>
      </c>
      <c r="E127" s="2" t="n">
        <v>1.9</v>
      </c>
      <c r="F127" s="2" t="n">
        <v>105</v>
      </c>
      <c r="G127" s="2" t="n">
        <v>78.5</v>
      </c>
      <c r="H127" s="2" t="n">
        <v>-55.2</v>
      </c>
      <c r="I127" s="2" t="n">
        <v>-12.9</v>
      </c>
      <c r="J127" s="2" t="n">
        <v>21.64407475</v>
      </c>
    </row>
    <row r="128" customFormat="false" ht="15.8" hidden="false" customHeight="false" outlineLevel="0" collapsed="false">
      <c r="A128" s="1" t="n">
        <v>127</v>
      </c>
      <c r="B128" s="1" t="n">
        <v>95.3</v>
      </c>
      <c r="C128" s="1" t="n">
        <v>-55.2</v>
      </c>
      <c r="D128" s="1" t="n">
        <v>-11.5</v>
      </c>
      <c r="E128" s="2" t="n">
        <v>1.8</v>
      </c>
      <c r="F128" s="2" t="n">
        <v>139</v>
      </c>
      <c r="G128" s="2" t="n">
        <v>93.8</v>
      </c>
      <c r="H128" s="2" t="n">
        <v>-54.3</v>
      </c>
      <c r="I128" s="2" t="n">
        <v>-11.9</v>
      </c>
      <c r="J128" s="2" t="n">
        <v>38.15185411</v>
      </c>
    </row>
    <row r="129" customFormat="false" ht="15.8" hidden="false" customHeight="false" outlineLevel="0" collapsed="false">
      <c r="A129" s="1" t="n">
        <v>128</v>
      </c>
      <c r="B129" s="1" t="n">
        <v>97.2</v>
      </c>
      <c r="C129" s="1" t="n">
        <v>-55</v>
      </c>
      <c r="D129" s="1" t="n">
        <v>-11.9</v>
      </c>
      <c r="E129" s="2" t="n">
        <v>1.6</v>
      </c>
      <c r="F129" s="2" t="n">
        <v>133</v>
      </c>
      <c r="G129" s="2" t="n">
        <v>97.5</v>
      </c>
      <c r="H129" s="2" t="n">
        <v>-56.4</v>
      </c>
      <c r="I129" s="2" t="n">
        <v>-12.5</v>
      </c>
      <c r="J129" s="2" t="n">
        <v>40.07173033</v>
      </c>
    </row>
    <row r="130" customFormat="false" ht="15.8" hidden="false" customHeight="false" outlineLevel="0" collapsed="false">
      <c r="A130" s="1" t="n">
        <v>129</v>
      </c>
      <c r="B130" s="1" t="n">
        <v>95.9</v>
      </c>
      <c r="C130" s="1" t="n">
        <v>-58</v>
      </c>
      <c r="D130" s="1" t="n">
        <v>-12.9</v>
      </c>
      <c r="E130" s="2" t="n">
        <v>1.1</v>
      </c>
      <c r="F130" s="2" t="n">
        <v>131</v>
      </c>
      <c r="G130" s="2" t="n">
        <v>95.6</v>
      </c>
      <c r="H130" s="2" t="n">
        <v>-57</v>
      </c>
      <c r="I130" s="2" t="n">
        <v>-12.5</v>
      </c>
      <c r="J130" s="2" t="n">
        <v>38.46794993</v>
      </c>
    </row>
    <row r="131" customFormat="false" ht="15.8" hidden="false" customHeight="false" outlineLevel="0" collapsed="false">
      <c r="A131" s="1" t="n">
        <v>130</v>
      </c>
      <c r="B131" s="1" t="n">
        <v>97.4</v>
      </c>
      <c r="C131" s="1" t="n">
        <v>-57.3</v>
      </c>
      <c r="D131" s="1" t="n">
        <v>-12.9</v>
      </c>
      <c r="E131" s="2" t="n">
        <v>0.5</v>
      </c>
      <c r="F131" s="2" t="n">
        <v>136</v>
      </c>
      <c r="G131" s="2" t="n">
        <v>97.7</v>
      </c>
      <c r="H131" s="2" t="n">
        <v>-57.1</v>
      </c>
      <c r="I131" s="2" t="n">
        <v>-12.5</v>
      </c>
      <c r="J131" s="2" t="n">
        <v>40.02353772</v>
      </c>
    </row>
    <row r="132" customFormat="false" ht="15.8" hidden="false" customHeight="false" outlineLevel="0" collapsed="false">
      <c r="A132" s="1" t="n">
        <v>131</v>
      </c>
      <c r="B132" s="1" t="n">
        <v>95.6</v>
      </c>
      <c r="C132" s="1" t="n">
        <v>-57</v>
      </c>
      <c r="D132" s="1" t="n">
        <v>-12.5</v>
      </c>
      <c r="E132" s="2" t="n">
        <v>1.1</v>
      </c>
      <c r="F132" s="2" t="n">
        <v>129</v>
      </c>
      <c r="G132" s="2" t="n">
        <v>95.9</v>
      </c>
      <c r="H132" s="2" t="n">
        <v>-58</v>
      </c>
      <c r="I132" s="2" t="n">
        <v>-12.9</v>
      </c>
      <c r="J132" s="2" t="n">
        <v>38.24524509</v>
      </c>
    </row>
    <row r="133" customFormat="false" ht="15.8" hidden="false" customHeight="false" outlineLevel="0" collapsed="false">
      <c r="A133" s="1" t="n">
        <v>132</v>
      </c>
      <c r="B133" s="1" t="n">
        <v>100</v>
      </c>
      <c r="C133" s="1" t="n">
        <v>-52.6</v>
      </c>
      <c r="D133" s="1" t="n">
        <v>-11.9</v>
      </c>
      <c r="E133" s="2" t="n">
        <v>2.6</v>
      </c>
      <c r="F133" s="2" t="n">
        <v>138</v>
      </c>
      <c r="G133" s="2" t="n">
        <v>100.2</v>
      </c>
      <c r="H133" s="2" t="n">
        <v>-54.2</v>
      </c>
      <c r="I133" s="2" t="n">
        <v>-13.9</v>
      </c>
      <c r="J133" s="2" t="n">
        <v>43.25573687</v>
      </c>
    </row>
    <row r="134" customFormat="false" ht="15.8" hidden="false" customHeight="false" outlineLevel="0" collapsed="false">
      <c r="A134" s="1" t="n">
        <v>133</v>
      </c>
      <c r="B134" s="1" t="n">
        <v>97.5</v>
      </c>
      <c r="C134" s="1" t="n">
        <v>-56.4</v>
      </c>
      <c r="D134" s="1" t="n">
        <v>-12.5</v>
      </c>
      <c r="E134" s="2" t="n">
        <v>0.7</v>
      </c>
      <c r="F134" s="2" t="n">
        <v>136</v>
      </c>
      <c r="G134" s="2" t="n">
        <v>97.7</v>
      </c>
      <c r="H134" s="2" t="n">
        <v>-57.1</v>
      </c>
      <c r="I134" s="2" t="n">
        <v>-12.5</v>
      </c>
      <c r="J134" s="2" t="n">
        <v>40.1997907</v>
      </c>
    </row>
    <row r="135" customFormat="false" ht="15.8" hidden="false" customHeight="false" outlineLevel="0" collapsed="false">
      <c r="A135" s="1" t="n">
        <v>134</v>
      </c>
      <c r="B135" s="1" t="n">
        <v>98.1</v>
      </c>
      <c r="C135" s="1" t="n">
        <v>-56.3</v>
      </c>
      <c r="D135" s="1" t="n">
        <v>-12.9</v>
      </c>
      <c r="E135" s="2" t="n">
        <v>0.7</v>
      </c>
      <c r="F135" s="2" t="n">
        <v>133</v>
      </c>
      <c r="G135" s="2" t="n">
        <v>97.5</v>
      </c>
      <c r="H135" s="2" t="n">
        <v>-56.4</v>
      </c>
      <c r="I135" s="2" t="n">
        <v>-12.5</v>
      </c>
      <c r="J135" s="2" t="n">
        <v>40.82924408</v>
      </c>
    </row>
    <row r="136" customFormat="false" ht="15.8" hidden="false" customHeight="false" outlineLevel="0" collapsed="false">
      <c r="A136" s="1" t="n">
        <v>135</v>
      </c>
      <c r="B136" s="1" t="n">
        <v>99.2</v>
      </c>
      <c r="C136" s="1" t="n">
        <v>-56.8</v>
      </c>
      <c r="D136" s="1" t="n">
        <v>-12.9</v>
      </c>
      <c r="E136" s="2" t="n">
        <v>1.2</v>
      </c>
      <c r="F136" s="2" t="n">
        <v>134</v>
      </c>
      <c r="G136" s="2" t="n">
        <v>98.1</v>
      </c>
      <c r="H136" s="2" t="n">
        <v>-56.3</v>
      </c>
      <c r="I136" s="2" t="n">
        <v>-12.9</v>
      </c>
      <c r="J136" s="2" t="n">
        <v>41.8623694</v>
      </c>
    </row>
    <row r="137" customFormat="false" ht="15.8" hidden="false" customHeight="false" outlineLevel="0" collapsed="false">
      <c r="A137" s="1" t="n">
        <v>136</v>
      </c>
      <c r="B137" s="1" t="n">
        <v>97.7</v>
      </c>
      <c r="C137" s="1" t="n">
        <v>-57.1</v>
      </c>
      <c r="D137" s="1" t="n">
        <v>-12.5</v>
      </c>
      <c r="E137" s="2" t="n">
        <v>0.5</v>
      </c>
      <c r="F137" s="2" t="n">
        <v>130</v>
      </c>
      <c r="G137" s="2" t="n">
        <v>97.4</v>
      </c>
      <c r="H137" s="2" t="n">
        <v>-57.3</v>
      </c>
      <c r="I137" s="2" t="n">
        <v>-12.9</v>
      </c>
      <c r="J137" s="2" t="n">
        <v>40.31900758</v>
      </c>
    </row>
    <row r="138" customFormat="false" ht="15.8" hidden="false" customHeight="false" outlineLevel="0" collapsed="false">
      <c r="A138" s="1" t="n">
        <v>137</v>
      </c>
      <c r="B138" s="1" t="n">
        <v>97.6</v>
      </c>
      <c r="C138" s="1" t="n">
        <v>-56.6</v>
      </c>
      <c r="D138" s="1" t="n">
        <v>-11.5</v>
      </c>
      <c r="E138" s="2" t="n">
        <v>1</v>
      </c>
      <c r="F138" s="2" t="n">
        <v>133</v>
      </c>
      <c r="G138" s="2" t="n">
        <v>97.5</v>
      </c>
      <c r="H138" s="2" t="n">
        <v>-56.4</v>
      </c>
      <c r="I138" s="2" t="n">
        <v>-12.5</v>
      </c>
      <c r="J138" s="2" t="n">
        <v>40.23530256</v>
      </c>
    </row>
    <row r="139" customFormat="false" ht="15.8" hidden="false" customHeight="false" outlineLevel="0" collapsed="false">
      <c r="A139" s="1" t="n">
        <v>138</v>
      </c>
      <c r="B139" s="1" t="n">
        <v>100.2</v>
      </c>
      <c r="C139" s="1" t="n">
        <v>-54.2</v>
      </c>
      <c r="D139" s="1" t="n">
        <v>-13.9</v>
      </c>
      <c r="E139" s="2" t="n">
        <v>2.6</v>
      </c>
      <c r="F139" s="2" t="n">
        <v>132</v>
      </c>
      <c r="G139" s="2" t="n">
        <v>100</v>
      </c>
      <c r="H139" s="2" t="n">
        <v>-52.6</v>
      </c>
      <c r="I139" s="2" t="n">
        <v>-11.9</v>
      </c>
      <c r="J139" s="2" t="n">
        <v>43.27513341</v>
      </c>
    </row>
    <row r="140" customFormat="false" ht="15.8" hidden="false" customHeight="false" outlineLevel="0" collapsed="false">
      <c r="A140" s="1" t="n">
        <v>139</v>
      </c>
      <c r="B140" s="1" t="n">
        <v>93.8</v>
      </c>
      <c r="C140" s="1" t="n">
        <v>-54.3</v>
      </c>
      <c r="D140" s="1" t="n">
        <v>-11.9</v>
      </c>
      <c r="E140" s="2" t="n">
        <v>1.8</v>
      </c>
      <c r="F140" s="2" t="n">
        <v>127</v>
      </c>
      <c r="G140" s="2" t="n">
        <v>95.3</v>
      </c>
      <c r="H140" s="2" t="n">
        <v>-55.2</v>
      </c>
      <c r="I140" s="2" t="n">
        <v>-11.5</v>
      </c>
      <c r="J140" s="2" t="n">
        <v>36.84728989</v>
      </c>
    </row>
    <row r="141" customFormat="false" ht="15.8" hidden="false" customHeight="false" outlineLevel="0" collapsed="false">
      <c r="A141" s="1" t="n">
        <v>140</v>
      </c>
      <c r="B141" s="1" t="n">
        <v>89.2</v>
      </c>
      <c r="C141" s="1" t="n">
        <v>-53.2</v>
      </c>
      <c r="D141" s="1" t="n">
        <v>-11.2</v>
      </c>
      <c r="E141" s="2" t="n">
        <v>3.2</v>
      </c>
      <c r="F141" s="2" t="n">
        <v>150</v>
      </c>
      <c r="G141" s="2" t="n">
        <v>89.5</v>
      </c>
      <c r="H141" s="2" t="n">
        <v>-55.9</v>
      </c>
      <c r="I141" s="2" t="n">
        <v>-9.6</v>
      </c>
      <c r="J141" s="2" t="n">
        <v>32.57869199</v>
      </c>
    </row>
    <row r="142" customFormat="false" ht="15.8" hidden="false" customHeight="false" outlineLevel="0" collapsed="false">
      <c r="A142" s="1" t="n">
        <v>141</v>
      </c>
      <c r="B142" s="1" t="n">
        <v>99.4</v>
      </c>
      <c r="C142" s="1" t="n">
        <v>-46.1</v>
      </c>
      <c r="D142" s="1" t="n">
        <v>-10.2</v>
      </c>
      <c r="E142" s="2" t="n">
        <v>1.3</v>
      </c>
      <c r="F142" s="2" t="n">
        <v>142</v>
      </c>
      <c r="G142" s="2" t="n">
        <v>99.5</v>
      </c>
      <c r="H142" s="2" t="n">
        <v>-47.4</v>
      </c>
      <c r="I142" s="2" t="n">
        <v>-10.2</v>
      </c>
      <c r="J142" s="2" t="n">
        <v>44.42773877</v>
      </c>
    </row>
    <row r="143" customFormat="false" ht="15.8" hidden="false" customHeight="false" outlineLevel="0" collapsed="false">
      <c r="A143" s="1" t="n">
        <v>142</v>
      </c>
      <c r="B143" s="1" t="n">
        <v>99.5</v>
      </c>
      <c r="C143" s="1" t="n">
        <v>-47.4</v>
      </c>
      <c r="D143" s="1" t="n">
        <v>-10.2</v>
      </c>
      <c r="E143" s="2" t="n">
        <v>1.3</v>
      </c>
      <c r="F143" s="2" t="n">
        <v>141</v>
      </c>
      <c r="G143" s="2" t="n">
        <v>99.4</v>
      </c>
      <c r="H143" s="2" t="n">
        <v>-46.1</v>
      </c>
      <c r="I143" s="2" t="n">
        <v>-10.2</v>
      </c>
      <c r="J143" s="2" t="n">
        <v>44.09463881</v>
      </c>
    </row>
    <row r="144" customFormat="false" ht="15.8" hidden="false" customHeight="false" outlineLevel="0" collapsed="false">
      <c r="A144" s="1" t="n">
        <v>143</v>
      </c>
      <c r="B144" s="1" t="n">
        <v>94.1</v>
      </c>
      <c r="C144" s="1" t="n">
        <v>-48.4</v>
      </c>
      <c r="D144" s="1" t="n">
        <v>-10.6</v>
      </c>
      <c r="E144" s="2" t="n">
        <v>1.7</v>
      </c>
      <c r="F144" s="2" t="n">
        <v>147</v>
      </c>
      <c r="G144" s="2" t="n">
        <v>94</v>
      </c>
      <c r="H144" s="2" t="n">
        <v>-48.7</v>
      </c>
      <c r="I144" s="2" t="n">
        <v>-8.9</v>
      </c>
      <c r="J144" s="2" t="n">
        <v>38.66225513</v>
      </c>
    </row>
    <row r="145" customFormat="false" ht="15.8" hidden="false" customHeight="false" outlineLevel="0" collapsed="false">
      <c r="A145" s="1" t="n">
        <v>144</v>
      </c>
      <c r="B145" s="1" t="n">
        <v>95.4</v>
      </c>
      <c r="C145" s="1" t="n">
        <v>-50.2</v>
      </c>
      <c r="D145" s="1" t="n">
        <v>-10.2</v>
      </c>
      <c r="E145" s="2" t="n">
        <v>0.6</v>
      </c>
      <c r="F145" s="2" t="n">
        <v>145</v>
      </c>
      <c r="G145" s="2" t="n">
        <v>95.7</v>
      </c>
      <c r="H145" s="2" t="n">
        <v>-49.6</v>
      </c>
      <c r="I145" s="2" t="n">
        <v>-10.2</v>
      </c>
      <c r="J145" s="2" t="n">
        <v>39.34453929</v>
      </c>
    </row>
    <row r="146" customFormat="false" ht="15.8" hidden="false" customHeight="false" outlineLevel="0" collapsed="false">
      <c r="A146" s="1" t="n">
        <v>145</v>
      </c>
      <c r="B146" s="1" t="n">
        <v>95.7</v>
      </c>
      <c r="C146" s="1" t="n">
        <v>-49.6</v>
      </c>
      <c r="D146" s="1" t="n">
        <v>-10.2</v>
      </c>
      <c r="E146" s="2" t="n">
        <v>0.6</v>
      </c>
      <c r="F146" s="2" t="n">
        <v>144</v>
      </c>
      <c r="G146" s="2" t="n">
        <v>95.4</v>
      </c>
      <c r="H146" s="2" t="n">
        <v>-50.2</v>
      </c>
      <c r="I146" s="2" t="n">
        <v>-10.2</v>
      </c>
      <c r="J146" s="2" t="n">
        <v>39.80472801</v>
      </c>
    </row>
    <row r="147" customFormat="false" ht="15.8" hidden="false" customHeight="false" outlineLevel="0" collapsed="false">
      <c r="A147" s="1" t="n">
        <v>146</v>
      </c>
      <c r="B147" s="1" t="n">
        <v>96.4</v>
      </c>
      <c r="C147" s="1" t="n">
        <v>-47</v>
      </c>
      <c r="D147" s="1" t="n">
        <v>-8.6</v>
      </c>
      <c r="E147" s="2" t="n">
        <v>2.9</v>
      </c>
      <c r="F147" s="2" t="n">
        <v>192</v>
      </c>
      <c r="G147" s="2" t="n">
        <v>98.2</v>
      </c>
      <c r="H147" s="2" t="n">
        <v>-45.8</v>
      </c>
      <c r="I147" s="2" t="n">
        <v>-6.6</v>
      </c>
      <c r="J147" s="2" t="n">
        <v>41.3400432</v>
      </c>
    </row>
    <row r="148" customFormat="false" ht="15.8" hidden="false" customHeight="false" outlineLevel="0" collapsed="false">
      <c r="A148" s="1" t="n">
        <v>147</v>
      </c>
      <c r="B148" s="1" t="n">
        <v>94</v>
      </c>
      <c r="C148" s="1" t="n">
        <v>-48.7</v>
      </c>
      <c r="D148" s="1" t="n">
        <v>-8.9</v>
      </c>
      <c r="E148" s="2" t="n">
        <v>1.7</v>
      </c>
      <c r="F148" s="2" t="n">
        <v>143</v>
      </c>
      <c r="G148" s="2" t="n">
        <v>94.1</v>
      </c>
      <c r="H148" s="2" t="n">
        <v>-48.4</v>
      </c>
      <c r="I148" s="2" t="n">
        <v>-10.6</v>
      </c>
      <c r="J148" s="2" t="n">
        <v>38.49737098</v>
      </c>
    </row>
    <row r="149" customFormat="false" ht="15.8" hidden="false" customHeight="false" outlineLevel="0" collapsed="false">
      <c r="A149" s="1" t="n">
        <v>148</v>
      </c>
      <c r="B149" s="1" t="n">
        <v>92.1</v>
      </c>
      <c r="C149" s="1" t="n">
        <v>-50.5</v>
      </c>
      <c r="D149" s="1" t="n">
        <v>-9.9</v>
      </c>
      <c r="E149" s="2" t="n">
        <v>2.8</v>
      </c>
      <c r="F149" s="2" t="n">
        <v>147</v>
      </c>
      <c r="G149" s="2" t="n">
        <v>94</v>
      </c>
      <c r="H149" s="2" t="n">
        <v>-48.7</v>
      </c>
      <c r="I149" s="2" t="n">
        <v>-8.9</v>
      </c>
      <c r="J149" s="2" t="n">
        <v>36.10275297</v>
      </c>
    </row>
    <row r="150" customFormat="false" ht="15.8" hidden="false" customHeight="false" outlineLevel="0" collapsed="false">
      <c r="A150" s="1" t="n">
        <v>149</v>
      </c>
      <c r="B150" s="1" t="n">
        <v>91.5</v>
      </c>
      <c r="C150" s="1" t="n">
        <v>-55.7</v>
      </c>
      <c r="D150" s="1" t="n">
        <v>-9.2</v>
      </c>
      <c r="E150" s="2" t="n">
        <v>2</v>
      </c>
      <c r="F150" s="2" t="n">
        <v>150</v>
      </c>
      <c r="G150" s="2" t="n">
        <v>89.5</v>
      </c>
      <c r="H150" s="2" t="n">
        <v>-55.9</v>
      </c>
      <c r="I150" s="2" t="n">
        <v>-9.6</v>
      </c>
      <c r="J150" s="2" t="n">
        <v>34.32613541</v>
      </c>
    </row>
    <row r="151" customFormat="false" ht="15.8" hidden="false" customHeight="false" outlineLevel="0" collapsed="false">
      <c r="A151" s="1" t="n">
        <v>150</v>
      </c>
      <c r="B151" s="1" t="n">
        <v>89.5</v>
      </c>
      <c r="C151" s="1" t="n">
        <v>-55.9</v>
      </c>
      <c r="D151" s="1" t="n">
        <v>-9.6</v>
      </c>
      <c r="E151" s="2" t="n">
        <v>1.3</v>
      </c>
      <c r="F151" s="2" t="n">
        <v>151</v>
      </c>
      <c r="G151" s="2" t="n">
        <v>88.3</v>
      </c>
      <c r="H151" s="2" t="n">
        <v>-55.7</v>
      </c>
      <c r="I151" s="2" t="n">
        <v>-8.9</v>
      </c>
      <c r="J151" s="2" t="n">
        <v>32.30952138</v>
      </c>
    </row>
    <row r="152" customFormat="false" ht="15.8" hidden="false" customHeight="false" outlineLevel="0" collapsed="false">
      <c r="A152" s="1" t="n">
        <v>151</v>
      </c>
      <c r="B152" s="1" t="n">
        <v>88.3</v>
      </c>
      <c r="C152" s="1" t="n">
        <v>-55.7</v>
      </c>
      <c r="D152" s="1" t="n">
        <v>-8.9</v>
      </c>
      <c r="E152" s="2" t="n">
        <v>1.3</v>
      </c>
      <c r="F152" s="2" t="n">
        <v>150</v>
      </c>
      <c r="G152" s="2" t="n">
        <v>89.5</v>
      </c>
      <c r="H152" s="2" t="n">
        <v>-55.9</v>
      </c>
      <c r="I152" s="2" t="n">
        <v>-9.6</v>
      </c>
      <c r="J152" s="2" t="n">
        <v>31.18865133</v>
      </c>
    </row>
    <row r="153" customFormat="false" ht="15.8" hidden="false" customHeight="false" outlineLevel="0" collapsed="false">
      <c r="A153" s="1" t="n">
        <v>152</v>
      </c>
      <c r="B153" s="1" t="n">
        <v>86</v>
      </c>
      <c r="C153" s="1" t="n">
        <v>-53.9</v>
      </c>
      <c r="D153" s="1" t="n">
        <v>-11.5</v>
      </c>
      <c r="E153" s="2" t="n">
        <v>2.2</v>
      </c>
      <c r="F153" s="2" t="n">
        <v>120</v>
      </c>
      <c r="G153" s="2" t="n">
        <v>85.2</v>
      </c>
      <c r="H153" s="2" t="n">
        <v>-52.8</v>
      </c>
      <c r="I153" s="2" t="n">
        <v>-13.2</v>
      </c>
      <c r="J153" s="2" t="n">
        <v>29.31622711</v>
      </c>
    </row>
    <row r="154" customFormat="false" ht="15.8" hidden="false" customHeight="false" outlineLevel="0" collapsed="false">
      <c r="A154" s="1" t="n">
        <v>153</v>
      </c>
      <c r="B154" s="1" t="n">
        <v>81.6</v>
      </c>
      <c r="C154" s="1" t="n">
        <v>-56.6</v>
      </c>
      <c r="D154" s="1" t="n">
        <v>-10.2</v>
      </c>
      <c r="E154" s="2" t="n">
        <v>1.7</v>
      </c>
      <c r="F154" s="2" t="n">
        <v>156</v>
      </c>
      <c r="G154" s="2" t="n">
        <v>82.6</v>
      </c>
      <c r="H154" s="2" t="n">
        <v>-55.2</v>
      </c>
      <c r="I154" s="2" t="n">
        <v>-10.2</v>
      </c>
      <c r="J154" s="2" t="n">
        <v>24.40290089</v>
      </c>
    </row>
    <row r="155" customFormat="false" ht="15.8" hidden="false" customHeight="false" outlineLevel="0" collapsed="false">
      <c r="A155" s="1" t="n">
        <v>154</v>
      </c>
      <c r="B155" s="1" t="n">
        <v>80.9</v>
      </c>
      <c r="C155" s="1" t="n">
        <v>-64</v>
      </c>
      <c r="D155" s="1" t="n">
        <v>-8.2</v>
      </c>
      <c r="E155" s="2" t="n">
        <v>4.4</v>
      </c>
      <c r="F155" s="2" t="n">
        <v>155</v>
      </c>
      <c r="G155" s="2" t="n">
        <v>81.9</v>
      </c>
      <c r="H155" s="2" t="n">
        <v>-59.8</v>
      </c>
      <c r="I155" s="2" t="n">
        <v>-9.2</v>
      </c>
      <c r="J155" s="2" t="n">
        <v>23.50279073</v>
      </c>
    </row>
    <row r="156" customFormat="false" ht="15.8" hidden="false" customHeight="false" outlineLevel="0" collapsed="false">
      <c r="A156" s="1" t="n">
        <v>155</v>
      </c>
      <c r="B156" s="1" t="n">
        <v>81.9</v>
      </c>
      <c r="C156" s="1" t="n">
        <v>-59.8</v>
      </c>
      <c r="D156" s="1" t="n">
        <v>-9.2</v>
      </c>
      <c r="E156" s="2" t="n">
        <v>3.4</v>
      </c>
      <c r="F156" s="2" t="n">
        <v>153</v>
      </c>
      <c r="G156" s="2" t="n">
        <v>81.6</v>
      </c>
      <c r="H156" s="2" t="n">
        <v>-56.6</v>
      </c>
      <c r="I156" s="2" t="n">
        <v>-10.2</v>
      </c>
      <c r="J156" s="2" t="n">
        <v>24.32035304</v>
      </c>
    </row>
    <row r="157" customFormat="false" ht="15.8" hidden="false" customHeight="false" outlineLevel="0" collapsed="false">
      <c r="A157" s="1" t="n">
        <v>156</v>
      </c>
      <c r="B157" s="1" t="n">
        <v>82.6</v>
      </c>
      <c r="C157" s="1" t="n">
        <v>-55.2</v>
      </c>
      <c r="D157" s="1" t="n">
        <v>-10.2</v>
      </c>
      <c r="E157" s="2" t="n">
        <v>1.7</v>
      </c>
      <c r="F157" s="2" t="n">
        <v>153</v>
      </c>
      <c r="G157" s="2" t="n">
        <v>81.6</v>
      </c>
      <c r="H157" s="2" t="n">
        <v>-56.6</v>
      </c>
      <c r="I157" s="2" t="n">
        <v>-10.2</v>
      </c>
      <c r="J157" s="2" t="n">
        <v>25.68124553</v>
      </c>
    </row>
    <row r="158" customFormat="false" ht="15.8" hidden="false" customHeight="false" outlineLevel="0" collapsed="false">
      <c r="A158" s="1" t="n">
        <v>157</v>
      </c>
      <c r="B158" s="1" t="n">
        <v>83.5</v>
      </c>
      <c r="C158" s="1" t="n">
        <v>-56.7</v>
      </c>
      <c r="D158" s="1" t="n">
        <v>-15.2</v>
      </c>
      <c r="E158" s="2" t="n">
        <v>1.7</v>
      </c>
      <c r="F158" s="2" t="n">
        <v>158</v>
      </c>
      <c r="G158" s="2" t="n">
        <v>84.6</v>
      </c>
      <c r="H158" s="2" t="n">
        <v>-55.6</v>
      </c>
      <c r="I158" s="2" t="n">
        <v>-14.5</v>
      </c>
      <c r="J158" s="2" t="n">
        <v>26.68646796</v>
      </c>
    </row>
    <row r="159" customFormat="false" ht="15.8" hidden="false" customHeight="false" outlineLevel="0" collapsed="false">
      <c r="A159" s="1" t="n">
        <v>158</v>
      </c>
      <c r="B159" s="1" t="n">
        <v>84.6</v>
      </c>
      <c r="C159" s="1" t="n">
        <v>-55.6</v>
      </c>
      <c r="D159" s="1" t="n">
        <v>-14.5</v>
      </c>
      <c r="E159" s="2" t="n">
        <v>1.7</v>
      </c>
      <c r="F159" s="2" t="n">
        <v>157</v>
      </c>
      <c r="G159" s="2" t="n">
        <v>83.5</v>
      </c>
      <c r="H159" s="2" t="n">
        <v>-56.7</v>
      </c>
      <c r="I159" s="2" t="n">
        <v>-15.2</v>
      </c>
      <c r="J159" s="2" t="n">
        <v>27.84506369</v>
      </c>
    </row>
    <row r="160" customFormat="false" ht="15.8" hidden="false" customHeight="false" outlineLevel="0" collapsed="false">
      <c r="A160" s="1" t="n">
        <v>159</v>
      </c>
      <c r="B160" s="1" t="n">
        <v>81.4</v>
      </c>
      <c r="C160" s="1" t="n">
        <v>-60.4</v>
      </c>
      <c r="D160" s="1" t="n">
        <v>-13.2</v>
      </c>
      <c r="E160" s="2" t="n">
        <v>3.4</v>
      </c>
      <c r="F160" s="2" t="n">
        <v>160</v>
      </c>
      <c r="G160" s="2" t="n">
        <v>78.9</v>
      </c>
      <c r="H160" s="2" t="n">
        <v>-58.3</v>
      </c>
      <c r="I160" s="2" t="n">
        <v>-12.5</v>
      </c>
      <c r="J160" s="2" t="n">
        <v>23.92568436</v>
      </c>
    </row>
    <row r="161" customFormat="false" ht="15.8" hidden="false" customHeight="false" outlineLevel="0" collapsed="false">
      <c r="A161" s="1" t="n">
        <v>160</v>
      </c>
      <c r="B161" s="1" t="n">
        <v>78.9</v>
      </c>
      <c r="C161" s="1" t="n">
        <v>-58.3</v>
      </c>
      <c r="D161" s="1" t="n">
        <v>-12.5</v>
      </c>
      <c r="E161" s="2" t="n">
        <v>1.9</v>
      </c>
      <c r="F161" s="2" t="n">
        <v>329</v>
      </c>
      <c r="G161" s="2" t="n">
        <v>77.2</v>
      </c>
      <c r="H161" s="2" t="n">
        <v>-58.9</v>
      </c>
      <c r="I161" s="2" t="n">
        <v>-11.9</v>
      </c>
      <c r="J161" s="2" t="n">
        <v>21.55814398</v>
      </c>
    </row>
    <row r="162" customFormat="false" ht="15.8" hidden="false" customHeight="false" outlineLevel="0" collapsed="false">
      <c r="A162" s="1" t="n">
        <v>161</v>
      </c>
      <c r="B162" s="1" t="n">
        <v>75.4</v>
      </c>
      <c r="C162" s="1" t="n">
        <v>-55.5</v>
      </c>
      <c r="D162" s="1" t="n">
        <v>-10.2</v>
      </c>
      <c r="E162" s="2" t="n">
        <v>1.9</v>
      </c>
      <c r="F162" s="2" t="n">
        <v>103</v>
      </c>
      <c r="G162" s="2" t="n">
        <v>74.8</v>
      </c>
      <c r="H162" s="2" t="n">
        <v>-54.3</v>
      </c>
      <c r="I162" s="2" t="n">
        <v>-11.5</v>
      </c>
      <c r="J162" s="2" t="n">
        <v>18.67081069</v>
      </c>
    </row>
    <row r="163" customFormat="false" ht="15.8" hidden="false" customHeight="false" outlineLevel="0" collapsed="false">
      <c r="A163" s="1" t="n">
        <v>162</v>
      </c>
      <c r="B163" s="1" t="n">
        <v>79.7</v>
      </c>
      <c r="C163" s="1" t="n">
        <v>-38.1</v>
      </c>
      <c r="D163" s="1" t="n">
        <v>-7.3</v>
      </c>
      <c r="E163" s="2" t="n">
        <v>5.3</v>
      </c>
      <c r="F163" s="2" t="n">
        <v>163</v>
      </c>
      <c r="G163" s="2" t="n">
        <v>84.7</v>
      </c>
      <c r="H163" s="2" t="n">
        <v>-39.7</v>
      </c>
      <c r="I163" s="2" t="n">
        <v>-6.9</v>
      </c>
      <c r="J163" s="2" t="n">
        <v>32.1569024</v>
      </c>
    </row>
    <row r="164" customFormat="false" ht="15.8" hidden="false" customHeight="false" outlineLevel="0" collapsed="false">
      <c r="A164" s="1" t="n">
        <v>163</v>
      </c>
      <c r="B164" s="1" t="n">
        <v>84.7</v>
      </c>
      <c r="C164" s="1" t="n">
        <v>-39.7</v>
      </c>
      <c r="D164" s="1" t="n">
        <v>-6.9</v>
      </c>
      <c r="E164" s="2" t="n">
        <v>2.5</v>
      </c>
      <c r="F164" s="2" t="n">
        <v>180</v>
      </c>
      <c r="G164" s="2" t="n">
        <v>85.3</v>
      </c>
      <c r="H164" s="2" t="n">
        <v>-37.9</v>
      </c>
      <c r="I164" s="2" t="n">
        <v>-5.3</v>
      </c>
      <c r="J164" s="2" t="n">
        <v>34.79148131</v>
      </c>
    </row>
    <row r="165" customFormat="false" ht="15.8" hidden="false" customHeight="false" outlineLevel="0" collapsed="false">
      <c r="A165" s="1" t="n">
        <v>164</v>
      </c>
      <c r="B165" s="1" t="n">
        <v>82.6</v>
      </c>
      <c r="C165" s="1" t="n">
        <v>-29.3</v>
      </c>
      <c r="D165" s="1" t="n">
        <v>-3.6</v>
      </c>
      <c r="E165" s="2" t="n">
        <v>3.4</v>
      </c>
      <c r="F165" s="2" t="n">
        <v>166</v>
      </c>
      <c r="G165" s="2" t="n">
        <v>85.7</v>
      </c>
      <c r="H165" s="2" t="n">
        <v>-30.4</v>
      </c>
      <c r="I165" s="2" t="n">
        <v>-3</v>
      </c>
      <c r="J165" s="2" t="n">
        <v>41.14398099</v>
      </c>
    </row>
    <row r="166" customFormat="false" ht="15.8" hidden="false" customHeight="false" outlineLevel="0" collapsed="false">
      <c r="A166" s="1" t="n">
        <v>165</v>
      </c>
      <c r="B166" s="1" t="n">
        <v>90</v>
      </c>
      <c r="C166" s="1" t="n">
        <v>-28</v>
      </c>
      <c r="D166" s="1" t="n">
        <v>-4.6</v>
      </c>
      <c r="E166" s="2" t="n">
        <v>2.4</v>
      </c>
      <c r="F166" s="2" t="n">
        <v>171</v>
      </c>
      <c r="G166" s="2" t="n">
        <v>90.5</v>
      </c>
      <c r="H166" s="2" t="n">
        <v>-30.3</v>
      </c>
      <c r="I166" s="2" t="n">
        <v>-4</v>
      </c>
      <c r="J166" s="2" t="n">
        <v>46.78743391</v>
      </c>
    </row>
    <row r="167" customFormat="false" ht="15.8" hidden="false" customHeight="false" outlineLevel="0" collapsed="false">
      <c r="A167" s="1" t="n">
        <v>166</v>
      </c>
      <c r="B167" s="1" t="n">
        <v>85.7</v>
      </c>
      <c r="C167" s="1" t="n">
        <v>-30.4</v>
      </c>
      <c r="D167" s="1" t="n">
        <v>-3</v>
      </c>
      <c r="E167" s="2" t="n">
        <v>2.2</v>
      </c>
      <c r="F167" s="2" t="n">
        <v>168</v>
      </c>
      <c r="G167" s="2" t="n">
        <v>86.5</v>
      </c>
      <c r="H167" s="2" t="n">
        <v>-32.5</v>
      </c>
      <c r="I167" s="2" t="n">
        <v>-3</v>
      </c>
      <c r="J167" s="2" t="n">
        <v>42.38403912</v>
      </c>
    </row>
    <row r="168" customFormat="false" ht="15.8" hidden="false" customHeight="false" outlineLevel="0" collapsed="false">
      <c r="A168" s="1" t="n">
        <v>167</v>
      </c>
      <c r="B168" s="1" t="n">
        <v>89.1</v>
      </c>
      <c r="C168" s="1" t="n">
        <v>-30</v>
      </c>
      <c r="D168" s="1" t="n">
        <v>-2.6</v>
      </c>
      <c r="E168" s="2" t="n">
        <v>1.9</v>
      </c>
      <c r="F168" s="2" t="n">
        <v>171</v>
      </c>
      <c r="G168" s="2" t="n">
        <v>90.5</v>
      </c>
      <c r="H168" s="2" t="n">
        <v>-30.3</v>
      </c>
      <c r="I168" s="2" t="n">
        <v>-4</v>
      </c>
      <c r="J168" s="2" t="n">
        <v>45.05142364</v>
      </c>
    </row>
    <row r="169" customFormat="false" ht="15.8" hidden="false" customHeight="false" outlineLevel="0" collapsed="false">
      <c r="A169" s="1" t="n">
        <v>168</v>
      </c>
      <c r="B169" s="1" t="n">
        <v>86.5</v>
      </c>
      <c r="C169" s="1" t="n">
        <v>-32.5</v>
      </c>
      <c r="D169" s="1" t="n">
        <v>-3</v>
      </c>
      <c r="E169" s="2" t="n">
        <v>2.2</v>
      </c>
      <c r="F169" s="2" t="n">
        <v>166</v>
      </c>
      <c r="G169" s="2" t="n">
        <v>85.7</v>
      </c>
      <c r="H169" s="2" t="n">
        <v>-30.4</v>
      </c>
      <c r="I169" s="2" t="n">
        <v>-3</v>
      </c>
      <c r="J169" s="2" t="n">
        <v>41.43093014</v>
      </c>
    </row>
    <row r="170" customFormat="false" ht="15.8" hidden="false" customHeight="false" outlineLevel="0" collapsed="false">
      <c r="A170" s="1" t="n">
        <v>169</v>
      </c>
      <c r="B170" s="1" t="n">
        <v>99.5</v>
      </c>
      <c r="C170" s="1" t="n">
        <v>-30.3</v>
      </c>
      <c r="D170" s="1" t="n">
        <v>-3</v>
      </c>
      <c r="E170" s="2" t="n">
        <v>2.7</v>
      </c>
      <c r="F170" s="2" t="n">
        <v>170</v>
      </c>
      <c r="G170" s="2" t="n">
        <v>97</v>
      </c>
      <c r="H170" s="2" t="n">
        <v>-31.2</v>
      </c>
      <c r="I170" s="2" t="n">
        <v>-3</v>
      </c>
      <c r="J170" s="2" t="n">
        <v>52.60277913</v>
      </c>
    </row>
    <row r="171" customFormat="false" ht="15.8" hidden="false" customHeight="false" outlineLevel="0" collapsed="false">
      <c r="A171" s="1" t="n">
        <v>170</v>
      </c>
      <c r="B171" s="1" t="n">
        <v>97</v>
      </c>
      <c r="C171" s="1" t="n">
        <v>-31.2</v>
      </c>
      <c r="D171" s="1" t="n">
        <v>-3</v>
      </c>
      <c r="E171" s="2" t="n">
        <v>2.7</v>
      </c>
      <c r="F171" s="2" t="n">
        <v>169</v>
      </c>
      <c r="G171" s="2" t="n">
        <v>99.5</v>
      </c>
      <c r="H171" s="2" t="n">
        <v>-30.3</v>
      </c>
      <c r="I171" s="2" t="n">
        <v>-3</v>
      </c>
      <c r="J171" s="2" t="n">
        <v>50.09073339</v>
      </c>
    </row>
    <row r="172" customFormat="false" ht="15.8" hidden="false" customHeight="false" outlineLevel="0" collapsed="false">
      <c r="A172" s="1" t="n">
        <v>171</v>
      </c>
      <c r="B172" s="1" t="n">
        <v>90.5</v>
      </c>
      <c r="C172" s="1" t="n">
        <v>-30.3</v>
      </c>
      <c r="D172" s="1" t="n">
        <v>-4</v>
      </c>
      <c r="E172" s="2" t="n">
        <v>1.9</v>
      </c>
      <c r="F172" s="2" t="n">
        <v>167</v>
      </c>
      <c r="G172" s="2" t="n">
        <v>89.1</v>
      </c>
      <c r="H172" s="2" t="n">
        <v>-30</v>
      </c>
      <c r="I172" s="2" t="n">
        <v>-2.6</v>
      </c>
      <c r="J172" s="2" t="n">
        <v>45.61864062</v>
      </c>
    </row>
    <row r="173" customFormat="false" ht="15.8" hidden="false" customHeight="false" outlineLevel="0" collapsed="false">
      <c r="A173" s="1" t="n">
        <v>172</v>
      </c>
      <c r="B173" s="1" t="n">
        <v>92.9</v>
      </c>
      <c r="C173" s="1" t="n">
        <v>-33.3</v>
      </c>
      <c r="D173" s="1" t="n">
        <v>-2.3</v>
      </c>
      <c r="E173" s="2" t="n">
        <v>2.9</v>
      </c>
      <c r="F173" s="2" t="n">
        <v>177</v>
      </c>
      <c r="G173" s="2" t="n">
        <v>92</v>
      </c>
      <c r="H173" s="2" t="n">
        <v>-35.5</v>
      </c>
      <c r="I173" s="2" t="n">
        <v>-4</v>
      </c>
      <c r="J173" s="2" t="n">
        <v>45.73932195</v>
      </c>
    </row>
    <row r="174" customFormat="false" ht="15.8" hidden="false" customHeight="false" outlineLevel="0" collapsed="false">
      <c r="A174" s="1" t="n">
        <v>173</v>
      </c>
      <c r="B174" s="1" t="n">
        <v>89.6</v>
      </c>
      <c r="C174" s="1" t="n">
        <v>-32.9</v>
      </c>
      <c r="D174" s="1" t="n">
        <v>-3.3</v>
      </c>
      <c r="E174" s="2" t="n">
        <v>2.8</v>
      </c>
      <c r="F174" s="2" t="n">
        <v>174</v>
      </c>
      <c r="G174" s="2" t="n">
        <v>89.9</v>
      </c>
      <c r="H174" s="2" t="n">
        <v>-35.6</v>
      </c>
      <c r="I174" s="2" t="n">
        <v>-3</v>
      </c>
      <c r="J174" s="2" t="n">
        <v>43.33278172</v>
      </c>
    </row>
    <row r="175" customFormat="false" ht="15.8" hidden="false" customHeight="false" outlineLevel="0" collapsed="false">
      <c r="A175" s="1" t="n">
        <v>174</v>
      </c>
      <c r="B175" s="1" t="n">
        <v>89.9</v>
      </c>
      <c r="C175" s="1" t="n">
        <v>-35.6</v>
      </c>
      <c r="D175" s="1" t="n">
        <v>-3</v>
      </c>
      <c r="E175" s="2" t="n">
        <v>1.5</v>
      </c>
      <c r="F175" s="2" t="n">
        <v>178</v>
      </c>
      <c r="G175" s="2" t="n">
        <v>89.3</v>
      </c>
      <c r="H175" s="2" t="n">
        <v>-35.9</v>
      </c>
      <c r="I175" s="2" t="n">
        <v>-4.3</v>
      </c>
      <c r="J175" s="2" t="n">
        <v>41.89551255</v>
      </c>
    </row>
    <row r="176" customFormat="false" ht="15.8" hidden="false" customHeight="false" outlineLevel="0" collapsed="false">
      <c r="A176" s="1" t="n">
        <v>175</v>
      </c>
      <c r="B176" s="1" t="n">
        <v>94</v>
      </c>
      <c r="C176" s="1" t="n">
        <v>-37.5</v>
      </c>
      <c r="D176" s="1" t="n">
        <v>-4.3</v>
      </c>
      <c r="E176" s="2" t="n">
        <v>1.6</v>
      </c>
      <c r="F176" s="2" t="n">
        <v>176</v>
      </c>
      <c r="G176" s="2" t="n">
        <v>92.9</v>
      </c>
      <c r="H176" s="2" t="n">
        <v>-36.3</v>
      </c>
      <c r="I176" s="2" t="n">
        <v>-4.3</v>
      </c>
      <c r="J176" s="2" t="n">
        <v>43.87279307</v>
      </c>
    </row>
    <row r="177" customFormat="false" ht="15.8" hidden="false" customHeight="false" outlineLevel="0" collapsed="false">
      <c r="A177" s="1" t="n">
        <v>176</v>
      </c>
      <c r="B177" s="1" t="n">
        <v>92.9</v>
      </c>
      <c r="C177" s="1" t="n">
        <v>-36.3</v>
      </c>
      <c r="D177" s="1" t="n">
        <v>-4.3</v>
      </c>
      <c r="E177" s="2" t="n">
        <v>1.3</v>
      </c>
      <c r="F177" s="2" t="n">
        <v>177</v>
      </c>
      <c r="G177" s="2" t="n">
        <v>92</v>
      </c>
      <c r="H177" s="2" t="n">
        <v>-35.5</v>
      </c>
      <c r="I177" s="2" t="n">
        <v>-4</v>
      </c>
      <c r="J177" s="2" t="n">
        <v>43.64229109</v>
      </c>
    </row>
    <row r="178" customFormat="false" ht="15.8" hidden="false" customHeight="false" outlineLevel="0" collapsed="false">
      <c r="A178" s="1" t="n">
        <v>177</v>
      </c>
      <c r="B178" s="1" t="n">
        <v>92</v>
      </c>
      <c r="C178" s="1" t="n">
        <v>-35.5</v>
      </c>
      <c r="D178" s="1" t="n">
        <v>-4</v>
      </c>
      <c r="E178" s="2" t="n">
        <v>1.3</v>
      </c>
      <c r="F178" s="2" t="n">
        <v>176</v>
      </c>
      <c r="G178" s="2" t="n">
        <v>92.9</v>
      </c>
      <c r="H178" s="2" t="n">
        <v>-36.3</v>
      </c>
      <c r="I178" s="2" t="n">
        <v>-4.3</v>
      </c>
      <c r="J178" s="2" t="n">
        <v>43.43293649</v>
      </c>
    </row>
    <row r="179" customFormat="false" ht="15.8" hidden="false" customHeight="false" outlineLevel="0" collapsed="false">
      <c r="A179" s="1" t="n">
        <v>178</v>
      </c>
      <c r="B179" s="1" t="n">
        <v>89.3</v>
      </c>
      <c r="C179" s="1" t="n">
        <v>-35.9</v>
      </c>
      <c r="D179" s="1" t="n">
        <v>-4.3</v>
      </c>
      <c r="E179" s="2" t="n">
        <v>1.5</v>
      </c>
      <c r="F179" s="2" t="n">
        <v>174</v>
      </c>
      <c r="G179" s="2" t="n">
        <v>89.9</v>
      </c>
      <c r="H179" s="2" t="n">
        <v>-35.6</v>
      </c>
      <c r="I179" s="2" t="n">
        <v>-3</v>
      </c>
      <c r="J179" s="2" t="n">
        <v>41.03678316</v>
      </c>
    </row>
    <row r="180" customFormat="false" ht="15.8" hidden="false" customHeight="false" outlineLevel="0" collapsed="false">
      <c r="A180" s="1" t="n">
        <v>179</v>
      </c>
      <c r="B180" s="1" t="n">
        <v>90</v>
      </c>
      <c r="C180" s="1" t="n">
        <v>-38.8</v>
      </c>
      <c r="D180" s="1" t="n">
        <v>-3.6</v>
      </c>
      <c r="E180" s="2" t="n">
        <v>3.1</v>
      </c>
      <c r="F180" s="2" t="n">
        <v>178</v>
      </c>
      <c r="G180" s="2" t="n">
        <v>89.3</v>
      </c>
      <c r="H180" s="2" t="n">
        <v>-35.9</v>
      </c>
      <c r="I180" s="2" t="n">
        <v>-4.3</v>
      </c>
      <c r="J180" s="2" t="n">
        <v>39.98617726</v>
      </c>
    </row>
    <row r="181" customFormat="false" ht="15.8" hidden="false" customHeight="false" outlineLevel="0" collapsed="false">
      <c r="A181" s="1" t="n">
        <v>180</v>
      </c>
      <c r="B181" s="1" t="n">
        <v>85.3</v>
      </c>
      <c r="C181" s="1" t="n">
        <v>-37.9</v>
      </c>
      <c r="D181" s="1" t="n">
        <v>-5.3</v>
      </c>
      <c r="E181" s="2" t="n">
        <v>2.5</v>
      </c>
      <c r="F181" s="2" t="n">
        <v>163</v>
      </c>
      <c r="G181" s="2" t="n">
        <v>84.7</v>
      </c>
      <c r="H181" s="2" t="n">
        <v>-39.7</v>
      </c>
      <c r="I181" s="2" t="n">
        <v>-6.9</v>
      </c>
      <c r="J181" s="2" t="n">
        <v>36.57925057</v>
      </c>
    </row>
    <row r="182" customFormat="false" ht="15.8" hidden="false" customHeight="false" outlineLevel="0" collapsed="false">
      <c r="A182" s="1" t="n">
        <v>181</v>
      </c>
      <c r="B182" s="1" t="n">
        <v>100.5</v>
      </c>
      <c r="C182" s="1" t="n">
        <v>-40</v>
      </c>
      <c r="D182" s="1" t="n">
        <v>-6.6</v>
      </c>
      <c r="E182" s="2" t="n">
        <v>2.8</v>
      </c>
      <c r="F182" s="2" t="n">
        <v>205</v>
      </c>
      <c r="G182" s="2" t="n">
        <v>101.1</v>
      </c>
      <c r="H182" s="2" t="n">
        <v>-37.3</v>
      </c>
      <c r="I182" s="2" t="n">
        <v>-6.9</v>
      </c>
      <c r="J182" s="2" t="n">
        <v>47.99993721</v>
      </c>
    </row>
    <row r="183" customFormat="false" ht="15.8" hidden="false" customHeight="false" outlineLevel="0" collapsed="false">
      <c r="A183" s="1" t="n">
        <v>182</v>
      </c>
      <c r="B183" s="1" t="n">
        <v>104.9</v>
      </c>
      <c r="C183" s="1" t="n">
        <v>-42.1</v>
      </c>
      <c r="D183" s="1" t="n">
        <v>-7.6</v>
      </c>
      <c r="E183" s="2" t="n">
        <v>1.2</v>
      </c>
      <c r="F183" s="2" t="n">
        <v>184</v>
      </c>
      <c r="G183" s="2" t="n">
        <v>104.7</v>
      </c>
      <c r="H183" s="2" t="n">
        <v>-41.3</v>
      </c>
      <c r="I183" s="2" t="n">
        <v>-6.6</v>
      </c>
      <c r="J183" s="2" t="n">
        <v>51.07549287</v>
      </c>
    </row>
    <row r="184" customFormat="false" ht="15.8" hidden="false" customHeight="false" outlineLevel="0" collapsed="false">
      <c r="A184" s="1" t="n">
        <v>183</v>
      </c>
      <c r="B184" s="1" t="n">
        <v>102.6</v>
      </c>
      <c r="C184" s="1" t="n">
        <v>-41.7</v>
      </c>
      <c r="D184" s="1" t="n">
        <v>-7.9</v>
      </c>
      <c r="E184" s="2" t="n">
        <v>2.4</v>
      </c>
      <c r="F184" s="2" t="n">
        <v>182</v>
      </c>
      <c r="G184" s="2" t="n">
        <v>104.9</v>
      </c>
      <c r="H184" s="2" t="n">
        <v>-42.1</v>
      </c>
      <c r="I184" s="2" t="n">
        <v>-7.6</v>
      </c>
      <c r="J184" s="2" t="n">
        <v>49.09794672</v>
      </c>
    </row>
    <row r="185" customFormat="false" ht="15.8" hidden="false" customHeight="false" outlineLevel="0" collapsed="false">
      <c r="A185" s="1" t="n">
        <v>184</v>
      </c>
      <c r="B185" s="1" t="n">
        <v>104.7</v>
      </c>
      <c r="C185" s="1" t="n">
        <v>-41.3</v>
      </c>
      <c r="D185" s="1" t="n">
        <v>-6.6</v>
      </c>
      <c r="E185" s="2" t="n">
        <v>1.2</v>
      </c>
      <c r="F185" s="2" t="n">
        <v>182</v>
      </c>
      <c r="G185" s="2" t="n">
        <v>104.9</v>
      </c>
      <c r="H185" s="2" t="n">
        <v>-42.1</v>
      </c>
      <c r="I185" s="2" t="n">
        <v>-7.6</v>
      </c>
      <c r="J185" s="2" t="n">
        <v>51.26224704</v>
      </c>
    </row>
    <row r="186" customFormat="false" ht="15.8" hidden="false" customHeight="false" outlineLevel="0" collapsed="false">
      <c r="A186" s="1" t="n">
        <v>185</v>
      </c>
      <c r="B186" s="1" t="n">
        <v>109.5</v>
      </c>
      <c r="C186" s="1" t="n">
        <v>-54</v>
      </c>
      <c r="D186" s="1" t="n">
        <v>-1.3</v>
      </c>
      <c r="E186" s="2" t="n">
        <v>4</v>
      </c>
      <c r="F186" s="2" t="n">
        <v>187</v>
      </c>
      <c r="G186" s="2" t="n">
        <v>105.9</v>
      </c>
      <c r="H186" s="2" t="n">
        <v>-52.2</v>
      </c>
      <c r="I186" s="2" t="n">
        <v>-1.7</v>
      </c>
      <c r="J186" s="2" t="n">
        <v>53.14120785</v>
      </c>
    </row>
    <row r="187" customFormat="false" ht="15.8" hidden="false" customHeight="false" outlineLevel="0" collapsed="false">
      <c r="A187" s="1" t="n">
        <v>186</v>
      </c>
      <c r="B187" s="1" t="n">
        <v>110.2</v>
      </c>
      <c r="C187" s="1" t="n">
        <v>-50.2</v>
      </c>
      <c r="D187" s="1" t="n">
        <v>-2.3</v>
      </c>
      <c r="E187" s="2" t="n">
        <v>4</v>
      </c>
      <c r="F187" s="2" t="n">
        <v>185</v>
      </c>
      <c r="G187" s="2" t="n">
        <v>109.5</v>
      </c>
      <c r="H187" s="2" t="n">
        <v>-54</v>
      </c>
      <c r="I187" s="2" t="n">
        <v>-1.3</v>
      </c>
      <c r="J187" s="2" t="n">
        <v>54.31229301</v>
      </c>
    </row>
    <row r="188" customFormat="false" ht="15.8" hidden="false" customHeight="false" outlineLevel="0" collapsed="false">
      <c r="A188" s="1" t="n">
        <v>187</v>
      </c>
      <c r="B188" s="1" t="n">
        <v>105.9</v>
      </c>
      <c r="C188" s="1" t="n">
        <v>-52.2</v>
      </c>
      <c r="D188" s="1" t="n">
        <v>-1.7</v>
      </c>
      <c r="E188" s="2" t="n">
        <v>4</v>
      </c>
      <c r="F188" s="2" t="n">
        <v>185</v>
      </c>
      <c r="G188" s="2" t="n">
        <v>109.5</v>
      </c>
      <c r="H188" s="2" t="n">
        <v>-54</v>
      </c>
      <c r="I188" s="2" t="n">
        <v>-1.3</v>
      </c>
      <c r="J188" s="2" t="n">
        <v>49.86073377</v>
      </c>
    </row>
    <row r="189" customFormat="false" ht="15.8" hidden="false" customHeight="false" outlineLevel="0" collapsed="false">
      <c r="A189" s="1" t="n">
        <v>188</v>
      </c>
      <c r="B189" s="1" t="n">
        <v>103.7</v>
      </c>
      <c r="C189" s="1" t="n">
        <v>-47</v>
      </c>
      <c r="D189" s="1" t="n">
        <v>-4</v>
      </c>
      <c r="E189" s="2" t="n">
        <v>1.4</v>
      </c>
      <c r="F189" s="2" t="n">
        <v>189</v>
      </c>
      <c r="G189" s="2" t="n">
        <v>102.7</v>
      </c>
      <c r="H189" s="2" t="n">
        <v>-46.3</v>
      </c>
      <c r="I189" s="2" t="n">
        <v>-4.6</v>
      </c>
      <c r="J189" s="2" t="n">
        <v>48.63816991</v>
      </c>
    </row>
    <row r="190" customFormat="false" ht="15.8" hidden="false" customHeight="false" outlineLevel="0" collapsed="false">
      <c r="A190" s="1" t="n">
        <v>189</v>
      </c>
      <c r="B190" s="1" t="n">
        <v>102.7</v>
      </c>
      <c r="C190" s="1" t="n">
        <v>-46.3</v>
      </c>
      <c r="D190" s="1" t="n">
        <v>-4.6</v>
      </c>
      <c r="E190" s="2" t="n">
        <v>1.4</v>
      </c>
      <c r="F190" s="2" t="n">
        <v>188</v>
      </c>
      <c r="G190" s="2" t="n">
        <v>103.7</v>
      </c>
      <c r="H190" s="2" t="n">
        <v>-47</v>
      </c>
      <c r="I190" s="2" t="n">
        <v>-4</v>
      </c>
      <c r="J190" s="2" t="n">
        <v>47.83076387</v>
      </c>
    </row>
    <row r="191" customFormat="false" ht="15.8" hidden="false" customHeight="false" outlineLevel="0" collapsed="false">
      <c r="A191" s="1" t="n">
        <v>190</v>
      </c>
      <c r="B191" s="1" t="n">
        <v>104.6</v>
      </c>
      <c r="C191" s="1" t="n">
        <v>-45.7</v>
      </c>
      <c r="D191" s="1" t="n">
        <v>-5.3</v>
      </c>
      <c r="E191" s="2" t="n">
        <v>1.4</v>
      </c>
      <c r="F191" s="2" t="n">
        <v>191</v>
      </c>
      <c r="G191" s="2" t="n">
        <v>104.2</v>
      </c>
      <c r="H191" s="2" t="n">
        <v>-44.5</v>
      </c>
      <c r="I191" s="2" t="n">
        <v>-4.6</v>
      </c>
      <c r="J191" s="2" t="n">
        <v>49.7322468</v>
      </c>
    </row>
    <row r="192" customFormat="false" ht="15.8" hidden="false" customHeight="false" outlineLevel="0" collapsed="false">
      <c r="A192" s="1" t="n">
        <v>191</v>
      </c>
      <c r="B192" s="1" t="n">
        <v>104.2</v>
      </c>
      <c r="C192" s="1" t="n">
        <v>-44.5</v>
      </c>
      <c r="D192" s="1" t="n">
        <v>-4.6</v>
      </c>
      <c r="E192" s="2" t="n">
        <v>1.4</v>
      </c>
      <c r="F192" s="2" t="n">
        <v>190</v>
      </c>
      <c r="G192" s="2" t="n">
        <v>104.6</v>
      </c>
      <c r="H192" s="2" t="n">
        <v>-45.7</v>
      </c>
      <c r="I192" s="2" t="n">
        <v>-5.3</v>
      </c>
      <c r="J192" s="2" t="n">
        <v>49.82394577</v>
      </c>
    </row>
    <row r="193" customFormat="false" ht="15.8" hidden="false" customHeight="false" outlineLevel="0" collapsed="false">
      <c r="A193" s="1" t="n">
        <v>192</v>
      </c>
      <c r="B193" s="1" t="n">
        <v>98.2</v>
      </c>
      <c r="C193" s="1" t="n">
        <v>-45.8</v>
      </c>
      <c r="D193" s="1" t="n">
        <v>-6.6</v>
      </c>
      <c r="E193" s="2" t="n">
        <v>1.5</v>
      </c>
      <c r="F193" s="2" t="n">
        <v>193</v>
      </c>
      <c r="G193" s="2" t="n">
        <v>97.3</v>
      </c>
      <c r="H193" s="2" t="n">
        <v>-44.7</v>
      </c>
      <c r="I193" s="2" t="n">
        <v>-5.9</v>
      </c>
      <c r="J193" s="2" t="n">
        <v>43.57398274</v>
      </c>
    </row>
    <row r="194" customFormat="false" ht="15.8" hidden="false" customHeight="false" outlineLevel="0" collapsed="false">
      <c r="A194" s="1" t="n">
        <v>193</v>
      </c>
      <c r="B194" s="1" t="n">
        <v>97.3</v>
      </c>
      <c r="C194" s="1" t="n">
        <v>-44.7</v>
      </c>
      <c r="D194" s="1" t="n">
        <v>-5.9</v>
      </c>
      <c r="E194" s="2" t="n">
        <v>1.5</v>
      </c>
      <c r="F194" s="2" t="n">
        <v>192</v>
      </c>
      <c r="G194" s="2" t="n">
        <v>98.2</v>
      </c>
      <c r="H194" s="2" t="n">
        <v>-45.8</v>
      </c>
      <c r="I194" s="2" t="n">
        <v>-6.6</v>
      </c>
      <c r="J194" s="2" t="n">
        <v>43.21638546</v>
      </c>
    </row>
    <row r="195" customFormat="false" ht="15.8" hidden="false" customHeight="false" outlineLevel="0" collapsed="false">
      <c r="A195" s="1" t="n">
        <v>194</v>
      </c>
      <c r="B195" s="1" t="n">
        <v>97.3</v>
      </c>
      <c r="C195" s="1" t="n">
        <v>-42.1</v>
      </c>
      <c r="D195" s="1" t="n">
        <v>-5.3</v>
      </c>
      <c r="E195" s="2" t="n">
        <v>2.4</v>
      </c>
      <c r="F195" s="2" t="n">
        <v>195</v>
      </c>
      <c r="G195" s="2" t="n">
        <v>95.4</v>
      </c>
      <c r="H195" s="2" t="n">
        <v>-43.2</v>
      </c>
      <c r="I195" s="2" t="n">
        <v>-6.3</v>
      </c>
      <c r="J195" s="2" t="n">
        <v>44.34554287</v>
      </c>
    </row>
    <row r="196" customFormat="false" ht="15.8" hidden="false" customHeight="false" outlineLevel="0" collapsed="false">
      <c r="A196" s="1" t="n">
        <v>195</v>
      </c>
      <c r="B196" s="1" t="n">
        <v>95.4</v>
      </c>
      <c r="C196" s="1" t="n">
        <v>-43.2</v>
      </c>
      <c r="D196" s="1" t="n">
        <v>-6.3</v>
      </c>
      <c r="E196" s="2" t="n">
        <v>2.4</v>
      </c>
      <c r="F196" s="2" t="n">
        <v>194</v>
      </c>
      <c r="G196" s="2" t="n">
        <v>97.3</v>
      </c>
      <c r="H196" s="2" t="n">
        <v>-42.1</v>
      </c>
      <c r="I196" s="2" t="n">
        <v>-5.3</v>
      </c>
      <c r="J196" s="2" t="n">
        <v>42.06241519</v>
      </c>
    </row>
    <row r="197" customFormat="false" ht="15.8" hidden="false" customHeight="false" outlineLevel="0" collapsed="false">
      <c r="A197" s="1" t="n">
        <v>196</v>
      </c>
      <c r="B197" s="1" t="n">
        <v>108</v>
      </c>
      <c r="C197" s="1" t="n">
        <v>-31.2</v>
      </c>
      <c r="D197" s="1" t="n">
        <v>-6.3</v>
      </c>
      <c r="E197" s="2" t="n">
        <v>1.7</v>
      </c>
      <c r="F197" s="2" t="n">
        <v>197</v>
      </c>
      <c r="G197" s="2" t="n">
        <v>109.5</v>
      </c>
      <c r="H197" s="2" t="n">
        <v>-31.1</v>
      </c>
      <c r="I197" s="2" t="n">
        <v>-5.6</v>
      </c>
      <c r="J197" s="2" t="n">
        <v>58.8022072</v>
      </c>
    </row>
    <row r="198" customFormat="false" ht="15.8" hidden="false" customHeight="false" outlineLevel="0" collapsed="false">
      <c r="A198" s="1" t="n">
        <v>197</v>
      </c>
      <c r="B198" s="1" t="n">
        <v>109.5</v>
      </c>
      <c r="C198" s="1" t="n">
        <v>-31.1</v>
      </c>
      <c r="D198" s="1" t="n">
        <v>-5.6</v>
      </c>
      <c r="E198" s="2" t="n">
        <v>1.7</v>
      </c>
      <c r="F198" s="2" t="n">
        <v>196</v>
      </c>
      <c r="G198" s="2" t="n">
        <v>108</v>
      </c>
      <c r="H198" s="2" t="n">
        <v>-31.2</v>
      </c>
      <c r="I198" s="2" t="n">
        <v>-6.3</v>
      </c>
      <c r="J198" s="2" t="n">
        <v>60.19337814</v>
      </c>
    </row>
    <row r="199" customFormat="false" ht="15.8" hidden="false" customHeight="false" outlineLevel="0" collapsed="false">
      <c r="A199" s="1" t="n">
        <v>198</v>
      </c>
      <c r="B199" s="1" t="n">
        <v>101.8</v>
      </c>
      <c r="C199" s="1" t="n">
        <v>-31.3</v>
      </c>
      <c r="D199" s="1" t="n">
        <v>-5.3</v>
      </c>
      <c r="E199" s="2" t="n">
        <v>1.3</v>
      </c>
      <c r="F199" s="2" t="n">
        <v>200</v>
      </c>
      <c r="G199" s="2" t="n">
        <v>102.4</v>
      </c>
      <c r="H199" s="2" t="n">
        <v>-32.5</v>
      </c>
      <c r="I199" s="2" t="n">
        <v>-4.9</v>
      </c>
      <c r="J199" s="2" t="n">
        <v>53.61961182</v>
      </c>
    </row>
    <row r="200" customFormat="false" ht="15.8" hidden="false" customHeight="false" outlineLevel="0" collapsed="false">
      <c r="A200" s="1" t="n">
        <v>199</v>
      </c>
      <c r="B200" s="1" t="n">
        <v>105</v>
      </c>
      <c r="C200" s="1" t="n">
        <v>-30.4</v>
      </c>
      <c r="D200" s="1" t="n">
        <v>-5.6</v>
      </c>
      <c r="E200" s="2" t="n">
        <v>3.1</v>
      </c>
      <c r="F200" s="2" t="n">
        <v>196</v>
      </c>
      <c r="G200" s="2" t="n">
        <v>108</v>
      </c>
      <c r="H200" s="2" t="n">
        <v>-31.2</v>
      </c>
      <c r="I200" s="2" t="n">
        <v>-6.3</v>
      </c>
      <c r="J200" s="2" t="n">
        <v>56.74218159</v>
      </c>
    </row>
    <row r="201" customFormat="false" ht="15.8" hidden="false" customHeight="false" outlineLevel="0" collapsed="false">
      <c r="A201" s="1" t="n">
        <v>200</v>
      </c>
      <c r="B201" s="1" t="n">
        <v>102.4</v>
      </c>
      <c r="C201" s="1" t="n">
        <v>-32.5</v>
      </c>
      <c r="D201" s="1" t="n">
        <v>-4.9</v>
      </c>
      <c r="E201" s="2" t="n">
        <v>1.3</v>
      </c>
      <c r="F201" s="2" t="n">
        <v>198</v>
      </c>
      <c r="G201" s="2" t="n">
        <v>101.8</v>
      </c>
      <c r="H201" s="2" t="n">
        <v>-31.3</v>
      </c>
      <c r="I201" s="2" t="n">
        <v>-5.3</v>
      </c>
      <c r="J201" s="2" t="n">
        <v>53.49823522</v>
      </c>
    </row>
    <row r="202" customFormat="false" ht="15.8" hidden="false" customHeight="false" outlineLevel="0" collapsed="false">
      <c r="A202" s="1" t="n">
        <v>201</v>
      </c>
      <c r="B202" s="1" t="n">
        <v>107.2</v>
      </c>
      <c r="C202" s="1" t="n">
        <v>-34.1</v>
      </c>
      <c r="D202" s="1" t="n">
        <v>-6.3</v>
      </c>
      <c r="E202" s="2" t="n">
        <v>1.2</v>
      </c>
      <c r="F202" s="2" t="n">
        <v>202</v>
      </c>
      <c r="G202" s="2" t="n">
        <v>107</v>
      </c>
      <c r="H202" s="2" t="n">
        <v>-33.2</v>
      </c>
      <c r="I202" s="2" t="n">
        <v>-5.6</v>
      </c>
      <c r="J202" s="2" t="n">
        <v>56.67084234</v>
      </c>
    </row>
    <row r="203" customFormat="false" ht="15.8" hidden="false" customHeight="false" outlineLevel="0" collapsed="false">
      <c r="A203" s="1" t="n">
        <v>202</v>
      </c>
      <c r="B203" s="1" t="n">
        <v>107</v>
      </c>
      <c r="C203" s="1" t="n">
        <v>-33.2</v>
      </c>
      <c r="D203" s="1" t="n">
        <v>-5.6</v>
      </c>
      <c r="E203" s="2" t="n">
        <v>1.2</v>
      </c>
      <c r="F203" s="2" t="n">
        <v>201</v>
      </c>
      <c r="G203" s="2" t="n">
        <v>107.2</v>
      </c>
      <c r="H203" s="2" t="n">
        <v>-34.1</v>
      </c>
      <c r="I203" s="2" t="n">
        <v>-6.3</v>
      </c>
      <c r="J203" s="2" t="n">
        <v>56.98962688</v>
      </c>
    </row>
    <row r="204" customFormat="false" ht="15.8" hidden="false" customHeight="false" outlineLevel="0" collapsed="false">
      <c r="A204" s="1" t="n">
        <v>203</v>
      </c>
      <c r="B204" s="1" t="n">
        <v>99.8</v>
      </c>
      <c r="C204" s="1" t="n">
        <v>-35.9</v>
      </c>
      <c r="D204" s="1" t="n">
        <v>-5.3</v>
      </c>
      <c r="E204" s="2" t="n">
        <v>1.6</v>
      </c>
      <c r="F204" s="2" t="n">
        <v>204</v>
      </c>
      <c r="G204" s="2" t="n">
        <v>99.5</v>
      </c>
      <c r="H204" s="2" t="n">
        <v>-37.4</v>
      </c>
      <c r="I204" s="2" t="n">
        <v>-5.3</v>
      </c>
      <c r="J204" s="2" t="n">
        <v>49.4731399</v>
      </c>
    </row>
    <row r="205" customFormat="false" ht="15.8" hidden="false" customHeight="false" outlineLevel="0" collapsed="false">
      <c r="A205" s="1" t="n">
        <v>204</v>
      </c>
      <c r="B205" s="1" t="n">
        <v>99.5</v>
      </c>
      <c r="C205" s="1" t="n">
        <v>-37.4</v>
      </c>
      <c r="D205" s="1" t="n">
        <v>-5.3</v>
      </c>
      <c r="E205" s="2" t="n">
        <v>1.6</v>
      </c>
      <c r="F205" s="2" t="n">
        <v>203</v>
      </c>
      <c r="G205" s="2" t="n">
        <v>99.8</v>
      </c>
      <c r="H205" s="2" t="n">
        <v>-35.9</v>
      </c>
      <c r="I205" s="2" t="n">
        <v>-5.3</v>
      </c>
      <c r="J205" s="2" t="n">
        <v>48.46057338</v>
      </c>
    </row>
    <row r="206" customFormat="false" ht="15.8" hidden="false" customHeight="false" outlineLevel="0" collapsed="false">
      <c r="A206" s="1" t="n">
        <v>205</v>
      </c>
      <c r="B206" s="1" t="n">
        <v>101.1</v>
      </c>
      <c r="C206" s="1" t="n">
        <v>-37.3</v>
      </c>
      <c r="D206" s="1" t="n">
        <v>-6.9</v>
      </c>
      <c r="E206" s="2" t="n">
        <v>2.3</v>
      </c>
      <c r="F206" s="2" t="n">
        <v>204</v>
      </c>
      <c r="G206" s="2" t="n">
        <v>99.5</v>
      </c>
      <c r="H206" s="2" t="n">
        <v>-37.4</v>
      </c>
      <c r="I206" s="2" t="n">
        <v>-5.3</v>
      </c>
      <c r="J206" s="2" t="n">
        <v>49.75860902</v>
      </c>
    </row>
    <row r="207" customFormat="false" ht="15.8" hidden="false" customHeight="false" outlineLevel="0" collapsed="false">
      <c r="A207" s="1" t="n">
        <v>206</v>
      </c>
      <c r="B207" s="1" t="n">
        <v>95</v>
      </c>
      <c r="C207" s="1" t="n">
        <v>-38</v>
      </c>
      <c r="D207" s="1" t="n">
        <v>-6.9</v>
      </c>
      <c r="E207" s="2" t="n">
        <v>2.3</v>
      </c>
      <c r="F207" s="2" t="n">
        <v>209</v>
      </c>
      <c r="G207" s="2" t="n">
        <v>96.6</v>
      </c>
      <c r="H207" s="2" t="n">
        <v>-39.4</v>
      </c>
      <c r="I207" s="2" t="n">
        <v>-7.6</v>
      </c>
      <c r="J207" s="2" t="n">
        <v>44.15873608</v>
      </c>
    </row>
    <row r="208" customFormat="false" ht="15.8" hidden="false" customHeight="false" outlineLevel="0" collapsed="false">
      <c r="A208" s="1" t="n">
        <v>207</v>
      </c>
      <c r="B208" s="1" t="n">
        <v>98.1</v>
      </c>
      <c r="C208" s="1" t="n">
        <v>-40.7</v>
      </c>
      <c r="D208" s="1" t="n">
        <v>-9.2</v>
      </c>
      <c r="E208" s="2" t="n">
        <v>1.4</v>
      </c>
      <c r="F208" s="2" t="n">
        <v>208</v>
      </c>
      <c r="G208" s="2" t="n">
        <v>96.9</v>
      </c>
      <c r="H208" s="2" t="n">
        <v>-41.3</v>
      </c>
      <c r="I208" s="2" t="n">
        <v>-9.2</v>
      </c>
      <c r="J208" s="2" t="n">
        <v>45.40665559</v>
      </c>
    </row>
    <row r="209" customFormat="false" ht="15.8" hidden="false" customHeight="false" outlineLevel="0" collapsed="false">
      <c r="A209" s="1" t="n">
        <v>208</v>
      </c>
      <c r="B209" s="1" t="n">
        <v>96.9</v>
      </c>
      <c r="C209" s="1" t="n">
        <v>-41.3</v>
      </c>
      <c r="D209" s="1" t="n">
        <v>-9.2</v>
      </c>
      <c r="E209" s="2" t="n">
        <v>1.4</v>
      </c>
      <c r="F209" s="2" t="n">
        <v>207</v>
      </c>
      <c r="G209" s="2" t="n">
        <v>98.1</v>
      </c>
      <c r="H209" s="2" t="n">
        <v>-40.7</v>
      </c>
      <c r="I209" s="2" t="n">
        <v>-9.2</v>
      </c>
      <c r="J209" s="2" t="n">
        <v>44.06553724</v>
      </c>
    </row>
    <row r="210" customFormat="false" ht="15.8" hidden="false" customHeight="false" outlineLevel="0" collapsed="false">
      <c r="A210" s="1" t="n">
        <v>209</v>
      </c>
      <c r="B210" s="1" t="n">
        <v>96.6</v>
      </c>
      <c r="C210" s="1" t="n">
        <v>-39.4</v>
      </c>
      <c r="D210" s="1" t="n">
        <v>-7.6</v>
      </c>
      <c r="E210" s="2" t="n">
        <v>2.3</v>
      </c>
      <c r="F210" s="2" t="n">
        <v>206</v>
      </c>
      <c r="G210" s="2" t="n">
        <v>95</v>
      </c>
      <c r="H210" s="2" t="n">
        <v>-38</v>
      </c>
      <c r="I210" s="2" t="n">
        <v>-6.9</v>
      </c>
      <c r="J210" s="2" t="n">
        <v>44.76994496</v>
      </c>
    </row>
    <row r="211" customFormat="false" ht="15.8" hidden="false" customHeight="false" outlineLevel="0" collapsed="false">
      <c r="A211" s="1" t="n">
        <v>210</v>
      </c>
      <c r="B211" s="1" t="n">
        <v>88.9</v>
      </c>
      <c r="C211" s="1" t="n">
        <v>-42.5</v>
      </c>
      <c r="D211" s="1" t="n">
        <v>-7.3</v>
      </c>
      <c r="E211" s="2" t="n">
        <v>1.6</v>
      </c>
      <c r="F211" s="2" t="n">
        <v>212</v>
      </c>
      <c r="G211" s="2" t="n">
        <v>87.7</v>
      </c>
      <c r="H211" s="2" t="n">
        <v>-43.6</v>
      </c>
      <c r="I211" s="2" t="n">
        <v>-7.6</v>
      </c>
      <c r="J211" s="2" t="n">
        <v>36.59867719</v>
      </c>
    </row>
    <row r="212" customFormat="false" ht="15.8" hidden="false" customHeight="false" outlineLevel="0" collapsed="false">
      <c r="A212" s="1" t="n">
        <v>211</v>
      </c>
      <c r="B212" s="1" t="n">
        <v>86.9</v>
      </c>
      <c r="C212" s="1" t="n">
        <v>-43.1</v>
      </c>
      <c r="D212" s="1" t="n">
        <v>-6.9</v>
      </c>
      <c r="E212" s="2" t="n">
        <v>1.2</v>
      </c>
      <c r="F212" s="2" t="n">
        <v>212</v>
      </c>
      <c r="G212" s="2" t="n">
        <v>87.7</v>
      </c>
      <c r="H212" s="2" t="n">
        <v>-43.6</v>
      </c>
      <c r="I212" s="2" t="n">
        <v>-7.6</v>
      </c>
      <c r="J212" s="2" t="n">
        <v>34.62542378</v>
      </c>
    </row>
    <row r="213" customFormat="false" ht="15.8" hidden="false" customHeight="false" outlineLevel="0" collapsed="false">
      <c r="A213" s="1" t="n">
        <v>212</v>
      </c>
      <c r="B213" s="1" t="n">
        <v>87.7</v>
      </c>
      <c r="C213" s="1" t="n">
        <v>-43.6</v>
      </c>
      <c r="D213" s="1" t="n">
        <v>-7.6</v>
      </c>
      <c r="E213" s="2" t="n">
        <v>1.2</v>
      </c>
      <c r="F213" s="2" t="n">
        <v>211</v>
      </c>
      <c r="G213" s="2" t="n">
        <v>86.9</v>
      </c>
      <c r="H213" s="2" t="n">
        <v>-43.1</v>
      </c>
      <c r="I213" s="2" t="n">
        <v>-6.9</v>
      </c>
      <c r="J213" s="2" t="n">
        <v>34.98548802</v>
      </c>
    </row>
    <row r="214" customFormat="false" ht="15.8" hidden="false" customHeight="false" outlineLevel="0" collapsed="false">
      <c r="A214" s="1" t="n">
        <v>213</v>
      </c>
      <c r="B214" s="1" t="n">
        <v>82.8</v>
      </c>
      <c r="C214" s="1" t="n">
        <v>-46.9</v>
      </c>
      <c r="D214" s="1" t="n">
        <v>-7.6</v>
      </c>
      <c r="E214" s="2" t="n">
        <v>1.8</v>
      </c>
      <c r="F214" s="2" t="n">
        <v>215</v>
      </c>
      <c r="G214" s="2" t="n">
        <v>81.2</v>
      </c>
      <c r="H214" s="2" t="n">
        <v>-47.1</v>
      </c>
      <c r="I214" s="2" t="n">
        <v>-8.2</v>
      </c>
      <c r="J214" s="2" t="n">
        <v>29.11346032</v>
      </c>
    </row>
    <row r="215" customFormat="false" ht="15.8" hidden="false" customHeight="false" outlineLevel="0" collapsed="false">
      <c r="A215" s="1" t="n">
        <v>214</v>
      </c>
      <c r="B215" s="1" t="n">
        <v>76.8</v>
      </c>
      <c r="C215" s="1" t="n">
        <v>-46.9</v>
      </c>
      <c r="D215" s="1" t="n">
        <v>-7.3</v>
      </c>
      <c r="E215" s="2" t="n">
        <v>3</v>
      </c>
      <c r="F215" s="2" t="n">
        <v>234</v>
      </c>
      <c r="G215" s="2" t="n">
        <v>74.9</v>
      </c>
      <c r="H215" s="2" t="n">
        <v>-44.7</v>
      </c>
      <c r="I215" s="2" t="n">
        <v>-7.6</v>
      </c>
      <c r="J215" s="2" t="n">
        <v>24.1585507</v>
      </c>
    </row>
    <row r="216" customFormat="false" ht="15.8" hidden="false" customHeight="false" outlineLevel="0" collapsed="false">
      <c r="A216" s="1" t="n">
        <v>215</v>
      </c>
      <c r="B216" s="1" t="n">
        <v>81.2</v>
      </c>
      <c r="C216" s="1" t="n">
        <v>-47.1</v>
      </c>
      <c r="D216" s="1" t="n">
        <v>-8.2</v>
      </c>
      <c r="E216" s="2" t="n">
        <v>1.8</v>
      </c>
      <c r="F216" s="2" t="n">
        <v>213</v>
      </c>
      <c r="G216" s="2" t="n">
        <v>82.8</v>
      </c>
      <c r="H216" s="2" t="n">
        <v>-46.9</v>
      </c>
      <c r="I216" s="2" t="n">
        <v>-7.6</v>
      </c>
      <c r="J216" s="2" t="n">
        <v>27.58569144</v>
      </c>
    </row>
    <row r="217" customFormat="false" ht="15.8" hidden="false" customHeight="false" outlineLevel="0" collapsed="false">
      <c r="A217" s="1" t="n">
        <v>216</v>
      </c>
      <c r="B217" s="1" t="n">
        <v>82.1</v>
      </c>
      <c r="C217" s="1" t="n">
        <v>-47.7</v>
      </c>
      <c r="D217" s="1" t="n">
        <v>-10.9</v>
      </c>
      <c r="E217" s="2" t="n">
        <v>2.8</v>
      </c>
      <c r="F217" s="2" t="n">
        <v>122</v>
      </c>
      <c r="G217" s="2" t="n">
        <v>82.5</v>
      </c>
      <c r="H217" s="2" t="n">
        <v>-50.1</v>
      </c>
      <c r="I217" s="2" t="n">
        <v>-12.2</v>
      </c>
      <c r="J217" s="2" t="n">
        <v>27.98003524</v>
      </c>
    </row>
    <row r="218" customFormat="false" ht="15.8" hidden="false" customHeight="false" outlineLevel="0" collapsed="false">
      <c r="A218" s="1" t="n">
        <v>217</v>
      </c>
      <c r="B218" s="1" t="n">
        <v>83.9</v>
      </c>
      <c r="C218" s="1" t="n">
        <v>-44.9</v>
      </c>
      <c r="D218" s="1" t="n">
        <v>-10.9</v>
      </c>
      <c r="E218" s="2" t="n">
        <v>2.7</v>
      </c>
      <c r="F218" s="2" t="n">
        <v>226</v>
      </c>
      <c r="G218" s="2" t="n">
        <v>81.3</v>
      </c>
      <c r="H218" s="2" t="n">
        <v>-44</v>
      </c>
      <c r="I218" s="2" t="n">
        <v>-10.6</v>
      </c>
      <c r="J218" s="2" t="n">
        <v>30.95406875</v>
      </c>
    </row>
    <row r="219" customFormat="false" ht="15.8" hidden="false" customHeight="false" outlineLevel="0" collapsed="false">
      <c r="A219" s="1" t="n">
        <v>218</v>
      </c>
      <c r="B219" s="1" t="n">
        <v>87.2</v>
      </c>
      <c r="C219" s="1" t="n">
        <v>-48.4</v>
      </c>
      <c r="D219" s="1" t="n">
        <v>-11.9</v>
      </c>
      <c r="E219" s="2" t="n">
        <v>1.8</v>
      </c>
      <c r="F219" s="2" t="n">
        <v>118</v>
      </c>
      <c r="G219" s="2" t="n">
        <v>87.9</v>
      </c>
      <c r="H219" s="2" t="n">
        <v>-49.8</v>
      </c>
      <c r="I219" s="2" t="n">
        <v>-12.9</v>
      </c>
      <c r="J219" s="2" t="n">
        <v>32.27480088</v>
      </c>
    </row>
    <row r="220" customFormat="false" ht="15.8" hidden="false" customHeight="false" outlineLevel="0" collapsed="false">
      <c r="A220" s="1" t="n">
        <v>219</v>
      </c>
      <c r="B220" s="1" t="n">
        <v>89.7</v>
      </c>
      <c r="C220" s="1" t="n">
        <v>-47.3</v>
      </c>
      <c r="D220" s="1" t="n">
        <v>-11.2</v>
      </c>
      <c r="E220" s="2" t="n">
        <v>2.5</v>
      </c>
      <c r="F220" s="2" t="n">
        <v>220</v>
      </c>
      <c r="G220" s="2" t="n">
        <v>87.8</v>
      </c>
      <c r="H220" s="2" t="n">
        <v>-46</v>
      </c>
      <c r="I220" s="2" t="n">
        <v>-10.2</v>
      </c>
      <c r="J220" s="2" t="n">
        <v>34.98036552</v>
      </c>
    </row>
    <row r="221" customFormat="false" ht="15.8" hidden="false" customHeight="false" outlineLevel="0" collapsed="false">
      <c r="A221" s="1" t="n">
        <v>220</v>
      </c>
      <c r="B221" s="1" t="n">
        <v>87.8</v>
      </c>
      <c r="C221" s="1" t="n">
        <v>-46</v>
      </c>
      <c r="D221" s="1" t="n">
        <v>-10.2</v>
      </c>
      <c r="E221" s="2" t="n">
        <v>1.3</v>
      </c>
      <c r="F221" s="2" t="n">
        <v>221</v>
      </c>
      <c r="G221" s="2" t="n">
        <v>87</v>
      </c>
      <c r="H221" s="2" t="n">
        <v>-45.2</v>
      </c>
      <c r="I221" s="2" t="n">
        <v>-9.6</v>
      </c>
      <c r="J221" s="2" t="n">
        <v>33.80790399</v>
      </c>
    </row>
    <row r="222" customFormat="false" ht="15.8" hidden="false" customHeight="false" outlineLevel="0" collapsed="false">
      <c r="A222" s="1" t="n">
        <v>221</v>
      </c>
      <c r="B222" s="1" t="n">
        <v>87</v>
      </c>
      <c r="C222" s="1" t="n">
        <v>-45.2</v>
      </c>
      <c r="D222" s="1" t="n">
        <v>-9.6</v>
      </c>
      <c r="E222" s="2" t="n">
        <v>1.3</v>
      </c>
      <c r="F222" s="2" t="n">
        <v>220</v>
      </c>
      <c r="G222" s="2" t="n">
        <v>87.8</v>
      </c>
      <c r="H222" s="2" t="n">
        <v>-46</v>
      </c>
      <c r="I222" s="2" t="n">
        <v>-10.2</v>
      </c>
      <c r="J222" s="2" t="n">
        <v>33.48303409</v>
      </c>
    </row>
    <row r="223" customFormat="false" ht="15.8" hidden="false" customHeight="false" outlineLevel="0" collapsed="false">
      <c r="A223" s="1" t="n">
        <v>222</v>
      </c>
      <c r="B223" s="1" t="n">
        <v>91.2</v>
      </c>
      <c r="C223" s="1" t="n">
        <v>-45.1</v>
      </c>
      <c r="D223" s="1" t="n">
        <v>-10.6</v>
      </c>
      <c r="E223" s="2" t="n">
        <v>2.7</v>
      </c>
      <c r="F223" s="2" t="n">
        <v>219</v>
      </c>
      <c r="G223" s="2" t="n">
        <v>89.7</v>
      </c>
      <c r="H223" s="2" t="n">
        <v>-47.3</v>
      </c>
      <c r="I223" s="2" t="n">
        <v>-11.2</v>
      </c>
      <c r="J223" s="2" t="n">
        <v>37.25418597</v>
      </c>
    </row>
    <row r="224" customFormat="false" ht="15.8" hidden="false" customHeight="false" outlineLevel="0" collapsed="false">
      <c r="A224" s="1" t="n">
        <v>223</v>
      </c>
      <c r="B224" s="1" t="n">
        <v>89</v>
      </c>
      <c r="C224" s="1" t="n">
        <v>-42.8</v>
      </c>
      <c r="D224" s="1" t="n">
        <v>-9.2</v>
      </c>
      <c r="E224" s="2" t="n">
        <v>2</v>
      </c>
      <c r="F224" s="2" t="n">
        <v>210</v>
      </c>
      <c r="G224" s="2" t="n">
        <v>88.9</v>
      </c>
      <c r="H224" s="2" t="n">
        <v>-42.5</v>
      </c>
      <c r="I224" s="2" t="n">
        <v>-7.3</v>
      </c>
      <c r="J224" s="2" t="n">
        <v>36.41920334</v>
      </c>
    </row>
    <row r="225" customFormat="false" ht="15.8" hidden="false" customHeight="false" outlineLevel="0" collapsed="false">
      <c r="A225" s="1" t="n">
        <v>224</v>
      </c>
      <c r="B225" s="1" t="n">
        <v>85.3</v>
      </c>
      <c r="C225" s="1" t="n">
        <v>-41.9</v>
      </c>
      <c r="D225" s="1" t="n">
        <v>-10.2</v>
      </c>
      <c r="E225" s="2" t="n">
        <v>0.7</v>
      </c>
      <c r="F225" s="2" t="n">
        <v>225</v>
      </c>
      <c r="G225" s="2" t="n">
        <v>85</v>
      </c>
      <c r="H225" s="2" t="n">
        <v>-41.3</v>
      </c>
      <c r="I225" s="2" t="n">
        <v>-10.6</v>
      </c>
      <c r="J225" s="2" t="n">
        <v>33.77607988</v>
      </c>
    </row>
    <row r="226" customFormat="false" ht="15.8" hidden="false" customHeight="false" outlineLevel="0" collapsed="false">
      <c r="A226" s="1" t="n">
        <v>225</v>
      </c>
      <c r="B226" s="1" t="n">
        <v>85</v>
      </c>
      <c r="C226" s="1" t="n">
        <v>-41.3</v>
      </c>
      <c r="D226" s="1" t="n">
        <v>-10.6</v>
      </c>
      <c r="E226" s="2" t="n">
        <v>0.7</v>
      </c>
      <c r="F226" s="2" t="n">
        <v>224</v>
      </c>
      <c r="G226" s="2" t="n">
        <v>85.3</v>
      </c>
      <c r="H226" s="2" t="n">
        <v>-41.9</v>
      </c>
      <c r="I226" s="2" t="n">
        <v>-10.2</v>
      </c>
      <c r="J226" s="2" t="n">
        <v>33.8817705</v>
      </c>
    </row>
    <row r="227" customFormat="false" ht="15.8" hidden="false" customHeight="false" outlineLevel="0" collapsed="false">
      <c r="A227" s="1" t="n">
        <v>226</v>
      </c>
      <c r="B227" s="1" t="n">
        <v>81.3</v>
      </c>
      <c r="C227" s="1" t="n">
        <v>-44</v>
      </c>
      <c r="D227" s="1" t="n">
        <v>-10.6</v>
      </c>
      <c r="E227" s="2" t="n">
        <v>2.7</v>
      </c>
      <c r="F227" s="2" t="n">
        <v>217</v>
      </c>
      <c r="G227" s="2" t="n">
        <v>83.9</v>
      </c>
      <c r="H227" s="2" t="n">
        <v>-44.9</v>
      </c>
      <c r="I227" s="2" t="n">
        <v>-10.9</v>
      </c>
      <c r="J227" s="2" t="n">
        <v>29.30147389</v>
      </c>
    </row>
    <row r="228" customFormat="false" ht="15.8" hidden="false" customHeight="false" outlineLevel="0" collapsed="false">
      <c r="A228" s="1" t="n">
        <v>227</v>
      </c>
      <c r="B228" s="1" t="n">
        <v>78.4</v>
      </c>
      <c r="C228" s="1" t="n">
        <v>-49.3</v>
      </c>
      <c r="D228" s="1" t="n">
        <v>-10.6</v>
      </c>
      <c r="E228" s="2" t="n">
        <v>1.1</v>
      </c>
      <c r="F228" s="2" t="n">
        <v>228</v>
      </c>
      <c r="G228" s="2" t="n">
        <v>79.5</v>
      </c>
      <c r="H228" s="2" t="n">
        <v>-49</v>
      </c>
      <c r="I228" s="2" t="n">
        <v>-10.6</v>
      </c>
      <c r="J228" s="2" t="n">
        <v>23.96867898</v>
      </c>
    </row>
    <row r="229" customFormat="false" ht="15.8" hidden="false" customHeight="false" outlineLevel="0" collapsed="false">
      <c r="A229" s="1" t="n">
        <v>228</v>
      </c>
      <c r="B229" s="1" t="n">
        <v>79.5</v>
      </c>
      <c r="C229" s="1" t="n">
        <v>-49</v>
      </c>
      <c r="D229" s="1" t="n">
        <v>-10.6</v>
      </c>
      <c r="E229" s="2" t="n">
        <v>1.1</v>
      </c>
      <c r="F229" s="2" t="n">
        <v>227</v>
      </c>
      <c r="G229" s="2" t="n">
        <v>78.4</v>
      </c>
      <c r="H229" s="2" t="n">
        <v>-49.3</v>
      </c>
      <c r="I229" s="2" t="n">
        <v>-10.6</v>
      </c>
      <c r="J229" s="2" t="n">
        <v>25.07265387</v>
      </c>
    </row>
    <row r="230" customFormat="false" ht="15.8" hidden="false" customHeight="false" outlineLevel="0" collapsed="false">
      <c r="A230" s="1" t="n">
        <v>229</v>
      </c>
      <c r="B230" s="1" t="n">
        <v>71.8</v>
      </c>
      <c r="C230" s="1" t="n">
        <v>-49.6</v>
      </c>
      <c r="D230" s="1" t="n">
        <v>-7.9</v>
      </c>
      <c r="E230" s="2" t="n">
        <v>3.2</v>
      </c>
      <c r="F230" s="2" t="n">
        <v>230</v>
      </c>
      <c r="G230" s="2" t="n">
        <v>68.8</v>
      </c>
      <c r="H230" s="2" t="n">
        <v>-49.1</v>
      </c>
      <c r="I230" s="2" t="n">
        <v>-8.9</v>
      </c>
      <c r="J230" s="2" t="n">
        <v>18.52925179</v>
      </c>
    </row>
    <row r="231" customFormat="false" ht="15.8" hidden="false" customHeight="false" outlineLevel="0" collapsed="false">
      <c r="A231" s="1" t="n">
        <v>230</v>
      </c>
      <c r="B231" s="1" t="n">
        <v>68.8</v>
      </c>
      <c r="C231" s="1" t="n">
        <v>-49.1</v>
      </c>
      <c r="D231" s="1" t="n">
        <v>-8.9</v>
      </c>
      <c r="E231" s="2" t="n">
        <v>2.8</v>
      </c>
      <c r="F231" s="2" t="n">
        <v>231</v>
      </c>
      <c r="G231" s="2" t="n">
        <v>69.7</v>
      </c>
      <c r="H231" s="2" t="n">
        <v>-46.9</v>
      </c>
      <c r="I231" s="2" t="n">
        <v>-10.6</v>
      </c>
      <c r="J231" s="2" t="n">
        <v>16.59593842</v>
      </c>
    </row>
    <row r="232" customFormat="false" ht="15.8" hidden="false" customHeight="false" outlineLevel="0" collapsed="false">
      <c r="A232" s="1" t="n">
        <v>231</v>
      </c>
      <c r="B232" s="1" t="n">
        <v>69.7</v>
      </c>
      <c r="C232" s="1" t="n">
        <v>-46.9</v>
      </c>
      <c r="D232" s="1" t="n">
        <v>-10.6</v>
      </c>
      <c r="E232" s="2" t="n">
        <v>1.1</v>
      </c>
      <c r="F232" s="2" t="n">
        <v>232</v>
      </c>
      <c r="G232" s="2" t="n">
        <v>68.7</v>
      </c>
      <c r="H232" s="2" t="n">
        <v>-46.5</v>
      </c>
      <c r="I232" s="2" t="n">
        <v>-10.9</v>
      </c>
      <c r="J232" s="2" t="n">
        <v>18.77846565</v>
      </c>
    </row>
    <row r="233" customFormat="false" ht="15.8" hidden="false" customHeight="false" outlineLevel="0" collapsed="false">
      <c r="A233" s="1" t="n">
        <v>232</v>
      </c>
      <c r="B233" s="1" t="n">
        <v>68.7</v>
      </c>
      <c r="C233" s="1" t="n">
        <v>-46.5</v>
      </c>
      <c r="D233" s="1" t="n">
        <v>-10.9</v>
      </c>
      <c r="E233" s="2" t="n">
        <v>1.1</v>
      </c>
      <c r="F233" s="2" t="n">
        <v>231</v>
      </c>
      <c r="G233" s="2" t="n">
        <v>69.7</v>
      </c>
      <c r="H233" s="2" t="n">
        <v>-46.9</v>
      </c>
      <c r="I233" s="2" t="n">
        <v>-10.6</v>
      </c>
      <c r="J233" s="2" t="n">
        <v>18.47802944</v>
      </c>
    </row>
    <row r="234" customFormat="false" ht="15.8" hidden="false" customHeight="false" outlineLevel="0" collapsed="false">
      <c r="A234" s="1" t="n">
        <v>233</v>
      </c>
      <c r="B234" s="1" t="n">
        <v>72.6</v>
      </c>
      <c r="C234" s="1" t="n">
        <v>-45.6</v>
      </c>
      <c r="D234" s="1" t="n">
        <v>-10.9</v>
      </c>
      <c r="E234" s="2" t="n">
        <v>3.3</v>
      </c>
      <c r="F234" s="2" t="n">
        <v>231</v>
      </c>
      <c r="G234" s="2" t="n">
        <v>69.7</v>
      </c>
      <c r="H234" s="2" t="n">
        <v>-46.9</v>
      </c>
      <c r="I234" s="2" t="n">
        <v>-10.6</v>
      </c>
      <c r="J234" s="2" t="n">
        <v>21.68528469</v>
      </c>
    </row>
    <row r="235" customFormat="false" ht="15.8" hidden="false" customHeight="false" outlineLevel="0" collapsed="false">
      <c r="A235" s="1" t="n">
        <v>234</v>
      </c>
      <c r="B235" s="1" t="n">
        <v>74.9</v>
      </c>
      <c r="C235" s="1" t="n">
        <v>-44.7</v>
      </c>
      <c r="D235" s="1" t="n">
        <v>-7.6</v>
      </c>
      <c r="E235" s="2" t="n">
        <v>1.9</v>
      </c>
      <c r="F235" s="2" t="n">
        <v>264</v>
      </c>
      <c r="G235" s="2" t="n">
        <v>73.2</v>
      </c>
      <c r="H235" s="2" t="n">
        <v>-43.9</v>
      </c>
      <c r="I235" s="2" t="n">
        <v>-7.6</v>
      </c>
      <c r="J235" s="2" t="n">
        <v>24.10300338</v>
      </c>
    </row>
    <row r="236" customFormat="false" ht="15.8" hidden="false" customHeight="false" outlineLevel="0" collapsed="false">
      <c r="A236" s="1" t="n">
        <v>235</v>
      </c>
      <c r="B236" s="1" t="n">
        <v>73</v>
      </c>
      <c r="C236" s="1" t="n">
        <v>-38.6</v>
      </c>
      <c r="D236" s="1" t="n">
        <v>-5.9</v>
      </c>
      <c r="E236" s="2" t="n">
        <v>1.2</v>
      </c>
      <c r="F236" s="2" t="n">
        <v>244</v>
      </c>
      <c r="G236" s="2" t="n">
        <v>73</v>
      </c>
      <c r="H236" s="2" t="n">
        <v>-39.6</v>
      </c>
      <c r="I236" s="2" t="n">
        <v>-5.3</v>
      </c>
      <c r="J236" s="2" t="n">
        <v>27.77140205</v>
      </c>
    </row>
    <row r="237" customFormat="false" ht="15.8" hidden="false" customHeight="false" outlineLevel="0" collapsed="false">
      <c r="A237" s="1" t="n">
        <v>236</v>
      </c>
      <c r="B237" s="1" t="n">
        <v>73.7</v>
      </c>
      <c r="C237" s="1" t="n">
        <v>-31</v>
      </c>
      <c r="D237" s="1" t="n">
        <v>-5.6</v>
      </c>
      <c r="E237" s="2" t="n">
        <v>2</v>
      </c>
      <c r="F237" s="2" t="n">
        <v>241</v>
      </c>
      <c r="G237" s="2" t="n">
        <v>73.8</v>
      </c>
      <c r="H237" s="2" t="n">
        <v>-30.5</v>
      </c>
      <c r="I237" s="2" t="n">
        <v>-7.6</v>
      </c>
      <c r="J237" s="2" t="n">
        <v>34.62518696</v>
      </c>
    </row>
    <row r="238" customFormat="false" ht="15.8" hidden="false" customHeight="false" outlineLevel="0" collapsed="false">
      <c r="A238" s="1" t="n">
        <v>237</v>
      </c>
      <c r="B238" s="1" t="n">
        <v>76.6</v>
      </c>
      <c r="C238" s="1" t="n">
        <v>-31.7</v>
      </c>
      <c r="D238" s="1" t="n">
        <v>-5.9</v>
      </c>
      <c r="E238" s="2" t="n">
        <v>2.8</v>
      </c>
      <c r="F238" s="2" t="n">
        <v>242</v>
      </c>
      <c r="G238" s="2" t="n">
        <v>78.2</v>
      </c>
      <c r="H238" s="2" t="n">
        <v>-29.4</v>
      </c>
      <c r="I238" s="2" t="n">
        <v>-6.3</v>
      </c>
      <c r="J238" s="2" t="n">
        <v>35.43501618</v>
      </c>
    </row>
    <row r="239" customFormat="false" ht="15.8" hidden="false" customHeight="false" outlineLevel="0" collapsed="false">
      <c r="A239" s="1" t="n">
        <v>238</v>
      </c>
      <c r="B239" s="1" t="n">
        <v>76.8</v>
      </c>
      <c r="C239" s="1" t="n">
        <v>-28.9</v>
      </c>
      <c r="D239" s="1" t="n">
        <v>-4.9</v>
      </c>
      <c r="E239" s="2" t="n">
        <v>2</v>
      </c>
      <c r="F239" s="2" t="n">
        <v>242</v>
      </c>
      <c r="G239" s="2" t="n">
        <v>78.2</v>
      </c>
      <c r="H239" s="2" t="n">
        <v>-29.4</v>
      </c>
      <c r="I239" s="2" t="n">
        <v>-6.3</v>
      </c>
      <c r="J239" s="2" t="n">
        <v>38.03802797</v>
      </c>
    </row>
    <row r="240" customFormat="false" ht="15.8" hidden="false" customHeight="false" outlineLevel="0" collapsed="false">
      <c r="A240" s="1" t="n">
        <v>239</v>
      </c>
      <c r="B240" s="1" t="n">
        <v>76.7</v>
      </c>
      <c r="C240" s="1" t="n">
        <v>-29.9</v>
      </c>
      <c r="D240" s="1" t="n">
        <v>-8.6</v>
      </c>
      <c r="E240" s="2" t="n">
        <v>1.5</v>
      </c>
      <c r="F240" s="2" t="n">
        <v>240</v>
      </c>
      <c r="G240" s="2" t="n">
        <v>78.1</v>
      </c>
      <c r="H240" s="2" t="n">
        <v>-30.3</v>
      </c>
      <c r="I240" s="2" t="n">
        <v>-8.2</v>
      </c>
      <c r="J240" s="2" t="n">
        <v>36.77296251</v>
      </c>
    </row>
    <row r="241" customFormat="false" ht="15.8" hidden="false" customHeight="false" outlineLevel="0" collapsed="false">
      <c r="A241" s="1" t="n">
        <v>240</v>
      </c>
      <c r="B241" s="1" t="n">
        <v>78.1</v>
      </c>
      <c r="C241" s="1" t="n">
        <v>-30.3</v>
      </c>
      <c r="D241" s="1" t="n">
        <v>-8.2</v>
      </c>
      <c r="E241" s="2" t="n">
        <v>1.5</v>
      </c>
      <c r="F241" s="2" t="n">
        <v>239</v>
      </c>
      <c r="G241" s="2" t="n">
        <v>76.7</v>
      </c>
      <c r="H241" s="2" t="n">
        <v>-29.9</v>
      </c>
      <c r="I241" s="2" t="n">
        <v>-8.6</v>
      </c>
      <c r="J241" s="2" t="n">
        <v>37.20442409</v>
      </c>
    </row>
    <row r="242" customFormat="false" ht="15.8" hidden="false" customHeight="false" outlineLevel="0" collapsed="false">
      <c r="A242" s="1" t="n">
        <v>241</v>
      </c>
      <c r="B242" s="1" t="n">
        <v>73.8</v>
      </c>
      <c r="C242" s="1" t="n">
        <v>-30.5</v>
      </c>
      <c r="D242" s="1" t="n">
        <v>-7.6</v>
      </c>
      <c r="E242" s="2" t="n">
        <v>2</v>
      </c>
      <c r="F242" s="2" t="n">
        <v>236</v>
      </c>
      <c r="G242" s="2" t="n">
        <v>73.7</v>
      </c>
      <c r="H242" s="2" t="n">
        <v>-31</v>
      </c>
      <c r="I242" s="2" t="n">
        <v>-5.6</v>
      </c>
      <c r="J242" s="2" t="n">
        <v>34.89238272</v>
      </c>
    </row>
    <row r="243" customFormat="false" ht="15.8" hidden="false" customHeight="false" outlineLevel="0" collapsed="false">
      <c r="A243" s="1" t="n">
        <v>242</v>
      </c>
      <c r="B243" s="1" t="n">
        <v>78.2</v>
      </c>
      <c r="C243" s="1" t="n">
        <v>-29.4</v>
      </c>
      <c r="D243" s="1" t="n">
        <v>-6.3</v>
      </c>
      <c r="E243" s="2" t="n">
        <v>1.9</v>
      </c>
      <c r="F243" s="2" t="n">
        <v>243</v>
      </c>
      <c r="G243" s="2" t="n">
        <v>79.3</v>
      </c>
      <c r="H243" s="2" t="n">
        <v>-27.9</v>
      </c>
      <c r="I243" s="2" t="n">
        <v>-5.9</v>
      </c>
      <c r="J243" s="2" t="n">
        <v>38.16881937</v>
      </c>
    </row>
    <row r="244" customFormat="false" ht="15.8" hidden="false" customHeight="false" outlineLevel="0" collapsed="false">
      <c r="A244" s="1" t="n">
        <v>243</v>
      </c>
      <c r="B244" s="1" t="n">
        <v>79.3</v>
      </c>
      <c r="C244" s="1" t="n">
        <v>-27.9</v>
      </c>
      <c r="D244" s="1" t="n">
        <v>-5.9</v>
      </c>
      <c r="E244" s="2" t="n">
        <v>1.9</v>
      </c>
      <c r="F244" s="2" t="n">
        <v>242</v>
      </c>
      <c r="G244" s="2" t="n">
        <v>78.2</v>
      </c>
      <c r="H244" s="2" t="n">
        <v>-29.4</v>
      </c>
      <c r="I244" s="2" t="n">
        <v>-6.3</v>
      </c>
      <c r="J244" s="2" t="n">
        <v>40.05837705</v>
      </c>
    </row>
    <row r="245" customFormat="false" ht="15.8" hidden="false" customHeight="false" outlineLevel="0" collapsed="false">
      <c r="A245" s="1" t="n">
        <v>244</v>
      </c>
      <c r="B245" s="1" t="n">
        <v>73</v>
      </c>
      <c r="C245" s="1" t="n">
        <v>-39.6</v>
      </c>
      <c r="D245" s="1" t="n">
        <v>-5.3</v>
      </c>
      <c r="E245" s="2" t="n">
        <v>0.6</v>
      </c>
      <c r="F245" s="2" t="n">
        <v>245</v>
      </c>
      <c r="G245" s="2" t="n">
        <v>73.2</v>
      </c>
      <c r="H245" s="2" t="n">
        <v>-40.1</v>
      </c>
      <c r="I245" s="2" t="n">
        <v>-5.6</v>
      </c>
      <c r="J245" s="2" t="n">
        <v>27.06656188</v>
      </c>
    </row>
    <row r="246" customFormat="false" ht="15.8" hidden="false" customHeight="false" outlineLevel="0" collapsed="false">
      <c r="A246" s="1" t="n">
        <v>245</v>
      </c>
      <c r="B246" s="1" t="n">
        <v>73.2</v>
      </c>
      <c r="C246" s="1" t="n">
        <v>-40.1</v>
      </c>
      <c r="D246" s="1" t="n">
        <v>-5.6</v>
      </c>
      <c r="E246" s="2" t="n">
        <v>0.6</v>
      </c>
      <c r="F246" s="2" t="n">
        <v>244</v>
      </c>
      <c r="G246" s="2" t="n">
        <v>73</v>
      </c>
      <c r="H246" s="2" t="n">
        <v>-39.6</v>
      </c>
      <c r="I246" s="2" t="n">
        <v>-5.3</v>
      </c>
      <c r="J246" s="2" t="n">
        <v>26.7273338</v>
      </c>
    </row>
    <row r="247" customFormat="false" ht="15.8" hidden="false" customHeight="false" outlineLevel="0" collapsed="false">
      <c r="A247" s="1" t="n">
        <v>246</v>
      </c>
      <c r="B247" s="1" t="n">
        <v>68.1</v>
      </c>
      <c r="C247" s="1" t="n">
        <v>-41.7</v>
      </c>
      <c r="D247" s="1" t="n">
        <v>-5.3</v>
      </c>
      <c r="E247" s="2" t="n">
        <v>2.2</v>
      </c>
      <c r="F247" s="2" t="n">
        <v>248</v>
      </c>
      <c r="G247" s="2" t="n">
        <v>68.9</v>
      </c>
      <c r="H247" s="2" t="n">
        <v>-43.6</v>
      </c>
      <c r="I247" s="2" t="n">
        <v>-5.9</v>
      </c>
      <c r="J247" s="2" t="n">
        <v>22.79215593</v>
      </c>
    </row>
    <row r="248" customFormat="false" ht="15.8" hidden="false" customHeight="false" outlineLevel="0" collapsed="false">
      <c r="A248" s="1" t="n">
        <v>247</v>
      </c>
      <c r="B248" s="1" t="n">
        <v>70.3</v>
      </c>
      <c r="C248" s="1" t="n">
        <v>-42.8</v>
      </c>
      <c r="D248" s="1" t="n">
        <v>-6.6</v>
      </c>
      <c r="E248" s="2" t="n">
        <v>1.2</v>
      </c>
      <c r="F248" s="2" t="n">
        <v>265</v>
      </c>
      <c r="G248" s="2" t="n">
        <v>71.5</v>
      </c>
      <c r="H248" s="2" t="n">
        <v>-42.8</v>
      </c>
      <c r="I248" s="2" t="n">
        <v>-6.9</v>
      </c>
      <c r="J248" s="2" t="n">
        <v>22.73285666</v>
      </c>
    </row>
    <row r="249" customFormat="false" ht="15.8" hidden="false" customHeight="false" outlineLevel="0" collapsed="false">
      <c r="A249" s="1" t="n">
        <v>248</v>
      </c>
      <c r="B249" s="1" t="n">
        <v>68.9</v>
      </c>
      <c r="C249" s="1" t="n">
        <v>-43.6</v>
      </c>
      <c r="D249" s="1" t="n">
        <v>-5.9</v>
      </c>
      <c r="E249" s="2" t="n">
        <v>1.8</v>
      </c>
      <c r="F249" s="2" t="n">
        <v>247</v>
      </c>
      <c r="G249" s="2" t="n">
        <v>70.3</v>
      </c>
      <c r="H249" s="2" t="n">
        <v>-42.8</v>
      </c>
      <c r="I249" s="2" t="n">
        <v>-6.6</v>
      </c>
      <c r="J249" s="2" t="n">
        <v>21.4518058</v>
      </c>
    </row>
    <row r="250" customFormat="false" ht="15.8" hidden="false" customHeight="false" outlineLevel="0" collapsed="false">
      <c r="A250" s="1" t="n">
        <v>249</v>
      </c>
      <c r="B250" s="1" t="n">
        <v>72.6</v>
      </c>
      <c r="C250" s="1" t="n">
        <v>-38.8</v>
      </c>
      <c r="D250" s="1" t="n">
        <v>-4.6</v>
      </c>
      <c r="E250" s="2" t="n">
        <v>1.2</v>
      </c>
      <c r="F250" s="2" t="n">
        <v>244</v>
      </c>
      <c r="G250" s="2" t="n">
        <v>73</v>
      </c>
      <c r="H250" s="2" t="n">
        <v>-39.6</v>
      </c>
      <c r="I250" s="2" t="n">
        <v>-5.3</v>
      </c>
      <c r="J250" s="2" t="n">
        <v>27.63119925</v>
      </c>
    </row>
    <row r="251" customFormat="false" ht="15.8" hidden="false" customHeight="false" outlineLevel="0" collapsed="false">
      <c r="A251" s="1" t="n">
        <v>250</v>
      </c>
      <c r="B251" s="1" t="n">
        <v>73.5</v>
      </c>
      <c r="C251" s="1" t="n">
        <v>-34.5</v>
      </c>
      <c r="D251" s="1" t="n">
        <v>-4.3</v>
      </c>
      <c r="E251" s="2" t="n">
        <v>1.4</v>
      </c>
      <c r="F251" s="2" t="n">
        <v>255</v>
      </c>
      <c r="G251" s="2" t="n">
        <v>74.2</v>
      </c>
      <c r="H251" s="2" t="n">
        <v>-33.9</v>
      </c>
      <c r="I251" s="2" t="n">
        <v>-3.3</v>
      </c>
      <c r="J251" s="2" t="n">
        <v>31.73017447</v>
      </c>
    </row>
    <row r="252" customFormat="false" ht="15.8" hidden="false" customHeight="false" outlineLevel="0" collapsed="false">
      <c r="A252" s="1" t="n">
        <v>251</v>
      </c>
      <c r="B252" s="1" t="n">
        <v>74.8</v>
      </c>
      <c r="C252" s="1" t="n">
        <v>-32.7</v>
      </c>
      <c r="D252" s="1" t="n">
        <v>-3</v>
      </c>
      <c r="E252" s="2" t="n">
        <v>1.3</v>
      </c>
      <c r="F252" s="2" t="n">
        <v>253</v>
      </c>
      <c r="G252" s="2" t="n">
        <v>76</v>
      </c>
      <c r="H252" s="2" t="n">
        <v>-32.8</v>
      </c>
      <c r="I252" s="2" t="n">
        <v>-2.3</v>
      </c>
      <c r="J252" s="2" t="n">
        <v>34.16108857</v>
      </c>
    </row>
    <row r="253" customFormat="false" ht="15.8" hidden="false" customHeight="false" outlineLevel="0" collapsed="false">
      <c r="A253" s="1" t="n">
        <v>252</v>
      </c>
      <c r="B253" s="1" t="n">
        <v>77.4</v>
      </c>
      <c r="C253" s="1" t="n">
        <v>-33.3</v>
      </c>
      <c r="D253" s="1" t="n">
        <v>-3.6</v>
      </c>
      <c r="E253" s="2" t="n">
        <v>2</v>
      </c>
      <c r="F253" s="2" t="n">
        <v>253</v>
      </c>
      <c r="G253" s="2" t="n">
        <v>76</v>
      </c>
      <c r="H253" s="2" t="n">
        <v>-32.8</v>
      </c>
      <c r="I253" s="2" t="n">
        <v>-2.3</v>
      </c>
      <c r="J253" s="2" t="n">
        <v>34.93424641</v>
      </c>
    </row>
    <row r="254" customFormat="false" ht="15.8" hidden="false" customHeight="false" outlineLevel="0" collapsed="false">
      <c r="A254" s="1" t="n">
        <v>253</v>
      </c>
      <c r="B254" s="1" t="n">
        <v>76</v>
      </c>
      <c r="C254" s="1" t="n">
        <v>-32.8</v>
      </c>
      <c r="D254" s="1" t="n">
        <v>-2.3</v>
      </c>
      <c r="E254" s="2" t="n">
        <v>1.3</v>
      </c>
      <c r="F254" s="2" t="n">
        <v>251</v>
      </c>
      <c r="G254" s="2" t="n">
        <v>74.8</v>
      </c>
      <c r="H254" s="2" t="n">
        <v>-32.7</v>
      </c>
      <c r="I254" s="2" t="n">
        <v>-3</v>
      </c>
      <c r="J254" s="2" t="n">
        <v>34.85260926</v>
      </c>
    </row>
    <row r="255" customFormat="false" ht="15.8" hidden="false" customHeight="false" outlineLevel="0" collapsed="false">
      <c r="A255" s="1" t="n">
        <v>254</v>
      </c>
      <c r="B255" s="1" t="n">
        <v>72.7</v>
      </c>
      <c r="C255" s="1" t="n">
        <v>-34.9</v>
      </c>
      <c r="D255" s="1" t="n">
        <v>-3</v>
      </c>
      <c r="E255" s="2" t="n">
        <v>1.6</v>
      </c>
      <c r="F255" s="2" t="n">
        <v>250</v>
      </c>
      <c r="G255" s="2" t="n">
        <v>73.5</v>
      </c>
      <c r="H255" s="2" t="n">
        <v>-34.5</v>
      </c>
      <c r="I255" s="2" t="n">
        <v>-4.3</v>
      </c>
      <c r="J255" s="2" t="n">
        <v>31.27872715</v>
      </c>
    </row>
    <row r="256" customFormat="false" ht="15.8" hidden="false" customHeight="false" outlineLevel="0" collapsed="false">
      <c r="A256" s="1" t="n">
        <v>255</v>
      </c>
      <c r="B256" s="1" t="n">
        <v>74.2</v>
      </c>
      <c r="C256" s="1" t="n">
        <v>-33.9</v>
      </c>
      <c r="D256" s="1" t="n">
        <v>-3.3</v>
      </c>
      <c r="E256" s="2" t="n">
        <v>1.4</v>
      </c>
      <c r="F256" s="2" t="n">
        <v>250</v>
      </c>
      <c r="G256" s="2" t="n">
        <v>73.5</v>
      </c>
      <c r="H256" s="2" t="n">
        <v>-34.5</v>
      </c>
      <c r="I256" s="2" t="n">
        <v>-4.3</v>
      </c>
      <c r="J256" s="2" t="n">
        <v>32.79028472</v>
      </c>
    </row>
    <row r="257" customFormat="false" ht="15.8" hidden="false" customHeight="false" outlineLevel="0" collapsed="false">
      <c r="A257" s="1" t="n">
        <v>256</v>
      </c>
      <c r="B257" s="1" t="n">
        <v>71.7</v>
      </c>
      <c r="C257" s="1" t="n">
        <v>-38.7</v>
      </c>
      <c r="D257" s="1" t="n">
        <v>-3.3</v>
      </c>
      <c r="E257" s="2" t="n">
        <v>1.6</v>
      </c>
      <c r="F257" s="2" t="n">
        <v>249</v>
      </c>
      <c r="G257" s="2" t="n">
        <v>72.6</v>
      </c>
      <c r="H257" s="2" t="n">
        <v>-38.8</v>
      </c>
      <c r="I257" s="2" t="n">
        <v>-4.6</v>
      </c>
      <c r="J257" s="2" t="n">
        <v>27.54405874</v>
      </c>
    </row>
    <row r="258" customFormat="false" ht="15.8" hidden="false" customHeight="false" outlineLevel="0" collapsed="false">
      <c r="A258" s="1" t="n">
        <v>257</v>
      </c>
      <c r="B258" s="1" t="n">
        <v>66</v>
      </c>
      <c r="C258" s="1" t="n">
        <v>-38.4</v>
      </c>
      <c r="D258" s="1" t="n">
        <v>-3</v>
      </c>
      <c r="E258" s="2" t="n">
        <v>2</v>
      </c>
      <c r="F258" s="2" t="n">
        <v>259</v>
      </c>
      <c r="G258" s="2" t="n">
        <v>66.8</v>
      </c>
      <c r="H258" s="2" t="n">
        <v>-40.3</v>
      </c>
      <c r="I258" s="2" t="n">
        <v>-3</v>
      </c>
      <c r="J258" s="2" t="n">
        <v>25.47679674</v>
      </c>
    </row>
    <row r="259" customFormat="false" ht="15.8" hidden="false" customHeight="false" outlineLevel="0" collapsed="false">
      <c r="A259" s="1" t="n">
        <v>258</v>
      </c>
      <c r="B259" s="1" t="n">
        <v>67.9</v>
      </c>
      <c r="C259" s="1" t="n">
        <v>-39.9</v>
      </c>
      <c r="D259" s="1" t="n">
        <v>-2.6</v>
      </c>
      <c r="E259" s="2" t="n">
        <v>1.2</v>
      </c>
      <c r="F259" s="2" t="n">
        <v>259</v>
      </c>
      <c r="G259" s="2" t="n">
        <v>66.8</v>
      </c>
      <c r="H259" s="2" t="n">
        <v>-40.3</v>
      </c>
      <c r="I259" s="2" t="n">
        <v>-3</v>
      </c>
      <c r="J259" s="2" t="n">
        <v>24.97991938</v>
      </c>
    </row>
    <row r="260" customFormat="false" ht="15.8" hidden="false" customHeight="false" outlineLevel="0" collapsed="false">
      <c r="A260" s="1" t="n">
        <v>259</v>
      </c>
      <c r="B260" s="1" t="n">
        <v>66.8</v>
      </c>
      <c r="C260" s="1" t="n">
        <v>-40.3</v>
      </c>
      <c r="D260" s="1" t="n">
        <v>-3</v>
      </c>
      <c r="E260" s="2" t="n">
        <v>1.2</v>
      </c>
      <c r="F260" s="2" t="n">
        <v>258</v>
      </c>
      <c r="G260" s="2" t="n">
        <v>67.9</v>
      </c>
      <c r="H260" s="2" t="n">
        <v>-39.9</v>
      </c>
      <c r="I260" s="2" t="n">
        <v>-2.6</v>
      </c>
      <c r="J260" s="2" t="n">
        <v>24.07539765</v>
      </c>
    </row>
    <row r="261" customFormat="false" ht="15.8" hidden="false" customHeight="false" outlineLevel="0" collapsed="false">
      <c r="A261" s="1" t="n">
        <v>260</v>
      </c>
      <c r="B261" s="1" t="n">
        <v>66.7</v>
      </c>
      <c r="C261" s="1" t="n">
        <v>-36.5</v>
      </c>
      <c r="D261" s="1" t="n">
        <v>-3.3</v>
      </c>
      <c r="E261" s="2" t="n">
        <v>2.1</v>
      </c>
      <c r="F261" s="2" t="n">
        <v>257</v>
      </c>
      <c r="G261" s="2" t="n">
        <v>66</v>
      </c>
      <c r="H261" s="2" t="n">
        <v>-38.4</v>
      </c>
      <c r="I261" s="2" t="n">
        <v>-3</v>
      </c>
      <c r="J261" s="2" t="n">
        <v>27.34120648</v>
      </c>
    </row>
    <row r="262" customFormat="false" ht="15.8" hidden="false" customHeight="false" outlineLevel="0" collapsed="false">
      <c r="A262" s="1" t="n">
        <v>261</v>
      </c>
      <c r="B262" s="1" t="n">
        <v>64.4</v>
      </c>
      <c r="C262" s="1" t="n">
        <v>-33.5</v>
      </c>
      <c r="D262" s="1" t="n">
        <v>-4.3</v>
      </c>
      <c r="E262" s="2" t="n">
        <v>4</v>
      </c>
      <c r="F262" s="2" t="n">
        <v>260</v>
      </c>
      <c r="G262" s="2" t="n">
        <v>66.7</v>
      </c>
      <c r="H262" s="2" t="n">
        <v>-36.5</v>
      </c>
      <c r="I262" s="2" t="n">
        <v>-3.3</v>
      </c>
      <c r="J262" s="2" t="n">
        <v>29.25517342</v>
      </c>
    </row>
    <row r="263" customFormat="false" ht="15.8" hidden="false" customHeight="false" outlineLevel="0" collapsed="false">
      <c r="A263" s="1" t="n">
        <v>262</v>
      </c>
      <c r="B263" s="1" t="n">
        <v>58.7</v>
      </c>
      <c r="C263" s="1" t="n">
        <v>-29.9</v>
      </c>
      <c r="D263" s="1" t="n">
        <v>-2.6</v>
      </c>
      <c r="E263" s="2" t="n">
        <v>2.4</v>
      </c>
      <c r="F263" s="2" t="n">
        <v>263</v>
      </c>
      <c r="G263" s="2" t="n">
        <v>60.4</v>
      </c>
      <c r="H263" s="2" t="n">
        <v>-28.2</v>
      </c>
      <c r="I263" s="2" t="n">
        <v>-2.6</v>
      </c>
      <c r="J263" s="2" t="n">
        <v>32.37694816</v>
      </c>
    </row>
    <row r="264" customFormat="false" ht="15.8" hidden="false" customHeight="false" outlineLevel="0" collapsed="false">
      <c r="A264" s="1" t="n">
        <v>263</v>
      </c>
      <c r="B264" s="1" t="n">
        <v>60.4</v>
      </c>
      <c r="C264" s="1" t="n">
        <v>-28.2</v>
      </c>
      <c r="D264" s="1" t="n">
        <v>-2.6</v>
      </c>
      <c r="E264" s="2" t="n">
        <v>2.4</v>
      </c>
      <c r="F264" s="2" t="n">
        <v>262</v>
      </c>
      <c r="G264" s="2" t="n">
        <v>58.7</v>
      </c>
      <c r="H264" s="2" t="n">
        <v>-29.9</v>
      </c>
      <c r="I264" s="2" t="n">
        <v>-2.6</v>
      </c>
      <c r="J264" s="2" t="n">
        <v>34.12296546</v>
      </c>
    </row>
    <row r="265" customFormat="false" ht="15.8" hidden="false" customHeight="false" outlineLevel="0" collapsed="false">
      <c r="A265" s="1" t="n">
        <v>264</v>
      </c>
      <c r="B265" s="1" t="n">
        <v>73.2</v>
      </c>
      <c r="C265" s="1" t="n">
        <v>-43.9</v>
      </c>
      <c r="D265" s="1" t="n">
        <v>-7.6</v>
      </c>
      <c r="E265" s="2" t="n">
        <v>1.9</v>
      </c>
      <c r="F265" s="2" t="n">
        <v>234</v>
      </c>
      <c r="G265" s="2" t="n">
        <v>74.9</v>
      </c>
      <c r="H265" s="2" t="n">
        <v>-44.7</v>
      </c>
      <c r="I265" s="2" t="n">
        <v>-7.6</v>
      </c>
      <c r="J265" s="2" t="n">
        <v>23.50371826</v>
      </c>
    </row>
    <row r="266" customFormat="false" ht="15.8" hidden="false" customHeight="false" outlineLevel="0" collapsed="false">
      <c r="A266" s="1" t="n">
        <v>265</v>
      </c>
      <c r="B266" s="1" t="n">
        <v>71.5</v>
      </c>
      <c r="C266" s="1" t="n">
        <v>-42.8</v>
      </c>
      <c r="D266" s="1" t="n">
        <v>-6.9</v>
      </c>
      <c r="E266" s="2" t="n">
        <v>1.2</v>
      </c>
      <c r="F266" s="2" t="n">
        <v>247</v>
      </c>
      <c r="G266" s="2" t="n">
        <v>70.3</v>
      </c>
      <c r="H266" s="2" t="n">
        <v>-42.8</v>
      </c>
      <c r="I266" s="2" t="n">
        <v>-6.6</v>
      </c>
      <c r="J266" s="2" t="n">
        <v>23.3747379</v>
      </c>
    </row>
    <row r="267" customFormat="false" ht="15.8" hidden="false" customHeight="false" outlineLevel="0" collapsed="false">
      <c r="A267" s="1" t="n">
        <v>266</v>
      </c>
      <c r="B267" s="1" t="n">
        <v>61.9</v>
      </c>
      <c r="C267" s="1" t="n">
        <v>-59</v>
      </c>
      <c r="D267" s="1" t="n">
        <v>-13.5</v>
      </c>
      <c r="E267" s="2" t="n">
        <v>5.5</v>
      </c>
      <c r="F267" s="2" t="n">
        <v>267</v>
      </c>
      <c r="G267" s="2" t="n">
        <v>57</v>
      </c>
      <c r="H267" s="2" t="n">
        <v>-61.3</v>
      </c>
      <c r="I267" s="2" t="n">
        <v>-12.2</v>
      </c>
      <c r="J267" s="2" t="n">
        <v>5.739265807</v>
      </c>
    </row>
    <row r="268" customFormat="false" ht="15.8" hidden="false" customHeight="false" outlineLevel="0" collapsed="false">
      <c r="A268" s="1" t="n">
        <v>267</v>
      </c>
      <c r="B268" s="1" t="n">
        <v>57</v>
      </c>
      <c r="C268" s="1" t="n">
        <v>-61.3</v>
      </c>
      <c r="D268" s="1" t="n">
        <v>-12.2</v>
      </c>
      <c r="E268" s="2" t="n">
        <v>4.6</v>
      </c>
      <c r="F268" s="2" t="n">
        <v>303</v>
      </c>
      <c r="G268" s="2" t="n">
        <v>55.7</v>
      </c>
      <c r="H268" s="2" t="n">
        <v>-62.5</v>
      </c>
      <c r="I268" s="2" t="n">
        <v>-7.9</v>
      </c>
      <c r="J268" s="2" t="n">
        <v>1.915821495</v>
      </c>
    </row>
    <row r="269" customFormat="false" ht="15.8" hidden="false" customHeight="false" outlineLevel="0" collapsed="false">
      <c r="A269" s="1" t="n">
        <v>268</v>
      </c>
      <c r="B269" s="1" t="n">
        <v>56.5</v>
      </c>
      <c r="C269" s="1" t="n">
        <v>-65.9</v>
      </c>
      <c r="D269" s="1" t="n">
        <v>-8.9</v>
      </c>
      <c r="E269" s="2" t="n">
        <v>2.8</v>
      </c>
      <c r="F269" s="2" t="n">
        <v>53</v>
      </c>
      <c r="G269" s="2" t="n">
        <v>54.9</v>
      </c>
      <c r="H269" s="2" t="n">
        <v>-68</v>
      </c>
      <c r="I269" s="2" t="n">
        <v>-9.9</v>
      </c>
      <c r="J269" s="2" t="n">
        <v>4.969021232</v>
      </c>
    </row>
    <row r="270" customFormat="false" ht="15.8" hidden="false" customHeight="false" outlineLevel="0" collapsed="false">
      <c r="A270" s="1" t="n">
        <v>269</v>
      </c>
      <c r="B270" s="1" t="n">
        <v>53.8</v>
      </c>
      <c r="C270" s="1" t="n">
        <v>-58.9</v>
      </c>
      <c r="D270" s="1" t="n">
        <v>-7.6</v>
      </c>
      <c r="E270" s="2" t="n">
        <v>1.4</v>
      </c>
      <c r="F270" s="2" t="n">
        <v>298</v>
      </c>
      <c r="G270" s="2" t="n">
        <v>54.2</v>
      </c>
      <c r="H270" s="2" t="n">
        <v>-59</v>
      </c>
      <c r="I270" s="2" t="n">
        <v>-6.3</v>
      </c>
      <c r="J270" s="2" t="n">
        <v>5.338311718</v>
      </c>
    </row>
    <row r="271" customFormat="false" ht="15.8" hidden="false" customHeight="false" outlineLevel="0" collapsed="false">
      <c r="A271" s="1" t="n">
        <v>270</v>
      </c>
      <c r="B271" s="1" t="n">
        <v>47.6</v>
      </c>
      <c r="C271" s="1" t="n">
        <v>-59.3</v>
      </c>
      <c r="D271" s="1" t="n">
        <v>-4.3</v>
      </c>
      <c r="E271" s="2" t="n">
        <v>0.9</v>
      </c>
      <c r="F271" s="2" t="n">
        <v>271</v>
      </c>
      <c r="G271" s="2" t="n">
        <v>46.9</v>
      </c>
      <c r="H271" s="2" t="n">
        <v>-59.4</v>
      </c>
      <c r="I271" s="2" t="n">
        <v>-3.6</v>
      </c>
      <c r="J271" s="2" t="n">
        <v>11.93135248</v>
      </c>
    </row>
    <row r="272" customFormat="false" ht="15.8" hidden="false" customHeight="false" outlineLevel="0" collapsed="false">
      <c r="A272" s="1" t="n">
        <v>271</v>
      </c>
      <c r="B272" s="1" t="n">
        <v>46.9</v>
      </c>
      <c r="C272" s="1" t="n">
        <v>-59.4</v>
      </c>
      <c r="D272" s="1" t="n">
        <v>-3.6</v>
      </c>
      <c r="E272" s="2" t="n">
        <v>0.9</v>
      </c>
      <c r="F272" s="2" t="n">
        <v>270</v>
      </c>
      <c r="G272" s="2" t="n">
        <v>47.6</v>
      </c>
      <c r="H272" s="2" t="n">
        <v>-59.3</v>
      </c>
      <c r="I272" s="2" t="n">
        <v>-4.3</v>
      </c>
      <c r="J272" s="2" t="n">
        <v>12.86718198</v>
      </c>
    </row>
    <row r="273" customFormat="false" ht="15.8" hidden="false" customHeight="false" outlineLevel="0" collapsed="false">
      <c r="A273" s="1" t="n">
        <v>272</v>
      </c>
      <c r="B273" s="1" t="n">
        <v>44.3</v>
      </c>
      <c r="C273" s="1" t="n">
        <v>-61.4</v>
      </c>
      <c r="D273" s="1" t="n">
        <v>-2</v>
      </c>
      <c r="E273" s="2" t="n">
        <v>0.9</v>
      </c>
      <c r="F273" s="2" t="n">
        <v>275</v>
      </c>
      <c r="G273" s="2" t="n">
        <v>44.2</v>
      </c>
      <c r="H273" s="2" t="n">
        <v>-62.1</v>
      </c>
      <c r="I273" s="2" t="n">
        <v>-2.6</v>
      </c>
      <c r="J273" s="2" t="n">
        <v>15.77819926</v>
      </c>
    </row>
    <row r="274" customFormat="false" ht="15.8" hidden="false" customHeight="false" outlineLevel="0" collapsed="false">
      <c r="A274" s="1" t="n">
        <v>273</v>
      </c>
      <c r="B274" s="1" t="n">
        <v>44</v>
      </c>
      <c r="C274" s="1" t="n">
        <v>-59.9</v>
      </c>
      <c r="D274" s="1" t="n">
        <v>-1.3</v>
      </c>
      <c r="E274" s="2" t="n">
        <v>1.7</v>
      </c>
      <c r="F274" s="2" t="n">
        <v>272</v>
      </c>
      <c r="G274" s="2" t="n">
        <v>44.3</v>
      </c>
      <c r="H274" s="2" t="n">
        <v>-61.4</v>
      </c>
      <c r="I274" s="2" t="n">
        <v>-2</v>
      </c>
      <c r="J274" s="2" t="n">
        <v>16.47037255</v>
      </c>
    </row>
    <row r="275" customFormat="false" ht="15.8" hidden="false" customHeight="false" outlineLevel="0" collapsed="false">
      <c r="A275" s="1" t="n">
        <v>274</v>
      </c>
      <c r="B275" s="1" t="n">
        <v>47.8</v>
      </c>
      <c r="C275" s="1" t="n">
        <v>-60.8</v>
      </c>
      <c r="D275" s="1" t="n">
        <v>-2.3</v>
      </c>
      <c r="E275" s="2" t="n">
        <v>1.2</v>
      </c>
      <c r="F275" s="2" t="n">
        <v>292</v>
      </c>
      <c r="G275" s="2" t="n">
        <v>48.7</v>
      </c>
      <c r="H275" s="2" t="n">
        <v>-60.7</v>
      </c>
      <c r="I275" s="2" t="n">
        <v>-1.7</v>
      </c>
      <c r="J275" s="2" t="n">
        <v>12.76741054</v>
      </c>
    </row>
    <row r="276" customFormat="false" ht="15.8" hidden="false" customHeight="false" outlineLevel="0" collapsed="false">
      <c r="A276" s="1" t="n">
        <v>275</v>
      </c>
      <c r="B276" s="1" t="n">
        <v>44.2</v>
      </c>
      <c r="C276" s="1" t="n">
        <v>-62.1</v>
      </c>
      <c r="D276" s="1" t="n">
        <v>-2.6</v>
      </c>
      <c r="E276" s="2" t="n">
        <v>0.9</v>
      </c>
      <c r="F276" s="2" t="n">
        <v>272</v>
      </c>
      <c r="G276" s="2" t="n">
        <v>44.3</v>
      </c>
      <c r="H276" s="2" t="n">
        <v>-61.4</v>
      </c>
      <c r="I276" s="2" t="n">
        <v>-2</v>
      </c>
      <c r="J276" s="2" t="n">
        <v>15.57351508</v>
      </c>
    </row>
    <row r="277" customFormat="false" ht="15.8" hidden="false" customHeight="false" outlineLevel="0" collapsed="false">
      <c r="A277" s="1" t="n">
        <v>276</v>
      </c>
      <c r="B277" s="1" t="n">
        <v>41.5</v>
      </c>
      <c r="C277" s="1" t="n">
        <v>-58.6</v>
      </c>
      <c r="D277" s="1" t="n">
        <v>-2.3</v>
      </c>
      <c r="E277" s="2" t="n">
        <v>1.2</v>
      </c>
      <c r="F277" s="2" t="n">
        <v>323</v>
      </c>
      <c r="G277" s="2" t="n">
        <v>42.6</v>
      </c>
      <c r="H277" s="2" t="n">
        <v>-59</v>
      </c>
      <c r="I277" s="2" t="n">
        <v>-2.3</v>
      </c>
      <c r="J277" s="2" t="n">
        <v>18.27426529</v>
      </c>
    </row>
    <row r="278" customFormat="false" ht="15.8" hidden="false" customHeight="false" outlineLevel="0" collapsed="false">
      <c r="A278" s="1" t="n">
        <v>277</v>
      </c>
      <c r="B278" s="1" t="n">
        <v>39.9</v>
      </c>
      <c r="C278" s="1" t="n">
        <v>-58.3</v>
      </c>
      <c r="D278" s="1" t="n">
        <v>-1.3</v>
      </c>
      <c r="E278" s="2" t="n">
        <v>1.5</v>
      </c>
      <c r="F278" s="2" t="n">
        <v>278</v>
      </c>
      <c r="G278" s="2" t="n">
        <v>39.3</v>
      </c>
      <c r="H278" s="2" t="n">
        <v>-59.3</v>
      </c>
      <c r="I278" s="2" t="n">
        <v>-2.3</v>
      </c>
      <c r="J278" s="2" t="n">
        <v>20.17725383</v>
      </c>
    </row>
    <row r="279" customFormat="false" ht="15.8" hidden="false" customHeight="false" outlineLevel="0" collapsed="false">
      <c r="A279" s="1" t="n">
        <v>278</v>
      </c>
      <c r="B279" s="1" t="n">
        <v>39.3</v>
      </c>
      <c r="C279" s="1" t="n">
        <v>-59.3</v>
      </c>
      <c r="D279" s="1" t="n">
        <v>-2.3</v>
      </c>
      <c r="E279" s="2" t="n">
        <v>1.5</v>
      </c>
      <c r="F279" s="2" t="n">
        <v>277</v>
      </c>
      <c r="G279" s="2" t="n">
        <v>39.9</v>
      </c>
      <c r="H279" s="2" t="n">
        <v>-58.3</v>
      </c>
      <c r="I279" s="2" t="n">
        <v>-1.3</v>
      </c>
      <c r="J279" s="2" t="n">
        <v>20.16374896</v>
      </c>
    </row>
    <row r="280" customFormat="false" ht="15.8" hidden="false" customHeight="false" outlineLevel="0" collapsed="false">
      <c r="A280" s="1" t="n">
        <v>279</v>
      </c>
      <c r="B280" s="1" t="n">
        <v>52.2</v>
      </c>
      <c r="C280" s="1" t="n">
        <v>-61.6</v>
      </c>
      <c r="D280" s="1" t="n">
        <v>-4</v>
      </c>
      <c r="E280" s="2" t="n">
        <v>2.2</v>
      </c>
      <c r="F280" s="2" t="n">
        <v>290</v>
      </c>
      <c r="G280" s="2" t="n">
        <v>52.1</v>
      </c>
      <c r="H280" s="2" t="n">
        <v>-60.5</v>
      </c>
      <c r="I280" s="2" t="n">
        <v>-2</v>
      </c>
      <c r="J280" s="2" t="n">
        <v>8.415127569</v>
      </c>
    </row>
    <row r="281" customFormat="false" ht="15.8" hidden="false" customHeight="false" outlineLevel="0" collapsed="false">
      <c r="A281" s="1" t="n">
        <v>280</v>
      </c>
      <c r="B281" s="1" t="n">
        <v>57.5</v>
      </c>
      <c r="C281" s="1" t="n">
        <v>-62.3</v>
      </c>
      <c r="D281" s="1" t="n">
        <v>-4.6</v>
      </c>
      <c r="E281" s="2" t="n">
        <v>2.1</v>
      </c>
      <c r="F281" s="2" t="n">
        <v>283</v>
      </c>
      <c r="G281" s="2" t="n">
        <v>56.5</v>
      </c>
      <c r="H281" s="2" t="n">
        <v>-60.5</v>
      </c>
      <c r="I281" s="2" t="n">
        <v>-4</v>
      </c>
      <c r="J281" s="2" t="n">
        <v>5.886626538</v>
      </c>
    </row>
    <row r="282" customFormat="false" ht="15.8" hidden="false" customHeight="false" outlineLevel="0" collapsed="false">
      <c r="A282" s="1" t="n">
        <v>281</v>
      </c>
      <c r="B282" s="1" t="n">
        <v>66.5</v>
      </c>
      <c r="C282" s="1" t="n">
        <v>-60.9</v>
      </c>
      <c r="D282" s="1" t="n">
        <v>-7.3</v>
      </c>
      <c r="E282" s="2" t="n">
        <v>3.6</v>
      </c>
      <c r="F282" s="2" t="n">
        <v>293</v>
      </c>
      <c r="G282" s="2" t="n">
        <v>67</v>
      </c>
      <c r="H282" s="2" t="n">
        <v>-59</v>
      </c>
      <c r="I282" s="2" t="n">
        <v>-4.3</v>
      </c>
      <c r="J282" s="2" t="n">
        <v>9.380360974</v>
      </c>
    </row>
    <row r="283" customFormat="false" ht="15.8" hidden="false" customHeight="false" outlineLevel="0" collapsed="false">
      <c r="A283" s="1" t="n">
        <v>282</v>
      </c>
      <c r="B283" s="1" t="n">
        <v>41.6</v>
      </c>
      <c r="C283" s="1" t="n">
        <v>-64.6</v>
      </c>
      <c r="D283" s="1" t="n">
        <v>-2.3</v>
      </c>
      <c r="E283" s="2" t="n">
        <v>3.7</v>
      </c>
      <c r="F283" s="2" t="n">
        <v>275</v>
      </c>
      <c r="G283" s="2" t="n">
        <v>44.2</v>
      </c>
      <c r="H283" s="2" t="n">
        <v>-62.1</v>
      </c>
      <c r="I283" s="2" t="n">
        <v>-2.6</v>
      </c>
      <c r="J283" s="2" t="n">
        <v>18.28265768</v>
      </c>
    </row>
    <row r="284" customFormat="false" ht="15.8" hidden="false" customHeight="false" outlineLevel="0" collapsed="false">
      <c r="A284" s="1" t="n">
        <v>283</v>
      </c>
      <c r="B284" s="1" t="n">
        <v>56.5</v>
      </c>
      <c r="C284" s="1" t="n">
        <v>-60.5</v>
      </c>
      <c r="D284" s="1" t="n">
        <v>-4</v>
      </c>
      <c r="E284" s="2" t="n">
        <v>2.1</v>
      </c>
      <c r="F284" s="2" t="n">
        <v>280</v>
      </c>
      <c r="G284" s="2" t="n">
        <v>57.5</v>
      </c>
      <c r="H284" s="2" t="n">
        <v>-62.3</v>
      </c>
      <c r="I284" s="2" t="n">
        <v>-4.6</v>
      </c>
      <c r="J284" s="2" t="n">
        <v>6.553317633</v>
      </c>
    </row>
    <row r="285" customFormat="false" ht="15.8" hidden="false" customHeight="false" outlineLevel="0" collapsed="false">
      <c r="A285" s="1" t="n">
        <v>284</v>
      </c>
      <c r="B285" s="1" t="n">
        <v>63.3</v>
      </c>
      <c r="C285" s="1" t="n">
        <v>-59.4</v>
      </c>
      <c r="D285" s="1" t="n">
        <v>-4</v>
      </c>
      <c r="E285" s="2" t="n">
        <v>3.4</v>
      </c>
      <c r="F285" s="2" t="n">
        <v>285</v>
      </c>
      <c r="G285" s="2" t="n">
        <v>60.3</v>
      </c>
      <c r="H285" s="2" t="n">
        <v>-58.5</v>
      </c>
      <c r="I285" s="2" t="n">
        <v>-2.6</v>
      </c>
      <c r="J285" s="2" t="n">
        <v>8.743430219</v>
      </c>
    </row>
    <row r="286" customFormat="false" ht="15.8" hidden="false" customHeight="false" outlineLevel="0" collapsed="false">
      <c r="A286" s="1" t="n">
        <v>285</v>
      </c>
      <c r="B286" s="1" t="n">
        <v>60.3</v>
      </c>
      <c r="C286" s="1" t="n">
        <v>-58.5</v>
      </c>
      <c r="D286" s="1" t="n">
        <v>-2.6</v>
      </c>
      <c r="E286" s="2" t="n">
        <v>2.4</v>
      </c>
      <c r="F286" s="2" t="n">
        <v>288</v>
      </c>
      <c r="G286" s="2" t="n">
        <v>58</v>
      </c>
      <c r="H286" s="2" t="n">
        <v>-58.9</v>
      </c>
      <c r="I286" s="2" t="n">
        <v>-2.3</v>
      </c>
      <c r="J286" s="2" t="n">
        <v>8.700825938</v>
      </c>
    </row>
    <row r="287" customFormat="false" ht="15.8" hidden="false" customHeight="false" outlineLevel="0" collapsed="false">
      <c r="A287" s="1" t="n">
        <v>286</v>
      </c>
      <c r="B287" s="1" t="n">
        <v>54.2</v>
      </c>
      <c r="C287" s="1" t="n">
        <v>-58.4</v>
      </c>
      <c r="D287" s="1" t="n">
        <v>-2.3</v>
      </c>
      <c r="E287" s="2" t="n">
        <v>0.7</v>
      </c>
      <c r="F287" s="2" t="n">
        <v>289</v>
      </c>
      <c r="G287" s="2" t="n">
        <v>54.7</v>
      </c>
      <c r="H287" s="2" t="n">
        <v>-58.8</v>
      </c>
      <c r="I287" s="2" t="n">
        <v>-2.3</v>
      </c>
      <c r="J287" s="2" t="n">
        <v>9.273552286</v>
      </c>
    </row>
    <row r="288" customFormat="false" ht="15.8" hidden="false" customHeight="false" outlineLevel="0" collapsed="false">
      <c r="A288" s="1" t="n">
        <v>287</v>
      </c>
      <c r="B288" s="1" t="n">
        <v>52.2</v>
      </c>
      <c r="C288" s="1" t="n">
        <v>-57.7</v>
      </c>
      <c r="D288" s="1" t="n">
        <v>-2.6</v>
      </c>
      <c r="E288" s="2" t="n">
        <v>1.2</v>
      </c>
      <c r="F288" s="2" t="n">
        <v>318</v>
      </c>
      <c r="G288" s="2" t="n">
        <v>51.5</v>
      </c>
      <c r="H288" s="2" t="n">
        <v>-58.5</v>
      </c>
      <c r="I288" s="2" t="n">
        <v>-3</v>
      </c>
      <c r="J288" s="2" t="n">
        <v>10.17895731</v>
      </c>
    </row>
    <row r="289" customFormat="false" ht="15.8" hidden="false" customHeight="false" outlineLevel="0" collapsed="false">
      <c r="A289" s="1" t="n">
        <v>288</v>
      </c>
      <c r="B289" s="1" t="n">
        <v>58</v>
      </c>
      <c r="C289" s="1" t="n">
        <v>-58.9</v>
      </c>
      <c r="D289" s="1" t="n">
        <v>-2.3</v>
      </c>
      <c r="E289" s="2" t="n">
        <v>2.4</v>
      </c>
      <c r="F289" s="2" t="n">
        <v>285</v>
      </c>
      <c r="G289" s="2" t="n">
        <v>60.3</v>
      </c>
      <c r="H289" s="2" t="n">
        <v>-58.5</v>
      </c>
      <c r="I289" s="2" t="n">
        <v>-2.6</v>
      </c>
      <c r="J289" s="2" t="n">
        <v>8.456782603</v>
      </c>
    </row>
    <row r="290" customFormat="false" ht="15.8" hidden="false" customHeight="false" outlineLevel="0" collapsed="false">
      <c r="A290" s="1" t="n">
        <v>289</v>
      </c>
      <c r="B290" s="1" t="n">
        <v>54.7</v>
      </c>
      <c r="C290" s="1" t="n">
        <v>-58.8</v>
      </c>
      <c r="D290" s="1" t="n">
        <v>-2.3</v>
      </c>
      <c r="E290" s="2" t="n">
        <v>0.7</v>
      </c>
      <c r="F290" s="2" t="n">
        <v>286</v>
      </c>
      <c r="G290" s="2" t="n">
        <v>54.2</v>
      </c>
      <c r="H290" s="2" t="n">
        <v>-58.4</v>
      </c>
      <c r="I290" s="2" t="n">
        <v>-2.3</v>
      </c>
      <c r="J290" s="2" t="n">
        <v>8.979307991</v>
      </c>
    </row>
    <row r="291" customFormat="false" ht="15.8" hidden="false" customHeight="false" outlineLevel="0" collapsed="false">
      <c r="A291" s="1" t="n">
        <v>290</v>
      </c>
      <c r="B291" s="1" t="n">
        <v>52.1</v>
      </c>
      <c r="C291" s="1" t="n">
        <v>-60.5</v>
      </c>
      <c r="D291" s="1" t="n">
        <v>-2</v>
      </c>
      <c r="E291" s="2" t="n">
        <v>2.1</v>
      </c>
      <c r="F291" s="2" t="n">
        <v>291</v>
      </c>
      <c r="G291" s="2" t="n">
        <v>50.7</v>
      </c>
      <c r="H291" s="2" t="n">
        <v>-59</v>
      </c>
      <c r="I291" s="2" t="n">
        <v>-2</v>
      </c>
      <c r="J291" s="2" t="n">
        <v>10.10340398</v>
      </c>
    </row>
    <row r="292" customFormat="false" ht="15.8" hidden="false" customHeight="false" outlineLevel="0" collapsed="false">
      <c r="A292" s="1" t="n">
        <v>291</v>
      </c>
      <c r="B292" s="1" t="n">
        <v>50.7</v>
      </c>
      <c r="C292" s="1" t="n">
        <v>-59</v>
      </c>
      <c r="D292" s="1" t="n">
        <v>-2</v>
      </c>
      <c r="E292" s="2" t="n">
        <v>1.3</v>
      </c>
      <c r="F292" s="2" t="n">
        <v>320</v>
      </c>
      <c r="G292" s="2" t="n">
        <v>49.7</v>
      </c>
      <c r="H292" s="2" t="n">
        <v>-58.6</v>
      </c>
      <c r="I292" s="2" t="n">
        <v>-1.3</v>
      </c>
      <c r="J292" s="2" t="n">
        <v>11.14735718</v>
      </c>
    </row>
    <row r="293" customFormat="false" ht="15.8" hidden="false" customHeight="false" outlineLevel="0" collapsed="false">
      <c r="A293" s="1" t="n">
        <v>292</v>
      </c>
      <c r="B293" s="1" t="n">
        <v>48.7</v>
      </c>
      <c r="C293" s="1" t="n">
        <v>-60.7</v>
      </c>
      <c r="D293" s="1" t="n">
        <v>-1.7</v>
      </c>
      <c r="E293" s="2" t="n">
        <v>1.2</v>
      </c>
      <c r="F293" s="2" t="n">
        <v>274</v>
      </c>
      <c r="G293" s="2" t="n">
        <v>47.8</v>
      </c>
      <c r="H293" s="2" t="n">
        <v>-60.8</v>
      </c>
      <c r="I293" s="2" t="n">
        <v>-2.3</v>
      </c>
      <c r="J293" s="2" t="n">
        <v>12.50068686</v>
      </c>
    </row>
    <row r="294" customFormat="false" ht="15.8" hidden="false" customHeight="false" outlineLevel="0" collapsed="false">
      <c r="A294" s="1" t="n">
        <v>293</v>
      </c>
      <c r="B294" s="1" t="n">
        <v>67</v>
      </c>
      <c r="C294" s="1" t="n">
        <v>-59</v>
      </c>
      <c r="D294" s="1" t="n">
        <v>-4.3</v>
      </c>
      <c r="E294" s="2" t="n">
        <v>3.6</v>
      </c>
      <c r="F294" s="2" t="n">
        <v>281</v>
      </c>
      <c r="G294" s="2" t="n">
        <v>66.5</v>
      </c>
      <c r="H294" s="2" t="n">
        <v>-60.9</v>
      </c>
      <c r="I294" s="2" t="n">
        <v>-7.3</v>
      </c>
      <c r="J294" s="2" t="n">
        <v>11.39464664</v>
      </c>
    </row>
    <row r="295" customFormat="false" ht="15.8" hidden="false" customHeight="false" outlineLevel="0" collapsed="false">
      <c r="A295" s="1" t="n">
        <v>294</v>
      </c>
      <c r="B295" s="1" t="n">
        <v>70.5</v>
      </c>
      <c r="C295" s="1" t="n">
        <v>-57.9</v>
      </c>
      <c r="D295" s="1" t="n">
        <v>-4.6</v>
      </c>
      <c r="E295" s="2" t="n">
        <v>0.7</v>
      </c>
      <c r="F295" s="2" t="n">
        <v>295</v>
      </c>
      <c r="G295" s="2" t="n">
        <v>71.1</v>
      </c>
      <c r="H295" s="2" t="n">
        <v>-57.6</v>
      </c>
      <c r="I295" s="2" t="n">
        <v>-4.3</v>
      </c>
      <c r="J295" s="2" t="n">
        <v>14.49859207</v>
      </c>
    </row>
    <row r="296" customFormat="false" ht="15.8" hidden="false" customHeight="false" outlineLevel="0" collapsed="false">
      <c r="A296" s="1" t="n">
        <v>295</v>
      </c>
      <c r="B296" s="1" t="n">
        <v>71.1</v>
      </c>
      <c r="C296" s="1" t="n">
        <v>-57.6</v>
      </c>
      <c r="D296" s="1" t="n">
        <v>-4.3</v>
      </c>
      <c r="E296" s="2" t="n">
        <v>0.7</v>
      </c>
      <c r="F296" s="2" t="n">
        <v>294</v>
      </c>
      <c r="G296" s="2" t="n">
        <v>70.5</v>
      </c>
      <c r="H296" s="2" t="n">
        <v>-57.9</v>
      </c>
      <c r="I296" s="2" t="n">
        <v>-4.6</v>
      </c>
      <c r="J296" s="2" t="n">
        <v>15.22122111</v>
      </c>
    </row>
    <row r="297" customFormat="false" ht="15.8" hidden="false" customHeight="false" outlineLevel="0" collapsed="false">
      <c r="A297" s="1" t="n">
        <v>296</v>
      </c>
      <c r="B297" s="1" t="n">
        <v>81.9</v>
      </c>
      <c r="C297" s="1" t="n">
        <v>-55.8</v>
      </c>
      <c r="D297" s="1" t="n">
        <v>-6.6</v>
      </c>
      <c r="E297" s="2" t="n">
        <v>3.7</v>
      </c>
      <c r="F297" s="2" t="n">
        <v>153</v>
      </c>
      <c r="G297" s="2" t="n">
        <v>81.6</v>
      </c>
      <c r="H297" s="2" t="n">
        <v>-56.6</v>
      </c>
      <c r="I297" s="2" t="n">
        <v>-10.2</v>
      </c>
      <c r="J297" s="2" t="n">
        <v>25.15010083</v>
      </c>
    </row>
    <row r="298" customFormat="false" ht="15.8" hidden="false" customHeight="false" outlineLevel="0" collapsed="false">
      <c r="A298" s="1" t="n">
        <v>297</v>
      </c>
      <c r="B298" s="1" t="n">
        <v>56.6</v>
      </c>
      <c r="C298" s="1" t="n">
        <v>-58.9</v>
      </c>
      <c r="D298" s="1" t="n">
        <v>-7.9</v>
      </c>
      <c r="E298" s="2" t="n">
        <v>0.7</v>
      </c>
      <c r="F298" s="2" t="n">
        <v>304</v>
      </c>
      <c r="G298" s="2" t="n">
        <v>57.3</v>
      </c>
      <c r="H298" s="2" t="n">
        <v>-58.9</v>
      </c>
      <c r="I298" s="2" t="n">
        <v>-7.9</v>
      </c>
      <c r="J298" s="2" t="n">
        <v>3.626840498</v>
      </c>
    </row>
    <row r="299" customFormat="false" ht="15.8" hidden="false" customHeight="false" outlineLevel="0" collapsed="false">
      <c r="A299" s="1" t="n">
        <v>298</v>
      </c>
      <c r="B299" s="1" t="n">
        <v>54.2</v>
      </c>
      <c r="C299" s="1" t="n">
        <v>-59</v>
      </c>
      <c r="D299" s="1" t="n">
        <v>-6.3</v>
      </c>
      <c r="E299" s="2" t="n">
        <v>1.4</v>
      </c>
      <c r="F299" s="2" t="n">
        <v>269</v>
      </c>
      <c r="G299" s="2" t="n">
        <v>53.8</v>
      </c>
      <c r="H299" s="2" t="n">
        <v>-58.9</v>
      </c>
      <c r="I299" s="2" t="n">
        <v>-7.6</v>
      </c>
      <c r="J299" s="2" t="n">
        <v>5.837085917</v>
      </c>
    </row>
    <row r="300" customFormat="false" ht="15.8" hidden="false" customHeight="false" outlineLevel="0" collapsed="false">
      <c r="A300" s="1" t="n">
        <v>299</v>
      </c>
      <c r="B300" s="1" t="n">
        <v>55.1</v>
      </c>
      <c r="C300" s="1" t="n">
        <v>-58</v>
      </c>
      <c r="D300" s="1" t="n">
        <v>-7.3</v>
      </c>
      <c r="E300" s="2" t="n">
        <v>1.6</v>
      </c>
      <c r="F300" s="2" t="n">
        <v>269</v>
      </c>
      <c r="G300" s="2" t="n">
        <v>53.8</v>
      </c>
      <c r="H300" s="2" t="n">
        <v>-58.9</v>
      </c>
      <c r="I300" s="2" t="n">
        <v>-7.6</v>
      </c>
      <c r="J300" s="2" t="n">
        <v>5.2031502</v>
      </c>
    </row>
    <row r="301" customFormat="false" ht="15.8" hidden="false" customHeight="false" outlineLevel="0" collapsed="false">
      <c r="A301" s="1" t="n">
        <v>300</v>
      </c>
      <c r="B301" s="1" t="n">
        <v>51.3</v>
      </c>
      <c r="C301" s="1" t="n">
        <v>-61.3</v>
      </c>
      <c r="D301" s="1" t="n">
        <v>-6.6</v>
      </c>
      <c r="E301" s="2" t="n">
        <v>2</v>
      </c>
      <c r="F301" s="2" t="n">
        <v>301</v>
      </c>
      <c r="G301" s="2" t="n">
        <v>50</v>
      </c>
      <c r="H301" s="2" t="n">
        <v>-62.5</v>
      </c>
      <c r="I301" s="2" t="n">
        <v>-7.6</v>
      </c>
      <c r="J301" s="2" t="n">
        <v>7.40532052</v>
      </c>
    </row>
    <row r="302" customFormat="false" ht="15.8" hidden="false" customHeight="false" outlineLevel="0" collapsed="false">
      <c r="A302" s="1" t="n">
        <v>301</v>
      </c>
      <c r="B302" s="1" t="n">
        <v>50</v>
      </c>
      <c r="C302" s="1" t="n">
        <v>-62.5</v>
      </c>
      <c r="D302" s="1" t="n">
        <v>-7.6</v>
      </c>
      <c r="E302" s="2" t="n">
        <v>1.3</v>
      </c>
      <c r="F302" s="2" t="n">
        <v>302</v>
      </c>
      <c r="G302" s="2" t="n">
        <v>50.4</v>
      </c>
      <c r="H302" s="2" t="n">
        <v>-63.7</v>
      </c>
      <c r="I302" s="2" t="n">
        <v>-7.6</v>
      </c>
      <c r="J302" s="2" t="n">
        <v>8.23893027</v>
      </c>
    </row>
    <row r="303" customFormat="false" ht="15.8" hidden="false" customHeight="false" outlineLevel="0" collapsed="false">
      <c r="A303" s="1" t="n">
        <v>302</v>
      </c>
      <c r="B303" s="1" t="n">
        <v>50.4</v>
      </c>
      <c r="C303" s="1" t="n">
        <v>-63.7</v>
      </c>
      <c r="D303" s="1" t="n">
        <v>-7.6</v>
      </c>
      <c r="E303" s="2" t="n">
        <v>1.3</v>
      </c>
      <c r="F303" s="2" t="n">
        <v>301</v>
      </c>
      <c r="G303" s="2" t="n">
        <v>50</v>
      </c>
      <c r="H303" s="2" t="n">
        <v>-62.5</v>
      </c>
      <c r="I303" s="2" t="n">
        <v>-7.6</v>
      </c>
      <c r="J303" s="2" t="n">
        <v>8.137614638</v>
      </c>
    </row>
    <row r="304" customFormat="false" ht="15.8" hidden="false" customHeight="false" outlineLevel="0" collapsed="false">
      <c r="A304" s="1" t="n">
        <v>303</v>
      </c>
      <c r="B304" s="1" t="n">
        <v>55.7</v>
      </c>
      <c r="C304" s="1" t="n">
        <v>-62.5</v>
      </c>
      <c r="D304" s="1" t="n">
        <v>-7.9</v>
      </c>
      <c r="E304" s="2" t="n">
        <v>3.7</v>
      </c>
      <c r="F304" s="2" t="n">
        <v>297</v>
      </c>
      <c r="G304" s="2" t="n">
        <v>56.6</v>
      </c>
      <c r="H304" s="2" t="n">
        <v>-58.9</v>
      </c>
      <c r="I304" s="2" t="n">
        <v>-7.9</v>
      </c>
      <c r="J304" s="2" t="n">
        <v>3.391396762</v>
      </c>
    </row>
    <row r="305" customFormat="false" ht="15.8" hidden="false" customHeight="false" outlineLevel="0" collapsed="false">
      <c r="A305" s="1" t="n">
        <v>304</v>
      </c>
      <c r="B305" s="1" t="n">
        <v>57.3</v>
      </c>
      <c r="C305" s="1" t="n">
        <v>-58.9</v>
      </c>
      <c r="D305" s="1" t="n">
        <v>-7.9</v>
      </c>
      <c r="E305" s="2" t="n">
        <v>0.7</v>
      </c>
      <c r="F305" s="2" t="n">
        <v>297</v>
      </c>
      <c r="G305" s="2" t="n">
        <v>56.6</v>
      </c>
      <c r="H305" s="2" t="n">
        <v>-58.9</v>
      </c>
      <c r="I305" s="2" t="n">
        <v>-7.9</v>
      </c>
      <c r="J305" s="2" t="n">
        <v>3.487918004</v>
      </c>
    </row>
    <row r="306" customFormat="false" ht="15.8" hidden="false" customHeight="false" outlineLevel="0" collapsed="false">
      <c r="A306" s="1" t="n">
        <v>305</v>
      </c>
      <c r="B306" s="1" t="n">
        <v>57.7</v>
      </c>
      <c r="C306" s="1" t="n">
        <v>-57.7</v>
      </c>
      <c r="D306" s="1" t="n">
        <v>-7.6</v>
      </c>
      <c r="E306" s="2" t="n">
        <v>1.3</v>
      </c>
      <c r="F306" s="2" t="n">
        <v>304</v>
      </c>
      <c r="G306" s="2" t="n">
        <v>57.3</v>
      </c>
      <c r="H306" s="2" t="n">
        <v>-58.9</v>
      </c>
      <c r="I306" s="2" t="n">
        <v>-7.9</v>
      </c>
      <c r="J306" s="2" t="n">
        <v>4.565651323</v>
      </c>
    </row>
    <row r="307" customFormat="false" ht="15.8" hidden="false" customHeight="false" outlineLevel="0" collapsed="false">
      <c r="A307" s="1" t="n">
        <v>306</v>
      </c>
      <c r="B307" s="1" t="n">
        <v>58.3</v>
      </c>
      <c r="C307" s="1" t="n">
        <v>-55.4</v>
      </c>
      <c r="D307" s="1" t="n">
        <v>-5.6</v>
      </c>
      <c r="E307" s="2" t="n">
        <v>1.7</v>
      </c>
      <c r="F307" s="2" t="n">
        <v>313</v>
      </c>
      <c r="G307" s="2" t="n">
        <v>58.1</v>
      </c>
      <c r="H307" s="2" t="n">
        <v>-53.8</v>
      </c>
      <c r="I307" s="2" t="n">
        <v>-5.6</v>
      </c>
      <c r="J307" s="2" t="n">
        <v>7.637772712</v>
      </c>
    </row>
    <row r="308" customFormat="false" ht="15.8" hidden="false" customHeight="false" outlineLevel="0" collapsed="false">
      <c r="A308" s="1" t="n">
        <v>307</v>
      </c>
      <c r="B308" s="1" t="n">
        <v>58.3</v>
      </c>
      <c r="C308" s="1" t="n">
        <v>-58.5</v>
      </c>
      <c r="D308" s="1" t="n">
        <v>-5.3</v>
      </c>
      <c r="E308" s="2" t="n">
        <v>2.5</v>
      </c>
      <c r="F308" s="2" t="n">
        <v>305</v>
      </c>
      <c r="G308" s="2" t="n">
        <v>57.7</v>
      </c>
      <c r="H308" s="2" t="n">
        <v>-57.7</v>
      </c>
      <c r="I308" s="2" t="n">
        <v>-7.6</v>
      </c>
      <c r="J308" s="2" t="n">
        <v>5.856481196</v>
      </c>
    </row>
    <row r="309" customFormat="false" ht="15.8" hidden="false" customHeight="false" outlineLevel="0" collapsed="false">
      <c r="A309" s="1" t="n">
        <v>308</v>
      </c>
      <c r="B309" s="1" t="n">
        <v>52.2</v>
      </c>
      <c r="C309" s="1" t="n">
        <v>-58.3</v>
      </c>
      <c r="D309" s="1" t="n">
        <v>-4.9</v>
      </c>
      <c r="E309" s="2" t="n">
        <v>2.1</v>
      </c>
      <c r="F309" s="2" t="n">
        <v>318</v>
      </c>
      <c r="G309" s="2" t="n">
        <v>51.5</v>
      </c>
      <c r="H309" s="2" t="n">
        <v>-58.5</v>
      </c>
      <c r="I309" s="2" t="n">
        <v>-3</v>
      </c>
      <c r="J309" s="2" t="n">
        <v>8.309871961</v>
      </c>
    </row>
    <row r="310" customFormat="false" ht="15.8" hidden="false" customHeight="false" outlineLevel="0" collapsed="false">
      <c r="A310" s="1" t="n">
        <v>309</v>
      </c>
      <c r="B310" s="1" t="n">
        <v>51.5</v>
      </c>
      <c r="C310" s="1" t="n">
        <v>-56.3</v>
      </c>
      <c r="D310" s="1" t="n">
        <v>-5.3</v>
      </c>
      <c r="E310" s="2" t="n">
        <v>1.2</v>
      </c>
      <c r="F310" s="2" t="n">
        <v>310</v>
      </c>
      <c r="G310" s="2" t="n">
        <v>50.6</v>
      </c>
      <c r="H310" s="2" t="n">
        <v>-55.5</v>
      </c>
      <c r="I310" s="2" t="n">
        <v>-4.9</v>
      </c>
      <c r="J310" s="2" t="n">
        <v>9.432198683</v>
      </c>
    </row>
    <row r="311" customFormat="false" ht="15.8" hidden="false" customHeight="false" outlineLevel="0" collapsed="false">
      <c r="A311" s="1" t="n">
        <v>310</v>
      </c>
      <c r="B311" s="1" t="n">
        <v>50.6</v>
      </c>
      <c r="C311" s="1" t="n">
        <v>-55.5</v>
      </c>
      <c r="D311" s="1" t="n">
        <v>-4.9</v>
      </c>
      <c r="E311" s="2" t="n">
        <v>1.2</v>
      </c>
      <c r="F311" s="2" t="n">
        <v>309</v>
      </c>
      <c r="G311" s="2" t="n">
        <v>51.5</v>
      </c>
      <c r="H311" s="2" t="n">
        <v>-56.3</v>
      </c>
      <c r="I311" s="2" t="n">
        <v>-5.3</v>
      </c>
      <c r="J311" s="2" t="n">
        <v>10.66521317</v>
      </c>
    </row>
    <row r="312" customFormat="false" ht="15.8" hidden="false" customHeight="false" outlineLevel="0" collapsed="false">
      <c r="A312" s="1" t="n">
        <v>311</v>
      </c>
      <c r="B312" s="1" t="n">
        <v>53.8</v>
      </c>
      <c r="C312" s="1" t="n">
        <v>-53.4</v>
      </c>
      <c r="D312" s="1" t="n">
        <v>-4.9</v>
      </c>
      <c r="E312" s="2" t="n">
        <v>1.8</v>
      </c>
      <c r="F312" s="2" t="n">
        <v>315</v>
      </c>
      <c r="G312" s="2" t="n">
        <v>53</v>
      </c>
      <c r="H312" s="2" t="n">
        <v>-54.5</v>
      </c>
      <c r="I312" s="2" t="n">
        <v>-4</v>
      </c>
      <c r="J312" s="2" t="n">
        <v>10.37417814</v>
      </c>
    </row>
    <row r="313" customFormat="false" ht="15.8" hidden="false" customHeight="false" outlineLevel="0" collapsed="false">
      <c r="A313" s="1" t="n">
        <v>312</v>
      </c>
      <c r="B313" s="1" t="n">
        <v>58.6</v>
      </c>
      <c r="C313" s="1" t="n">
        <v>-53</v>
      </c>
      <c r="D313" s="1" t="n">
        <v>-5.6</v>
      </c>
      <c r="E313" s="2" t="n">
        <v>0.9</v>
      </c>
      <c r="F313" s="2" t="n">
        <v>313</v>
      </c>
      <c r="G313" s="2" t="n">
        <v>58.1</v>
      </c>
      <c r="H313" s="2" t="n">
        <v>-53.8</v>
      </c>
      <c r="I313" s="2" t="n">
        <v>-5.6</v>
      </c>
      <c r="J313" s="2" t="n">
        <v>9.639542105</v>
      </c>
    </row>
    <row r="314" customFormat="false" ht="15.8" hidden="false" customHeight="false" outlineLevel="0" collapsed="false">
      <c r="A314" s="1" t="n">
        <v>313</v>
      </c>
      <c r="B314" s="1" t="n">
        <v>58.1</v>
      </c>
      <c r="C314" s="1" t="n">
        <v>-53.8</v>
      </c>
      <c r="D314" s="1" t="n">
        <v>-5.6</v>
      </c>
      <c r="E314" s="2" t="n">
        <v>0.9</v>
      </c>
      <c r="F314" s="2" t="n">
        <v>312</v>
      </c>
      <c r="G314" s="2" t="n">
        <v>58.6</v>
      </c>
      <c r="H314" s="2" t="n">
        <v>-53</v>
      </c>
      <c r="I314" s="2" t="n">
        <v>-5.6</v>
      </c>
      <c r="J314" s="2" t="n">
        <v>8.920603791</v>
      </c>
    </row>
    <row r="315" customFormat="false" ht="15.8" hidden="false" customHeight="false" outlineLevel="0" collapsed="false">
      <c r="A315" s="1" t="n">
        <v>314</v>
      </c>
      <c r="B315" s="1" t="n">
        <v>57</v>
      </c>
      <c r="C315" s="1" t="n">
        <v>-54.5</v>
      </c>
      <c r="D315" s="1" t="n">
        <v>-4.3</v>
      </c>
      <c r="E315" s="2" t="n">
        <v>1.9</v>
      </c>
      <c r="F315" s="2" t="n">
        <v>313</v>
      </c>
      <c r="G315" s="2" t="n">
        <v>58.1</v>
      </c>
      <c r="H315" s="2" t="n">
        <v>-53.8</v>
      </c>
      <c r="I315" s="2" t="n">
        <v>-5.6</v>
      </c>
      <c r="J315" s="2" t="n">
        <v>9.163076558</v>
      </c>
    </row>
    <row r="316" customFormat="false" ht="15.8" hidden="false" customHeight="false" outlineLevel="0" collapsed="false">
      <c r="A316" s="1" t="n">
        <v>315</v>
      </c>
      <c r="B316" s="1" t="n">
        <v>53</v>
      </c>
      <c r="C316" s="1" t="n">
        <v>-54.5</v>
      </c>
      <c r="D316" s="1" t="n">
        <v>-4</v>
      </c>
      <c r="E316" s="2" t="n">
        <v>1.8</v>
      </c>
      <c r="F316" s="2" t="n">
        <v>311</v>
      </c>
      <c r="G316" s="2" t="n">
        <v>53.8</v>
      </c>
      <c r="H316" s="2" t="n">
        <v>-53.4</v>
      </c>
      <c r="I316" s="2" t="n">
        <v>-4.9</v>
      </c>
      <c r="J316" s="2" t="n">
        <v>10.43838934</v>
      </c>
    </row>
    <row r="317" customFormat="false" ht="15.8" hidden="false" customHeight="false" outlineLevel="0" collapsed="false">
      <c r="A317" s="1" t="n">
        <v>316</v>
      </c>
      <c r="B317" s="1" t="n">
        <v>53.8</v>
      </c>
      <c r="C317" s="1" t="n">
        <v>-51.5</v>
      </c>
      <c r="D317" s="1" t="n">
        <v>-3.6</v>
      </c>
      <c r="E317" s="2" t="n">
        <v>2.3</v>
      </c>
      <c r="F317" s="2" t="n">
        <v>311</v>
      </c>
      <c r="G317" s="2" t="n">
        <v>53.8</v>
      </c>
      <c r="H317" s="2" t="n">
        <v>-53.4</v>
      </c>
      <c r="I317" s="2" t="n">
        <v>-4.9</v>
      </c>
      <c r="J317" s="2" t="n">
        <v>12.54058898</v>
      </c>
    </row>
    <row r="318" customFormat="false" ht="15.8" hidden="false" customHeight="false" outlineLevel="0" collapsed="false">
      <c r="A318" s="1" t="n">
        <v>317</v>
      </c>
      <c r="B318" s="1" t="n">
        <v>46.7</v>
      </c>
      <c r="C318" s="1" t="n">
        <v>-56.9</v>
      </c>
      <c r="D318" s="1" t="n">
        <v>-4.6</v>
      </c>
      <c r="E318" s="2" t="n">
        <v>2.4</v>
      </c>
      <c r="F318" s="2" t="n">
        <v>322</v>
      </c>
      <c r="G318" s="2" t="n">
        <v>46.3</v>
      </c>
      <c r="H318" s="2" t="n">
        <v>-58.7</v>
      </c>
      <c r="I318" s="2" t="n">
        <v>-3</v>
      </c>
      <c r="J318" s="2" t="n">
        <v>13.1562446</v>
      </c>
    </row>
    <row r="319" customFormat="false" ht="15.8" hidden="false" customHeight="false" outlineLevel="0" collapsed="false">
      <c r="A319" s="1" t="n">
        <v>318</v>
      </c>
      <c r="B319" s="1" t="n">
        <v>51.5</v>
      </c>
      <c r="C319" s="1" t="n">
        <v>-58.5</v>
      </c>
      <c r="D319" s="1" t="n">
        <v>-3</v>
      </c>
      <c r="E319" s="2" t="n">
        <v>1.2</v>
      </c>
      <c r="F319" s="2" t="n">
        <v>287</v>
      </c>
      <c r="G319" s="2" t="n">
        <v>52.2</v>
      </c>
      <c r="H319" s="2" t="n">
        <v>-57.7</v>
      </c>
      <c r="I319" s="2" t="n">
        <v>-2.6</v>
      </c>
      <c r="J319" s="2" t="n">
        <v>10.02646358</v>
      </c>
    </row>
    <row r="320" customFormat="false" ht="15.8" hidden="false" customHeight="false" outlineLevel="0" collapsed="false">
      <c r="A320" s="1" t="n">
        <v>319</v>
      </c>
      <c r="B320" s="1" t="n">
        <v>49.4</v>
      </c>
      <c r="C320" s="1" t="n">
        <v>-57.9</v>
      </c>
      <c r="D320" s="1" t="n">
        <v>-1</v>
      </c>
      <c r="E320" s="2" t="n">
        <v>0.8</v>
      </c>
      <c r="F320" s="2" t="n">
        <v>320</v>
      </c>
      <c r="G320" s="2" t="n">
        <v>49.7</v>
      </c>
      <c r="H320" s="2" t="n">
        <v>-58.6</v>
      </c>
      <c r="I320" s="2" t="n">
        <v>-1.3</v>
      </c>
      <c r="J320" s="2" t="n">
        <v>12.96620114</v>
      </c>
    </row>
    <row r="321" customFormat="false" ht="15.8" hidden="false" customHeight="false" outlineLevel="0" collapsed="false">
      <c r="A321" s="1" t="n">
        <v>320</v>
      </c>
      <c r="B321" s="1" t="n">
        <v>49.7</v>
      </c>
      <c r="C321" s="1" t="n">
        <v>-58.6</v>
      </c>
      <c r="D321" s="1" t="n">
        <v>-1.3</v>
      </c>
      <c r="E321" s="2" t="n">
        <v>0.8</v>
      </c>
      <c r="F321" s="2" t="n">
        <v>319</v>
      </c>
      <c r="G321" s="2" t="n">
        <v>49.4</v>
      </c>
      <c r="H321" s="2" t="n">
        <v>-57.9</v>
      </c>
      <c r="I321" s="2" t="n">
        <v>-1</v>
      </c>
      <c r="J321" s="2" t="n">
        <v>12.38670142</v>
      </c>
    </row>
    <row r="322" customFormat="false" ht="15.8" hidden="false" customHeight="false" outlineLevel="0" collapsed="false">
      <c r="A322" s="1" t="n">
        <v>321</v>
      </c>
      <c r="B322" s="1" t="n">
        <v>47.7</v>
      </c>
      <c r="C322" s="1" t="n">
        <v>-58.7</v>
      </c>
      <c r="D322" s="1" t="n">
        <v>-1.7</v>
      </c>
      <c r="E322" s="2" t="n">
        <v>1.9</v>
      </c>
      <c r="F322" s="2" t="n">
        <v>322</v>
      </c>
      <c r="G322" s="2" t="n">
        <v>46.3</v>
      </c>
      <c r="H322" s="2" t="n">
        <v>-58.7</v>
      </c>
      <c r="I322" s="2" t="n">
        <v>-3</v>
      </c>
      <c r="J322" s="2" t="n">
        <v>13.47602211</v>
      </c>
    </row>
    <row r="323" customFormat="false" ht="15.8" hidden="false" customHeight="false" outlineLevel="0" collapsed="false">
      <c r="A323" s="1" t="n">
        <v>322</v>
      </c>
      <c r="B323" s="1" t="n">
        <v>46.3</v>
      </c>
      <c r="C323" s="1" t="n">
        <v>-58.7</v>
      </c>
      <c r="D323" s="1" t="n">
        <v>-3</v>
      </c>
      <c r="E323" s="2" t="n">
        <v>1.1</v>
      </c>
      <c r="F323" s="2" t="n">
        <v>271</v>
      </c>
      <c r="G323" s="2" t="n">
        <v>46.9</v>
      </c>
      <c r="H323" s="2" t="n">
        <v>-59.4</v>
      </c>
      <c r="I323" s="2" t="n">
        <v>-3.6</v>
      </c>
      <c r="J323" s="2" t="n">
        <v>13.80253498</v>
      </c>
    </row>
    <row r="324" customFormat="false" ht="15.8" hidden="false" customHeight="false" outlineLevel="0" collapsed="false">
      <c r="A324" s="1" t="n">
        <v>323</v>
      </c>
      <c r="B324" s="1" t="n">
        <v>42.6</v>
      </c>
      <c r="C324" s="1" t="n">
        <v>-59</v>
      </c>
      <c r="D324" s="1" t="n">
        <v>-2.3</v>
      </c>
      <c r="E324" s="2" t="n">
        <v>1.2</v>
      </c>
      <c r="F324" s="2" t="n">
        <v>276</v>
      </c>
      <c r="G324" s="2" t="n">
        <v>41.5</v>
      </c>
      <c r="H324" s="2" t="n">
        <v>-58.6</v>
      </c>
      <c r="I324" s="2" t="n">
        <v>-2.3</v>
      </c>
      <c r="J324" s="2" t="n">
        <v>17.25139913</v>
      </c>
    </row>
    <row r="325" customFormat="false" ht="15.8" hidden="false" customHeight="false" outlineLevel="0" collapsed="false">
      <c r="A325" s="1" t="n">
        <v>324</v>
      </c>
      <c r="B325" s="1" t="n">
        <v>71.8</v>
      </c>
      <c r="C325" s="1" t="n">
        <v>-61.2</v>
      </c>
      <c r="D325" s="1" t="n">
        <v>-11.9</v>
      </c>
      <c r="E325" s="2" t="n">
        <v>2.4</v>
      </c>
      <c r="F325" s="2" t="n">
        <v>102</v>
      </c>
      <c r="G325" s="2" t="n">
        <v>71.1</v>
      </c>
      <c r="H325" s="2" t="n">
        <v>-59.2</v>
      </c>
      <c r="I325" s="2" t="n">
        <v>-12.9</v>
      </c>
      <c r="J325" s="2" t="n">
        <v>14.22371161</v>
      </c>
    </row>
    <row r="326" customFormat="false" ht="15.8" hidden="false" customHeight="false" outlineLevel="0" collapsed="false">
      <c r="A326" s="1" t="n">
        <v>325</v>
      </c>
      <c r="B326" s="1" t="n">
        <v>75.5</v>
      </c>
      <c r="C326" s="1" t="n">
        <v>-58.8</v>
      </c>
      <c r="D326" s="1" t="n">
        <v>-14.2</v>
      </c>
      <c r="E326" s="2" t="n">
        <v>1.8</v>
      </c>
      <c r="F326" s="2" t="n">
        <v>331</v>
      </c>
      <c r="G326" s="2" t="n">
        <v>73.8</v>
      </c>
      <c r="H326" s="2" t="n">
        <v>-58.2</v>
      </c>
      <c r="I326" s="2" t="n">
        <v>-14.5</v>
      </c>
      <c r="J326" s="2" t="n">
        <v>18.41543841</v>
      </c>
    </row>
    <row r="327" customFormat="false" ht="15.8" hidden="false" customHeight="false" outlineLevel="0" collapsed="false">
      <c r="A327" s="1" t="n">
        <v>326</v>
      </c>
      <c r="B327" s="1" t="n">
        <v>74.2</v>
      </c>
      <c r="C327" s="1" t="n">
        <v>-60.2</v>
      </c>
      <c r="D327" s="1" t="n">
        <v>-14.8</v>
      </c>
      <c r="E327" s="2" t="n">
        <v>2</v>
      </c>
      <c r="F327" s="2" t="n">
        <v>325</v>
      </c>
      <c r="G327" s="2" t="n">
        <v>75.5</v>
      </c>
      <c r="H327" s="2" t="n">
        <v>-58.8</v>
      </c>
      <c r="I327" s="2" t="n">
        <v>-14.2</v>
      </c>
      <c r="J327" s="2" t="n">
        <v>17.15480026</v>
      </c>
    </row>
    <row r="328" customFormat="false" ht="15.8" hidden="false" customHeight="false" outlineLevel="0" collapsed="false">
      <c r="A328" s="1" t="n">
        <v>327</v>
      </c>
      <c r="B328" s="1" t="n">
        <v>75</v>
      </c>
      <c r="C328" s="1" t="n">
        <v>-59.9</v>
      </c>
      <c r="D328" s="1" t="n">
        <v>-12.2</v>
      </c>
      <c r="E328" s="2" t="n">
        <v>1.2</v>
      </c>
      <c r="F328" s="2" t="n">
        <v>328</v>
      </c>
      <c r="G328" s="2" t="n">
        <v>76.2</v>
      </c>
      <c r="H328" s="2" t="n">
        <v>-59.7</v>
      </c>
      <c r="I328" s="2" t="n">
        <v>-12.5</v>
      </c>
      <c r="J328" s="2" t="n">
        <v>17.49374665</v>
      </c>
    </row>
    <row r="329" customFormat="false" ht="15.8" hidden="false" customHeight="false" outlineLevel="0" collapsed="false">
      <c r="A329" s="1" t="n">
        <v>328</v>
      </c>
      <c r="B329" s="1" t="n">
        <v>76.2</v>
      </c>
      <c r="C329" s="1" t="n">
        <v>-59.7</v>
      </c>
      <c r="D329" s="1" t="n">
        <v>-12.5</v>
      </c>
      <c r="E329" s="2" t="n">
        <v>1.2</v>
      </c>
      <c r="F329" s="2" t="n">
        <v>327</v>
      </c>
      <c r="G329" s="2" t="n">
        <v>75</v>
      </c>
      <c r="H329" s="2" t="n">
        <v>-59.9</v>
      </c>
      <c r="I329" s="2" t="n">
        <v>-12.2</v>
      </c>
      <c r="J329" s="2" t="n">
        <v>18.73150213</v>
      </c>
    </row>
    <row r="330" customFormat="false" ht="15.8" hidden="false" customHeight="false" outlineLevel="0" collapsed="false">
      <c r="A330" s="1" t="n">
        <v>329</v>
      </c>
      <c r="B330" s="1" t="n">
        <v>77.2</v>
      </c>
      <c r="C330" s="1" t="n">
        <v>-58.9</v>
      </c>
      <c r="D330" s="1" t="n">
        <v>-11.9</v>
      </c>
      <c r="E330" s="2" t="n">
        <v>1.5</v>
      </c>
      <c r="F330" s="2" t="n">
        <v>328</v>
      </c>
      <c r="G330" s="2" t="n">
        <v>76.2</v>
      </c>
      <c r="H330" s="2" t="n">
        <v>-59.7</v>
      </c>
      <c r="I330" s="2" t="n">
        <v>-12.5</v>
      </c>
      <c r="J330" s="2" t="n">
        <v>19.74858911</v>
      </c>
    </row>
    <row r="331" customFormat="false" ht="15.8" hidden="false" customHeight="false" outlineLevel="0" collapsed="false">
      <c r="A331" s="1" t="n">
        <v>330</v>
      </c>
      <c r="B331" s="1" t="n">
        <v>76.6</v>
      </c>
      <c r="C331" s="1" t="n">
        <v>-55.8</v>
      </c>
      <c r="D331" s="1" t="n">
        <v>-13.2</v>
      </c>
      <c r="E331" s="2" t="n">
        <v>0.1</v>
      </c>
      <c r="F331" s="2" t="n">
        <v>104</v>
      </c>
      <c r="G331" s="2" t="n">
        <v>76.7</v>
      </c>
      <c r="H331" s="2" t="n">
        <v>-55.8</v>
      </c>
      <c r="I331" s="2" t="n">
        <v>-13.2</v>
      </c>
      <c r="J331" s="2" t="n">
        <v>19.92564107</v>
      </c>
    </row>
    <row r="332" customFormat="false" ht="15.8" hidden="false" customHeight="false" outlineLevel="0" collapsed="false">
      <c r="A332" s="1" t="n">
        <v>331</v>
      </c>
      <c r="B332" s="1" t="n">
        <v>73.8</v>
      </c>
      <c r="C332" s="1" t="n">
        <v>-58.2</v>
      </c>
      <c r="D332" s="1" t="n">
        <v>-14.5</v>
      </c>
      <c r="E332" s="2" t="n">
        <v>1.6</v>
      </c>
      <c r="F332" s="2" t="n">
        <v>332</v>
      </c>
      <c r="G332" s="2" t="n">
        <v>72.8</v>
      </c>
      <c r="H332" s="2" t="n">
        <v>-57.6</v>
      </c>
      <c r="I332" s="2" t="n">
        <v>-13.5</v>
      </c>
      <c r="J332" s="2" t="n">
        <v>16.94361154</v>
      </c>
    </row>
    <row r="333" customFormat="false" ht="15.8" hidden="false" customHeight="false" outlineLevel="0" collapsed="false">
      <c r="A333" s="1" t="n">
        <v>332</v>
      </c>
      <c r="B333" s="1" t="n">
        <v>72.8</v>
      </c>
      <c r="C333" s="1" t="n">
        <v>-57.6</v>
      </c>
      <c r="D333" s="1" t="n">
        <v>-13.5</v>
      </c>
      <c r="E333" s="2" t="n">
        <v>1.6</v>
      </c>
      <c r="F333" s="2" t="n">
        <v>331</v>
      </c>
      <c r="G333" s="2" t="n">
        <v>73.8</v>
      </c>
      <c r="H333" s="2" t="n">
        <v>-58.2</v>
      </c>
      <c r="I333" s="2" t="n">
        <v>-14.5</v>
      </c>
      <c r="J333" s="2" t="n">
        <v>15.89607411</v>
      </c>
    </row>
    <row r="334" customFormat="false" ht="15.8" hidden="false" customHeight="false" outlineLevel="0" collapsed="false">
      <c r="A334" s="1" t="n">
        <v>333</v>
      </c>
      <c r="B334" s="1" t="n">
        <v>75.3</v>
      </c>
      <c r="C334" s="1" t="n">
        <v>-52.2</v>
      </c>
      <c r="D334" s="1" t="n">
        <v>-12.5</v>
      </c>
      <c r="E334" s="2" t="n">
        <v>1.4</v>
      </c>
      <c r="F334" s="2" t="n">
        <v>334</v>
      </c>
      <c r="G334" s="2" t="n">
        <v>74.1</v>
      </c>
      <c r="H334" s="2" t="n">
        <v>-52.7</v>
      </c>
      <c r="I334" s="2" t="n">
        <v>-12.9</v>
      </c>
      <c r="J334" s="2" t="n">
        <v>19.96597035</v>
      </c>
    </row>
    <row r="335" customFormat="false" ht="15.8" hidden="false" customHeight="false" outlineLevel="0" collapsed="false">
      <c r="A335" s="1" t="n">
        <v>334</v>
      </c>
      <c r="B335" s="1" t="n">
        <v>74.1</v>
      </c>
      <c r="C335" s="1" t="n">
        <v>-52.7</v>
      </c>
      <c r="D335" s="1" t="n">
        <v>-12.9</v>
      </c>
      <c r="E335" s="2" t="n">
        <v>1.4</v>
      </c>
      <c r="F335" s="2" t="n">
        <v>333</v>
      </c>
      <c r="G335" s="2" t="n">
        <v>75.3</v>
      </c>
      <c r="H335" s="2" t="n">
        <v>-52.2</v>
      </c>
      <c r="I335" s="2" t="n">
        <v>-12.5</v>
      </c>
      <c r="J335" s="2" t="n">
        <v>18.72747639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88175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2017-07-05T19:45:06Z</dcterms:modified>
  <cp:revision>44</cp:revision>
</cp:coreProperties>
</file>