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<sst xmlns="http://schemas.openxmlformats.org/spreadsheetml/2006/main" count="1080" uniqueCount="318">
  <si>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</si>
  <si>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</si>
  <si>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</si>
  <si>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</si>
  <si>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</si>
  <si>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</si>
  <si>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</si>
  <si>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</si>
  <si>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</si>
  <si>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</si>
  <si>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</si>
  <si>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</si>
  <si>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</si>
  <si>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</si>
  <si>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</si>
  <si>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</si>
  <si>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</si>
  <si>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</si>
  <si>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</si>
  <si>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</si>
  <si>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</si>
  <si>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</si>
  <si>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</si>
  <si>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</si>
  <si>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</si>
  <si>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</si>
  <si>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</si>
  <si>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</si>
  <si>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(44.15, -57.03, -21.20)</t>
  </si>
  <si>
    <t>[90:75]</t>
  </si>
  <si>
    <t>&gt;75 R</t>
  </si>
  <si>
    <t>-75,-90 R</t>
  </si>
  <si>
    <t>[0:15)</t>
  </si>
  <si>
    <t>(40.78, -58.11, -20.72)</t>
  </si>
  <si>
    <t>[75:60]</t>
  </si>
  <si>
    <t>&gt;60 R</t>
  </si>
  <si>
    <t>-60,-75 R</t>
  </si>
  <si>
    <t>[15:30)</t>
  </si>
  <si>
    <t>(41.70, -58.40, -20.72)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</si>
  <si>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</si>
  <si>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</si>
  <si>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</si>
  <si>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</si>
  <si>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</si>
  <si>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</si>
  <si>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</si>
  <si>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</si>
  <si>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Branch</t>
  </si>
  <si>
    <t>[30:15]</t>
  </si>
  <si>
    <t>&gt;15 R</t>
  </si>
  <si>
    <t>-30,-15 R</t>
  </si>
  <si>
    <t>[60:75)</t>
  </si>
  <si>
    <t>(26.46, -65.05, -19.61)</t>
  </si>
  <si>
    <t>[15:0]</t>
  </si>
  <si>
    <t>&gt;0 R</t>
  </si>
  <si>
    <t>-15,0 R</t>
  </si>
  <si>
    <t>[75:90)</t>
  </si>
  <si>
    <t>[0]</t>
  </si>
  <si>
    <t>&gt;-15 R</t>
  </si>
  <si>
    <t>0,15 R</t>
  </si>
  <si>
    <t>(30.96, -60.99, -18.50)</t>
  </si>
  <si>
    <t>[0:15]</t>
  </si>
  <si>
    <t>&gt;-30 R</t>
  </si>
  <si>
    <t>15,30 R</t>
  </si>
  <si>
    <t>Sum</t>
  </si>
  <si>
    <t>[15:30]</t>
  </si>
  <si>
    <t>&gt;-45 R</t>
  </si>
  <si>
    <t>30,45 R</t>
  </si>
  <si>
    <t>(32.70, -60.64, -18.50)</t>
  </si>
  <si>
    <t>[30:45]</t>
  </si>
  <si>
    <t>&gt;-60 R</t>
  </si>
  <si>
    <t>45,60 R</t>
  </si>
  <si>
    <t>(32.79, -59.70, -18.50)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</si>
  <si>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</si>
  <si>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</si>
  <si>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</si>
  <si>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</si>
  <si>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</si>
  <si>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</si>
  <si>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</si>
  <si>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</si>
  <si>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</si>
  <si>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</si>
  <si>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</si>
  <si>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(42.75, -57.08, -21.46)</t>
  </si>
  <si>
    <t>&gt;-60 L</t>
  </si>
  <si>
    <t>60,45 L</t>
  </si>
  <si>
    <t>&gt;-45 L</t>
  </si>
  <si>
    <t>45,30 L</t>
  </si>
  <si>
    <t>&gt;-30 L</t>
  </si>
  <si>
    <t>30,15 L</t>
  </si>
  <si>
    <t>&gt;-15 L</t>
  </si>
  <si>
    <t>15,0 L</t>
  </si>
  <si>
    <t>(44.66, -56.73, -21.20)</t>
  </si>
  <si>
    <t>&gt;0 L</t>
  </si>
  <si>
    <t>0,-15 L</t>
  </si>
  <si>
    <t>(51.76, -54.38, -20.72)</t>
  </si>
  <si>
    <t>&gt;15 L</t>
  </si>
  <si>
    <t>-15,-30 L</t>
  </si>
  <si>
    <t>&gt;30 L</t>
  </si>
  <si>
    <t>-30,-45 L</t>
  </si>
  <si>
    <t>(50.60, -54.55, -21.46)</t>
  </si>
  <si>
    <t>&gt;45 L</t>
  </si>
  <si>
    <t>-45,-60 L</t>
  </si>
  <si>
    <t>&gt;60 L</t>
  </si>
  <si>
    <t>-60,-75 L</t>
  </si>
  <si>
    <t>(48.85, -54.99, -21.46)</t>
  </si>
  <si>
    <t>&gt;75 L</t>
  </si>
  <si>
    <t>-75,-90 L</t>
  </si>
  <si>
    <t>(52.00, -49.30, -26.28)</t>
  </si>
  <si>
    <t>Total</t>
  </si>
  <si>
    <t>Count</t>
  </si>
  <si>
    <t>Total L</t>
  </si>
  <si>
    <t>(52.62, -50.55, -27.39)</t>
  </si>
  <si>
    <t>(44.47, -59.58, -36.64)</t>
  </si>
  <si>
    <t>(39.76, -65.15, -39.23)</t>
  </si>
  <si>
    <t>(42.71, -57.80, -34.42)</t>
  </si>
  <si>
    <t>(42.16, -60.05, -34.79)</t>
  </si>
  <si>
    <t>(40.54, -59.20, -34.79)</t>
  </si>
  <si>
    <t>(38.95, -59.05, -37.01)</t>
  </si>
  <si>
    <t>(37.69, -59.06, -37.75)</t>
  </si>
  <si>
    <t>(33.86, -59.01, -44.41)</t>
  </si>
  <si>
    <t>(34.42, -61.11, -48.11)</t>
  </si>
  <si>
    <t>(35.26, -61.79, -35.90)</t>
  </si>
  <si>
    <t>(33.06, -61.74, -35.90)</t>
  </si>
  <si>
    <t>(31.98, -62.64, -35.90)</t>
  </si>
  <si>
    <t>(29.84, -65.60, -32.94)</t>
  </si>
  <si>
    <t>(29.83, -65.78, -32.20)</t>
  </si>
  <si>
    <t>(32.58, -66.32, -34.05)</t>
  </si>
  <si>
    <t>(36.78, -67.44, -33.68)</t>
  </si>
  <si>
    <t>(34.72, -68.80, -35.16)</t>
  </si>
  <si>
    <t>(34.41, -69.84, -35.16)</t>
  </si>
  <si>
    <t>(34.62, -71.93, -37.75)</t>
  </si>
  <si>
    <t>(34.88, -73.27, -37.75)</t>
  </si>
  <si>
    <t>(34.54, -73.38, -37.75)</t>
  </si>
  <si>
    <t>(30.17, -76.17, -38.49)</t>
  </si>
  <si>
    <t>(30.84, -76.35, -38.49)</t>
  </si>
  <si>
    <t>(27.92, -62.18, -35.16)</t>
  </si>
  <si>
    <t>(27.85, -61.24, -34.05)</t>
  </si>
  <si>
    <t>(26.98, -59.94, -30.35)</t>
  </si>
  <si>
    <t>(26.36, -59.34, -30.35)</t>
  </si>
  <si>
    <t>(26.46, -58.41, -29.61)</t>
  </si>
  <si>
    <t>(23.75, -59.06, -29.24)</t>
  </si>
  <si>
    <t>(24.45, -57.87, -29.61)</t>
  </si>
  <si>
    <t>(30.13, -63.34, -35.90)</t>
  </si>
  <si>
    <t>(26.59, -65.53, -36.27)</t>
  </si>
  <si>
    <t>(25.74, -65.73, -36.27)</t>
  </si>
  <si>
    <t>(23.44, -68.59, -37.01)</t>
  </si>
  <si>
    <t>(23.40, -69.84, -37.38)</t>
  </si>
  <si>
    <t>(23.88, -69.95, -38.12)</t>
  </si>
  <si>
    <t>(22.97, -67.71, -37.01)</t>
  </si>
  <si>
    <t>(21.90, -67.05, -36.64)</t>
  </si>
  <si>
    <t>(18.46, -69.71, -37.01)</t>
  </si>
  <si>
    <t>(42.09, -58.51, -34.42)</t>
  </si>
  <si>
    <t>(37.75, -60.80, -33.68)</t>
  </si>
  <si>
    <t>(33.67, -62.26, -33.31)</t>
  </si>
  <si>
    <t>(40.13, -59.26, -32.94)</t>
  </si>
  <si>
    <t>(29.35, -52.64, -28.50)</t>
  </si>
  <si>
    <t>(41.83, -60.40, -38.12)</t>
  </si>
  <si>
    <t>(39.98, -69.69, -46.26)</t>
  </si>
  <si>
    <t>(38.69, -73.19, -47.37)</t>
  </si>
  <si>
    <t>(45.36, -71.24, -47.74)</t>
  </si>
  <si>
    <t>(43.04, -71.22, -48.85)</t>
  </si>
  <si>
    <t>(39.47, -72.31, -51.81)</t>
  </si>
  <si>
    <t>(39.51, -63.26, -41.45)</t>
  </si>
  <si>
    <t>(39.85, -63.05, -45.15)</t>
  </si>
  <si>
    <t>(39.48, -62.63, -41.08)</t>
  </si>
  <si>
    <t>(47.19, -54.19, -29.24)</t>
  </si>
  <si>
    <t>(62.83, -50.06, -26.65)</t>
  </si>
  <si>
    <t>(85.37, -42.83, -26.28)</t>
  </si>
  <si>
    <t>(84.45, -43.25, -26.28)</t>
  </si>
  <si>
    <t>(81.51, -45.59, -26.28)</t>
  </si>
  <si>
    <t>(71.91, -49.24, -26.28)</t>
  </si>
  <si>
    <t>(82.09, -48.78, -27.02)</t>
  </si>
  <si>
    <t>(80.20, -49.05, -27.02)</t>
  </si>
  <si>
    <t>(80.22, -49.90, -25.91)</t>
  </si>
  <si>
    <t>(75.65, -49.39, -27.39)</t>
  </si>
  <si>
    <t>(74.94, -49.50, -27.39)</t>
  </si>
  <si>
    <t>(59.39, -50.52, -27.02)</t>
  </si>
  <si>
    <t>(59.32, -50.24, -27.76)</t>
  </si>
  <si>
    <t>(58.09, -50.85, -26.65)</t>
  </si>
  <si>
    <t>(55.41, -50.99, -26.65)</t>
  </si>
  <si>
    <t>(59.63, -39.69, -7.78)</t>
  </si>
  <si>
    <t>(61.40, -41.97, -10.37)</t>
  </si>
  <si>
    <t>(63.73, -43.03, -10.00)</t>
  </si>
  <si>
    <t>(64.60, -42.86, -9.63)</t>
  </si>
  <si>
    <t>(65.97, -42.51, -8.15)</t>
  </si>
  <si>
    <t>(61.92, -44.68, -12.96)</t>
  </si>
  <si>
    <t>(63.00, -44.37, -14.44)</t>
  </si>
  <si>
    <t>(62.44, -44.32, -12.96)</t>
  </si>
  <si>
    <t>(60.25, -45.18, -13.33)</t>
  </si>
  <si>
    <t>(59.75, -45.71, -14.07)</t>
  </si>
  <si>
    <t>(60.52, -46.89, -14.44)</t>
  </si>
  <si>
    <t>(59.08, -46.34, -16.29)</t>
  </si>
  <si>
    <t>(56.40, -47.89, -22.95)</t>
  </si>
  <si>
    <t>(58.87, -44.99, -22.95)</t>
  </si>
  <si>
    <t>(56.06, -46.15, -23.32)</t>
  </si>
  <si>
    <t>(55.44, -50.51, -25.91)</t>
  </si>
  <si>
    <t>(53.55, -51.57, -27.02)</t>
  </si>
  <si>
    <t>(52.93, -52.13, -28.13)</t>
  </si>
  <si>
    <t>(51.10, -51.20, -29.24)</t>
  </si>
  <si>
    <t>(53.42, -50.88, -30.72)</t>
  </si>
  <si>
    <t>(53.86, -51.71, -31.09)</t>
  </si>
  <si>
    <t>(55.05, -52.10, -31.46)</t>
  </si>
  <si>
    <t>(66.82, -52.18, -31.09)</t>
  </si>
  <si>
    <t>(63.73, -51.65, -32.20)</t>
  </si>
  <si>
    <t>(66.88, -49.84, -32.57)</t>
  </si>
  <si>
    <t>(67.47, -49.73, -32.94)</t>
  </si>
  <si>
    <t>(70.30, -50.19, -34.42)</t>
  </si>
  <si>
    <t>(70.82, -51.57, -35.16)</t>
  </si>
  <si>
    <t>(49.49, -48.41, -29.61)</t>
  </si>
  <si>
    <t>(50.14, -51.64, -28.50)</t>
  </si>
  <si>
    <t>(41.16, -43.48, -21.10)</t>
  </si>
  <si>
    <t>(48.25, -32.68, -12.96)</t>
  </si>
  <si>
    <t>(49.78, -37.23, -10.74)</t>
  </si>
  <si>
    <t>(45.82, -39.80, -10.00)</t>
  </si>
  <si>
    <t>(47.15, -40.71, -9.26)</t>
  </si>
  <si>
    <t>(50.01, -32.31, -18.51)</t>
  </si>
  <si>
    <t>(46.39, -36.01, -14.81)</t>
  </si>
  <si>
    <t>(47.37, -37.81, -15.92)</t>
  </si>
  <si>
    <t>(44.32, -38.04, -15.55)</t>
  </si>
  <si>
    <t>(45.64, -40.42, -17.03)</t>
  </si>
  <si>
    <t>(44.85, -40.45, -17.40)</t>
  </si>
  <si>
    <t>(43.04, -41.36, -17.77)</t>
  </si>
  <si>
    <t>(44.59, -40.27, -18.88)</t>
  </si>
  <si>
    <t>(41.39, -41.59, -19.25)</t>
  </si>
  <si>
    <t>(40.58, -41.00, -19.25)</t>
  </si>
  <si>
    <t>(38.02, -39.76, -17.03)</t>
  </si>
  <si>
    <t>(33.34, -38.63, -15.92)</t>
  </si>
  <si>
    <t>(39.24, -39.62, -17.03)</t>
  </si>
  <si>
    <t>(39.73, -34.22, -11.11)</t>
  </si>
  <si>
    <t>(40.89, -37.31, -14.81)</t>
  </si>
  <si>
    <t>(42.40, -36.60, -14.44)</t>
  </si>
  <si>
    <t>(43.07, -34.73, -12.59)</t>
  </si>
  <si>
    <t>(40.83, -42.31, -19.99)</t>
  </si>
  <si>
    <t>(43.80, -43.15, -21.10)</t>
  </si>
  <si>
    <t>(44.53, -43.01, -21.10)</t>
  </si>
  <si>
    <t>(40.88, -43.27, -20.36)</t>
  </si>
  <si>
    <t>(40.61, -44.03, -19.62)</t>
  </si>
  <si>
    <t>(40.10, -43.67, -19.99)</t>
  </si>
  <si>
    <t>(39.98, -44.65, -19.99)</t>
  </si>
  <si>
    <t>(39.66, -47.92, -17.77)</t>
  </si>
  <si>
    <t>(36.43, -47.66, -17.77)</t>
  </si>
  <si>
    <t>(34.28, -48.77, -15.92)</t>
  </si>
  <si>
    <t>(34.01, -48.93, -15.92)</t>
  </si>
  <si>
    <t>(41.71, -43.82, -21.84)</t>
  </si>
  <si>
    <t>(38.82, -39.04, -19.62)</t>
  </si>
  <si>
    <t>(38.35, -38.19, -19.25)</t>
  </si>
  <si>
    <t>(39.04, -38.07, -19.25)</t>
  </si>
  <si>
    <t>(37.21, -35.12, -19.25)</t>
  </si>
  <si>
    <t>(36.50, -35.12, -18.88)</t>
  </si>
  <si>
    <t>(38.47, -37.50, -19.25)</t>
  </si>
  <si>
    <t>(38.53, -34.17, -14.44)</t>
  </si>
  <si>
    <t>(37.91, -34.56, -14.44)</t>
  </si>
  <si>
    <t>(45.74, -46.79, -22.95)</t>
  </si>
  <si>
    <t>(41.30, -49.58, -23.69)</t>
  </si>
  <si>
    <t>(41.10, -50.51, -23.69)</t>
  </si>
  <si>
    <t>(40.31, -52.77, -22.58)</t>
  </si>
  <si>
    <t>(40.60, -53.87, -22.21)</t>
  </si>
  <si>
    <t>(40.20, -55.24, -22.21)</t>
  </si>
  <si>
    <t>(41.57, -57.76, -22.58)</t>
  </si>
  <si>
    <t>(38.54, -53.17, -21.47)</t>
  </si>
  <si>
    <t>(39.91, -50.96, -23.69)</t>
  </si>
  <si>
    <t>(35.26, -51.99, -23.32)</t>
  </si>
  <si>
    <t>(47.71, -47.05, -24.06)</t>
  </si>
  <si>
    <t>(53.67, -46.34, -1.12)</t>
  </si>
  <si>
    <t>(52.99, -47.08, -4.08)</t>
  </si>
  <si>
    <t>(53.53, -46.82, -4.82)</t>
  </si>
  <si>
    <t>(53.36, -46.61, -5.93)</t>
  </si>
  <si>
    <t>(55.00, -45.96, -6.30)</t>
  </si>
  <si>
    <t>(52.36, -46.92, -7.78)</t>
  </si>
  <si>
    <t>(52.13, -44.39, -8.15)</t>
  </si>
  <si>
    <t>(50.82, -44.50, -12.96)</t>
  </si>
  <si>
    <t>(49.09, -45.84, -11.11)</t>
  </si>
  <si>
    <t>(48.45, -46.56, -11.11)</t>
  </si>
  <si>
    <t>(49.21, -45.35, -11.11)</t>
  </si>
  <si>
    <t>(47.46, -44.34, -9.63)</t>
  </si>
  <si>
    <t>(47.74, -44.75, -10.00)</t>
  </si>
  <si>
    <t>(50.55, -44.42, -13.70)</t>
  </si>
  <si>
    <t>(49.74, -44.69, -16.66)</t>
  </si>
  <si>
    <t>(48.88, -45.74, -19.62)</t>
  </si>
  <si>
    <t>(48.86, -47.88, -25.54)</t>
  </si>
  <si>
    <t>(57.11, -40.40, -21.47)</t>
  </si>
  <si>
    <t>(59.46, -38.90, -21.47)</t>
  </si>
  <si>
    <t>(65.21, -38.37, -24.06)</t>
  </si>
  <si>
    <t>(70.69, -35.59, -21.47)</t>
  </si>
  <si>
    <t>(68.04, -35.58, -23.32)</t>
  </si>
  <si>
    <t>(68.75, -34.68, -24.80)</t>
  </si>
  <si>
    <t>(61.03, -38.02, -21.84)</t>
  </si>
  <si>
    <t>(61.89, -37.33, -21.47)</t>
  </si>
  <si>
    <t>(63.07, -35.99, -20.73)</t>
  </si>
  <si>
    <t>(64.00, -36.45, -19.62)</t>
  </si>
  <si>
    <t>(64.29, -36.58, -20.36)</t>
  </si>
  <si>
    <t>(64.70, -36.09, -18.88)</t>
  </si>
  <si>
    <t>(64.82, -35.93, -19.25)</t>
  </si>
  <si>
    <t>(65.44, -35.04, -19.25)</t>
  </si>
  <si>
    <t>(64.75, -35.01, -17.77)</t>
  </si>
  <si>
    <t>(68.45, -35.28, -17.03)</t>
  </si>
  <si>
    <t>(71.32, -34.10, -17.03)</t>
  </si>
  <si>
    <t>(49.84, -46.16, -25.17)</t>
  </si>
  <si>
    <t>(51.03, -45.10, -26.28)</t>
  </si>
  <si>
    <t>(51.41, -44.33, -26.28)</t>
  </si>
  <si>
    <t>(51.17, -43.80, -26.28)</t>
  </si>
  <si>
    <t>(52.30, -41.98, -25.54)</t>
  </si>
  <si>
    <t>(56.46, -42.03, -24.06)</t>
  </si>
  <si>
    <t>(52.44, -41.55, -25.54)</t>
  </si>
  <si>
    <t>(52.41, -40.96, -25.54)</t>
  </si>
  <si>
    <t>(50.51, -36.33, -27.02)</t>
  </si>
  <si>
    <t>(51.51, -36.05, -25.54)</t>
  </si>
  <si>
    <t>(52.88, -32.76, -24.80)</t>
  </si>
  <si>
    <t>(51.50, -31.77, -24.43)</t>
  </si>
  <si>
    <t>(50.31, -30.19, -24.43)</t>
  </si>
  <si>
    <t>(49.09, -46.82, -25.54)</t>
  </si>
  <si>
    <t>(50.16, -47.81, -25.54)</t>
  </si>
  <si>
    <t>(43.76, -50.74, -38.12)</t>
  </si>
  <si>
    <t>(42.66, -49.81, -39.60)</t>
  </si>
  <si>
    <t>(46.04, -46.99, -29.98)</t>
  </si>
  <si>
    <t>(48.17, -49.77, -25.54)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</si>
</sst>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0.0255102040816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1.4</v>
      </c>
      <c r="D2" s="1" t="n">
        <v>1.2344</v>
      </c>
      <c r="E2" s="1" t="n">
        <v>0.0874234</v>
      </c>
      <c r="F2" s="1" t="n">
        <v>0.000437117</v>
      </c>
      <c r="G2" s="1" t="s">
        <v>27</v>
      </c>
      <c r="H2" s="1" t="n">
        <v>68.5</v>
      </c>
      <c r="I2" s="1" t="n">
        <v>271.3</v>
      </c>
      <c r="J2" s="1" t="n">
        <v>41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35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121.2</v>
      </c>
      <c r="W2" s="2" t="s">
        <v>31</v>
      </c>
      <c r="X2" s="0" t="n">
        <f aca="false">SUMIFS(C$2:C$1500,C$2:C$1500, "&gt;=0",J$2:J$1500, "&lt;-75",I$2:I$1500,"&lt;180")</f>
        <v>4</v>
      </c>
      <c r="Z2" s="0" t="n">
        <f aca="false">I2-28</f>
        <v>243.3</v>
      </c>
      <c r="AB2" s="0" t="n">
        <f aca="false">IF(Z2&lt;0,Z2+360,Z2+0)</f>
        <v>243.3</v>
      </c>
      <c r="AD2" s="1" t="n">
        <v>0</v>
      </c>
      <c r="AE2" s="1" t="n">
        <f aca="false">COUNTIF(AB$2:AB$1500,"&lt;15")</f>
        <v>25</v>
      </c>
      <c r="AF2" s="1"/>
      <c r="AG2" s="1" t="n">
        <v>0</v>
      </c>
      <c r="AH2" s="0" t="n">
        <f aca="false">SUMIFS(C$2:C$1500,C$2:C$1500, "&gt;=0",AB$2:AB$1500, "&lt;15")</f>
        <v>97.6</v>
      </c>
      <c r="AJ2" s="1" t="s">
        <v>29</v>
      </c>
      <c r="AK2" s="0" t="n">
        <f aca="false">SUMIF($J$2:$J$2000,"&lt;-75",$C$2:$C$2000)</f>
        <v>4</v>
      </c>
      <c r="AM2" s="1" t="s">
        <v>32</v>
      </c>
      <c r="AN2" s="0" t="n">
        <f aca="false">AE2+AE13+AE14+AE25</f>
        <v>109</v>
      </c>
      <c r="AO2" s="1" t="s">
        <v>32</v>
      </c>
      <c r="AP2" s="0" t="n">
        <f aca="false">R7+R8+R9</f>
        <v>187</v>
      </c>
      <c r="AR2" s="1" t="s">
        <v>32</v>
      </c>
      <c r="AS2" s="0" t="n">
        <f aca="false">AH2+AH13+AH14+AH25</f>
        <v>369.9</v>
      </c>
      <c r="AU2" s="0" t="n">
        <f aca="false">AK7+AK8+AK9</f>
        <v>509.7</v>
      </c>
    </row>
    <row r="3" customFormat="false" ht="15.8" hidden="false" customHeight="false" outlineLevel="0" collapsed="false">
      <c r="A3" s="1" t="n">
        <v>1</v>
      </c>
      <c r="B3" s="1" t="n">
        <v>4</v>
      </c>
      <c r="C3" s="1" t="n">
        <v>1.1</v>
      </c>
      <c r="D3" s="1" t="n">
        <v>1.012</v>
      </c>
      <c r="E3" s="1" t="n">
        <v>0.0684287</v>
      </c>
      <c r="F3" s="1" t="n">
        <v>0.000342143</v>
      </c>
      <c r="G3" s="1" t="s">
        <v>27</v>
      </c>
      <c r="H3" s="1" t="n">
        <v>66.8</v>
      </c>
      <c r="I3" s="1" t="n">
        <v>142.2</v>
      </c>
      <c r="J3" s="1" t="n">
        <v>0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24</v>
      </c>
      <c r="Q3" s="1" t="s">
        <v>34</v>
      </c>
      <c r="R3" s="1" t="n">
        <f aca="false">COUNTIF(J$2:J$1500,"&lt;-60")-R2</f>
        <v>14</v>
      </c>
      <c r="S3" s="2" t="s">
        <v>35</v>
      </c>
      <c r="T3" s="1" t="n">
        <f aca="false">COUNTIFS(J$2:J$1500, "&gt;60",I$2:I$1500, "&lt;180")-T2</f>
        <v>15</v>
      </c>
      <c r="U3" s="1" t="n">
        <v>15</v>
      </c>
      <c r="V3" s="0" t="n">
        <f aca="false">SUMIFS(C$2:C$1500,C$2:C$1500, "&gt;=0",I$2:I$1500, "&lt;30",I$2:I$1500,"&gt;=15")</f>
        <v>77.3</v>
      </c>
      <c r="W3" s="2" t="s">
        <v>36</v>
      </c>
      <c r="X3" s="0" t="n">
        <f aca="false">SUMIFS(C$2:C$1500,C$2:C$1500, "&gt;=0",J$2:J$1500, "&lt;-60",J$2:J$1500,"&gt;=-75",I$2:I$1500,"&lt;180")</f>
        <v>19.8</v>
      </c>
      <c r="Z3" s="0" t="n">
        <f aca="false">I3-28</f>
        <v>114.2</v>
      </c>
      <c r="AB3" s="0" t="n">
        <f aca="false">IF(Z3&lt;0,Z3+360,Z3+0)</f>
        <v>114.2</v>
      </c>
      <c r="AD3" s="1" t="n">
        <v>15</v>
      </c>
      <c r="AE3" s="1" t="n">
        <f aca="false">COUNTIF(AB$2:AB$1500,"&lt;30")-AE2</f>
        <v>19</v>
      </c>
      <c r="AF3" s="1"/>
      <c r="AG3" s="1" t="n">
        <v>15</v>
      </c>
      <c r="AH3" s="0" t="n">
        <f aca="false">SUMIFS(C$2:C$1500,C$2:C$1500, "&gt;=0",AB$2:AB$1500, "&lt;30",AB$2:AB$1500,"&gt;=15")</f>
        <v>48.8</v>
      </c>
      <c r="AJ3" s="1" t="s">
        <v>34</v>
      </c>
      <c r="AK3" s="0" t="n">
        <f aca="false">SUMIF($J$2:$J$2000,"&lt;-60",$C$2:$C$2000)-$AK$2</f>
        <v>60.7</v>
      </c>
      <c r="AM3" s="1" t="s">
        <v>37</v>
      </c>
      <c r="AN3" s="0" t="n">
        <f aca="false">AE3+AE12+AE15+AE24</f>
        <v>98</v>
      </c>
      <c r="AO3" s="1" t="s">
        <v>37</v>
      </c>
      <c r="AP3" s="0" t="n">
        <f aca="false">R10+R6</f>
        <v>116</v>
      </c>
      <c r="AR3" s="1" t="s">
        <v>37</v>
      </c>
      <c r="AS3" s="0" t="n">
        <f aca="false">AH3+AH12+AH15+AH24</f>
        <v>359.2</v>
      </c>
      <c r="AU3" s="0" t="n">
        <f aca="false">AK10+AK6</f>
        <v>365.399999999999</v>
      </c>
    </row>
    <row r="4" customFormat="false" ht="15.8" hidden="false" customHeight="false" outlineLevel="0" collapsed="false">
      <c r="A4" s="1" t="n">
        <v>1</v>
      </c>
      <c r="B4" s="1" t="n">
        <v>5</v>
      </c>
      <c r="C4" s="1" t="n">
        <v>3.4</v>
      </c>
      <c r="D4" s="1" t="n">
        <v>1.6102</v>
      </c>
      <c r="E4" s="1" t="n">
        <v>0.139382</v>
      </c>
      <c r="F4" s="1" t="n">
        <v>0.000479885</v>
      </c>
      <c r="G4" s="1" t="s">
        <v>27</v>
      </c>
      <c r="H4" s="1" t="n">
        <v>65</v>
      </c>
      <c r="I4" s="1" t="n">
        <v>31.6</v>
      </c>
      <c r="J4" s="1" t="n">
        <v>49.9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26</v>
      </c>
      <c r="Q4" s="4" t="s">
        <v>39</v>
      </c>
      <c r="R4" s="1" t="n">
        <f aca="false">COUNTIF(J$2:J$1500,"&lt;-45")-SUM(R2:R3)</f>
        <v>18</v>
      </c>
      <c r="S4" s="2" t="s">
        <v>40</v>
      </c>
      <c r="T4" s="1" t="n">
        <f aca="false">COUNTIFS(J$2:J$1500, "&gt;45",I$2:I$1500, "&lt;180")-SUM(T2:T3)</f>
        <v>24</v>
      </c>
      <c r="U4" s="1" t="n">
        <v>30</v>
      </c>
      <c r="V4" s="0" t="n">
        <f aca="false">SUMIFS(C$2:C$1500,C$2:C$1500, "&gt;=0",I$2:I$1500, "&lt;45",I$2:I$1500,"&gt;=30")</f>
        <v>102</v>
      </c>
      <c r="W4" s="2" t="s">
        <v>41</v>
      </c>
      <c r="X4" s="0" t="n">
        <f aca="false">SUMIFS(C$2:C$1500,C$2:C$1500, "&gt;=0",J$2:J$1500, "&lt;-45",J$2:J$1500,"&gt;=-60",I$2:I$1500,"&lt;180")</f>
        <v>27.9</v>
      </c>
      <c r="Z4" s="0" t="n">
        <f aca="false">I4-28</f>
        <v>3.6</v>
      </c>
      <c r="AB4" s="0" t="n">
        <f aca="false">IF(Z4&lt;0,Z4+360,Z4+0)</f>
        <v>3.6</v>
      </c>
      <c r="AD4" s="1" t="n">
        <v>30</v>
      </c>
      <c r="AE4" s="1" t="n">
        <f aca="false">COUNTIF(AB$2:AB$1500,"&lt;45")-SUM(AE2:AE3)</f>
        <v>16</v>
      </c>
      <c r="AF4" s="1"/>
      <c r="AG4" s="1" t="n">
        <v>30</v>
      </c>
      <c r="AH4" s="0" t="n">
        <f aca="false">SUMIFS(C$2:C$1500,C$2:C$1500, "&gt;=0",AB$2:AB$1500, "&lt;45",AB$2:AB$1500,"&gt;=30")</f>
        <v>48.4</v>
      </c>
      <c r="AJ4" s="4" t="s">
        <v>39</v>
      </c>
      <c r="AK4" s="0" t="n">
        <f aca="false">SUMIF($J$2:$J$2000,"&lt;-45",$C$2:$C$2000)-SUM($AK$2:$AK$3)</f>
        <v>73.8</v>
      </c>
      <c r="AM4" s="1" t="s">
        <v>42</v>
      </c>
      <c r="AN4" s="0" t="n">
        <f aca="false">AE4+AE11+AE16+AE23</f>
        <v>65</v>
      </c>
      <c r="AO4" s="1" t="s">
        <v>42</v>
      </c>
      <c r="AP4" s="0" t="n">
        <f aca="false">R11+R5</f>
        <v>77</v>
      </c>
      <c r="AR4" s="1" t="s">
        <v>42</v>
      </c>
      <c r="AS4" s="0" t="n">
        <f aca="false">AH4+AH11+AH16+AH23</f>
        <v>222.3</v>
      </c>
      <c r="AU4" s="0" t="n">
        <f aca="false">AK11+AK5</f>
        <v>266.800000000001</v>
      </c>
    </row>
    <row r="5" customFormat="false" ht="15.8" hidden="false" customHeight="false" outlineLevel="0" collapsed="false">
      <c r="A5" s="1" t="n">
        <v>1</v>
      </c>
      <c r="B5" s="1" t="n">
        <v>5</v>
      </c>
      <c r="C5" s="1" t="n">
        <v>3.3</v>
      </c>
      <c r="D5" s="1" t="n">
        <v>1.1019</v>
      </c>
      <c r="E5" s="1" t="n">
        <v>0.206461</v>
      </c>
      <c r="F5" s="1" t="n">
        <v>0.00103231</v>
      </c>
      <c r="G5" s="1" t="s">
        <v>27</v>
      </c>
      <c r="H5" s="1" t="n">
        <v>35.1</v>
      </c>
      <c r="I5" s="1" t="n">
        <v>307.4</v>
      </c>
      <c r="J5" s="1" t="n">
        <v>0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20</v>
      </c>
      <c r="Q5" s="1" t="s">
        <v>43</v>
      </c>
      <c r="R5" s="1" t="n">
        <f aca="false">COUNTIF(J$2:J$1500,"&lt;-30")-SUM(R2:R4)</f>
        <v>35</v>
      </c>
      <c r="S5" s="2" t="s">
        <v>44</v>
      </c>
      <c r="T5" s="1" t="n">
        <f aca="false">COUNTIFS(J$2:J$1500, "&gt;30",I$2:I$1500, "&lt;180")-SUM(T2:T4)</f>
        <v>26</v>
      </c>
      <c r="U5" s="1" t="n">
        <v>45</v>
      </c>
      <c r="V5" s="0" t="n">
        <f aca="false">SUMIFS(C$2:C$1500,C$2:C$1500, "&gt;=0",I$2:I$1500, "&lt;60",I$2:I$1500,"&gt;=45")</f>
        <v>48.9</v>
      </c>
      <c r="W5" s="2" t="s">
        <v>45</v>
      </c>
      <c r="X5" s="0" t="n">
        <f aca="false">SUMIFS(C$2:C$1500,C$2:C$1500, "&gt;=0",J$2:J$1500, "&lt;-30",J$2:J$1500,"&gt;=-45",I$2:I$1500,"&lt;180")</f>
        <v>18.4</v>
      </c>
      <c r="Z5" s="0" t="n">
        <f aca="false">I5-28</f>
        <v>279.4</v>
      </c>
      <c r="AB5" s="0" t="n">
        <f aca="false">IF(Z5&lt;0,Z5+360,Z5+0)</f>
        <v>279.4</v>
      </c>
      <c r="AD5" s="1" t="n">
        <v>45</v>
      </c>
      <c r="AE5" s="1" t="n">
        <f aca="false">COUNTIF(AB$2:AB$1500,"&lt;60")-SUM(AE2:AE4)</f>
        <v>15</v>
      </c>
      <c r="AF5" s="1"/>
      <c r="AG5" s="1" t="n">
        <v>45</v>
      </c>
      <c r="AH5" s="0" t="n">
        <f aca="false">SUMIFS(C$2:C$1500,C$2:C$1500, "&gt;=0",AB$2:AB$1500, "&lt;60",AB$2:AB$1500,"&gt;=45")</f>
        <v>28.5</v>
      </c>
      <c r="AJ5" s="1" t="s">
        <v>43</v>
      </c>
      <c r="AK5" s="0" t="n">
        <f aca="false">SUMIF($J$2:$J$2000,"&lt;-30",$C$2:$C$2000)-SUM($AK$2:$AK$4)</f>
        <v>132.3</v>
      </c>
      <c r="AM5" s="1" t="s">
        <v>46</v>
      </c>
      <c r="AN5" s="0" t="n">
        <f aca="false">AE5+AE10+AE17+AE22</f>
        <v>59</v>
      </c>
      <c r="AO5" s="1" t="s">
        <v>46</v>
      </c>
      <c r="AP5" s="0" t="n">
        <f aca="false">R12+R4</f>
        <v>56</v>
      </c>
      <c r="AR5" s="1" t="s">
        <v>46</v>
      </c>
      <c r="AS5" s="0" t="n">
        <f aca="false">AH5+AH10+AH17+AH22</f>
        <v>155</v>
      </c>
      <c r="AU5" s="0" t="n">
        <f aca="false">AK12+AK4</f>
        <v>180.5</v>
      </c>
    </row>
    <row r="6" customFormat="false" ht="15.8" hidden="false" customHeight="false" outlineLevel="0" collapsed="false">
      <c r="A6" s="1" t="n">
        <v>1</v>
      </c>
      <c r="B6" s="1" t="n">
        <v>4</v>
      </c>
      <c r="C6" s="1" t="n">
        <v>1</v>
      </c>
      <c r="D6" s="1" t="n">
        <v>1.0097</v>
      </c>
      <c r="E6" s="1" t="n">
        <v>0.0611999</v>
      </c>
      <c r="F6" s="1" t="n">
        <v>0.000306</v>
      </c>
      <c r="G6" s="1" t="s">
        <v>47</v>
      </c>
      <c r="H6" s="1" t="n">
        <v>132.1</v>
      </c>
      <c r="I6" s="1" t="n">
        <v>342.5</v>
      </c>
      <c r="J6" s="1" t="n">
        <v>0</v>
      </c>
      <c r="K6" s="1" t="n">
        <v>65</v>
      </c>
      <c r="L6" s="1" t="n">
        <v>0</v>
      </c>
      <c r="M6" s="1" t="n">
        <v>0</v>
      </c>
      <c r="N6" s="1" t="s">
        <v>33</v>
      </c>
      <c r="O6" s="1" t="n">
        <v>60</v>
      </c>
      <c r="P6" s="1" t="n">
        <f aca="false">COUNTIF(I$2:I$1500,"&lt;75")-SUM(P2:P5)</f>
        <v>14</v>
      </c>
      <c r="Q6" s="1" t="s">
        <v>48</v>
      </c>
      <c r="R6" s="1" t="n">
        <f aca="false">COUNTIF(J$2:J$1500,"&lt;-15")-SUM(R2:R5)</f>
        <v>46</v>
      </c>
      <c r="S6" s="2" t="s">
        <v>49</v>
      </c>
      <c r="T6" s="1" t="n">
        <f aca="false">COUNTIFS(J$2:J$1500, "&gt;15",I$2:I$1500, "&lt;180")-SUM(T2:T5)</f>
        <v>41</v>
      </c>
      <c r="U6" s="1" t="n">
        <v>60</v>
      </c>
      <c r="V6" s="0" t="n">
        <f aca="false">SUMIFS(C$2:C$1500,C$2:C$1500, "&gt;=0",I$2:I$1500, "&lt;75",I$2:I$1500,"&gt;=60")</f>
        <v>40.5</v>
      </c>
      <c r="W6" s="2" t="s">
        <v>50</v>
      </c>
      <c r="X6" s="0" t="n">
        <f aca="false">SUMIFS(C$2:C$1500,C$2:C$1500, "&gt;=0",J$2:J$1500, "&lt;-15",J$2:J$1500,"&gt;=-30",I$2:I$1500,"&lt;180")</f>
        <v>20.6</v>
      </c>
      <c r="Z6" s="0" t="n">
        <f aca="false">I6-28</f>
        <v>314.5</v>
      </c>
      <c r="AB6" s="0" t="n">
        <f aca="false">IF(Z6&lt;0,Z6+360,Z6+0)</f>
        <v>314.5</v>
      </c>
      <c r="AD6" s="1" t="n">
        <v>60</v>
      </c>
      <c r="AE6" s="1" t="n">
        <f aca="false">COUNTIF(AB$2:AB$1500,"&lt;75")-SUM(AE2:AE5)</f>
        <v>19</v>
      </c>
      <c r="AF6" s="1"/>
      <c r="AG6" s="1" t="n">
        <v>60</v>
      </c>
      <c r="AH6" s="0" t="n">
        <f aca="false">SUMIFS(C$2:C$1500,C$2:C$1500, "&gt;=0",AB$2:AB$1500, "&lt;75",AB$2:AB$1500,"&gt;=60")</f>
        <v>45.9</v>
      </c>
      <c r="AJ6" s="1" t="s">
        <v>48</v>
      </c>
      <c r="AK6" s="0" t="n">
        <f aca="false">SUMIF($J$2:$J$2000,"&lt;-15",$C$2:$C$2000)-SUM($AK$2:$AK$5)</f>
        <v>130</v>
      </c>
      <c r="AM6" s="1" t="s">
        <v>51</v>
      </c>
      <c r="AN6" s="0" t="n">
        <f aca="false">AE6+AE9+AE18+AE21</f>
        <v>81</v>
      </c>
      <c r="AO6" s="1" t="s">
        <v>51</v>
      </c>
      <c r="AP6" s="0" t="n">
        <f aca="false">R13+R3</f>
        <v>33</v>
      </c>
      <c r="AR6" s="1" t="s">
        <v>51</v>
      </c>
      <c r="AS6" s="0" t="n">
        <f aca="false">AH6+AH9+AH18+AH21</f>
        <v>182</v>
      </c>
      <c r="AU6" s="0" t="n">
        <f aca="false">AK13+AK3</f>
        <v>131.9</v>
      </c>
    </row>
    <row r="7" customFormat="false" ht="15.8" hidden="false" customHeight="false" outlineLevel="0" collapsed="false">
      <c r="A7" s="1" t="n">
        <v>1</v>
      </c>
      <c r="B7" s="1" t="n">
        <v>7</v>
      </c>
      <c r="C7" s="1" t="n">
        <v>3.9</v>
      </c>
      <c r="D7" s="1" t="n">
        <v>1.2405</v>
      </c>
      <c r="E7" s="1" t="n">
        <v>0.246376</v>
      </c>
      <c r="F7" s="1" t="n">
        <v>0.00123188</v>
      </c>
      <c r="G7" s="1" t="s">
        <v>27</v>
      </c>
      <c r="H7" s="1" t="n">
        <v>13.5</v>
      </c>
      <c r="I7" s="1" t="n">
        <v>231.3</v>
      </c>
      <c r="J7" s="1" t="n">
        <v>-20.6</v>
      </c>
      <c r="K7" s="1"/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16</v>
      </c>
      <c r="Q7" s="1" t="s">
        <v>53</v>
      </c>
      <c r="R7" s="1" t="n">
        <f aca="false">COUNTIF(J$2:J$1500,"&lt;0")-SUM(R2:R6)</f>
        <v>37</v>
      </c>
      <c r="S7" s="2" t="s">
        <v>54</v>
      </c>
      <c r="T7" s="1" t="n">
        <f aca="false">COUNTIFS(J$2:J$1500, "&gt;0",I$2:I$1500, "&lt;180")-SUM(T2:T6)</f>
        <v>27</v>
      </c>
      <c r="U7" s="1" t="n">
        <v>75</v>
      </c>
      <c r="V7" s="0" t="n">
        <f aca="false">SUMIFS(C$2:C$1500,C$2:C$1500, "&gt;=0",I$2:I$1500, "&lt;90",I$2:I$1500,"&gt;=75")</f>
        <v>39.3</v>
      </c>
      <c r="W7" s="2" t="s">
        <v>55</v>
      </c>
      <c r="X7" s="0" t="n">
        <f aca="false">SUMIFS(C$2:C$1500,C$2:C$1500, "&gt;=0",J$2:J$1500, "&lt;0",J$2:J$1500,"&gt;=-15",I$2:I$1500,"&lt;180")</f>
        <v>63.4</v>
      </c>
      <c r="Z7" s="0" t="n">
        <f aca="false">I7-28</f>
        <v>203.3</v>
      </c>
      <c r="AB7" s="0" t="n">
        <f aca="false">IF(Z7&lt;0,Z7+360,Z7+0)</f>
        <v>203.3</v>
      </c>
      <c r="AD7" s="1" t="n">
        <v>75</v>
      </c>
      <c r="AE7" s="1" t="n">
        <f aca="false">COUNTIF(AB$2:AB$1500,"&lt;90")-SUM(AE2:AE6)</f>
        <v>11</v>
      </c>
      <c r="AF7" s="1"/>
      <c r="AG7" s="1" t="n">
        <v>75</v>
      </c>
      <c r="AH7" s="0" t="n">
        <f aca="false">SUMIFS(C$2:C$1500,C$2:C$1500, "&gt;=0",AB$2:AB$1500, "&lt;90",AB$2:AB$1500,"&gt;=75")</f>
        <v>29.9</v>
      </c>
      <c r="AJ7" s="1" t="s">
        <v>53</v>
      </c>
      <c r="AK7" s="0" t="n">
        <f aca="false">SUMIF($J$2:$J$2000,"&lt;0",$C$2:$C$2000)-SUM($AK$2:$AK$6)</f>
        <v>134.8</v>
      </c>
      <c r="AM7" s="1" t="s">
        <v>56</v>
      </c>
      <c r="AN7" s="0" t="n">
        <f aca="false">AE7+AE8+AE19+AE20</f>
        <v>61</v>
      </c>
      <c r="AO7" s="1" t="s">
        <v>56</v>
      </c>
      <c r="AP7" s="0" t="n">
        <f aca="false">R14+R2</f>
        <v>4</v>
      </c>
      <c r="AR7" s="1" t="s">
        <v>56</v>
      </c>
      <c r="AS7" s="0" t="n">
        <f aca="false">AH7+AH8+AH19+AH20</f>
        <v>173.5</v>
      </c>
      <c r="AU7" s="0" t="n">
        <f aca="false">AK14+AK2</f>
        <v>7.59999999999991</v>
      </c>
    </row>
    <row r="8" customFormat="false" ht="15.8" hidden="false" customHeight="false" outlineLevel="0" collapsed="false">
      <c r="A8" s="1" t="n">
        <v>1</v>
      </c>
      <c r="B8" s="1" t="n">
        <v>7</v>
      </c>
      <c r="C8" s="1" t="n">
        <v>1.3</v>
      </c>
      <c r="D8" s="1" t="n">
        <v>1.0016</v>
      </c>
      <c r="E8" s="1" t="n">
        <v>0.0847151</v>
      </c>
      <c r="F8" s="1" t="n">
        <v>0.000423576</v>
      </c>
      <c r="G8" s="1" t="s">
        <v>27</v>
      </c>
      <c r="H8" s="1" t="n">
        <v>96.4</v>
      </c>
      <c r="I8" s="1" t="n">
        <v>318.6</v>
      </c>
      <c r="J8" s="1" t="n">
        <v>0</v>
      </c>
      <c r="K8" s="1"/>
      <c r="L8" s="1" t="n">
        <v>0</v>
      </c>
      <c r="M8" s="1" t="n">
        <v>0</v>
      </c>
      <c r="N8" s="1" t="s">
        <v>52</v>
      </c>
      <c r="O8" s="1" t="n">
        <v>90</v>
      </c>
      <c r="P8" s="1" t="n">
        <f aca="false">COUNTIF(I$2:I$1500,"&lt;105")-SUM(P2:P7)</f>
        <v>17</v>
      </c>
      <c r="Q8" s="0" t="s">
        <v>57</v>
      </c>
      <c r="R8" s="1" t="n">
        <f aca="false">COUNTIF(J$2:J$1500,"=0")</f>
        <v>105</v>
      </c>
      <c r="S8" s="2" t="s">
        <v>58</v>
      </c>
      <c r="T8" s="1" t="n">
        <f aca="false">COUNTIFS(J$2:J$1500, "&gt;-15",I$2:I$1500, "&lt;180")-SUM(T2:T7)</f>
        <v>75</v>
      </c>
      <c r="U8" s="1" t="n">
        <v>90</v>
      </c>
      <c r="V8" s="0" t="n">
        <f aca="false">SUMIFS(C$2:C$1500,C$2:C$1500, "&gt;=0",I$2:I$1500, "&lt;105",I$2:I$1500,"&gt;=90")</f>
        <v>36.9</v>
      </c>
      <c r="W8" s="2" t="s">
        <v>59</v>
      </c>
      <c r="X8" s="0" t="n">
        <f aca="false">SUMIFS(C$2:C$1500,C$2:C$1500, "&gt;=0",J$2:J$1500, "&lt;15",J$2:J$1500,"&gt;=0",I$2:I$1500,"&lt;180")</f>
        <v>211.6</v>
      </c>
      <c r="Z8" s="0" t="n">
        <f aca="false">I8-28</f>
        <v>290.6</v>
      </c>
      <c r="AB8" s="0" t="n">
        <f aca="false">IF(Z8&lt;0,Z8+360,Z8+0)</f>
        <v>290.6</v>
      </c>
      <c r="AD8" s="1" t="n">
        <v>90</v>
      </c>
      <c r="AE8" s="1" t="n">
        <f aca="false">COUNTIF(AB$2:AB$1500,"&lt;105")-SUM(AE2:AE7)</f>
        <v>20</v>
      </c>
      <c r="AF8" s="1"/>
      <c r="AG8" s="1" t="n">
        <v>90</v>
      </c>
      <c r="AH8" s="0" t="n">
        <f aca="false">SUMIFS(C$2:C$1500,C$2:C$1500, "&gt;=0",AB$2:AB$1500, "&lt;105",AB$2:AB$1500,"&gt;=90")</f>
        <v>63</v>
      </c>
      <c r="AJ8" s="0" t="s">
        <v>57</v>
      </c>
      <c r="AK8" s="0" t="n">
        <f aca="false">SUMIF($J$2:$J$2000,"=0",$C$2:$C$2000)</f>
        <v>177.5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6</v>
      </c>
      <c r="C9" s="1" t="n">
        <v>7</v>
      </c>
      <c r="D9" s="1" t="n">
        <v>1.129</v>
      </c>
      <c r="E9" s="1" t="n">
        <v>0.437105</v>
      </c>
      <c r="F9" s="1" t="n">
        <v>0.00218552</v>
      </c>
      <c r="G9" s="1" t="s">
        <v>47</v>
      </c>
      <c r="H9" s="1" t="n">
        <v>32.2</v>
      </c>
      <c r="I9" s="1" t="n">
        <v>222.1</v>
      </c>
      <c r="J9" s="1" t="n">
        <v>-10.4</v>
      </c>
      <c r="K9" s="1" t="n">
        <v>96.4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12</v>
      </c>
      <c r="Q9" s="1" t="s">
        <v>61</v>
      </c>
      <c r="R9" s="1" t="n">
        <f aca="false">COUNTIF(J$2:J$1500,"&lt;15")-SUM(R2:R8)</f>
        <v>45</v>
      </c>
      <c r="S9" s="2" t="s">
        <v>62</v>
      </c>
      <c r="T9" s="1" t="n">
        <f aca="false">COUNTIFS(J$2:J$1500, "&gt;-30",I$2:I$1500, "&lt;180")-SUM(T2:T8)</f>
        <v>12</v>
      </c>
      <c r="U9" s="1" t="n">
        <v>105</v>
      </c>
      <c r="V9" s="0" t="n">
        <f aca="false">SUMIFS(C$2:C$1500,C$2:C$1500, "&gt;=0",I$2:I$1500, "&lt;120",I$2:I$1500,"&gt;=105")</f>
        <v>30.1</v>
      </c>
      <c r="W9" s="2" t="s">
        <v>63</v>
      </c>
      <c r="X9" s="0" t="n">
        <f aca="false">SUMIFS(C$2:C$1500,C$2:C$1500, "&gt;=0",J$2:J$1500, "&lt;30",J$2:J$1500,"&gt;=15",I$2:I$1500,"&lt;180")</f>
        <v>138.5</v>
      </c>
      <c r="Z9" s="0" t="n">
        <f aca="false">I9-28</f>
        <v>194.1</v>
      </c>
      <c r="AB9" s="0" t="n">
        <f aca="false">IF(Z9&lt;0,Z9+360,Z9+0)</f>
        <v>194.1</v>
      </c>
      <c r="AD9" s="1" t="n">
        <v>105</v>
      </c>
      <c r="AE9" s="1" t="n">
        <f aca="false">COUNTIF(AB$2:AB$1500,"&lt;120")-SUM(AE2:AE8)</f>
        <v>21</v>
      </c>
      <c r="AF9" s="1"/>
      <c r="AG9" s="1" t="n">
        <v>105</v>
      </c>
      <c r="AH9" s="0" t="n">
        <f aca="false">SUMIFS(C$2:C$1500,C$2:C$1500, "&gt;=0",AB$2:AB$1500, "&lt;120",AB$2:AB$1500,"&gt;=105")</f>
        <v>46.3</v>
      </c>
      <c r="AJ9" s="1" t="s">
        <v>61</v>
      </c>
      <c r="AK9" s="0" t="n">
        <f aca="false">SUMIF($J$2:$J$2000,"&lt;15",$C$2:$C$2000)-SUM($AK$2:$AK$8)</f>
        <v>197.4</v>
      </c>
      <c r="AM9" s="1" t="s">
        <v>64</v>
      </c>
      <c r="AN9" s="0" t="n">
        <f aca="false">SUM(AN2:AN7)</f>
        <v>473</v>
      </c>
      <c r="AO9" s="1" t="s">
        <v>64</v>
      </c>
      <c r="AP9" s="0" t="n">
        <f aca="false">SUM(AP2:AP7)</f>
        <v>473</v>
      </c>
      <c r="AR9" s="1" t="s">
        <v>64</v>
      </c>
      <c r="AS9" s="0" t="n">
        <f aca="false">SUM(AS2:AS7)</f>
        <v>1461.9</v>
      </c>
      <c r="AT9" s="1" t="s">
        <v>64</v>
      </c>
      <c r="AU9" s="0" t="n">
        <f aca="false">SUM(AU2:AU7)</f>
        <v>1461.9</v>
      </c>
    </row>
    <row r="10" customFormat="false" ht="15.8" hidden="false" customHeight="false" outlineLevel="0" collapsed="false">
      <c r="A10" s="1" t="n">
        <v>1</v>
      </c>
      <c r="B10" s="1" t="n">
        <v>6</v>
      </c>
      <c r="C10" s="1" t="n">
        <v>0.9</v>
      </c>
      <c r="D10" s="1" t="n">
        <v>1</v>
      </c>
      <c r="E10" s="1" t="n">
        <v>0.0596244</v>
      </c>
      <c r="F10" s="1" t="n">
        <v>0.000298122</v>
      </c>
      <c r="G10" s="1" t="s">
        <v>27</v>
      </c>
      <c r="H10" s="1" t="n">
        <v>74.8</v>
      </c>
      <c r="I10" s="1" t="n">
        <v>126.1</v>
      </c>
      <c r="J10" s="1" t="n">
        <v>51.2</v>
      </c>
      <c r="K10" s="1"/>
      <c r="L10" s="1" t="n">
        <v>0</v>
      </c>
      <c r="M10" s="1" t="n">
        <v>0</v>
      </c>
      <c r="N10" s="1" t="s">
        <v>60</v>
      </c>
      <c r="O10" s="1" t="n">
        <v>120</v>
      </c>
      <c r="P10" s="1" t="n">
        <f aca="false">COUNTIF(I$2:I$1500,"&lt;135")-SUM(P2:P9)</f>
        <v>20</v>
      </c>
      <c r="Q10" s="1" t="s">
        <v>65</v>
      </c>
      <c r="R10" s="1" t="n">
        <f aca="false">COUNTIF(J$2:J$1500,"&lt;30")-SUM(R2:R9)</f>
        <v>70</v>
      </c>
      <c r="S10" s="2" t="s">
        <v>66</v>
      </c>
      <c r="T10" s="1" t="n">
        <f aca="false">COUNTIFS(J$2:J$1500, "&gt;-45",I$2:I$1500, "&lt;180")-SUM(T2:T9)</f>
        <v>8</v>
      </c>
      <c r="U10" s="1" t="n">
        <v>120</v>
      </c>
      <c r="V10" s="0" t="n">
        <f aca="false">SUMIFS(C$2:C$1500,C$2:C$1500, "&gt;=0",I$2:I$1500, "&lt;135",I$2:I$1500,"&gt;=120")</f>
        <v>64.2</v>
      </c>
      <c r="W10" s="2" t="s">
        <v>67</v>
      </c>
      <c r="X10" s="0" t="n">
        <f aca="false">SUMIFS(C$2:C$1500,C$2:C$1500, "&gt;=0",J$2:J$1500, "&lt;45",J$2:J$1500,"&gt;=30",I$2:I$1500,"&lt;180")</f>
        <v>78.9</v>
      </c>
      <c r="Z10" s="0" t="n">
        <f aca="false">I10-28</f>
        <v>98.1</v>
      </c>
      <c r="AB10" s="0" t="n">
        <f aca="false">IF(Z10&lt;0,Z10+360,Z10+0)</f>
        <v>98.1</v>
      </c>
      <c r="AD10" s="1" t="n">
        <v>120</v>
      </c>
      <c r="AE10" s="1" t="n">
        <f aca="false">COUNTIF(AB$2:AB$1500,"&lt;135")-SUM(AE2:AE9)</f>
        <v>13</v>
      </c>
      <c r="AF10" s="1"/>
      <c r="AG10" s="1" t="n">
        <v>120</v>
      </c>
      <c r="AH10" s="0" t="n">
        <f aca="false">SUMIFS(C$2:C$1500,C$2:C$1500, "&gt;=0",AB$2:AB$1500, "&lt;135",AB$2:AB$1500,"&gt;=120")</f>
        <v>41.1</v>
      </c>
      <c r="AJ10" s="1" t="s">
        <v>65</v>
      </c>
      <c r="AK10" s="0" t="n">
        <f aca="false">SUMIF($J$2:$J$2000,"&lt;30",$C$2:$C$2000)-SUM($AK$2:$AK$9)</f>
        <v>235.399999999999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5</v>
      </c>
      <c r="C11" s="1" t="n">
        <v>1.8</v>
      </c>
      <c r="D11" s="1" t="n">
        <v>1.0092</v>
      </c>
      <c r="E11" s="1" t="n">
        <v>0.11254</v>
      </c>
      <c r="F11" s="1" t="n">
        <v>0.000562698</v>
      </c>
      <c r="G11" s="1" t="s">
        <v>47</v>
      </c>
      <c r="H11" s="1" t="n">
        <v>15.8</v>
      </c>
      <c r="I11" s="1" t="n">
        <v>191.4</v>
      </c>
      <c r="J11" s="1" t="n">
        <v>0</v>
      </c>
      <c r="K11" s="1" t="n">
        <v>74.8</v>
      </c>
      <c r="L11" s="1" t="n">
        <v>0</v>
      </c>
      <c r="M11" s="1" t="n">
        <v>0</v>
      </c>
      <c r="N11" s="1" t="s">
        <v>68</v>
      </c>
      <c r="O11" s="1" t="n">
        <v>135</v>
      </c>
      <c r="P11" s="1" t="n">
        <f aca="false">COUNTIF(I$2:I$1500,"&lt;150")-SUM(P2:P10)</f>
        <v>24</v>
      </c>
      <c r="Q11" s="1" t="s">
        <v>69</v>
      </c>
      <c r="R11" s="1" t="n">
        <f aca="false">COUNTIF(J$2:J$1500,"&lt;45")-SUM(R2:R10)</f>
        <v>42</v>
      </c>
      <c r="S11" s="2" t="s">
        <v>70</v>
      </c>
      <c r="T11" s="1" t="n">
        <f aca="false">COUNTIFS(J$2:J$1500, "&gt;-60",I$2:I$1500, "&lt;180")-SUM(T2:T10)</f>
        <v>7</v>
      </c>
      <c r="U11" s="1" t="n">
        <v>135</v>
      </c>
      <c r="V11" s="0" t="n">
        <f aca="false">SUMIFS(C$2:C$1500,C$2:C$1500, "&gt;=0",I$2:I$1500, "&lt;150",I$2:I$1500,"&gt;=135")</f>
        <v>64.9</v>
      </c>
      <c r="W11" s="2" t="s">
        <v>71</v>
      </c>
      <c r="X11" s="0" t="n">
        <f aca="false">SUMIFS(C$2:C$1500,C$2:C$1500, "&gt;=0",J$2:J$1500, "&lt;60",J$2:J$1500,"&gt;=45",I$2:I$1500,"&lt;180")</f>
        <v>73</v>
      </c>
      <c r="Z11" s="0" t="n">
        <f aca="false">I11-28</f>
        <v>163.4</v>
      </c>
      <c r="AB11" s="0" t="n">
        <f aca="false">IF(Z11&lt;0,Z11+360,Z11+0)</f>
        <v>163.4</v>
      </c>
      <c r="AD11" s="1" t="n">
        <v>135</v>
      </c>
      <c r="AE11" s="1" t="n">
        <f aca="false">COUNTIF(AB$2:AB$1500,"&lt;150")-SUM(AE2:AE10)</f>
        <v>21</v>
      </c>
      <c r="AF11" s="1"/>
      <c r="AG11" s="1" t="n">
        <v>135</v>
      </c>
      <c r="AH11" s="0" t="n">
        <f aca="false">SUMIFS(C$2:C$1500,C$2:C$1500, "&gt;=0",AB$2:AB$1500, "&lt;150",AB$2:AB$1500,"&gt;=135")</f>
        <v>65.4</v>
      </c>
      <c r="AJ11" s="1" t="s">
        <v>69</v>
      </c>
      <c r="AK11" s="0" t="n">
        <f aca="false">SUMIF($J$2:$J$2000,"&lt;45",$C$2:$C$2000)-SUM($AK$2:$AK$10)</f>
        <v>134.500000000001</v>
      </c>
    </row>
    <row r="12" customFormat="false" ht="15.8" hidden="false" customHeight="false" outlineLevel="0" collapsed="false">
      <c r="A12" s="1" t="n">
        <v>1</v>
      </c>
      <c r="B12" s="1" t="n">
        <v>6</v>
      </c>
      <c r="C12" s="1" t="n">
        <v>5.7</v>
      </c>
      <c r="D12" s="1" t="n">
        <v>1.2376</v>
      </c>
      <c r="E12" s="1" t="n">
        <v>0.359587</v>
      </c>
      <c r="F12" s="1" t="n">
        <v>0.00179794</v>
      </c>
      <c r="G12" s="1" t="s">
        <v>27</v>
      </c>
      <c r="H12" s="1" t="n">
        <v>64.6</v>
      </c>
      <c r="I12" s="1" t="n">
        <v>128.9</v>
      </c>
      <c r="J12" s="1" t="n">
        <v>53.1</v>
      </c>
      <c r="K12" s="1"/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9</v>
      </c>
      <c r="Q12" s="1" t="s">
        <v>73</v>
      </c>
      <c r="R12" s="1" t="n">
        <f aca="false">COUNTIF(J$2:J$1500,"&lt;60")-SUM(R2:R11)</f>
        <v>38</v>
      </c>
      <c r="S12" s="2" t="s">
        <v>74</v>
      </c>
      <c r="T12" s="1" t="n">
        <f aca="false">COUNTIFS(J$2:J$1500, "&gt;-75",I$2:I$1500, "&lt;180")-SUM(T2:T11)</f>
        <v>4</v>
      </c>
      <c r="U12" s="1" t="n">
        <v>150</v>
      </c>
      <c r="V12" s="0" t="n">
        <f aca="false">SUMIFS(C$2:C$1500,C$2:C$1500, "&gt;=0",I$2:I$1500, "&lt;165",I$2:I$1500,"&gt;=150")</f>
        <v>18.7</v>
      </c>
      <c r="W12" s="2" t="s">
        <v>75</v>
      </c>
      <c r="X12" s="0" t="n">
        <f aca="false">SUMIFS(C$2:C$1500,C$2:C$1500, "&gt;=0",J$2:J$1500, "&lt;75",J$2:J$1500,"&gt;=60",I$2:I$1500,"&lt;180")</f>
        <v>64.7</v>
      </c>
      <c r="Z12" s="0" t="n">
        <f aca="false">I12-28</f>
        <v>100.9</v>
      </c>
      <c r="AB12" s="0" t="n">
        <f aca="false">IF(Z12&lt;0,Z12+360,Z12+0)</f>
        <v>100.9</v>
      </c>
      <c r="AD12" s="1" t="n">
        <v>150</v>
      </c>
      <c r="AE12" s="1" t="n">
        <f aca="false">COUNTIF(AB$2:AB$1500,"&lt;165")-SUM(AE2:AE11)</f>
        <v>26</v>
      </c>
      <c r="AF12" s="1"/>
      <c r="AG12" s="1" t="n">
        <v>150</v>
      </c>
      <c r="AH12" s="0" t="n">
        <f aca="false">SUMIFS(C$2:C$1500,C$2:C$1500, "&gt;=0",AB$2:AB$1500, "&lt;165",AB$2:AB$1500,"&gt;=150")</f>
        <v>104.3</v>
      </c>
      <c r="AJ12" s="1" t="s">
        <v>73</v>
      </c>
      <c r="AK12" s="0" t="n">
        <f aca="false">SUMIF($J$2:$J$2000,"&lt;60",$C$2:$C$2000)-SUM($AK$2:$AK$11)</f>
        <v>106.7</v>
      </c>
    </row>
    <row r="13" customFormat="false" ht="15.8" hidden="false" customHeight="false" outlineLevel="0" collapsed="false">
      <c r="A13" s="1" t="n">
        <v>1</v>
      </c>
      <c r="B13" s="1" t="n">
        <v>6</v>
      </c>
      <c r="C13" s="1" t="n">
        <v>3.5</v>
      </c>
      <c r="D13" s="1" t="n">
        <v>1.491</v>
      </c>
      <c r="E13" s="1" t="n">
        <v>0.21886</v>
      </c>
      <c r="F13" s="1" t="n">
        <v>0.0010943</v>
      </c>
      <c r="G13" s="1" t="s">
        <v>27</v>
      </c>
      <c r="H13" s="1" t="n">
        <v>42.3</v>
      </c>
      <c r="I13" s="1" t="n">
        <v>42.2</v>
      </c>
      <c r="J13" s="1" t="n">
        <v>0</v>
      </c>
      <c r="K13" s="1"/>
      <c r="L13" s="1" t="n">
        <v>0</v>
      </c>
      <c r="M13" s="1" t="n">
        <v>0</v>
      </c>
      <c r="N13" s="1" t="s">
        <v>72</v>
      </c>
      <c r="O13" s="1" t="n">
        <v>165</v>
      </c>
      <c r="P13" s="1" t="n">
        <f aca="false">COUNTIF(I$2:I$1500,"&lt;180")-SUM(P2:P12)</f>
        <v>23</v>
      </c>
      <c r="Q13" s="1" t="s">
        <v>76</v>
      </c>
      <c r="R13" s="1" t="n">
        <f aca="false">COUNTIF(J$2:J$1500,"&lt;75")-SUM(R2:R12)</f>
        <v>19</v>
      </c>
      <c r="S13" s="2" t="s">
        <v>77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76.8</v>
      </c>
      <c r="W13" s="2" t="s">
        <v>78</v>
      </c>
      <c r="X13" s="0" t="n">
        <f aca="false">SUMIFS(C$2:C$1500,C$2:C$1500, "&gt;=0",J$2:J$1500, "&lt;90",J$2:J$1500,"&gt;=75",I$2:I$1500,"&lt;180")</f>
        <v>0</v>
      </c>
      <c r="Z13" s="0" t="n">
        <f aca="false">I13-28</f>
        <v>14.2</v>
      </c>
      <c r="AB13" s="0" t="n">
        <f aca="false">IF(Z13&lt;0,Z13+360,Z13+0)</f>
        <v>14.2</v>
      </c>
      <c r="AD13" s="1" t="n">
        <v>165</v>
      </c>
      <c r="AE13" s="1" t="n">
        <f aca="false">COUNTIF(AB$2:AB$1500,"&lt;180")-SUM(AE2:AE12)</f>
        <v>30</v>
      </c>
      <c r="AF13" s="1"/>
      <c r="AG13" s="1" t="n">
        <v>165</v>
      </c>
      <c r="AH13" s="0" t="n">
        <f aca="false">SUMIFS(C$2:C$1500,C$2:C$1500, "&gt;=0",AB$2:AB$1500, "&lt;180",AB$2:AB$1500,"&gt;=165")</f>
        <v>90.1</v>
      </c>
      <c r="AJ13" s="1" t="s">
        <v>76</v>
      </c>
      <c r="AK13" s="0" t="n">
        <f aca="false">SUMIF($J$2:$J$2000,"&lt;75",$C$2:$C$2000)-SUM($AK$2:$AK$12)</f>
        <v>71.1999999999996</v>
      </c>
    </row>
    <row r="14" customFormat="false" ht="15.8" hidden="false" customHeight="false" outlineLevel="0" collapsed="false">
      <c r="A14" s="1" t="n">
        <v>1</v>
      </c>
      <c r="B14" s="1" t="n">
        <v>5</v>
      </c>
      <c r="C14" s="1" t="n">
        <v>0.9</v>
      </c>
      <c r="D14" s="1" t="n">
        <v>1.003</v>
      </c>
      <c r="E14" s="1" t="n">
        <v>0.0595083</v>
      </c>
      <c r="F14" s="1" t="n">
        <v>0.000297542</v>
      </c>
      <c r="G14" s="1" t="s">
        <v>47</v>
      </c>
      <c r="H14" s="1" t="n">
        <v>112.1</v>
      </c>
      <c r="I14" s="1" t="n">
        <v>84.5</v>
      </c>
      <c r="J14" s="1" t="n">
        <v>0</v>
      </c>
      <c r="K14" s="1" t="n">
        <v>64.6</v>
      </c>
      <c r="L14" s="1" t="n">
        <v>0</v>
      </c>
      <c r="M14" s="1" t="n">
        <v>0</v>
      </c>
      <c r="N14" s="1" t="s">
        <v>68</v>
      </c>
      <c r="O14" s="1" t="n">
        <v>180</v>
      </c>
      <c r="P14" s="1" t="n">
        <f aca="false">COUNTIF(I$2:I$1500,"&lt;195")-SUM(P2:P13)</f>
        <v>28</v>
      </c>
      <c r="Q14" s="1" t="s">
        <v>79</v>
      </c>
      <c r="R14" s="1" t="n">
        <f aca="false">COUNTIF(J$2:J$1500,"&lt;=90")-SUM(R2:R13)</f>
        <v>3</v>
      </c>
      <c r="S14" s="2" t="s">
        <v>80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105.7</v>
      </c>
      <c r="W14" s="2" t="s">
        <v>81</v>
      </c>
      <c r="X14" s="0" t="n">
        <f aca="false">SUMIFS(C$2:C$1500,C$2:C$1500, "&gt;=0",J$2:J$1500, "&lt;90",J$2:J$1500,"&gt;=75",I$2:I$1500,"&gt;=180")</f>
        <v>3.6</v>
      </c>
      <c r="Z14" s="0" t="n">
        <f aca="false">I14-28</f>
        <v>56.5</v>
      </c>
      <c r="AB14" s="0" t="n">
        <f aca="false">IF(Z14&lt;0,Z14+360,Z14+0)</f>
        <v>56.5</v>
      </c>
      <c r="AD14" s="1" t="n">
        <v>180</v>
      </c>
      <c r="AE14" s="1" t="n">
        <f aca="false">COUNTIF(AB$2:AB$1500,"&lt;195")-SUM(AE2:AE13)</f>
        <v>28</v>
      </c>
      <c r="AF14" s="1"/>
      <c r="AG14" s="1" t="n">
        <v>180</v>
      </c>
      <c r="AH14" s="0" t="n">
        <f aca="false">SUMIFS(C$2:C$1500,C$2:C$1500, "&gt;=0",AB$2:AB$1500, "&lt;195",AB$2:AB$1500,"&gt;=180")</f>
        <v>104.4</v>
      </c>
      <c r="AJ14" s="1" t="s">
        <v>79</v>
      </c>
      <c r="AK14" s="0" t="n">
        <f aca="false">SUMIF($J$2:$J$2000,"&lt;90",$C$2:$C$2000)-SUM($AK$2:$AK$13)</f>
        <v>3.59999999999991</v>
      </c>
    </row>
    <row r="15" customFormat="false" ht="15.8" hidden="false" customHeight="false" outlineLevel="0" collapsed="false">
      <c r="A15" s="1" t="n">
        <v>1</v>
      </c>
      <c r="B15" s="1" t="n">
        <v>4</v>
      </c>
      <c r="C15" s="1" t="n">
        <v>10.3</v>
      </c>
      <c r="D15" s="1" t="n">
        <v>1.1821</v>
      </c>
      <c r="E15" s="1" t="n">
        <v>0.650118</v>
      </c>
      <c r="F15" s="1" t="n">
        <v>0.00325059</v>
      </c>
      <c r="G15" s="1" t="s">
        <v>47</v>
      </c>
      <c r="H15" s="1" t="n">
        <v>10.5</v>
      </c>
      <c r="I15" s="1" t="n">
        <v>197.4</v>
      </c>
      <c r="J15" s="1" t="n">
        <v>14.7</v>
      </c>
      <c r="K15" s="1" t="n">
        <v>112.1</v>
      </c>
      <c r="L15" s="1" t="n">
        <v>0</v>
      </c>
      <c r="M15" s="1" t="n">
        <v>0</v>
      </c>
      <c r="N15" s="1" t="s">
        <v>33</v>
      </c>
      <c r="O15" s="1" t="n">
        <v>195</v>
      </c>
      <c r="P15" s="1" t="n">
        <f aca="false">COUNTIF(I$2:I$1500,"&lt;210")-SUM(P2:P14)</f>
        <v>27</v>
      </c>
      <c r="R15" s="1"/>
      <c r="S15" s="2" t="s">
        <v>82</v>
      </c>
      <c r="T15" s="1" t="n">
        <f aca="false">COUNTIFS(J$2:J$1500, "&gt;-75",I$2:I$1500, "&gt;=180")-SUM(T16:T25)</f>
        <v>10</v>
      </c>
      <c r="U15" s="1" t="n">
        <v>195</v>
      </c>
      <c r="V15" s="0" t="n">
        <f aca="false">SUMIFS(C$2:C$1500,C$2:C$1500, "&gt;=0",I$2:I$1500, "&lt;210",I$2:I$1500,"&gt;=195")</f>
        <v>79</v>
      </c>
      <c r="W15" s="2" t="s">
        <v>83</v>
      </c>
      <c r="X15" s="0" t="n">
        <f aca="false">SUMIFS(C$2:C$1500,C$2:C$1500, "&gt;=0",J$2:J$1500, "&lt;75",J$2:J$1500,"&gt;=60",I$2:I$1500,"&gt;=180")</f>
        <v>6.5</v>
      </c>
      <c r="Z15" s="0" t="n">
        <f aca="false">I15-28</f>
        <v>169.4</v>
      </c>
      <c r="AB15" s="0" t="n">
        <f aca="false">IF(Z15&lt;0,Z15+360,Z15+0)</f>
        <v>169.4</v>
      </c>
      <c r="AD15" s="1" t="n">
        <v>195</v>
      </c>
      <c r="AE15" s="1" t="n">
        <f aca="false">COUNTIF(AB$2:AB$1500,"&lt;210")-SUM(AE2:AE14)</f>
        <v>18</v>
      </c>
      <c r="AF15" s="1"/>
      <c r="AG15" s="1" t="n">
        <v>195</v>
      </c>
      <c r="AH15" s="0" t="n">
        <f aca="false">SUMIFS(C$2:C$1500,C$2:C$1500, "&gt;=0",AB$2:AB$1500, "&lt;210",AB$2:AB$1500,"&gt;=195")</f>
        <v>74.4</v>
      </c>
    </row>
    <row r="16" customFormat="false" ht="15.8" hidden="false" customHeight="false" outlineLevel="0" collapsed="false">
      <c r="A16" s="1" t="n">
        <v>1</v>
      </c>
      <c r="B16" s="1" t="n">
        <v>3</v>
      </c>
      <c r="C16" s="1" t="n">
        <v>2.6</v>
      </c>
      <c r="D16" s="1" t="n">
        <v>1.1057</v>
      </c>
      <c r="E16" s="1" t="n">
        <v>0.162771</v>
      </c>
      <c r="F16" s="1" t="n">
        <v>0.000813853</v>
      </c>
      <c r="G16" s="1" t="s">
        <v>47</v>
      </c>
      <c r="H16" s="1" t="n">
        <v>38.4</v>
      </c>
      <c r="I16" s="1" t="n">
        <v>207.6</v>
      </c>
      <c r="J16" s="1" t="n">
        <v>18.4</v>
      </c>
      <c r="K16" s="1" t="n">
        <v>132.1</v>
      </c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29</v>
      </c>
      <c r="S16" s="2" t="s">
        <v>85</v>
      </c>
      <c r="T16" s="1" t="n">
        <f aca="false">COUNTIFS(J$2:J$1500, "&gt;-60",I$2:I$1500, "&gt;=180")-SUM(T17:T25)</f>
        <v>11</v>
      </c>
      <c r="U16" s="1" t="n">
        <v>210</v>
      </c>
      <c r="V16" s="0" t="n">
        <f aca="false">SUMIFS(C$2:C$1500,C$2:C$1500, "&gt;=0",I$2:I$1500, "&lt;225",I$2:I$1500,"&gt;=210")</f>
        <v>112</v>
      </c>
      <c r="W16" s="2" t="s">
        <v>86</v>
      </c>
      <c r="X16" s="0" t="n">
        <f aca="false">SUMIFS(C$2:C$1500,C$2:C$1500, "&gt;=0",J$2:J$1500, "&lt;60",J$2:J$1500,"&gt;=45",I$2:I$1500,"&gt;=180")</f>
        <v>33.7</v>
      </c>
      <c r="Z16" s="0" t="n">
        <f aca="false">I16-28</f>
        <v>179.6</v>
      </c>
      <c r="AB16" s="0" t="n">
        <f aca="false">IF(Z16&lt;0,Z16+360,Z16+0)</f>
        <v>179.6</v>
      </c>
      <c r="AD16" s="1" t="n">
        <v>210</v>
      </c>
      <c r="AE16" s="1" t="n">
        <f aca="false">COUNTIF(AB$2:AB$1500,"&lt;225")-SUM(AE2:AE15)</f>
        <v>10</v>
      </c>
      <c r="AF16" s="1"/>
      <c r="AG16" s="1" t="n">
        <v>210</v>
      </c>
      <c r="AH16" s="0" t="n">
        <f aca="false">SUMIFS(C$2:C$1500,C$2:C$1500, "&gt;=0",AB$2:AB$1500, "&lt;225",AB$2:AB$1500,"&gt;=210")</f>
        <v>52.7</v>
      </c>
    </row>
    <row r="17" customFormat="false" ht="15.8" hidden="false" customHeight="false" outlineLevel="0" collapsed="false">
      <c r="A17" s="1" t="n">
        <v>1</v>
      </c>
      <c r="B17" s="1" t="n">
        <v>3</v>
      </c>
      <c r="C17" s="1" t="n">
        <v>2.2</v>
      </c>
      <c r="D17" s="1" t="n">
        <v>1.0175</v>
      </c>
      <c r="E17" s="1" t="n">
        <v>0.137476</v>
      </c>
      <c r="F17" s="1" t="n">
        <v>0.000687378</v>
      </c>
      <c r="G17" s="1" t="s">
        <v>27</v>
      </c>
      <c r="H17" s="1" t="n">
        <v>46.5</v>
      </c>
      <c r="I17" s="1" t="n">
        <v>136.5</v>
      </c>
      <c r="J17" s="1" t="n">
        <v>0</v>
      </c>
      <c r="K17" s="1"/>
      <c r="L17" s="1" t="n">
        <v>0</v>
      </c>
      <c r="M17" s="1" t="n">
        <v>0</v>
      </c>
      <c r="N17" s="1" t="s">
        <v>84</v>
      </c>
      <c r="O17" s="1" t="n">
        <v>225</v>
      </c>
      <c r="P17" s="1" t="n">
        <f aca="false">COUNTIF(I$2:I$1500,"&lt;240")-SUM(P2:P16)</f>
        <v>16</v>
      </c>
      <c r="S17" s="2" t="s">
        <v>87</v>
      </c>
      <c r="T17" s="1" t="n">
        <f aca="false">COUNTIFS(J$2:J$1500, "&gt;-45",I$2:I$1500, "&gt;=180")-SUM(T18:T25)</f>
        <v>27</v>
      </c>
      <c r="U17" s="1" t="n">
        <v>225</v>
      </c>
      <c r="V17" s="0" t="n">
        <f aca="false">SUMIFS(C$2:C$1500,C$2:C$1500, "&gt;=0",I$2:I$1500, "&lt;240",I$2:I$1500,"&gt;=225")</f>
        <v>73.6</v>
      </c>
      <c r="W17" s="2" t="s">
        <v>88</v>
      </c>
      <c r="X17" s="0" t="n">
        <f aca="false">SUMIFS(C$2:C$1500,C$2:C$1500, "&gt;=0",J$2:J$1500, "&lt;45",J$2:J$1500,"&gt;=30",I$2:I$1500,"&gt;=180")</f>
        <v>55.6</v>
      </c>
      <c r="Z17" s="0" t="n">
        <f aca="false">I17-28</f>
        <v>108.5</v>
      </c>
      <c r="AB17" s="0" t="n">
        <f aca="false">IF(Z17&lt;0,Z17+360,Z17+0)</f>
        <v>108.5</v>
      </c>
      <c r="AD17" s="1" t="n">
        <v>225</v>
      </c>
      <c r="AE17" s="1" t="n">
        <f aca="false">COUNTIF(AB$11:AB$1500,"&lt;240")-SUM(AE2:AE16)</f>
        <v>11</v>
      </c>
      <c r="AF17" s="1"/>
      <c r="AG17" s="1" t="n">
        <v>225</v>
      </c>
      <c r="AH17" s="0" t="n">
        <f aca="false">SUMIFS(C$2:C$1500,C$2:C$1500, "&gt;=0",AB$2:AB$1500, "&lt;240",AB$2:AB$1500,"&gt;=225")</f>
        <v>31.7</v>
      </c>
    </row>
    <row r="18" customFormat="false" ht="15.8" hidden="false" customHeight="false" outlineLevel="0" collapsed="false">
      <c r="A18" s="1" t="n">
        <v>1</v>
      </c>
      <c r="B18" s="1" t="n">
        <v>2</v>
      </c>
      <c r="C18" s="1" t="n">
        <v>1.5</v>
      </c>
      <c r="D18" s="1" t="n">
        <v>1.0533</v>
      </c>
      <c r="E18" s="1" t="n">
        <v>0.0942952</v>
      </c>
      <c r="F18" s="1" t="n">
        <v>0.000471476</v>
      </c>
      <c r="G18" s="1" t="s">
        <v>47</v>
      </c>
      <c r="H18" s="1" t="n">
        <v>30.2</v>
      </c>
      <c r="I18" s="1" t="n">
        <v>182</v>
      </c>
      <c r="J18" s="1" t="n">
        <v>-10.5</v>
      </c>
      <c r="K18" s="1" t="n">
        <v>46.5</v>
      </c>
      <c r="L18" s="1" t="n">
        <v>0</v>
      </c>
      <c r="M18" s="1" t="n">
        <v>0</v>
      </c>
      <c r="N18" s="1" t="s">
        <v>28</v>
      </c>
      <c r="O18" s="1" t="n">
        <v>240</v>
      </c>
      <c r="P18" s="1" t="n">
        <f aca="false">COUNTIF(I$2:I$1500,"&lt;255")-SUM(P2:P17)</f>
        <v>15</v>
      </c>
      <c r="S18" s="2" t="s">
        <v>89</v>
      </c>
      <c r="T18" s="1" t="n">
        <f aca="false">COUNTIFS(J$2:J$1500, "&gt;-30",I$2:I$1500, "&gt;=180")-SUM(T19:T25)</f>
        <v>35</v>
      </c>
      <c r="U18" s="1" t="n">
        <v>240</v>
      </c>
      <c r="V18" s="0" t="n">
        <f aca="false">SUMIFS(C$2:C$1500,C$2:C$1500, "&gt;=0",I$2:I$1500, "&lt;255",I$2:I$1500,"&gt;=240")</f>
        <v>54.5</v>
      </c>
      <c r="W18" s="2" t="s">
        <v>90</v>
      </c>
      <c r="X18" s="0" t="n">
        <f aca="false">SUMIFS(C$2:C$1500,C$2:C$1500, "&gt;=0",J$2:J$1500, "&lt;30",J$2:J$1500,"&gt;=15",I$2:I$1500,"&gt;=180")</f>
        <v>96.9</v>
      </c>
      <c r="Z18" s="0" t="n">
        <f aca="false">I18-28</f>
        <v>154</v>
      </c>
      <c r="AB18" s="0" t="n">
        <f aca="false">IF(Z18&lt;0,Z18+360,Z18+0)</f>
        <v>154</v>
      </c>
      <c r="AD18" s="1" t="n">
        <v>240</v>
      </c>
      <c r="AE18" s="1" t="n">
        <f aca="false">COUNTIF(AB$2:AB$1500,"&lt;255")-SUM(AE2:AE17)</f>
        <v>21</v>
      </c>
      <c r="AF18" s="1"/>
      <c r="AG18" s="1" t="n">
        <v>240</v>
      </c>
      <c r="AH18" s="0" t="n">
        <f aca="false">SUMIFS(C$2:C$1500,C$2:C$1500, "&gt;=0",AB$2:AB$1500, "&lt;255",AB$2:AB$1500,"&gt;=240")</f>
        <v>43.1</v>
      </c>
    </row>
    <row r="19" customFormat="false" ht="15.8" hidden="false" customHeight="false" outlineLevel="0" collapsed="false">
      <c r="A19" s="1" t="n">
        <v>1</v>
      </c>
      <c r="B19" s="1" t="n">
        <v>2</v>
      </c>
      <c r="C19" s="1" t="n">
        <v>2.6</v>
      </c>
      <c r="D19" s="1" t="n">
        <v>1.2489</v>
      </c>
      <c r="E19" s="1" t="n">
        <v>0.165026</v>
      </c>
      <c r="F19" s="1" t="n">
        <v>0.000825131</v>
      </c>
      <c r="G19" s="1" t="s">
        <v>27</v>
      </c>
      <c r="H19" s="1" t="n">
        <v>29.2</v>
      </c>
      <c r="I19" s="1" t="n">
        <v>203.2</v>
      </c>
      <c r="J19" s="1" t="n">
        <v>-28.4</v>
      </c>
      <c r="K19" s="1"/>
      <c r="L19" s="1" t="n">
        <v>0</v>
      </c>
      <c r="M19" s="1" t="n">
        <v>0</v>
      </c>
      <c r="N19" s="1" t="s">
        <v>28</v>
      </c>
      <c r="O19" s="1" t="n">
        <v>255</v>
      </c>
      <c r="P19" s="1" t="n">
        <f aca="false">COUNTIF(I$2:I$1500,"&lt;270")-SUM(P2:P18)</f>
        <v>11</v>
      </c>
      <c r="S19" s="2" t="s">
        <v>91</v>
      </c>
      <c r="T19" s="1" t="n">
        <f aca="false">COUNTIFS(J$2:J$1500, "&gt;-15",I$2:I$1500, "&gt;=180")-SUM(T20:T25)</f>
        <v>66</v>
      </c>
      <c r="U19" s="1" t="n">
        <v>255</v>
      </c>
      <c r="V19" s="0" t="n">
        <f aca="false">SUMIFS(C$2:C$1500,C$2:C$1500, "&gt;=0",I$2:I$1500, "&lt;270",I$2:I$1500,"&gt;=255")</f>
        <v>20.9</v>
      </c>
      <c r="W19" s="2" t="s">
        <v>92</v>
      </c>
      <c r="X19" s="0" t="n">
        <f aca="false">SUMIFS(C$2:C$1500,C$2:C$1500, "&gt;=0",J$2:J$1500, "&lt;15",J$2:J$1500,"&gt;=0",I$2:I$1500,"&gt;=180")</f>
        <v>163.3</v>
      </c>
      <c r="Z19" s="0" t="n">
        <f aca="false">I19-28</f>
        <v>175.2</v>
      </c>
      <c r="AB19" s="0" t="n">
        <f aca="false">IF(Z19&lt;0,Z19+360,Z19+0)</f>
        <v>175.2</v>
      </c>
      <c r="AD19" s="1" t="n">
        <v>255</v>
      </c>
      <c r="AE19" s="1" t="n">
        <f aca="false">COUNTIF(AB$2:AB$1500,"&lt;270")-SUM(AE2:AE18)</f>
        <v>14</v>
      </c>
      <c r="AF19" s="1"/>
      <c r="AG19" s="1" t="n">
        <v>255</v>
      </c>
      <c r="AH19" s="0" t="n">
        <f aca="false">SUMIFS(C$2:C$1500,C$2:C$1500, "&gt;=0",AB$2:AB$1500, "&lt;270",AB$2:AB$1500,"&gt;=255")</f>
        <v>40.1</v>
      </c>
    </row>
    <row r="20" customFormat="false" ht="15.8" hidden="false" customHeight="false" outlineLevel="0" collapsed="false">
      <c r="A20" s="1" t="n">
        <v>1</v>
      </c>
      <c r="B20" s="1" t="n">
        <v>1</v>
      </c>
      <c r="C20" s="1" t="n">
        <v>0.6</v>
      </c>
      <c r="D20" s="1" t="n">
        <v>1</v>
      </c>
      <c r="E20" s="1" t="n">
        <v>0.0371767</v>
      </c>
      <c r="F20" s="1" t="n">
        <v>0.000185884</v>
      </c>
      <c r="G20" s="1" t="s">
        <v>47</v>
      </c>
      <c r="H20" s="1"/>
      <c r="I20" s="1" t="n">
        <v>210.5</v>
      </c>
      <c r="J20" s="1" t="n">
        <v>0</v>
      </c>
      <c r="K20" s="1" t="n">
        <v>68.5</v>
      </c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20</v>
      </c>
      <c r="S20" s="2" t="s">
        <v>94</v>
      </c>
      <c r="T20" s="1" t="n">
        <f aca="false">COUNTIFS(J$2:J$1500, "&gt;0",I$2:I$1500, "&gt;=180")-SUM(T21:T25)</f>
        <v>18</v>
      </c>
      <c r="U20" s="1" t="n">
        <v>270</v>
      </c>
      <c r="V20" s="0" t="n">
        <f aca="false">SUMIFS(C$2:C$1500,C$2:C$1500, "&gt;=0",I$2:I$1500, "&lt;285",I$2:I$1500,"&gt;=270")</f>
        <v>53.2</v>
      </c>
      <c r="W20" s="2" t="s">
        <v>95</v>
      </c>
      <c r="X20" s="0" t="n">
        <f aca="false">SUMIFS(C$2:C$1500,C$2:C$1500, "&gt;=0",J$2:J$1500, "&lt;0",J$2:J$1500,"&gt;=-15",I$2:I$1500,"&gt;=180")</f>
        <v>71.4</v>
      </c>
      <c r="Z20" s="0" t="n">
        <f aca="false">I20-28</f>
        <v>182.5</v>
      </c>
      <c r="AB20" s="0" t="n">
        <f aca="false">IF(Z20&lt;0,Z20+360,Z20+0)</f>
        <v>182.5</v>
      </c>
      <c r="AD20" s="1" t="n">
        <v>270</v>
      </c>
      <c r="AE20" s="1" t="n">
        <f aca="false">COUNTIF(AB$2:AB$1500,"&lt;285")-SUM(AE2:AE19)</f>
        <v>16</v>
      </c>
      <c r="AF20" s="1"/>
      <c r="AG20" s="1" t="n">
        <v>270</v>
      </c>
      <c r="AH20" s="0" t="n">
        <f aca="false">SUMIFS(C$2:C$1500,C$2:C$1500, "&gt;=0",AB$2:AB$1500, "&lt;285",AB$2:AB$1500,"&gt;=270")</f>
        <v>40.5</v>
      </c>
    </row>
    <row r="21" customFormat="false" ht="15.8" hidden="false" customHeight="false" outlineLevel="0" collapsed="false">
      <c r="A21" s="1" t="n">
        <v>2</v>
      </c>
      <c r="B21" s="1" t="n">
        <v>3</v>
      </c>
      <c r="C21" s="1" t="n">
        <v>1.8</v>
      </c>
      <c r="D21" s="1" t="n">
        <v>1.2475</v>
      </c>
      <c r="E21" s="1" t="n">
        <v>0.110381</v>
      </c>
      <c r="F21" s="1" t="n">
        <v>0.000551903</v>
      </c>
      <c r="G21" s="1" t="s">
        <v>27</v>
      </c>
      <c r="H21" s="1" t="n">
        <v>56</v>
      </c>
      <c r="I21" s="1" t="n">
        <v>75.5</v>
      </c>
      <c r="J21" s="1" t="n">
        <v>31.7</v>
      </c>
      <c r="K21" s="1"/>
      <c r="L21" s="1" t="n">
        <v>0</v>
      </c>
      <c r="M21" s="1" t="n">
        <v>0</v>
      </c>
      <c r="N21" s="1" t="s">
        <v>96</v>
      </c>
      <c r="O21" s="1" t="n">
        <v>285</v>
      </c>
      <c r="P21" s="1" t="n">
        <f aca="false">COUNTIF(I$2:I$1500,"&lt;300")-SUM(P2:P20)</f>
        <v>13</v>
      </c>
      <c r="S21" s="2" t="s">
        <v>97</v>
      </c>
      <c r="T21" s="1" t="n">
        <f aca="false">COUNTIFS(J$2:J$1500, "&gt;15",I$2:I$1500, "&gt;=180")-SUM(T22:T25)</f>
        <v>29</v>
      </c>
      <c r="U21" s="1" t="n">
        <v>285</v>
      </c>
      <c r="V21" s="0" t="n">
        <f aca="false">SUMIFS(C$2:C$1500,C$2:C$1500, "&gt;=0",I$2:I$1500, "&lt;300",I$2:I$1500,"&gt;=285")</f>
        <v>35.4</v>
      </c>
      <c r="W21" s="2" t="s">
        <v>98</v>
      </c>
      <c r="X21" s="0" t="n">
        <f aca="false">SUMIFS(C$2:C$1500,C$2:C$1500, "&gt;=0",J$2:J$1500, "&lt;-15",J$2:J$1500,"&gt;=-30",I$2:I$1500,"&gt;=180")</f>
        <v>109.4</v>
      </c>
      <c r="Z21" s="0" t="n">
        <f aca="false">I21-28</f>
        <v>47.5</v>
      </c>
      <c r="AB21" s="0" t="n">
        <f aca="false">IF(Z21&lt;0,Z21+360,Z21+0)</f>
        <v>47.5</v>
      </c>
      <c r="AD21" s="1" t="n">
        <v>285</v>
      </c>
      <c r="AE21" s="1" t="n">
        <f aca="false">COUNTIF(AB$2:AB$1500,"&lt;300")-SUM(AE2:AE20)</f>
        <v>20</v>
      </c>
      <c r="AF21" s="1"/>
      <c r="AG21" s="1" t="n">
        <v>285</v>
      </c>
      <c r="AH21" s="0" t="n">
        <f aca="false">SUMIFS(C$2:C$1500,C$2:C$1500, "&gt;=0",AB$2:AB$1500, "&lt;300",AB$2:AB$1500,"&gt;=285")</f>
        <v>46.7</v>
      </c>
    </row>
    <row r="22" customFormat="false" ht="15.8" hidden="false" customHeight="false" outlineLevel="0" collapsed="false">
      <c r="A22" s="1" t="n">
        <v>2</v>
      </c>
      <c r="B22" s="1" t="n">
        <v>3</v>
      </c>
      <c r="C22" s="1" t="n">
        <v>0.6</v>
      </c>
      <c r="D22" s="1" t="n">
        <v>1</v>
      </c>
      <c r="E22" s="1" t="n">
        <v>0.0363184</v>
      </c>
      <c r="F22" s="1" t="n">
        <v>0.000181592</v>
      </c>
      <c r="G22" s="1" t="s">
        <v>27</v>
      </c>
      <c r="H22" s="1" t="n">
        <v>53.7</v>
      </c>
      <c r="I22" s="1" t="n">
        <v>322.7</v>
      </c>
      <c r="J22" s="1" t="n">
        <v>0</v>
      </c>
      <c r="K22" s="1"/>
      <c r="L22" s="1" t="n">
        <v>0</v>
      </c>
      <c r="M22" s="1" t="n">
        <v>0</v>
      </c>
      <c r="N22" s="1" t="s">
        <v>96</v>
      </c>
      <c r="O22" s="1" t="n">
        <v>300</v>
      </c>
      <c r="P22" s="1" t="n">
        <f aca="false">COUNTIF(I$2:I$1500,"&lt;315")-SUM(P2:P21)</f>
        <v>14</v>
      </c>
      <c r="S22" s="2" t="s">
        <v>99</v>
      </c>
      <c r="T22" s="1" t="n">
        <f aca="false">COUNTIFS(J$2:J$1500, "&gt;30",I$2:I$1500, "&gt;=180")-SUM(T23:T25)</f>
        <v>16</v>
      </c>
      <c r="U22" s="1" t="n">
        <v>300</v>
      </c>
      <c r="V22" s="0" t="n">
        <f aca="false">SUMIFS(C$2:C$1500,C$2:C$1500, "&gt;=0",I$2:I$1500, "&lt;315",I$2:I$1500,"&gt;=300")</f>
        <v>38.7</v>
      </c>
      <c r="W22" s="2" t="s">
        <v>100</v>
      </c>
      <c r="X22" s="0" t="n">
        <f aca="false">SUMIFS(C$2:C$1500,C$2:C$1500, "&gt;=0",J$2:J$1500, "&lt;-30",J$2:J$1500,"&gt;=-45",I$2:I$1500,"&gt;=180")</f>
        <v>113.9</v>
      </c>
      <c r="Z22" s="0" t="n">
        <f aca="false">I22-28</f>
        <v>294.7</v>
      </c>
      <c r="AB22" s="0" t="n">
        <f aca="false">IF(Z22&lt;0,Z22+360,Z22+0)</f>
        <v>294.7</v>
      </c>
      <c r="AD22" s="1" t="n">
        <v>300</v>
      </c>
      <c r="AE22" s="1" t="n">
        <f aca="false">COUNTIF(AB$2:AB$1500,"&lt;315")-SUM(AE2:AE21)</f>
        <v>20</v>
      </c>
      <c r="AF22" s="1"/>
      <c r="AG22" s="1" t="n">
        <v>300</v>
      </c>
      <c r="AH22" s="0" t="n">
        <f aca="false">SUMIFS(C$2:C$1500,C$2:C$1500, "&gt;=0",AB$2:AB$1500, "&lt;315",AB$2:AB$1500,"&gt;=300")</f>
        <v>53.7</v>
      </c>
    </row>
    <row r="23" customFormat="false" ht="15.8" hidden="false" customHeight="false" outlineLevel="0" collapsed="false">
      <c r="A23" s="1" t="n">
        <v>2</v>
      </c>
      <c r="B23" s="1" t="n">
        <v>2</v>
      </c>
      <c r="C23" s="1" t="n">
        <v>1.5</v>
      </c>
      <c r="D23" s="1" t="n">
        <v>1.1081</v>
      </c>
      <c r="E23" s="1" t="n">
        <v>0.0965266</v>
      </c>
      <c r="F23" s="1" t="n">
        <v>0.000482633</v>
      </c>
      <c r="G23" s="1" t="s">
        <v>47</v>
      </c>
      <c r="H23" s="1" t="n">
        <v>32.7</v>
      </c>
      <c r="I23" s="1" t="n">
        <v>8.3</v>
      </c>
      <c r="J23" s="1" t="n">
        <v>32.3</v>
      </c>
      <c r="K23" s="1" t="n">
        <v>56</v>
      </c>
      <c r="L23" s="1" t="n">
        <v>0</v>
      </c>
      <c r="M23" s="1" t="n">
        <v>0</v>
      </c>
      <c r="N23" s="1" t="s">
        <v>101</v>
      </c>
      <c r="O23" s="1" t="n">
        <v>315</v>
      </c>
      <c r="P23" s="1" t="n">
        <f aca="false">COUNTIF(I$2:I$1500,"&lt;330")-SUM(P2:P22)</f>
        <v>20</v>
      </c>
      <c r="S23" s="2" t="s">
        <v>102</v>
      </c>
      <c r="T23" s="1" t="n">
        <f aca="false">COUNTIFS(J$2:J$1500, "&gt;45",I$2:I$1500, "&gt;=180")-SUM(T24:T25)</f>
        <v>14</v>
      </c>
      <c r="U23" s="1" t="n">
        <v>315</v>
      </c>
      <c r="V23" s="0" t="n">
        <f aca="false">SUMIFS(C$2:C$1500,C$2:C$1500, "&gt;=0",I$2:I$1500, "&lt;330",I$2:I$1500,"&gt;=315")</f>
        <v>48.2</v>
      </c>
      <c r="W23" s="2" t="s">
        <v>103</v>
      </c>
      <c r="X23" s="0" t="n">
        <f aca="false">SUMIFS(C$2:C$1500,C$2:C$1500, "&gt;=0",J$2:J$1500, "&lt;-45",J$2:J$1500,"&gt;=-60",I$2:I$1500,"&gt;=180")</f>
        <v>45.9</v>
      </c>
      <c r="Z23" s="0" t="n">
        <f aca="false">I23-28</f>
        <v>-19.7</v>
      </c>
      <c r="AB23" s="0" t="n">
        <f aca="false">IF(Z23&lt;0,Z23+360,Z23+0)</f>
        <v>340.3</v>
      </c>
      <c r="AD23" s="1" t="n">
        <v>315</v>
      </c>
      <c r="AE23" s="1" t="n">
        <f aca="false">COUNTIF(AB$2:AB$1500,"&lt;330")-SUM(AE2:AE22)</f>
        <v>18</v>
      </c>
      <c r="AF23" s="1"/>
      <c r="AG23" s="1" t="n">
        <v>315</v>
      </c>
      <c r="AH23" s="0" t="n">
        <f aca="false">SUMIFS(C$2:C$1500,C$2:C$1500, "&gt;=0",AB$2:AB$1500, "&lt;330",AB$2:AB$1500,"&gt;=315")</f>
        <v>55.8</v>
      </c>
    </row>
    <row r="24" customFormat="false" ht="15.8" hidden="false" customHeight="false" outlineLevel="0" collapsed="false">
      <c r="A24" s="1" t="n">
        <v>2</v>
      </c>
      <c r="B24" s="1" t="n">
        <v>2</v>
      </c>
      <c r="C24" s="1" t="n">
        <v>1</v>
      </c>
      <c r="D24" s="1" t="n">
        <v>1.068</v>
      </c>
      <c r="E24" s="1" t="n">
        <v>0.0599286</v>
      </c>
      <c r="F24" s="1" t="n">
        <v>0.000299643</v>
      </c>
      <c r="G24" s="1" t="s">
        <v>27</v>
      </c>
      <c r="H24" s="1" t="n">
        <v>48.2</v>
      </c>
      <c r="I24" s="1" t="n">
        <v>326</v>
      </c>
      <c r="J24" s="1" t="n">
        <v>0</v>
      </c>
      <c r="K24" s="1"/>
      <c r="L24" s="1" t="n">
        <v>0</v>
      </c>
      <c r="M24" s="1" t="n">
        <v>0</v>
      </c>
      <c r="N24" s="1" t="s">
        <v>101</v>
      </c>
      <c r="O24" s="1" t="n">
        <v>330</v>
      </c>
      <c r="P24" s="1" t="n">
        <f aca="false">COUNTIF(I$2:I$1500,"&lt;345")-SUM(P2:P23)</f>
        <v>22</v>
      </c>
      <c r="S24" s="2" t="s">
        <v>104</v>
      </c>
      <c r="T24" s="1" t="n">
        <f aca="false">COUNTIFS(J$2:J$1500, "&gt;60",I$2:I$1500, "&gt;=180")-T25</f>
        <v>4</v>
      </c>
      <c r="U24" s="1" t="n">
        <v>330</v>
      </c>
      <c r="V24" s="0" t="n">
        <f aca="false">SUMIFS(C$2:C$1500,C$2:C$1500, "&gt;=0",I$2:I$1500, "&lt;345",I$2:I$1500,"&gt;=330")</f>
        <v>59.1</v>
      </c>
      <c r="W24" s="2" t="s">
        <v>105</v>
      </c>
      <c r="X24" s="0" t="n">
        <f aca="false">SUMIFS(C$2:C$1500,C$2:C$1500, "&gt;=0",J$2:J$1500, "&lt;-60",J$2:J$1500,"&gt;=-75",I$2:I$1500,"&gt;=180")</f>
        <v>40.9</v>
      </c>
      <c r="Z24" s="0" t="n">
        <f aca="false">I24-28</f>
        <v>298</v>
      </c>
      <c r="AB24" s="0" t="n">
        <f aca="false">IF(Z24&lt;0,Z24+360,Z24+0)</f>
        <v>298</v>
      </c>
      <c r="AD24" s="1" t="n">
        <v>330</v>
      </c>
      <c r="AE24" s="1" t="n">
        <f aca="false">COUNTIF(AB$2:AB$1500,"&lt;345")-SUM(AE2:AE23)</f>
        <v>35</v>
      </c>
      <c r="AF24" s="1"/>
      <c r="AG24" s="1" t="n">
        <v>330</v>
      </c>
      <c r="AH24" s="0" t="n">
        <f aca="false">SUMIFS(C$2:C$1500,C$2:C$1500, "&gt;=0",AB$2:AB$1500, "&lt;345",AB$2:AB$1500,"&gt;=330")</f>
        <v>131.7</v>
      </c>
    </row>
    <row r="25" customFormat="false" ht="15.8" hidden="false" customHeight="false" outlineLevel="0" collapsed="false">
      <c r="A25" s="1" t="n">
        <v>2</v>
      </c>
      <c r="B25" s="1" t="n">
        <v>1</v>
      </c>
      <c r="C25" s="1" t="n">
        <v>1.8</v>
      </c>
      <c r="D25" s="1" t="n">
        <v>1.0038</v>
      </c>
      <c r="E25" s="1" t="n">
        <v>0.1138</v>
      </c>
      <c r="F25" s="1" t="n">
        <v>0.000569</v>
      </c>
      <c r="G25" s="1" t="s">
        <v>47</v>
      </c>
      <c r="H25" s="1"/>
      <c r="I25" s="1" t="n">
        <v>14.1</v>
      </c>
      <c r="J25" s="1" t="n">
        <v>0</v>
      </c>
      <c r="K25" s="1" t="n">
        <v>48.2</v>
      </c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18</v>
      </c>
      <c r="S25" s="2" t="s">
        <v>107</v>
      </c>
      <c r="T25" s="1" t="n">
        <f aca="false">COUNTIFS(J$2:J$1500, "&gt;75",I$2:I$1500, "&gt;=180")</f>
        <v>3</v>
      </c>
      <c r="U25" s="1" t="n">
        <v>345</v>
      </c>
      <c r="V25" s="0" t="n">
        <f aca="false">SUMIFS(C$2:C$1500,C$2:C$1500, "&gt;=0",I$2:I$1500, "&lt;=360",I$2:I$1500,"&gt;=345")</f>
        <v>60.8</v>
      </c>
      <c r="W25" s="2" t="s">
        <v>108</v>
      </c>
      <c r="X25" s="0" t="n">
        <f aca="false">SUMIFS(C$2:C$1500,C$2:C$1500, "&gt;=0",J$2:J$1500, "&lt;-75",J$2:J$1500,"&gt;=-90",I$2:I$1500,"&gt;=180")</f>
        <v>0</v>
      </c>
      <c r="Z25" s="0" t="n">
        <f aca="false">I25-28</f>
        <v>-13.9</v>
      </c>
      <c r="AB25" s="0" t="n">
        <f aca="false">IF(Z25&lt;0,Z25+360,Z25+0)</f>
        <v>346.1</v>
      </c>
      <c r="AD25" s="1" t="n">
        <v>345</v>
      </c>
      <c r="AE25" s="1" t="n">
        <f aca="false">COUNTIF(AB$2:AB$1500,"&lt;=360")-SUM(AE2:AE24)</f>
        <v>26</v>
      </c>
      <c r="AF25" s="1"/>
      <c r="AG25" s="1" t="n">
        <v>345</v>
      </c>
      <c r="AH25" s="0" t="n">
        <f aca="false">SUMIFS(C$2:C$1500,C$2:C$1500, "&gt;=0",AB$2:AB$1500, "&lt;=360",AB$2:AB$1500,"&gt;=345")</f>
        <v>77.8</v>
      </c>
    </row>
    <row r="26" customFormat="false" ht="15.8" hidden="false" customHeight="false" outlineLevel="0" collapsed="false">
      <c r="A26" s="1" t="n">
        <v>3</v>
      </c>
      <c r="B26" s="1" t="n">
        <v>2</v>
      </c>
      <c r="C26" s="1" t="n">
        <v>0.9</v>
      </c>
      <c r="D26" s="1" t="n">
        <v>1.0354</v>
      </c>
      <c r="E26" s="1" t="n">
        <v>0.029876</v>
      </c>
      <c r="F26" s="1" t="n">
        <v>8.15175E-005</v>
      </c>
      <c r="G26" s="1" t="s">
        <v>27</v>
      </c>
      <c r="H26" s="1" t="n">
        <v>39</v>
      </c>
      <c r="I26" s="1" t="n">
        <v>123.9</v>
      </c>
      <c r="J26" s="1" t="n">
        <v>0</v>
      </c>
      <c r="K26" s="1"/>
      <c r="L26" s="1" t="n">
        <v>0</v>
      </c>
      <c r="M26" s="1" t="n">
        <v>0</v>
      </c>
      <c r="N26" s="1" t="s">
        <v>109</v>
      </c>
      <c r="O26" s="1" t="s">
        <v>110</v>
      </c>
      <c r="P26" s="1" t="n">
        <f aca="false">SUM(P2:P25)</f>
        <v>473</v>
      </c>
      <c r="R26" s="1" t="n">
        <f aca="false">SUM(R2:R14)</f>
        <v>473</v>
      </c>
      <c r="S26" s="2"/>
      <c r="T26" s="1" t="n">
        <f aca="false">SUM(T2:T25)</f>
        <v>473</v>
      </c>
      <c r="U26" s="1" t="s">
        <v>110</v>
      </c>
      <c r="V26" s="0" t="n">
        <f aca="false">SUM(V2:V25)</f>
        <v>1461.9</v>
      </c>
      <c r="X26" s="0" t="n">
        <f aca="false">SUM(X2:X25)</f>
        <v>1461.9</v>
      </c>
      <c r="Z26" s="0" t="n">
        <f aca="false">I26-28</f>
        <v>95.9</v>
      </c>
      <c r="AB26" s="0" t="n">
        <f aca="false">IF(Z26&lt;0,Z26+360,Z26+0)</f>
        <v>95.9</v>
      </c>
      <c r="AD26" s="1" t="s">
        <v>110</v>
      </c>
      <c r="AE26" s="1" t="n">
        <f aca="false">SUM(AE2:AE25)</f>
        <v>473</v>
      </c>
      <c r="AF26" s="1"/>
      <c r="AG26" s="1" t="s">
        <v>110</v>
      </c>
      <c r="AH26" s="0" t="n">
        <f aca="false">SUM(AH2:AH25)</f>
        <v>1461.9</v>
      </c>
      <c r="AJ26" s="0" t="s">
        <v>64</v>
      </c>
      <c r="AK26" s="0" t="n">
        <f aca="false">SUM(AK2:AK14)</f>
        <v>1461.9</v>
      </c>
    </row>
    <row r="27" customFormat="false" ht="15.8" hidden="false" customHeight="false" outlineLevel="0" collapsed="false">
      <c r="A27" s="1" t="n">
        <v>3</v>
      </c>
      <c r="B27" s="1" t="n">
        <v>2</v>
      </c>
      <c r="C27" s="1" t="n">
        <v>4.5</v>
      </c>
      <c r="D27" s="1" t="n">
        <v>1.2312</v>
      </c>
      <c r="E27" s="1" t="n">
        <v>0.153903</v>
      </c>
      <c r="F27" s="1" t="n">
        <v>0.000419928</v>
      </c>
      <c r="G27" s="1" t="s">
        <v>27</v>
      </c>
      <c r="H27" s="1" t="n">
        <v>50.7</v>
      </c>
      <c r="I27" s="1" t="n">
        <v>190</v>
      </c>
      <c r="J27" s="1" t="n">
        <v>54.3</v>
      </c>
      <c r="K27" s="1"/>
      <c r="L27" s="1" t="n">
        <v>0</v>
      </c>
      <c r="M27" s="1" t="n">
        <v>0</v>
      </c>
      <c r="N27" s="1" t="s">
        <v>109</v>
      </c>
      <c r="O27" s="1" t="s">
        <v>111</v>
      </c>
      <c r="P27" s="1" t="n">
        <f aca="false">COUNT(I2:I1500)</f>
        <v>473</v>
      </c>
      <c r="R27" s="1" t="n">
        <f aca="false">COUNT(J2:J1500)</f>
        <v>473</v>
      </c>
      <c r="S27" s="2"/>
      <c r="U27" s="1" t="s">
        <v>112</v>
      </c>
      <c r="V27" s="0" t="n">
        <f aca="false">SUM(C2:C1000)</f>
        <v>1461.9</v>
      </c>
      <c r="Z27" s="0" t="n">
        <f aca="false">I27-28</f>
        <v>162</v>
      </c>
      <c r="AB27" s="0" t="n">
        <f aca="false">IF(Z27&lt;0,Z27+360,Z27+0)</f>
        <v>162</v>
      </c>
      <c r="AD27" s="1" t="s">
        <v>111</v>
      </c>
      <c r="AE27" s="1" t="n">
        <f aca="false">COUNT(Z2:Z1500)</f>
        <v>473</v>
      </c>
      <c r="AF27" s="1"/>
      <c r="AG27" s="1" t="s">
        <v>112</v>
      </c>
      <c r="AH27" s="0" t="n">
        <f aca="false">SUM(C2:C1200)</f>
        <v>1461.9</v>
      </c>
    </row>
    <row r="28" customFormat="false" ht="15.8" hidden="false" customHeight="false" outlineLevel="0" collapsed="false">
      <c r="A28" s="1" t="n">
        <v>3</v>
      </c>
      <c r="B28" s="1" t="n">
        <v>1</v>
      </c>
      <c r="C28" s="1" t="n">
        <v>2.2</v>
      </c>
      <c r="D28" s="1" t="n">
        <v>1.2159</v>
      </c>
      <c r="E28" s="1" t="n">
        <v>0.0745127</v>
      </c>
      <c r="F28" s="1" t="n">
        <v>0.00020331</v>
      </c>
      <c r="G28" s="1" t="s">
        <v>47</v>
      </c>
      <c r="H28" s="1"/>
      <c r="I28" s="1" t="n">
        <v>116.4</v>
      </c>
      <c r="J28" s="1" t="n">
        <v>38.4</v>
      </c>
      <c r="K28" s="1" t="n">
        <v>50.7</v>
      </c>
      <c r="L28" s="1" t="n">
        <v>0</v>
      </c>
      <c r="M28" s="1" t="n">
        <v>0</v>
      </c>
      <c r="N28" s="1" t="s">
        <v>113</v>
      </c>
      <c r="Z28" s="0" t="n">
        <f aca="false">I28-28</f>
        <v>88.4</v>
      </c>
      <c r="AB28" s="0" t="n">
        <f aca="false">IF(Z28&lt;0,Z28+360,Z28+0)</f>
        <v>88.4</v>
      </c>
    </row>
    <row r="29" customFormat="false" ht="15.8" hidden="false" customHeight="false" outlineLevel="0" collapsed="false">
      <c r="A29" s="1" t="n">
        <v>4</v>
      </c>
      <c r="B29" s="1" t="n">
        <v>3</v>
      </c>
      <c r="C29" s="1" t="n">
        <v>5.5</v>
      </c>
      <c r="D29" s="1" t="n">
        <v>1.2041</v>
      </c>
      <c r="E29" s="1" t="n">
        <v>0.187438</v>
      </c>
      <c r="F29" s="1" t="n">
        <v>0.000511429</v>
      </c>
      <c r="G29" s="1" t="s">
        <v>27</v>
      </c>
      <c r="H29" s="1" t="n">
        <v>71.7</v>
      </c>
      <c r="I29" s="1" t="n">
        <v>32.5</v>
      </c>
      <c r="J29" s="1" t="n">
        <v>-14.2</v>
      </c>
      <c r="K29" s="1"/>
      <c r="L29" s="1" t="n">
        <v>0</v>
      </c>
      <c r="M29" s="1" t="n">
        <v>0</v>
      </c>
      <c r="N29" s="1" t="s">
        <v>114</v>
      </c>
      <c r="Z29" s="0" t="n">
        <f aca="false">I29-28</f>
        <v>4.5</v>
      </c>
      <c r="AB29" s="0" t="n">
        <f aca="false">IF(Z29&lt;0,Z29+360,Z29+0)</f>
        <v>4.5</v>
      </c>
    </row>
    <row r="30" customFormat="false" ht="15.8" hidden="false" customHeight="false" outlineLevel="0" collapsed="false">
      <c r="A30" s="1" t="n">
        <v>4</v>
      </c>
      <c r="B30" s="1" t="n">
        <v>3</v>
      </c>
      <c r="C30" s="1" t="n">
        <v>1</v>
      </c>
      <c r="D30" s="1" t="n">
        <v>1.0041</v>
      </c>
      <c r="E30" s="1" t="n">
        <v>0.0352999</v>
      </c>
      <c r="F30" s="1" t="n">
        <v>9.63169E-005</v>
      </c>
      <c r="G30" s="1" t="s">
        <v>27</v>
      </c>
      <c r="H30" s="1" t="n">
        <v>104.4</v>
      </c>
      <c r="I30" s="1" t="n">
        <v>205.2</v>
      </c>
      <c r="J30" s="1" t="n">
        <v>0</v>
      </c>
      <c r="K30" s="1"/>
      <c r="L30" s="1" t="n">
        <v>0</v>
      </c>
      <c r="M30" s="1" t="n">
        <v>0</v>
      </c>
      <c r="N30" s="1" t="s">
        <v>114</v>
      </c>
      <c r="Z30" s="0" t="n">
        <f aca="false">I30-28</f>
        <v>177.2</v>
      </c>
      <c r="AB30" s="0" t="n">
        <f aca="false">IF(Z30&lt;0,Z30+360,Z30+0)</f>
        <v>177.2</v>
      </c>
    </row>
    <row r="31" customFormat="false" ht="15.8" hidden="false" customHeight="false" outlineLevel="0" collapsed="false">
      <c r="A31" s="1" t="n">
        <v>4</v>
      </c>
      <c r="B31" s="1" t="n">
        <v>4</v>
      </c>
      <c r="C31" s="1" t="n">
        <v>1.1</v>
      </c>
      <c r="D31" s="1" t="n">
        <v>1.2292</v>
      </c>
      <c r="E31" s="1" t="n">
        <v>0.037558</v>
      </c>
      <c r="F31" s="1" t="n">
        <v>0.000102478</v>
      </c>
      <c r="G31" s="1" t="s">
        <v>27</v>
      </c>
      <c r="H31" s="1" t="n">
        <v>76.4</v>
      </c>
      <c r="I31" s="1" t="n">
        <v>313.4</v>
      </c>
      <c r="J31" s="1" t="n">
        <v>-24.5</v>
      </c>
      <c r="K31" s="1"/>
      <c r="L31" s="1" t="n">
        <v>0</v>
      </c>
      <c r="M31" s="1" t="n">
        <v>0</v>
      </c>
      <c r="N31" s="1" t="s">
        <v>115</v>
      </c>
      <c r="Z31" s="0" t="n">
        <f aca="false">I31-28</f>
        <v>285.4</v>
      </c>
      <c r="AB31" s="0" t="n">
        <f aca="false">IF(Z31&lt;0,Z31+360,Z31+0)</f>
        <v>285.4</v>
      </c>
    </row>
    <row r="32" customFormat="false" ht="15.8" hidden="false" customHeight="false" outlineLevel="0" collapsed="false">
      <c r="A32" s="1" t="n">
        <v>4</v>
      </c>
      <c r="B32" s="1" t="n">
        <v>4</v>
      </c>
      <c r="C32" s="1" t="n">
        <v>13.4</v>
      </c>
      <c r="D32" s="1" t="n">
        <v>1.1555</v>
      </c>
      <c r="E32" s="1" t="n">
        <v>0.458516</v>
      </c>
      <c r="F32" s="1" t="n">
        <v>0.00125108</v>
      </c>
      <c r="G32" s="1" t="s">
        <v>27</v>
      </c>
      <c r="H32" s="1" t="n">
        <v>31.5</v>
      </c>
      <c r="I32" s="1" t="n">
        <v>210.3</v>
      </c>
      <c r="J32" s="1" t="n">
        <v>5.5</v>
      </c>
      <c r="K32" s="1"/>
      <c r="L32" s="1" t="n">
        <v>0</v>
      </c>
      <c r="M32" s="1" t="n">
        <v>0</v>
      </c>
      <c r="N32" s="1" t="s">
        <v>115</v>
      </c>
      <c r="Z32" s="0" t="n">
        <f aca="false">I32-28</f>
        <v>182.3</v>
      </c>
      <c r="AB32" s="0" t="n">
        <f aca="false">IF(Z32&lt;0,Z32+360,Z32+0)</f>
        <v>182.3</v>
      </c>
    </row>
    <row r="33" customFormat="false" ht="15.8" hidden="false" customHeight="false" outlineLevel="0" collapsed="false">
      <c r="A33" s="1" t="n">
        <v>4</v>
      </c>
      <c r="B33" s="1" t="n">
        <v>3</v>
      </c>
      <c r="C33" s="1" t="n">
        <v>11.7</v>
      </c>
      <c r="D33" s="1" t="n">
        <v>1.5083</v>
      </c>
      <c r="E33" s="1" t="n">
        <v>0.400235</v>
      </c>
      <c r="F33" s="1" t="n">
        <v>0.00109205</v>
      </c>
      <c r="G33" s="1" t="s">
        <v>47</v>
      </c>
      <c r="H33" s="1" t="n">
        <v>73.4</v>
      </c>
      <c r="I33" s="1" t="n">
        <v>229.8</v>
      </c>
      <c r="J33" s="1" t="n">
        <v>-19.6</v>
      </c>
      <c r="K33" s="1" t="n">
        <v>76.4</v>
      </c>
      <c r="L33" s="1" t="n">
        <v>0</v>
      </c>
      <c r="M33" s="1" t="n">
        <v>0</v>
      </c>
      <c r="N33" s="1" t="s">
        <v>114</v>
      </c>
      <c r="Z33" s="0" t="n">
        <f aca="false">I33-28</f>
        <v>201.8</v>
      </c>
      <c r="AB33" s="0" t="n">
        <f aca="false">IF(Z33&lt;0,Z33+360,Z33+0)</f>
        <v>201.8</v>
      </c>
    </row>
    <row r="34" customFormat="false" ht="15.8" hidden="false" customHeight="false" outlineLevel="0" collapsed="false">
      <c r="A34" s="1" t="n">
        <v>4</v>
      </c>
      <c r="B34" s="1" t="n">
        <v>2</v>
      </c>
      <c r="C34" s="1" t="n">
        <v>4</v>
      </c>
      <c r="D34" s="1" t="n">
        <v>1.1815</v>
      </c>
      <c r="E34" s="1" t="n">
        <v>0.135459</v>
      </c>
      <c r="F34" s="1" t="n">
        <v>0.000369604</v>
      </c>
      <c r="G34" s="1" t="s">
        <v>47</v>
      </c>
      <c r="H34" s="1" t="n">
        <v>67.2</v>
      </c>
      <c r="I34" s="1" t="n">
        <v>314.6</v>
      </c>
      <c r="J34" s="1" t="n">
        <v>-41.6</v>
      </c>
      <c r="K34" s="1" t="n">
        <v>104.4</v>
      </c>
      <c r="L34" s="1" t="n">
        <v>0</v>
      </c>
      <c r="M34" s="1" t="n">
        <v>0</v>
      </c>
      <c r="N34" s="1" t="s">
        <v>116</v>
      </c>
      <c r="Z34" s="0" t="n">
        <f aca="false">I34-28</f>
        <v>286.6</v>
      </c>
      <c r="AB34" s="0" t="n">
        <f aca="false">IF(Z34&lt;0,Z34+360,Z34+0)</f>
        <v>286.6</v>
      </c>
    </row>
    <row r="35" customFormat="false" ht="15.8" hidden="false" customHeight="false" outlineLevel="0" collapsed="false">
      <c r="A35" s="1" t="n">
        <v>4</v>
      </c>
      <c r="B35" s="1" t="n">
        <v>2</v>
      </c>
      <c r="C35" s="1" t="n">
        <v>5</v>
      </c>
      <c r="D35" s="1" t="n">
        <v>1.2018</v>
      </c>
      <c r="E35" s="1" t="n">
        <v>0.169847</v>
      </c>
      <c r="F35" s="1" t="n">
        <v>0.000463432</v>
      </c>
      <c r="G35" s="1" t="s">
        <v>27</v>
      </c>
      <c r="H35" s="1" t="n">
        <v>37.3</v>
      </c>
      <c r="I35" s="1" t="n">
        <v>169.2</v>
      </c>
      <c r="J35" s="1" t="n">
        <v>-38.9</v>
      </c>
      <c r="K35" s="1"/>
      <c r="L35" s="1" t="n">
        <v>0</v>
      </c>
      <c r="M35" s="1" t="n">
        <v>0</v>
      </c>
      <c r="N35" s="1" t="s">
        <v>116</v>
      </c>
      <c r="Z35" s="0" t="n">
        <f aca="false">I35-28</f>
        <v>141.2</v>
      </c>
      <c r="AB35" s="0" t="n">
        <f aca="false">IF(Z35&lt;0,Z35+360,Z35+0)</f>
        <v>141.2</v>
      </c>
    </row>
    <row r="36" customFormat="false" ht="15.8" hidden="false" customHeight="false" outlineLevel="0" collapsed="false">
      <c r="A36" s="1" t="n">
        <v>4</v>
      </c>
      <c r="B36" s="1" t="n">
        <v>5</v>
      </c>
      <c r="C36" s="1" t="n">
        <v>2</v>
      </c>
      <c r="D36" s="1" t="n">
        <v>1.5391</v>
      </c>
      <c r="E36" s="1" t="n">
        <v>0.0675245</v>
      </c>
      <c r="F36" s="1" t="n">
        <v>0.000184243</v>
      </c>
      <c r="G36" s="1" t="s">
        <v>27</v>
      </c>
      <c r="H36" s="1" t="n">
        <v>75</v>
      </c>
      <c r="I36" s="1" t="n">
        <v>31</v>
      </c>
      <c r="J36" s="1" t="n">
        <v>60.2</v>
      </c>
      <c r="K36" s="1"/>
      <c r="L36" s="1" t="n">
        <v>0</v>
      </c>
      <c r="M36" s="1" t="n">
        <v>0</v>
      </c>
      <c r="N36" s="1" t="s">
        <v>117</v>
      </c>
      <c r="Z36" s="0" t="n">
        <f aca="false">I36-28</f>
        <v>3</v>
      </c>
      <c r="AB36" s="0" t="n">
        <f aca="false">IF(Z36&lt;0,Z36+360,Z36+0)</f>
        <v>3</v>
      </c>
    </row>
    <row r="37" customFormat="false" ht="15.8" hidden="false" customHeight="false" outlineLevel="0" collapsed="false">
      <c r="A37" s="1" t="n">
        <v>4</v>
      </c>
      <c r="B37" s="1" t="n">
        <v>5</v>
      </c>
      <c r="C37" s="1" t="n">
        <v>14.5</v>
      </c>
      <c r="D37" s="1" t="n">
        <v>1.312</v>
      </c>
      <c r="E37" s="1" t="n">
        <v>0.497599</v>
      </c>
      <c r="F37" s="1" t="n">
        <v>0.00135771</v>
      </c>
      <c r="G37" s="1" t="s">
        <v>27</v>
      </c>
      <c r="H37" s="1" t="n">
        <v>48.4</v>
      </c>
      <c r="I37" s="1" t="n">
        <v>301.5</v>
      </c>
      <c r="J37" s="1" t="n">
        <v>-39.5</v>
      </c>
      <c r="K37" s="1"/>
      <c r="L37" s="1" t="n">
        <v>0</v>
      </c>
      <c r="M37" s="1" t="n">
        <v>0</v>
      </c>
      <c r="N37" s="1" t="s">
        <v>117</v>
      </c>
      <c r="Z37" s="0" t="n">
        <f aca="false">I37-28</f>
        <v>273.5</v>
      </c>
      <c r="AB37" s="0" t="n">
        <f aca="false">IF(Z37&lt;0,Z37+360,Z37+0)</f>
        <v>273.5</v>
      </c>
    </row>
    <row r="38" customFormat="false" ht="15.8" hidden="false" customHeight="false" outlineLevel="0" collapsed="false">
      <c r="A38" s="1" t="n">
        <v>4</v>
      </c>
      <c r="B38" s="1" t="n">
        <v>4</v>
      </c>
      <c r="C38" s="1" t="n">
        <v>1.9</v>
      </c>
      <c r="D38" s="1" t="n">
        <v>1.0306</v>
      </c>
      <c r="E38" s="1" t="n">
        <v>0.0645209</v>
      </c>
      <c r="F38" s="1" t="n">
        <v>0.000176047</v>
      </c>
      <c r="G38" s="1" t="s">
        <v>47</v>
      </c>
      <c r="H38" s="1" t="n">
        <v>127.4</v>
      </c>
      <c r="I38" s="1" t="n">
        <v>332.2</v>
      </c>
      <c r="J38" s="1" t="n">
        <v>0</v>
      </c>
      <c r="K38" s="1" t="n">
        <v>75</v>
      </c>
      <c r="L38" s="1" t="n">
        <v>0</v>
      </c>
      <c r="M38" s="1" t="n">
        <v>0</v>
      </c>
      <c r="N38" s="1" t="s">
        <v>118</v>
      </c>
      <c r="Z38" s="0" t="n">
        <f aca="false">I38-28</f>
        <v>304.2</v>
      </c>
      <c r="AB38" s="0" t="n">
        <f aca="false">IF(Z38&lt;0,Z38+360,Z38+0)</f>
        <v>304.2</v>
      </c>
    </row>
    <row r="39" customFormat="false" ht="15.8" hidden="false" customHeight="false" outlineLevel="0" collapsed="false">
      <c r="A39" s="1" t="n">
        <v>4</v>
      </c>
      <c r="B39" s="1" t="n">
        <v>5</v>
      </c>
      <c r="C39" s="1" t="n">
        <v>2.1</v>
      </c>
      <c r="D39" s="1" t="n">
        <v>1.228</v>
      </c>
      <c r="E39" s="1" t="n">
        <v>0.0734925</v>
      </c>
      <c r="F39" s="1" t="n">
        <v>0.000200526</v>
      </c>
      <c r="G39" s="1" t="s">
        <v>27</v>
      </c>
      <c r="H39" s="1" t="n">
        <v>76.6</v>
      </c>
      <c r="I39" s="1" t="n">
        <v>303.4</v>
      </c>
      <c r="J39" s="1" t="n">
        <v>-39.5</v>
      </c>
      <c r="K39" s="1"/>
      <c r="L39" s="1" t="n">
        <v>0</v>
      </c>
      <c r="M39" s="1" t="n">
        <v>0</v>
      </c>
      <c r="N39" s="1" t="s">
        <v>119</v>
      </c>
      <c r="Z39" s="0" t="n">
        <f aca="false">I39-28</f>
        <v>275.4</v>
      </c>
      <c r="AB39" s="0" t="n">
        <f aca="false">IF(Z39&lt;0,Z39+360,Z39+0)</f>
        <v>275.4</v>
      </c>
    </row>
    <row r="40" customFormat="false" ht="15.8" hidden="false" customHeight="false" outlineLevel="0" collapsed="false">
      <c r="A40" s="1" t="n">
        <v>4</v>
      </c>
      <c r="B40" s="1" t="n">
        <v>6</v>
      </c>
      <c r="C40" s="1" t="n">
        <v>2.5</v>
      </c>
      <c r="D40" s="1" t="n">
        <v>1.1384</v>
      </c>
      <c r="E40" s="1" t="n">
        <v>0.0861973</v>
      </c>
      <c r="F40" s="1" t="n">
        <v>0.000235192</v>
      </c>
      <c r="G40" s="1" t="s">
        <v>27</v>
      </c>
      <c r="H40" s="1" t="n">
        <v>147.2</v>
      </c>
      <c r="I40" s="1" t="n">
        <v>332.5</v>
      </c>
      <c r="J40" s="1" t="n">
        <v>56.9</v>
      </c>
      <c r="K40" s="1"/>
      <c r="L40" s="1" t="n">
        <v>0</v>
      </c>
      <c r="M40" s="1" t="n">
        <v>0</v>
      </c>
      <c r="N40" s="1" t="s">
        <v>120</v>
      </c>
      <c r="Z40" s="0" t="n">
        <f aca="false">I40-28</f>
        <v>304.5</v>
      </c>
      <c r="AB40" s="0" t="n">
        <f aca="false">IF(Z40&lt;0,Z40+360,Z40+0)</f>
        <v>304.5</v>
      </c>
    </row>
    <row r="41" customFormat="false" ht="15.8" hidden="false" customHeight="false" outlineLevel="0" collapsed="false">
      <c r="A41" s="1" t="n">
        <v>4</v>
      </c>
      <c r="B41" s="1" t="n">
        <v>7</v>
      </c>
      <c r="C41" s="1" t="n">
        <v>3.2</v>
      </c>
      <c r="D41" s="1" t="n">
        <v>1.3697</v>
      </c>
      <c r="E41" s="1" t="n">
        <v>0.110902</v>
      </c>
      <c r="F41" s="1" t="n">
        <v>0.0003026</v>
      </c>
      <c r="G41" s="1" t="s">
        <v>27</v>
      </c>
      <c r="H41" s="1" t="n">
        <v>115</v>
      </c>
      <c r="I41" s="1" t="n">
        <v>327.3</v>
      </c>
      <c r="J41" s="1" t="n">
        <v>0</v>
      </c>
      <c r="K41" s="1"/>
      <c r="L41" s="1" t="n">
        <v>0</v>
      </c>
      <c r="M41" s="1" t="n">
        <v>0</v>
      </c>
      <c r="N41" s="1" t="s">
        <v>121</v>
      </c>
      <c r="Z41" s="0" t="n">
        <f aca="false">I41-28</f>
        <v>299.3</v>
      </c>
      <c r="AB41" s="0" t="n">
        <f aca="false">IF(Z41&lt;0,Z41+360,Z41+0)</f>
        <v>299.3</v>
      </c>
    </row>
    <row r="42" customFormat="false" ht="15.8" hidden="false" customHeight="false" outlineLevel="0" collapsed="false">
      <c r="A42" s="1" t="n">
        <v>4</v>
      </c>
      <c r="B42" s="1" t="n">
        <v>8</v>
      </c>
      <c r="C42" s="1" t="n">
        <v>1.3</v>
      </c>
      <c r="D42" s="1" t="n">
        <v>1.1539</v>
      </c>
      <c r="E42" s="1" t="n">
        <v>0.0451215</v>
      </c>
      <c r="F42" s="1" t="n">
        <v>0.000123115</v>
      </c>
      <c r="G42" s="1" t="s">
        <v>27</v>
      </c>
      <c r="H42" s="1" t="n">
        <v>129.5</v>
      </c>
      <c r="I42" s="1" t="n">
        <v>62.9</v>
      </c>
      <c r="J42" s="1" t="n">
        <v>18.9</v>
      </c>
      <c r="K42" s="1"/>
      <c r="L42" s="1" t="n">
        <v>0</v>
      </c>
      <c r="M42" s="1" t="n">
        <v>0</v>
      </c>
      <c r="N42" s="1" t="s">
        <v>122</v>
      </c>
      <c r="Z42" s="0" t="n">
        <f aca="false">I42-28</f>
        <v>34.9</v>
      </c>
      <c r="AB42" s="0" t="n">
        <f aca="false">IF(Z42&lt;0,Z42+360,Z42+0)</f>
        <v>34.9</v>
      </c>
    </row>
    <row r="43" customFormat="false" ht="15.8" hidden="false" customHeight="false" outlineLevel="0" collapsed="false">
      <c r="A43" s="1" t="n">
        <v>4</v>
      </c>
      <c r="B43" s="1" t="n">
        <v>8</v>
      </c>
      <c r="C43" s="1" t="n">
        <v>7.8</v>
      </c>
      <c r="D43" s="1" t="n">
        <v>1.651</v>
      </c>
      <c r="E43" s="1" t="n">
        <v>0.269126</v>
      </c>
      <c r="F43" s="1" t="n">
        <v>0.000734319</v>
      </c>
      <c r="G43" s="1" t="s">
        <v>27</v>
      </c>
      <c r="H43" s="1" t="n">
        <v>98.7</v>
      </c>
      <c r="I43" s="1" t="n">
        <v>326</v>
      </c>
      <c r="J43" s="1" t="n">
        <v>33</v>
      </c>
      <c r="K43" s="1"/>
      <c r="L43" s="1" t="n">
        <v>0</v>
      </c>
      <c r="M43" s="1" t="n">
        <v>0</v>
      </c>
      <c r="N43" s="1" t="s">
        <v>122</v>
      </c>
      <c r="Z43" s="0" t="n">
        <f aca="false">I43-28</f>
        <v>298</v>
      </c>
      <c r="AB43" s="0" t="n">
        <f aca="false">IF(Z43&lt;0,Z43+360,Z43+0)</f>
        <v>298</v>
      </c>
    </row>
    <row r="44" customFormat="false" ht="15.8" hidden="false" customHeight="false" outlineLevel="0" collapsed="false">
      <c r="A44" s="1" t="n">
        <v>4</v>
      </c>
      <c r="B44" s="1" t="n">
        <v>8</v>
      </c>
      <c r="C44" s="1" t="n">
        <v>15.1</v>
      </c>
      <c r="D44" s="1" t="n">
        <v>1.5064</v>
      </c>
      <c r="E44" s="1" t="n">
        <v>0.518636</v>
      </c>
      <c r="F44" s="1" t="n">
        <v>0.00141511</v>
      </c>
      <c r="G44" s="1" t="s">
        <v>27</v>
      </c>
      <c r="H44" s="1" t="n">
        <v>46.7</v>
      </c>
      <c r="I44" s="1" t="n">
        <v>237.1</v>
      </c>
      <c r="J44" s="1" t="n">
        <v>-26.2</v>
      </c>
      <c r="K44" s="1"/>
      <c r="L44" s="1" t="n">
        <v>0</v>
      </c>
      <c r="M44" s="1" t="n">
        <v>0</v>
      </c>
      <c r="N44" s="1" t="s">
        <v>122</v>
      </c>
      <c r="Z44" s="0" t="n">
        <f aca="false">I44-28</f>
        <v>209.1</v>
      </c>
      <c r="AB44" s="0" t="n">
        <f aca="false">IF(Z44&lt;0,Z44+360,Z44+0)</f>
        <v>209.1</v>
      </c>
    </row>
    <row r="45" customFormat="false" ht="15.8" hidden="false" customHeight="false" outlineLevel="0" collapsed="false">
      <c r="A45" s="1" t="n">
        <v>4</v>
      </c>
      <c r="B45" s="1" t="n">
        <v>7</v>
      </c>
      <c r="C45" s="1" t="n">
        <v>5.1</v>
      </c>
      <c r="D45" s="1" t="n">
        <v>1.185</v>
      </c>
      <c r="E45" s="1" t="n">
        <v>0.174247</v>
      </c>
      <c r="F45" s="1" t="n">
        <v>0.000475439</v>
      </c>
      <c r="G45" s="1" t="s">
        <v>47</v>
      </c>
      <c r="H45" s="1" t="n">
        <v>47.1</v>
      </c>
      <c r="I45" s="1" t="n">
        <v>284.9</v>
      </c>
      <c r="J45" s="1" t="n">
        <v>-59.6</v>
      </c>
      <c r="K45" s="1" t="n">
        <v>129.5</v>
      </c>
      <c r="L45" s="1" t="n">
        <v>0</v>
      </c>
      <c r="M45" s="1" t="n">
        <v>0</v>
      </c>
      <c r="N45" s="1" t="s">
        <v>121</v>
      </c>
      <c r="Z45" s="0" t="n">
        <f aca="false">I45-28</f>
        <v>256.9</v>
      </c>
      <c r="AB45" s="0" t="n">
        <f aca="false">IF(Z45&lt;0,Z45+360,Z45+0)</f>
        <v>256.9</v>
      </c>
    </row>
    <row r="46" customFormat="false" ht="15.8" hidden="false" customHeight="false" outlineLevel="0" collapsed="false">
      <c r="A46" s="1" t="n">
        <v>4</v>
      </c>
      <c r="B46" s="1" t="n">
        <v>6</v>
      </c>
      <c r="C46" s="1" t="n">
        <v>9.9</v>
      </c>
      <c r="D46" s="1" t="n">
        <v>1.2947</v>
      </c>
      <c r="E46" s="1" t="n">
        <v>0.341066</v>
      </c>
      <c r="F46" s="1" t="n">
        <v>0.000930609</v>
      </c>
      <c r="G46" s="1" t="s">
        <v>47</v>
      </c>
      <c r="H46" s="1" t="n">
        <v>29.6</v>
      </c>
      <c r="I46" s="1" t="n">
        <v>179.3</v>
      </c>
      <c r="J46" s="1" t="n">
        <v>-60.1</v>
      </c>
      <c r="K46" s="1" t="n">
        <v>115</v>
      </c>
      <c r="L46" s="1" t="n">
        <v>0</v>
      </c>
      <c r="M46" s="1" t="n">
        <v>0</v>
      </c>
      <c r="N46" s="1" t="s">
        <v>120</v>
      </c>
      <c r="Z46" s="0" t="n">
        <f aca="false">I46-28</f>
        <v>151.3</v>
      </c>
      <c r="AB46" s="0" t="n">
        <f aca="false">IF(Z46&lt;0,Z46+360,Z46+0)</f>
        <v>151.3</v>
      </c>
    </row>
    <row r="47" customFormat="false" ht="15.8" hidden="false" customHeight="false" outlineLevel="0" collapsed="false">
      <c r="A47" s="1" t="n">
        <v>4</v>
      </c>
      <c r="B47" s="1" t="n">
        <v>5</v>
      </c>
      <c r="C47" s="1" t="n">
        <v>1.8</v>
      </c>
      <c r="D47" s="1" t="n">
        <v>1.212</v>
      </c>
      <c r="E47" s="1" t="n">
        <v>0.0605509</v>
      </c>
      <c r="F47" s="1" t="n">
        <v>0.000165215</v>
      </c>
      <c r="G47" s="1" t="s">
        <v>47</v>
      </c>
      <c r="H47" s="1" t="n">
        <v>24.1</v>
      </c>
      <c r="I47" s="1" t="n">
        <v>180.5</v>
      </c>
      <c r="J47" s="1" t="n">
        <v>-30.5</v>
      </c>
      <c r="K47" s="1" t="n">
        <v>147.2</v>
      </c>
      <c r="L47" s="1" t="n">
        <v>0</v>
      </c>
      <c r="M47" s="1" t="n">
        <v>0</v>
      </c>
      <c r="N47" s="1" t="s">
        <v>119</v>
      </c>
      <c r="Z47" s="0" t="n">
        <f aca="false">I47-28</f>
        <v>152.5</v>
      </c>
      <c r="AB47" s="0" t="n">
        <f aca="false">IF(Z47&lt;0,Z47+360,Z47+0)</f>
        <v>152.5</v>
      </c>
    </row>
    <row r="48" customFormat="false" ht="15.8" hidden="false" customHeight="false" outlineLevel="0" collapsed="false">
      <c r="A48" s="1" t="n">
        <v>4</v>
      </c>
      <c r="B48" s="1" t="n">
        <v>4</v>
      </c>
      <c r="C48" s="1" t="n">
        <v>3.6</v>
      </c>
      <c r="D48" s="1" t="n">
        <v>1.3313</v>
      </c>
      <c r="E48" s="1" t="n">
        <v>0.124932</v>
      </c>
      <c r="F48" s="1" t="n">
        <v>0.00034088</v>
      </c>
      <c r="G48" s="1" t="s">
        <v>47</v>
      </c>
      <c r="H48" s="1" t="n">
        <v>47.8</v>
      </c>
      <c r="I48" s="1" t="n">
        <v>174.5</v>
      </c>
      <c r="J48" s="1" t="n">
        <v>-54.2</v>
      </c>
      <c r="K48" s="1" t="n">
        <v>76.6</v>
      </c>
      <c r="L48" s="1" t="n">
        <v>0</v>
      </c>
      <c r="M48" s="1" t="n">
        <v>0</v>
      </c>
      <c r="N48" s="1" t="s">
        <v>118</v>
      </c>
      <c r="Z48" s="0" t="n">
        <f aca="false">I48-28</f>
        <v>146.5</v>
      </c>
      <c r="AB48" s="0" t="n">
        <f aca="false">IF(Z48&lt;0,Z48+360,Z48+0)</f>
        <v>146.5</v>
      </c>
    </row>
    <row r="49" customFormat="false" ht="15.8" hidden="false" customHeight="false" outlineLevel="0" collapsed="false">
      <c r="A49" s="1" t="n">
        <v>4</v>
      </c>
      <c r="B49" s="1" t="n">
        <v>5</v>
      </c>
      <c r="C49" s="1" t="n">
        <v>4.1</v>
      </c>
      <c r="D49" s="1" t="n">
        <v>1.0244</v>
      </c>
      <c r="E49" s="1" t="n">
        <v>0.1417</v>
      </c>
      <c r="F49" s="1" t="n">
        <v>0.000386633</v>
      </c>
      <c r="G49" s="1" t="s">
        <v>27</v>
      </c>
      <c r="H49" s="1" t="n">
        <v>92.1</v>
      </c>
      <c r="I49" s="1" t="n">
        <v>328</v>
      </c>
      <c r="J49" s="1" t="n">
        <v>-66.5</v>
      </c>
      <c r="K49" s="1"/>
      <c r="L49" s="1" t="n">
        <v>0</v>
      </c>
      <c r="M49" s="1" t="n">
        <v>0</v>
      </c>
      <c r="N49" s="1" t="s">
        <v>123</v>
      </c>
      <c r="Z49" s="0" t="n">
        <f aca="false">I49-28</f>
        <v>300</v>
      </c>
      <c r="AB49" s="0" t="n">
        <f aca="false">IF(Z49&lt;0,Z49+360,Z49+0)</f>
        <v>300</v>
      </c>
    </row>
    <row r="50" customFormat="false" ht="15.8" hidden="false" customHeight="false" outlineLevel="0" collapsed="false">
      <c r="A50" s="1" t="n">
        <v>4</v>
      </c>
      <c r="B50" s="1" t="n">
        <v>6</v>
      </c>
      <c r="C50" s="1" t="n">
        <v>0.9</v>
      </c>
      <c r="D50" s="1" t="n">
        <v>1.0179</v>
      </c>
      <c r="E50" s="1" t="n">
        <v>0.0316082</v>
      </c>
      <c r="F50" s="1" t="n">
        <v>8.62438E-005</v>
      </c>
      <c r="G50" s="1" t="s">
        <v>27</v>
      </c>
      <c r="H50" s="1" t="n">
        <v>48.3</v>
      </c>
      <c r="I50" s="1" t="n">
        <v>130.6</v>
      </c>
      <c r="J50" s="1" t="n">
        <v>0</v>
      </c>
      <c r="K50" s="1"/>
      <c r="L50" s="1" t="n">
        <v>0</v>
      </c>
      <c r="M50" s="1" t="n">
        <v>0</v>
      </c>
      <c r="N50" s="1" t="s">
        <v>124</v>
      </c>
      <c r="Z50" s="0" t="n">
        <f aca="false">I50-28</f>
        <v>102.6</v>
      </c>
      <c r="AB50" s="0" t="n">
        <f aca="false">IF(Z50&lt;0,Z50+360,Z50+0)</f>
        <v>102.6</v>
      </c>
    </row>
    <row r="51" customFormat="false" ht="15.8" hidden="false" customHeight="false" outlineLevel="0" collapsed="false">
      <c r="A51" s="1" t="n">
        <v>4</v>
      </c>
      <c r="B51" s="1" t="n">
        <v>7</v>
      </c>
      <c r="C51" s="1" t="n">
        <v>4.1</v>
      </c>
      <c r="D51" s="1" t="n">
        <v>1.2279</v>
      </c>
      <c r="E51" s="1" t="n">
        <v>0.141085</v>
      </c>
      <c r="F51" s="1" t="n">
        <v>0.000384956</v>
      </c>
      <c r="G51" s="1" t="s">
        <v>27</v>
      </c>
      <c r="H51" s="1" t="n">
        <v>72.6</v>
      </c>
      <c r="I51" s="1" t="n">
        <v>148.1</v>
      </c>
      <c r="J51" s="1" t="n">
        <v>-19.3</v>
      </c>
      <c r="K51" s="1"/>
      <c r="L51" s="1" t="n">
        <v>0</v>
      </c>
      <c r="M51" s="1" t="n">
        <v>0</v>
      </c>
      <c r="N51" s="1" t="s">
        <v>125</v>
      </c>
      <c r="Z51" s="0" t="n">
        <f aca="false">I51-28</f>
        <v>120.1</v>
      </c>
      <c r="AB51" s="0" t="n">
        <f aca="false">IF(Z51&lt;0,Z51+360,Z51+0)</f>
        <v>120.1</v>
      </c>
    </row>
    <row r="52" customFormat="false" ht="15.8" hidden="false" customHeight="false" outlineLevel="0" collapsed="false">
      <c r="A52" s="1" t="n">
        <v>4</v>
      </c>
      <c r="B52" s="1" t="n">
        <v>9</v>
      </c>
      <c r="C52" s="1" t="n">
        <v>2.3</v>
      </c>
      <c r="D52" s="1" t="n">
        <v>1.3406</v>
      </c>
      <c r="E52" s="1" t="n">
        <v>0.0774059</v>
      </c>
      <c r="F52" s="1" t="n">
        <v>0.000211204</v>
      </c>
      <c r="G52" s="1" t="s">
        <v>27</v>
      </c>
      <c r="H52" s="1" t="n">
        <v>56.1</v>
      </c>
      <c r="I52" s="1" t="n">
        <v>134.4</v>
      </c>
      <c r="J52" s="1" t="n">
        <v>-26.1</v>
      </c>
      <c r="K52" s="1"/>
      <c r="L52" s="1" t="n">
        <v>0</v>
      </c>
      <c r="M52" s="1" t="n">
        <v>0</v>
      </c>
      <c r="N52" s="1" t="s">
        <v>126</v>
      </c>
      <c r="Z52" s="0" t="n">
        <f aca="false">I52-28</f>
        <v>106.4</v>
      </c>
      <c r="AB52" s="0" t="n">
        <f aca="false">IF(Z52&lt;0,Z52+360,Z52+0)</f>
        <v>106.4</v>
      </c>
    </row>
    <row r="53" customFormat="false" ht="15.8" hidden="false" customHeight="false" outlineLevel="0" collapsed="false">
      <c r="A53" s="1" t="n">
        <v>4</v>
      </c>
      <c r="B53" s="1" t="n">
        <v>10</v>
      </c>
      <c r="C53" s="1" t="n">
        <v>2.6</v>
      </c>
      <c r="D53" s="1" t="n">
        <v>1.0387</v>
      </c>
      <c r="E53" s="1" t="n">
        <v>0.0886651</v>
      </c>
      <c r="F53" s="1" t="n">
        <v>0.000241926</v>
      </c>
      <c r="G53" s="1" t="s">
        <v>27</v>
      </c>
      <c r="H53" s="1" t="n">
        <v>92.1</v>
      </c>
      <c r="I53" s="1" t="n">
        <v>167.9</v>
      </c>
      <c r="J53" s="1" t="n">
        <v>0</v>
      </c>
      <c r="K53" s="1"/>
      <c r="L53" s="1" t="n">
        <v>0</v>
      </c>
      <c r="M53" s="1" t="n">
        <v>0</v>
      </c>
      <c r="N53" s="1" t="s">
        <v>127</v>
      </c>
      <c r="Z53" s="0" t="n">
        <f aca="false">I53-28</f>
        <v>139.9</v>
      </c>
      <c r="AB53" s="0" t="n">
        <f aca="false">IF(Z53&lt;0,Z53+360,Z53+0)</f>
        <v>139.9</v>
      </c>
    </row>
    <row r="54" customFormat="false" ht="15.8" hidden="false" customHeight="false" outlineLevel="0" collapsed="false">
      <c r="A54" s="1" t="n">
        <v>4</v>
      </c>
      <c r="B54" s="1" t="n">
        <v>10</v>
      </c>
      <c r="C54" s="1" t="n">
        <v>2.9</v>
      </c>
      <c r="D54" s="1" t="n">
        <v>1.1068</v>
      </c>
      <c r="E54" s="1" t="n">
        <v>0.100267</v>
      </c>
      <c r="F54" s="1" t="n">
        <v>0.000273582</v>
      </c>
      <c r="G54" s="1" t="s">
        <v>27</v>
      </c>
      <c r="H54" s="1" t="n">
        <v>79.3</v>
      </c>
      <c r="I54" s="1" t="n">
        <v>344.5</v>
      </c>
      <c r="J54" s="1" t="n">
        <v>8</v>
      </c>
      <c r="K54" s="1"/>
      <c r="L54" s="1" t="n">
        <v>0</v>
      </c>
      <c r="M54" s="1" t="n">
        <v>0</v>
      </c>
      <c r="N54" s="1" t="s">
        <v>127</v>
      </c>
      <c r="Z54" s="0" t="n">
        <f aca="false">I54-28</f>
        <v>316.5</v>
      </c>
      <c r="AB54" s="0" t="n">
        <f aca="false">IF(Z54&lt;0,Z54+360,Z54+0)</f>
        <v>316.5</v>
      </c>
    </row>
    <row r="55" customFormat="false" ht="15.8" hidden="false" customHeight="false" outlineLevel="0" collapsed="false">
      <c r="A55" s="1" t="n">
        <v>4</v>
      </c>
      <c r="B55" s="1" t="n">
        <v>9</v>
      </c>
      <c r="C55" s="1" t="n">
        <v>0.8</v>
      </c>
      <c r="D55" s="1" t="n">
        <v>1.0002</v>
      </c>
      <c r="E55" s="1" t="n">
        <v>0.0261661</v>
      </c>
      <c r="F55" s="1" t="n">
        <v>7.13951E-005</v>
      </c>
      <c r="G55" s="1" t="s">
        <v>47</v>
      </c>
      <c r="H55" s="1" t="n">
        <v>72</v>
      </c>
      <c r="I55" s="1" t="n">
        <v>266.6</v>
      </c>
      <c r="J55" s="1" t="n">
        <v>75.9</v>
      </c>
      <c r="K55" s="1" t="n">
        <v>92.1</v>
      </c>
      <c r="L55" s="1" t="n">
        <v>0</v>
      </c>
      <c r="M55" s="1" t="n">
        <v>0</v>
      </c>
      <c r="N55" s="1" t="s">
        <v>126</v>
      </c>
      <c r="Z55" s="0" t="n">
        <f aca="false">I55-28</f>
        <v>238.6</v>
      </c>
      <c r="AB55" s="0" t="n">
        <f aca="false">IF(Z55&lt;0,Z55+360,Z55+0)</f>
        <v>238.6</v>
      </c>
    </row>
    <row r="56" customFormat="false" ht="15.8" hidden="false" customHeight="false" outlineLevel="0" collapsed="false">
      <c r="A56" s="1" t="n">
        <v>4</v>
      </c>
      <c r="B56" s="1" t="n">
        <v>8</v>
      </c>
      <c r="C56" s="1" t="n">
        <v>3.8</v>
      </c>
      <c r="D56" s="1" t="n">
        <v>1.2383</v>
      </c>
      <c r="E56" s="1" t="n">
        <v>0.129177</v>
      </c>
      <c r="F56" s="1" t="n">
        <v>0.000352463</v>
      </c>
      <c r="G56" s="1" t="s">
        <v>47</v>
      </c>
      <c r="H56" s="1" t="n">
        <v>100.2</v>
      </c>
      <c r="I56" s="1" t="n">
        <v>165.3</v>
      </c>
      <c r="J56" s="1" t="n">
        <v>21.4</v>
      </c>
      <c r="K56" s="1" t="n">
        <v>72</v>
      </c>
      <c r="L56" s="1" t="n">
        <v>0</v>
      </c>
      <c r="M56" s="1" t="n">
        <v>0</v>
      </c>
      <c r="N56" s="1" t="s">
        <v>128</v>
      </c>
      <c r="Z56" s="0" t="n">
        <f aca="false">I56-28</f>
        <v>137.3</v>
      </c>
      <c r="AB56" s="0" t="n">
        <f aca="false">IF(Z56&lt;0,Z56+360,Z56+0)</f>
        <v>137.3</v>
      </c>
    </row>
    <row r="57" customFormat="false" ht="15.8" hidden="false" customHeight="false" outlineLevel="0" collapsed="false">
      <c r="A57" s="1" t="n">
        <v>4</v>
      </c>
      <c r="B57" s="1" t="n">
        <v>10</v>
      </c>
      <c r="C57" s="1" t="n">
        <v>1.9</v>
      </c>
      <c r="D57" s="1" t="n">
        <v>1.2564</v>
      </c>
      <c r="E57" s="1" t="n">
        <v>0.0639933</v>
      </c>
      <c r="F57" s="1" t="n">
        <v>0.000174608</v>
      </c>
      <c r="G57" s="1" t="s">
        <v>27</v>
      </c>
      <c r="H57" s="1" t="n">
        <v>47.4</v>
      </c>
      <c r="I57" s="1" t="n">
        <v>89</v>
      </c>
      <c r="J57" s="1" t="n">
        <v>29.9</v>
      </c>
      <c r="K57" s="1"/>
      <c r="L57" s="1" t="n">
        <v>0</v>
      </c>
      <c r="M57" s="1" t="n">
        <v>0</v>
      </c>
      <c r="N57" s="1" t="s">
        <v>129</v>
      </c>
      <c r="Z57" s="0" t="n">
        <f aca="false">I57-28</f>
        <v>61</v>
      </c>
      <c r="AB57" s="0" t="n">
        <f aca="false">IF(Z57&lt;0,Z57+360,Z57+0)</f>
        <v>61</v>
      </c>
    </row>
    <row r="58" customFormat="false" ht="15.8" hidden="false" customHeight="false" outlineLevel="0" collapsed="false">
      <c r="A58" s="1" t="n">
        <v>4</v>
      </c>
      <c r="B58" s="1" t="n">
        <v>10</v>
      </c>
      <c r="C58" s="1" t="n">
        <v>2.8</v>
      </c>
      <c r="D58" s="1" t="n">
        <v>1.2912</v>
      </c>
      <c r="E58" s="1" t="n">
        <v>0.0964586</v>
      </c>
      <c r="F58" s="1" t="n">
        <v>0.00026319</v>
      </c>
      <c r="G58" s="1" t="s">
        <v>27</v>
      </c>
      <c r="H58" s="1" t="n">
        <v>61</v>
      </c>
      <c r="I58" s="1" t="n">
        <v>337.9</v>
      </c>
      <c r="J58" s="1" t="n">
        <v>0</v>
      </c>
      <c r="K58" s="1"/>
      <c r="L58" s="1" t="n">
        <v>0</v>
      </c>
      <c r="M58" s="1" t="n">
        <v>0</v>
      </c>
      <c r="N58" s="1" t="s">
        <v>129</v>
      </c>
      <c r="Z58" s="0" t="n">
        <f aca="false">I58-28</f>
        <v>309.9</v>
      </c>
      <c r="AB58" s="0" t="n">
        <f aca="false">IF(Z58&lt;0,Z58+360,Z58+0)</f>
        <v>309.9</v>
      </c>
    </row>
    <row r="59" customFormat="false" ht="15.8" hidden="false" customHeight="false" outlineLevel="0" collapsed="false">
      <c r="A59" s="1" t="n">
        <v>4</v>
      </c>
      <c r="B59" s="1" t="n">
        <v>9</v>
      </c>
      <c r="C59" s="1" t="n">
        <v>3.9</v>
      </c>
      <c r="D59" s="1" t="n">
        <v>1.3382</v>
      </c>
      <c r="E59" s="1" t="n">
        <v>0.132247</v>
      </c>
      <c r="F59" s="1" t="n">
        <v>0.00036084</v>
      </c>
      <c r="G59" s="1" t="s">
        <v>47</v>
      </c>
      <c r="H59" s="1" t="n">
        <v>93.6</v>
      </c>
      <c r="I59" s="1" t="n">
        <v>33.5</v>
      </c>
      <c r="J59" s="1" t="n">
        <v>30.9</v>
      </c>
      <c r="K59" s="1" t="n">
        <v>61</v>
      </c>
      <c r="L59" s="1" t="n">
        <v>0</v>
      </c>
      <c r="M59" s="1" t="n">
        <v>0</v>
      </c>
      <c r="N59" s="1" t="s">
        <v>130</v>
      </c>
      <c r="Z59" s="0" t="n">
        <f aca="false">I59-28</f>
        <v>5.5</v>
      </c>
      <c r="AB59" s="0" t="n">
        <f aca="false">IF(Z59&lt;0,Z59+360,Z59+0)</f>
        <v>5.5</v>
      </c>
    </row>
    <row r="60" customFormat="false" ht="15.8" hidden="false" customHeight="false" outlineLevel="0" collapsed="false">
      <c r="A60" s="1" t="n">
        <v>4</v>
      </c>
      <c r="B60" s="1" t="n">
        <v>10</v>
      </c>
      <c r="C60" s="1" t="n">
        <v>1.5</v>
      </c>
      <c r="D60" s="1" t="n">
        <v>1.0149</v>
      </c>
      <c r="E60" s="1" t="n">
        <v>0.0516315</v>
      </c>
      <c r="F60" s="1" t="n">
        <v>0.000140878</v>
      </c>
      <c r="G60" s="1" t="s">
        <v>27</v>
      </c>
      <c r="H60" s="1" t="n">
        <v>66.8</v>
      </c>
      <c r="I60" s="1" t="n">
        <v>186.8</v>
      </c>
      <c r="J60" s="1" t="n">
        <v>0</v>
      </c>
      <c r="K60" s="1"/>
      <c r="L60" s="1" t="n">
        <v>0</v>
      </c>
      <c r="M60" s="1" t="n">
        <v>0</v>
      </c>
      <c r="N60" s="1" t="s">
        <v>131</v>
      </c>
      <c r="Z60" s="0" t="n">
        <f aca="false">I60-28</f>
        <v>158.8</v>
      </c>
      <c r="AB60" s="0" t="n">
        <f aca="false">IF(Z60&lt;0,Z60+360,Z60+0)</f>
        <v>158.8</v>
      </c>
    </row>
    <row r="61" customFormat="false" ht="15.8" hidden="false" customHeight="false" outlineLevel="0" collapsed="false">
      <c r="A61" s="1" t="n">
        <v>4</v>
      </c>
      <c r="B61" s="1" t="n">
        <v>10</v>
      </c>
      <c r="C61" s="1" t="n">
        <v>5.7</v>
      </c>
      <c r="D61" s="1" t="n">
        <v>1.1604</v>
      </c>
      <c r="E61" s="1" t="n">
        <v>0.196473</v>
      </c>
      <c r="F61" s="1" t="n">
        <v>0.000536084</v>
      </c>
      <c r="G61" s="1" t="s">
        <v>27</v>
      </c>
      <c r="H61" s="1" t="n">
        <v>77.9</v>
      </c>
      <c r="I61" s="1" t="n">
        <v>331.1</v>
      </c>
      <c r="J61" s="1" t="n">
        <v>13</v>
      </c>
      <c r="K61" s="1"/>
      <c r="L61" s="1" t="n">
        <v>0</v>
      </c>
      <c r="M61" s="1" t="n">
        <v>0</v>
      </c>
      <c r="N61" s="1" t="s">
        <v>131</v>
      </c>
      <c r="Z61" s="0" t="n">
        <f aca="false">I61-28</f>
        <v>303.1</v>
      </c>
      <c r="AB61" s="0" t="n">
        <f aca="false">IF(Z61&lt;0,Z61+360,Z61+0)</f>
        <v>303.1</v>
      </c>
    </row>
    <row r="62" customFormat="false" ht="15.8" hidden="false" customHeight="false" outlineLevel="0" collapsed="false">
      <c r="A62" s="1" t="n">
        <v>4</v>
      </c>
      <c r="B62" s="1" t="n">
        <v>11</v>
      </c>
      <c r="C62" s="1" t="n">
        <v>9.1</v>
      </c>
      <c r="D62" s="1" t="n">
        <v>1.243</v>
      </c>
      <c r="E62" s="1" t="n">
        <v>0.311125</v>
      </c>
      <c r="F62" s="1" t="n">
        <v>0.000848914</v>
      </c>
      <c r="G62" s="1" t="s">
        <v>27</v>
      </c>
      <c r="H62" s="1" t="n">
        <v>22.8</v>
      </c>
      <c r="I62" s="1" t="n">
        <v>241.2</v>
      </c>
      <c r="J62" s="1" t="n">
        <v>-65.8</v>
      </c>
      <c r="K62" s="1"/>
      <c r="L62" s="1" t="n">
        <v>0</v>
      </c>
      <c r="M62" s="1" t="n">
        <v>0</v>
      </c>
      <c r="N62" s="1" t="s">
        <v>132</v>
      </c>
      <c r="Z62" s="0" t="n">
        <f aca="false">I62-28</f>
        <v>213.2</v>
      </c>
      <c r="AB62" s="0" t="n">
        <f aca="false">IF(Z62&lt;0,Z62+360,Z62+0)</f>
        <v>213.2</v>
      </c>
    </row>
    <row r="63" customFormat="false" ht="15.8" hidden="false" customHeight="false" outlineLevel="0" collapsed="false">
      <c r="A63" s="1" t="n">
        <v>4</v>
      </c>
      <c r="B63" s="1" t="n">
        <v>12</v>
      </c>
      <c r="C63" s="1" t="n">
        <v>1.2</v>
      </c>
      <c r="D63" s="1" t="n">
        <v>1.0043</v>
      </c>
      <c r="E63" s="1" t="n">
        <v>0.0405995</v>
      </c>
      <c r="F63" s="1" t="n">
        <v>0.000110777</v>
      </c>
      <c r="G63" s="1" t="s">
        <v>27</v>
      </c>
      <c r="H63" s="1" t="n">
        <v>80</v>
      </c>
      <c r="I63" s="1" t="n">
        <v>1.1</v>
      </c>
      <c r="J63" s="1" t="n">
        <v>0</v>
      </c>
      <c r="K63" s="1"/>
      <c r="L63" s="1" t="n">
        <v>0</v>
      </c>
      <c r="M63" s="1" t="n">
        <v>0</v>
      </c>
      <c r="N63" s="1" t="s">
        <v>133</v>
      </c>
      <c r="Z63" s="0" t="n">
        <f aca="false">I63-28</f>
        <v>-26.9</v>
      </c>
      <c r="AB63" s="0" t="n">
        <f aca="false">IF(Z63&lt;0,Z63+360,Z63+0)</f>
        <v>333.1</v>
      </c>
    </row>
    <row r="64" customFormat="false" ht="15.8" hidden="false" customHeight="false" outlineLevel="0" collapsed="false">
      <c r="A64" s="1" t="n">
        <v>4</v>
      </c>
      <c r="B64" s="1" t="n">
        <v>13</v>
      </c>
      <c r="C64" s="1" t="n">
        <v>2</v>
      </c>
      <c r="D64" s="1" t="n">
        <v>1.1066</v>
      </c>
      <c r="E64" s="1" t="n">
        <v>0.0672146</v>
      </c>
      <c r="F64" s="1" t="n">
        <v>0.000183397</v>
      </c>
      <c r="G64" s="1" t="s">
        <v>27</v>
      </c>
      <c r="H64" s="1" t="n">
        <v>90.1</v>
      </c>
      <c r="I64" s="1" t="n">
        <v>107.6</v>
      </c>
      <c r="J64" s="1" t="n">
        <v>56.7</v>
      </c>
      <c r="K64" s="1"/>
      <c r="L64" s="1" t="n">
        <v>0</v>
      </c>
      <c r="M64" s="1" t="n">
        <v>0</v>
      </c>
      <c r="N64" s="1" t="s">
        <v>134</v>
      </c>
      <c r="Z64" s="0" t="n">
        <f aca="false">I64-28</f>
        <v>79.6</v>
      </c>
      <c r="AB64" s="0" t="n">
        <f aca="false">IF(Z64&lt;0,Z64+360,Z64+0)</f>
        <v>79.6</v>
      </c>
    </row>
    <row r="65" customFormat="false" ht="15.8" hidden="false" customHeight="false" outlineLevel="0" collapsed="false">
      <c r="A65" s="1" t="n">
        <v>4</v>
      </c>
      <c r="B65" s="1" t="n">
        <v>15</v>
      </c>
      <c r="C65" s="1" t="n">
        <v>4.1</v>
      </c>
      <c r="D65" s="1" t="n">
        <v>1.3099</v>
      </c>
      <c r="E65" s="1" t="n">
        <v>0.141706</v>
      </c>
      <c r="F65" s="1" t="n">
        <v>0.00038665</v>
      </c>
      <c r="G65" s="1" t="s">
        <v>27</v>
      </c>
      <c r="H65" s="1" t="n">
        <v>62</v>
      </c>
      <c r="I65" s="1" t="n">
        <v>220.2</v>
      </c>
      <c r="J65" s="1" t="n">
        <v>-35.9</v>
      </c>
      <c r="K65" s="1"/>
      <c r="L65" s="1" t="n">
        <v>0</v>
      </c>
      <c r="M65" s="1" t="n">
        <v>0</v>
      </c>
      <c r="N65" s="1" t="s">
        <v>135</v>
      </c>
      <c r="Z65" s="0" t="n">
        <f aca="false">I65-28</f>
        <v>192.2</v>
      </c>
      <c r="AB65" s="0" t="n">
        <f aca="false">IF(Z65&lt;0,Z65+360,Z65+0)</f>
        <v>192.2</v>
      </c>
    </row>
    <row r="66" customFormat="false" ht="15.8" hidden="false" customHeight="false" outlineLevel="0" collapsed="false">
      <c r="A66" s="1" t="n">
        <v>4</v>
      </c>
      <c r="B66" s="1" t="n">
        <v>15</v>
      </c>
      <c r="C66" s="1" t="n">
        <v>2.5</v>
      </c>
      <c r="D66" s="1" t="n">
        <v>1.183</v>
      </c>
      <c r="E66" s="1" t="n">
        <v>0.0852984</v>
      </c>
      <c r="F66" s="1" t="n">
        <v>0.000232739</v>
      </c>
      <c r="G66" s="1" t="s">
        <v>27</v>
      </c>
      <c r="H66" s="1" t="n">
        <v>35.4</v>
      </c>
      <c r="I66" s="1" t="n">
        <v>136.1</v>
      </c>
      <c r="J66" s="1" t="n">
        <v>20.6</v>
      </c>
      <c r="K66" s="1"/>
      <c r="L66" s="1" t="n">
        <v>0</v>
      </c>
      <c r="M66" s="1" t="n">
        <v>0</v>
      </c>
      <c r="N66" s="1" t="s">
        <v>135</v>
      </c>
      <c r="Z66" s="0" t="n">
        <f aca="false">I66-28</f>
        <v>108.1</v>
      </c>
      <c r="AB66" s="0" t="n">
        <f aca="false">IF(Z66&lt;0,Z66+360,Z66+0)</f>
        <v>108.1</v>
      </c>
    </row>
    <row r="67" customFormat="false" ht="15.8" hidden="false" customHeight="false" outlineLevel="0" collapsed="false">
      <c r="A67" s="1" t="n">
        <v>4</v>
      </c>
      <c r="B67" s="1" t="n">
        <v>14</v>
      </c>
      <c r="C67" s="1" t="n">
        <v>0.7</v>
      </c>
      <c r="D67" s="1" t="n">
        <v>1.011</v>
      </c>
      <c r="E67" s="1" t="n">
        <v>0.0242271</v>
      </c>
      <c r="F67" s="1" t="n">
        <v>6.61044E-005</v>
      </c>
      <c r="G67" s="1" t="s">
        <v>47</v>
      </c>
      <c r="H67" s="1" t="n">
        <v>53.7</v>
      </c>
      <c r="I67" s="1" t="n">
        <v>165.5</v>
      </c>
      <c r="J67" s="1" t="n">
        <v>0</v>
      </c>
      <c r="K67" s="1" t="n">
        <v>62</v>
      </c>
      <c r="L67" s="1" t="n">
        <v>0</v>
      </c>
      <c r="M67" s="1" t="n">
        <v>0</v>
      </c>
      <c r="N67" s="1" t="s">
        <v>136</v>
      </c>
      <c r="Z67" s="0" t="n">
        <f aca="false">I67-28</f>
        <v>137.5</v>
      </c>
      <c r="AB67" s="0" t="n">
        <f aca="false">IF(Z67&lt;0,Z67+360,Z67+0)</f>
        <v>137.5</v>
      </c>
    </row>
    <row r="68" customFormat="false" ht="15.8" hidden="false" customHeight="false" outlineLevel="0" collapsed="false">
      <c r="A68" s="1" t="n">
        <v>4</v>
      </c>
      <c r="B68" s="1" t="n">
        <v>14</v>
      </c>
      <c r="C68" s="1" t="n">
        <v>6.2</v>
      </c>
      <c r="D68" s="1" t="n">
        <v>1.2741</v>
      </c>
      <c r="E68" s="1" t="n">
        <v>0.21357</v>
      </c>
      <c r="F68" s="1" t="n">
        <v>0.000582732</v>
      </c>
      <c r="G68" s="1" t="s">
        <v>27</v>
      </c>
      <c r="H68" s="1" t="n">
        <v>21.6</v>
      </c>
      <c r="I68" s="1" t="n">
        <v>240</v>
      </c>
      <c r="J68" s="1" t="n">
        <v>-4.3</v>
      </c>
      <c r="K68" s="1"/>
      <c r="L68" s="1" t="n">
        <v>0</v>
      </c>
      <c r="M68" s="1" t="n">
        <v>0</v>
      </c>
      <c r="N68" s="1" t="s">
        <v>136</v>
      </c>
      <c r="Z68" s="0" t="n">
        <f aca="false">I68-28</f>
        <v>212</v>
      </c>
      <c r="AB68" s="0" t="n">
        <f aca="false">IF(Z68&lt;0,Z68+360,Z68+0)</f>
        <v>212</v>
      </c>
    </row>
    <row r="69" customFormat="false" ht="15.8" hidden="false" customHeight="false" outlineLevel="0" collapsed="false">
      <c r="A69" s="1" t="n">
        <v>4</v>
      </c>
      <c r="B69" s="1" t="n">
        <v>13</v>
      </c>
      <c r="C69" s="1" t="n">
        <v>5.3</v>
      </c>
      <c r="D69" s="1" t="n">
        <v>1.0975</v>
      </c>
      <c r="E69" s="1" t="n">
        <v>0.180671</v>
      </c>
      <c r="F69" s="1" t="n">
        <v>0.000492966</v>
      </c>
      <c r="G69" s="1" t="s">
        <v>47</v>
      </c>
      <c r="H69" s="1" t="n">
        <v>22.6</v>
      </c>
      <c r="I69" s="1" t="n">
        <v>218.7</v>
      </c>
      <c r="J69" s="1" t="n">
        <v>-8.9</v>
      </c>
      <c r="K69" s="1" t="n">
        <v>53.7</v>
      </c>
      <c r="L69" s="1" t="n">
        <v>0</v>
      </c>
      <c r="M69" s="1" t="n">
        <v>0</v>
      </c>
      <c r="N69" s="1" t="s">
        <v>134</v>
      </c>
      <c r="Z69" s="0" t="n">
        <f aca="false">I69-28</f>
        <v>190.7</v>
      </c>
      <c r="AB69" s="0" t="n">
        <f aca="false">IF(Z69&lt;0,Z69+360,Z69+0)</f>
        <v>190.7</v>
      </c>
    </row>
    <row r="70" customFormat="false" ht="15.8" hidden="false" customHeight="false" outlineLevel="0" collapsed="false">
      <c r="A70" s="1" t="n">
        <v>4</v>
      </c>
      <c r="B70" s="1" t="n">
        <v>12</v>
      </c>
      <c r="C70" s="1" t="n">
        <v>0.4</v>
      </c>
      <c r="D70" s="1" t="n">
        <v>1.0017</v>
      </c>
      <c r="E70" s="1" t="n">
        <v>0.0122104</v>
      </c>
      <c r="F70" s="1" t="n">
        <v>3.33165E-005</v>
      </c>
      <c r="G70" s="1" t="s">
        <v>47</v>
      </c>
      <c r="H70" s="1" t="n">
        <v>83.2</v>
      </c>
      <c r="I70" s="1" t="n">
        <v>197.9</v>
      </c>
      <c r="J70" s="1" t="n">
        <v>0</v>
      </c>
      <c r="K70" s="1" t="n">
        <v>90.1</v>
      </c>
      <c r="L70" s="1" t="n">
        <v>0</v>
      </c>
      <c r="M70" s="1" t="n">
        <v>0</v>
      </c>
      <c r="N70" s="1" t="s">
        <v>133</v>
      </c>
      <c r="Z70" s="0" t="n">
        <f aca="false">I70-28</f>
        <v>169.9</v>
      </c>
      <c r="AB70" s="0" t="n">
        <f aca="false">IF(Z70&lt;0,Z70+360,Z70+0)</f>
        <v>169.9</v>
      </c>
    </row>
    <row r="71" customFormat="false" ht="15.8" hidden="false" customHeight="false" outlineLevel="0" collapsed="false">
      <c r="A71" s="1" t="n">
        <v>4</v>
      </c>
      <c r="B71" s="1" t="n">
        <v>11</v>
      </c>
      <c r="C71" s="1" t="n">
        <v>1.5</v>
      </c>
      <c r="D71" s="1" t="n">
        <v>1.0769</v>
      </c>
      <c r="E71" s="1" t="n">
        <v>0.050504</v>
      </c>
      <c r="F71" s="1" t="n">
        <v>0.000137802</v>
      </c>
      <c r="G71" s="1" t="s">
        <v>47</v>
      </c>
      <c r="H71" s="1" t="n">
        <v>51.2</v>
      </c>
      <c r="I71" s="1" t="n">
        <v>281</v>
      </c>
      <c r="J71" s="1" t="n">
        <v>0</v>
      </c>
      <c r="K71" s="1" t="n">
        <v>83.2</v>
      </c>
      <c r="L71" s="1" t="n">
        <v>0</v>
      </c>
      <c r="M71" s="1" t="n">
        <v>0</v>
      </c>
      <c r="N71" s="1" t="s">
        <v>132</v>
      </c>
      <c r="Z71" s="0" t="n">
        <f aca="false">I71-28</f>
        <v>253</v>
      </c>
      <c r="AB71" s="0" t="n">
        <f aca="false">IF(Z71&lt;0,Z71+360,Z71+0)</f>
        <v>253</v>
      </c>
    </row>
    <row r="72" customFormat="false" ht="15.8" hidden="false" customHeight="false" outlineLevel="0" collapsed="false">
      <c r="A72" s="1" t="n">
        <v>4</v>
      </c>
      <c r="B72" s="1" t="n">
        <v>10</v>
      </c>
      <c r="C72" s="1" t="n">
        <v>4.2</v>
      </c>
      <c r="D72" s="1" t="n">
        <v>1.2477</v>
      </c>
      <c r="E72" s="1" t="n">
        <v>0.142511</v>
      </c>
      <c r="F72" s="1" t="n">
        <v>0.000388846</v>
      </c>
      <c r="G72" s="1" t="s">
        <v>47</v>
      </c>
      <c r="H72" s="1" t="n">
        <v>54.4</v>
      </c>
      <c r="I72" s="1" t="n">
        <v>275.7</v>
      </c>
      <c r="J72" s="1" t="n">
        <v>-51</v>
      </c>
      <c r="K72" s="1" t="n">
        <v>51.2</v>
      </c>
      <c r="L72" s="1" t="n">
        <v>0</v>
      </c>
      <c r="M72" s="1" t="n">
        <v>0</v>
      </c>
      <c r="N72" s="1" t="s">
        <v>131</v>
      </c>
      <c r="Z72" s="0" t="n">
        <f aca="false">I72-28</f>
        <v>247.7</v>
      </c>
      <c r="AB72" s="0" t="n">
        <f aca="false">IF(Z72&lt;0,Z72+360,Z72+0)</f>
        <v>247.7</v>
      </c>
    </row>
    <row r="73" customFormat="false" ht="15.8" hidden="false" customHeight="false" outlineLevel="0" collapsed="false">
      <c r="A73" s="1" t="n">
        <v>4</v>
      </c>
      <c r="B73" s="1" t="n">
        <v>9</v>
      </c>
      <c r="C73" s="1" t="n">
        <v>1.1</v>
      </c>
      <c r="D73" s="1" t="n">
        <v>1.0044</v>
      </c>
      <c r="E73" s="1" t="n">
        <v>0.0372257</v>
      </c>
      <c r="F73" s="1" t="n">
        <v>0.000101571</v>
      </c>
      <c r="G73" s="1" t="s">
        <v>47</v>
      </c>
      <c r="H73" s="1" t="n">
        <v>59</v>
      </c>
      <c r="I73" s="1" t="n">
        <v>253.6</v>
      </c>
      <c r="J73" s="1" t="n">
        <v>0</v>
      </c>
      <c r="K73" s="1" t="n">
        <v>77.9</v>
      </c>
      <c r="L73" s="1" t="n">
        <v>0</v>
      </c>
      <c r="M73" s="1" t="n">
        <v>0</v>
      </c>
      <c r="N73" s="1" t="s">
        <v>130</v>
      </c>
      <c r="Z73" s="0" t="n">
        <f aca="false">I73-28</f>
        <v>225.6</v>
      </c>
      <c r="AB73" s="0" t="n">
        <f aca="false">IF(Z73&lt;0,Z73+360,Z73+0)</f>
        <v>225.6</v>
      </c>
    </row>
    <row r="74" customFormat="false" ht="15.8" hidden="false" customHeight="false" outlineLevel="0" collapsed="false">
      <c r="A74" s="1" t="n">
        <v>4</v>
      </c>
      <c r="B74" s="1" t="n">
        <v>8</v>
      </c>
      <c r="C74" s="1" t="n">
        <v>4</v>
      </c>
      <c r="D74" s="1" t="n">
        <v>1.1611</v>
      </c>
      <c r="E74" s="1" t="n">
        <v>0.137915</v>
      </c>
      <c r="F74" s="1" t="n">
        <v>0.000376304</v>
      </c>
      <c r="G74" s="1" t="s">
        <v>47</v>
      </c>
      <c r="H74" s="1" t="n">
        <v>54.4</v>
      </c>
      <c r="I74" s="1" t="n">
        <v>310.7</v>
      </c>
      <c r="J74" s="1" t="n">
        <v>-18.7</v>
      </c>
      <c r="K74" s="1" t="n">
        <v>93.6</v>
      </c>
      <c r="L74" s="1" t="n">
        <v>0</v>
      </c>
      <c r="M74" s="1" t="n">
        <v>0</v>
      </c>
      <c r="N74" s="1" t="s">
        <v>128</v>
      </c>
      <c r="Z74" s="0" t="n">
        <f aca="false">I74-28</f>
        <v>282.7</v>
      </c>
      <c r="AB74" s="0" t="n">
        <f aca="false">IF(Z74&lt;0,Z74+360,Z74+0)</f>
        <v>282.7</v>
      </c>
    </row>
    <row r="75" customFormat="false" ht="15.8" hidden="false" customHeight="false" outlineLevel="0" collapsed="false">
      <c r="A75" s="1" t="n">
        <v>4</v>
      </c>
      <c r="B75" s="1" t="n">
        <v>7</v>
      </c>
      <c r="C75" s="1" t="n">
        <v>5.4</v>
      </c>
      <c r="D75" s="1" t="n">
        <v>1.3041</v>
      </c>
      <c r="E75" s="1" t="n">
        <v>0.186051</v>
      </c>
      <c r="F75" s="1" t="n">
        <v>0.000507647</v>
      </c>
      <c r="G75" s="1" t="s">
        <v>47</v>
      </c>
      <c r="H75" s="1" t="n">
        <v>63.1</v>
      </c>
      <c r="I75" s="1" t="n">
        <v>279.3</v>
      </c>
      <c r="J75" s="1" t="n">
        <v>26.4</v>
      </c>
      <c r="K75" s="1" t="n">
        <v>100.2</v>
      </c>
      <c r="L75" s="1" t="n">
        <v>0</v>
      </c>
      <c r="M75" s="1" t="n">
        <v>0</v>
      </c>
      <c r="N75" s="1" t="s">
        <v>125</v>
      </c>
      <c r="Z75" s="0" t="n">
        <f aca="false">I75-28</f>
        <v>251.3</v>
      </c>
      <c r="AB75" s="0" t="n">
        <f aca="false">IF(Z75&lt;0,Z75+360,Z75+0)</f>
        <v>251.3</v>
      </c>
    </row>
    <row r="76" customFormat="false" ht="15.8" hidden="false" customHeight="false" outlineLevel="0" collapsed="false">
      <c r="A76" s="1" t="n">
        <v>4</v>
      </c>
      <c r="B76" s="1" t="n">
        <v>9</v>
      </c>
      <c r="C76" s="1" t="n">
        <v>9.4</v>
      </c>
      <c r="D76" s="1" t="n">
        <v>1.128</v>
      </c>
      <c r="E76" s="1" t="n">
        <v>0.32377</v>
      </c>
      <c r="F76" s="1" t="n">
        <v>0.000883416</v>
      </c>
      <c r="G76" s="1" t="s">
        <v>27</v>
      </c>
      <c r="H76" s="1" t="n">
        <v>38.1</v>
      </c>
      <c r="I76" s="1" t="n">
        <v>188.4</v>
      </c>
      <c r="J76" s="1" t="n">
        <v>2.5</v>
      </c>
      <c r="K76" s="1"/>
      <c r="L76" s="1" t="n">
        <v>0</v>
      </c>
      <c r="M76" s="1" t="n">
        <v>0</v>
      </c>
      <c r="N76" s="1" t="s">
        <v>137</v>
      </c>
      <c r="Z76" s="0" t="n">
        <f aca="false">I76-28</f>
        <v>160.4</v>
      </c>
      <c r="AB76" s="0" t="n">
        <f aca="false">IF(Z76&lt;0,Z76+360,Z76+0)</f>
        <v>160.4</v>
      </c>
    </row>
    <row r="77" customFormat="false" ht="15.8" hidden="false" customHeight="false" outlineLevel="0" collapsed="false">
      <c r="A77" s="1" t="n">
        <v>4</v>
      </c>
      <c r="B77" s="1" t="n">
        <v>10</v>
      </c>
      <c r="C77" s="1" t="n">
        <v>1</v>
      </c>
      <c r="D77" s="1" t="n">
        <v>1.2276</v>
      </c>
      <c r="E77" s="1" t="n">
        <v>0.0354256</v>
      </c>
      <c r="F77" s="1" t="n">
        <v>9.66599E-005</v>
      </c>
      <c r="G77" s="1" t="s">
        <v>27</v>
      </c>
      <c r="H77" s="1" t="n">
        <v>83.4</v>
      </c>
      <c r="I77" s="1" t="n">
        <v>342.3</v>
      </c>
      <c r="J77" s="1" t="n">
        <v>26.1</v>
      </c>
      <c r="K77" s="1"/>
      <c r="L77" s="1" t="n">
        <v>0</v>
      </c>
      <c r="M77" s="1" t="n">
        <v>0</v>
      </c>
      <c r="N77" s="1" t="s">
        <v>138</v>
      </c>
      <c r="Z77" s="0" t="n">
        <f aca="false">I77-28</f>
        <v>314.3</v>
      </c>
      <c r="AB77" s="0" t="n">
        <f aca="false">IF(Z77&lt;0,Z77+360,Z77+0)</f>
        <v>314.3</v>
      </c>
    </row>
    <row r="78" customFormat="false" ht="15.8" hidden="false" customHeight="false" outlineLevel="0" collapsed="false">
      <c r="A78" s="1" t="n">
        <v>4</v>
      </c>
      <c r="B78" s="1" t="n">
        <v>11</v>
      </c>
      <c r="C78" s="1" t="n">
        <v>0.9</v>
      </c>
      <c r="D78" s="1" t="n">
        <v>1.1503</v>
      </c>
      <c r="E78" s="1" t="n">
        <v>0.0292537</v>
      </c>
      <c r="F78" s="1" t="n">
        <v>7.98196E-005</v>
      </c>
      <c r="G78" s="1" t="s">
        <v>27</v>
      </c>
      <c r="H78" s="1" t="n">
        <v>56.4</v>
      </c>
      <c r="I78" s="1" t="n">
        <v>49.8</v>
      </c>
      <c r="J78" s="1" t="n">
        <v>29.9</v>
      </c>
      <c r="K78" s="1"/>
      <c r="L78" s="1" t="n">
        <v>0</v>
      </c>
      <c r="M78" s="1" t="n">
        <v>0</v>
      </c>
      <c r="N78" s="1" t="s">
        <v>139</v>
      </c>
      <c r="Z78" s="0" t="n">
        <f aca="false">I78-28</f>
        <v>21.8</v>
      </c>
      <c r="AB78" s="0" t="n">
        <f aca="false">IF(Z78&lt;0,Z78+360,Z78+0)</f>
        <v>21.8</v>
      </c>
    </row>
    <row r="79" customFormat="false" ht="15.8" hidden="false" customHeight="false" outlineLevel="0" collapsed="false">
      <c r="A79" s="1" t="n">
        <v>4</v>
      </c>
      <c r="B79" s="1" t="n">
        <v>11</v>
      </c>
      <c r="C79" s="1" t="n">
        <v>0.9</v>
      </c>
      <c r="D79" s="1" t="n">
        <v>1.2093</v>
      </c>
      <c r="E79" s="1" t="n">
        <v>0.0308469</v>
      </c>
      <c r="F79" s="1" t="n">
        <v>8.41666E-005</v>
      </c>
      <c r="G79" s="1" t="s">
        <v>27</v>
      </c>
      <c r="H79" s="1" t="n">
        <v>57</v>
      </c>
      <c r="I79" s="1" t="n">
        <v>198.7</v>
      </c>
      <c r="J79" s="1" t="n">
        <v>29.8</v>
      </c>
      <c r="K79" s="1"/>
      <c r="L79" s="1" t="n">
        <v>0</v>
      </c>
      <c r="M79" s="1" t="n">
        <v>0</v>
      </c>
      <c r="N79" s="1" t="s">
        <v>139</v>
      </c>
      <c r="Z79" s="0" t="n">
        <f aca="false">I79-28</f>
        <v>170.7</v>
      </c>
      <c r="AB79" s="0" t="n">
        <f aca="false">IF(Z79&lt;0,Z79+360,Z79+0)</f>
        <v>170.7</v>
      </c>
    </row>
    <row r="80" customFormat="false" ht="15.8" hidden="false" customHeight="false" outlineLevel="0" collapsed="false">
      <c r="A80" s="1" t="n">
        <v>4</v>
      </c>
      <c r="B80" s="1" t="n">
        <v>12</v>
      </c>
      <c r="C80" s="1" t="n">
        <v>2.5</v>
      </c>
      <c r="D80" s="1" t="n">
        <v>1.372</v>
      </c>
      <c r="E80" s="1" t="n">
        <v>0.0870678</v>
      </c>
      <c r="F80" s="1" t="n">
        <v>0.000237567</v>
      </c>
      <c r="G80" s="1" t="s">
        <v>27</v>
      </c>
      <c r="H80" s="1" t="n">
        <v>93.6</v>
      </c>
      <c r="I80" s="1" t="n">
        <v>230</v>
      </c>
      <c r="J80" s="1" t="n">
        <v>-23.6</v>
      </c>
      <c r="K80" s="1"/>
      <c r="L80" s="1" t="n">
        <v>0</v>
      </c>
      <c r="M80" s="1" t="n">
        <v>0</v>
      </c>
      <c r="N80" s="1" t="s">
        <v>140</v>
      </c>
      <c r="Z80" s="0" t="n">
        <f aca="false">I80-28</f>
        <v>202</v>
      </c>
      <c r="AB80" s="0" t="n">
        <f aca="false">IF(Z80&lt;0,Z80+360,Z80+0)</f>
        <v>202</v>
      </c>
    </row>
    <row r="81" customFormat="false" ht="15.8" hidden="false" customHeight="false" outlineLevel="0" collapsed="false">
      <c r="A81" s="1" t="n">
        <v>4</v>
      </c>
      <c r="B81" s="1" t="n">
        <v>13</v>
      </c>
      <c r="C81" s="1" t="n">
        <v>2</v>
      </c>
      <c r="D81" s="1" t="n">
        <v>1.3103</v>
      </c>
      <c r="E81" s="1" t="n">
        <v>0.0682226</v>
      </c>
      <c r="F81" s="1" t="n">
        <v>0.000186147</v>
      </c>
      <c r="G81" s="1" t="s">
        <v>27</v>
      </c>
      <c r="H81" s="1" t="n">
        <v>74.5</v>
      </c>
      <c r="I81" s="1" t="n">
        <v>351</v>
      </c>
      <c r="J81" s="1" t="n">
        <v>29.2</v>
      </c>
      <c r="K81" s="1"/>
      <c r="L81" s="1" t="n">
        <v>0</v>
      </c>
      <c r="M81" s="1" t="n">
        <v>0</v>
      </c>
      <c r="N81" s="1" t="s">
        <v>141</v>
      </c>
      <c r="Z81" s="0" t="n">
        <f aca="false">I81-28</f>
        <v>323</v>
      </c>
      <c r="AB81" s="0" t="n">
        <f aca="false">IF(Z81&lt;0,Z81+360,Z81+0)</f>
        <v>323</v>
      </c>
    </row>
    <row r="82" customFormat="false" ht="15.8" hidden="false" customHeight="false" outlineLevel="0" collapsed="false">
      <c r="A82" s="1" t="n">
        <v>4</v>
      </c>
      <c r="B82" s="1" t="n">
        <v>14</v>
      </c>
      <c r="C82" s="1" t="n">
        <v>2.8</v>
      </c>
      <c r="D82" s="1" t="n">
        <v>1.4864</v>
      </c>
      <c r="E82" s="1" t="n">
        <v>0.0950381</v>
      </c>
      <c r="F82" s="1" t="n">
        <v>0.000259315</v>
      </c>
      <c r="G82" s="1" t="s">
        <v>27</v>
      </c>
      <c r="H82" s="1" t="n">
        <v>68.9</v>
      </c>
      <c r="I82" s="1" t="n">
        <v>250</v>
      </c>
      <c r="J82" s="1" t="n">
        <v>-36.5</v>
      </c>
      <c r="K82" s="1"/>
      <c r="L82" s="1" t="n">
        <v>0</v>
      </c>
      <c r="M82" s="1" t="n">
        <v>0</v>
      </c>
      <c r="N82" s="1" t="s">
        <v>142</v>
      </c>
      <c r="Z82" s="0" t="n">
        <f aca="false">I82-28</f>
        <v>222</v>
      </c>
      <c r="AB82" s="0" t="n">
        <f aca="false">IF(Z82&lt;0,Z82+360,Z82+0)</f>
        <v>222</v>
      </c>
    </row>
    <row r="83" customFormat="false" ht="15.8" hidden="false" customHeight="false" outlineLevel="0" collapsed="false">
      <c r="A83" s="1" t="n">
        <v>4</v>
      </c>
      <c r="B83" s="1" t="n">
        <v>15</v>
      </c>
      <c r="C83" s="1" t="n">
        <v>2.1</v>
      </c>
      <c r="D83" s="1" t="n">
        <v>1.2876</v>
      </c>
      <c r="E83" s="1" t="n">
        <v>0.0711815</v>
      </c>
      <c r="F83" s="1" t="n">
        <v>0.000194221</v>
      </c>
      <c r="G83" s="1" t="s">
        <v>27</v>
      </c>
      <c r="H83" s="1" t="n">
        <v>59.5</v>
      </c>
      <c r="I83" s="1" t="n">
        <v>356.5</v>
      </c>
      <c r="J83" s="1" t="n">
        <v>-27.3</v>
      </c>
      <c r="K83" s="1"/>
      <c r="L83" s="1" t="n">
        <v>0</v>
      </c>
      <c r="M83" s="1" t="n">
        <v>0</v>
      </c>
      <c r="N83" s="1" t="s">
        <v>143</v>
      </c>
      <c r="Z83" s="0" t="n">
        <f aca="false">I83-28</f>
        <v>328.5</v>
      </c>
      <c r="AB83" s="0" t="n">
        <f aca="false">IF(Z83&lt;0,Z83+360,Z83+0)</f>
        <v>328.5</v>
      </c>
    </row>
    <row r="84" customFormat="false" ht="15.8" hidden="false" customHeight="false" outlineLevel="0" collapsed="false">
      <c r="A84" s="1" t="n">
        <v>4</v>
      </c>
      <c r="B84" s="1" t="n">
        <v>15</v>
      </c>
      <c r="C84" s="1" t="n">
        <v>1.4</v>
      </c>
      <c r="D84" s="1" t="n">
        <v>1.2936</v>
      </c>
      <c r="E84" s="1" t="n">
        <v>0.0464718</v>
      </c>
      <c r="F84" s="1" t="n">
        <v>0.0001268</v>
      </c>
      <c r="G84" s="1" t="s">
        <v>27</v>
      </c>
      <c r="H84" s="1" t="n">
        <v>39.1</v>
      </c>
      <c r="I84" s="1" t="n">
        <v>18.8</v>
      </c>
      <c r="J84" s="1" t="n">
        <v>-20.7</v>
      </c>
      <c r="K84" s="1"/>
      <c r="L84" s="1" t="n">
        <v>0</v>
      </c>
      <c r="M84" s="1" t="n">
        <v>0</v>
      </c>
      <c r="N84" s="1" t="s">
        <v>143</v>
      </c>
      <c r="Z84" s="0" t="n">
        <f aca="false">I84-28</f>
        <v>-9.2</v>
      </c>
      <c r="AB84" s="0" t="n">
        <f aca="false">IF(Z84&lt;0,Z84+360,Z84+0)</f>
        <v>350.8</v>
      </c>
    </row>
    <row r="85" customFormat="false" ht="15.8" hidden="false" customHeight="false" outlineLevel="0" collapsed="false">
      <c r="A85" s="1" t="n">
        <v>4</v>
      </c>
      <c r="B85" s="1" t="n">
        <v>14</v>
      </c>
      <c r="C85" s="1" t="n">
        <v>1.9</v>
      </c>
      <c r="D85" s="1" t="n">
        <v>1.3451</v>
      </c>
      <c r="E85" s="1" t="n">
        <v>0.065873</v>
      </c>
      <c r="F85" s="1" t="n">
        <v>0.000179737</v>
      </c>
      <c r="G85" s="1" t="s">
        <v>47</v>
      </c>
      <c r="H85" s="1" t="n">
        <v>134.2</v>
      </c>
      <c r="I85" s="1" t="n">
        <v>59.6</v>
      </c>
      <c r="J85" s="1" t="n">
        <v>-15</v>
      </c>
      <c r="K85" s="1" t="n">
        <v>59.5</v>
      </c>
      <c r="L85" s="1" t="n">
        <v>0</v>
      </c>
      <c r="M85" s="1" t="n">
        <v>0</v>
      </c>
      <c r="N85" s="1" t="s">
        <v>142</v>
      </c>
      <c r="Z85" s="0" t="n">
        <f aca="false">I85-28</f>
        <v>31.6</v>
      </c>
      <c r="AB85" s="0" t="n">
        <f aca="false">IF(Z85&lt;0,Z85+360,Z85+0)</f>
        <v>31.6</v>
      </c>
    </row>
    <row r="86" customFormat="false" ht="15.8" hidden="false" customHeight="false" outlineLevel="0" collapsed="false">
      <c r="A86" s="1" t="n">
        <v>4</v>
      </c>
      <c r="B86" s="1" t="n">
        <v>14</v>
      </c>
      <c r="C86" s="1" t="n">
        <v>1.9</v>
      </c>
      <c r="D86" s="1" t="n">
        <v>1.1714</v>
      </c>
      <c r="E86" s="1" t="n">
        <v>0.0657518</v>
      </c>
      <c r="F86" s="1" t="n">
        <v>0.000179406</v>
      </c>
      <c r="G86" s="1" t="s">
        <v>27</v>
      </c>
      <c r="H86" s="1" t="n">
        <v>25.4</v>
      </c>
      <c r="I86" s="1" t="n">
        <v>168.2</v>
      </c>
      <c r="J86" s="1" t="n">
        <v>13.1</v>
      </c>
      <c r="K86" s="1"/>
      <c r="L86" s="1" t="n">
        <v>0</v>
      </c>
      <c r="M86" s="1" t="n">
        <v>0</v>
      </c>
      <c r="N86" s="1" t="s">
        <v>142</v>
      </c>
      <c r="Z86" s="0" t="n">
        <f aca="false">I86-28</f>
        <v>140.2</v>
      </c>
      <c r="AB86" s="0" t="n">
        <f aca="false">IF(Z86&lt;0,Z86+360,Z86+0)</f>
        <v>140.2</v>
      </c>
    </row>
    <row r="87" customFormat="false" ht="15.8" hidden="false" customHeight="false" outlineLevel="0" collapsed="false">
      <c r="A87" s="1" t="n">
        <v>4</v>
      </c>
      <c r="B87" s="1" t="n">
        <v>13</v>
      </c>
      <c r="C87" s="1" t="n">
        <v>3.1</v>
      </c>
      <c r="D87" s="1" t="n">
        <v>1.1001</v>
      </c>
      <c r="E87" s="1" t="n">
        <v>0.105875</v>
      </c>
      <c r="F87" s="1" t="n">
        <v>0.000288883</v>
      </c>
      <c r="G87" s="1" t="s">
        <v>47</v>
      </c>
      <c r="H87" s="1" t="n">
        <v>100.2</v>
      </c>
      <c r="I87" s="1" t="n">
        <v>193.4</v>
      </c>
      <c r="J87" s="1" t="n">
        <v>7.6</v>
      </c>
      <c r="K87" s="1" t="n">
        <v>134.2</v>
      </c>
      <c r="L87" s="1" t="n">
        <v>0</v>
      </c>
      <c r="M87" s="1" t="n">
        <v>0</v>
      </c>
      <c r="N87" s="1" t="s">
        <v>141</v>
      </c>
      <c r="Z87" s="0" t="n">
        <f aca="false">I87-28</f>
        <v>165.4</v>
      </c>
      <c r="AB87" s="0" t="n">
        <f aca="false">IF(Z87&lt;0,Z87+360,Z87+0)</f>
        <v>165.4</v>
      </c>
    </row>
    <row r="88" customFormat="false" ht="15.8" hidden="false" customHeight="false" outlineLevel="0" collapsed="false">
      <c r="A88" s="1" t="n">
        <v>4</v>
      </c>
      <c r="B88" s="1" t="n">
        <v>12</v>
      </c>
      <c r="C88" s="1" t="n">
        <v>1.6</v>
      </c>
      <c r="D88" s="1" t="n">
        <v>1.3056</v>
      </c>
      <c r="E88" s="1" t="n">
        <v>0.0533065</v>
      </c>
      <c r="F88" s="1" t="n">
        <v>0.000145448</v>
      </c>
      <c r="G88" s="1" t="s">
        <v>47</v>
      </c>
      <c r="H88" s="1" t="n">
        <v>61.2</v>
      </c>
      <c r="I88" s="1" t="n">
        <v>84</v>
      </c>
      <c r="J88" s="1" t="n">
        <v>38.4</v>
      </c>
      <c r="K88" s="1" t="n">
        <v>100.2</v>
      </c>
      <c r="L88" s="1" t="n">
        <v>0</v>
      </c>
      <c r="M88" s="1" t="n">
        <v>0</v>
      </c>
      <c r="N88" s="1" t="s">
        <v>140</v>
      </c>
      <c r="Z88" s="0" t="n">
        <f aca="false">I88-28</f>
        <v>56</v>
      </c>
      <c r="AB88" s="0" t="n">
        <f aca="false">IF(Z88&lt;0,Z88+360,Z88+0)</f>
        <v>56</v>
      </c>
    </row>
    <row r="89" customFormat="false" ht="15.8" hidden="false" customHeight="false" outlineLevel="0" collapsed="false">
      <c r="A89" s="1" t="n">
        <v>4</v>
      </c>
      <c r="B89" s="1" t="n">
        <v>11</v>
      </c>
      <c r="C89" s="1" t="n">
        <v>0.9</v>
      </c>
      <c r="D89" s="1" t="n">
        <v>1.009</v>
      </c>
      <c r="E89" s="1" t="n">
        <v>0.0299069</v>
      </c>
      <c r="F89" s="1" t="n">
        <v>8.1602E-005</v>
      </c>
      <c r="G89" s="1" t="s">
        <v>47</v>
      </c>
      <c r="H89" s="1" t="n">
        <v>67.7</v>
      </c>
      <c r="I89" s="1" t="n">
        <v>136</v>
      </c>
      <c r="J89" s="1" t="n">
        <v>0</v>
      </c>
      <c r="K89" s="1" t="n">
        <v>93.6</v>
      </c>
      <c r="L89" s="1" t="n">
        <v>0</v>
      </c>
      <c r="M89" s="1" t="n">
        <v>0</v>
      </c>
      <c r="N89" s="1" t="s">
        <v>139</v>
      </c>
      <c r="Z89" s="0" t="n">
        <f aca="false">I89-28</f>
        <v>108</v>
      </c>
      <c r="AB89" s="0" t="n">
        <f aca="false">IF(Z89&lt;0,Z89+360,Z89+0)</f>
        <v>108</v>
      </c>
    </row>
    <row r="90" customFormat="false" ht="15.8" hidden="false" customHeight="false" outlineLevel="0" collapsed="false">
      <c r="A90" s="1" t="n">
        <v>4</v>
      </c>
      <c r="B90" s="1" t="n">
        <v>10</v>
      </c>
      <c r="C90" s="1" t="n">
        <v>4.5</v>
      </c>
      <c r="D90" s="1" t="n">
        <v>1.1221</v>
      </c>
      <c r="E90" s="1" t="n">
        <v>0.154476</v>
      </c>
      <c r="F90" s="1" t="n">
        <v>0.000421492</v>
      </c>
      <c r="G90" s="1" t="s">
        <v>47</v>
      </c>
      <c r="H90" s="1" t="n">
        <v>22.7</v>
      </c>
      <c r="I90" s="1" t="n">
        <v>123.6</v>
      </c>
      <c r="J90" s="1" t="n">
        <v>67.2</v>
      </c>
      <c r="K90" s="1" t="n">
        <v>67.7</v>
      </c>
      <c r="L90" s="1" t="n">
        <v>0</v>
      </c>
      <c r="M90" s="1" t="n">
        <v>0</v>
      </c>
      <c r="N90" s="1" t="s">
        <v>138</v>
      </c>
      <c r="Z90" s="0" t="n">
        <f aca="false">I90-28</f>
        <v>95.6</v>
      </c>
      <c r="AB90" s="0" t="n">
        <f aca="false">IF(Z90&lt;0,Z90+360,Z90+0)</f>
        <v>95.6</v>
      </c>
    </row>
    <row r="91" customFormat="false" ht="15.8" hidden="false" customHeight="false" outlineLevel="0" collapsed="false">
      <c r="A91" s="1" t="n">
        <v>4</v>
      </c>
      <c r="B91" s="1" t="n">
        <v>9</v>
      </c>
      <c r="C91" s="1" t="n">
        <v>1.8</v>
      </c>
      <c r="D91" s="1" t="n">
        <v>1.2217</v>
      </c>
      <c r="E91" s="1" t="n">
        <v>0.0609783</v>
      </c>
      <c r="F91" s="1" t="n">
        <v>0.000166381</v>
      </c>
      <c r="G91" s="1" t="s">
        <v>47</v>
      </c>
      <c r="H91" s="1" t="n">
        <v>56.7</v>
      </c>
      <c r="I91" s="1" t="n">
        <v>94.7</v>
      </c>
      <c r="J91" s="1" t="n">
        <v>49.7</v>
      </c>
      <c r="K91" s="1" t="n">
        <v>83.4</v>
      </c>
      <c r="L91" s="1" t="n">
        <v>0</v>
      </c>
      <c r="M91" s="1" t="n">
        <v>0</v>
      </c>
      <c r="N91" s="1" t="s">
        <v>137</v>
      </c>
      <c r="Z91" s="0" t="n">
        <f aca="false">I91-28</f>
        <v>66.7</v>
      </c>
      <c r="AB91" s="0" t="n">
        <f aca="false">IF(Z91&lt;0,Z91+360,Z91+0)</f>
        <v>66.7</v>
      </c>
    </row>
    <row r="92" customFormat="false" ht="15.8" hidden="false" customHeight="false" outlineLevel="0" collapsed="false">
      <c r="A92" s="1" t="n">
        <v>4</v>
      </c>
      <c r="B92" s="1" t="n">
        <v>8</v>
      </c>
      <c r="C92" s="1" t="n">
        <v>3</v>
      </c>
      <c r="D92" s="1" t="n">
        <v>1.1494</v>
      </c>
      <c r="E92" s="1" t="n">
        <v>0.102368</v>
      </c>
      <c r="F92" s="1" t="n">
        <v>0.000279315</v>
      </c>
      <c r="G92" s="1" t="s">
        <v>47</v>
      </c>
      <c r="H92" s="1" t="n">
        <v>50.5</v>
      </c>
      <c r="I92" s="1" t="n">
        <v>152.3</v>
      </c>
      <c r="J92" s="1" t="n">
        <v>16.6</v>
      </c>
      <c r="K92" s="1" t="n">
        <v>56.7</v>
      </c>
      <c r="L92" s="1" t="n">
        <v>0</v>
      </c>
      <c r="M92" s="1" t="n">
        <v>0</v>
      </c>
      <c r="N92" s="1" t="s">
        <v>144</v>
      </c>
      <c r="Z92" s="0" t="n">
        <f aca="false">I92-28</f>
        <v>124.3</v>
      </c>
      <c r="AB92" s="0" t="n">
        <f aca="false">IF(Z92&lt;0,Z92+360,Z92+0)</f>
        <v>124.3</v>
      </c>
    </row>
    <row r="93" customFormat="false" ht="15.8" hidden="false" customHeight="false" outlineLevel="0" collapsed="false">
      <c r="A93" s="1" t="n">
        <v>4</v>
      </c>
      <c r="B93" s="1" t="n">
        <v>9</v>
      </c>
      <c r="C93" s="1" t="n">
        <v>1.4</v>
      </c>
      <c r="D93" s="1" t="n">
        <v>1.1855</v>
      </c>
      <c r="E93" s="1" t="n">
        <v>0.0474797</v>
      </c>
      <c r="F93" s="1" t="n">
        <v>0.00012955</v>
      </c>
      <c r="G93" s="1" t="s">
        <v>27</v>
      </c>
      <c r="H93" s="1" t="n">
        <v>97.3</v>
      </c>
      <c r="I93" s="1" t="n">
        <v>307.1</v>
      </c>
      <c r="J93" s="1" t="n">
        <v>39.3</v>
      </c>
      <c r="K93" s="1"/>
      <c r="L93" s="1" t="n">
        <v>0</v>
      </c>
      <c r="M93" s="1" t="n">
        <v>0</v>
      </c>
      <c r="N93" s="1" t="s">
        <v>145</v>
      </c>
      <c r="Z93" s="0" t="n">
        <f aca="false">I93-28</f>
        <v>279.1</v>
      </c>
      <c r="AB93" s="0" t="n">
        <f aca="false">IF(Z93&lt;0,Z93+360,Z93+0)</f>
        <v>279.1</v>
      </c>
    </row>
    <row r="94" customFormat="false" ht="15.8" hidden="false" customHeight="false" outlineLevel="0" collapsed="false">
      <c r="A94" s="1" t="n">
        <v>4</v>
      </c>
      <c r="B94" s="1" t="n">
        <v>10</v>
      </c>
      <c r="C94" s="1" t="n">
        <v>1.4</v>
      </c>
      <c r="D94" s="1" t="n">
        <v>1.2247</v>
      </c>
      <c r="E94" s="1" t="n">
        <v>0.047929</v>
      </c>
      <c r="F94" s="1" t="n">
        <v>0.000130776</v>
      </c>
      <c r="G94" s="1" t="s">
        <v>27</v>
      </c>
      <c r="H94" s="1" t="n">
        <v>91.1</v>
      </c>
      <c r="I94" s="1" t="n">
        <v>101.6</v>
      </c>
      <c r="J94" s="1" t="n">
        <v>40.4</v>
      </c>
      <c r="K94" s="1"/>
      <c r="L94" s="1" t="n">
        <v>0</v>
      </c>
      <c r="M94" s="1" t="n">
        <v>0</v>
      </c>
      <c r="N94" s="1" t="s">
        <v>146</v>
      </c>
      <c r="Z94" s="0" t="n">
        <f aca="false">I94-28</f>
        <v>73.6</v>
      </c>
      <c r="AB94" s="0" t="n">
        <f aca="false">IF(Z94&lt;0,Z94+360,Z94+0)</f>
        <v>73.6</v>
      </c>
    </row>
    <row r="95" customFormat="false" ht="15.8" hidden="false" customHeight="false" outlineLevel="0" collapsed="false">
      <c r="A95" s="1" t="n">
        <v>4</v>
      </c>
      <c r="B95" s="1" t="n">
        <v>12</v>
      </c>
      <c r="C95" s="1" t="n">
        <v>3.9</v>
      </c>
      <c r="D95" s="1" t="n">
        <v>1.312</v>
      </c>
      <c r="E95" s="1" t="n">
        <v>0.133698</v>
      </c>
      <c r="F95" s="1" t="n">
        <v>0.000364799</v>
      </c>
      <c r="G95" s="1" t="s">
        <v>27</v>
      </c>
      <c r="H95" s="1" t="n">
        <v>132.6</v>
      </c>
      <c r="I95" s="1" t="n">
        <v>88.1</v>
      </c>
      <c r="J95" s="1" t="n">
        <v>38.5</v>
      </c>
      <c r="K95" s="1"/>
      <c r="L95" s="1" t="n">
        <v>0</v>
      </c>
      <c r="M95" s="1" t="n">
        <v>0</v>
      </c>
      <c r="N95" s="1" t="s">
        <v>147</v>
      </c>
      <c r="Z95" s="0" t="n">
        <f aca="false">I95-28</f>
        <v>60.1</v>
      </c>
      <c r="AB95" s="0" t="n">
        <f aca="false">IF(Z95&lt;0,Z95+360,Z95+0)</f>
        <v>60.1</v>
      </c>
    </row>
    <row r="96" customFormat="false" ht="15.8" hidden="false" customHeight="false" outlineLevel="0" collapsed="false">
      <c r="A96" s="1" t="n">
        <v>4</v>
      </c>
      <c r="B96" s="1" t="n">
        <v>13</v>
      </c>
      <c r="C96" s="1" t="n">
        <v>2</v>
      </c>
      <c r="D96" s="1" t="n">
        <v>1.1128</v>
      </c>
      <c r="E96" s="1" t="n">
        <v>0.0702765</v>
      </c>
      <c r="F96" s="1" t="n">
        <v>0.000191751</v>
      </c>
      <c r="G96" s="1" t="s">
        <v>27</v>
      </c>
      <c r="H96" s="1" t="n">
        <v>117.2</v>
      </c>
      <c r="I96" s="1" t="n">
        <v>145.3</v>
      </c>
      <c r="J96" s="1" t="n">
        <v>-11.6</v>
      </c>
      <c r="K96" s="1"/>
      <c r="L96" s="1" t="n">
        <v>0</v>
      </c>
      <c r="M96" s="1" t="n">
        <v>0</v>
      </c>
      <c r="N96" s="1" t="s">
        <v>148</v>
      </c>
      <c r="Z96" s="0" t="n">
        <f aca="false">I96-28</f>
        <v>117.3</v>
      </c>
      <c r="AB96" s="0" t="n">
        <f aca="false">IF(Z96&lt;0,Z96+360,Z96+0)</f>
        <v>117.3</v>
      </c>
    </row>
    <row r="97" customFormat="false" ht="15.8" hidden="false" customHeight="false" outlineLevel="0" collapsed="false">
      <c r="A97" s="1" t="n">
        <v>4</v>
      </c>
      <c r="B97" s="1" t="n">
        <v>13</v>
      </c>
      <c r="C97" s="1" t="n">
        <v>4.1</v>
      </c>
      <c r="D97" s="1" t="n">
        <v>1.2362</v>
      </c>
      <c r="E97" s="1" t="n">
        <v>0.142081</v>
      </c>
      <c r="F97" s="1" t="n">
        <v>0.000387672</v>
      </c>
      <c r="G97" s="1" t="s">
        <v>27</v>
      </c>
      <c r="H97" s="1" t="n">
        <v>45.6</v>
      </c>
      <c r="I97" s="1" t="n">
        <v>285.1</v>
      </c>
      <c r="J97" s="1" t="n">
        <v>26.2</v>
      </c>
      <c r="K97" s="1"/>
      <c r="L97" s="1" t="n">
        <v>0</v>
      </c>
      <c r="M97" s="1" t="n">
        <v>0</v>
      </c>
      <c r="N97" s="1" t="s">
        <v>148</v>
      </c>
      <c r="Z97" s="0" t="n">
        <f aca="false">I97-28</f>
        <v>257.1</v>
      </c>
      <c r="AB97" s="0" t="n">
        <f aca="false">IF(Z97&lt;0,Z97+360,Z97+0)</f>
        <v>257.1</v>
      </c>
    </row>
    <row r="98" customFormat="false" ht="15.8" hidden="false" customHeight="false" outlineLevel="0" collapsed="false">
      <c r="A98" s="1" t="n">
        <v>4</v>
      </c>
      <c r="B98" s="1" t="n">
        <v>14</v>
      </c>
      <c r="C98" s="1" t="n">
        <v>1.2</v>
      </c>
      <c r="D98" s="1" t="n">
        <v>1.4123</v>
      </c>
      <c r="E98" s="1" t="n">
        <v>0.0419126</v>
      </c>
      <c r="F98" s="1" t="n">
        <v>0.00011436</v>
      </c>
      <c r="G98" s="1" t="s">
        <v>27</v>
      </c>
      <c r="H98" s="1" t="n">
        <v>82.1</v>
      </c>
      <c r="I98" s="1" t="n">
        <v>337</v>
      </c>
      <c r="J98" s="1" t="n">
        <v>25.3</v>
      </c>
      <c r="K98" s="1"/>
      <c r="L98" s="1" t="n">
        <v>0</v>
      </c>
      <c r="M98" s="1" t="n">
        <v>0</v>
      </c>
      <c r="N98" s="1" t="s">
        <v>149</v>
      </c>
      <c r="Z98" s="0" t="n">
        <f aca="false">I98-28</f>
        <v>309</v>
      </c>
      <c r="AB98" s="0" t="n">
        <f aca="false">IF(Z98&lt;0,Z98+360,Z98+0)</f>
        <v>309</v>
      </c>
    </row>
    <row r="99" customFormat="false" ht="15.8" hidden="false" customHeight="false" outlineLevel="0" collapsed="false">
      <c r="A99" s="1" t="n">
        <v>4</v>
      </c>
      <c r="B99" s="1" t="n">
        <v>14</v>
      </c>
      <c r="C99" s="1" t="n">
        <v>10.1</v>
      </c>
      <c r="D99" s="1" t="n">
        <v>1.497</v>
      </c>
      <c r="E99" s="1" t="n">
        <v>0.34661</v>
      </c>
      <c r="F99" s="1" t="n">
        <v>0.000945737</v>
      </c>
      <c r="G99" s="1" t="s">
        <v>27</v>
      </c>
      <c r="H99" s="1" t="n">
        <v>60.7</v>
      </c>
      <c r="I99" s="1" t="n">
        <v>249.3</v>
      </c>
      <c r="J99" s="1" t="n">
        <v>-41.1</v>
      </c>
      <c r="K99" s="1"/>
      <c r="L99" s="1" t="n">
        <v>0</v>
      </c>
      <c r="M99" s="1" t="n">
        <v>0</v>
      </c>
      <c r="N99" s="1" t="s">
        <v>149</v>
      </c>
      <c r="Z99" s="0" t="n">
        <f aca="false">I99-28</f>
        <v>221.3</v>
      </c>
      <c r="AB99" s="0" t="n">
        <f aca="false">IF(Z99&lt;0,Z99+360,Z99+0)</f>
        <v>221.3</v>
      </c>
    </row>
    <row r="100" customFormat="false" ht="15.8" hidden="false" customHeight="false" outlineLevel="0" collapsed="false">
      <c r="A100" s="1" t="n">
        <v>4</v>
      </c>
      <c r="B100" s="1" t="n">
        <v>13</v>
      </c>
      <c r="C100" s="1" t="n">
        <v>1.1</v>
      </c>
      <c r="D100" s="1" t="n">
        <v>1.2452</v>
      </c>
      <c r="E100" s="1" t="n">
        <v>0.0379518</v>
      </c>
      <c r="F100" s="1" t="n">
        <v>0.000103553</v>
      </c>
      <c r="G100" s="1" t="s">
        <v>47</v>
      </c>
      <c r="H100" s="1" t="n">
        <v>70.2</v>
      </c>
      <c r="I100" s="1" t="n">
        <v>347.2</v>
      </c>
      <c r="J100" s="1" t="n">
        <v>-56.4</v>
      </c>
      <c r="K100" s="1" t="n">
        <v>82.1</v>
      </c>
      <c r="L100" s="1" t="n">
        <v>0</v>
      </c>
      <c r="M100" s="1" t="n">
        <v>0</v>
      </c>
      <c r="N100" s="1" t="s">
        <v>148</v>
      </c>
      <c r="Z100" s="0" t="n">
        <f aca="false">I100-28</f>
        <v>319.2</v>
      </c>
      <c r="AB100" s="0" t="n">
        <f aca="false">IF(Z100&lt;0,Z100+360,Z100+0)</f>
        <v>319.2</v>
      </c>
    </row>
    <row r="101" customFormat="false" ht="15.8" hidden="false" customHeight="false" outlineLevel="0" collapsed="false">
      <c r="A101" s="1" t="n">
        <v>4</v>
      </c>
      <c r="B101" s="1" t="n">
        <v>12</v>
      </c>
      <c r="C101" s="1" t="n">
        <v>1.5</v>
      </c>
      <c r="D101" s="1" t="n">
        <v>1.1294</v>
      </c>
      <c r="E101" s="1" t="n">
        <v>0.0506876</v>
      </c>
      <c r="F101" s="1" t="n">
        <v>0.000138303</v>
      </c>
      <c r="G101" s="1" t="s">
        <v>47</v>
      </c>
      <c r="H101" s="1" t="n">
        <v>33.6</v>
      </c>
      <c r="I101" s="1" t="n">
        <v>268.5</v>
      </c>
      <c r="J101" s="1" t="n">
        <v>-16.4</v>
      </c>
      <c r="K101" s="1" t="n">
        <v>117.2</v>
      </c>
      <c r="L101" s="1" t="n">
        <v>0</v>
      </c>
      <c r="M101" s="1" t="n">
        <v>0</v>
      </c>
      <c r="N101" s="1" t="s">
        <v>147</v>
      </c>
      <c r="Z101" s="0" t="n">
        <f aca="false">I101-28</f>
        <v>240.5</v>
      </c>
      <c r="AB101" s="0" t="n">
        <f aca="false">IF(Z101&lt;0,Z101+360,Z101+0)</f>
        <v>240.5</v>
      </c>
    </row>
    <row r="102" customFormat="false" ht="15.8" hidden="false" customHeight="false" outlineLevel="0" collapsed="false">
      <c r="A102" s="1" t="n">
        <v>4</v>
      </c>
      <c r="B102" s="1" t="n">
        <v>11</v>
      </c>
      <c r="C102" s="1" t="n">
        <v>1</v>
      </c>
      <c r="D102" s="1" t="n">
        <v>1.0135</v>
      </c>
      <c r="E102" s="1" t="n">
        <v>0.0344455</v>
      </c>
      <c r="F102" s="1" t="n">
        <v>9.39857E-005</v>
      </c>
      <c r="G102" s="1" t="s">
        <v>47</v>
      </c>
      <c r="H102" s="1" t="n">
        <v>82.8</v>
      </c>
      <c r="I102" s="1" t="n">
        <v>298.3</v>
      </c>
      <c r="J102" s="1" t="n">
        <v>0</v>
      </c>
      <c r="K102" s="1" t="n">
        <v>132.6</v>
      </c>
      <c r="L102" s="1" t="n">
        <v>0</v>
      </c>
      <c r="M102" s="1" t="n">
        <v>0</v>
      </c>
      <c r="N102" s="1" t="s">
        <v>150</v>
      </c>
      <c r="Z102" s="0" t="n">
        <f aca="false">I102-28</f>
        <v>270.3</v>
      </c>
      <c r="AB102" s="0" t="n">
        <f aca="false">IF(Z102&lt;0,Z102+360,Z102+0)</f>
        <v>270.3</v>
      </c>
    </row>
    <row r="103" customFormat="false" ht="15.8" hidden="false" customHeight="false" outlineLevel="0" collapsed="false">
      <c r="A103" s="1" t="n">
        <v>4</v>
      </c>
      <c r="B103" s="1" t="n">
        <v>12</v>
      </c>
      <c r="C103" s="1" t="n">
        <v>4.3</v>
      </c>
      <c r="D103" s="1" t="n">
        <v>1.3048</v>
      </c>
      <c r="E103" s="1" t="n">
        <v>0.148552</v>
      </c>
      <c r="F103" s="1" t="n">
        <v>0.000405328</v>
      </c>
      <c r="G103" s="1" t="s">
        <v>27</v>
      </c>
      <c r="H103" s="1" t="n">
        <v>63.1</v>
      </c>
      <c r="I103" s="1" t="n">
        <v>80.9</v>
      </c>
      <c r="J103" s="1" t="n">
        <v>51.3</v>
      </c>
      <c r="K103" s="1"/>
      <c r="L103" s="1" t="n">
        <v>0</v>
      </c>
      <c r="M103" s="1" t="n">
        <v>0</v>
      </c>
      <c r="N103" s="1" t="s">
        <v>151</v>
      </c>
      <c r="Z103" s="0" t="n">
        <f aca="false">I103-28</f>
        <v>52.9</v>
      </c>
      <c r="AB103" s="0" t="n">
        <f aca="false">IF(Z103&lt;0,Z103+360,Z103+0)</f>
        <v>52.9</v>
      </c>
    </row>
    <row r="104" customFormat="false" ht="15.8" hidden="false" customHeight="false" outlineLevel="0" collapsed="false">
      <c r="A104" s="1" t="n">
        <v>4</v>
      </c>
      <c r="B104" s="1" t="n">
        <v>13</v>
      </c>
      <c r="C104" s="1" t="n">
        <v>1.3</v>
      </c>
      <c r="D104" s="1" t="n">
        <v>1.0179</v>
      </c>
      <c r="E104" s="1" t="n">
        <v>0.0803284</v>
      </c>
      <c r="F104" s="1" t="n">
        <v>0.000412254</v>
      </c>
      <c r="G104" s="1" t="s">
        <v>27</v>
      </c>
      <c r="H104" s="1" t="n">
        <v>74.4</v>
      </c>
      <c r="I104" s="1" t="n">
        <v>283</v>
      </c>
      <c r="J104" s="1" t="n">
        <v>-62.3</v>
      </c>
      <c r="K104" s="1"/>
      <c r="L104" s="1" t="n">
        <v>0</v>
      </c>
      <c r="M104" s="1" t="n">
        <v>0</v>
      </c>
      <c r="N104" s="1" t="s">
        <v>152</v>
      </c>
      <c r="Z104" s="0" t="n">
        <f aca="false">I104-28</f>
        <v>255</v>
      </c>
      <c r="AB104" s="0" t="n">
        <f aca="false">IF(Z104&lt;0,Z104+360,Z104+0)</f>
        <v>255</v>
      </c>
    </row>
    <row r="105" customFormat="false" ht="15.8" hidden="false" customHeight="false" outlineLevel="0" collapsed="false">
      <c r="A105" s="1" t="n">
        <v>4</v>
      </c>
      <c r="B105" s="1" t="n">
        <v>13</v>
      </c>
      <c r="C105" s="1" t="n">
        <v>16</v>
      </c>
      <c r="D105" s="1" t="n">
        <v>1.325</v>
      </c>
      <c r="E105" s="1" t="n">
        <v>0.550123</v>
      </c>
      <c r="F105" s="1" t="n">
        <v>0.00150103</v>
      </c>
      <c r="G105" s="1" t="s">
        <v>27</v>
      </c>
      <c r="H105" s="1" t="n">
        <v>44.8</v>
      </c>
      <c r="I105" s="1" t="n">
        <v>185.4</v>
      </c>
      <c r="J105" s="1" t="n">
        <v>27.3</v>
      </c>
      <c r="K105" s="1"/>
      <c r="L105" s="1" t="n">
        <v>0</v>
      </c>
      <c r="M105" s="1" t="n">
        <v>0</v>
      </c>
      <c r="N105" s="1" t="s">
        <v>152</v>
      </c>
      <c r="Z105" s="0" t="n">
        <f aca="false">I105-28</f>
        <v>157.4</v>
      </c>
      <c r="AB105" s="0" t="n">
        <f aca="false">IF(Z105&lt;0,Z105+360,Z105+0)</f>
        <v>157.4</v>
      </c>
    </row>
    <row r="106" customFormat="false" ht="15.8" hidden="false" customHeight="false" outlineLevel="0" collapsed="false">
      <c r="A106" s="1" t="n">
        <v>4</v>
      </c>
      <c r="B106" s="1" t="n">
        <v>12</v>
      </c>
      <c r="C106" s="1" t="n">
        <v>5.3</v>
      </c>
      <c r="D106" s="1" t="n">
        <v>1.2197</v>
      </c>
      <c r="E106" s="1" t="n">
        <v>0.18257</v>
      </c>
      <c r="F106" s="1" t="n">
        <v>0.000498148</v>
      </c>
      <c r="G106" s="1" t="s">
        <v>47</v>
      </c>
      <c r="H106" s="1" t="n">
        <v>72</v>
      </c>
      <c r="I106" s="1" t="n">
        <v>217.7</v>
      </c>
      <c r="J106" s="1" t="n">
        <v>-4.9</v>
      </c>
      <c r="K106" s="1" t="n">
        <v>74.4</v>
      </c>
      <c r="L106" s="1" t="n">
        <v>0</v>
      </c>
      <c r="M106" s="1" t="n">
        <v>0</v>
      </c>
      <c r="N106" s="1" t="s">
        <v>151</v>
      </c>
      <c r="Z106" s="0" t="n">
        <f aca="false">I106-28</f>
        <v>189.7</v>
      </c>
      <c r="AB106" s="0" t="n">
        <f aca="false">IF(Z106&lt;0,Z106+360,Z106+0)</f>
        <v>189.7</v>
      </c>
    </row>
    <row r="107" customFormat="false" ht="15.8" hidden="false" customHeight="false" outlineLevel="0" collapsed="false">
      <c r="A107" s="1" t="n">
        <v>4</v>
      </c>
      <c r="B107" s="1" t="n">
        <v>11</v>
      </c>
      <c r="C107" s="1" t="n">
        <v>1.5</v>
      </c>
      <c r="D107" s="1" t="n">
        <v>1.1535</v>
      </c>
      <c r="E107" s="1" t="n">
        <v>0.05193</v>
      </c>
      <c r="F107" s="1" t="n">
        <v>0.000141693</v>
      </c>
      <c r="G107" s="1" t="s">
        <v>47</v>
      </c>
      <c r="H107" s="1" t="n">
        <v>72.6</v>
      </c>
      <c r="I107" s="1" t="n">
        <v>148.1</v>
      </c>
      <c r="J107" s="1" t="n">
        <v>16.4</v>
      </c>
      <c r="K107" s="1" t="n">
        <v>72</v>
      </c>
      <c r="L107" s="1" t="n">
        <v>0</v>
      </c>
      <c r="M107" s="1" t="n">
        <v>0</v>
      </c>
      <c r="N107" s="1" t="s">
        <v>150</v>
      </c>
      <c r="Z107" s="0" t="n">
        <f aca="false">I107-28</f>
        <v>120.1</v>
      </c>
      <c r="AB107" s="0" t="n">
        <f aca="false">IF(Z107&lt;0,Z107+360,Z107+0)</f>
        <v>120.1</v>
      </c>
    </row>
    <row r="108" customFormat="false" ht="15.8" hidden="false" customHeight="false" outlineLevel="0" collapsed="false">
      <c r="A108" s="1" t="n">
        <v>4</v>
      </c>
      <c r="B108" s="1" t="n">
        <v>10</v>
      </c>
      <c r="C108" s="1" t="n">
        <v>3.9</v>
      </c>
      <c r="D108" s="1" t="n">
        <v>1.111</v>
      </c>
      <c r="E108" s="1" t="n">
        <v>0.132932</v>
      </c>
      <c r="F108" s="1" t="n">
        <v>0.000362708</v>
      </c>
      <c r="G108" s="1" t="s">
        <v>47</v>
      </c>
      <c r="H108" s="1" t="n">
        <v>25.6</v>
      </c>
      <c r="I108" s="1" t="n">
        <v>215.6</v>
      </c>
      <c r="J108" s="1" t="n">
        <v>-12.2</v>
      </c>
      <c r="K108" s="1" t="n">
        <v>82.8</v>
      </c>
      <c r="L108" s="1" t="n">
        <v>0</v>
      </c>
      <c r="M108" s="1" t="n">
        <v>0</v>
      </c>
      <c r="N108" s="1" t="s">
        <v>146</v>
      </c>
      <c r="Z108" s="0" t="n">
        <f aca="false">I108-28</f>
        <v>187.6</v>
      </c>
      <c r="AB108" s="0" t="n">
        <f aca="false">IF(Z108&lt;0,Z108+360,Z108+0)</f>
        <v>187.6</v>
      </c>
    </row>
    <row r="109" customFormat="false" ht="15.8" hidden="false" customHeight="false" outlineLevel="0" collapsed="false">
      <c r="A109" s="1" t="n">
        <v>4</v>
      </c>
      <c r="B109" s="1" t="n">
        <v>9</v>
      </c>
      <c r="C109" s="1" t="n">
        <v>0.9</v>
      </c>
      <c r="D109" s="1" t="n">
        <v>1.006</v>
      </c>
      <c r="E109" s="1" t="n">
        <v>0.0301345</v>
      </c>
      <c r="F109" s="1" t="n">
        <v>8.22229E-005</v>
      </c>
      <c r="G109" s="1" t="s">
        <v>47</v>
      </c>
      <c r="H109" s="1" t="n">
        <v>19.5</v>
      </c>
      <c r="I109" s="1" t="n">
        <v>193</v>
      </c>
      <c r="J109" s="1" t="n">
        <v>0</v>
      </c>
      <c r="K109" s="1" t="n">
        <v>91.1</v>
      </c>
      <c r="L109" s="1" t="n">
        <v>0</v>
      </c>
      <c r="M109" s="1" t="n">
        <v>0</v>
      </c>
      <c r="N109" s="1" t="s">
        <v>145</v>
      </c>
      <c r="Z109" s="0" t="n">
        <f aca="false">I109-28</f>
        <v>165</v>
      </c>
      <c r="AB109" s="0" t="n">
        <f aca="false">IF(Z109&lt;0,Z109+360,Z109+0)</f>
        <v>165</v>
      </c>
    </row>
    <row r="110" customFormat="false" ht="15.8" hidden="false" customHeight="false" outlineLevel="0" collapsed="false">
      <c r="A110" s="1" t="n">
        <v>4</v>
      </c>
      <c r="B110" s="1" t="n">
        <v>8</v>
      </c>
      <c r="C110" s="1" t="n">
        <v>4.5</v>
      </c>
      <c r="D110" s="1" t="n">
        <v>1.0762</v>
      </c>
      <c r="E110" s="1" t="n">
        <v>0.15417</v>
      </c>
      <c r="F110" s="1" t="n">
        <v>0.000420657</v>
      </c>
      <c r="G110" s="1" t="s">
        <v>47</v>
      </c>
      <c r="H110" s="1" t="n">
        <v>12.2</v>
      </c>
      <c r="I110" s="1" t="n">
        <v>211.8</v>
      </c>
      <c r="J110" s="1" t="n">
        <v>-5.1</v>
      </c>
      <c r="K110" s="1" t="n">
        <v>97.3</v>
      </c>
      <c r="L110" s="1" t="n">
        <v>0</v>
      </c>
      <c r="M110" s="1" t="n">
        <v>0</v>
      </c>
      <c r="N110" s="1" t="s">
        <v>144</v>
      </c>
      <c r="Z110" s="0" t="n">
        <f aca="false">I110-28</f>
        <v>183.8</v>
      </c>
      <c r="AB110" s="0" t="n">
        <f aca="false">IF(Z110&lt;0,Z110+360,Z110+0)</f>
        <v>183.8</v>
      </c>
    </row>
    <row r="111" customFormat="false" ht="15.8" hidden="false" customHeight="false" outlineLevel="0" collapsed="false">
      <c r="A111" s="1" t="n">
        <v>4</v>
      </c>
      <c r="B111" s="1" t="n">
        <v>7</v>
      </c>
      <c r="C111" s="1" t="n">
        <v>2</v>
      </c>
      <c r="D111" s="1" t="n">
        <v>1.0159</v>
      </c>
      <c r="E111" s="1" t="n">
        <v>0.0689339</v>
      </c>
      <c r="F111" s="1" t="n">
        <v>0.000188088</v>
      </c>
      <c r="G111" s="1" t="s">
        <v>47</v>
      </c>
      <c r="H111" s="1" t="n">
        <v>18.9</v>
      </c>
      <c r="I111" s="1" t="n">
        <v>200.7</v>
      </c>
      <c r="J111" s="1" t="n">
        <v>0</v>
      </c>
      <c r="K111" s="1" t="n">
        <v>50.5</v>
      </c>
      <c r="L111" s="1" t="n">
        <v>0</v>
      </c>
      <c r="M111" s="1" t="n">
        <v>0</v>
      </c>
      <c r="N111" s="1" t="s">
        <v>125</v>
      </c>
      <c r="Z111" s="0" t="n">
        <f aca="false">I111-28</f>
        <v>172.7</v>
      </c>
      <c r="AB111" s="0" t="n">
        <f aca="false">IF(Z111&lt;0,Z111+360,Z111+0)</f>
        <v>172.7</v>
      </c>
    </row>
    <row r="112" customFormat="false" ht="15.8" hidden="false" customHeight="false" outlineLevel="0" collapsed="false">
      <c r="A112" s="1" t="n">
        <v>4</v>
      </c>
      <c r="B112" s="1" t="n">
        <v>6</v>
      </c>
      <c r="C112" s="1" t="n">
        <v>1.8</v>
      </c>
      <c r="D112" s="1" t="n">
        <v>1.3101</v>
      </c>
      <c r="E112" s="1" t="n">
        <v>0.0630217</v>
      </c>
      <c r="F112" s="1" t="n">
        <v>0.000171957</v>
      </c>
      <c r="G112" s="1" t="s">
        <v>47</v>
      </c>
      <c r="H112" s="1" t="n">
        <v>40.8</v>
      </c>
      <c r="I112" s="1" t="n">
        <v>219.6</v>
      </c>
      <c r="J112" s="1" t="n">
        <v>0</v>
      </c>
      <c r="K112" s="1" t="n">
        <v>72.6</v>
      </c>
      <c r="L112" s="1" t="n">
        <v>0</v>
      </c>
      <c r="M112" s="1" t="n">
        <v>0</v>
      </c>
      <c r="N112" s="1" t="s">
        <v>124</v>
      </c>
      <c r="Z112" s="0" t="n">
        <f aca="false">I112-28</f>
        <v>191.6</v>
      </c>
      <c r="AB112" s="0" t="n">
        <f aca="false">IF(Z112&lt;0,Z112+360,Z112+0)</f>
        <v>191.6</v>
      </c>
    </row>
    <row r="113" customFormat="false" ht="15.8" hidden="false" customHeight="false" outlineLevel="0" collapsed="false">
      <c r="A113" s="1" t="n">
        <v>4</v>
      </c>
      <c r="B113" s="1" t="n">
        <v>5</v>
      </c>
      <c r="C113" s="1" t="n">
        <v>2.3</v>
      </c>
      <c r="D113" s="1" t="n">
        <v>1.0329</v>
      </c>
      <c r="E113" s="1" t="n">
        <v>0.0780944</v>
      </c>
      <c r="F113" s="1" t="n">
        <v>0.000213083</v>
      </c>
      <c r="G113" s="1" t="s">
        <v>47</v>
      </c>
      <c r="H113" s="1" t="n">
        <v>29.1</v>
      </c>
      <c r="I113" s="1" t="n">
        <v>178.9</v>
      </c>
      <c r="J113" s="1" t="n">
        <v>0</v>
      </c>
      <c r="K113" s="1" t="n">
        <v>48.3</v>
      </c>
      <c r="L113" s="1" t="n">
        <v>0</v>
      </c>
      <c r="M113" s="1" t="n">
        <v>0</v>
      </c>
      <c r="N113" s="1" t="s">
        <v>123</v>
      </c>
      <c r="Z113" s="0" t="n">
        <f aca="false">I113-28</f>
        <v>150.9</v>
      </c>
      <c r="AB113" s="0" t="n">
        <f aca="false">IF(Z113&lt;0,Z113+360,Z113+0)</f>
        <v>150.9</v>
      </c>
    </row>
    <row r="114" customFormat="false" ht="15.8" hidden="false" customHeight="false" outlineLevel="0" collapsed="false">
      <c r="A114" s="1" t="n">
        <v>4</v>
      </c>
      <c r="B114" s="1" t="n">
        <v>4</v>
      </c>
      <c r="C114" s="1" t="n">
        <v>6.6</v>
      </c>
      <c r="D114" s="1" t="n">
        <v>1.1012</v>
      </c>
      <c r="E114" s="1" t="n">
        <v>0.225887</v>
      </c>
      <c r="F114" s="1" t="n">
        <v>0.000616339</v>
      </c>
      <c r="G114" s="1" t="s">
        <v>47</v>
      </c>
      <c r="H114" s="1" t="n">
        <v>2.8</v>
      </c>
      <c r="I114" s="1" t="n">
        <v>206.1</v>
      </c>
      <c r="J114" s="1" t="n">
        <v>-10.7</v>
      </c>
      <c r="K114" s="1" t="n">
        <v>92.1</v>
      </c>
      <c r="L114" s="1" t="n">
        <v>0</v>
      </c>
      <c r="M114" s="1" t="n">
        <v>0</v>
      </c>
      <c r="N114" s="1" t="s">
        <v>118</v>
      </c>
      <c r="Z114" s="0" t="n">
        <f aca="false">I114-28</f>
        <v>178.1</v>
      </c>
      <c r="AB114" s="0" t="n">
        <f aca="false">IF(Z114&lt;0,Z114+360,Z114+0)</f>
        <v>178.1</v>
      </c>
    </row>
    <row r="115" customFormat="false" ht="15.8" hidden="false" customHeight="false" outlineLevel="0" collapsed="false">
      <c r="A115" s="1" t="n">
        <v>4</v>
      </c>
      <c r="B115" s="1" t="n">
        <v>3</v>
      </c>
      <c r="C115" s="1" t="n">
        <v>1.9</v>
      </c>
      <c r="D115" s="1" t="n">
        <v>1.0945</v>
      </c>
      <c r="E115" s="1" t="n">
        <v>0.0651311</v>
      </c>
      <c r="F115" s="1" t="n">
        <v>0.000177712</v>
      </c>
      <c r="G115" s="1" t="s">
        <v>47</v>
      </c>
      <c r="H115" s="1" t="n">
        <v>28.1</v>
      </c>
      <c r="I115" s="1" t="n">
        <v>203.8</v>
      </c>
      <c r="J115" s="1" t="n">
        <v>-12.3</v>
      </c>
      <c r="K115" s="1" t="n">
        <v>127.4</v>
      </c>
      <c r="L115" s="1" t="n">
        <v>0</v>
      </c>
      <c r="M115" s="1" t="n">
        <v>0</v>
      </c>
      <c r="N115" s="1" t="s">
        <v>153</v>
      </c>
      <c r="Z115" s="0" t="n">
        <f aca="false">I115-28</f>
        <v>175.8</v>
      </c>
      <c r="AB115" s="0" t="n">
        <f aca="false">IF(Z115&lt;0,Z115+360,Z115+0)</f>
        <v>175.8</v>
      </c>
    </row>
    <row r="116" customFormat="false" ht="15.8" hidden="false" customHeight="false" outlineLevel="0" collapsed="false">
      <c r="A116" s="1" t="n">
        <v>4</v>
      </c>
      <c r="B116" s="1" t="n">
        <v>5</v>
      </c>
      <c r="C116" s="1" t="n">
        <v>1.5</v>
      </c>
      <c r="D116" s="1" t="n">
        <v>1.2377</v>
      </c>
      <c r="E116" s="1" t="n">
        <v>0.0511382</v>
      </c>
      <c r="F116" s="1" t="n">
        <v>0.000139532</v>
      </c>
      <c r="G116" s="1" t="s">
        <v>27</v>
      </c>
      <c r="H116" s="1" t="n">
        <v>62.5</v>
      </c>
      <c r="I116" s="1" t="n">
        <v>278.2</v>
      </c>
      <c r="J116" s="1" t="n">
        <v>-17.9</v>
      </c>
      <c r="K116" s="1"/>
      <c r="L116" s="1" t="n">
        <v>0</v>
      </c>
      <c r="M116" s="1" t="n">
        <v>0</v>
      </c>
      <c r="N116" s="1" t="s">
        <v>154</v>
      </c>
      <c r="Z116" s="0" t="n">
        <f aca="false">I116-28</f>
        <v>250.2</v>
      </c>
      <c r="AB116" s="0" t="n">
        <f aca="false">IF(Z116&lt;0,Z116+360,Z116+0)</f>
        <v>250.2</v>
      </c>
    </row>
    <row r="117" customFormat="false" ht="15.8" hidden="false" customHeight="false" outlineLevel="0" collapsed="false">
      <c r="A117" s="1" t="n">
        <v>4</v>
      </c>
      <c r="B117" s="1" t="n">
        <v>6</v>
      </c>
      <c r="C117" s="1" t="n">
        <v>3</v>
      </c>
      <c r="D117" s="1" t="n">
        <v>1.4383</v>
      </c>
      <c r="E117" s="1" t="n">
        <v>0.10176</v>
      </c>
      <c r="F117" s="1" t="n">
        <v>0.000277656</v>
      </c>
      <c r="G117" s="1" t="s">
        <v>27</v>
      </c>
      <c r="H117" s="1" t="n">
        <v>51.5</v>
      </c>
      <c r="I117" s="1" t="n">
        <v>235.8</v>
      </c>
      <c r="J117" s="1" t="n">
        <v>45.8</v>
      </c>
      <c r="K117" s="1"/>
      <c r="L117" s="1" t="n">
        <v>0</v>
      </c>
      <c r="M117" s="1" t="n">
        <v>0</v>
      </c>
      <c r="N117" s="1" t="s">
        <v>155</v>
      </c>
      <c r="Z117" s="0" t="n">
        <f aca="false">I117-28</f>
        <v>207.8</v>
      </c>
      <c r="AB117" s="0" t="n">
        <f aca="false">IF(Z117&lt;0,Z117+360,Z117+0)</f>
        <v>207.8</v>
      </c>
    </row>
    <row r="118" customFormat="false" ht="15.8" hidden="false" customHeight="false" outlineLevel="0" collapsed="false">
      <c r="A118" s="1" t="n">
        <v>4</v>
      </c>
      <c r="B118" s="1" t="n">
        <v>6</v>
      </c>
      <c r="C118" s="1" t="n">
        <v>3.1</v>
      </c>
      <c r="D118" s="1" t="n">
        <v>1.3493</v>
      </c>
      <c r="E118" s="1" t="n">
        <v>0.107533</v>
      </c>
      <c r="F118" s="1" t="n">
        <v>0.000293406</v>
      </c>
      <c r="G118" s="1" t="s">
        <v>27</v>
      </c>
      <c r="H118" s="1" t="n">
        <v>67.8</v>
      </c>
      <c r="I118" s="1" t="n">
        <v>255.5</v>
      </c>
      <c r="J118" s="1" t="n">
        <v>-39.5</v>
      </c>
      <c r="K118" s="1"/>
      <c r="L118" s="1" t="n">
        <v>0</v>
      </c>
      <c r="M118" s="1" t="n">
        <v>0</v>
      </c>
      <c r="N118" s="1" t="s">
        <v>155</v>
      </c>
      <c r="Z118" s="0" t="n">
        <f aca="false">I118-28</f>
        <v>227.5</v>
      </c>
      <c r="AB118" s="0" t="n">
        <f aca="false">IF(Z118&lt;0,Z118+360,Z118+0)</f>
        <v>227.5</v>
      </c>
    </row>
    <row r="119" customFormat="false" ht="15.8" hidden="false" customHeight="false" outlineLevel="0" collapsed="false">
      <c r="A119" s="1" t="n">
        <v>4</v>
      </c>
      <c r="B119" s="1" t="n">
        <v>5</v>
      </c>
      <c r="C119" s="1" t="n">
        <v>5.1</v>
      </c>
      <c r="D119" s="1" t="n">
        <v>1.1681</v>
      </c>
      <c r="E119" s="1" t="n">
        <v>0.174295</v>
      </c>
      <c r="F119" s="1" t="n">
        <v>0.000475568</v>
      </c>
      <c r="G119" s="1" t="s">
        <v>47</v>
      </c>
      <c r="H119" s="1" t="n">
        <v>23.5</v>
      </c>
      <c r="I119" s="1" t="n">
        <v>199.7</v>
      </c>
      <c r="J119" s="1" t="n">
        <v>4.9</v>
      </c>
      <c r="K119" s="1" t="n">
        <v>67.8</v>
      </c>
      <c r="L119" s="1" t="n">
        <v>0</v>
      </c>
      <c r="M119" s="1" t="n">
        <v>0</v>
      </c>
      <c r="N119" s="1" t="s">
        <v>154</v>
      </c>
      <c r="Z119" s="0" t="n">
        <f aca="false">I119-28</f>
        <v>171.7</v>
      </c>
      <c r="AB119" s="0" t="n">
        <f aca="false">IF(Z119&lt;0,Z119+360,Z119+0)</f>
        <v>171.7</v>
      </c>
    </row>
    <row r="120" customFormat="false" ht="15.8" hidden="false" customHeight="false" outlineLevel="0" collapsed="false">
      <c r="A120" s="1" t="n">
        <v>4</v>
      </c>
      <c r="B120" s="1" t="n">
        <v>4</v>
      </c>
      <c r="C120" s="1" t="n">
        <v>3.4</v>
      </c>
      <c r="D120" s="1" t="n">
        <v>1.1526</v>
      </c>
      <c r="E120" s="1" t="n">
        <v>0.115743</v>
      </c>
      <c r="F120" s="1" t="n">
        <v>0.000315809</v>
      </c>
      <c r="G120" s="1" t="s">
        <v>47</v>
      </c>
      <c r="H120" s="1" t="n">
        <v>51.1</v>
      </c>
      <c r="I120" s="1" t="n">
        <v>212.9</v>
      </c>
      <c r="J120" s="1" t="n">
        <v>-14.6</v>
      </c>
      <c r="K120" s="1" t="n">
        <v>62.5</v>
      </c>
      <c r="L120" s="1" t="n">
        <v>0</v>
      </c>
      <c r="M120" s="1" t="n">
        <v>0</v>
      </c>
      <c r="N120" s="1" t="s">
        <v>156</v>
      </c>
      <c r="Z120" s="0" t="n">
        <f aca="false">I120-28</f>
        <v>184.9</v>
      </c>
      <c r="AB120" s="0" t="n">
        <f aca="false">IF(Z120&lt;0,Z120+360,Z120+0)</f>
        <v>184.9</v>
      </c>
    </row>
    <row r="121" customFormat="false" ht="15.8" hidden="false" customHeight="false" outlineLevel="0" collapsed="false">
      <c r="A121" s="1" t="n">
        <v>4</v>
      </c>
      <c r="B121" s="1" t="n">
        <v>5</v>
      </c>
      <c r="C121" s="1" t="n">
        <v>2.4</v>
      </c>
      <c r="D121" s="1" t="n">
        <v>1.0955</v>
      </c>
      <c r="E121" s="1" t="n">
        <v>0.0813178</v>
      </c>
      <c r="F121" s="1" t="n">
        <v>0.000221878</v>
      </c>
      <c r="G121" s="1" t="s">
        <v>27</v>
      </c>
      <c r="H121" s="1" t="n">
        <v>123.3</v>
      </c>
      <c r="I121" s="1" t="n">
        <v>17.9</v>
      </c>
      <c r="J121" s="1" t="n">
        <v>9.8</v>
      </c>
      <c r="K121" s="1"/>
      <c r="L121" s="1" t="n">
        <v>0</v>
      </c>
      <c r="M121" s="1" t="n">
        <v>0</v>
      </c>
      <c r="N121" s="1" t="s">
        <v>157</v>
      </c>
      <c r="Z121" s="0" t="n">
        <f aca="false">I121-28</f>
        <v>-10.1</v>
      </c>
      <c r="AB121" s="0" t="n">
        <f aca="false">IF(Z121&lt;0,Z121+360,Z121+0)</f>
        <v>349.9</v>
      </c>
    </row>
    <row r="122" customFormat="false" ht="15.8" hidden="false" customHeight="false" outlineLevel="0" collapsed="false">
      <c r="A122" s="1" t="n">
        <v>4</v>
      </c>
      <c r="B122" s="1" t="n">
        <v>5</v>
      </c>
      <c r="C122" s="1" t="n">
        <v>10.2</v>
      </c>
      <c r="D122" s="1" t="n">
        <v>1.3521</v>
      </c>
      <c r="E122" s="1" t="n">
        <v>0.3512</v>
      </c>
      <c r="F122" s="1" t="n">
        <v>0.000958261</v>
      </c>
      <c r="G122" s="1" t="s">
        <v>27</v>
      </c>
      <c r="H122" s="1" t="n">
        <v>25.3</v>
      </c>
      <c r="I122" s="1" t="n">
        <v>172</v>
      </c>
      <c r="J122" s="1" t="n">
        <v>8.4</v>
      </c>
      <c r="K122" s="1"/>
      <c r="L122" s="1" t="n">
        <v>0</v>
      </c>
      <c r="M122" s="1" t="n">
        <v>0</v>
      </c>
      <c r="N122" s="1" t="s">
        <v>157</v>
      </c>
      <c r="Z122" s="0" t="n">
        <f aca="false">I122-28</f>
        <v>144</v>
      </c>
      <c r="AB122" s="0" t="n">
        <f aca="false">IF(Z122&lt;0,Z122+360,Z122+0)</f>
        <v>144</v>
      </c>
    </row>
    <row r="123" customFormat="false" ht="15.8" hidden="false" customHeight="false" outlineLevel="0" collapsed="false">
      <c r="A123" s="1" t="n">
        <v>4</v>
      </c>
      <c r="B123" s="1" t="n">
        <v>4</v>
      </c>
      <c r="C123" s="1" t="n">
        <v>15.9</v>
      </c>
      <c r="D123" s="1" t="n">
        <v>1.1851</v>
      </c>
      <c r="E123" s="1" t="n">
        <v>0.544608</v>
      </c>
      <c r="F123" s="1" t="n">
        <v>0.00148598</v>
      </c>
      <c r="G123" s="1" t="s">
        <v>47</v>
      </c>
      <c r="H123" s="1" t="n">
        <v>48.4</v>
      </c>
      <c r="I123" s="1" t="n">
        <v>148.5</v>
      </c>
      <c r="J123" s="1" t="n">
        <v>19.3</v>
      </c>
      <c r="K123" s="1" t="n">
        <v>123.3</v>
      </c>
      <c r="L123" s="1" t="n">
        <v>0</v>
      </c>
      <c r="M123" s="1" t="n">
        <v>0</v>
      </c>
      <c r="N123" s="1" t="s">
        <v>156</v>
      </c>
      <c r="Z123" s="0" t="n">
        <f aca="false">I123-28</f>
        <v>120.5</v>
      </c>
      <c r="AB123" s="0" t="n">
        <f aca="false">IF(Z123&lt;0,Z123+360,Z123+0)</f>
        <v>120.5</v>
      </c>
    </row>
    <row r="124" customFormat="false" ht="15.8" hidden="false" customHeight="false" outlineLevel="0" collapsed="false">
      <c r="A124" s="1" t="n">
        <v>4</v>
      </c>
      <c r="B124" s="1" t="n">
        <v>3</v>
      </c>
      <c r="C124" s="1" t="n">
        <v>3.3</v>
      </c>
      <c r="D124" s="1" t="n">
        <v>1.2764</v>
      </c>
      <c r="E124" s="1" t="n">
        <v>0.112436</v>
      </c>
      <c r="F124" s="1" t="n">
        <v>0.000306785</v>
      </c>
      <c r="G124" s="1" t="s">
        <v>47</v>
      </c>
      <c r="H124" s="1" t="n">
        <v>44.1</v>
      </c>
      <c r="I124" s="1" t="n">
        <v>200.7</v>
      </c>
      <c r="J124" s="1" t="n">
        <v>35.2</v>
      </c>
      <c r="K124" s="1" t="n">
        <v>51.1</v>
      </c>
      <c r="L124" s="1" t="n">
        <v>0</v>
      </c>
      <c r="M124" s="1" t="n">
        <v>0</v>
      </c>
      <c r="N124" s="1" t="s">
        <v>153</v>
      </c>
      <c r="Z124" s="0" t="n">
        <f aca="false">I124-28</f>
        <v>172.7</v>
      </c>
      <c r="AB124" s="0" t="n">
        <f aca="false">IF(Z124&lt;0,Z124+360,Z124+0)</f>
        <v>172.7</v>
      </c>
    </row>
    <row r="125" customFormat="false" ht="15.8" hidden="false" customHeight="false" outlineLevel="0" collapsed="false">
      <c r="A125" s="1" t="n">
        <v>4</v>
      </c>
      <c r="B125" s="1" t="n">
        <v>2</v>
      </c>
      <c r="C125" s="1" t="n">
        <v>1</v>
      </c>
      <c r="D125" s="1" t="n">
        <v>1.0438</v>
      </c>
      <c r="E125" s="1" t="n">
        <v>0.0337701</v>
      </c>
      <c r="F125" s="1" t="n">
        <v>9.21427E-005</v>
      </c>
      <c r="G125" s="1" t="s">
        <v>47</v>
      </c>
      <c r="H125" s="1" t="n">
        <v>43</v>
      </c>
      <c r="I125" s="1" t="n">
        <v>229.3</v>
      </c>
      <c r="J125" s="1" t="n">
        <v>0</v>
      </c>
      <c r="K125" s="1" t="n">
        <v>44.1</v>
      </c>
      <c r="L125" s="1" t="n">
        <v>0</v>
      </c>
      <c r="M125" s="1" t="n">
        <v>0</v>
      </c>
      <c r="N125" s="1" t="s">
        <v>116</v>
      </c>
      <c r="Z125" s="0" t="n">
        <f aca="false">I125-28</f>
        <v>201.3</v>
      </c>
      <c r="AB125" s="0" t="n">
        <f aca="false">IF(Z125&lt;0,Z125+360,Z125+0)</f>
        <v>201.3</v>
      </c>
    </row>
    <row r="126" customFormat="false" ht="15.8" hidden="false" customHeight="false" outlineLevel="0" collapsed="false">
      <c r="A126" s="1" t="n">
        <v>4</v>
      </c>
      <c r="B126" s="1" t="n">
        <v>3</v>
      </c>
      <c r="C126" s="1" t="n">
        <v>4</v>
      </c>
      <c r="D126" s="1" t="n">
        <v>1.014</v>
      </c>
      <c r="E126" s="1" t="n">
        <v>0.136489</v>
      </c>
      <c r="F126" s="1" t="n">
        <v>0.000372415</v>
      </c>
      <c r="G126" s="1" t="s">
        <v>27</v>
      </c>
      <c r="H126" s="1" t="n">
        <v>32.8</v>
      </c>
      <c r="I126" s="1" t="n">
        <v>316.3</v>
      </c>
      <c r="J126" s="1" t="n">
        <v>-70.5</v>
      </c>
      <c r="K126" s="1"/>
      <c r="L126" s="1" t="n">
        <v>0</v>
      </c>
      <c r="M126" s="1" t="n">
        <v>0</v>
      </c>
      <c r="N126" s="1" t="s">
        <v>158</v>
      </c>
      <c r="Z126" s="0" t="n">
        <f aca="false">I126-28</f>
        <v>288.3</v>
      </c>
      <c r="AB126" s="0" t="n">
        <f aca="false">IF(Z126&lt;0,Z126+360,Z126+0)</f>
        <v>288.3</v>
      </c>
    </row>
    <row r="127" customFormat="false" ht="15.8" hidden="false" customHeight="false" outlineLevel="0" collapsed="false">
      <c r="A127" s="1" t="n">
        <v>4</v>
      </c>
      <c r="B127" s="1" t="n">
        <v>6</v>
      </c>
      <c r="C127" s="1" t="n">
        <v>2.3</v>
      </c>
      <c r="D127" s="1" t="n">
        <v>1.1834</v>
      </c>
      <c r="E127" s="1" t="n">
        <v>0.0788631</v>
      </c>
      <c r="F127" s="1" t="n">
        <v>0.00021518</v>
      </c>
      <c r="G127" s="1" t="s">
        <v>27</v>
      </c>
      <c r="H127" s="1" t="n">
        <v>134.2</v>
      </c>
      <c r="I127" s="1" t="n">
        <v>31.9</v>
      </c>
      <c r="J127" s="1" t="n">
        <v>49.6</v>
      </c>
      <c r="K127" s="1"/>
      <c r="L127" s="1" t="n">
        <v>0</v>
      </c>
      <c r="M127" s="1" t="n">
        <v>0</v>
      </c>
      <c r="N127" s="1" t="s">
        <v>159</v>
      </c>
      <c r="Z127" s="0" t="n">
        <f aca="false">I127-28</f>
        <v>3.9</v>
      </c>
      <c r="AB127" s="0" t="n">
        <f aca="false">IF(Z127&lt;0,Z127+360,Z127+0)</f>
        <v>3.9</v>
      </c>
    </row>
    <row r="128" customFormat="false" ht="15.8" hidden="false" customHeight="false" outlineLevel="0" collapsed="false">
      <c r="A128" s="1" t="n">
        <v>4</v>
      </c>
      <c r="B128" s="1" t="n">
        <v>7</v>
      </c>
      <c r="C128" s="1" t="n">
        <v>2.5</v>
      </c>
      <c r="D128" s="1" t="n">
        <v>1.2023</v>
      </c>
      <c r="E128" s="1" t="n">
        <v>0.0856445</v>
      </c>
      <c r="F128" s="1" t="n">
        <v>0.000233684</v>
      </c>
      <c r="G128" s="1" t="s">
        <v>27</v>
      </c>
      <c r="H128" s="1" t="n">
        <v>73.5</v>
      </c>
      <c r="I128" s="1" t="n">
        <v>328.1</v>
      </c>
      <c r="J128" s="1" t="n">
        <v>-20.9</v>
      </c>
      <c r="K128" s="1"/>
      <c r="L128" s="1" t="n">
        <v>0</v>
      </c>
      <c r="M128" s="1" t="n">
        <v>0</v>
      </c>
      <c r="N128" s="1" t="s">
        <v>160</v>
      </c>
      <c r="Z128" s="0" t="n">
        <f aca="false">I128-28</f>
        <v>300.1</v>
      </c>
      <c r="AB128" s="0" t="n">
        <f aca="false">IF(Z128&lt;0,Z128+360,Z128+0)</f>
        <v>300.1</v>
      </c>
    </row>
    <row r="129" customFormat="false" ht="15.8" hidden="false" customHeight="false" outlineLevel="0" collapsed="false">
      <c r="A129" s="1" t="n">
        <v>4</v>
      </c>
      <c r="B129" s="1" t="n">
        <v>7</v>
      </c>
      <c r="C129" s="1" t="n">
        <v>3.1</v>
      </c>
      <c r="D129" s="1" t="n">
        <v>1.2377</v>
      </c>
      <c r="E129" s="1" t="n">
        <v>0.107571</v>
      </c>
      <c r="F129" s="1" t="n">
        <v>0.000293512</v>
      </c>
      <c r="G129" s="1" t="s">
        <v>27</v>
      </c>
      <c r="H129" s="1" t="n">
        <v>3.6</v>
      </c>
      <c r="I129" s="1" t="n">
        <v>253.5</v>
      </c>
      <c r="J129" s="1" t="n">
        <v>-17</v>
      </c>
      <c r="K129" s="1"/>
      <c r="L129" s="1" t="n">
        <v>0</v>
      </c>
      <c r="M129" s="1" t="n">
        <v>0</v>
      </c>
      <c r="N129" s="1" t="s">
        <v>160</v>
      </c>
      <c r="Z129" s="0" t="n">
        <f aca="false">I129-28</f>
        <v>225.5</v>
      </c>
      <c r="AB129" s="0" t="n">
        <f aca="false">IF(Z129&lt;0,Z129+360,Z129+0)</f>
        <v>225.5</v>
      </c>
    </row>
    <row r="130" customFormat="false" ht="15.8" hidden="false" customHeight="false" outlineLevel="0" collapsed="false">
      <c r="A130" s="1" t="n">
        <v>4</v>
      </c>
      <c r="B130" s="1" t="n">
        <v>6</v>
      </c>
      <c r="C130" s="1" t="n">
        <v>4.6</v>
      </c>
      <c r="D130" s="1" t="n">
        <v>1.191</v>
      </c>
      <c r="E130" s="1" t="n">
        <v>0.159024</v>
      </c>
      <c r="F130" s="1" t="n">
        <v>0.000433903</v>
      </c>
      <c r="G130" s="1" t="s">
        <v>47</v>
      </c>
      <c r="H130" s="1" t="n">
        <v>29.5</v>
      </c>
      <c r="I130" s="1" t="n">
        <v>249.8</v>
      </c>
      <c r="J130" s="1" t="n">
        <v>-16.6</v>
      </c>
      <c r="K130" s="1" t="n">
        <v>73.5</v>
      </c>
      <c r="L130" s="1" t="n">
        <v>0</v>
      </c>
      <c r="M130" s="1" t="n">
        <v>0</v>
      </c>
      <c r="N130" s="1" t="s">
        <v>159</v>
      </c>
      <c r="Z130" s="0" t="n">
        <f aca="false">I130-28</f>
        <v>221.8</v>
      </c>
      <c r="AB130" s="0" t="n">
        <f aca="false">IF(Z130&lt;0,Z130+360,Z130+0)</f>
        <v>221.8</v>
      </c>
    </row>
    <row r="131" customFormat="false" ht="15.8" hidden="false" customHeight="false" outlineLevel="0" collapsed="false">
      <c r="A131" s="1" t="n">
        <v>4</v>
      </c>
      <c r="B131" s="1" t="n">
        <v>8</v>
      </c>
      <c r="C131" s="1" t="n">
        <v>1.2</v>
      </c>
      <c r="D131" s="1" t="n">
        <v>1.2256</v>
      </c>
      <c r="E131" s="1" t="n">
        <v>0.0423202</v>
      </c>
      <c r="F131" s="1" t="n">
        <v>0.000115472</v>
      </c>
      <c r="G131" s="1" t="s">
        <v>27</v>
      </c>
      <c r="H131" s="1" t="n">
        <v>73.8</v>
      </c>
      <c r="I131" s="1" t="n">
        <v>12.9</v>
      </c>
      <c r="J131" s="1" t="n">
        <v>-47.3</v>
      </c>
      <c r="K131" s="1"/>
      <c r="L131" s="1" t="n">
        <v>0</v>
      </c>
      <c r="M131" s="1" t="n">
        <v>0</v>
      </c>
      <c r="N131" s="1" t="s">
        <v>161</v>
      </c>
      <c r="Z131" s="0" t="n">
        <f aca="false">I131-28</f>
        <v>-15.1</v>
      </c>
      <c r="AB131" s="0" t="n">
        <f aca="false">IF(Z131&lt;0,Z131+360,Z131+0)</f>
        <v>344.9</v>
      </c>
    </row>
    <row r="132" customFormat="false" ht="15.8" hidden="false" customHeight="false" outlineLevel="0" collapsed="false">
      <c r="A132" s="1" t="n">
        <v>4</v>
      </c>
      <c r="B132" s="1" t="n">
        <v>8</v>
      </c>
      <c r="C132" s="1" t="n">
        <v>1.9</v>
      </c>
      <c r="D132" s="1" t="n">
        <v>1.1301</v>
      </c>
      <c r="E132" s="1" t="n">
        <v>0.0649025</v>
      </c>
      <c r="F132" s="1" t="n">
        <v>0.000177088</v>
      </c>
      <c r="G132" s="1" t="s">
        <v>27</v>
      </c>
      <c r="H132" s="1" t="n">
        <v>81.1</v>
      </c>
      <c r="I132" s="1" t="n">
        <v>121.9</v>
      </c>
      <c r="J132" s="1" t="n">
        <v>62.1</v>
      </c>
      <c r="K132" s="1"/>
      <c r="L132" s="1" t="n">
        <v>0</v>
      </c>
      <c r="M132" s="1" t="n">
        <v>0</v>
      </c>
      <c r="N132" s="1" t="s">
        <v>161</v>
      </c>
      <c r="Z132" s="0" t="n">
        <f aca="false">I132-28</f>
        <v>93.9</v>
      </c>
      <c r="AB132" s="0" t="n">
        <f aca="false">IF(Z132&lt;0,Z132+360,Z132+0)</f>
        <v>93.9</v>
      </c>
    </row>
    <row r="133" customFormat="false" ht="15.8" hidden="false" customHeight="false" outlineLevel="0" collapsed="false">
      <c r="A133" s="1" t="n">
        <v>4</v>
      </c>
      <c r="B133" s="1" t="n">
        <v>7</v>
      </c>
      <c r="C133" s="1" t="n">
        <v>3.2</v>
      </c>
      <c r="D133" s="1" t="n">
        <v>1.2315</v>
      </c>
      <c r="E133" s="1" t="n">
        <v>0.108784</v>
      </c>
      <c r="F133" s="1" t="n">
        <v>0.000296819</v>
      </c>
      <c r="G133" s="1" t="s">
        <v>47</v>
      </c>
      <c r="H133" s="1" t="n">
        <v>67.3</v>
      </c>
      <c r="I133" s="1" t="n">
        <v>359.5</v>
      </c>
      <c r="J133" s="1" t="n">
        <v>25.5</v>
      </c>
      <c r="K133" s="1" t="n">
        <v>81.1</v>
      </c>
      <c r="L133" s="1" t="n">
        <v>0</v>
      </c>
      <c r="M133" s="1" t="n">
        <v>0</v>
      </c>
      <c r="N133" s="1" t="s">
        <v>162</v>
      </c>
      <c r="Z133" s="0" t="n">
        <f aca="false">I133-28</f>
        <v>331.5</v>
      </c>
      <c r="AB133" s="0" t="n">
        <f aca="false">IF(Z133&lt;0,Z133+360,Z133+0)</f>
        <v>331.5</v>
      </c>
    </row>
    <row r="134" customFormat="false" ht="15.8" hidden="false" customHeight="false" outlineLevel="0" collapsed="false">
      <c r="A134" s="1" t="n">
        <v>4</v>
      </c>
      <c r="B134" s="1" t="n">
        <v>8</v>
      </c>
      <c r="C134" s="1" t="n">
        <v>2.1</v>
      </c>
      <c r="D134" s="1" t="n">
        <v>1.1946</v>
      </c>
      <c r="E134" s="1" t="n">
        <v>0.0705469</v>
      </c>
      <c r="F134" s="1" t="n">
        <v>0.00019249</v>
      </c>
      <c r="G134" s="1" t="s">
        <v>27</v>
      </c>
      <c r="H134" s="1" t="n">
        <v>56.5</v>
      </c>
      <c r="I134" s="1" t="n">
        <v>253.8</v>
      </c>
      <c r="J134" s="1" t="n">
        <v>-12.4</v>
      </c>
      <c r="K134" s="1"/>
      <c r="L134" s="1" t="n">
        <v>0</v>
      </c>
      <c r="M134" s="1" t="n">
        <v>0</v>
      </c>
      <c r="N134" s="1" t="s">
        <v>163</v>
      </c>
      <c r="Z134" s="0" t="n">
        <f aca="false">I134-28</f>
        <v>225.8</v>
      </c>
      <c r="AB134" s="0" t="n">
        <f aca="false">IF(Z134&lt;0,Z134+360,Z134+0)</f>
        <v>225.8</v>
      </c>
    </row>
    <row r="135" customFormat="false" ht="15.8" hidden="false" customHeight="false" outlineLevel="0" collapsed="false">
      <c r="A135" s="1" t="n">
        <v>4</v>
      </c>
      <c r="B135" s="1" t="n">
        <v>8</v>
      </c>
      <c r="C135" s="1" t="n">
        <v>3.1</v>
      </c>
      <c r="D135" s="1" t="n">
        <v>1.1535</v>
      </c>
      <c r="E135" s="1" t="n">
        <v>0.10598</v>
      </c>
      <c r="F135" s="1" t="n">
        <v>0.000289169</v>
      </c>
      <c r="G135" s="1" t="s">
        <v>27</v>
      </c>
      <c r="H135" s="1" t="n">
        <v>61.2</v>
      </c>
      <c r="I135" s="1" t="n">
        <v>145</v>
      </c>
      <c r="J135" s="1" t="n">
        <v>0</v>
      </c>
      <c r="K135" s="1"/>
      <c r="L135" s="1" t="n">
        <v>0</v>
      </c>
      <c r="M135" s="1" t="n">
        <v>0</v>
      </c>
      <c r="N135" s="1" t="s">
        <v>163</v>
      </c>
      <c r="Z135" s="0" t="n">
        <f aca="false">I135-28</f>
        <v>117</v>
      </c>
      <c r="AB135" s="0" t="n">
        <f aca="false">IF(Z135&lt;0,Z135+360,Z135+0)</f>
        <v>117</v>
      </c>
    </row>
    <row r="136" customFormat="false" ht="15.8" hidden="false" customHeight="false" outlineLevel="0" collapsed="false">
      <c r="A136" s="1" t="n">
        <v>4</v>
      </c>
      <c r="B136" s="1" t="n">
        <v>7</v>
      </c>
      <c r="C136" s="1" t="n">
        <v>5.8</v>
      </c>
      <c r="D136" s="1" t="n">
        <v>1.2141</v>
      </c>
      <c r="E136" s="1" t="n">
        <v>0.198289</v>
      </c>
      <c r="F136" s="1" t="n">
        <v>0.000541039</v>
      </c>
      <c r="G136" s="1" t="s">
        <v>47</v>
      </c>
      <c r="H136" s="1" t="n">
        <v>94.4</v>
      </c>
      <c r="I136" s="1" t="n">
        <v>197</v>
      </c>
      <c r="J136" s="1" t="n">
        <v>-38.4</v>
      </c>
      <c r="K136" s="1" t="n">
        <v>61.2</v>
      </c>
      <c r="L136" s="1" t="n">
        <v>0</v>
      </c>
      <c r="M136" s="1" t="n">
        <v>0</v>
      </c>
      <c r="N136" s="1" t="s">
        <v>162</v>
      </c>
      <c r="Z136" s="0" t="n">
        <f aca="false">I136-28</f>
        <v>169</v>
      </c>
      <c r="AB136" s="0" t="n">
        <f aca="false">IF(Z136&lt;0,Z136+360,Z136+0)</f>
        <v>169</v>
      </c>
    </row>
    <row r="137" customFormat="false" ht="15.8" hidden="false" customHeight="false" outlineLevel="0" collapsed="false">
      <c r="A137" s="1" t="n">
        <v>4</v>
      </c>
      <c r="B137" s="1" t="n">
        <v>6</v>
      </c>
      <c r="C137" s="1" t="n">
        <v>5.4</v>
      </c>
      <c r="D137" s="1" t="n">
        <v>1.2504</v>
      </c>
      <c r="E137" s="1" t="n">
        <v>0.18382</v>
      </c>
      <c r="F137" s="1" t="n">
        <v>0.000501558</v>
      </c>
      <c r="G137" s="1" t="s">
        <v>47</v>
      </c>
      <c r="H137" s="1" t="n">
        <v>46.5</v>
      </c>
      <c r="I137" s="1" t="n">
        <v>333.4</v>
      </c>
      <c r="J137" s="1" t="n">
        <v>-37.2</v>
      </c>
      <c r="K137" s="1" t="n">
        <v>94.4</v>
      </c>
      <c r="L137" s="1" t="n">
        <v>0</v>
      </c>
      <c r="M137" s="1" t="n">
        <v>0</v>
      </c>
      <c r="N137" s="1" t="s">
        <v>159</v>
      </c>
      <c r="Z137" s="0" t="n">
        <f aca="false">I137-28</f>
        <v>305.4</v>
      </c>
      <c r="AB137" s="0" t="n">
        <f aca="false">IF(Z137&lt;0,Z137+360,Z137+0)</f>
        <v>305.4</v>
      </c>
    </row>
    <row r="138" customFormat="false" ht="15.8" hidden="false" customHeight="false" outlineLevel="0" collapsed="false">
      <c r="A138" s="1" t="n">
        <v>4</v>
      </c>
      <c r="B138" s="1" t="n">
        <v>5</v>
      </c>
      <c r="C138" s="1" t="n">
        <v>10.6</v>
      </c>
      <c r="D138" s="1" t="n">
        <v>1.3172</v>
      </c>
      <c r="E138" s="1" t="n">
        <v>0.363219</v>
      </c>
      <c r="F138" s="1" t="n">
        <v>0.000991055</v>
      </c>
      <c r="G138" s="1" t="s">
        <v>47</v>
      </c>
      <c r="H138" s="1" t="n">
        <v>6.6</v>
      </c>
      <c r="I138" s="1" t="n">
        <v>274.2</v>
      </c>
      <c r="J138" s="1" t="n">
        <v>-36.7</v>
      </c>
      <c r="K138" s="1" t="n">
        <v>134.2</v>
      </c>
      <c r="L138" s="1" t="n">
        <v>0</v>
      </c>
      <c r="M138" s="1" t="n">
        <v>0</v>
      </c>
      <c r="N138" s="1" t="s">
        <v>164</v>
      </c>
      <c r="Z138" s="0" t="n">
        <f aca="false">I138-28</f>
        <v>246.2</v>
      </c>
      <c r="AB138" s="0" t="n">
        <f aca="false">IF(Z138&lt;0,Z138+360,Z138+0)</f>
        <v>246.2</v>
      </c>
    </row>
    <row r="139" customFormat="false" ht="15.8" hidden="false" customHeight="false" outlineLevel="0" collapsed="false">
      <c r="A139" s="1" t="n">
        <v>4</v>
      </c>
      <c r="B139" s="1" t="n">
        <v>6</v>
      </c>
      <c r="C139" s="1" t="n">
        <v>1.5</v>
      </c>
      <c r="D139" s="1" t="n">
        <v>1.0736</v>
      </c>
      <c r="E139" s="1" t="n">
        <v>0.0497445</v>
      </c>
      <c r="F139" s="1" t="n">
        <v>0.00013573</v>
      </c>
      <c r="G139" s="1" t="s">
        <v>27</v>
      </c>
      <c r="H139" s="1" t="n">
        <v>90.5</v>
      </c>
      <c r="I139" s="1" t="n">
        <v>126.1</v>
      </c>
      <c r="J139" s="1" t="n">
        <v>0</v>
      </c>
      <c r="K139" s="1"/>
      <c r="L139" s="1" t="n">
        <v>0</v>
      </c>
      <c r="M139" s="1" t="n">
        <v>0</v>
      </c>
      <c r="N139" s="1" t="s">
        <v>165</v>
      </c>
      <c r="Z139" s="0" t="n">
        <f aca="false">I139-28</f>
        <v>98.1</v>
      </c>
      <c r="AB139" s="0" t="n">
        <f aca="false">IF(Z139&lt;0,Z139+360,Z139+0)</f>
        <v>98.1</v>
      </c>
    </row>
    <row r="140" customFormat="false" ht="15.8" hidden="false" customHeight="false" outlineLevel="0" collapsed="false">
      <c r="A140" s="1" t="n">
        <v>4</v>
      </c>
      <c r="B140" s="1" t="n">
        <v>6</v>
      </c>
      <c r="C140" s="1" t="n">
        <v>2</v>
      </c>
      <c r="D140" s="1" t="n">
        <v>1.0598</v>
      </c>
      <c r="E140" s="1" t="n">
        <v>0.0696415</v>
      </c>
      <c r="F140" s="1" t="n">
        <v>0.000190019</v>
      </c>
      <c r="G140" s="1" t="s">
        <v>27</v>
      </c>
      <c r="H140" s="1" t="n">
        <v>95.9</v>
      </c>
      <c r="I140" s="1" t="n">
        <v>194.5</v>
      </c>
      <c r="J140" s="1" t="n">
        <v>0</v>
      </c>
      <c r="K140" s="1"/>
      <c r="L140" s="1" t="n">
        <v>0</v>
      </c>
      <c r="M140" s="1" t="n">
        <v>0</v>
      </c>
      <c r="N140" s="1" t="s">
        <v>165</v>
      </c>
      <c r="Z140" s="0" t="n">
        <f aca="false">I140-28</f>
        <v>166.5</v>
      </c>
      <c r="AB140" s="0" t="n">
        <f aca="false">IF(Z140&lt;0,Z140+360,Z140+0)</f>
        <v>166.5</v>
      </c>
    </row>
    <row r="141" customFormat="false" ht="15.8" hidden="false" customHeight="false" outlineLevel="0" collapsed="false">
      <c r="A141" s="1" t="n">
        <v>4</v>
      </c>
      <c r="B141" s="1" t="n">
        <v>5</v>
      </c>
      <c r="C141" s="1" t="n">
        <v>4</v>
      </c>
      <c r="D141" s="1" t="n">
        <v>1.0693</v>
      </c>
      <c r="E141" s="1" t="n">
        <v>0.212385</v>
      </c>
      <c r="F141" s="1" t="n">
        <v>0.000964679</v>
      </c>
      <c r="G141" s="1" t="s">
        <v>47</v>
      </c>
      <c r="H141" s="1" t="n">
        <v>62.8</v>
      </c>
      <c r="I141" s="1" t="n">
        <v>31.1</v>
      </c>
      <c r="J141" s="1" t="n">
        <v>-83.8</v>
      </c>
      <c r="K141" s="1" t="n">
        <v>95.9</v>
      </c>
      <c r="L141" s="1" t="n">
        <v>0</v>
      </c>
      <c r="M141" s="1" t="n">
        <v>0</v>
      </c>
      <c r="N141" s="1" t="s">
        <v>164</v>
      </c>
      <c r="Z141" s="0" t="n">
        <f aca="false">I141-28</f>
        <v>3.1</v>
      </c>
      <c r="AB141" s="0" t="n">
        <f aca="false">IF(Z141&lt;0,Z141+360,Z141+0)</f>
        <v>3.1</v>
      </c>
    </row>
    <row r="142" customFormat="false" ht="15.8" hidden="false" customHeight="false" outlineLevel="0" collapsed="false">
      <c r="A142" s="1" t="n">
        <v>4</v>
      </c>
      <c r="B142" s="1" t="n">
        <v>4</v>
      </c>
      <c r="C142" s="1" t="n">
        <v>0.9</v>
      </c>
      <c r="D142" s="1" t="n">
        <v>1.1916</v>
      </c>
      <c r="E142" s="1" t="n">
        <v>0.030002</v>
      </c>
      <c r="F142" s="1" t="n">
        <v>8.18613E-005</v>
      </c>
      <c r="G142" s="1" t="s">
        <v>47</v>
      </c>
      <c r="H142" s="1" t="n">
        <v>40.9</v>
      </c>
      <c r="I142" s="1" t="n">
        <v>272.8</v>
      </c>
      <c r="J142" s="1" t="n">
        <v>-30.3</v>
      </c>
      <c r="K142" s="1" t="n">
        <v>62.8</v>
      </c>
      <c r="L142" s="1" t="n">
        <v>0</v>
      </c>
      <c r="M142" s="1" t="n">
        <v>0</v>
      </c>
      <c r="N142" s="1" t="s">
        <v>166</v>
      </c>
      <c r="Z142" s="0" t="n">
        <f aca="false">I142-28</f>
        <v>244.8</v>
      </c>
      <c r="AB142" s="0" t="n">
        <f aca="false">IF(Z142&lt;0,Z142+360,Z142+0)</f>
        <v>244.8</v>
      </c>
    </row>
    <row r="143" customFormat="false" ht="15.8" hidden="false" customHeight="false" outlineLevel="0" collapsed="false">
      <c r="A143" s="1" t="n">
        <v>4</v>
      </c>
      <c r="B143" s="1" t="n">
        <v>4</v>
      </c>
      <c r="C143" s="1" t="n">
        <v>13</v>
      </c>
      <c r="D143" s="1" t="n">
        <v>1.6283</v>
      </c>
      <c r="E143" s="1" t="n">
        <v>0.446108</v>
      </c>
      <c r="F143" s="1" t="n">
        <v>0.00121722</v>
      </c>
      <c r="G143" s="1" t="s">
        <v>27</v>
      </c>
      <c r="H143" s="1" t="n">
        <v>24.2</v>
      </c>
      <c r="I143" s="1" t="n">
        <v>189.7</v>
      </c>
      <c r="J143" s="1" t="n">
        <v>-47.8</v>
      </c>
      <c r="K143" s="1"/>
      <c r="L143" s="1" t="n">
        <v>0</v>
      </c>
      <c r="M143" s="1" t="n">
        <v>0</v>
      </c>
      <c r="N143" s="1" t="s">
        <v>166</v>
      </c>
      <c r="Z143" s="0" t="n">
        <f aca="false">I143-28</f>
        <v>161.7</v>
      </c>
      <c r="AB143" s="0" t="n">
        <f aca="false">IF(Z143&lt;0,Z143+360,Z143+0)</f>
        <v>161.7</v>
      </c>
    </row>
    <row r="144" customFormat="false" ht="15.8" hidden="false" customHeight="false" outlineLevel="0" collapsed="false">
      <c r="A144" s="1" t="n">
        <v>4</v>
      </c>
      <c r="B144" s="1" t="n">
        <v>3</v>
      </c>
      <c r="C144" s="1" t="n">
        <v>5.2</v>
      </c>
      <c r="D144" s="1" t="n">
        <v>1.1893</v>
      </c>
      <c r="E144" s="1" t="n">
        <v>0.178791</v>
      </c>
      <c r="F144" s="1" t="n">
        <v>0.000487838</v>
      </c>
      <c r="G144" s="1" t="s">
        <v>47</v>
      </c>
      <c r="H144" s="1" t="n">
        <v>21.4</v>
      </c>
      <c r="I144" s="1" t="n">
        <v>223.5</v>
      </c>
      <c r="J144" s="1" t="n">
        <v>-42.5</v>
      </c>
      <c r="K144" s="1" t="n">
        <v>40.9</v>
      </c>
      <c r="L144" s="1" t="n">
        <v>0</v>
      </c>
      <c r="M144" s="1" t="n">
        <v>0</v>
      </c>
      <c r="N144" s="1" t="s">
        <v>158</v>
      </c>
      <c r="Z144" s="0" t="n">
        <f aca="false">I144-28</f>
        <v>195.5</v>
      </c>
      <c r="AB144" s="0" t="n">
        <f aca="false">IF(Z144&lt;0,Z144+360,Z144+0)</f>
        <v>195.5</v>
      </c>
    </row>
    <row r="145" customFormat="false" ht="15.8" hidden="false" customHeight="false" outlineLevel="0" collapsed="false">
      <c r="A145" s="1" t="n">
        <v>4</v>
      </c>
      <c r="B145" s="1" t="n">
        <v>2</v>
      </c>
      <c r="C145" s="1" t="n">
        <v>5.3</v>
      </c>
      <c r="D145" s="1" t="n">
        <v>1.1592</v>
      </c>
      <c r="E145" s="1" t="n">
        <v>0.183157</v>
      </c>
      <c r="F145" s="1" t="n">
        <v>0.000499749</v>
      </c>
      <c r="G145" s="1" t="s">
        <v>47</v>
      </c>
      <c r="H145" s="1" t="n">
        <v>24.4</v>
      </c>
      <c r="I145" s="1" t="n">
        <v>251.3</v>
      </c>
      <c r="J145" s="1" t="n">
        <v>-53.4</v>
      </c>
      <c r="K145" s="1" t="n">
        <v>32.8</v>
      </c>
      <c r="L145" s="1" t="n">
        <v>0</v>
      </c>
      <c r="M145" s="1" t="n">
        <v>0</v>
      </c>
      <c r="N145" s="1" t="s">
        <v>116</v>
      </c>
      <c r="Z145" s="0" t="n">
        <f aca="false">I145-28</f>
        <v>223.3</v>
      </c>
      <c r="AB145" s="0" t="n">
        <f aca="false">IF(Z145&lt;0,Z145+360,Z145+0)</f>
        <v>223.3</v>
      </c>
    </row>
    <row r="146" customFormat="false" ht="15.8" hidden="false" customHeight="false" outlineLevel="0" collapsed="false">
      <c r="A146" s="1" t="n">
        <v>4</v>
      </c>
      <c r="B146" s="1" t="n">
        <v>1</v>
      </c>
      <c r="C146" s="1" t="n">
        <v>9.7</v>
      </c>
      <c r="D146" s="1" t="n">
        <v>1.2566</v>
      </c>
      <c r="E146" s="1" t="n">
        <v>0.33376</v>
      </c>
      <c r="F146" s="1" t="n">
        <v>0.000910675</v>
      </c>
      <c r="G146" s="1" t="s">
        <v>47</v>
      </c>
      <c r="H146" s="1"/>
      <c r="I146" s="1" t="n">
        <v>218.8</v>
      </c>
      <c r="J146" s="1" t="n">
        <v>-42</v>
      </c>
      <c r="K146" s="1" t="n">
        <v>67.2</v>
      </c>
      <c r="L146" s="1" t="n">
        <v>0</v>
      </c>
      <c r="M146" s="1" t="n">
        <v>0</v>
      </c>
      <c r="N146" s="1" t="s">
        <v>167</v>
      </c>
      <c r="Z146" s="0" t="n">
        <f aca="false">I146-28</f>
        <v>190.8</v>
      </c>
      <c r="AB146" s="0" t="n">
        <f aca="false">IF(Z146&lt;0,Z146+360,Z146+0)</f>
        <v>190.8</v>
      </c>
    </row>
    <row r="147" customFormat="false" ht="15.8" hidden="false" customHeight="false" outlineLevel="0" collapsed="false">
      <c r="A147" s="1" t="n">
        <v>5</v>
      </c>
      <c r="B147" s="1" t="n">
        <v>5</v>
      </c>
      <c r="C147" s="1" t="n">
        <v>4.6</v>
      </c>
      <c r="D147" s="1" t="n">
        <v>1.4066</v>
      </c>
      <c r="E147" s="1" t="n">
        <v>0.159271</v>
      </c>
      <c r="F147" s="1" t="n">
        <v>0.000434577</v>
      </c>
      <c r="G147" s="1" t="s">
        <v>27</v>
      </c>
      <c r="H147" s="1" t="n">
        <v>0.6</v>
      </c>
      <c r="I147" s="1" t="n">
        <v>7</v>
      </c>
      <c r="J147" s="1" t="n">
        <v>6.4</v>
      </c>
      <c r="K147" s="1"/>
      <c r="L147" s="1" t="n">
        <v>0</v>
      </c>
      <c r="M147" s="1" t="n">
        <v>0</v>
      </c>
      <c r="N147" s="1" t="s">
        <v>168</v>
      </c>
      <c r="Z147" s="0" t="n">
        <f aca="false">I147-28</f>
        <v>-21</v>
      </c>
      <c r="AB147" s="0" t="n">
        <f aca="false">IF(Z147&lt;0,Z147+360,Z147+0)</f>
        <v>339</v>
      </c>
    </row>
    <row r="148" customFormat="false" ht="15.8" hidden="false" customHeight="false" outlineLevel="0" collapsed="false">
      <c r="A148" s="1" t="n">
        <v>5</v>
      </c>
      <c r="B148" s="1" t="n">
        <v>9</v>
      </c>
      <c r="C148" s="1" t="n">
        <v>9.1</v>
      </c>
      <c r="D148" s="1" t="n">
        <v>1.2279</v>
      </c>
      <c r="E148" s="1" t="n">
        <v>0.313419</v>
      </c>
      <c r="F148" s="1" t="n">
        <v>0.000855174</v>
      </c>
      <c r="G148" s="1" t="s">
        <v>27</v>
      </c>
      <c r="H148" s="1" t="n">
        <v>20.8</v>
      </c>
      <c r="I148" s="1" t="n">
        <v>20.4</v>
      </c>
      <c r="J148" s="1" t="n">
        <v>20.4</v>
      </c>
      <c r="K148" s="1"/>
      <c r="L148" s="1" t="n">
        <v>0</v>
      </c>
      <c r="M148" s="1" t="n">
        <v>0</v>
      </c>
      <c r="N148" s="1" t="s">
        <v>169</v>
      </c>
      <c r="Z148" s="0" t="n">
        <f aca="false">I148-28</f>
        <v>-7.6</v>
      </c>
      <c r="AB148" s="0" t="n">
        <f aca="false">IF(Z148&lt;0,Z148+360,Z148+0)</f>
        <v>352.4</v>
      </c>
    </row>
    <row r="149" customFormat="false" ht="15.8" hidden="false" customHeight="false" outlineLevel="0" collapsed="false">
      <c r="A149" s="1" t="n">
        <v>5</v>
      </c>
      <c r="B149" s="1" t="n">
        <v>9</v>
      </c>
      <c r="C149" s="1" t="n">
        <v>4.6</v>
      </c>
      <c r="D149" s="1" t="n">
        <v>1.3691</v>
      </c>
      <c r="E149" s="1" t="n">
        <v>0.158594</v>
      </c>
      <c r="F149" s="1" t="n">
        <v>0.00043273</v>
      </c>
      <c r="G149" s="1" t="s">
        <v>27</v>
      </c>
      <c r="H149" s="1" t="n">
        <v>114.4</v>
      </c>
      <c r="I149" s="1" t="n">
        <v>267.5</v>
      </c>
      <c r="J149" s="1" t="n">
        <v>-26</v>
      </c>
      <c r="K149" s="1"/>
      <c r="L149" s="1" t="n">
        <v>0</v>
      </c>
      <c r="M149" s="1" t="n">
        <v>0</v>
      </c>
      <c r="N149" s="1" t="s">
        <v>169</v>
      </c>
      <c r="Z149" s="0" t="n">
        <f aca="false">I149-28</f>
        <v>239.5</v>
      </c>
      <c r="AB149" s="0" t="n">
        <f aca="false">IF(Z149&lt;0,Z149+360,Z149+0)</f>
        <v>239.5</v>
      </c>
    </row>
    <row r="150" customFormat="false" ht="15.8" hidden="false" customHeight="false" outlineLevel="0" collapsed="false">
      <c r="A150" s="1" t="n">
        <v>5</v>
      </c>
      <c r="B150" s="1" t="n">
        <v>9</v>
      </c>
      <c r="C150" s="1" t="n">
        <v>2.7</v>
      </c>
      <c r="D150" s="1" t="n">
        <v>1.1122</v>
      </c>
      <c r="E150" s="1" t="n">
        <v>0.0939642</v>
      </c>
      <c r="F150" s="1" t="n">
        <v>0.000256384</v>
      </c>
      <c r="G150" s="1" t="s">
        <v>27</v>
      </c>
      <c r="H150" s="1" t="n">
        <v>80.8</v>
      </c>
      <c r="I150" s="1" t="n">
        <v>105.6</v>
      </c>
      <c r="J150" s="1" t="n">
        <v>-8.6</v>
      </c>
      <c r="K150" s="1"/>
      <c r="L150" s="1" t="n">
        <v>0</v>
      </c>
      <c r="M150" s="1" t="n">
        <v>0</v>
      </c>
      <c r="N150" s="1" t="s">
        <v>169</v>
      </c>
      <c r="Z150" s="0" t="n">
        <f aca="false">I150-28</f>
        <v>77.6</v>
      </c>
      <c r="AB150" s="0" t="n">
        <f aca="false">IF(Z150&lt;0,Z150+360,Z150+0)</f>
        <v>77.6</v>
      </c>
    </row>
    <row r="151" customFormat="false" ht="15.8" hidden="false" customHeight="false" outlineLevel="0" collapsed="false">
      <c r="A151" s="1" t="n">
        <v>5</v>
      </c>
      <c r="B151" s="1" t="n">
        <v>8</v>
      </c>
      <c r="C151" s="1" t="n">
        <v>1</v>
      </c>
      <c r="D151" s="1" t="n">
        <v>1.0072</v>
      </c>
      <c r="E151" s="1" t="n">
        <v>0.0349065</v>
      </c>
      <c r="F151" s="1" t="n">
        <v>9.52436E-005</v>
      </c>
      <c r="G151" s="1" t="s">
        <v>47</v>
      </c>
      <c r="H151" s="1" t="n">
        <v>13.6</v>
      </c>
      <c r="I151" s="1" t="n">
        <v>24.9</v>
      </c>
      <c r="J151" s="1" t="n">
        <v>0</v>
      </c>
      <c r="K151" s="1" t="n">
        <v>114.4</v>
      </c>
      <c r="L151" s="1" t="n">
        <v>0</v>
      </c>
      <c r="M151" s="1" t="n">
        <v>0</v>
      </c>
      <c r="N151" s="1" t="s">
        <v>170</v>
      </c>
      <c r="Z151" s="0" t="n">
        <f aca="false">I151-28</f>
        <v>-3.1</v>
      </c>
      <c r="AB151" s="0" t="n">
        <f aca="false">IF(Z151&lt;0,Z151+360,Z151+0)</f>
        <v>356.9</v>
      </c>
    </row>
    <row r="152" customFormat="false" ht="15.8" hidden="false" customHeight="false" outlineLevel="0" collapsed="false">
      <c r="A152" s="1" t="n">
        <v>5</v>
      </c>
      <c r="B152" s="1" t="n">
        <v>8</v>
      </c>
      <c r="C152" s="1" t="n">
        <v>2.3</v>
      </c>
      <c r="D152" s="1" t="n">
        <v>1.1505</v>
      </c>
      <c r="E152" s="1" t="n">
        <v>0.0780198</v>
      </c>
      <c r="F152" s="1" t="n">
        <v>0.000212879</v>
      </c>
      <c r="G152" s="1" t="s">
        <v>27</v>
      </c>
      <c r="H152" s="1" t="n">
        <v>100.1</v>
      </c>
      <c r="I152" s="1" t="n">
        <v>143.8</v>
      </c>
      <c r="J152" s="1" t="n">
        <v>48.4</v>
      </c>
      <c r="K152" s="1"/>
      <c r="L152" s="1" t="n">
        <v>0</v>
      </c>
      <c r="M152" s="1" t="n">
        <v>0</v>
      </c>
      <c r="N152" s="1" t="s">
        <v>170</v>
      </c>
      <c r="Z152" s="0" t="n">
        <f aca="false">I152-28</f>
        <v>115.8</v>
      </c>
      <c r="AB152" s="0" t="n">
        <f aca="false">IF(Z152&lt;0,Z152+360,Z152+0)</f>
        <v>115.8</v>
      </c>
    </row>
    <row r="153" customFormat="false" ht="15.8" hidden="false" customHeight="false" outlineLevel="0" collapsed="false">
      <c r="A153" s="1" t="n">
        <v>5</v>
      </c>
      <c r="B153" s="1" t="n">
        <v>7</v>
      </c>
      <c r="C153" s="1" t="n">
        <v>4.4</v>
      </c>
      <c r="D153" s="1" t="n">
        <v>1.1653</v>
      </c>
      <c r="E153" s="1" t="n">
        <v>0.149903</v>
      </c>
      <c r="F153" s="1" t="n">
        <v>0.000409016</v>
      </c>
      <c r="G153" s="1" t="s">
        <v>47</v>
      </c>
      <c r="H153" s="1" t="n">
        <v>17.7</v>
      </c>
      <c r="I153" s="1" t="n">
        <v>38.5</v>
      </c>
      <c r="J153" s="1" t="n">
        <v>0</v>
      </c>
      <c r="K153" s="1" t="n">
        <v>100.1</v>
      </c>
      <c r="L153" s="1" t="n">
        <v>0</v>
      </c>
      <c r="M153" s="1" t="n">
        <v>0</v>
      </c>
      <c r="N153" s="1" t="s">
        <v>171</v>
      </c>
      <c r="Z153" s="0" t="n">
        <f aca="false">I153-28</f>
        <v>10.5</v>
      </c>
      <c r="AB153" s="0" t="n">
        <f aca="false">IF(Z153&lt;0,Z153+360,Z153+0)</f>
        <v>10.5</v>
      </c>
    </row>
    <row r="154" customFormat="false" ht="15.8" hidden="false" customHeight="false" outlineLevel="0" collapsed="false">
      <c r="A154" s="1" t="n">
        <v>5</v>
      </c>
      <c r="B154" s="1" t="n">
        <v>7</v>
      </c>
      <c r="C154" s="1" t="n">
        <v>2.1</v>
      </c>
      <c r="D154" s="1" t="n">
        <v>1.0236</v>
      </c>
      <c r="E154" s="1" t="n">
        <v>0.07151</v>
      </c>
      <c r="F154" s="1" t="n">
        <v>0.000195117</v>
      </c>
      <c r="G154" s="1" t="s">
        <v>27</v>
      </c>
      <c r="H154" s="1" t="n">
        <v>53.6</v>
      </c>
      <c r="I154" s="1" t="n">
        <v>327.2</v>
      </c>
      <c r="J154" s="1" t="n">
        <v>0</v>
      </c>
      <c r="K154" s="1"/>
      <c r="L154" s="1" t="n">
        <v>0</v>
      </c>
      <c r="M154" s="1" t="n">
        <v>0</v>
      </c>
      <c r="N154" s="1" t="s">
        <v>171</v>
      </c>
      <c r="Z154" s="0" t="n">
        <f aca="false">I154-28</f>
        <v>299.2</v>
      </c>
      <c r="AB154" s="0" t="n">
        <f aca="false">IF(Z154&lt;0,Z154+360,Z154+0)</f>
        <v>299.2</v>
      </c>
    </row>
    <row r="155" customFormat="false" ht="15.8" hidden="false" customHeight="false" outlineLevel="0" collapsed="false">
      <c r="A155" s="1" t="n">
        <v>5</v>
      </c>
      <c r="B155" s="1" t="n">
        <v>6</v>
      </c>
      <c r="C155" s="1" t="n">
        <v>11.1</v>
      </c>
      <c r="D155" s="1" t="n">
        <v>1.0802</v>
      </c>
      <c r="E155" s="1" t="n">
        <v>0.380645</v>
      </c>
      <c r="F155" s="1" t="n">
        <v>0.0010386</v>
      </c>
      <c r="G155" s="1" t="s">
        <v>47</v>
      </c>
      <c r="H155" s="1" t="n">
        <v>15.9</v>
      </c>
      <c r="I155" s="1" t="n">
        <v>20.8</v>
      </c>
      <c r="J155" s="1" t="n">
        <v>0</v>
      </c>
      <c r="K155" s="1" t="n">
        <v>53.6</v>
      </c>
      <c r="L155" s="1" t="n">
        <v>0</v>
      </c>
      <c r="M155" s="1" t="n">
        <v>0</v>
      </c>
      <c r="N155" s="1" t="s">
        <v>172</v>
      </c>
      <c r="Z155" s="0" t="n">
        <f aca="false">I155-28</f>
        <v>-7.2</v>
      </c>
      <c r="AB155" s="0" t="n">
        <f aca="false">IF(Z155&lt;0,Z155+360,Z155+0)</f>
        <v>352.8</v>
      </c>
    </row>
    <row r="156" customFormat="false" ht="15.8" hidden="false" customHeight="false" outlineLevel="0" collapsed="false">
      <c r="A156" s="1" t="n">
        <v>5</v>
      </c>
      <c r="B156" s="1" t="n">
        <v>10</v>
      </c>
      <c r="C156" s="1" t="n">
        <v>1.8</v>
      </c>
      <c r="D156" s="1" t="n">
        <v>1.1948</v>
      </c>
      <c r="E156" s="1" t="n">
        <v>0.0624208</v>
      </c>
      <c r="F156" s="1" t="n">
        <v>0.000170317</v>
      </c>
      <c r="G156" s="1" t="s">
        <v>27</v>
      </c>
      <c r="H156" s="1" t="n">
        <v>30.6</v>
      </c>
      <c r="I156" s="1" t="n">
        <v>35.7</v>
      </c>
      <c r="J156" s="1" t="n">
        <v>-14.1</v>
      </c>
      <c r="K156" s="1"/>
      <c r="L156" s="1" t="n">
        <v>0</v>
      </c>
      <c r="M156" s="1" t="n">
        <v>0</v>
      </c>
      <c r="N156" s="1" t="s">
        <v>173</v>
      </c>
      <c r="Z156" s="0" t="n">
        <f aca="false">I156-28</f>
        <v>7.7</v>
      </c>
      <c r="AB156" s="0" t="n">
        <f aca="false">IF(Z156&lt;0,Z156+360,Z156+0)</f>
        <v>7.7</v>
      </c>
    </row>
    <row r="157" customFormat="false" ht="15.8" hidden="false" customHeight="false" outlineLevel="0" collapsed="false">
      <c r="A157" s="1" t="n">
        <v>5</v>
      </c>
      <c r="B157" s="1" t="n">
        <v>10</v>
      </c>
      <c r="C157" s="1" t="n">
        <v>0.8</v>
      </c>
      <c r="D157" s="1" t="n">
        <v>1.0042</v>
      </c>
      <c r="E157" s="1" t="n">
        <v>0.0260894</v>
      </c>
      <c r="F157" s="1" t="n">
        <v>7.11857E-005</v>
      </c>
      <c r="G157" s="1" t="s">
        <v>27</v>
      </c>
      <c r="H157" s="1" t="n">
        <v>49.7</v>
      </c>
      <c r="I157" s="1" t="n">
        <v>318.5</v>
      </c>
      <c r="J157" s="1" t="n">
        <v>0</v>
      </c>
      <c r="K157" s="1"/>
      <c r="L157" s="1" t="n">
        <v>0</v>
      </c>
      <c r="M157" s="1" t="n">
        <v>0</v>
      </c>
      <c r="N157" s="1" t="s">
        <v>173</v>
      </c>
      <c r="Z157" s="0" t="n">
        <f aca="false">I157-28</f>
        <v>290.5</v>
      </c>
      <c r="AB157" s="0" t="n">
        <f aca="false">IF(Z157&lt;0,Z157+360,Z157+0)</f>
        <v>290.5</v>
      </c>
    </row>
    <row r="158" customFormat="false" ht="15.8" hidden="false" customHeight="false" outlineLevel="0" collapsed="false">
      <c r="A158" s="1" t="n">
        <v>5</v>
      </c>
      <c r="B158" s="1" t="n">
        <v>9</v>
      </c>
      <c r="C158" s="1" t="n">
        <v>2</v>
      </c>
      <c r="D158" s="1" t="n">
        <v>1.0585</v>
      </c>
      <c r="E158" s="1" t="n">
        <v>0.0692364</v>
      </c>
      <c r="F158" s="1" t="n">
        <v>0.000188914</v>
      </c>
      <c r="G158" s="1" t="s">
        <v>47</v>
      </c>
      <c r="H158" s="1" t="n">
        <v>6.1</v>
      </c>
      <c r="I158" s="1" t="n">
        <v>8.2</v>
      </c>
      <c r="J158" s="1" t="n">
        <v>0</v>
      </c>
      <c r="K158" s="1" t="n">
        <v>49.7</v>
      </c>
      <c r="L158" s="1" t="n">
        <v>0</v>
      </c>
      <c r="M158" s="1" t="n">
        <v>0</v>
      </c>
      <c r="N158" s="1" t="s">
        <v>174</v>
      </c>
      <c r="Z158" s="0" t="n">
        <f aca="false">I158-28</f>
        <v>-19.8</v>
      </c>
      <c r="AB158" s="0" t="n">
        <f aca="false">IF(Z158&lt;0,Z158+360,Z158+0)</f>
        <v>340.2</v>
      </c>
    </row>
    <row r="159" customFormat="false" ht="15.8" hidden="false" customHeight="false" outlineLevel="0" collapsed="false">
      <c r="A159" s="1" t="n">
        <v>5</v>
      </c>
      <c r="B159" s="1" t="n">
        <v>10</v>
      </c>
      <c r="C159" s="1" t="n">
        <v>2.1</v>
      </c>
      <c r="D159" s="1" t="n">
        <v>1.1444</v>
      </c>
      <c r="E159" s="1" t="n">
        <v>0.0714703</v>
      </c>
      <c r="F159" s="1" t="n">
        <v>0.000195009</v>
      </c>
      <c r="G159" s="1" t="s">
        <v>27</v>
      </c>
      <c r="H159" s="1" t="n">
        <v>33.6</v>
      </c>
      <c r="I159" s="1" t="n">
        <v>227.1</v>
      </c>
      <c r="J159" s="1" t="n">
        <v>37.5</v>
      </c>
      <c r="K159" s="1"/>
      <c r="L159" s="1" t="n">
        <v>0</v>
      </c>
      <c r="M159" s="1" t="n">
        <v>0</v>
      </c>
      <c r="N159" s="1" t="s">
        <v>175</v>
      </c>
      <c r="Z159" s="0" t="n">
        <f aca="false">I159-28</f>
        <v>199.1</v>
      </c>
      <c r="AB159" s="0" t="n">
        <f aca="false">IF(Z159&lt;0,Z159+360,Z159+0)</f>
        <v>199.1</v>
      </c>
    </row>
    <row r="160" customFormat="false" ht="15.8" hidden="false" customHeight="false" outlineLevel="0" collapsed="false">
      <c r="A160" s="1" t="n">
        <v>5</v>
      </c>
      <c r="B160" s="1" t="n">
        <v>10</v>
      </c>
      <c r="C160" s="1" t="n">
        <v>0.9</v>
      </c>
      <c r="D160" s="1" t="n">
        <v>1.0115</v>
      </c>
      <c r="E160" s="1" t="n">
        <v>0.0313709</v>
      </c>
      <c r="F160" s="1" t="n">
        <v>8.55965E-005</v>
      </c>
      <c r="G160" s="1" t="s">
        <v>27</v>
      </c>
      <c r="H160" s="1" t="n">
        <v>113.5</v>
      </c>
      <c r="I160" s="1" t="n">
        <v>41.6</v>
      </c>
      <c r="J160" s="1" t="n">
        <v>0</v>
      </c>
      <c r="K160" s="1"/>
      <c r="L160" s="1" t="n">
        <v>0</v>
      </c>
      <c r="M160" s="1" t="n">
        <v>0</v>
      </c>
      <c r="N160" s="1" t="s">
        <v>175</v>
      </c>
      <c r="Z160" s="0" t="n">
        <f aca="false">I160-28</f>
        <v>13.6</v>
      </c>
      <c r="AB160" s="0" t="n">
        <f aca="false">IF(Z160&lt;0,Z160+360,Z160+0)</f>
        <v>13.6</v>
      </c>
    </row>
    <row r="161" customFormat="false" ht="15.8" hidden="false" customHeight="false" outlineLevel="0" collapsed="false">
      <c r="A161" s="1" t="n">
        <v>5</v>
      </c>
      <c r="B161" s="1" t="n">
        <v>9</v>
      </c>
      <c r="C161" s="1" t="n">
        <v>1.8</v>
      </c>
      <c r="D161" s="1" t="n">
        <v>1.274</v>
      </c>
      <c r="E161" s="1" t="n">
        <v>0.0611062</v>
      </c>
      <c r="F161" s="1" t="n">
        <v>0.00016673</v>
      </c>
      <c r="G161" s="1" t="s">
        <v>47</v>
      </c>
      <c r="H161" s="1" t="n">
        <v>88.5</v>
      </c>
      <c r="I161" s="1" t="n">
        <v>270.7</v>
      </c>
      <c r="J161" s="1" t="n">
        <v>52.5</v>
      </c>
      <c r="K161" s="1" t="n">
        <v>113.5</v>
      </c>
      <c r="L161" s="1" t="n">
        <v>0</v>
      </c>
      <c r="M161" s="1" t="n">
        <v>0</v>
      </c>
      <c r="N161" s="1" t="s">
        <v>174</v>
      </c>
      <c r="Z161" s="0" t="n">
        <f aca="false">I161-28</f>
        <v>242.7</v>
      </c>
      <c r="AB161" s="0" t="n">
        <f aca="false">IF(Z161&lt;0,Z161+360,Z161+0)</f>
        <v>242.7</v>
      </c>
    </row>
    <row r="162" customFormat="false" ht="15.8" hidden="false" customHeight="false" outlineLevel="0" collapsed="false">
      <c r="A162" s="1" t="n">
        <v>5</v>
      </c>
      <c r="B162" s="1" t="n">
        <v>8</v>
      </c>
      <c r="C162" s="1" t="n">
        <v>5.7</v>
      </c>
      <c r="D162" s="1" t="n">
        <v>1.2394</v>
      </c>
      <c r="E162" s="1" t="n">
        <v>0.194581</v>
      </c>
      <c r="F162" s="1" t="n">
        <v>0.00053092</v>
      </c>
      <c r="G162" s="1" t="s">
        <v>47</v>
      </c>
      <c r="H162" s="1" t="n">
        <v>6.5</v>
      </c>
      <c r="I162" s="1" t="n">
        <v>4.3</v>
      </c>
      <c r="J162" s="1" t="n">
        <v>4.6</v>
      </c>
      <c r="K162" s="1" t="n">
        <v>88.5</v>
      </c>
      <c r="L162" s="1" t="n">
        <v>0</v>
      </c>
      <c r="M162" s="1" t="n">
        <v>0</v>
      </c>
      <c r="N162" s="1" t="s">
        <v>176</v>
      </c>
      <c r="Z162" s="0" t="n">
        <f aca="false">I162-28</f>
        <v>-23.7</v>
      </c>
      <c r="AB162" s="0" t="n">
        <f aca="false">IF(Z162&lt;0,Z162+360,Z162+0)</f>
        <v>336.3</v>
      </c>
    </row>
    <row r="163" customFormat="false" ht="15.8" hidden="false" customHeight="false" outlineLevel="0" collapsed="false">
      <c r="A163" s="1" t="n">
        <v>5</v>
      </c>
      <c r="B163" s="1" t="n">
        <v>8</v>
      </c>
      <c r="C163" s="1" t="n">
        <v>1.7</v>
      </c>
      <c r="D163" s="1" t="n">
        <v>1.1825</v>
      </c>
      <c r="E163" s="1" t="n">
        <v>0.059489</v>
      </c>
      <c r="F163" s="1" t="n">
        <v>0.000162318</v>
      </c>
      <c r="G163" s="1" t="s">
        <v>27</v>
      </c>
      <c r="H163" s="1" t="n">
        <v>116.3</v>
      </c>
      <c r="I163" s="1" t="n">
        <v>236.1</v>
      </c>
      <c r="J163" s="1" t="n">
        <v>49.2</v>
      </c>
      <c r="K163" s="1"/>
      <c r="L163" s="1" t="n">
        <v>0</v>
      </c>
      <c r="M163" s="1" t="n">
        <v>0</v>
      </c>
      <c r="N163" s="1" t="s">
        <v>176</v>
      </c>
      <c r="Z163" s="0" t="n">
        <f aca="false">I163-28</f>
        <v>208.1</v>
      </c>
      <c r="AB163" s="0" t="n">
        <f aca="false">IF(Z163&lt;0,Z163+360,Z163+0)</f>
        <v>208.1</v>
      </c>
    </row>
    <row r="164" customFormat="false" ht="15.8" hidden="false" customHeight="false" outlineLevel="0" collapsed="false">
      <c r="A164" s="1" t="n">
        <v>5</v>
      </c>
      <c r="B164" s="1" t="n">
        <v>7</v>
      </c>
      <c r="C164" s="1" t="n">
        <v>0.7</v>
      </c>
      <c r="D164" s="1" t="n">
        <v>1.015</v>
      </c>
      <c r="E164" s="1" t="n">
        <v>0.0249798</v>
      </c>
      <c r="F164" s="1" t="n">
        <v>6.81582E-005</v>
      </c>
      <c r="G164" s="1" t="s">
        <v>47</v>
      </c>
      <c r="H164" s="1" t="n">
        <v>24</v>
      </c>
      <c r="I164" s="1" t="n">
        <v>8.7</v>
      </c>
      <c r="J164" s="1" t="n">
        <v>0</v>
      </c>
      <c r="K164" s="1" t="n">
        <v>116.3</v>
      </c>
      <c r="L164" s="1" t="n">
        <v>0</v>
      </c>
      <c r="M164" s="1" t="n">
        <v>0</v>
      </c>
      <c r="N164" s="1" t="s">
        <v>177</v>
      </c>
      <c r="Z164" s="0" t="n">
        <f aca="false">I164-28</f>
        <v>-19.3</v>
      </c>
      <c r="AB164" s="0" t="n">
        <f aca="false">IF(Z164&lt;0,Z164+360,Z164+0)</f>
        <v>340.7</v>
      </c>
    </row>
    <row r="165" customFormat="false" ht="15.8" hidden="false" customHeight="false" outlineLevel="0" collapsed="false">
      <c r="A165" s="1" t="n">
        <v>5</v>
      </c>
      <c r="B165" s="1" t="n">
        <v>7</v>
      </c>
      <c r="C165" s="1" t="n">
        <v>1.9</v>
      </c>
      <c r="D165" s="1" t="n">
        <v>1.1102</v>
      </c>
      <c r="E165" s="1" t="n">
        <v>0.0666448</v>
      </c>
      <c r="F165" s="1" t="n">
        <v>0.000181842</v>
      </c>
      <c r="G165" s="1" t="s">
        <v>27</v>
      </c>
      <c r="H165" s="1" t="n">
        <v>81.4</v>
      </c>
      <c r="I165" s="1" t="n">
        <v>101.4</v>
      </c>
      <c r="J165" s="1" t="n">
        <v>-57.7</v>
      </c>
      <c r="K165" s="1"/>
      <c r="L165" s="1" t="n">
        <v>0</v>
      </c>
      <c r="M165" s="1" t="n">
        <v>0</v>
      </c>
      <c r="N165" s="1" t="s">
        <v>177</v>
      </c>
      <c r="Z165" s="0" t="n">
        <f aca="false">I165-28</f>
        <v>73.4</v>
      </c>
      <c r="AB165" s="0" t="n">
        <f aca="false">IF(Z165&lt;0,Z165+360,Z165+0)</f>
        <v>73.4</v>
      </c>
    </row>
    <row r="166" customFormat="false" ht="15.8" hidden="false" customHeight="false" outlineLevel="0" collapsed="false">
      <c r="A166" s="1" t="n">
        <v>5</v>
      </c>
      <c r="B166" s="1" t="n">
        <v>6</v>
      </c>
      <c r="C166" s="1" t="n">
        <v>3.7</v>
      </c>
      <c r="D166" s="1" t="n">
        <v>1.1502</v>
      </c>
      <c r="E166" s="1" t="n">
        <v>0.127795</v>
      </c>
      <c r="F166" s="1" t="n">
        <v>0.000348694</v>
      </c>
      <c r="G166" s="1" t="s">
        <v>47</v>
      </c>
      <c r="H166" s="1" t="n">
        <v>24.4</v>
      </c>
      <c r="I166" s="1" t="n">
        <v>355.3</v>
      </c>
      <c r="J166" s="1" t="n">
        <v>-20</v>
      </c>
      <c r="K166" s="1" t="n">
        <v>81.4</v>
      </c>
      <c r="L166" s="1" t="n">
        <v>0</v>
      </c>
      <c r="M166" s="1" t="n">
        <v>0</v>
      </c>
      <c r="N166" s="1" t="s">
        <v>172</v>
      </c>
      <c r="Z166" s="0" t="n">
        <f aca="false">I166-28</f>
        <v>327.3</v>
      </c>
      <c r="AB166" s="0" t="n">
        <f aca="false">IF(Z166&lt;0,Z166+360,Z166+0)</f>
        <v>327.3</v>
      </c>
    </row>
    <row r="167" customFormat="false" ht="15.8" hidden="false" customHeight="false" outlineLevel="0" collapsed="false">
      <c r="A167" s="1" t="n">
        <v>5</v>
      </c>
      <c r="B167" s="1" t="n">
        <v>5</v>
      </c>
      <c r="C167" s="1" t="n">
        <v>10</v>
      </c>
      <c r="D167" s="1" t="n">
        <v>1.1013</v>
      </c>
      <c r="E167" s="1" t="n">
        <v>0.344556</v>
      </c>
      <c r="F167" s="1" t="n">
        <v>0.000940133</v>
      </c>
      <c r="G167" s="1" t="s">
        <v>47</v>
      </c>
      <c r="H167" s="1" t="n">
        <v>4.5</v>
      </c>
      <c r="I167" s="1" t="n">
        <v>5.2</v>
      </c>
      <c r="J167" s="1" t="n">
        <v>2.3</v>
      </c>
      <c r="K167" s="1" t="n">
        <v>24.4</v>
      </c>
      <c r="L167" s="1" t="n">
        <v>0</v>
      </c>
      <c r="M167" s="1" t="n">
        <v>0</v>
      </c>
      <c r="N167" s="1" t="s">
        <v>168</v>
      </c>
      <c r="Z167" s="0" t="n">
        <f aca="false">I167-28</f>
        <v>-22.8</v>
      </c>
      <c r="AB167" s="0" t="n">
        <f aca="false">IF(Z167&lt;0,Z167+360,Z167+0)</f>
        <v>337.2</v>
      </c>
    </row>
    <row r="168" customFormat="false" ht="15.8" hidden="false" customHeight="false" outlineLevel="0" collapsed="false">
      <c r="A168" s="1" t="n">
        <v>5</v>
      </c>
      <c r="B168" s="1" t="n">
        <v>4</v>
      </c>
      <c r="C168" s="1" t="n">
        <v>3.7</v>
      </c>
      <c r="D168" s="1" t="n">
        <v>1.0746</v>
      </c>
      <c r="E168" s="1" t="n">
        <v>0.128513</v>
      </c>
      <c r="F168" s="1" t="n">
        <v>0.000350653</v>
      </c>
      <c r="G168" s="1" t="s">
        <v>47</v>
      </c>
      <c r="H168" s="1" t="n">
        <v>22.5</v>
      </c>
      <c r="I168" s="1" t="n">
        <v>7.6</v>
      </c>
      <c r="J168" s="1" t="n">
        <v>6.1</v>
      </c>
      <c r="K168" s="1" t="n">
        <v>4.5</v>
      </c>
      <c r="L168" s="1" t="n">
        <v>0</v>
      </c>
      <c r="M168" s="1" t="n">
        <v>0</v>
      </c>
      <c r="N168" s="1" t="s">
        <v>178</v>
      </c>
      <c r="Z168" s="0" t="n">
        <f aca="false">I168-28</f>
        <v>-20.4</v>
      </c>
      <c r="AB168" s="0" t="n">
        <f aca="false">IF(Z168&lt;0,Z168+360,Z168+0)</f>
        <v>339.6</v>
      </c>
    </row>
    <row r="169" customFormat="false" ht="15.8" hidden="false" customHeight="false" outlineLevel="0" collapsed="false">
      <c r="A169" s="1" t="n">
        <v>5</v>
      </c>
      <c r="B169" s="1" t="n">
        <v>5</v>
      </c>
      <c r="C169" s="1" t="n">
        <v>14.1</v>
      </c>
      <c r="D169" s="1" t="n">
        <v>1.7489</v>
      </c>
      <c r="E169" s="1" t="n">
        <v>0.484085</v>
      </c>
      <c r="F169" s="1" t="n">
        <v>0.00132084</v>
      </c>
      <c r="G169" s="1" t="s">
        <v>27</v>
      </c>
      <c r="H169" s="1" t="n">
        <v>42.5</v>
      </c>
      <c r="I169" s="1" t="n">
        <v>6.9</v>
      </c>
      <c r="J169" s="1" t="n">
        <v>-55.6</v>
      </c>
      <c r="K169" s="1"/>
      <c r="L169" s="1" t="n">
        <v>0</v>
      </c>
      <c r="M169" s="1" t="n">
        <v>0</v>
      </c>
      <c r="N169" s="1" t="s">
        <v>179</v>
      </c>
      <c r="Z169" s="0" t="n">
        <f aca="false">I169-28</f>
        <v>-21.1</v>
      </c>
      <c r="AB169" s="0" t="n">
        <f aca="false">IF(Z169&lt;0,Z169+360,Z169+0)</f>
        <v>338.9</v>
      </c>
    </row>
    <row r="170" customFormat="false" ht="15.8" hidden="false" customHeight="false" outlineLevel="0" collapsed="false">
      <c r="A170" s="1" t="n">
        <v>5</v>
      </c>
      <c r="B170" s="1" t="n">
        <v>5</v>
      </c>
      <c r="C170" s="1" t="n">
        <v>1.7</v>
      </c>
      <c r="D170" s="1" t="n">
        <v>1.1379</v>
      </c>
      <c r="E170" s="1" t="n">
        <v>0.0597607</v>
      </c>
      <c r="F170" s="1" t="n">
        <v>0.000163059</v>
      </c>
      <c r="G170" s="1" t="s">
        <v>27</v>
      </c>
      <c r="H170" s="1" t="n">
        <v>91.7</v>
      </c>
      <c r="I170" s="1" t="n">
        <v>330</v>
      </c>
      <c r="J170" s="1" t="n">
        <v>-14</v>
      </c>
      <c r="K170" s="1"/>
      <c r="L170" s="1" t="n">
        <v>0</v>
      </c>
      <c r="M170" s="1" t="n">
        <v>0</v>
      </c>
      <c r="N170" s="1" t="s">
        <v>179</v>
      </c>
      <c r="Z170" s="0" t="n">
        <f aca="false">I170-28</f>
        <v>302</v>
      </c>
      <c r="AB170" s="0" t="n">
        <f aca="false">IF(Z170&lt;0,Z170+360,Z170+0)</f>
        <v>302</v>
      </c>
    </row>
    <row r="171" customFormat="false" ht="15.8" hidden="false" customHeight="false" outlineLevel="0" collapsed="false">
      <c r="A171" s="1" t="n">
        <v>5</v>
      </c>
      <c r="B171" s="1" t="n">
        <v>4</v>
      </c>
      <c r="C171" s="1" t="n">
        <v>1</v>
      </c>
      <c r="D171" s="1" t="n">
        <v>1.1994</v>
      </c>
      <c r="E171" s="1" t="n">
        <v>0.0327449</v>
      </c>
      <c r="F171" s="1" t="n">
        <v>8.93454E-005</v>
      </c>
      <c r="G171" s="1" t="s">
        <v>47</v>
      </c>
      <c r="H171" s="1" t="n">
        <v>76</v>
      </c>
      <c r="I171" s="1" t="n">
        <v>105.1</v>
      </c>
      <c r="J171" s="1" t="n">
        <v>-68.3</v>
      </c>
      <c r="K171" s="1" t="n">
        <v>91.7</v>
      </c>
      <c r="L171" s="1" t="n">
        <v>0</v>
      </c>
      <c r="M171" s="1" t="n">
        <v>0</v>
      </c>
      <c r="N171" s="1" t="s">
        <v>178</v>
      </c>
      <c r="Z171" s="0" t="n">
        <f aca="false">I171-28</f>
        <v>77.1</v>
      </c>
      <c r="AB171" s="0" t="n">
        <f aca="false">IF(Z171&lt;0,Z171+360,Z171+0)</f>
        <v>77.1</v>
      </c>
    </row>
    <row r="172" customFormat="false" ht="15.8" hidden="false" customHeight="false" outlineLevel="0" collapsed="false">
      <c r="A172" s="1" t="n">
        <v>5</v>
      </c>
      <c r="B172" s="1" t="n">
        <v>3</v>
      </c>
      <c r="C172" s="1" t="n">
        <v>1.6</v>
      </c>
      <c r="D172" s="1" t="n">
        <v>1.1477</v>
      </c>
      <c r="E172" s="1" t="n">
        <v>0.0546831</v>
      </c>
      <c r="F172" s="1" t="n">
        <v>0.000149205</v>
      </c>
      <c r="G172" s="1" t="s">
        <v>47</v>
      </c>
      <c r="H172" s="1" t="n">
        <v>19</v>
      </c>
      <c r="I172" s="1" t="n">
        <v>14.1</v>
      </c>
      <c r="J172" s="1" t="n">
        <v>-15.4</v>
      </c>
      <c r="K172" s="1" t="n">
        <v>76</v>
      </c>
      <c r="L172" s="1" t="n">
        <v>0</v>
      </c>
      <c r="M172" s="1" t="n">
        <v>0</v>
      </c>
      <c r="N172" s="1" t="s">
        <v>180</v>
      </c>
      <c r="Z172" s="0" t="n">
        <f aca="false">I172-28</f>
        <v>-13.9</v>
      </c>
      <c r="AB172" s="0" t="n">
        <f aca="false">IF(Z172&lt;0,Z172+360,Z172+0)</f>
        <v>346.1</v>
      </c>
    </row>
    <row r="173" customFormat="false" ht="15.8" hidden="false" customHeight="false" outlineLevel="0" collapsed="false">
      <c r="A173" s="1" t="n">
        <v>5</v>
      </c>
      <c r="B173" s="1" t="n">
        <v>3</v>
      </c>
      <c r="C173" s="1" t="n">
        <v>4.3</v>
      </c>
      <c r="D173" s="1" t="n">
        <v>1.2202</v>
      </c>
      <c r="E173" s="1" t="n">
        <v>0.146505</v>
      </c>
      <c r="F173" s="1" t="n">
        <v>0.000399743</v>
      </c>
      <c r="G173" s="1" t="s">
        <v>27</v>
      </c>
      <c r="H173" s="1" t="n">
        <v>74.2</v>
      </c>
      <c r="I173" s="1" t="n">
        <v>291.8</v>
      </c>
      <c r="J173" s="1" t="n">
        <v>-31.9</v>
      </c>
      <c r="K173" s="1"/>
      <c r="L173" s="1" t="n">
        <v>0</v>
      </c>
      <c r="M173" s="1" t="n">
        <v>0</v>
      </c>
      <c r="N173" s="1" t="s">
        <v>180</v>
      </c>
      <c r="Z173" s="0" t="n">
        <f aca="false">I173-28</f>
        <v>263.8</v>
      </c>
      <c r="AB173" s="0" t="n">
        <f aca="false">IF(Z173&lt;0,Z173+360,Z173+0)</f>
        <v>263.8</v>
      </c>
    </row>
    <row r="174" customFormat="false" ht="15.8" hidden="false" customHeight="false" outlineLevel="0" collapsed="false">
      <c r="A174" s="1" t="n">
        <v>5</v>
      </c>
      <c r="B174" s="1" t="n">
        <v>2</v>
      </c>
      <c r="C174" s="1" t="n">
        <v>2.7</v>
      </c>
      <c r="D174" s="1" t="n">
        <v>1.0076</v>
      </c>
      <c r="E174" s="1" t="n">
        <v>0.0926535</v>
      </c>
      <c r="F174" s="1" t="n">
        <v>0.000252808</v>
      </c>
      <c r="G174" s="1" t="s">
        <v>47</v>
      </c>
      <c r="H174" s="1" t="n">
        <v>17.7</v>
      </c>
      <c r="I174" s="1" t="n">
        <v>3</v>
      </c>
      <c r="J174" s="1" t="n">
        <v>0</v>
      </c>
      <c r="K174" s="1" t="n">
        <v>74.2</v>
      </c>
      <c r="L174" s="1" t="n">
        <v>0</v>
      </c>
      <c r="M174" s="1" t="n">
        <v>0</v>
      </c>
      <c r="N174" s="1" t="s">
        <v>181</v>
      </c>
      <c r="Z174" s="0" t="n">
        <f aca="false">I174-28</f>
        <v>-25</v>
      </c>
      <c r="AB174" s="0" t="n">
        <f aca="false">IF(Z174&lt;0,Z174+360,Z174+0)</f>
        <v>335</v>
      </c>
    </row>
    <row r="175" customFormat="false" ht="15.8" hidden="false" customHeight="false" outlineLevel="0" collapsed="false">
      <c r="A175" s="1" t="n">
        <v>5</v>
      </c>
      <c r="B175" s="1" t="n">
        <v>11</v>
      </c>
      <c r="C175" s="1" t="n">
        <v>4.8</v>
      </c>
      <c r="D175" s="1" t="n">
        <v>1.3087</v>
      </c>
      <c r="E175" s="1" t="n">
        <v>0.164878</v>
      </c>
      <c r="F175" s="1" t="n">
        <v>0.000449875</v>
      </c>
      <c r="G175" s="1" t="s">
        <v>27</v>
      </c>
      <c r="H175" s="1" t="n">
        <v>129.8</v>
      </c>
      <c r="I175" s="1" t="n">
        <v>338.4</v>
      </c>
      <c r="J175" s="1" t="n">
        <v>0</v>
      </c>
      <c r="K175" s="1"/>
      <c r="L175" s="1" t="n">
        <v>0</v>
      </c>
      <c r="M175" s="1" t="n">
        <v>0</v>
      </c>
      <c r="N175" s="1" t="s">
        <v>182</v>
      </c>
      <c r="Z175" s="0" t="n">
        <f aca="false">I175-28</f>
        <v>310.4</v>
      </c>
      <c r="AB175" s="0" t="n">
        <f aca="false">IF(Z175&lt;0,Z175+360,Z175+0)</f>
        <v>310.4</v>
      </c>
    </row>
    <row r="176" customFormat="false" ht="15.8" hidden="false" customHeight="false" outlineLevel="0" collapsed="false">
      <c r="A176" s="1" t="n">
        <v>5</v>
      </c>
      <c r="B176" s="1" t="n">
        <v>11</v>
      </c>
      <c r="C176" s="1" t="n">
        <v>0.3</v>
      </c>
      <c r="D176" s="1" t="n">
        <v>1.0028</v>
      </c>
      <c r="E176" s="1" t="n">
        <v>0.0117832</v>
      </c>
      <c r="F176" s="1" t="n">
        <v>3.21509E-005</v>
      </c>
      <c r="G176" s="1" t="s">
        <v>27</v>
      </c>
      <c r="H176" s="1" t="n">
        <v>44</v>
      </c>
      <c r="I176" s="1" t="n">
        <v>142.8</v>
      </c>
      <c r="J176" s="1" t="n">
        <v>0</v>
      </c>
      <c r="K176" s="1"/>
      <c r="L176" s="1" t="n">
        <v>0</v>
      </c>
      <c r="M176" s="1" t="n">
        <v>0</v>
      </c>
      <c r="N176" s="1" t="s">
        <v>182</v>
      </c>
      <c r="Z176" s="0" t="n">
        <f aca="false">I176-28</f>
        <v>114.8</v>
      </c>
      <c r="AB176" s="0" t="n">
        <f aca="false">IF(Z176&lt;0,Z176+360,Z176+0)</f>
        <v>114.8</v>
      </c>
    </row>
    <row r="177" customFormat="false" ht="15.8" hidden="false" customHeight="false" outlineLevel="0" collapsed="false">
      <c r="A177" s="1" t="n">
        <v>5</v>
      </c>
      <c r="B177" s="1" t="n">
        <v>10</v>
      </c>
      <c r="C177" s="1" t="n">
        <v>5.2</v>
      </c>
      <c r="D177" s="1" t="n">
        <v>1.3331</v>
      </c>
      <c r="E177" s="1" t="n">
        <v>0.177245</v>
      </c>
      <c r="F177" s="1" t="n">
        <v>0.000483619</v>
      </c>
      <c r="G177" s="1" t="s">
        <v>47</v>
      </c>
      <c r="H177" s="1" t="n">
        <v>56.2</v>
      </c>
      <c r="I177" s="1" t="n">
        <v>127.8</v>
      </c>
      <c r="J177" s="1" t="n">
        <v>41.9</v>
      </c>
      <c r="K177" s="1" t="n">
        <v>129.8</v>
      </c>
      <c r="L177" s="1" t="n">
        <v>0</v>
      </c>
      <c r="M177" s="1" t="n">
        <v>0</v>
      </c>
      <c r="N177" s="1" t="s">
        <v>183</v>
      </c>
      <c r="Z177" s="0" t="n">
        <f aca="false">I177-28</f>
        <v>99.8</v>
      </c>
      <c r="AB177" s="0" t="n">
        <f aca="false">IF(Z177&lt;0,Z177+360,Z177+0)</f>
        <v>99.8</v>
      </c>
    </row>
    <row r="178" customFormat="false" ht="15.8" hidden="false" customHeight="false" outlineLevel="0" collapsed="false">
      <c r="A178" s="1" t="n">
        <v>5</v>
      </c>
      <c r="B178" s="1" t="n">
        <v>10</v>
      </c>
      <c r="C178" s="1" t="n">
        <v>2.2</v>
      </c>
      <c r="D178" s="1" t="n">
        <v>1.2461</v>
      </c>
      <c r="E178" s="1" t="n">
        <v>0.0739685</v>
      </c>
      <c r="F178" s="1" t="n">
        <v>0.000201825</v>
      </c>
      <c r="G178" s="1" t="s">
        <v>27</v>
      </c>
      <c r="H178" s="1" t="n">
        <v>70.9</v>
      </c>
      <c r="I178" s="1" t="n">
        <v>219.9</v>
      </c>
      <c r="J178" s="1" t="n">
        <v>25.3</v>
      </c>
      <c r="K178" s="1"/>
      <c r="L178" s="1" t="n">
        <v>0</v>
      </c>
      <c r="M178" s="1" t="n">
        <v>0</v>
      </c>
      <c r="N178" s="1" t="s">
        <v>183</v>
      </c>
      <c r="Z178" s="0" t="n">
        <f aca="false">I178-28</f>
        <v>191.9</v>
      </c>
      <c r="AB178" s="0" t="n">
        <f aca="false">IF(Z178&lt;0,Z178+360,Z178+0)</f>
        <v>191.9</v>
      </c>
    </row>
    <row r="179" customFormat="false" ht="15.8" hidden="false" customHeight="false" outlineLevel="0" collapsed="false">
      <c r="A179" s="1" t="n">
        <v>5</v>
      </c>
      <c r="B179" s="1" t="n">
        <v>9</v>
      </c>
      <c r="C179" s="1" t="n">
        <v>3.3</v>
      </c>
      <c r="D179" s="1" t="n">
        <v>1.2893</v>
      </c>
      <c r="E179" s="1" t="n">
        <v>0.114532</v>
      </c>
      <c r="F179" s="1" t="n">
        <v>0.000312505</v>
      </c>
      <c r="G179" s="1" t="s">
        <v>47</v>
      </c>
      <c r="H179" s="1" t="n">
        <v>111.1</v>
      </c>
      <c r="I179" s="1" t="n">
        <v>155.6</v>
      </c>
      <c r="J179" s="1" t="n">
        <v>-8.2</v>
      </c>
      <c r="K179" s="1" t="n">
        <v>70.9</v>
      </c>
      <c r="L179" s="1" t="n">
        <v>0</v>
      </c>
      <c r="M179" s="1" t="n">
        <v>0</v>
      </c>
      <c r="N179" s="1" t="s">
        <v>184</v>
      </c>
      <c r="Z179" s="0" t="n">
        <f aca="false">I179-28</f>
        <v>127.6</v>
      </c>
      <c r="AB179" s="0" t="n">
        <f aca="false">IF(Z179&lt;0,Z179+360,Z179+0)</f>
        <v>127.6</v>
      </c>
    </row>
    <row r="180" customFormat="false" ht="15.8" hidden="false" customHeight="false" outlineLevel="0" collapsed="false">
      <c r="A180" s="1" t="n">
        <v>5</v>
      </c>
      <c r="B180" s="1" t="n">
        <v>10</v>
      </c>
      <c r="C180" s="1" t="n">
        <v>2.8</v>
      </c>
      <c r="D180" s="1" t="n">
        <v>1.1212</v>
      </c>
      <c r="E180" s="1" t="n">
        <v>0.0946345</v>
      </c>
      <c r="F180" s="1" t="n">
        <v>0.000258213</v>
      </c>
      <c r="G180" s="1" t="s">
        <v>27</v>
      </c>
      <c r="H180" s="1" t="n">
        <v>15</v>
      </c>
      <c r="I180" s="1" t="n">
        <v>5.4</v>
      </c>
      <c r="J180" s="1" t="n">
        <v>8.6</v>
      </c>
      <c r="K180" s="1"/>
      <c r="L180" s="1" t="n">
        <v>0</v>
      </c>
      <c r="M180" s="1" t="n">
        <v>0</v>
      </c>
      <c r="N180" s="1" t="s">
        <v>185</v>
      </c>
      <c r="Z180" s="0" t="n">
        <f aca="false">I180-28</f>
        <v>-22.6</v>
      </c>
      <c r="AB180" s="0" t="n">
        <f aca="false">IF(Z180&lt;0,Z180+360,Z180+0)</f>
        <v>337.4</v>
      </c>
    </row>
    <row r="181" customFormat="false" ht="15.8" hidden="false" customHeight="false" outlineLevel="0" collapsed="false">
      <c r="A181" s="1" t="n">
        <v>5</v>
      </c>
      <c r="B181" s="1" t="n">
        <v>11</v>
      </c>
      <c r="C181" s="1" t="n">
        <v>6.6</v>
      </c>
      <c r="D181" s="1" t="n">
        <v>1.3293</v>
      </c>
      <c r="E181" s="1" t="n">
        <v>0.227033</v>
      </c>
      <c r="F181" s="1" t="n">
        <v>0.000619465</v>
      </c>
      <c r="G181" s="1" t="s">
        <v>27</v>
      </c>
      <c r="H181" s="1" t="n">
        <v>21.6</v>
      </c>
      <c r="I181" s="1" t="n">
        <v>342.5</v>
      </c>
      <c r="J181" s="1" t="n">
        <v>54.8</v>
      </c>
      <c r="K181" s="1"/>
      <c r="L181" s="1" t="n">
        <v>0</v>
      </c>
      <c r="M181" s="1" t="n">
        <v>0</v>
      </c>
      <c r="N181" s="1" t="s">
        <v>186</v>
      </c>
      <c r="Z181" s="0" t="n">
        <f aca="false">I181-28</f>
        <v>314.5</v>
      </c>
      <c r="AB181" s="0" t="n">
        <f aca="false">IF(Z181&lt;0,Z181+360,Z181+0)</f>
        <v>314.5</v>
      </c>
    </row>
    <row r="182" customFormat="false" ht="15.8" hidden="false" customHeight="false" outlineLevel="0" collapsed="false">
      <c r="A182" s="1" t="n">
        <v>5</v>
      </c>
      <c r="B182" s="1" t="n">
        <v>11</v>
      </c>
      <c r="C182" s="1" t="n">
        <v>1</v>
      </c>
      <c r="D182" s="1" t="n">
        <v>1.2158</v>
      </c>
      <c r="E182" s="1" t="n">
        <v>0.0347376</v>
      </c>
      <c r="F182" s="1" t="n">
        <v>9.47825E-005</v>
      </c>
      <c r="G182" s="1" t="s">
        <v>27</v>
      </c>
      <c r="H182" s="1" t="n">
        <v>90.9</v>
      </c>
      <c r="I182" s="1" t="n">
        <v>74.7</v>
      </c>
      <c r="J182" s="1" t="n">
        <v>-26.4</v>
      </c>
      <c r="K182" s="1"/>
      <c r="L182" s="1" t="n">
        <v>0</v>
      </c>
      <c r="M182" s="1" t="n">
        <v>0</v>
      </c>
      <c r="N182" s="1" t="s">
        <v>186</v>
      </c>
      <c r="Z182" s="0" t="n">
        <f aca="false">I182-28</f>
        <v>46.7</v>
      </c>
      <c r="AB182" s="0" t="n">
        <f aca="false">IF(Z182&lt;0,Z182+360,Z182+0)</f>
        <v>46.7</v>
      </c>
    </row>
    <row r="183" customFormat="false" ht="15.8" hidden="false" customHeight="false" outlineLevel="0" collapsed="false">
      <c r="A183" s="1" t="n">
        <v>5</v>
      </c>
      <c r="B183" s="1" t="n">
        <v>10</v>
      </c>
      <c r="C183" s="1" t="n">
        <v>2.6</v>
      </c>
      <c r="D183" s="1" t="n">
        <v>1.2853</v>
      </c>
      <c r="E183" s="1" t="n">
        <v>0.0900302</v>
      </c>
      <c r="F183" s="1" t="n">
        <v>0.00024565</v>
      </c>
      <c r="G183" s="1" t="s">
        <v>47</v>
      </c>
      <c r="H183" s="1" t="n">
        <v>24</v>
      </c>
      <c r="I183" s="1" t="n">
        <v>14.4</v>
      </c>
      <c r="J183" s="1" t="n">
        <v>46.4</v>
      </c>
      <c r="K183" s="1" t="n">
        <v>90.9</v>
      </c>
      <c r="L183" s="1" t="n">
        <v>0</v>
      </c>
      <c r="M183" s="1" t="n">
        <v>0</v>
      </c>
      <c r="N183" s="1" t="s">
        <v>185</v>
      </c>
      <c r="Z183" s="0" t="n">
        <f aca="false">I183-28</f>
        <v>-13.6</v>
      </c>
      <c r="AB183" s="0" t="n">
        <f aca="false">IF(Z183&lt;0,Z183+360,Z183+0)</f>
        <v>346.4</v>
      </c>
    </row>
    <row r="184" customFormat="false" ht="15.8" hidden="false" customHeight="false" outlineLevel="0" collapsed="false">
      <c r="A184" s="1" t="n">
        <v>5</v>
      </c>
      <c r="B184" s="1" t="n">
        <v>9</v>
      </c>
      <c r="C184" s="1" t="n">
        <v>1.1</v>
      </c>
      <c r="D184" s="1" t="n">
        <v>1.1529</v>
      </c>
      <c r="E184" s="1" t="n">
        <v>0.0381159</v>
      </c>
      <c r="F184" s="1" t="n">
        <v>0.000104001</v>
      </c>
      <c r="G184" s="1" t="s">
        <v>47</v>
      </c>
      <c r="H184" s="1" t="n">
        <v>36.8</v>
      </c>
      <c r="I184" s="1" t="n">
        <v>11.3</v>
      </c>
      <c r="J184" s="1" t="n">
        <v>22.6</v>
      </c>
      <c r="K184" s="1" t="n">
        <v>24</v>
      </c>
      <c r="L184" s="1" t="n">
        <v>0</v>
      </c>
      <c r="M184" s="1" t="n">
        <v>0</v>
      </c>
      <c r="N184" s="1" t="s">
        <v>184</v>
      </c>
      <c r="Z184" s="0" t="n">
        <f aca="false">I184-28</f>
        <v>-16.7</v>
      </c>
      <c r="AB184" s="0" t="n">
        <f aca="false">IF(Z184&lt;0,Z184+360,Z184+0)</f>
        <v>343.3</v>
      </c>
    </row>
    <row r="185" customFormat="false" ht="15.8" hidden="false" customHeight="false" outlineLevel="0" collapsed="false">
      <c r="A185" s="1" t="n">
        <v>5</v>
      </c>
      <c r="B185" s="1" t="n">
        <v>8</v>
      </c>
      <c r="C185" s="1" t="n">
        <v>4.5</v>
      </c>
      <c r="D185" s="1" t="n">
        <v>1.1675</v>
      </c>
      <c r="E185" s="1" t="n">
        <v>0.153795</v>
      </c>
      <c r="F185" s="1" t="n">
        <v>0.000419634</v>
      </c>
      <c r="G185" s="1" t="s">
        <v>47</v>
      </c>
      <c r="H185" s="1" t="n">
        <v>43.7</v>
      </c>
      <c r="I185" s="1" t="n">
        <v>42.3</v>
      </c>
      <c r="J185" s="1" t="n">
        <v>50.4</v>
      </c>
      <c r="K185" s="1" t="n">
        <v>111.1</v>
      </c>
      <c r="L185" s="1" t="n">
        <v>0</v>
      </c>
      <c r="M185" s="1" t="n">
        <v>0</v>
      </c>
      <c r="N185" s="1" t="s">
        <v>187</v>
      </c>
      <c r="Z185" s="0" t="n">
        <f aca="false">I185-28</f>
        <v>14.3</v>
      </c>
      <c r="AB185" s="0" t="n">
        <f aca="false">IF(Z185&lt;0,Z185+360,Z185+0)</f>
        <v>14.3</v>
      </c>
    </row>
    <row r="186" customFormat="false" ht="15.8" hidden="false" customHeight="false" outlineLevel="0" collapsed="false">
      <c r="A186" s="1" t="n">
        <v>5</v>
      </c>
      <c r="B186" s="1" t="n">
        <v>10</v>
      </c>
      <c r="C186" s="1" t="n">
        <v>1.4</v>
      </c>
      <c r="D186" s="1" t="n">
        <v>1.1843</v>
      </c>
      <c r="E186" s="1" t="n">
        <v>0.0476193</v>
      </c>
      <c r="F186" s="1" t="n">
        <v>0.000129931</v>
      </c>
      <c r="G186" s="1" t="s">
        <v>27</v>
      </c>
      <c r="H186" s="1" t="n">
        <v>35.6</v>
      </c>
      <c r="I186" s="1" t="n">
        <v>226.2</v>
      </c>
      <c r="J186" s="1" t="n">
        <v>-71.2</v>
      </c>
      <c r="K186" s="1"/>
      <c r="L186" s="1" t="n">
        <v>0</v>
      </c>
      <c r="M186" s="1" t="n">
        <v>0</v>
      </c>
      <c r="N186" s="1" t="s">
        <v>188</v>
      </c>
      <c r="Z186" s="0" t="n">
        <f aca="false">I186-28</f>
        <v>198.2</v>
      </c>
      <c r="AB186" s="0" t="n">
        <f aca="false">IF(Z186&lt;0,Z186+360,Z186+0)</f>
        <v>198.2</v>
      </c>
    </row>
    <row r="187" customFormat="false" ht="15.8" hidden="false" customHeight="false" outlineLevel="0" collapsed="false">
      <c r="A187" s="1" t="n">
        <v>5</v>
      </c>
      <c r="B187" s="1" t="n">
        <v>10</v>
      </c>
      <c r="C187" s="1" t="n">
        <v>1.3</v>
      </c>
      <c r="D187" s="1" t="n">
        <v>1.147</v>
      </c>
      <c r="E187" s="1" t="n">
        <v>0.0462186</v>
      </c>
      <c r="F187" s="1" t="n">
        <v>0.000126109</v>
      </c>
      <c r="G187" s="1" t="s">
        <v>27</v>
      </c>
      <c r="H187" s="1" t="n">
        <v>69.7</v>
      </c>
      <c r="I187" s="1" t="n">
        <v>6.4</v>
      </c>
      <c r="J187" s="1" t="n">
        <v>0</v>
      </c>
      <c r="K187" s="1"/>
      <c r="L187" s="1" t="n">
        <v>0</v>
      </c>
      <c r="M187" s="1" t="n">
        <v>0</v>
      </c>
      <c r="N187" s="1" t="s">
        <v>188</v>
      </c>
      <c r="Z187" s="0" t="n">
        <f aca="false">I187-28</f>
        <v>-21.6</v>
      </c>
      <c r="AB187" s="0" t="n">
        <f aca="false">IF(Z187&lt;0,Z187+360,Z187+0)</f>
        <v>338.4</v>
      </c>
    </row>
    <row r="188" customFormat="false" ht="15.8" hidden="false" customHeight="false" outlineLevel="0" collapsed="false">
      <c r="A188" s="1" t="n">
        <v>5</v>
      </c>
      <c r="B188" s="1" t="n">
        <v>9</v>
      </c>
      <c r="C188" s="1" t="n">
        <v>1.8</v>
      </c>
      <c r="D188" s="1" t="n">
        <v>1.1075</v>
      </c>
      <c r="E188" s="1" t="n">
        <v>0.0600945</v>
      </c>
      <c r="F188" s="1" t="n">
        <v>0.00016397</v>
      </c>
      <c r="G188" s="1" t="s">
        <v>47</v>
      </c>
      <c r="H188" s="1" t="n">
        <v>74</v>
      </c>
      <c r="I188" s="1" t="n">
        <v>355.4</v>
      </c>
      <c r="J188" s="1" t="n">
        <v>-69.3</v>
      </c>
      <c r="K188" s="1" t="n">
        <v>69.7</v>
      </c>
      <c r="L188" s="1" t="n">
        <v>0</v>
      </c>
      <c r="M188" s="1" t="n">
        <v>0</v>
      </c>
      <c r="N188" s="1" t="s">
        <v>189</v>
      </c>
      <c r="Z188" s="0" t="n">
        <f aca="false">I188-28</f>
        <v>327.4</v>
      </c>
      <c r="AB188" s="0" t="n">
        <f aca="false">IF(Z188&lt;0,Z188+360,Z188+0)</f>
        <v>327.4</v>
      </c>
    </row>
    <row r="189" customFormat="false" ht="15.8" hidden="false" customHeight="false" outlineLevel="0" collapsed="false">
      <c r="A189" s="1" t="n">
        <v>5</v>
      </c>
      <c r="B189" s="1" t="n">
        <v>9</v>
      </c>
      <c r="C189" s="1" t="n">
        <v>1.2</v>
      </c>
      <c r="D189" s="1" t="n">
        <v>1.1995</v>
      </c>
      <c r="E189" s="1" t="n">
        <v>0.0400029</v>
      </c>
      <c r="F189" s="1" t="n">
        <v>0.000109149</v>
      </c>
      <c r="G189" s="1" t="s">
        <v>27</v>
      </c>
      <c r="H189" s="1" t="n">
        <v>91</v>
      </c>
      <c r="I189" s="1" t="n">
        <v>125.6</v>
      </c>
      <c r="J189" s="1" t="n">
        <v>22.4</v>
      </c>
      <c r="K189" s="1"/>
      <c r="L189" s="1" t="n">
        <v>0</v>
      </c>
      <c r="M189" s="1" t="n">
        <v>0</v>
      </c>
      <c r="N189" s="1" t="s">
        <v>189</v>
      </c>
      <c r="Z189" s="0" t="n">
        <f aca="false">I189-28</f>
        <v>97.6</v>
      </c>
      <c r="AB189" s="0" t="n">
        <f aca="false">IF(Z189&lt;0,Z189+360,Z189+0)</f>
        <v>97.6</v>
      </c>
    </row>
    <row r="190" customFormat="false" ht="15.8" hidden="false" customHeight="false" outlineLevel="0" collapsed="false">
      <c r="A190" s="1" t="n">
        <v>5</v>
      </c>
      <c r="B190" s="1" t="n">
        <v>9</v>
      </c>
      <c r="C190" s="1" t="n">
        <v>1.9</v>
      </c>
      <c r="D190" s="1" t="n">
        <v>1.3673</v>
      </c>
      <c r="E190" s="1" t="n">
        <v>0.0635901</v>
      </c>
      <c r="F190" s="1" t="n">
        <v>0.000173508</v>
      </c>
      <c r="G190" s="1" t="s">
        <v>27</v>
      </c>
      <c r="H190" s="1" t="n">
        <v>0.3</v>
      </c>
      <c r="I190" s="1" t="n">
        <v>34.8</v>
      </c>
      <c r="J190" s="1" t="n">
        <v>0</v>
      </c>
      <c r="K190" s="1"/>
      <c r="L190" s="1" t="n">
        <v>0</v>
      </c>
      <c r="M190" s="1" t="n">
        <v>0</v>
      </c>
      <c r="N190" s="1" t="s">
        <v>189</v>
      </c>
      <c r="Z190" s="0" t="n">
        <f aca="false">I190-28</f>
        <v>6.8</v>
      </c>
      <c r="AB190" s="0" t="n">
        <f aca="false">IF(Z190&lt;0,Z190+360,Z190+0)</f>
        <v>6.8</v>
      </c>
    </row>
    <row r="191" customFormat="false" ht="15.8" hidden="false" customHeight="false" outlineLevel="0" collapsed="false">
      <c r="A191" s="1" t="n">
        <v>5</v>
      </c>
      <c r="B191" s="1" t="n">
        <v>9</v>
      </c>
      <c r="C191" s="1" t="n">
        <v>2.1</v>
      </c>
      <c r="D191" s="1" t="n">
        <v>1.3065</v>
      </c>
      <c r="E191" s="1" t="n">
        <v>0.0717187</v>
      </c>
      <c r="F191" s="1" t="n">
        <v>0.000195687</v>
      </c>
      <c r="G191" s="1" t="s">
        <v>27</v>
      </c>
      <c r="H191" s="1" t="n">
        <v>133.2</v>
      </c>
      <c r="I191" s="1" t="n">
        <v>253.9</v>
      </c>
      <c r="J191" s="1" t="n">
        <v>-27.5</v>
      </c>
      <c r="K191" s="1"/>
      <c r="L191" s="1" t="n">
        <v>0</v>
      </c>
      <c r="M191" s="1" t="n">
        <v>0</v>
      </c>
      <c r="N191" s="1" t="s">
        <v>189</v>
      </c>
      <c r="Z191" s="0" t="n">
        <f aca="false">I191-28</f>
        <v>225.9</v>
      </c>
      <c r="AB191" s="0" t="n">
        <f aca="false">IF(Z191&lt;0,Z191+360,Z191+0)</f>
        <v>225.9</v>
      </c>
    </row>
    <row r="192" customFormat="false" ht="15.8" hidden="false" customHeight="false" outlineLevel="0" collapsed="false">
      <c r="A192" s="1" t="n">
        <v>5</v>
      </c>
      <c r="B192" s="1" t="n">
        <v>8</v>
      </c>
      <c r="C192" s="1" t="n">
        <v>0.6</v>
      </c>
      <c r="D192" s="1" t="n">
        <v>1.0101</v>
      </c>
      <c r="E192" s="1" t="n">
        <v>0.0220178</v>
      </c>
      <c r="F192" s="1" t="n">
        <v>6.00764E-005</v>
      </c>
      <c r="G192" s="1" t="s">
        <v>47</v>
      </c>
      <c r="H192" s="1" t="n">
        <v>21.3</v>
      </c>
      <c r="I192" s="1" t="n">
        <v>34.5</v>
      </c>
      <c r="J192" s="1" t="n">
        <v>0</v>
      </c>
      <c r="K192" s="1" t="n">
        <v>133.2</v>
      </c>
      <c r="L192" s="1" t="n">
        <v>0</v>
      </c>
      <c r="M192" s="1" t="n">
        <v>0</v>
      </c>
      <c r="N192" s="1" t="s">
        <v>187</v>
      </c>
      <c r="Z192" s="0" t="n">
        <f aca="false">I192-28</f>
        <v>6.5</v>
      </c>
      <c r="AB192" s="0" t="n">
        <f aca="false">IF(Z192&lt;0,Z192+360,Z192+0)</f>
        <v>6.5</v>
      </c>
    </row>
    <row r="193" customFormat="false" ht="15.8" hidden="false" customHeight="false" outlineLevel="0" collapsed="false">
      <c r="A193" s="1" t="n">
        <v>5</v>
      </c>
      <c r="B193" s="1" t="n">
        <v>7</v>
      </c>
      <c r="C193" s="1" t="n">
        <v>2</v>
      </c>
      <c r="D193" s="1" t="n">
        <v>1.1152</v>
      </c>
      <c r="E193" s="1" t="n">
        <v>0.0681567</v>
      </c>
      <c r="F193" s="1" t="n">
        <v>0.000185968</v>
      </c>
      <c r="G193" s="1" t="s">
        <v>47</v>
      </c>
      <c r="H193" s="1" t="n">
        <v>41.9</v>
      </c>
      <c r="I193" s="1" t="n">
        <v>16.7</v>
      </c>
      <c r="J193" s="1" t="n">
        <v>12</v>
      </c>
      <c r="K193" s="1" t="n">
        <v>43.7</v>
      </c>
      <c r="L193" s="1" t="n">
        <v>0</v>
      </c>
      <c r="M193" s="1" t="n">
        <v>0</v>
      </c>
      <c r="N193" s="1" t="s">
        <v>190</v>
      </c>
      <c r="Z193" s="0" t="n">
        <f aca="false">I193-28</f>
        <v>-11.3</v>
      </c>
      <c r="AB193" s="0" t="n">
        <f aca="false">IF(Z193&lt;0,Z193+360,Z193+0)</f>
        <v>348.7</v>
      </c>
    </row>
    <row r="194" customFormat="false" ht="15.8" hidden="false" customHeight="false" outlineLevel="0" collapsed="false">
      <c r="A194" s="1" t="n">
        <v>5</v>
      </c>
      <c r="B194" s="1" t="n">
        <v>7</v>
      </c>
      <c r="C194" s="1" t="n">
        <v>4.2</v>
      </c>
      <c r="D194" s="1" t="n">
        <v>1.218</v>
      </c>
      <c r="E194" s="1" t="n">
        <v>0.144956</v>
      </c>
      <c r="F194" s="1" t="n">
        <v>0.000395516</v>
      </c>
      <c r="G194" s="1" t="s">
        <v>27</v>
      </c>
      <c r="H194" s="1" t="n">
        <v>56.2</v>
      </c>
      <c r="I194" s="1" t="n">
        <v>125.5</v>
      </c>
      <c r="J194" s="1" t="n">
        <v>39.8</v>
      </c>
      <c r="K194" s="1"/>
      <c r="L194" s="1" t="n">
        <v>0</v>
      </c>
      <c r="M194" s="1" t="n">
        <v>0</v>
      </c>
      <c r="N194" s="1" t="s">
        <v>190</v>
      </c>
      <c r="Z194" s="0" t="n">
        <f aca="false">I194-28</f>
        <v>97.5</v>
      </c>
      <c r="AB194" s="0" t="n">
        <f aca="false">IF(Z194&lt;0,Z194+360,Z194+0)</f>
        <v>97.5</v>
      </c>
    </row>
    <row r="195" customFormat="false" ht="15.8" hidden="false" customHeight="false" outlineLevel="0" collapsed="false">
      <c r="A195" s="1" t="n">
        <v>5</v>
      </c>
      <c r="B195" s="1" t="n">
        <v>6</v>
      </c>
      <c r="C195" s="1" t="n">
        <v>1.3</v>
      </c>
      <c r="D195" s="1" t="n">
        <v>1.2317</v>
      </c>
      <c r="E195" s="1" t="n">
        <v>0.0437709</v>
      </c>
      <c r="F195" s="1" t="n">
        <v>0.00011943</v>
      </c>
      <c r="G195" s="1" t="s">
        <v>47</v>
      </c>
      <c r="H195" s="1" t="n">
        <v>22</v>
      </c>
      <c r="I195" s="1" t="n">
        <v>46.2</v>
      </c>
      <c r="J195" s="1" t="n">
        <v>45.6</v>
      </c>
      <c r="K195" s="1" t="n">
        <v>56.2</v>
      </c>
      <c r="L195" s="1" t="n">
        <v>0</v>
      </c>
      <c r="M195" s="1" t="n">
        <v>0</v>
      </c>
      <c r="N195" s="1" t="s">
        <v>191</v>
      </c>
      <c r="Z195" s="0" t="n">
        <f aca="false">I195-28</f>
        <v>18.2</v>
      </c>
      <c r="AB195" s="0" t="n">
        <f aca="false">IF(Z195&lt;0,Z195+360,Z195+0)</f>
        <v>18.2</v>
      </c>
    </row>
    <row r="196" customFormat="false" ht="15.8" hidden="false" customHeight="false" outlineLevel="0" collapsed="false">
      <c r="A196" s="1" t="n">
        <v>5</v>
      </c>
      <c r="B196" s="1" t="n">
        <v>6</v>
      </c>
      <c r="C196" s="1" t="n">
        <v>2.5</v>
      </c>
      <c r="D196" s="1" t="n">
        <v>1.2378</v>
      </c>
      <c r="E196" s="1" t="n">
        <v>0.0851694</v>
      </c>
      <c r="F196" s="1" t="n">
        <v>0.000232387</v>
      </c>
      <c r="G196" s="1" t="s">
        <v>27</v>
      </c>
      <c r="H196" s="1" t="n">
        <v>40.8</v>
      </c>
      <c r="I196" s="1" t="n">
        <v>82.9</v>
      </c>
      <c r="J196" s="1" t="n">
        <v>33.6</v>
      </c>
      <c r="K196" s="1"/>
      <c r="L196" s="1" t="n">
        <v>0</v>
      </c>
      <c r="M196" s="1" t="n">
        <v>0</v>
      </c>
      <c r="N196" s="1" t="s">
        <v>191</v>
      </c>
      <c r="Z196" s="0" t="n">
        <f aca="false">I196-28</f>
        <v>54.9</v>
      </c>
      <c r="AB196" s="0" t="n">
        <f aca="false">IF(Z196&lt;0,Z196+360,Z196+0)</f>
        <v>54.9</v>
      </c>
    </row>
    <row r="197" customFormat="false" ht="15.8" hidden="false" customHeight="false" outlineLevel="0" collapsed="false">
      <c r="A197" s="1" t="n">
        <v>5</v>
      </c>
      <c r="B197" s="1" t="n">
        <v>7</v>
      </c>
      <c r="C197" s="1" t="n">
        <v>0.9</v>
      </c>
      <c r="D197" s="1" t="n">
        <v>1.0513</v>
      </c>
      <c r="E197" s="1" t="n">
        <v>0.0301723</v>
      </c>
      <c r="F197" s="1" t="n">
        <v>8.23262E-005</v>
      </c>
      <c r="G197" s="1" t="s">
        <v>27</v>
      </c>
      <c r="H197" s="1" t="n">
        <v>56.8</v>
      </c>
      <c r="I197" s="1" t="n">
        <v>247.8</v>
      </c>
      <c r="J197" s="1" t="n">
        <v>0</v>
      </c>
      <c r="K197" s="1"/>
      <c r="L197" s="1" t="n">
        <v>0</v>
      </c>
      <c r="M197" s="1" t="n">
        <v>0</v>
      </c>
      <c r="N197" s="1" t="s">
        <v>192</v>
      </c>
      <c r="Z197" s="0" t="n">
        <f aca="false">I197-28</f>
        <v>219.8</v>
      </c>
      <c r="AB197" s="0" t="n">
        <f aca="false">IF(Z197&lt;0,Z197+360,Z197+0)</f>
        <v>219.8</v>
      </c>
    </row>
    <row r="198" customFormat="false" ht="15.8" hidden="false" customHeight="false" outlineLevel="0" collapsed="false">
      <c r="A198" s="1" t="n">
        <v>5</v>
      </c>
      <c r="B198" s="1" t="n">
        <v>7</v>
      </c>
      <c r="C198" s="1" t="n">
        <v>1.3</v>
      </c>
      <c r="D198" s="1" t="n">
        <v>1.1774</v>
      </c>
      <c r="E198" s="1" t="n">
        <v>0.0458015</v>
      </c>
      <c r="F198" s="1" t="n">
        <v>0.000124971</v>
      </c>
      <c r="G198" s="1" t="s">
        <v>27</v>
      </c>
      <c r="H198" s="1" t="n">
        <v>92.9</v>
      </c>
      <c r="I198" s="1" t="n">
        <v>31.3</v>
      </c>
      <c r="J198" s="1" t="n">
        <v>19</v>
      </c>
      <c r="K198" s="1"/>
      <c r="L198" s="1" t="n">
        <v>0</v>
      </c>
      <c r="M198" s="1" t="n">
        <v>0</v>
      </c>
      <c r="N198" s="1" t="s">
        <v>192</v>
      </c>
      <c r="Z198" s="0" t="n">
        <f aca="false">I198-28</f>
        <v>3.3</v>
      </c>
      <c r="AB198" s="0" t="n">
        <f aca="false">IF(Z198&lt;0,Z198+360,Z198+0)</f>
        <v>3.3</v>
      </c>
    </row>
    <row r="199" customFormat="false" ht="15.8" hidden="false" customHeight="false" outlineLevel="0" collapsed="false">
      <c r="A199" s="1" t="n">
        <v>5</v>
      </c>
      <c r="B199" s="1" t="n">
        <v>6</v>
      </c>
      <c r="C199" s="1" t="n">
        <v>1.8</v>
      </c>
      <c r="D199" s="1" t="n">
        <v>1.2263</v>
      </c>
      <c r="E199" s="1" t="n">
        <v>0.0613192</v>
      </c>
      <c r="F199" s="1" t="n">
        <v>0.000167311</v>
      </c>
      <c r="G199" s="1" t="s">
        <v>47</v>
      </c>
      <c r="H199" s="1" t="n">
        <v>107.5</v>
      </c>
      <c r="I199" s="1" t="n">
        <v>303.3</v>
      </c>
      <c r="J199" s="1" t="n">
        <v>-14.7</v>
      </c>
      <c r="K199" s="1" t="n">
        <v>92.9</v>
      </c>
      <c r="L199" s="1" t="n">
        <v>0</v>
      </c>
      <c r="M199" s="1" t="n">
        <v>0</v>
      </c>
      <c r="N199" s="1" t="s">
        <v>191</v>
      </c>
      <c r="Z199" s="0" t="n">
        <f aca="false">I199-28</f>
        <v>275.3</v>
      </c>
      <c r="AB199" s="0" t="n">
        <f aca="false">IF(Z199&lt;0,Z199+360,Z199+0)</f>
        <v>275.3</v>
      </c>
    </row>
    <row r="200" customFormat="false" ht="15.8" hidden="false" customHeight="false" outlineLevel="0" collapsed="false">
      <c r="A200" s="1" t="n">
        <v>5</v>
      </c>
      <c r="B200" s="1" t="n">
        <v>5</v>
      </c>
      <c r="C200" s="1" t="n">
        <v>2.9</v>
      </c>
      <c r="D200" s="1" t="n">
        <v>1.1926</v>
      </c>
      <c r="E200" s="1" t="n">
        <v>0.0982456</v>
      </c>
      <c r="F200" s="1" t="n">
        <v>0.000268066</v>
      </c>
      <c r="G200" s="1" t="s">
        <v>47</v>
      </c>
      <c r="H200" s="1" t="n">
        <v>6</v>
      </c>
      <c r="I200" s="1" t="n">
        <v>43.6</v>
      </c>
      <c r="J200" s="1" t="n">
        <v>67.5</v>
      </c>
      <c r="K200" s="1" t="n">
        <v>107.5</v>
      </c>
      <c r="L200" s="1" t="n">
        <v>0</v>
      </c>
      <c r="M200" s="1" t="n">
        <v>0</v>
      </c>
      <c r="N200" s="1" t="s">
        <v>193</v>
      </c>
      <c r="Z200" s="0" t="n">
        <f aca="false">I200-28</f>
        <v>15.6</v>
      </c>
      <c r="AB200" s="0" t="n">
        <f aca="false">IF(Z200&lt;0,Z200+360,Z200+0)</f>
        <v>15.6</v>
      </c>
    </row>
    <row r="201" customFormat="false" ht="15.8" hidden="false" customHeight="false" outlineLevel="0" collapsed="false">
      <c r="A201" s="1" t="n">
        <v>5</v>
      </c>
      <c r="B201" s="1" t="n">
        <v>5</v>
      </c>
      <c r="C201" s="1" t="n">
        <v>1.5</v>
      </c>
      <c r="D201" s="1" t="n">
        <v>1.4362</v>
      </c>
      <c r="E201" s="1" t="n">
        <v>0.0522452</v>
      </c>
      <c r="F201" s="1" t="n">
        <v>0.000142553</v>
      </c>
      <c r="G201" s="1" t="s">
        <v>27</v>
      </c>
      <c r="H201" s="1" t="n">
        <v>58.3</v>
      </c>
      <c r="I201" s="1" t="n">
        <v>140.8</v>
      </c>
      <c r="J201" s="1" t="n">
        <v>44.2</v>
      </c>
      <c r="K201" s="1"/>
      <c r="L201" s="1" t="n">
        <v>0</v>
      </c>
      <c r="M201" s="1" t="n">
        <v>0</v>
      </c>
      <c r="N201" s="1" t="s">
        <v>193</v>
      </c>
      <c r="Z201" s="0" t="n">
        <f aca="false">I201-28</f>
        <v>112.8</v>
      </c>
      <c r="AB201" s="0" t="n">
        <f aca="false">IF(Z201&lt;0,Z201+360,Z201+0)</f>
        <v>112.8</v>
      </c>
    </row>
    <row r="202" customFormat="false" ht="15.8" hidden="false" customHeight="false" outlineLevel="0" collapsed="false">
      <c r="A202" s="1" t="n">
        <v>5</v>
      </c>
      <c r="B202" s="1" t="n">
        <v>4</v>
      </c>
      <c r="C202" s="1" t="n">
        <v>9.8</v>
      </c>
      <c r="D202" s="1" t="n">
        <v>1.3318</v>
      </c>
      <c r="E202" s="1" t="n">
        <v>0.335465</v>
      </c>
      <c r="F202" s="1" t="n">
        <v>0.000915327</v>
      </c>
      <c r="G202" s="1" t="s">
        <v>47</v>
      </c>
      <c r="H202" s="1" t="n">
        <v>28.1</v>
      </c>
      <c r="I202" s="1" t="n">
        <v>30</v>
      </c>
      <c r="J202" s="1" t="n">
        <v>65</v>
      </c>
      <c r="K202" s="1" t="n">
        <v>58.3</v>
      </c>
      <c r="L202" s="1" t="n">
        <v>0</v>
      </c>
      <c r="M202" s="1" t="n">
        <v>0</v>
      </c>
      <c r="N202" s="1" t="s">
        <v>194</v>
      </c>
      <c r="Z202" s="0" t="n">
        <f aca="false">I202-28</f>
        <v>2</v>
      </c>
      <c r="AB202" s="0" t="n">
        <f aca="false">IF(Z202&lt;0,Z202+360,Z202+0)</f>
        <v>2</v>
      </c>
    </row>
    <row r="203" customFormat="false" ht="15.8" hidden="false" customHeight="false" outlineLevel="0" collapsed="false">
      <c r="A203" s="1" t="n">
        <v>5</v>
      </c>
      <c r="B203" s="1" t="n">
        <v>6</v>
      </c>
      <c r="C203" s="1" t="n">
        <v>2.2</v>
      </c>
      <c r="D203" s="1" t="n">
        <v>1.1281</v>
      </c>
      <c r="E203" s="1" t="n">
        <v>0.075489</v>
      </c>
      <c r="F203" s="1" t="n">
        <v>0.000205974</v>
      </c>
      <c r="G203" s="1" t="s">
        <v>27</v>
      </c>
      <c r="H203" s="1" t="n">
        <v>25.3</v>
      </c>
      <c r="I203" s="1" t="n">
        <v>47.8</v>
      </c>
      <c r="J203" s="1" t="n">
        <v>10.9</v>
      </c>
      <c r="K203" s="1"/>
      <c r="L203" s="1" t="n">
        <v>0</v>
      </c>
      <c r="M203" s="1" t="n">
        <v>0</v>
      </c>
      <c r="N203" s="1" t="s">
        <v>195</v>
      </c>
      <c r="Z203" s="0" t="n">
        <f aca="false">I203-28</f>
        <v>19.8</v>
      </c>
      <c r="AB203" s="0" t="n">
        <f aca="false">IF(Z203&lt;0,Z203+360,Z203+0)</f>
        <v>19.8</v>
      </c>
    </row>
    <row r="204" customFormat="false" ht="15.8" hidden="false" customHeight="false" outlineLevel="0" collapsed="false">
      <c r="A204" s="1" t="n">
        <v>5</v>
      </c>
      <c r="B204" s="1" t="n">
        <v>6</v>
      </c>
      <c r="C204" s="1" t="n">
        <v>1.3</v>
      </c>
      <c r="D204" s="1" t="n">
        <v>1.1577</v>
      </c>
      <c r="E204" s="1" t="n">
        <v>0.0447554</v>
      </c>
      <c r="F204" s="1" t="n">
        <v>0.000122117</v>
      </c>
      <c r="G204" s="1" t="s">
        <v>27</v>
      </c>
      <c r="H204" s="1" t="n">
        <v>70.6</v>
      </c>
      <c r="I204" s="1" t="n">
        <v>315.8</v>
      </c>
      <c r="J204" s="1" t="n">
        <v>-19.2</v>
      </c>
      <c r="K204" s="1"/>
      <c r="L204" s="1" t="n">
        <v>0</v>
      </c>
      <c r="M204" s="1" t="n">
        <v>0</v>
      </c>
      <c r="N204" s="1" t="s">
        <v>195</v>
      </c>
      <c r="Z204" s="0" t="n">
        <f aca="false">I204-28</f>
        <v>287.8</v>
      </c>
      <c r="AB204" s="0" t="n">
        <f aca="false">IF(Z204&lt;0,Z204+360,Z204+0)</f>
        <v>287.8</v>
      </c>
    </row>
    <row r="205" customFormat="false" ht="15.8" hidden="false" customHeight="false" outlineLevel="0" collapsed="false">
      <c r="A205" s="1" t="n">
        <v>5</v>
      </c>
      <c r="B205" s="1" t="n">
        <v>5</v>
      </c>
      <c r="C205" s="1" t="n">
        <v>3.3</v>
      </c>
      <c r="D205" s="1" t="n">
        <v>1.0843</v>
      </c>
      <c r="E205" s="1" t="n">
        <v>0.114162</v>
      </c>
      <c r="F205" s="1" t="n">
        <v>0.000311496</v>
      </c>
      <c r="G205" s="1" t="s">
        <v>47</v>
      </c>
      <c r="H205" s="1" t="n">
        <v>80.3</v>
      </c>
      <c r="I205" s="1" t="n">
        <v>22.5</v>
      </c>
      <c r="J205" s="1" t="n">
        <v>6.9</v>
      </c>
      <c r="K205" s="1" t="n">
        <v>70.6</v>
      </c>
      <c r="L205" s="1" t="n">
        <v>0</v>
      </c>
      <c r="M205" s="1" t="n">
        <v>0</v>
      </c>
      <c r="N205" s="1" t="s">
        <v>196</v>
      </c>
      <c r="Z205" s="0" t="n">
        <f aca="false">I205-28</f>
        <v>-5.5</v>
      </c>
      <c r="AB205" s="0" t="n">
        <f aca="false">IF(Z205&lt;0,Z205+360,Z205+0)</f>
        <v>354.5</v>
      </c>
    </row>
    <row r="206" customFormat="false" ht="15.8" hidden="false" customHeight="false" outlineLevel="0" collapsed="false">
      <c r="A206" s="1" t="n">
        <v>5</v>
      </c>
      <c r="B206" s="1" t="n">
        <v>5</v>
      </c>
      <c r="C206" s="1" t="n">
        <v>1.7</v>
      </c>
      <c r="D206" s="1" t="n">
        <v>1.1297</v>
      </c>
      <c r="E206" s="1" t="n">
        <v>0.0599583</v>
      </c>
      <c r="F206" s="1" t="n">
        <v>0.000163598</v>
      </c>
      <c r="G206" s="1" t="s">
        <v>27</v>
      </c>
      <c r="H206" s="1" t="n">
        <v>41</v>
      </c>
      <c r="I206" s="1" t="n">
        <v>59</v>
      </c>
      <c r="J206" s="1" t="n">
        <v>-13.8</v>
      </c>
      <c r="K206" s="1"/>
      <c r="L206" s="1" t="n">
        <v>0</v>
      </c>
      <c r="M206" s="1" t="n">
        <v>0</v>
      </c>
      <c r="N206" s="1" t="s">
        <v>196</v>
      </c>
      <c r="Z206" s="0" t="n">
        <f aca="false">I206-28</f>
        <v>31</v>
      </c>
      <c r="AB206" s="0" t="n">
        <f aca="false">IF(Z206&lt;0,Z206+360,Z206+0)</f>
        <v>31</v>
      </c>
    </row>
    <row r="207" customFormat="false" ht="15.8" hidden="false" customHeight="false" outlineLevel="0" collapsed="false">
      <c r="A207" s="1" t="n">
        <v>5</v>
      </c>
      <c r="B207" s="1" t="n">
        <v>4</v>
      </c>
      <c r="C207" s="1" t="n">
        <v>2.1</v>
      </c>
      <c r="D207" s="1" t="n">
        <v>1.1408</v>
      </c>
      <c r="E207" s="1" t="n">
        <v>0.0706582</v>
      </c>
      <c r="F207" s="1" t="n">
        <v>0.000192793</v>
      </c>
      <c r="G207" s="1" t="s">
        <v>47</v>
      </c>
      <c r="H207" s="1" t="n">
        <v>64.8</v>
      </c>
      <c r="I207" s="1" t="n">
        <v>101</v>
      </c>
      <c r="J207" s="1" t="n">
        <v>-11.8</v>
      </c>
      <c r="K207" s="1" t="n">
        <v>80.3</v>
      </c>
      <c r="L207" s="1" t="n">
        <v>0</v>
      </c>
      <c r="M207" s="1" t="n">
        <v>0</v>
      </c>
      <c r="N207" s="1" t="s">
        <v>194</v>
      </c>
      <c r="Z207" s="0" t="n">
        <f aca="false">I207-28</f>
        <v>73</v>
      </c>
      <c r="AB207" s="0" t="n">
        <f aca="false">IF(Z207&lt;0,Z207+360,Z207+0)</f>
        <v>73</v>
      </c>
    </row>
    <row r="208" customFormat="false" ht="15.8" hidden="false" customHeight="false" outlineLevel="0" collapsed="false">
      <c r="A208" s="1" t="n">
        <v>5</v>
      </c>
      <c r="B208" s="1" t="n">
        <v>3</v>
      </c>
      <c r="C208" s="1" t="n">
        <v>4.9</v>
      </c>
      <c r="D208" s="1" t="n">
        <v>1.2114</v>
      </c>
      <c r="E208" s="1" t="n">
        <v>0.168954</v>
      </c>
      <c r="F208" s="1" t="n">
        <v>0.000460996</v>
      </c>
      <c r="G208" s="1" t="s">
        <v>47</v>
      </c>
      <c r="H208" s="1" t="n">
        <v>14.9</v>
      </c>
      <c r="I208" s="1" t="n">
        <v>69.9</v>
      </c>
      <c r="J208" s="1" t="n">
        <v>46.7</v>
      </c>
      <c r="K208" s="1" t="n">
        <v>64.8</v>
      </c>
      <c r="L208" s="1" t="n">
        <v>0</v>
      </c>
      <c r="M208" s="1" t="n">
        <v>0</v>
      </c>
      <c r="N208" s="1" t="s">
        <v>197</v>
      </c>
      <c r="Z208" s="0" t="n">
        <f aca="false">I208-28</f>
        <v>41.9</v>
      </c>
      <c r="AB208" s="0" t="n">
        <f aca="false">IF(Z208&lt;0,Z208+360,Z208+0)</f>
        <v>41.9</v>
      </c>
    </row>
    <row r="209" customFormat="false" ht="15.8" hidden="false" customHeight="false" outlineLevel="0" collapsed="false">
      <c r="A209" s="1" t="n">
        <v>5</v>
      </c>
      <c r="B209" s="1" t="n">
        <v>3</v>
      </c>
      <c r="C209" s="1" t="n">
        <v>1.5</v>
      </c>
      <c r="D209" s="1" t="n">
        <v>1.2403</v>
      </c>
      <c r="E209" s="1" t="n">
        <v>0.0504004</v>
      </c>
      <c r="F209" s="1" t="n">
        <v>0.000137519</v>
      </c>
      <c r="G209" s="1" t="s">
        <v>27</v>
      </c>
      <c r="H209" s="1" t="n">
        <v>82.3</v>
      </c>
      <c r="I209" s="1" t="n">
        <v>191.7</v>
      </c>
      <c r="J209" s="1" t="n">
        <v>18.2</v>
      </c>
      <c r="K209" s="1"/>
      <c r="L209" s="1" t="n">
        <v>0</v>
      </c>
      <c r="M209" s="1" t="n">
        <v>0</v>
      </c>
      <c r="N209" s="1" t="s">
        <v>197</v>
      </c>
      <c r="Z209" s="0" t="n">
        <f aca="false">I209-28</f>
        <v>163.7</v>
      </c>
      <c r="AB209" s="0" t="n">
        <f aca="false">IF(Z209&lt;0,Z209+360,Z209+0)</f>
        <v>163.7</v>
      </c>
    </row>
    <row r="210" customFormat="false" ht="15.8" hidden="false" customHeight="false" outlineLevel="0" collapsed="false">
      <c r="A210" s="1" t="n">
        <v>5</v>
      </c>
      <c r="B210" s="1" t="n">
        <v>2</v>
      </c>
      <c r="C210" s="1" t="n">
        <v>1</v>
      </c>
      <c r="D210" s="1" t="n">
        <v>1.1166</v>
      </c>
      <c r="E210" s="1" t="n">
        <v>0.0337841</v>
      </c>
      <c r="F210" s="1" t="n">
        <v>9.2181E-005</v>
      </c>
      <c r="G210" s="1" t="s">
        <v>47</v>
      </c>
      <c r="H210" s="1" t="n">
        <v>70.3</v>
      </c>
      <c r="I210" s="1" t="n">
        <v>87.4</v>
      </c>
      <c r="J210" s="1" t="n">
        <v>57</v>
      </c>
      <c r="K210" s="1" t="n">
        <v>82.3</v>
      </c>
      <c r="L210" s="1" t="n">
        <v>0</v>
      </c>
      <c r="M210" s="1" t="n">
        <v>0</v>
      </c>
      <c r="N210" s="1" t="s">
        <v>181</v>
      </c>
      <c r="Z210" s="0" t="n">
        <f aca="false">I210-28</f>
        <v>59.4</v>
      </c>
      <c r="AB210" s="0" t="n">
        <f aca="false">IF(Z210&lt;0,Z210+360,Z210+0)</f>
        <v>59.4</v>
      </c>
    </row>
    <row r="211" customFormat="false" ht="15.8" hidden="false" customHeight="false" outlineLevel="0" collapsed="false">
      <c r="A211" s="1" t="n">
        <v>5</v>
      </c>
      <c r="B211" s="1" t="n">
        <v>1</v>
      </c>
      <c r="C211" s="1" t="n">
        <v>2.2</v>
      </c>
      <c r="D211" s="1" t="n">
        <v>1.0992</v>
      </c>
      <c r="E211" s="1" t="n">
        <v>0.0749471</v>
      </c>
      <c r="F211" s="1" t="n">
        <v>0.000204495</v>
      </c>
      <c r="G211" s="1" t="s">
        <v>47</v>
      </c>
      <c r="H211" s="1"/>
      <c r="I211" s="1" t="n">
        <v>17.2</v>
      </c>
      <c r="J211" s="1" t="n">
        <v>10.7</v>
      </c>
      <c r="K211" s="1" t="n">
        <v>70.3</v>
      </c>
      <c r="L211" s="1" t="n">
        <v>0</v>
      </c>
      <c r="M211" s="1" t="n">
        <v>0</v>
      </c>
      <c r="N211" s="1" t="s">
        <v>198</v>
      </c>
      <c r="Z211" s="0" t="n">
        <f aca="false">I211-28</f>
        <v>-10.8</v>
      </c>
      <c r="AB211" s="0" t="n">
        <f aca="false">IF(Z211&lt;0,Z211+360,Z211+0)</f>
        <v>349.2</v>
      </c>
    </row>
    <row r="212" customFormat="false" ht="15.8" hidden="false" customHeight="false" outlineLevel="0" collapsed="false">
      <c r="A212" s="1" t="n">
        <v>6</v>
      </c>
      <c r="B212" s="1" t="n">
        <v>1</v>
      </c>
      <c r="C212" s="1" t="n">
        <v>1.7</v>
      </c>
      <c r="D212" s="1" t="n">
        <v>1.2157</v>
      </c>
      <c r="E212" s="1" t="n">
        <v>0.0574987</v>
      </c>
      <c r="F212" s="1" t="n">
        <v>0.000156887</v>
      </c>
      <c r="G212" s="1" t="s">
        <v>27</v>
      </c>
      <c r="H212" s="1"/>
      <c r="I212" s="1" t="n">
        <v>308.9</v>
      </c>
      <c r="J212" s="1" t="n">
        <v>-32.4</v>
      </c>
      <c r="K212" s="1"/>
      <c r="L212" s="1" t="n">
        <v>0</v>
      </c>
      <c r="M212" s="1" t="n">
        <v>0</v>
      </c>
      <c r="N212" s="1" t="s">
        <v>199</v>
      </c>
      <c r="Z212" s="0" t="n">
        <f aca="false">I212-28</f>
        <v>280.9</v>
      </c>
      <c r="AB212" s="0" t="n">
        <f aca="false">IF(Z212&lt;0,Z212+360,Z212+0)</f>
        <v>280.9</v>
      </c>
    </row>
    <row r="213" customFormat="false" ht="15.8" hidden="false" customHeight="false" outlineLevel="0" collapsed="false">
      <c r="A213" s="1" t="n">
        <v>7</v>
      </c>
      <c r="B213" s="1" t="n">
        <v>2</v>
      </c>
      <c r="C213" s="1" t="n">
        <v>5.1</v>
      </c>
      <c r="D213" s="1" t="n">
        <v>1.2393</v>
      </c>
      <c r="E213" s="1" t="n">
        <v>0.176343</v>
      </c>
      <c r="F213" s="1" t="n">
        <v>0.000481158</v>
      </c>
      <c r="G213" s="1" t="s">
        <v>27</v>
      </c>
      <c r="H213" s="1" t="n">
        <v>76</v>
      </c>
      <c r="I213" s="1" t="n">
        <v>85</v>
      </c>
      <c r="J213" s="1" t="n">
        <v>15.5</v>
      </c>
      <c r="K213" s="1"/>
      <c r="L213" s="1" t="n">
        <v>0</v>
      </c>
      <c r="M213" s="1" t="n">
        <v>0</v>
      </c>
      <c r="N213" s="1" t="s">
        <v>200</v>
      </c>
      <c r="Z213" s="0" t="n">
        <f aca="false">I213-28</f>
        <v>57</v>
      </c>
      <c r="AB213" s="0" t="n">
        <f aca="false">IF(Z213&lt;0,Z213+360,Z213+0)</f>
        <v>57</v>
      </c>
    </row>
    <row r="214" customFormat="false" ht="15.8" hidden="false" customHeight="false" outlineLevel="0" collapsed="false">
      <c r="A214" s="1" t="n">
        <v>7</v>
      </c>
      <c r="B214" s="1" t="n">
        <v>3</v>
      </c>
      <c r="C214" s="1" t="n">
        <v>3.5</v>
      </c>
      <c r="D214" s="1" t="n">
        <v>1.2644</v>
      </c>
      <c r="E214" s="1" t="n">
        <v>0.119253</v>
      </c>
      <c r="F214" s="1" t="n">
        <v>0.000325386</v>
      </c>
      <c r="G214" s="1" t="s">
        <v>27</v>
      </c>
      <c r="H214" s="1" t="n">
        <v>89.8</v>
      </c>
      <c r="I214" s="1" t="n">
        <v>62.2</v>
      </c>
      <c r="J214" s="1" t="n">
        <v>42.3</v>
      </c>
      <c r="K214" s="1"/>
      <c r="L214" s="1" t="n">
        <v>0</v>
      </c>
      <c r="M214" s="1" t="n">
        <v>0</v>
      </c>
      <c r="N214" s="1" t="s">
        <v>201</v>
      </c>
      <c r="Z214" s="0" t="n">
        <f aca="false">I214-28</f>
        <v>34.2</v>
      </c>
      <c r="AB214" s="0" t="n">
        <f aca="false">IF(Z214&lt;0,Z214+360,Z214+0)</f>
        <v>34.2</v>
      </c>
    </row>
    <row r="215" customFormat="false" ht="15.8" hidden="false" customHeight="false" outlineLevel="0" collapsed="false">
      <c r="A215" s="1" t="n">
        <v>7</v>
      </c>
      <c r="B215" s="1" t="n">
        <v>4</v>
      </c>
      <c r="C215" s="1" t="n">
        <v>3.3</v>
      </c>
      <c r="D215" s="1" t="n">
        <v>1.2532</v>
      </c>
      <c r="E215" s="1" t="n">
        <v>0.113545</v>
      </c>
      <c r="F215" s="1" t="n">
        <v>0.000309812</v>
      </c>
      <c r="G215" s="1" t="s">
        <v>27</v>
      </c>
      <c r="H215" s="1" t="n">
        <v>4.9</v>
      </c>
      <c r="I215" s="1" t="n">
        <v>294.5</v>
      </c>
      <c r="J215" s="1" t="n">
        <v>-24.8</v>
      </c>
      <c r="K215" s="1"/>
      <c r="L215" s="1" t="n">
        <v>0</v>
      </c>
      <c r="M215" s="1" t="n">
        <v>0</v>
      </c>
      <c r="N215" s="1" t="s">
        <v>202</v>
      </c>
      <c r="Z215" s="0" t="n">
        <f aca="false">I215-28</f>
        <v>266.5</v>
      </c>
      <c r="AB215" s="0" t="n">
        <f aca="false">IF(Z215&lt;0,Z215+360,Z215+0)</f>
        <v>266.5</v>
      </c>
    </row>
    <row r="216" customFormat="false" ht="15.8" hidden="false" customHeight="false" outlineLevel="0" collapsed="false">
      <c r="A216" s="1" t="n">
        <v>7</v>
      </c>
      <c r="B216" s="1" t="n">
        <v>5</v>
      </c>
      <c r="C216" s="1" t="n">
        <v>1.4</v>
      </c>
      <c r="D216" s="1" t="n">
        <v>1.1158</v>
      </c>
      <c r="E216" s="1" t="n">
        <v>0.0493527</v>
      </c>
      <c r="F216" s="1" t="n">
        <v>0.00013466</v>
      </c>
      <c r="G216" s="1" t="s">
        <v>27</v>
      </c>
      <c r="H216" s="1" t="n">
        <v>112.9</v>
      </c>
      <c r="I216" s="1" t="n">
        <v>234.5</v>
      </c>
      <c r="J216" s="1" t="n">
        <v>59.4</v>
      </c>
      <c r="K216" s="1"/>
      <c r="L216" s="1" t="n">
        <v>0</v>
      </c>
      <c r="M216" s="1" t="n">
        <v>0</v>
      </c>
      <c r="N216" s="1" t="s">
        <v>203</v>
      </c>
      <c r="Z216" s="0" t="n">
        <f aca="false">I216-28</f>
        <v>206.5</v>
      </c>
      <c r="AB216" s="0" t="n">
        <f aca="false">IF(Z216&lt;0,Z216+360,Z216+0)</f>
        <v>206.5</v>
      </c>
    </row>
    <row r="217" customFormat="false" ht="15.8" hidden="false" customHeight="false" outlineLevel="0" collapsed="false">
      <c r="A217" s="1" t="n">
        <v>7</v>
      </c>
      <c r="B217" s="1" t="n">
        <v>7</v>
      </c>
      <c r="C217" s="1" t="n">
        <v>0.9</v>
      </c>
      <c r="D217" s="1" t="n">
        <v>1.1839</v>
      </c>
      <c r="E217" s="1" t="n">
        <v>0.0309467</v>
      </c>
      <c r="F217" s="1" t="n">
        <v>8.4439E-005</v>
      </c>
      <c r="G217" s="1" t="s">
        <v>27</v>
      </c>
      <c r="H217" s="1" t="n">
        <v>134.4</v>
      </c>
      <c r="I217" s="1" t="n">
        <v>219.7</v>
      </c>
      <c r="J217" s="1" t="n">
        <v>-29</v>
      </c>
      <c r="K217" s="1"/>
      <c r="L217" s="1" t="n">
        <v>0</v>
      </c>
      <c r="M217" s="1" t="n">
        <v>0</v>
      </c>
      <c r="N217" s="1" t="s">
        <v>204</v>
      </c>
      <c r="Z217" s="0" t="n">
        <f aca="false">I217-28</f>
        <v>191.7</v>
      </c>
      <c r="AB217" s="0" t="n">
        <f aca="false">IF(Z217&lt;0,Z217+360,Z217+0)</f>
        <v>191.7</v>
      </c>
    </row>
    <row r="218" customFormat="false" ht="15.8" hidden="false" customHeight="false" outlineLevel="0" collapsed="false">
      <c r="A218" s="1" t="n">
        <v>7</v>
      </c>
      <c r="B218" s="1" t="n">
        <v>7</v>
      </c>
      <c r="C218" s="1" t="n">
        <v>0.6</v>
      </c>
      <c r="D218" s="1" t="n">
        <v>1.0012</v>
      </c>
      <c r="E218" s="1" t="n">
        <v>0.0199131</v>
      </c>
      <c r="F218" s="1" t="n">
        <v>5.43336E-005</v>
      </c>
      <c r="G218" s="1" t="s">
        <v>27</v>
      </c>
      <c r="H218" s="1" t="n">
        <v>19.6</v>
      </c>
      <c r="I218" s="1" t="n">
        <v>348.1</v>
      </c>
      <c r="J218" s="1" t="n">
        <v>0</v>
      </c>
      <c r="K218" s="1"/>
      <c r="L218" s="1" t="n">
        <v>0</v>
      </c>
      <c r="M218" s="1" t="n">
        <v>0</v>
      </c>
      <c r="N218" s="1" t="s">
        <v>204</v>
      </c>
      <c r="Z218" s="0" t="n">
        <f aca="false">I218-28</f>
        <v>320.1</v>
      </c>
      <c r="AB218" s="0" t="n">
        <f aca="false">IF(Z218&lt;0,Z218+360,Z218+0)</f>
        <v>320.1</v>
      </c>
    </row>
    <row r="219" customFormat="false" ht="15.8" hidden="false" customHeight="false" outlineLevel="0" collapsed="false">
      <c r="A219" s="1" t="n">
        <v>7</v>
      </c>
      <c r="B219" s="1" t="n">
        <v>6</v>
      </c>
      <c r="C219" s="1" t="n">
        <v>3.9</v>
      </c>
      <c r="D219" s="1" t="n">
        <v>1.1782</v>
      </c>
      <c r="E219" s="1" t="n">
        <v>0.134272</v>
      </c>
      <c r="F219" s="1" t="n">
        <v>0.000366367</v>
      </c>
      <c r="G219" s="1" t="s">
        <v>47</v>
      </c>
      <c r="H219" s="1" t="n">
        <v>27.3</v>
      </c>
      <c r="I219" s="1" t="n">
        <v>350.4</v>
      </c>
      <c r="J219" s="1" t="n">
        <v>19.5</v>
      </c>
      <c r="K219" s="1" t="n">
        <v>134.4</v>
      </c>
      <c r="L219" s="1" t="n">
        <v>0</v>
      </c>
      <c r="M219" s="1" t="n">
        <v>0</v>
      </c>
      <c r="N219" s="1" t="s">
        <v>205</v>
      </c>
      <c r="Z219" s="0" t="n">
        <f aca="false">I219-28</f>
        <v>322.4</v>
      </c>
      <c r="AB219" s="0" t="n">
        <f aca="false">IF(Z219&lt;0,Z219+360,Z219+0)</f>
        <v>322.4</v>
      </c>
    </row>
    <row r="220" customFormat="false" ht="15.8" hidden="false" customHeight="false" outlineLevel="0" collapsed="false">
      <c r="A220" s="1" t="n">
        <v>7</v>
      </c>
      <c r="B220" s="1" t="n">
        <v>7</v>
      </c>
      <c r="C220" s="1" t="n">
        <v>5</v>
      </c>
      <c r="D220" s="1" t="n">
        <v>1.2755</v>
      </c>
      <c r="E220" s="1" t="n">
        <v>0.170235</v>
      </c>
      <c r="F220" s="1" t="n">
        <v>0.000462292</v>
      </c>
      <c r="G220" s="1" t="s">
        <v>27</v>
      </c>
      <c r="H220" s="1" t="n">
        <v>71.9</v>
      </c>
      <c r="I220" s="1" t="n">
        <v>319.7</v>
      </c>
      <c r="J220" s="1" t="n">
        <v>10.9</v>
      </c>
      <c r="K220" s="1"/>
      <c r="L220" s="1" t="n">
        <v>0</v>
      </c>
      <c r="M220" s="1" t="n">
        <v>0</v>
      </c>
      <c r="N220" s="1" t="s">
        <v>206</v>
      </c>
      <c r="Z220" s="0" t="n">
        <f aca="false">I220-28</f>
        <v>291.7</v>
      </c>
      <c r="AB220" s="0" t="n">
        <f aca="false">IF(Z220&lt;0,Z220+360,Z220+0)</f>
        <v>291.7</v>
      </c>
    </row>
    <row r="221" customFormat="false" ht="15.8" hidden="false" customHeight="false" outlineLevel="0" collapsed="false">
      <c r="A221" s="1" t="n">
        <v>7</v>
      </c>
      <c r="B221" s="1" t="n">
        <v>8</v>
      </c>
      <c r="C221" s="1" t="n">
        <v>2.9</v>
      </c>
      <c r="D221" s="1" t="n">
        <v>1.1259</v>
      </c>
      <c r="E221" s="1" t="n">
        <v>0.0985271</v>
      </c>
      <c r="F221" s="1" t="n">
        <v>0.000268834</v>
      </c>
      <c r="G221" s="1" t="s">
        <v>27</v>
      </c>
      <c r="H221" s="1" t="n">
        <v>114.5</v>
      </c>
      <c r="I221" s="1" t="n">
        <v>94.5</v>
      </c>
      <c r="J221" s="1" t="n">
        <v>60.4</v>
      </c>
      <c r="K221" s="1"/>
      <c r="L221" s="1" t="n">
        <v>0</v>
      </c>
      <c r="M221" s="1" t="n">
        <v>0</v>
      </c>
      <c r="N221" s="1" t="s">
        <v>207</v>
      </c>
      <c r="Z221" s="0" t="n">
        <f aca="false">I221-28</f>
        <v>66.5</v>
      </c>
      <c r="AB221" s="0" t="n">
        <f aca="false">IF(Z221&lt;0,Z221+360,Z221+0)</f>
        <v>66.5</v>
      </c>
    </row>
    <row r="222" customFormat="false" ht="15.8" hidden="false" customHeight="false" outlineLevel="0" collapsed="false">
      <c r="A222" s="1" t="n">
        <v>7</v>
      </c>
      <c r="B222" s="1" t="n">
        <v>9</v>
      </c>
      <c r="C222" s="1" t="n">
        <v>2.6</v>
      </c>
      <c r="D222" s="1" t="n">
        <v>1.256</v>
      </c>
      <c r="E222" s="1" t="n">
        <v>0.0893306</v>
      </c>
      <c r="F222" s="1" t="n">
        <v>0.000243741</v>
      </c>
      <c r="G222" s="1" t="s">
        <v>27</v>
      </c>
      <c r="H222" s="1" t="n">
        <v>62.3</v>
      </c>
      <c r="I222" s="1" t="n">
        <v>63.8</v>
      </c>
      <c r="J222" s="1" t="n">
        <v>-32.4</v>
      </c>
      <c r="K222" s="1"/>
      <c r="L222" s="1" t="n">
        <v>0</v>
      </c>
      <c r="M222" s="1" t="n">
        <v>0</v>
      </c>
      <c r="N222" s="1" t="s">
        <v>208</v>
      </c>
      <c r="Z222" s="0" t="n">
        <f aca="false">I222-28</f>
        <v>35.8</v>
      </c>
      <c r="AB222" s="0" t="n">
        <f aca="false">IF(Z222&lt;0,Z222+360,Z222+0)</f>
        <v>35.8</v>
      </c>
    </row>
    <row r="223" customFormat="false" ht="15.8" hidden="false" customHeight="false" outlineLevel="0" collapsed="false">
      <c r="A223" s="1" t="n">
        <v>7</v>
      </c>
      <c r="B223" s="1" t="n">
        <v>10</v>
      </c>
      <c r="C223" s="1" t="n">
        <v>1.2</v>
      </c>
      <c r="D223" s="1" t="n">
        <v>1.0255</v>
      </c>
      <c r="E223" s="1" t="n">
        <v>0.0419447</v>
      </c>
      <c r="F223" s="1" t="n">
        <v>0.000114447</v>
      </c>
      <c r="G223" s="1" t="s">
        <v>27</v>
      </c>
      <c r="H223" s="1" t="n">
        <v>104.8</v>
      </c>
      <c r="I223" s="1" t="n">
        <v>184.2</v>
      </c>
      <c r="J223" s="1" t="n">
        <v>0</v>
      </c>
      <c r="K223" s="1"/>
      <c r="L223" s="1" t="n">
        <v>0</v>
      </c>
      <c r="M223" s="1" t="n">
        <v>0</v>
      </c>
      <c r="N223" s="1" t="s">
        <v>209</v>
      </c>
      <c r="Z223" s="0" t="n">
        <f aca="false">I223-28</f>
        <v>156.2</v>
      </c>
      <c r="AB223" s="0" t="n">
        <f aca="false">IF(Z223&lt;0,Z223+360,Z223+0)</f>
        <v>156.2</v>
      </c>
    </row>
    <row r="224" customFormat="false" ht="15.8" hidden="false" customHeight="false" outlineLevel="0" collapsed="false">
      <c r="A224" s="1" t="n">
        <v>7</v>
      </c>
      <c r="B224" s="1" t="n">
        <v>10</v>
      </c>
      <c r="C224" s="1" t="n">
        <v>2.4</v>
      </c>
      <c r="D224" s="1" t="n">
        <v>1.2938</v>
      </c>
      <c r="E224" s="1" t="n">
        <v>0.0813028</v>
      </c>
      <c r="F224" s="1" t="n">
        <v>0.000221837</v>
      </c>
      <c r="G224" s="1" t="s">
        <v>27</v>
      </c>
      <c r="H224" s="1" t="n">
        <v>80.7</v>
      </c>
      <c r="I224" s="1" t="n">
        <v>43.4</v>
      </c>
      <c r="J224" s="1" t="n">
        <v>-53.9</v>
      </c>
      <c r="K224" s="1"/>
      <c r="L224" s="1" t="n">
        <v>0</v>
      </c>
      <c r="M224" s="1" t="n">
        <v>0</v>
      </c>
      <c r="N224" s="1" t="s">
        <v>209</v>
      </c>
      <c r="Z224" s="0" t="n">
        <f aca="false">I224-28</f>
        <v>15.4</v>
      </c>
      <c r="AB224" s="0" t="n">
        <f aca="false">IF(Z224&lt;0,Z224+360,Z224+0)</f>
        <v>15.4</v>
      </c>
    </row>
    <row r="225" customFormat="false" ht="15.8" hidden="false" customHeight="false" outlineLevel="0" collapsed="false">
      <c r="A225" s="1" t="n">
        <v>7</v>
      </c>
      <c r="B225" s="1" t="n">
        <v>9</v>
      </c>
      <c r="C225" s="1" t="n">
        <v>2</v>
      </c>
      <c r="D225" s="1" t="n">
        <v>1.2261</v>
      </c>
      <c r="E225" s="1" t="n">
        <v>0.069245</v>
      </c>
      <c r="F225" s="1" t="n">
        <v>0.000188937</v>
      </c>
      <c r="G225" s="1" t="s">
        <v>47</v>
      </c>
      <c r="H225" s="1" t="n">
        <v>52.9</v>
      </c>
      <c r="I225" s="1" t="n">
        <v>290.9</v>
      </c>
      <c r="J225" s="1" t="n">
        <v>-26.7</v>
      </c>
      <c r="K225" s="1" t="n">
        <v>104.8</v>
      </c>
      <c r="L225" s="1" t="n">
        <v>0</v>
      </c>
      <c r="M225" s="1" t="n">
        <v>0</v>
      </c>
      <c r="N225" s="1" t="s">
        <v>208</v>
      </c>
      <c r="Z225" s="0" t="n">
        <f aca="false">I225-28</f>
        <v>262.9</v>
      </c>
      <c r="AB225" s="0" t="n">
        <f aca="false">IF(Z225&lt;0,Z225+360,Z225+0)</f>
        <v>262.9</v>
      </c>
    </row>
    <row r="226" customFormat="false" ht="15.8" hidden="false" customHeight="false" outlineLevel="0" collapsed="false">
      <c r="A226" s="1" t="n">
        <v>7</v>
      </c>
      <c r="B226" s="1" t="n">
        <v>8</v>
      </c>
      <c r="C226" s="1" t="n">
        <v>3.8</v>
      </c>
      <c r="D226" s="1" t="n">
        <v>1.1776</v>
      </c>
      <c r="E226" s="1" t="n">
        <v>0.130154</v>
      </c>
      <c r="F226" s="1" t="n">
        <v>0.00035513</v>
      </c>
      <c r="G226" s="1" t="s">
        <v>47</v>
      </c>
      <c r="H226" s="1" t="n">
        <v>17.3</v>
      </c>
      <c r="I226" s="1" t="n">
        <v>350.8</v>
      </c>
      <c r="J226" s="1" t="n">
        <v>-27.3</v>
      </c>
      <c r="K226" s="1" t="n">
        <v>62.3</v>
      </c>
      <c r="L226" s="1" t="n">
        <v>0</v>
      </c>
      <c r="M226" s="1" t="n">
        <v>0</v>
      </c>
      <c r="N226" s="1" t="s">
        <v>207</v>
      </c>
      <c r="Z226" s="0" t="n">
        <f aca="false">I226-28</f>
        <v>322.8</v>
      </c>
      <c r="AB226" s="0" t="n">
        <f aca="false">IF(Z226&lt;0,Z226+360,Z226+0)</f>
        <v>322.8</v>
      </c>
    </row>
    <row r="227" customFormat="false" ht="15.8" hidden="false" customHeight="false" outlineLevel="0" collapsed="false">
      <c r="A227" s="1" t="n">
        <v>7</v>
      </c>
      <c r="B227" s="1" t="n">
        <v>7</v>
      </c>
      <c r="C227" s="1" t="n">
        <v>0.9</v>
      </c>
      <c r="D227" s="1" t="n">
        <v>1.3349</v>
      </c>
      <c r="E227" s="1" t="n">
        <v>0.0322802</v>
      </c>
      <c r="F227" s="1" t="n">
        <v>8.80776E-005</v>
      </c>
      <c r="G227" s="1" t="s">
        <v>47</v>
      </c>
      <c r="H227" s="1" t="n">
        <v>31.8</v>
      </c>
      <c r="I227" s="1" t="n">
        <v>10.1</v>
      </c>
      <c r="J227" s="1" t="n">
        <v>-31.6</v>
      </c>
      <c r="K227" s="1" t="n">
        <v>114.5</v>
      </c>
      <c r="L227" s="1" t="n">
        <v>0</v>
      </c>
      <c r="M227" s="1" t="n">
        <v>0</v>
      </c>
      <c r="N227" s="1" t="s">
        <v>206</v>
      </c>
      <c r="Z227" s="0" t="n">
        <f aca="false">I227-28</f>
        <v>-17.9</v>
      </c>
      <c r="AB227" s="0" t="n">
        <f aca="false">IF(Z227&lt;0,Z227+360,Z227+0)</f>
        <v>342.1</v>
      </c>
    </row>
    <row r="228" customFormat="false" ht="15.8" hidden="false" customHeight="false" outlineLevel="0" collapsed="false">
      <c r="A228" s="1" t="n">
        <v>7</v>
      </c>
      <c r="B228" s="1" t="n">
        <v>6</v>
      </c>
      <c r="C228" s="1" t="n">
        <v>4</v>
      </c>
      <c r="D228" s="1" t="n">
        <v>1.1026</v>
      </c>
      <c r="E228" s="1" t="n">
        <v>0.138249</v>
      </c>
      <c r="F228" s="1" t="n">
        <v>0.000377218</v>
      </c>
      <c r="G228" s="1" t="s">
        <v>47</v>
      </c>
      <c r="H228" s="1" t="n">
        <v>26.9</v>
      </c>
      <c r="I228" s="1" t="n">
        <v>29.9</v>
      </c>
      <c r="J228" s="1" t="n">
        <v>-5.8</v>
      </c>
      <c r="K228" s="1" t="n">
        <v>71.9</v>
      </c>
      <c r="L228" s="1" t="n">
        <v>0</v>
      </c>
      <c r="M228" s="1" t="n">
        <v>0</v>
      </c>
      <c r="N228" s="1" t="s">
        <v>205</v>
      </c>
      <c r="Z228" s="0" t="n">
        <f aca="false">I228-28</f>
        <v>1.9</v>
      </c>
      <c r="AB228" s="0" t="n">
        <f aca="false">IF(Z228&lt;0,Z228+360,Z228+0)</f>
        <v>1.9</v>
      </c>
    </row>
    <row r="229" customFormat="false" ht="15.8" hidden="false" customHeight="false" outlineLevel="0" collapsed="false">
      <c r="A229" s="1" t="n">
        <v>7</v>
      </c>
      <c r="B229" s="1" t="n">
        <v>5</v>
      </c>
      <c r="C229" s="1" t="n">
        <v>9.4</v>
      </c>
      <c r="D229" s="1" t="n">
        <v>1.0727</v>
      </c>
      <c r="E229" s="1" t="n">
        <v>0.320723</v>
      </c>
      <c r="F229" s="1" t="n">
        <v>0.000875102</v>
      </c>
      <c r="G229" s="1" t="s">
        <v>47</v>
      </c>
      <c r="H229" s="1" t="n">
        <v>23.8</v>
      </c>
      <c r="I229" s="1" t="n">
        <v>3</v>
      </c>
      <c r="J229" s="1" t="n">
        <v>-4.9</v>
      </c>
      <c r="K229" s="1" t="n">
        <v>27.3</v>
      </c>
      <c r="L229" s="1" t="n">
        <v>0</v>
      </c>
      <c r="M229" s="1" t="n">
        <v>0</v>
      </c>
      <c r="N229" s="1" t="s">
        <v>203</v>
      </c>
      <c r="Z229" s="0" t="n">
        <f aca="false">I229-28</f>
        <v>-25</v>
      </c>
      <c r="AB229" s="0" t="n">
        <f aca="false">IF(Z229&lt;0,Z229+360,Z229+0)</f>
        <v>335</v>
      </c>
    </row>
    <row r="230" customFormat="false" ht="15.8" hidden="false" customHeight="false" outlineLevel="0" collapsed="false">
      <c r="A230" s="1" t="n">
        <v>7</v>
      </c>
      <c r="B230" s="1" t="n">
        <v>4</v>
      </c>
      <c r="C230" s="1" t="n">
        <v>1.5</v>
      </c>
      <c r="D230" s="1" t="n">
        <v>1.1484</v>
      </c>
      <c r="E230" s="1" t="n">
        <v>0.0514401</v>
      </c>
      <c r="F230" s="1" t="n">
        <v>0.000140356</v>
      </c>
      <c r="G230" s="1" t="s">
        <v>47</v>
      </c>
      <c r="H230" s="1" t="n">
        <v>41.2</v>
      </c>
      <c r="I230" s="1" t="n">
        <v>341.7</v>
      </c>
      <c r="J230" s="1" t="n">
        <v>-16.5</v>
      </c>
      <c r="K230" s="1" t="n">
        <v>112.9</v>
      </c>
      <c r="L230" s="1" t="n">
        <v>0</v>
      </c>
      <c r="M230" s="1" t="n">
        <v>0</v>
      </c>
      <c r="N230" s="1" t="s">
        <v>202</v>
      </c>
      <c r="Z230" s="0" t="n">
        <f aca="false">I230-28</f>
        <v>313.7</v>
      </c>
      <c r="AB230" s="0" t="n">
        <f aca="false">IF(Z230&lt;0,Z230+360,Z230+0)</f>
        <v>313.7</v>
      </c>
    </row>
    <row r="231" customFormat="false" ht="15.8" hidden="false" customHeight="false" outlineLevel="0" collapsed="false">
      <c r="A231" s="1" t="n">
        <v>7</v>
      </c>
      <c r="B231" s="1" t="n">
        <v>3</v>
      </c>
      <c r="C231" s="1" t="n">
        <v>1.2</v>
      </c>
      <c r="D231" s="1" t="n">
        <v>1.2197</v>
      </c>
      <c r="E231" s="1" t="n">
        <v>0.0423426</v>
      </c>
      <c r="F231" s="1" t="n">
        <v>0.000115533</v>
      </c>
      <c r="G231" s="1" t="s">
        <v>47</v>
      </c>
      <c r="H231" s="1" t="n">
        <v>61.9</v>
      </c>
      <c r="I231" s="1" t="n">
        <v>298.3</v>
      </c>
      <c r="J231" s="1" t="n">
        <v>-21.4</v>
      </c>
      <c r="K231" s="1" t="n">
        <v>41.2</v>
      </c>
      <c r="L231" s="1" t="n">
        <v>0</v>
      </c>
      <c r="M231" s="1" t="n">
        <v>0</v>
      </c>
      <c r="N231" s="1" t="s">
        <v>201</v>
      </c>
      <c r="Z231" s="0" t="n">
        <f aca="false">I231-28</f>
        <v>270.3</v>
      </c>
      <c r="AB231" s="0" t="n">
        <f aca="false">IF(Z231&lt;0,Z231+360,Z231+0)</f>
        <v>270.3</v>
      </c>
    </row>
    <row r="232" customFormat="false" ht="15.8" hidden="false" customHeight="false" outlineLevel="0" collapsed="false">
      <c r="A232" s="1" t="n">
        <v>7</v>
      </c>
      <c r="B232" s="1" t="n">
        <v>2</v>
      </c>
      <c r="C232" s="1" t="n">
        <v>3.3</v>
      </c>
      <c r="D232" s="1" t="n">
        <v>1.187</v>
      </c>
      <c r="E232" s="1" t="n">
        <v>0.112523</v>
      </c>
      <c r="F232" s="1" t="n">
        <v>0.000307021</v>
      </c>
      <c r="G232" s="1" t="s">
        <v>47</v>
      </c>
      <c r="H232" s="1" t="n">
        <v>14.5</v>
      </c>
      <c r="I232" s="1" t="n">
        <v>7.8</v>
      </c>
      <c r="J232" s="1" t="n">
        <v>-32.4</v>
      </c>
      <c r="K232" s="1" t="n">
        <v>89.8</v>
      </c>
      <c r="L232" s="1" t="n">
        <v>0</v>
      </c>
      <c r="M232" s="1" t="n">
        <v>0</v>
      </c>
      <c r="N232" s="1" t="s">
        <v>200</v>
      </c>
      <c r="Z232" s="0" t="n">
        <f aca="false">I232-28</f>
        <v>-20.2</v>
      </c>
      <c r="AB232" s="0" t="n">
        <f aca="false">IF(Z232&lt;0,Z232+360,Z232+0)</f>
        <v>339.8</v>
      </c>
    </row>
    <row r="233" customFormat="false" ht="15.8" hidden="false" customHeight="false" outlineLevel="0" collapsed="false">
      <c r="A233" s="1" t="n">
        <v>7</v>
      </c>
      <c r="B233" s="1" t="n">
        <v>3</v>
      </c>
      <c r="C233" s="1" t="n">
        <v>0.9</v>
      </c>
      <c r="D233" s="1" t="n">
        <v>1.0042</v>
      </c>
      <c r="E233" s="1" t="n">
        <v>0.0304369</v>
      </c>
      <c r="F233" s="1" t="n">
        <v>8.3048E-005</v>
      </c>
      <c r="G233" s="1" t="s">
        <v>27</v>
      </c>
      <c r="H233" s="1" t="n">
        <v>11.9</v>
      </c>
      <c r="I233" s="1" t="n">
        <v>110.2</v>
      </c>
      <c r="J233" s="1" t="n">
        <v>0</v>
      </c>
      <c r="K233" s="1"/>
      <c r="L233" s="1" t="n">
        <v>0</v>
      </c>
      <c r="M233" s="1" t="n">
        <v>0</v>
      </c>
      <c r="N233" s="1" t="s">
        <v>210</v>
      </c>
      <c r="Z233" s="0" t="n">
        <f aca="false">I233-28</f>
        <v>82.2</v>
      </c>
      <c r="AB233" s="0" t="n">
        <f aca="false">IF(Z233&lt;0,Z233+360,Z233+0)</f>
        <v>82.2</v>
      </c>
    </row>
    <row r="234" customFormat="false" ht="15.8" hidden="false" customHeight="false" outlineLevel="0" collapsed="false">
      <c r="A234" s="1" t="n">
        <v>7</v>
      </c>
      <c r="B234" s="1" t="n">
        <v>3</v>
      </c>
      <c r="C234" s="1" t="n">
        <v>1.7</v>
      </c>
      <c r="D234" s="1" t="n">
        <v>1.0337</v>
      </c>
      <c r="E234" s="1" t="n">
        <v>0.0599533</v>
      </c>
      <c r="F234" s="1" t="n">
        <v>0.000163585</v>
      </c>
      <c r="G234" s="1" t="s">
        <v>27</v>
      </c>
      <c r="H234" s="1" t="n">
        <v>72.9</v>
      </c>
      <c r="I234" s="1" t="n">
        <v>47.4</v>
      </c>
      <c r="J234" s="1" t="n">
        <v>0</v>
      </c>
      <c r="K234" s="1"/>
      <c r="L234" s="1" t="n">
        <v>0</v>
      </c>
      <c r="M234" s="1" t="n">
        <v>0</v>
      </c>
      <c r="N234" s="1" t="s">
        <v>210</v>
      </c>
      <c r="Z234" s="0" t="n">
        <f aca="false">I234-28</f>
        <v>19.4</v>
      </c>
      <c r="AB234" s="0" t="n">
        <f aca="false">IF(Z234&lt;0,Z234+360,Z234+0)</f>
        <v>19.4</v>
      </c>
    </row>
    <row r="235" customFormat="false" ht="15.8" hidden="false" customHeight="false" outlineLevel="0" collapsed="false">
      <c r="A235" s="1" t="n">
        <v>7</v>
      </c>
      <c r="B235" s="1" t="n">
        <v>2</v>
      </c>
      <c r="C235" s="1" t="n">
        <v>3.6</v>
      </c>
      <c r="D235" s="1" t="n">
        <v>1.118</v>
      </c>
      <c r="E235" s="1" t="n">
        <v>0.124162</v>
      </c>
      <c r="F235" s="1" t="n">
        <v>0.000338781</v>
      </c>
      <c r="G235" s="1" t="s">
        <v>47</v>
      </c>
      <c r="H235" s="1" t="n">
        <v>90.4</v>
      </c>
      <c r="I235" s="1" t="n">
        <v>120.1</v>
      </c>
      <c r="J235" s="1" t="n">
        <v>-6.6</v>
      </c>
      <c r="K235" s="1" t="n">
        <v>72.9</v>
      </c>
      <c r="L235" s="1" t="n">
        <v>0</v>
      </c>
      <c r="M235" s="1" t="n">
        <v>0</v>
      </c>
      <c r="N235" s="1" t="s">
        <v>200</v>
      </c>
      <c r="Z235" s="0" t="n">
        <f aca="false">I235-28</f>
        <v>92.1</v>
      </c>
      <c r="AB235" s="0" t="n">
        <f aca="false">IF(Z235&lt;0,Z235+360,Z235+0)</f>
        <v>92.1</v>
      </c>
    </row>
    <row r="236" customFormat="false" ht="15.8" hidden="false" customHeight="false" outlineLevel="0" collapsed="false">
      <c r="A236" s="1" t="n">
        <v>7</v>
      </c>
      <c r="B236" s="1" t="n">
        <v>1</v>
      </c>
      <c r="C236" s="1" t="n">
        <v>1.6</v>
      </c>
      <c r="D236" s="1" t="n">
        <v>1.2211</v>
      </c>
      <c r="E236" s="1" t="n">
        <v>0.0541105</v>
      </c>
      <c r="F236" s="1" t="n">
        <v>0.000147642</v>
      </c>
      <c r="G236" s="1" t="s">
        <v>47</v>
      </c>
      <c r="H236" s="1"/>
      <c r="I236" s="1" t="n">
        <v>25</v>
      </c>
      <c r="J236" s="1" t="n">
        <v>-34.9</v>
      </c>
      <c r="K236" s="1" t="n">
        <v>90.4</v>
      </c>
      <c r="L236" s="1" t="n">
        <v>0</v>
      </c>
      <c r="M236" s="1" t="n">
        <v>0</v>
      </c>
      <c r="N236" s="1" t="s">
        <v>211</v>
      </c>
      <c r="Z236" s="0" t="n">
        <f aca="false">I236-28</f>
        <v>-3</v>
      </c>
      <c r="AB236" s="0" t="n">
        <f aca="false">IF(Z236&lt;0,Z236+360,Z236+0)</f>
        <v>357</v>
      </c>
    </row>
    <row r="237" customFormat="false" ht="15.8" hidden="false" customHeight="false" outlineLevel="0" collapsed="false">
      <c r="A237" s="1" t="n">
        <v>8</v>
      </c>
      <c r="B237" s="1" t="n">
        <v>6</v>
      </c>
      <c r="C237" s="1" t="n">
        <v>2.5</v>
      </c>
      <c r="D237" s="1" t="n">
        <v>1.2184</v>
      </c>
      <c r="E237" s="1" t="n">
        <v>0.0866984</v>
      </c>
      <c r="F237" s="1" t="n">
        <v>0.000236559</v>
      </c>
      <c r="G237" s="1" t="s">
        <v>27</v>
      </c>
      <c r="H237" s="1" t="n">
        <v>88.1</v>
      </c>
      <c r="I237" s="1" t="n">
        <v>208.6</v>
      </c>
      <c r="J237" s="1" t="n">
        <v>-20.9</v>
      </c>
      <c r="K237" s="1"/>
      <c r="L237" s="1" t="n">
        <v>0</v>
      </c>
      <c r="M237" s="1" t="n">
        <v>0</v>
      </c>
      <c r="N237" s="1" t="s">
        <v>212</v>
      </c>
      <c r="Z237" s="0" t="n">
        <f aca="false">I237-28</f>
        <v>180.6</v>
      </c>
      <c r="AB237" s="0" t="n">
        <f aca="false">IF(Z237&lt;0,Z237+360,Z237+0)</f>
        <v>180.6</v>
      </c>
    </row>
    <row r="238" customFormat="false" ht="15.8" hidden="false" customHeight="false" outlineLevel="0" collapsed="false">
      <c r="A238" s="1" t="n">
        <v>8</v>
      </c>
      <c r="B238" s="1" t="n">
        <v>15</v>
      </c>
      <c r="C238" s="1" t="n">
        <v>3.3</v>
      </c>
      <c r="D238" s="1" t="n">
        <v>1.1633</v>
      </c>
      <c r="E238" s="1" t="n">
        <v>0.114506</v>
      </c>
      <c r="F238" s="1" t="n">
        <v>0.000312433</v>
      </c>
      <c r="G238" s="1" t="s">
        <v>27</v>
      </c>
      <c r="H238" s="1" t="n">
        <v>74.2</v>
      </c>
      <c r="I238" s="1" t="n">
        <v>140.1</v>
      </c>
      <c r="J238" s="1" t="n">
        <v>14.9</v>
      </c>
      <c r="K238" s="1"/>
      <c r="L238" s="1" t="n">
        <v>0</v>
      </c>
      <c r="M238" s="1" t="n">
        <v>0</v>
      </c>
      <c r="N238" s="1" t="s">
        <v>213</v>
      </c>
      <c r="Z238" s="0" t="n">
        <f aca="false">I238-28</f>
        <v>112.1</v>
      </c>
      <c r="AB238" s="0" t="n">
        <f aca="false">IF(Z238&lt;0,Z238+360,Z238+0)</f>
        <v>112.1</v>
      </c>
    </row>
    <row r="239" customFormat="false" ht="15.8" hidden="false" customHeight="false" outlineLevel="0" collapsed="false">
      <c r="A239" s="1" t="n">
        <v>8</v>
      </c>
      <c r="B239" s="1" t="n">
        <v>16</v>
      </c>
      <c r="C239" s="1" t="n">
        <v>11</v>
      </c>
      <c r="D239" s="1" t="n">
        <v>1.4312</v>
      </c>
      <c r="E239" s="1" t="n">
        <v>0.376012</v>
      </c>
      <c r="F239" s="1" t="n">
        <v>0.00102596</v>
      </c>
      <c r="G239" s="1" t="s">
        <v>27</v>
      </c>
      <c r="H239" s="1" t="n">
        <v>93.2</v>
      </c>
      <c r="I239" s="1" t="n">
        <v>128.7</v>
      </c>
      <c r="J239" s="1" t="n">
        <v>60.4</v>
      </c>
      <c r="K239" s="1"/>
      <c r="L239" s="1" t="n">
        <v>0</v>
      </c>
      <c r="M239" s="1" t="n">
        <v>0</v>
      </c>
      <c r="N239" s="1" t="s">
        <v>214</v>
      </c>
      <c r="Z239" s="0" t="n">
        <f aca="false">I239-28</f>
        <v>100.7</v>
      </c>
      <c r="AB239" s="0" t="n">
        <f aca="false">IF(Z239&lt;0,Z239+360,Z239+0)</f>
        <v>100.7</v>
      </c>
    </row>
    <row r="240" customFormat="false" ht="15.8" hidden="false" customHeight="false" outlineLevel="0" collapsed="false">
      <c r="A240" s="1" t="n">
        <v>8</v>
      </c>
      <c r="B240" s="1" t="n">
        <v>17</v>
      </c>
      <c r="C240" s="1" t="n">
        <v>6.2</v>
      </c>
      <c r="D240" s="1" t="n">
        <v>1.2896</v>
      </c>
      <c r="E240" s="1" t="n">
        <v>0.213652</v>
      </c>
      <c r="F240" s="1" t="n">
        <v>0.000582956</v>
      </c>
      <c r="G240" s="1" t="s">
        <v>27</v>
      </c>
      <c r="H240" s="1" t="n">
        <v>23</v>
      </c>
      <c r="I240" s="1" t="n">
        <v>194.2</v>
      </c>
      <c r="J240" s="1" t="n">
        <v>-4.4</v>
      </c>
      <c r="K240" s="1"/>
      <c r="L240" s="1" t="n">
        <v>0</v>
      </c>
      <c r="M240" s="1" t="n">
        <v>0</v>
      </c>
      <c r="N240" s="1" t="s">
        <v>215</v>
      </c>
      <c r="Z240" s="0" t="n">
        <f aca="false">I240-28</f>
        <v>166.2</v>
      </c>
      <c r="AB240" s="0" t="n">
        <f aca="false">IF(Z240&lt;0,Z240+360,Z240+0)</f>
        <v>166.2</v>
      </c>
    </row>
    <row r="241" customFormat="false" ht="15.8" hidden="false" customHeight="false" outlineLevel="0" collapsed="false">
      <c r="A241" s="1" t="n">
        <v>8</v>
      </c>
      <c r="B241" s="1" t="n">
        <v>18</v>
      </c>
      <c r="C241" s="1" t="n">
        <v>1.1</v>
      </c>
      <c r="D241" s="1" t="n">
        <v>1.1955</v>
      </c>
      <c r="E241" s="1" t="n">
        <v>0.0366896</v>
      </c>
      <c r="F241" s="1" t="n">
        <v>0.000100109</v>
      </c>
      <c r="G241" s="1" t="s">
        <v>27</v>
      </c>
      <c r="H241" s="1" t="n">
        <v>32.1</v>
      </c>
      <c r="I241" s="1" t="n">
        <v>290.4</v>
      </c>
      <c r="J241" s="1" t="n">
        <v>24.4</v>
      </c>
      <c r="K241" s="1"/>
      <c r="L241" s="1" t="n">
        <v>0</v>
      </c>
      <c r="M241" s="1" t="n">
        <v>0</v>
      </c>
      <c r="N241" s="1" t="s">
        <v>216</v>
      </c>
      <c r="Z241" s="0" t="n">
        <f aca="false">I241-28</f>
        <v>262.4</v>
      </c>
      <c r="AB241" s="0" t="n">
        <f aca="false">IF(Z241&lt;0,Z241+360,Z241+0)</f>
        <v>262.4</v>
      </c>
    </row>
    <row r="242" customFormat="false" ht="15.8" hidden="false" customHeight="false" outlineLevel="0" collapsed="false">
      <c r="A242" s="1" t="n">
        <v>8</v>
      </c>
      <c r="B242" s="1" t="n">
        <v>18</v>
      </c>
      <c r="C242" s="1" t="n">
        <v>0.8</v>
      </c>
      <c r="D242" s="1" t="n">
        <v>1.1828</v>
      </c>
      <c r="E242" s="1" t="n">
        <v>0.025836</v>
      </c>
      <c r="F242" s="1" t="n">
        <v>7.04945E-005</v>
      </c>
      <c r="G242" s="1" t="s">
        <v>27</v>
      </c>
      <c r="H242" s="1" t="n">
        <v>72.5</v>
      </c>
      <c r="I242" s="1" t="n">
        <v>8.5</v>
      </c>
      <c r="J242" s="1" t="n">
        <v>-35.5</v>
      </c>
      <c r="K242" s="1"/>
      <c r="L242" s="1" t="n">
        <v>0</v>
      </c>
      <c r="M242" s="1" t="n">
        <v>0</v>
      </c>
      <c r="N242" s="1" t="s">
        <v>216</v>
      </c>
      <c r="Z242" s="0" t="n">
        <f aca="false">I242-28</f>
        <v>-19.5</v>
      </c>
      <c r="AB242" s="0" t="n">
        <f aca="false">IF(Z242&lt;0,Z242+360,Z242+0)</f>
        <v>340.5</v>
      </c>
    </row>
    <row r="243" customFormat="false" ht="15.8" hidden="false" customHeight="false" outlineLevel="0" collapsed="false">
      <c r="A243" s="1" t="n">
        <v>8</v>
      </c>
      <c r="B243" s="1" t="n">
        <v>17</v>
      </c>
      <c r="C243" s="1" t="n">
        <v>2.3</v>
      </c>
      <c r="D243" s="1" t="n">
        <v>1.2845</v>
      </c>
      <c r="E243" s="1" t="n">
        <v>0.07806</v>
      </c>
      <c r="F243" s="1" t="n">
        <v>0.000212989</v>
      </c>
      <c r="G243" s="1" t="s">
        <v>47</v>
      </c>
      <c r="H243" s="1" t="n">
        <v>106.4</v>
      </c>
      <c r="I243" s="1" t="n">
        <v>325.8</v>
      </c>
      <c r="J243" s="1" t="n">
        <v>24.7</v>
      </c>
      <c r="K243" s="1" t="n">
        <v>72.5</v>
      </c>
      <c r="L243" s="1" t="n">
        <v>0</v>
      </c>
      <c r="M243" s="1" t="n">
        <v>0</v>
      </c>
      <c r="N243" s="1" t="s">
        <v>215</v>
      </c>
      <c r="Z243" s="0" t="n">
        <f aca="false">I243-28</f>
        <v>297.8</v>
      </c>
      <c r="AB243" s="0" t="n">
        <f aca="false">IF(Z243&lt;0,Z243+360,Z243+0)</f>
        <v>297.8</v>
      </c>
    </row>
    <row r="244" customFormat="false" ht="15.8" hidden="false" customHeight="false" outlineLevel="0" collapsed="false">
      <c r="A244" s="1" t="n">
        <v>8</v>
      </c>
      <c r="B244" s="1" t="n">
        <v>16</v>
      </c>
      <c r="C244" s="1" t="n">
        <v>6</v>
      </c>
      <c r="D244" s="1" t="n">
        <v>1.2484</v>
      </c>
      <c r="E244" s="1" t="n">
        <v>0.204737</v>
      </c>
      <c r="F244" s="1" t="n">
        <v>0.00055863</v>
      </c>
      <c r="G244" s="1" t="s">
        <v>47</v>
      </c>
      <c r="H244" s="1" t="n">
        <v>73.3</v>
      </c>
      <c r="I244" s="1" t="n">
        <v>213</v>
      </c>
      <c r="J244" s="1" t="n">
        <v>8.9</v>
      </c>
      <c r="K244" s="1" t="n">
        <v>106.4</v>
      </c>
      <c r="L244" s="1" t="n">
        <v>0</v>
      </c>
      <c r="M244" s="1" t="n">
        <v>0</v>
      </c>
      <c r="N244" s="1" t="s">
        <v>214</v>
      </c>
      <c r="Z244" s="0" t="n">
        <f aca="false">I244-28</f>
        <v>185</v>
      </c>
      <c r="AB244" s="0" t="n">
        <f aca="false">IF(Z244&lt;0,Z244+360,Z244+0)</f>
        <v>185</v>
      </c>
    </row>
    <row r="245" customFormat="false" ht="15.8" hidden="false" customHeight="false" outlineLevel="0" collapsed="false">
      <c r="A245" s="1" t="n">
        <v>8</v>
      </c>
      <c r="B245" s="1" t="n">
        <v>15</v>
      </c>
      <c r="C245" s="1" t="n">
        <v>8.1</v>
      </c>
      <c r="D245" s="1" t="n">
        <v>1.5283</v>
      </c>
      <c r="E245" s="1" t="n">
        <v>0.276909</v>
      </c>
      <c r="F245" s="1" t="n">
        <v>0.000755556</v>
      </c>
      <c r="G245" s="1" t="s">
        <v>47</v>
      </c>
      <c r="H245" s="1" t="n">
        <v>111.4</v>
      </c>
      <c r="I245" s="1" t="n">
        <v>288.6</v>
      </c>
      <c r="J245" s="1" t="n">
        <v>24.8</v>
      </c>
      <c r="K245" s="1" t="n">
        <v>93.2</v>
      </c>
      <c r="L245" s="1" t="n">
        <v>0</v>
      </c>
      <c r="M245" s="1" t="n">
        <v>0</v>
      </c>
      <c r="N245" s="1" t="s">
        <v>213</v>
      </c>
      <c r="Z245" s="0" t="n">
        <f aca="false">I245-28</f>
        <v>260.6</v>
      </c>
      <c r="AB245" s="0" t="n">
        <f aca="false">IF(Z245&lt;0,Z245+360,Z245+0)</f>
        <v>260.6</v>
      </c>
    </row>
    <row r="246" customFormat="false" ht="15.8" hidden="false" customHeight="false" outlineLevel="0" collapsed="false">
      <c r="A246" s="1" t="n">
        <v>8</v>
      </c>
      <c r="B246" s="1" t="n">
        <v>16</v>
      </c>
      <c r="C246" s="1" t="n">
        <v>4.4</v>
      </c>
      <c r="D246" s="1" t="n">
        <v>1.264</v>
      </c>
      <c r="E246" s="1" t="n">
        <v>0.149347</v>
      </c>
      <c r="F246" s="1" t="n">
        <v>0.000407498</v>
      </c>
      <c r="G246" s="1" t="s">
        <v>27</v>
      </c>
      <c r="H246" s="1" t="n">
        <v>42.1</v>
      </c>
      <c r="I246" s="1" t="n">
        <v>344.8</v>
      </c>
      <c r="J246" s="1" t="n">
        <v>-32.5</v>
      </c>
      <c r="K246" s="1"/>
      <c r="L246" s="1" t="n">
        <v>0</v>
      </c>
      <c r="M246" s="1" t="n">
        <v>0</v>
      </c>
      <c r="N246" s="1" t="s">
        <v>217</v>
      </c>
      <c r="Z246" s="0" t="n">
        <f aca="false">I246-28</f>
        <v>316.8</v>
      </c>
      <c r="AB246" s="0" t="n">
        <f aca="false">IF(Z246&lt;0,Z246+360,Z246+0)</f>
        <v>316.8</v>
      </c>
    </row>
    <row r="247" customFormat="false" ht="15.8" hidden="false" customHeight="false" outlineLevel="0" collapsed="false">
      <c r="A247" s="1" t="n">
        <v>8</v>
      </c>
      <c r="B247" s="1" t="n">
        <v>16</v>
      </c>
      <c r="C247" s="1" t="n">
        <v>1.2</v>
      </c>
      <c r="D247" s="1" t="n">
        <v>1.1648</v>
      </c>
      <c r="E247" s="1" t="n">
        <v>0.0428124</v>
      </c>
      <c r="F247" s="1" t="n">
        <v>0.000116815</v>
      </c>
      <c r="G247" s="1" t="s">
        <v>27</v>
      </c>
      <c r="H247" s="1" t="n">
        <v>87</v>
      </c>
      <c r="I247" s="1" t="n">
        <v>208.5</v>
      </c>
      <c r="J247" s="1" t="n">
        <v>-20.2</v>
      </c>
      <c r="K247" s="1"/>
      <c r="L247" s="1" t="n">
        <v>0</v>
      </c>
      <c r="M247" s="1" t="n">
        <v>0</v>
      </c>
      <c r="N247" s="1" t="s">
        <v>217</v>
      </c>
      <c r="Z247" s="0" t="n">
        <f aca="false">I247-28</f>
        <v>180.5</v>
      </c>
      <c r="AB247" s="0" t="n">
        <f aca="false">IF(Z247&lt;0,Z247+360,Z247+0)</f>
        <v>180.5</v>
      </c>
    </row>
    <row r="248" customFormat="false" ht="15.8" hidden="false" customHeight="false" outlineLevel="0" collapsed="false">
      <c r="A248" s="1" t="n">
        <v>8</v>
      </c>
      <c r="B248" s="1" t="n">
        <v>15</v>
      </c>
      <c r="C248" s="1" t="n">
        <v>7.6</v>
      </c>
      <c r="D248" s="1" t="n">
        <v>1.3103</v>
      </c>
      <c r="E248" s="1" t="n">
        <v>0.262065</v>
      </c>
      <c r="F248" s="1" t="n">
        <v>0.000715053</v>
      </c>
      <c r="G248" s="1" t="s">
        <v>47</v>
      </c>
      <c r="H248" s="1" t="n">
        <v>103.4</v>
      </c>
      <c r="I248" s="1" t="n">
        <v>11.9</v>
      </c>
      <c r="J248" s="1" t="n">
        <v>-72.1</v>
      </c>
      <c r="K248" s="1" t="n">
        <v>87</v>
      </c>
      <c r="L248" s="1" t="n">
        <v>0</v>
      </c>
      <c r="M248" s="1" t="n">
        <v>0</v>
      </c>
      <c r="N248" s="1" t="s">
        <v>213</v>
      </c>
      <c r="Z248" s="0" t="n">
        <f aca="false">I248-28</f>
        <v>-16.1</v>
      </c>
      <c r="AB248" s="0" t="n">
        <f aca="false">IF(Z248&lt;0,Z248+360,Z248+0)</f>
        <v>343.9</v>
      </c>
    </row>
    <row r="249" customFormat="false" ht="15.8" hidden="false" customHeight="false" outlineLevel="0" collapsed="false">
      <c r="A249" s="1" t="n">
        <v>8</v>
      </c>
      <c r="B249" s="1" t="n">
        <v>14</v>
      </c>
      <c r="C249" s="1" t="n">
        <v>5.7</v>
      </c>
      <c r="D249" s="1" t="n">
        <v>1.3518</v>
      </c>
      <c r="E249" s="1" t="n">
        <v>0.196574</v>
      </c>
      <c r="F249" s="1" t="n">
        <v>0.00053636</v>
      </c>
      <c r="G249" s="1" t="s">
        <v>47</v>
      </c>
      <c r="H249" s="1" t="n">
        <v>51.1</v>
      </c>
      <c r="I249" s="1" t="n">
        <v>60.7</v>
      </c>
      <c r="J249" s="1" t="n">
        <v>25.9</v>
      </c>
      <c r="K249" s="1" t="n">
        <v>111.4</v>
      </c>
      <c r="L249" s="1" t="n">
        <v>0</v>
      </c>
      <c r="M249" s="1" t="n">
        <v>0</v>
      </c>
      <c r="N249" s="1" t="s">
        <v>218</v>
      </c>
      <c r="Z249" s="0" t="n">
        <f aca="false">I249-28</f>
        <v>32.7</v>
      </c>
      <c r="AB249" s="0" t="n">
        <f aca="false">IF(Z249&lt;0,Z249+360,Z249+0)</f>
        <v>32.7</v>
      </c>
    </row>
    <row r="250" customFormat="false" ht="15.8" hidden="false" customHeight="false" outlineLevel="0" collapsed="false">
      <c r="A250" s="1" t="n">
        <v>8</v>
      </c>
      <c r="B250" s="1" t="n">
        <v>14</v>
      </c>
      <c r="C250" s="1" t="n">
        <v>1.9</v>
      </c>
      <c r="D250" s="1" t="n">
        <v>1.0961</v>
      </c>
      <c r="E250" s="1" t="n">
        <v>0.0650436</v>
      </c>
      <c r="F250" s="1" t="n">
        <v>0.000177474</v>
      </c>
      <c r="G250" s="1" t="s">
        <v>27</v>
      </c>
      <c r="H250" s="1" t="n">
        <v>126.7</v>
      </c>
      <c r="I250" s="1" t="n">
        <v>233.4</v>
      </c>
      <c r="J250" s="1" t="n">
        <v>-58.8</v>
      </c>
      <c r="K250" s="1"/>
      <c r="L250" s="1" t="n">
        <v>0</v>
      </c>
      <c r="M250" s="1" t="n">
        <v>0</v>
      </c>
      <c r="N250" s="1" t="s">
        <v>218</v>
      </c>
      <c r="Z250" s="0" t="n">
        <f aca="false">I250-28</f>
        <v>205.4</v>
      </c>
      <c r="AB250" s="0" t="n">
        <f aca="false">IF(Z250&lt;0,Z250+360,Z250+0)</f>
        <v>205.4</v>
      </c>
    </row>
    <row r="251" customFormat="false" ht="15.8" hidden="false" customHeight="false" outlineLevel="0" collapsed="false">
      <c r="A251" s="1" t="n">
        <v>8</v>
      </c>
      <c r="B251" s="1" t="n">
        <v>13</v>
      </c>
      <c r="C251" s="1" t="n">
        <v>3.4</v>
      </c>
      <c r="D251" s="1" t="n">
        <v>1.4535</v>
      </c>
      <c r="E251" s="1" t="n">
        <v>0.116241</v>
      </c>
      <c r="F251" s="1" t="n">
        <v>0.000317168</v>
      </c>
      <c r="G251" s="1" t="s">
        <v>47</v>
      </c>
      <c r="H251" s="1" t="n">
        <v>56.8</v>
      </c>
      <c r="I251" s="1" t="n">
        <v>118.6</v>
      </c>
      <c r="J251" s="1" t="n">
        <v>28.4</v>
      </c>
      <c r="K251" s="1" t="n">
        <v>126.7</v>
      </c>
      <c r="L251" s="1" t="n">
        <v>0</v>
      </c>
      <c r="M251" s="1" t="n">
        <v>0</v>
      </c>
      <c r="N251" s="1" t="s">
        <v>219</v>
      </c>
      <c r="Z251" s="0" t="n">
        <f aca="false">I251-28</f>
        <v>90.6</v>
      </c>
      <c r="AB251" s="0" t="n">
        <f aca="false">IF(Z251&lt;0,Z251+360,Z251+0)</f>
        <v>90.6</v>
      </c>
    </row>
    <row r="252" customFormat="false" ht="15.8" hidden="false" customHeight="false" outlineLevel="0" collapsed="false">
      <c r="A252" s="1" t="n">
        <v>8</v>
      </c>
      <c r="B252" s="1" t="n">
        <v>14</v>
      </c>
      <c r="C252" s="1" t="n">
        <v>2.3</v>
      </c>
      <c r="D252" s="1" t="n">
        <v>1.2574</v>
      </c>
      <c r="E252" s="1" t="n">
        <v>0.0789357</v>
      </c>
      <c r="F252" s="1" t="n">
        <v>0.000215379</v>
      </c>
      <c r="G252" s="1" t="s">
        <v>27</v>
      </c>
      <c r="H252" s="1" t="n">
        <v>70.8</v>
      </c>
      <c r="I252" s="1" t="n">
        <v>249.8</v>
      </c>
      <c r="J252" s="1" t="n">
        <v>-23.8</v>
      </c>
      <c r="K252" s="1"/>
      <c r="L252" s="1" t="n">
        <v>0</v>
      </c>
      <c r="M252" s="1" t="n">
        <v>0</v>
      </c>
      <c r="N252" s="1" t="s">
        <v>220</v>
      </c>
      <c r="Z252" s="0" t="n">
        <f aca="false">I252-28</f>
        <v>221.8</v>
      </c>
      <c r="AB252" s="0" t="n">
        <f aca="false">IF(Z252&lt;0,Z252+360,Z252+0)</f>
        <v>221.8</v>
      </c>
    </row>
    <row r="253" customFormat="false" ht="15.8" hidden="false" customHeight="false" outlineLevel="0" collapsed="false">
      <c r="A253" s="1" t="n">
        <v>8</v>
      </c>
      <c r="B253" s="1" t="n">
        <v>14</v>
      </c>
      <c r="C253" s="1" t="n">
        <v>0.8</v>
      </c>
      <c r="D253" s="1" t="n">
        <v>1.0246</v>
      </c>
      <c r="E253" s="1" t="n">
        <v>0.0264348</v>
      </c>
      <c r="F253" s="1" t="n">
        <v>7.21281E-005</v>
      </c>
      <c r="G253" s="1" t="s">
        <v>27</v>
      </c>
      <c r="H253" s="1" t="n">
        <v>29</v>
      </c>
      <c r="I253" s="1" t="n">
        <v>156</v>
      </c>
      <c r="J253" s="1" t="n">
        <v>0</v>
      </c>
      <c r="K253" s="1"/>
      <c r="L253" s="1" t="n">
        <v>0</v>
      </c>
      <c r="M253" s="1" t="n">
        <v>0</v>
      </c>
      <c r="N253" s="1" t="s">
        <v>220</v>
      </c>
      <c r="Z253" s="0" t="n">
        <f aca="false">I253-28</f>
        <v>128</v>
      </c>
      <c r="AB253" s="0" t="n">
        <f aca="false">IF(Z253&lt;0,Z253+360,Z253+0)</f>
        <v>128</v>
      </c>
    </row>
    <row r="254" customFormat="false" ht="15.8" hidden="false" customHeight="false" outlineLevel="0" collapsed="false">
      <c r="A254" s="1" t="n">
        <v>8</v>
      </c>
      <c r="B254" s="1" t="n">
        <v>13</v>
      </c>
      <c r="C254" s="1" t="n">
        <v>3.3</v>
      </c>
      <c r="D254" s="1" t="n">
        <v>1.0782</v>
      </c>
      <c r="E254" s="1" t="n">
        <v>0.113713</v>
      </c>
      <c r="F254" s="1" t="n">
        <v>0.00031027</v>
      </c>
      <c r="G254" s="1" t="s">
        <v>47</v>
      </c>
      <c r="H254" s="1" t="n">
        <v>122.2</v>
      </c>
      <c r="I254" s="1" t="n">
        <v>184.3</v>
      </c>
      <c r="J254" s="1" t="n">
        <v>6.9</v>
      </c>
      <c r="K254" s="1" t="n">
        <v>70.8</v>
      </c>
      <c r="L254" s="1" t="n">
        <v>0</v>
      </c>
      <c r="M254" s="1" t="n">
        <v>0</v>
      </c>
      <c r="N254" s="1" t="s">
        <v>219</v>
      </c>
      <c r="Z254" s="0" t="n">
        <f aca="false">I254-28</f>
        <v>156.3</v>
      </c>
      <c r="AB254" s="0" t="n">
        <f aca="false">IF(Z254&lt;0,Z254+360,Z254+0)</f>
        <v>156.3</v>
      </c>
    </row>
    <row r="255" customFormat="false" ht="15.8" hidden="false" customHeight="false" outlineLevel="0" collapsed="false">
      <c r="A255" s="1" t="n">
        <v>8</v>
      </c>
      <c r="B255" s="1" t="n">
        <v>13</v>
      </c>
      <c r="C255" s="1" t="n">
        <v>3.3</v>
      </c>
      <c r="D255" s="1" t="n">
        <v>1.2235</v>
      </c>
      <c r="E255" s="1" t="n">
        <v>0.113342</v>
      </c>
      <c r="F255" s="1" t="n">
        <v>0.000309258</v>
      </c>
      <c r="G255" s="1" t="s">
        <v>27</v>
      </c>
      <c r="H255" s="1" t="n">
        <v>67.1</v>
      </c>
      <c r="I255" s="1" t="n">
        <v>358.6</v>
      </c>
      <c r="J255" s="1" t="n">
        <v>-15.9</v>
      </c>
      <c r="K255" s="1"/>
      <c r="L255" s="1" t="n">
        <v>0</v>
      </c>
      <c r="M255" s="1" t="n">
        <v>0</v>
      </c>
      <c r="N255" s="1" t="s">
        <v>219</v>
      </c>
      <c r="Z255" s="0" t="n">
        <f aca="false">I255-28</f>
        <v>330.6</v>
      </c>
      <c r="AB255" s="0" t="n">
        <f aca="false">IF(Z255&lt;0,Z255+360,Z255+0)</f>
        <v>330.6</v>
      </c>
    </row>
    <row r="256" customFormat="false" ht="15.8" hidden="false" customHeight="false" outlineLevel="0" collapsed="false">
      <c r="A256" s="1" t="n">
        <v>8</v>
      </c>
      <c r="B256" s="1" t="n">
        <v>12</v>
      </c>
      <c r="C256" s="1" t="n">
        <v>4</v>
      </c>
      <c r="D256" s="1" t="n">
        <v>1.201</v>
      </c>
      <c r="E256" s="1" t="n">
        <v>0.136639</v>
      </c>
      <c r="F256" s="1" t="n">
        <v>0.000372824</v>
      </c>
      <c r="G256" s="1" t="s">
        <v>47</v>
      </c>
      <c r="H256" s="1" t="n">
        <v>50.1</v>
      </c>
      <c r="I256" s="1" t="n">
        <v>56.5</v>
      </c>
      <c r="J256" s="1" t="n">
        <v>19.5</v>
      </c>
      <c r="K256" s="1" t="n">
        <v>122.2</v>
      </c>
      <c r="L256" s="1" t="n">
        <v>0</v>
      </c>
      <c r="M256" s="1" t="n">
        <v>0</v>
      </c>
      <c r="N256" s="1" t="s">
        <v>221</v>
      </c>
      <c r="Z256" s="0" t="n">
        <f aca="false">I256-28</f>
        <v>28.5</v>
      </c>
      <c r="AB256" s="0" t="n">
        <f aca="false">IF(Z256&lt;0,Z256+360,Z256+0)</f>
        <v>28.5</v>
      </c>
    </row>
    <row r="257" customFormat="false" ht="15.8" hidden="false" customHeight="false" outlineLevel="0" collapsed="false">
      <c r="A257" s="1" t="n">
        <v>8</v>
      </c>
      <c r="B257" s="1" t="n">
        <v>12</v>
      </c>
      <c r="C257" s="1" t="n">
        <v>1.5</v>
      </c>
      <c r="D257" s="1" t="n">
        <v>1.2307</v>
      </c>
      <c r="E257" s="1" t="n">
        <v>0.0516194</v>
      </c>
      <c r="F257" s="1" t="n">
        <v>0.000140845</v>
      </c>
      <c r="G257" s="1" t="s">
        <v>27</v>
      </c>
      <c r="H257" s="1" t="n">
        <v>38.3</v>
      </c>
      <c r="I257" s="1" t="n">
        <v>321.8</v>
      </c>
      <c r="J257" s="1" t="n">
        <v>17.6</v>
      </c>
      <c r="K257" s="1"/>
      <c r="L257" s="1" t="n">
        <v>0</v>
      </c>
      <c r="M257" s="1" t="n">
        <v>0</v>
      </c>
      <c r="N257" s="1" t="s">
        <v>221</v>
      </c>
      <c r="Z257" s="0" t="n">
        <f aca="false">I257-28</f>
        <v>293.8</v>
      </c>
      <c r="AB257" s="0" t="n">
        <f aca="false">IF(Z257&lt;0,Z257+360,Z257+0)</f>
        <v>293.8</v>
      </c>
    </row>
    <row r="258" customFormat="false" ht="15.8" hidden="false" customHeight="false" outlineLevel="0" collapsed="false">
      <c r="A258" s="1" t="n">
        <v>8</v>
      </c>
      <c r="B258" s="1" t="n">
        <v>11</v>
      </c>
      <c r="C258" s="1" t="n">
        <v>1.1</v>
      </c>
      <c r="D258" s="1" t="n">
        <v>1.2502</v>
      </c>
      <c r="E258" s="1" t="n">
        <v>0.0376828</v>
      </c>
      <c r="F258" s="1" t="n">
        <v>0.000102819</v>
      </c>
      <c r="G258" s="1" t="s">
        <v>47</v>
      </c>
      <c r="H258" s="1" t="n">
        <v>55.9</v>
      </c>
      <c r="I258" s="1" t="n">
        <v>2.4</v>
      </c>
      <c r="J258" s="1" t="n">
        <v>24.9</v>
      </c>
      <c r="K258" s="1" t="n">
        <v>50.1</v>
      </c>
      <c r="L258" s="1" t="n">
        <v>0</v>
      </c>
      <c r="M258" s="1" t="n">
        <v>0</v>
      </c>
      <c r="N258" s="1" t="s">
        <v>222</v>
      </c>
      <c r="Z258" s="0" t="n">
        <f aca="false">I258-28</f>
        <v>-25.6</v>
      </c>
      <c r="AB258" s="0" t="n">
        <f aca="false">IF(Z258&lt;0,Z258+360,Z258+0)</f>
        <v>334.4</v>
      </c>
    </row>
    <row r="259" customFormat="false" ht="15.8" hidden="false" customHeight="false" outlineLevel="0" collapsed="false">
      <c r="A259" s="1" t="n">
        <v>8</v>
      </c>
      <c r="B259" s="1" t="n">
        <v>12</v>
      </c>
      <c r="C259" s="1" t="n">
        <v>1.7</v>
      </c>
      <c r="D259" s="1" t="n">
        <v>1.1833</v>
      </c>
      <c r="E259" s="1" t="n">
        <v>0.059552</v>
      </c>
      <c r="F259" s="1" t="n">
        <v>0.00016249</v>
      </c>
      <c r="G259" s="1" t="s">
        <v>27</v>
      </c>
      <c r="H259" s="1" t="n">
        <v>25</v>
      </c>
      <c r="I259" s="1" t="n">
        <v>206</v>
      </c>
      <c r="J259" s="1" t="n">
        <v>14.6</v>
      </c>
      <c r="K259" s="1"/>
      <c r="L259" s="1" t="n">
        <v>0</v>
      </c>
      <c r="M259" s="1" t="n">
        <v>0</v>
      </c>
      <c r="N259" s="1" t="s">
        <v>223</v>
      </c>
      <c r="Z259" s="0" t="n">
        <f aca="false">I259-28</f>
        <v>178</v>
      </c>
      <c r="AB259" s="0" t="n">
        <f aca="false">IF(Z259&lt;0,Z259+360,Z259+0)</f>
        <v>178</v>
      </c>
    </row>
    <row r="260" customFormat="false" ht="15.8" hidden="false" customHeight="false" outlineLevel="0" collapsed="false">
      <c r="A260" s="1" t="n">
        <v>8</v>
      </c>
      <c r="B260" s="1" t="n">
        <v>12</v>
      </c>
      <c r="C260" s="1" t="n">
        <v>1.8</v>
      </c>
      <c r="D260" s="1" t="n">
        <v>1.2011</v>
      </c>
      <c r="E260" s="1" t="n">
        <v>0.060014</v>
      </c>
      <c r="F260" s="1" t="n">
        <v>0.00016375</v>
      </c>
      <c r="G260" s="1" t="s">
        <v>27</v>
      </c>
      <c r="H260" s="1" t="n">
        <v>62.1</v>
      </c>
      <c r="I260" s="1" t="n">
        <v>149.3</v>
      </c>
      <c r="J260" s="1" t="n">
        <v>14.7</v>
      </c>
      <c r="K260" s="1"/>
      <c r="L260" s="1" t="n">
        <v>0</v>
      </c>
      <c r="M260" s="1" t="n">
        <v>0</v>
      </c>
      <c r="N260" s="1" t="s">
        <v>223</v>
      </c>
      <c r="Z260" s="0" t="n">
        <f aca="false">I260-28</f>
        <v>121.3</v>
      </c>
      <c r="AB260" s="0" t="n">
        <f aca="false">IF(Z260&lt;0,Z260+360,Z260+0)</f>
        <v>121.3</v>
      </c>
    </row>
    <row r="261" customFormat="false" ht="15.8" hidden="false" customHeight="false" outlineLevel="0" collapsed="false">
      <c r="A261" s="1" t="n">
        <v>8</v>
      </c>
      <c r="B261" s="1" t="n">
        <v>11</v>
      </c>
      <c r="C261" s="1" t="n">
        <v>2.4</v>
      </c>
      <c r="D261" s="1" t="n">
        <v>1.1475</v>
      </c>
      <c r="E261" s="1" t="n">
        <v>0.0810187</v>
      </c>
      <c r="F261" s="1" t="n">
        <v>0.000221062</v>
      </c>
      <c r="G261" s="1" t="s">
        <v>47</v>
      </c>
      <c r="H261" s="1" t="n">
        <v>105.7</v>
      </c>
      <c r="I261" s="1" t="n">
        <v>206.6</v>
      </c>
      <c r="J261" s="1" t="n">
        <v>-10.4</v>
      </c>
      <c r="K261" s="1" t="n">
        <v>62.1</v>
      </c>
      <c r="L261" s="1" t="n">
        <v>0</v>
      </c>
      <c r="M261" s="1" t="n">
        <v>0</v>
      </c>
      <c r="N261" s="1" t="s">
        <v>222</v>
      </c>
      <c r="Z261" s="0" t="n">
        <f aca="false">I261-28</f>
        <v>178.6</v>
      </c>
      <c r="AB261" s="0" t="n">
        <f aca="false">IF(Z261&lt;0,Z261+360,Z261+0)</f>
        <v>178.6</v>
      </c>
    </row>
    <row r="262" customFormat="false" ht="15.8" hidden="false" customHeight="false" outlineLevel="0" collapsed="false">
      <c r="A262" s="1" t="n">
        <v>8</v>
      </c>
      <c r="B262" s="1" t="n">
        <v>10</v>
      </c>
      <c r="C262" s="1" t="n">
        <v>1.7</v>
      </c>
      <c r="D262" s="1" t="n">
        <v>1.1239</v>
      </c>
      <c r="E262" s="1" t="n">
        <v>0.0456093</v>
      </c>
      <c r="F262" s="1" t="n">
        <v>0.000101314</v>
      </c>
      <c r="G262" s="1" t="s">
        <v>47</v>
      </c>
      <c r="H262" s="1" t="n">
        <v>77.7</v>
      </c>
      <c r="I262" s="1" t="n">
        <v>323.9</v>
      </c>
      <c r="J262" s="1" t="n">
        <v>77.9</v>
      </c>
      <c r="K262" s="1" t="n">
        <v>105.7</v>
      </c>
      <c r="L262" s="1" t="n">
        <v>0</v>
      </c>
      <c r="M262" s="1" t="n">
        <v>0</v>
      </c>
      <c r="N262" s="1" t="s">
        <v>224</v>
      </c>
      <c r="Z262" s="0" t="n">
        <f aca="false">I262-28</f>
        <v>295.9</v>
      </c>
      <c r="AB262" s="0" t="n">
        <f aca="false">IF(Z262&lt;0,Z262+360,Z262+0)</f>
        <v>295.9</v>
      </c>
    </row>
    <row r="263" customFormat="false" ht="15.8" hidden="false" customHeight="false" outlineLevel="0" collapsed="false">
      <c r="A263" s="1" t="n">
        <v>8</v>
      </c>
      <c r="B263" s="1" t="n">
        <v>10</v>
      </c>
      <c r="C263" s="1" t="n">
        <v>1.8</v>
      </c>
      <c r="D263" s="1" t="n">
        <v>1.1958</v>
      </c>
      <c r="E263" s="1" t="n">
        <v>0.0600324</v>
      </c>
      <c r="F263" s="1" t="n">
        <v>0.0001638</v>
      </c>
      <c r="G263" s="1" t="s">
        <v>27</v>
      </c>
      <c r="H263" s="1" t="n">
        <v>77.4</v>
      </c>
      <c r="I263" s="1" t="n">
        <v>101.3</v>
      </c>
      <c r="J263" s="1" t="n">
        <v>30.4</v>
      </c>
      <c r="K263" s="1"/>
      <c r="L263" s="1" t="n">
        <v>0</v>
      </c>
      <c r="M263" s="1" t="n">
        <v>0</v>
      </c>
      <c r="N263" s="1" t="s">
        <v>224</v>
      </c>
      <c r="Z263" s="0" t="n">
        <f aca="false">I263-28</f>
        <v>73.3</v>
      </c>
      <c r="AB263" s="0" t="n">
        <f aca="false">IF(Z263&lt;0,Z263+360,Z263+0)</f>
        <v>73.3</v>
      </c>
    </row>
    <row r="264" customFormat="false" ht="15.8" hidden="false" customHeight="false" outlineLevel="0" collapsed="false">
      <c r="A264" s="1" t="n">
        <v>8</v>
      </c>
      <c r="B264" s="1" t="n">
        <v>10</v>
      </c>
      <c r="C264" s="1" t="n">
        <v>5.2</v>
      </c>
      <c r="D264" s="1" t="n">
        <v>1.1833</v>
      </c>
      <c r="E264" s="1" t="n">
        <v>0.179514</v>
      </c>
      <c r="F264" s="1" t="n">
        <v>0.000489809</v>
      </c>
      <c r="G264" s="1" t="s">
        <v>27</v>
      </c>
      <c r="H264" s="1" t="n">
        <v>21</v>
      </c>
      <c r="I264" s="1" t="n">
        <v>26.5</v>
      </c>
      <c r="J264" s="1" t="n">
        <v>-14.5</v>
      </c>
      <c r="K264" s="1"/>
      <c r="L264" s="1" t="n">
        <v>0</v>
      </c>
      <c r="M264" s="1" t="n">
        <v>0</v>
      </c>
      <c r="N264" s="1" t="s">
        <v>224</v>
      </c>
      <c r="Z264" s="0" t="n">
        <f aca="false">I264-28</f>
        <v>-1.5</v>
      </c>
      <c r="AB264" s="0" t="n">
        <f aca="false">IF(Z264&lt;0,Z264+360,Z264+0)</f>
        <v>358.5</v>
      </c>
    </row>
    <row r="265" customFormat="false" ht="15.8" hidden="false" customHeight="false" outlineLevel="0" collapsed="false">
      <c r="A265" s="1" t="n">
        <v>8</v>
      </c>
      <c r="B265" s="1" t="n">
        <v>9</v>
      </c>
      <c r="C265" s="1" t="n">
        <v>3.8</v>
      </c>
      <c r="D265" s="1" t="n">
        <v>1.1055</v>
      </c>
      <c r="E265" s="1" t="n">
        <v>0.131934</v>
      </c>
      <c r="F265" s="1" t="n">
        <v>0.000359986</v>
      </c>
      <c r="G265" s="1" t="s">
        <v>47</v>
      </c>
      <c r="H265" s="1" t="n">
        <v>42.6</v>
      </c>
      <c r="I265" s="1" t="n">
        <v>22.4</v>
      </c>
      <c r="J265" s="1" t="n">
        <v>6.1</v>
      </c>
      <c r="K265" s="1" t="n">
        <v>77.7</v>
      </c>
      <c r="L265" s="1" t="n">
        <v>0</v>
      </c>
      <c r="M265" s="1" t="n">
        <v>0</v>
      </c>
      <c r="N265" s="1" t="s">
        <v>225</v>
      </c>
      <c r="Z265" s="0" t="n">
        <f aca="false">I265-28</f>
        <v>-5.6</v>
      </c>
      <c r="AB265" s="0" t="n">
        <f aca="false">IF(Z265&lt;0,Z265+360,Z265+0)</f>
        <v>354.4</v>
      </c>
    </row>
    <row r="266" customFormat="false" ht="15.8" hidden="false" customHeight="false" outlineLevel="0" collapsed="false">
      <c r="A266" s="1" t="n">
        <v>8</v>
      </c>
      <c r="B266" s="1" t="n">
        <v>10</v>
      </c>
      <c r="C266" s="1" t="n">
        <v>1.1</v>
      </c>
      <c r="D266" s="1" t="n">
        <v>1.1792</v>
      </c>
      <c r="E266" s="1" t="n">
        <v>0.0369364</v>
      </c>
      <c r="F266" s="1" t="n">
        <v>0.000100782</v>
      </c>
      <c r="G266" s="1" t="s">
        <v>27</v>
      </c>
      <c r="H266" s="1" t="n">
        <v>47.9</v>
      </c>
      <c r="I266" s="1" t="n">
        <v>186.8</v>
      </c>
      <c r="J266" s="1" t="n">
        <v>23.9</v>
      </c>
      <c r="K266" s="1"/>
      <c r="L266" s="1" t="n">
        <v>0</v>
      </c>
      <c r="M266" s="1" t="n">
        <v>0</v>
      </c>
      <c r="N266" s="1" t="s">
        <v>226</v>
      </c>
      <c r="Z266" s="0" t="n">
        <f aca="false">I266-28</f>
        <v>158.8</v>
      </c>
      <c r="AB266" s="0" t="n">
        <f aca="false">IF(Z266&lt;0,Z266+360,Z266+0)</f>
        <v>158.8</v>
      </c>
    </row>
    <row r="267" customFormat="false" ht="15.8" hidden="false" customHeight="false" outlineLevel="0" collapsed="false">
      <c r="A267" s="1" t="n">
        <v>8</v>
      </c>
      <c r="B267" s="1" t="n">
        <v>12</v>
      </c>
      <c r="C267" s="1" t="n">
        <v>7.1</v>
      </c>
      <c r="D267" s="1" t="n">
        <v>1.1085</v>
      </c>
      <c r="E267" s="1" t="n">
        <v>0.243123</v>
      </c>
      <c r="F267" s="1" t="n">
        <v>0.000663368</v>
      </c>
      <c r="G267" s="1" t="s">
        <v>27</v>
      </c>
      <c r="H267" s="1" t="n">
        <v>29.6</v>
      </c>
      <c r="I267" s="1" t="n">
        <v>215.5</v>
      </c>
      <c r="J267" s="1" t="n">
        <v>6.6</v>
      </c>
      <c r="K267" s="1"/>
      <c r="L267" s="1" t="n">
        <v>0</v>
      </c>
      <c r="M267" s="1" t="n">
        <v>0</v>
      </c>
      <c r="N267" s="1" t="s">
        <v>227</v>
      </c>
      <c r="Z267" s="0" t="n">
        <f aca="false">I267-28</f>
        <v>187.5</v>
      </c>
      <c r="AB267" s="0" t="n">
        <f aca="false">IF(Z267&lt;0,Z267+360,Z267+0)</f>
        <v>187.5</v>
      </c>
    </row>
    <row r="268" customFormat="false" ht="15.8" hidden="false" customHeight="false" outlineLevel="0" collapsed="false">
      <c r="A268" s="1" t="n">
        <v>8</v>
      </c>
      <c r="B268" s="1" t="n">
        <v>13</v>
      </c>
      <c r="C268" s="1" t="n">
        <v>2.5</v>
      </c>
      <c r="D268" s="1" t="n">
        <v>1.2657</v>
      </c>
      <c r="E268" s="1" t="n">
        <v>0.0853937</v>
      </c>
      <c r="F268" s="1" t="n">
        <v>0.000233</v>
      </c>
      <c r="G268" s="1" t="s">
        <v>27</v>
      </c>
      <c r="H268" s="1" t="n">
        <v>58.5</v>
      </c>
      <c r="I268" s="1" t="n">
        <v>186.5</v>
      </c>
      <c r="J268" s="1" t="n">
        <v>70.1</v>
      </c>
      <c r="K268" s="1"/>
      <c r="L268" s="1" t="n">
        <v>0</v>
      </c>
      <c r="M268" s="1" t="n">
        <v>0</v>
      </c>
      <c r="N268" s="1" t="s">
        <v>228</v>
      </c>
      <c r="Z268" s="0" t="n">
        <f aca="false">I268-28</f>
        <v>158.5</v>
      </c>
      <c r="AB268" s="0" t="n">
        <f aca="false">IF(Z268&lt;0,Z268+360,Z268+0)</f>
        <v>158.5</v>
      </c>
    </row>
    <row r="269" customFormat="false" ht="15.8" hidden="false" customHeight="false" outlineLevel="0" collapsed="false">
      <c r="A269" s="1" t="n">
        <v>8</v>
      </c>
      <c r="B269" s="1" t="n">
        <v>13</v>
      </c>
      <c r="C269" s="1" t="n">
        <v>6.6</v>
      </c>
      <c r="D269" s="1" t="n">
        <v>1.2795</v>
      </c>
      <c r="E269" s="1" t="n">
        <v>0.227231</v>
      </c>
      <c r="F269" s="1" t="n">
        <v>0.000620007</v>
      </c>
      <c r="G269" s="1" t="s">
        <v>27</v>
      </c>
      <c r="H269" s="1" t="n">
        <v>26.4</v>
      </c>
      <c r="I269" s="1" t="n">
        <v>182.6</v>
      </c>
      <c r="J269" s="1" t="n">
        <v>34.9</v>
      </c>
      <c r="K269" s="1"/>
      <c r="L269" s="1" t="n">
        <v>0</v>
      </c>
      <c r="M269" s="1" t="n">
        <v>0</v>
      </c>
      <c r="N269" s="1" t="s">
        <v>228</v>
      </c>
      <c r="Z269" s="0" t="n">
        <f aca="false">I269-28</f>
        <v>154.6</v>
      </c>
      <c r="AB269" s="0" t="n">
        <f aca="false">IF(Z269&lt;0,Z269+360,Z269+0)</f>
        <v>154.6</v>
      </c>
    </row>
    <row r="270" customFormat="false" ht="15.8" hidden="false" customHeight="false" outlineLevel="0" collapsed="false">
      <c r="A270" s="1" t="n">
        <v>8</v>
      </c>
      <c r="B270" s="1" t="n">
        <v>12</v>
      </c>
      <c r="C270" s="1" t="n">
        <v>5.6</v>
      </c>
      <c r="D270" s="1" t="n">
        <v>1.1365</v>
      </c>
      <c r="E270" s="1" t="n">
        <v>0.192658</v>
      </c>
      <c r="F270" s="1" t="n">
        <v>0.000525673</v>
      </c>
      <c r="G270" s="1" t="s">
        <v>47</v>
      </c>
      <c r="H270" s="1" t="n">
        <v>23.9</v>
      </c>
      <c r="I270" s="1" t="n">
        <v>166.4</v>
      </c>
      <c r="J270" s="1" t="n">
        <v>13</v>
      </c>
      <c r="K270" s="1" t="n">
        <v>58.5</v>
      </c>
      <c r="L270" s="1" t="n">
        <v>0</v>
      </c>
      <c r="M270" s="1" t="n">
        <v>0</v>
      </c>
      <c r="N270" s="1" t="s">
        <v>227</v>
      </c>
      <c r="Z270" s="0" t="n">
        <f aca="false">I270-28</f>
        <v>138.4</v>
      </c>
      <c r="AB270" s="0" t="n">
        <f aca="false">IF(Z270&lt;0,Z270+360,Z270+0)</f>
        <v>138.4</v>
      </c>
    </row>
    <row r="271" customFormat="false" ht="15.8" hidden="false" customHeight="false" outlineLevel="0" collapsed="false">
      <c r="A271" s="1" t="n">
        <v>8</v>
      </c>
      <c r="B271" s="1" t="n">
        <v>11</v>
      </c>
      <c r="C271" s="1" t="n">
        <v>1.2</v>
      </c>
      <c r="D271" s="1" t="n">
        <v>1.0045</v>
      </c>
      <c r="E271" s="1" t="n">
        <v>0.0423835</v>
      </c>
      <c r="F271" s="1" t="n">
        <v>0.000115645</v>
      </c>
      <c r="G271" s="1" t="s">
        <v>47</v>
      </c>
      <c r="H271" s="1" t="n">
        <v>66.4</v>
      </c>
      <c r="I271" s="1" t="n">
        <v>186.6</v>
      </c>
      <c r="J271" s="1" t="n">
        <v>0</v>
      </c>
      <c r="K271" s="1" t="n">
        <v>29.6</v>
      </c>
      <c r="L271" s="1" t="n">
        <v>0</v>
      </c>
      <c r="M271" s="1" t="n">
        <v>0</v>
      </c>
      <c r="N271" s="1" t="s">
        <v>229</v>
      </c>
      <c r="Z271" s="0" t="n">
        <f aca="false">I271-28</f>
        <v>158.6</v>
      </c>
      <c r="AB271" s="0" t="n">
        <f aca="false">IF(Z271&lt;0,Z271+360,Z271+0)</f>
        <v>158.6</v>
      </c>
    </row>
    <row r="272" customFormat="false" ht="15.8" hidden="false" customHeight="false" outlineLevel="0" collapsed="false">
      <c r="A272" s="1" t="n">
        <v>8</v>
      </c>
      <c r="B272" s="1" t="n">
        <v>13</v>
      </c>
      <c r="C272" s="1" t="n">
        <v>1.1</v>
      </c>
      <c r="D272" s="1" t="n">
        <v>1.1557</v>
      </c>
      <c r="E272" s="1" t="n">
        <v>0.0362797</v>
      </c>
      <c r="F272" s="1" t="n">
        <v>9.89902E-005</v>
      </c>
      <c r="G272" s="1" t="s">
        <v>27</v>
      </c>
      <c r="H272" s="1" t="n">
        <v>58.2</v>
      </c>
      <c r="I272" s="1" t="n">
        <v>211.8</v>
      </c>
      <c r="J272" s="1" t="n">
        <v>53.9</v>
      </c>
      <c r="K272" s="1"/>
      <c r="L272" s="1" t="n">
        <v>0</v>
      </c>
      <c r="M272" s="1" t="n">
        <v>0</v>
      </c>
      <c r="N272" s="1" t="s">
        <v>230</v>
      </c>
      <c r="Z272" s="0" t="n">
        <f aca="false">I272-28</f>
        <v>183.8</v>
      </c>
      <c r="AB272" s="0" t="n">
        <f aca="false">IF(Z272&lt;0,Z272+360,Z272+0)</f>
        <v>183.8</v>
      </c>
    </row>
    <row r="273" customFormat="false" ht="15.8" hidden="false" customHeight="false" outlineLevel="0" collapsed="false">
      <c r="A273" s="1" t="n">
        <v>8</v>
      </c>
      <c r="B273" s="1" t="n">
        <v>13</v>
      </c>
      <c r="C273" s="1" t="n">
        <v>1.6</v>
      </c>
      <c r="D273" s="1" t="n">
        <v>1.2952</v>
      </c>
      <c r="E273" s="1" t="n">
        <v>0.0558955</v>
      </c>
      <c r="F273" s="1" t="n">
        <v>0.000152513</v>
      </c>
      <c r="G273" s="1" t="s">
        <v>27</v>
      </c>
      <c r="H273" s="1" t="n">
        <v>36.9</v>
      </c>
      <c r="I273" s="1" t="n">
        <v>86.4</v>
      </c>
      <c r="J273" s="1" t="n">
        <v>17.1</v>
      </c>
      <c r="K273" s="1"/>
      <c r="L273" s="1" t="n">
        <v>0</v>
      </c>
      <c r="M273" s="1" t="n">
        <v>0</v>
      </c>
      <c r="N273" s="1" t="s">
        <v>230</v>
      </c>
      <c r="Z273" s="0" t="n">
        <f aca="false">I273-28</f>
        <v>58.4</v>
      </c>
      <c r="AB273" s="0" t="n">
        <f aca="false">IF(Z273&lt;0,Z273+360,Z273+0)</f>
        <v>58.4</v>
      </c>
    </row>
    <row r="274" customFormat="false" ht="15.8" hidden="false" customHeight="false" outlineLevel="0" collapsed="false">
      <c r="A274" s="1" t="n">
        <v>8</v>
      </c>
      <c r="B274" s="1" t="n">
        <v>12</v>
      </c>
      <c r="C274" s="1" t="n">
        <v>7.1</v>
      </c>
      <c r="D274" s="1" t="n">
        <v>1.4322</v>
      </c>
      <c r="E274" s="1" t="n">
        <v>0.243398</v>
      </c>
      <c r="F274" s="1" t="n">
        <v>0.000664118</v>
      </c>
      <c r="G274" s="1" t="s">
        <v>47</v>
      </c>
      <c r="H274" s="1" t="n">
        <v>41.2</v>
      </c>
      <c r="I274" s="1" t="n">
        <v>110.5</v>
      </c>
      <c r="J274" s="1" t="n">
        <v>48.3</v>
      </c>
      <c r="K274" s="1" t="n">
        <v>58.2</v>
      </c>
      <c r="L274" s="1" t="n">
        <v>0</v>
      </c>
      <c r="M274" s="1" t="n">
        <v>0</v>
      </c>
      <c r="N274" s="1" t="s">
        <v>231</v>
      </c>
      <c r="Z274" s="0" t="n">
        <f aca="false">I274-28</f>
        <v>82.5</v>
      </c>
      <c r="AB274" s="0" t="n">
        <f aca="false">IF(Z274&lt;0,Z274+360,Z274+0)</f>
        <v>82.5</v>
      </c>
    </row>
    <row r="275" customFormat="false" ht="15.8" hidden="false" customHeight="false" outlineLevel="0" collapsed="false">
      <c r="A275" s="1" t="n">
        <v>8</v>
      </c>
      <c r="B275" s="1" t="n">
        <v>13</v>
      </c>
      <c r="C275" s="1" t="n">
        <v>1.9</v>
      </c>
      <c r="D275" s="1" t="n">
        <v>1.0527</v>
      </c>
      <c r="E275" s="1" t="n">
        <v>0.0667363</v>
      </c>
      <c r="F275" s="1" t="n">
        <v>0.000182092</v>
      </c>
      <c r="G275" s="1" t="s">
        <v>27</v>
      </c>
      <c r="H275" s="1" t="n">
        <v>78.4</v>
      </c>
      <c r="I275" s="1" t="n">
        <v>334.9</v>
      </c>
      <c r="J275" s="1" t="n">
        <v>-53.2</v>
      </c>
      <c r="K275" s="1"/>
      <c r="L275" s="1" t="n">
        <v>0</v>
      </c>
      <c r="M275" s="1" t="n">
        <v>0</v>
      </c>
      <c r="N275" s="1" t="s">
        <v>232</v>
      </c>
      <c r="Z275" s="0" t="n">
        <f aca="false">I275-28</f>
        <v>306.9</v>
      </c>
      <c r="AB275" s="0" t="n">
        <f aca="false">IF(Z275&lt;0,Z275+360,Z275+0)</f>
        <v>306.9</v>
      </c>
    </row>
    <row r="276" customFormat="false" ht="15.8" hidden="false" customHeight="false" outlineLevel="0" collapsed="false">
      <c r="A276" s="1" t="n">
        <v>8</v>
      </c>
      <c r="B276" s="1" t="n">
        <v>14</v>
      </c>
      <c r="C276" s="1" t="n">
        <v>3.8</v>
      </c>
      <c r="D276" s="1" t="n">
        <v>1.0809</v>
      </c>
      <c r="E276" s="1" t="n">
        <v>0.129723</v>
      </c>
      <c r="F276" s="1" t="n">
        <v>0.000353953</v>
      </c>
      <c r="G276" s="1" t="s">
        <v>27</v>
      </c>
      <c r="H276" s="1" t="n">
        <v>78.7</v>
      </c>
      <c r="I276" s="1" t="n">
        <v>150.3</v>
      </c>
      <c r="J276" s="1" t="n">
        <v>6.1</v>
      </c>
      <c r="K276" s="1"/>
      <c r="L276" s="1" t="n">
        <v>0</v>
      </c>
      <c r="M276" s="1" t="n">
        <v>0</v>
      </c>
      <c r="N276" s="1" t="s">
        <v>233</v>
      </c>
      <c r="Z276" s="0" t="n">
        <f aca="false">I276-28</f>
        <v>122.3</v>
      </c>
      <c r="AB276" s="0" t="n">
        <f aca="false">IF(Z276&lt;0,Z276+360,Z276+0)</f>
        <v>122.3</v>
      </c>
    </row>
    <row r="277" customFormat="false" ht="15.8" hidden="false" customHeight="false" outlineLevel="0" collapsed="false">
      <c r="A277" s="1" t="n">
        <v>8</v>
      </c>
      <c r="B277" s="1" t="n">
        <v>14</v>
      </c>
      <c r="C277" s="1" t="n">
        <v>7.5</v>
      </c>
      <c r="D277" s="1" t="n">
        <v>1.3421</v>
      </c>
      <c r="E277" s="1" t="n">
        <v>0.257809</v>
      </c>
      <c r="F277" s="1" t="n">
        <v>0.000703439</v>
      </c>
      <c r="G277" s="1" t="s">
        <v>27</v>
      </c>
      <c r="H277" s="1" t="n">
        <v>26.2</v>
      </c>
      <c r="I277" s="1" t="n">
        <v>40</v>
      </c>
      <c r="J277" s="1" t="n">
        <v>31.9</v>
      </c>
      <c r="K277" s="1"/>
      <c r="L277" s="1" t="n">
        <v>0</v>
      </c>
      <c r="M277" s="1" t="n">
        <v>0</v>
      </c>
      <c r="N277" s="1" t="s">
        <v>233</v>
      </c>
      <c r="Z277" s="0" t="n">
        <f aca="false">I277-28</f>
        <v>12</v>
      </c>
      <c r="AB277" s="0" t="n">
        <f aca="false">IF(Z277&lt;0,Z277+360,Z277+0)</f>
        <v>12</v>
      </c>
    </row>
    <row r="278" customFormat="false" ht="15.8" hidden="false" customHeight="false" outlineLevel="0" collapsed="false">
      <c r="A278" s="1" t="n">
        <v>8</v>
      </c>
      <c r="B278" s="1" t="n">
        <v>13</v>
      </c>
      <c r="C278" s="1" t="n">
        <v>3.7</v>
      </c>
      <c r="D278" s="1" t="n">
        <v>1.3782</v>
      </c>
      <c r="E278" s="1" t="n">
        <v>0.12823</v>
      </c>
      <c r="F278" s="1" t="n">
        <v>0.000349881</v>
      </c>
      <c r="G278" s="1" t="s">
        <v>47</v>
      </c>
      <c r="H278" s="1" t="n">
        <v>49.1</v>
      </c>
      <c r="I278" s="1" t="n">
        <v>70.1</v>
      </c>
      <c r="J278" s="1" t="n">
        <v>43</v>
      </c>
      <c r="K278" s="1" t="n">
        <v>78.7</v>
      </c>
      <c r="L278" s="1" t="n">
        <v>0</v>
      </c>
      <c r="M278" s="1" t="n">
        <v>0</v>
      </c>
      <c r="N278" s="1" t="s">
        <v>232</v>
      </c>
      <c r="Z278" s="0" t="n">
        <f aca="false">I278-28</f>
        <v>42.1</v>
      </c>
      <c r="AB278" s="0" t="n">
        <f aca="false">IF(Z278&lt;0,Z278+360,Z278+0)</f>
        <v>42.1</v>
      </c>
    </row>
    <row r="279" customFormat="false" ht="15.8" hidden="false" customHeight="false" outlineLevel="0" collapsed="false">
      <c r="A279" s="1" t="n">
        <v>8</v>
      </c>
      <c r="B279" s="1" t="n">
        <v>12</v>
      </c>
      <c r="C279" s="1" t="n">
        <v>1.9</v>
      </c>
      <c r="D279" s="1" t="n">
        <v>1.1295</v>
      </c>
      <c r="E279" s="1" t="n">
        <v>0.0660516</v>
      </c>
      <c r="F279" s="1" t="n">
        <v>0.000180224</v>
      </c>
      <c r="G279" s="1" t="s">
        <v>47</v>
      </c>
      <c r="H279" s="1" t="n">
        <v>36.5</v>
      </c>
      <c r="I279" s="1" t="n">
        <v>25.2</v>
      </c>
      <c r="J279" s="1" t="n">
        <v>12.5</v>
      </c>
      <c r="K279" s="1" t="n">
        <v>78.4</v>
      </c>
      <c r="L279" s="1" t="n">
        <v>0</v>
      </c>
      <c r="M279" s="1" t="n">
        <v>0</v>
      </c>
      <c r="N279" s="1" t="s">
        <v>231</v>
      </c>
      <c r="Z279" s="0" t="n">
        <f aca="false">I279-28</f>
        <v>-2.8</v>
      </c>
      <c r="AB279" s="0" t="n">
        <f aca="false">IF(Z279&lt;0,Z279+360,Z279+0)</f>
        <v>357.2</v>
      </c>
    </row>
    <row r="280" customFormat="false" ht="15.8" hidden="false" customHeight="false" outlineLevel="0" collapsed="false">
      <c r="A280" s="1" t="n">
        <v>8</v>
      </c>
      <c r="B280" s="1" t="n">
        <v>11</v>
      </c>
      <c r="C280" s="1" t="n">
        <v>4.5</v>
      </c>
      <c r="D280" s="1" t="n">
        <v>1.245</v>
      </c>
      <c r="E280" s="1" t="n">
        <v>0.153901</v>
      </c>
      <c r="F280" s="1" t="n">
        <v>0.000419925</v>
      </c>
      <c r="G280" s="1" t="s">
        <v>47</v>
      </c>
      <c r="H280" s="1" t="n">
        <v>56.1</v>
      </c>
      <c r="I280" s="1" t="n">
        <v>54.5</v>
      </c>
      <c r="J280" s="1" t="n">
        <v>38</v>
      </c>
      <c r="K280" s="1" t="n">
        <v>41.2</v>
      </c>
      <c r="L280" s="1" t="n">
        <v>0</v>
      </c>
      <c r="M280" s="1" t="n">
        <v>0</v>
      </c>
      <c r="N280" s="1" t="s">
        <v>229</v>
      </c>
      <c r="Z280" s="0" t="n">
        <f aca="false">I280-28</f>
        <v>26.5</v>
      </c>
      <c r="AB280" s="0" t="n">
        <f aca="false">IF(Z280&lt;0,Z280+360,Z280+0)</f>
        <v>26.5</v>
      </c>
    </row>
    <row r="281" customFormat="false" ht="15.8" hidden="false" customHeight="false" outlineLevel="0" collapsed="false">
      <c r="A281" s="1" t="n">
        <v>8</v>
      </c>
      <c r="B281" s="1" t="n">
        <v>10</v>
      </c>
      <c r="C281" s="1" t="n">
        <v>3.5</v>
      </c>
      <c r="D281" s="1" t="n">
        <v>1.1963</v>
      </c>
      <c r="E281" s="1" t="n">
        <v>0.120441</v>
      </c>
      <c r="F281" s="1" t="n">
        <v>0.000328627</v>
      </c>
      <c r="G281" s="1" t="s">
        <v>47</v>
      </c>
      <c r="H281" s="1" t="n">
        <v>49.8</v>
      </c>
      <c r="I281" s="1" t="n">
        <v>134.3</v>
      </c>
      <c r="J281" s="1" t="n">
        <v>49.1</v>
      </c>
      <c r="K281" s="1" t="n">
        <v>66.4</v>
      </c>
      <c r="L281" s="1" t="n">
        <v>0</v>
      </c>
      <c r="M281" s="1" t="n">
        <v>0</v>
      </c>
      <c r="N281" s="1" t="s">
        <v>226</v>
      </c>
      <c r="Z281" s="0" t="n">
        <f aca="false">I281-28</f>
        <v>106.3</v>
      </c>
      <c r="AB281" s="0" t="n">
        <f aca="false">IF(Z281&lt;0,Z281+360,Z281+0)</f>
        <v>106.3</v>
      </c>
    </row>
    <row r="282" customFormat="false" ht="15.8" hidden="false" customHeight="false" outlineLevel="0" collapsed="false">
      <c r="A282" s="1" t="n">
        <v>8</v>
      </c>
      <c r="B282" s="1" t="n">
        <v>9</v>
      </c>
      <c r="C282" s="1" t="n">
        <v>1</v>
      </c>
      <c r="D282" s="1" t="n">
        <v>1.0132</v>
      </c>
      <c r="E282" s="1" t="n">
        <v>0.034735</v>
      </c>
      <c r="F282" s="1" t="n">
        <v>9.47755E-005</v>
      </c>
      <c r="G282" s="1" t="s">
        <v>47</v>
      </c>
      <c r="H282" s="1" t="n">
        <v>91.2</v>
      </c>
      <c r="I282" s="1" t="n">
        <v>143.9</v>
      </c>
      <c r="J282" s="1" t="n">
        <v>0</v>
      </c>
      <c r="K282" s="1" t="n">
        <v>49.8</v>
      </c>
      <c r="L282" s="1" t="n">
        <v>0</v>
      </c>
      <c r="M282" s="1" t="n">
        <v>0</v>
      </c>
      <c r="N282" s="1" t="s">
        <v>225</v>
      </c>
      <c r="Z282" s="0" t="n">
        <f aca="false">I282-28</f>
        <v>115.9</v>
      </c>
      <c r="AB282" s="0" t="n">
        <f aca="false">IF(Z282&lt;0,Z282+360,Z282+0)</f>
        <v>115.9</v>
      </c>
    </row>
    <row r="283" customFormat="false" ht="15.8" hidden="false" customHeight="false" outlineLevel="0" collapsed="false">
      <c r="A283" s="1" t="n">
        <v>8</v>
      </c>
      <c r="B283" s="1" t="n">
        <v>8</v>
      </c>
      <c r="C283" s="1" t="n">
        <v>1.5</v>
      </c>
      <c r="D283" s="1" t="n">
        <v>1.2932</v>
      </c>
      <c r="E283" s="1" t="n">
        <v>0.05202</v>
      </c>
      <c r="F283" s="1" t="n">
        <v>0.000141938</v>
      </c>
      <c r="G283" s="1" t="s">
        <v>47</v>
      </c>
      <c r="H283" s="1" t="n">
        <v>38.8</v>
      </c>
      <c r="I283" s="1" t="n">
        <v>52.3</v>
      </c>
      <c r="J283" s="1" t="n">
        <v>39.1</v>
      </c>
      <c r="K283" s="1" t="n">
        <v>91.2</v>
      </c>
      <c r="L283" s="1" t="n">
        <v>0</v>
      </c>
      <c r="M283" s="1" t="n">
        <v>0</v>
      </c>
      <c r="N283" s="1" t="s">
        <v>234</v>
      </c>
      <c r="Z283" s="0" t="n">
        <f aca="false">I283-28</f>
        <v>24.3</v>
      </c>
      <c r="AB283" s="0" t="n">
        <f aca="false">IF(Z283&lt;0,Z283+360,Z283+0)</f>
        <v>24.3</v>
      </c>
    </row>
    <row r="284" customFormat="false" ht="15.8" hidden="false" customHeight="false" outlineLevel="0" collapsed="false">
      <c r="A284" s="1" t="n">
        <v>8</v>
      </c>
      <c r="B284" s="1" t="n">
        <v>8</v>
      </c>
      <c r="C284" s="1" t="n">
        <v>3.3</v>
      </c>
      <c r="D284" s="1" t="n">
        <v>1.6185</v>
      </c>
      <c r="E284" s="1" t="n">
        <v>0.114089</v>
      </c>
      <c r="F284" s="1" t="n">
        <v>0.000311296</v>
      </c>
      <c r="G284" s="1" t="s">
        <v>27</v>
      </c>
      <c r="H284" s="1" t="n">
        <v>74.6</v>
      </c>
      <c r="I284" s="1" t="n">
        <v>177.4</v>
      </c>
      <c r="J284" s="1" t="n">
        <v>32.7</v>
      </c>
      <c r="K284" s="1"/>
      <c r="L284" s="1" t="n">
        <v>0</v>
      </c>
      <c r="M284" s="1" t="n">
        <v>0</v>
      </c>
      <c r="N284" s="1" t="s">
        <v>234</v>
      </c>
      <c r="Z284" s="0" t="n">
        <f aca="false">I284-28</f>
        <v>149.4</v>
      </c>
      <c r="AB284" s="0" t="n">
        <f aca="false">IF(Z284&lt;0,Z284+360,Z284+0)</f>
        <v>149.4</v>
      </c>
    </row>
    <row r="285" customFormat="false" ht="15.8" hidden="false" customHeight="false" outlineLevel="0" collapsed="false">
      <c r="A285" s="1" t="n">
        <v>8</v>
      </c>
      <c r="B285" s="1" t="n">
        <v>9</v>
      </c>
      <c r="C285" s="1" t="n">
        <v>1.9</v>
      </c>
      <c r="D285" s="1" t="n">
        <v>1.4525</v>
      </c>
      <c r="E285" s="1" t="n">
        <v>0.0635875</v>
      </c>
      <c r="F285" s="1" t="n">
        <v>0.000173501</v>
      </c>
      <c r="G285" s="1" t="s">
        <v>27</v>
      </c>
      <c r="H285" s="1" t="n">
        <v>100.8</v>
      </c>
      <c r="I285" s="1" t="n">
        <v>254.8</v>
      </c>
      <c r="J285" s="1" t="n">
        <v>35.4</v>
      </c>
      <c r="K285" s="1"/>
      <c r="L285" s="1" t="n">
        <v>0</v>
      </c>
      <c r="M285" s="1" t="n">
        <v>0</v>
      </c>
      <c r="N285" s="1" t="s">
        <v>235</v>
      </c>
      <c r="Z285" s="0" t="n">
        <f aca="false">I285-28</f>
        <v>226.8</v>
      </c>
      <c r="AB285" s="0" t="n">
        <f aca="false">IF(Z285&lt;0,Z285+360,Z285+0)</f>
        <v>226.8</v>
      </c>
    </row>
    <row r="286" customFormat="false" ht="15.8" hidden="false" customHeight="false" outlineLevel="0" collapsed="false">
      <c r="A286" s="1" t="n">
        <v>8</v>
      </c>
      <c r="B286" s="1" t="n">
        <v>10</v>
      </c>
      <c r="C286" s="1" t="n">
        <v>1.3</v>
      </c>
      <c r="D286" s="1" t="n">
        <v>1.1442</v>
      </c>
      <c r="E286" s="1" t="n">
        <v>0.0451411</v>
      </c>
      <c r="F286" s="1" t="n">
        <v>0.000123169</v>
      </c>
      <c r="G286" s="1" t="s">
        <v>27</v>
      </c>
      <c r="H286" s="1" t="n">
        <v>40.7</v>
      </c>
      <c r="I286" s="1" t="n">
        <v>47.8</v>
      </c>
      <c r="J286" s="1" t="n">
        <v>-18.8</v>
      </c>
      <c r="K286" s="1"/>
      <c r="L286" s="1" t="n">
        <v>0</v>
      </c>
      <c r="M286" s="1" t="n">
        <v>0</v>
      </c>
      <c r="N286" s="1" t="s">
        <v>236</v>
      </c>
      <c r="Z286" s="0" t="n">
        <f aca="false">I286-28</f>
        <v>19.8</v>
      </c>
      <c r="AB286" s="0" t="n">
        <f aca="false">IF(Z286&lt;0,Z286+360,Z286+0)</f>
        <v>19.8</v>
      </c>
    </row>
    <row r="287" customFormat="false" ht="15.8" hidden="false" customHeight="false" outlineLevel="0" collapsed="false">
      <c r="A287" s="1" t="n">
        <v>8</v>
      </c>
      <c r="B287" s="1" t="n">
        <v>10</v>
      </c>
      <c r="C287" s="1" t="n">
        <v>1.1</v>
      </c>
      <c r="D287" s="1" t="n">
        <v>1.1251</v>
      </c>
      <c r="E287" s="1" t="n">
        <v>0.0393133</v>
      </c>
      <c r="F287" s="1" t="n">
        <v>0.000107268</v>
      </c>
      <c r="G287" s="1" t="s">
        <v>27</v>
      </c>
      <c r="H287" s="1" t="n">
        <v>23.6</v>
      </c>
      <c r="I287" s="1" t="n">
        <v>0.7</v>
      </c>
      <c r="J287" s="1" t="n">
        <v>-21.3</v>
      </c>
      <c r="K287" s="1"/>
      <c r="L287" s="1" t="n">
        <v>0</v>
      </c>
      <c r="M287" s="1" t="n">
        <v>0</v>
      </c>
      <c r="N287" s="1" t="s">
        <v>236</v>
      </c>
      <c r="Z287" s="0" t="n">
        <f aca="false">I287-28</f>
        <v>-27.3</v>
      </c>
      <c r="AB287" s="0" t="n">
        <f aca="false">IF(Z287&lt;0,Z287+360,Z287+0)</f>
        <v>332.7</v>
      </c>
    </row>
    <row r="288" customFormat="false" ht="15.8" hidden="false" customHeight="false" outlineLevel="0" collapsed="false">
      <c r="A288" s="1" t="n">
        <v>8</v>
      </c>
      <c r="B288" s="1" t="n">
        <v>10</v>
      </c>
      <c r="C288" s="1" t="n">
        <v>2.3</v>
      </c>
      <c r="D288" s="1" t="n">
        <v>1.132</v>
      </c>
      <c r="E288" s="1" t="n">
        <v>0.0792918</v>
      </c>
      <c r="F288" s="1" t="n">
        <v>0.00021635</v>
      </c>
      <c r="G288" s="1" t="s">
        <v>27</v>
      </c>
      <c r="H288" s="1" t="n">
        <v>87.7</v>
      </c>
      <c r="I288" s="1" t="n">
        <v>284.4</v>
      </c>
      <c r="J288" s="1" t="n">
        <v>-46.4</v>
      </c>
      <c r="K288" s="1"/>
      <c r="L288" s="1" t="n">
        <v>0</v>
      </c>
      <c r="M288" s="1" t="n">
        <v>0</v>
      </c>
      <c r="N288" s="1" t="s">
        <v>236</v>
      </c>
      <c r="Z288" s="0" t="n">
        <f aca="false">I288-28</f>
        <v>256.4</v>
      </c>
      <c r="AB288" s="0" t="n">
        <f aca="false">IF(Z288&lt;0,Z288+360,Z288+0)</f>
        <v>256.4</v>
      </c>
    </row>
    <row r="289" customFormat="false" ht="15.8" hidden="false" customHeight="false" outlineLevel="0" collapsed="false">
      <c r="A289" s="1" t="n">
        <v>8</v>
      </c>
      <c r="B289" s="1" t="n">
        <v>9</v>
      </c>
      <c r="C289" s="1" t="n">
        <v>0.8</v>
      </c>
      <c r="D289" s="1" t="n">
        <v>1.0081</v>
      </c>
      <c r="E289" s="1" t="n">
        <v>0.0257473</v>
      </c>
      <c r="F289" s="1" t="n">
        <v>7.02524E-005</v>
      </c>
      <c r="G289" s="1" t="s">
        <v>47</v>
      </c>
      <c r="H289" s="1" t="n">
        <v>32.9</v>
      </c>
      <c r="I289" s="1" t="n">
        <v>11</v>
      </c>
      <c r="J289" s="1" t="n">
        <v>0</v>
      </c>
      <c r="K289" s="1" t="n">
        <v>87.7</v>
      </c>
      <c r="L289" s="1" t="n">
        <v>0</v>
      </c>
      <c r="M289" s="1" t="n">
        <v>0</v>
      </c>
      <c r="N289" s="1" t="s">
        <v>235</v>
      </c>
      <c r="Z289" s="0" t="n">
        <f aca="false">I289-28</f>
        <v>-17</v>
      </c>
      <c r="AB289" s="0" t="n">
        <f aca="false">IF(Z289&lt;0,Z289+360,Z289+0)</f>
        <v>343</v>
      </c>
    </row>
    <row r="290" customFormat="false" ht="15.8" hidden="false" customHeight="false" outlineLevel="0" collapsed="false">
      <c r="A290" s="1" t="n">
        <v>8</v>
      </c>
      <c r="B290" s="1" t="n">
        <v>8</v>
      </c>
      <c r="C290" s="1" t="n">
        <v>3.7</v>
      </c>
      <c r="D290" s="1" t="n">
        <v>1.127</v>
      </c>
      <c r="E290" s="1" t="n">
        <v>0.12649</v>
      </c>
      <c r="F290" s="1" t="n">
        <v>0.000345132</v>
      </c>
      <c r="G290" s="1" t="s">
        <v>47</v>
      </c>
      <c r="H290" s="1" t="n">
        <v>113.6</v>
      </c>
      <c r="I290" s="1" t="n">
        <v>344.1</v>
      </c>
      <c r="J290" s="1" t="n">
        <v>-19.8</v>
      </c>
      <c r="K290" s="1" t="n">
        <v>100.8</v>
      </c>
      <c r="L290" s="1" t="n">
        <v>0</v>
      </c>
      <c r="M290" s="1" t="n">
        <v>0</v>
      </c>
      <c r="N290" s="1" t="s">
        <v>234</v>
      </c>
      <c r="Z290" s="0" t="n">
        <f aca="false">I290-28</f>
        <v>316.1</v>
      </c>
      <c r="AB290" s="0" t="n">
        <f aca="false">IF(Z290&lt;0,Z290+360,Z290+0)</f>
        <v>316.1</v>
      </c>
    </row>
    <row r="291" customFormat="false" ht="15.8" hidden="false" customHeight="false" outlineLevel="0" collapsed="false">
      <c r="A291" s="1" t="n">
        <v>8</v>
      </c>
      <c r="B291" s="1" t="n">
        <v>7</v>
      </c>
      <c r="C291" s="1" t="n">
        <v>1.2</v>
      </c>
      <c r="D291" s="1" t="n">
        <v>1.1449</v>
      </c>
      <c r="E291" s="1" t="n">
        <v>0.0404393</v>
      </c>
      <c r="F291" s="1" t="n">
        <v>0.00011034</v>
      </c>
      <c r="G291" s="1" t="s">
        <v>47</v>
      </c>
      <c r="H291" s="1" t="n">
        <v>54.5</v>
      </c>
      <c r="I291" s="1" t="n">
        <v>92.6</v>
      </c>
      <c r="J291" s="1" t="n">
        <v>21</v>
      </c>
      <c r="K291" s="1" t="n">
        <v>113.6</v>
      </c>
      <c r="L291" s="1" t="n">
        <v>0</v>
      </c>
      <c r="M291" s="1" t="n">
        <v>0</v>
      </c>
      <c r="N291" s="1" t="s">
        <v>237</v>
      </c>
      <c r="Z291" s="0" t="n">
        <f aca="false">I291-28</f>
        <v>64.6</v>
      </c>
      <c r="AB291" s="0" t="n">
        <f aca="false">IF(Z291&lt;0,Z291+360,Z291+0)</f>
        <v>64.6</v>
      </c>
    </row>
    <row r="292" customFormat="false" ht="15.8" hidden="false" customHeight="false" outlineLevel="0" collapsed="false">
      <c r="A292" s="1" t="n">
        <v>8</v>
      </c>
      <c r="B292" s="1" t="n">
        <v>9</v>
      </c>
      <c r="C292" s="1" t="n">
        <v>0.5</v>
      </c>
      <c r="D292" s="1" t="n">
        <v>1.0125</v>
      </c>
      <c r="E292" s="1" t="n">
        <v>0.0188114</v>
      </c>
      <c r="F292" s="1" t="n">
        <v>5.13274E-005</v>
      </c>
      <c r="G292" s="1" t="s">
        <v>27</v>
      </c>
      <c r="H292" s="1" t="n">
        <v>36.3</v>
      </c>
      <c r="I292" s="1" t="n">
        <v>304.3</v>
      </c>
      <c r="J292" s="1" t="n">
        <v>0</v>
      </c>
      <c r="K292" s="1"/>
      <c r="L292" s="1" t="n">
        <v>0</v>
      </c>
      <c r="M292" s="1" t="n">
        <v>0</v>
      </c>
      <c r="N292" s="1" t="s">
        <v>238</v>
      </c>
      <c r="Z292" s="0" t="n">
        <f aca="false">I292-28</f>
        <v>276.3</v>
      </c>
      <c r="AB292" s="0" t="n">
        <f aca="false">IF(Z292&lt;0,Z292+360,Z292+0)</f>
        <v>276.3</v>
      </c>
    </row>
    <row r="293" customFormat="false" ht="15.8" hidden="false" customHeight="false" outlineLevel="0" collapsed="false">
      <c r="A293" s="1" t="n">
        <v>8</v>
      </c>
      <c r="B293" s="1" t="n">
        <v>9</v>
      </c>
      <c r="C293" s="1" t="n">
        <v>0.8</v>
      </c>
      <c r="D293" s="1" t="n">
        <v>1.1995</v>
      </c>
      <c r="E293" s="1" t="n">
        <v>0.0287924</v>
      </c>
      <c r="F293" s="1" t="n">
        <v>7.85609E-005</v>
      </c>
      <c r="G293" s="1" t="s">
        <v>27</v>
      </c>
      <c r="H293" s="1" t="n">
        <v>112.3</v>
      </c>
      <c r="I293" s="1" t="n">
        <v>172.6</v>
      </c>
      <c r="J293" s="1" t="n">
        <v>31.9</v>
      </c>
      <c r="K293" s="1"/>
      <c r="L293" s="1" t="n">
        <v>0</v>
      </c>
      <c r="M293" s="1" t="n">
        <v>0</v>
      </c>
      <c r="N293" s="1" t="s">
        <v>238</v>
      </c>
      <c r="Z293" s="0" t="n">
        <f aca="false">I293-28</f>
        <v>144.6</v>
      </c>
      <c r="AB293" s="0" t="n">
        <f aca="false">IF(Z293&lt;0,Z293+360,Z293+0)</f>
        <v>144.6</v>
      </c>
    </row>
    <row r="294" customFormat="false" ht="15.8" hidden="false" customHeight="false" outlineLevel="0" collapsed="false">
      <c r="A294" s="1" t="n">
        <v>8</v>
      </c>
      <c r="B294" s="1" t="n">
        <v>8</v>
      </c>
      <c r="C294" s="1" t="n">
        <v>0.8</v>
      </c>
      <c r="D294" s="1" t="n">
        <v>1.1359</v>
      </c>
      <c r="E294" s="1" t="n">
        <v>0.0283478</v>
      </c>
      <c r="F294" s="1" t="n">
        <v>7.7348E-005</v>
      </c>
      <c r="G294" s="1" t="s">
        <v>47</v>
      </c>
      <c r="H294" s="1" t="n">
        <v>99.8</v>
      </c>
      <c r="I294" s="1" t="n">
        <v>324.9</v>
      </c>
      <c r="J294" s="1" t="n">
        <v>30.6</v>
      </c>
      <c r="K294" s="1" t="n">
        <v>112.3</v>
      </c>
      <c r="L294" s="1" t="n">
        <v>0</v>
      </c>
      <c r="M294" s="1" t="n">
        <v>0</v>
      </c>
      <c r="N294" s="1" t="s">
        <v>239</v>
      </c>
      <c r="Z294" s="0" t="n">
        <f aca="false">I294-28</f>
        <v>296.9</v>
      </c>
      <c r="AB294" s="0" t="n">
        <f aca="false">IF(Z294&lt;0,Z294+360,Z294+0)</f>
        <v>296.9</v>
      </c>
    </row>
    <row r="295" customFormat="false" ht="15.8" hidden="false" customHeight="false" outlineLevel="0" collapsed="false">
      <c r="A295" s="1" t="n">
        <v>8</v>
      </c>
      <c r="B295" s="1" t="n">
        <v>8</v>
      </c>
      <c r="C295" s="1" t="n">
        <v>1.6</v>
      </c>
      <c r="D295" s="1" t="n">
        <v>1.1558</v>
      </c>
      <c r="E295" s="1" t="n">
        <v>0.0547757</v>
      </c>
      <c r="F295" s="1" t="n">
        <v>0.000149457</v>
      </c>
      <c r="G295" s="1" t="s">
        <v>27</v>
      </c>
      <c r="H295" s="1" t="n">
        <v>14.3</v>
      </c>
      <c r="I295" s="1" t="n">
        <v>220.3</v>
      </c>
      <c r="J295" s="1" t="n">
        <v>15.5</v>
      </c>
      <c r="K295" s="1"/>
      <c r="L295" s="1" t="n">
        <v>0</v>
      </c>
      <c r="M295" s="1" t="n">
        <v>0</v>
      </c>
      <c r="N295" s="1" t="s">
        <v>239</v>
      </c>
      <c r="Z295" s="0" t="n">
        <f aca="false">I295-28</f>
        <v>192.3</v>
      </c>
      <c r="AB295" s="0" t="n">
        <f aca="false">IF(Z295&lt;0,Z295+360,Z295+0)</f>
        <v>192.3</v>
      </c>
    </row>
    <row r="296" customFormat="false" ht="15.8" hidden="false" customHeight="false" outlineLevel="0" collapsed="false">
      <c r="A296" s="1" t="n">
        <v>8</v>
      </c>
      <c r="B296" s="1" t="n">
        <v>9</v>
      </c>
      <c r="C296" s="1" t="n">
        <v>0.8</v>
      </c>
      <c r="D296" s="1" t="n">
        <v>1.163</v>
      </c>
      <c r="E296" s="1" t="n">
        <v>0.0268799</v>
      </c>
      <c r="F296" s="1" t="n">
        <v>7.33426E-005</v>
      </c>
      <c r="G296" s="1" t="s">
        <v>27</v>
      </c>
      <c r="H296" s="1" t="n">
        <v>58.6</v>
      </c>
      <c r="I296" s="1" t="n">
        <v>211.5</v>
      </c>
      <c r="J296" s="1" t="n">
        <v>-33.3</v>
      </c>
      <c r="K296" s="1"/>
      <c r="L296" s="1" t="n">
        <v>0</v>
      </c>
      <c r="M296" s="1" t="n">
        <v>0</v>
      </c>
      <c r="N296" s="1" t="s">
        <v>240</v>
      </c>
      <c r="Z296" s="0" t="n">
        <f aca="false">I296-28</f>
        <v>183.5</v>
      </c>
      <c r="AB296" s="0" t="n">
        <f aca="false">IF(Z296&lt;0,Z296+360,Z296+0)</f>
        <v>183.5</v>
      </c>
    </row>
    <row r="297" customFormat="false" ht="15.8" hidden="false" customHeight="false" outlineLevel="0" collapsed="false">
      <c r="A297" s="1" t="n">
        <v>8</v>
      </c>
      <c r="B297" s="1" t="n">
        <v>10</v>
      </c>
      <c r="C297" s="1" t="n">
        <v>9.2</v>
      </c>
      <c r="D297" s="1" t="n">
        <v>1.2995</v>
      </c>
      <c r="E297" s="1" t="n">
        <v>0.314782</v>
      </c>
      <c r="F297" s="1" t="n">
        <v>0.000858892</v>
      </c>
      <c r="G297" s="1" t="s">
        <v>27</v>
      </c>
      <c r="H297" s="1" t="n">
        <v>36.3</v>
      </c>
      <c r="I297" s="1" t="n">
        <v>230.1</v>
      </c>
      <c r="J297" s="1" t="n">
        <v>15.2</v>
      </c>
      <c r="K297" s="1"/>
      <c r="L297" s="1" t="n">
        <v>0</v>
      </c>
      <c r="M297" s="1" t="n">
        <v>0</v>
      </c>
      <c r="N297" s="1" t="s">
        <v>241</v>
      </c>
      <c r="Z297" s="0" t="n">
        <f aca="false">I297-28</f>
        <v>202.1</v>
      </c>
      <c r="AB297" s="0" t="n">
        <f aca="false">IF(Z297&lt;0,Z297+360,Z297+0)</f>
        <v>202.1</v>
      </c>
    </row>
    <row r="298" customFormat="false" ht="15.8" hidden="false" customHeight="false" outlineLevel="0" collapsed="false">
      <c r="A298" s="1" t="n">
        <v>8</v>
      </c>
      <c r="B298" s="1" t="n">
        <v>11</v>
      </c>
      <c r="C298" s="1" t="n">
        <v>1.4</v>
      </c>
      <c r="D298" s="1" t="n">
        <v>1.1851</v>
      </c>
      <c r="E298" s="1" t="n">
        <v>0.0490801</v>
      </c>
      <c r="F298" s="1" t="n">
        <v>0.000133916</v>
      </c>
      <c r="G298" s="1" t="s">
        <v>27</v>
      </c>
      <c r="H298" s="1" t="n">
        <v>91.2</v>
      </c>
      <c r="I298" s="1" t="n">
        <v>84.1</v>
      </c>
      <c r="J298" s="1" t="n">
        <v>37.8</v>
      </c>
      <c r="K298" s="1"/>
      <c r="L298" s="1" t="n">
        <v>0</v>
      </c>
      <c r="M298" s="1" t="n">
        <v>0</v>
      </c>
      <c r="N298" s="1" t="s">
        <v>242</v>
      </c>
      <c r="Z298" s="0" t="n">
        <f aca="false">I298-28</f>
        <v>56.1</v>
      </c>
      <c r="AB298" s="0" t="n">
        <f aca="false">IF(Z298&lt;0,Z298+360,Z298+0)</f>
        <v>56.1</v>
      </c>
    </row>
    <row r="299" customFormat="false" ht="15.8" hidden="false" customHeight="false" outlineLevel="0" collapsed="false">
      <c r="A299" s="1" t="n">
        <v>8</v>
      </c>
      <c r="B299" s="1" t="n">
        <v>11</v>
      </c>
      <c r="C299" s="1" t="n">
        <v>2.9</v>
      </c>
      <c r="D299" s="1" t="n">
        <v>1.2465</v>
      </c>
      <c r="E299" s="1" t="n">
        <v>0.0994714</v>
      </c>
      <c r="F299" s="1" t="n">
        <v>0.000271411</v>
      </c>
      <c r="G299" s="1" t="s">
        <v>27</v>
      </c>
      <c r="H299" s="1" t="n">
        <v>1.7</v>
      </c>
      <c r="I299" s="1" t="n">
        <v>173.8</v>
      </c>
      <c r="J299" s="1" t="n">
        <v>0</v>
      </c>
      <c r="K299" s="1"/>
      <c r="L299" s="1" t="n">
        <v>0</v>
      </c>
      <c r="M299" s="1" t="n">
        <v>0</v>
      </c>
      <c r="N299" s="1" t="s">
        <v>242</v>
      </c>
      <c r="Z299" s="0" t="n">
        <f aca="false">I299-28</f>
        <v>145.8</v>
      </c>
      <c r="AB299" s="0" t="n">
        <f aca="false">IF(Z299&lt;0,Z299+360,Z299+0)</f>
        <v>145.8</v>
      </c>
    </row>
    <row r="300" customFormat="false" ht="15.8" hidden="false" customHeight="false" outlineLevel="0" collapsed="false">
      <c r="A300" s="1" t="n">
        <v>8</v>
      </c>
      <c r="B300" s="1" t="n">
        <v>12</v>
      </c>
      <c r="C300" s="1" t="n">
        <v>2.6</v>
      </c>
      <c r="D300" s="1" t="n">
        <v>1.2624</v>
      </c>
      <c r="E300" s="1" t="n">
        <v>0.0892662</v>
      </c>
      <c r="F300" s="1" t="n">
        <v>0.000243566</v>
      </c>
      <c r="G300" s="1" t="s">
        <v>27</v>
      </c>
      <c r="H300" s="1" t="n">
        <v>73.4</v>
      </c>
      <c r="I300" s="1" t="n">
        <v>101.4</v>
      </c>
      <c r="J300" s="1" t="n">
        <v>45.9</v>
      </c>
      <c r="K300" s="1"/>
      <c r="L300" s="1" t="n">
        <v>0</v>
      </c>
      <c r="M300" s="1" t="n">
        <v>0</v>
      </c>
      <c r="N300" s="1" t="s">
        <v>243</v>
      </c>
      <c r="Z300" s="0" t="n">
        <f aca="false">I300-28</f>
        <v>73.4</v>
      </c>
      <c r="AB300" s="0" t="n">
        <f aca="false">IF(Z300&lt;0,Z300+360,Z300+0)</f>
        <v>73.4</v>
      </c>
    </row>
    <row r="301" customFormat="false" ht="15.8" hidden="false" customHeight="false" outlineLevel="0" collapsed="false">
      <c r="A301" s="1" t="n">
        <v>8</v>
      </c>
      <c r="B301" s="1" t="n">
        <v>13</v>
      </c>
      <c r="C301" s="1" t="n">
        <v>1.7</v>
      </c>
      <c r="D301" s="1" t="n">
        <v>1.223</v>
      </c>
      <c r="E301" s="1" t="n">
        <v>0.0566229</v>
      </c>
      <c r="F301" s="1" t="n">
        <v>0.000154497</v>
      </c>
      <c r="G301" s="1" t="s">
        <v>27</v>
      </c>
      <c r="H301" s="1" t="n">
        <v>69</v>
      </c>
      <c r="I301" s="1" t="n">
        <v>275.5</v>
      </c>
      <c r="J301" s="1" t="n">
        <v>-33.2</v>
      </c>
      <c r="K301" s="1"/>
      <c r="L301" s="1" t="n">
        <v>0</v>
      </c>
      <c r="M301" s="1" t="n">
        <v>0</v>
      </c>
      <c r="N301" s="1" t="s">
        <v>244</v>
      </c>
      <c r="Z301" s="0" t="n">
        <f aca="false">I301-28</f>
        <v>247.5</v>
      </c>
      <c r="AB301" s="0" t="n">
        <f aca="false">IF(Z301&lt;0,Z301+360,Z301+0)</f>
        <v>247.5</v>
      </c>
    </row>
    <row r="302" customFormat="false" ht="15.8" hidden="false" customHeight="false" outlineLevel="0" collapsed="false">
      <c r="A302" s="1" t="n">
        <v>8</v>
      </c>
      <c r="B302" s="1" t="n">
        <v>13</v>
      </c>
      <c r="C302" s="1" t="n">
        <v>3.7</v>
      </c>
      <c r="D302" s="1" t="n">
        <v>1.144</v>
      </c>
      <c r="E302" s="1" t="n">
        <v>0.126181</v>
      </c>
      <c r="F302" s="1" t="n">
        <v>0.000344289</v>
      </c>
      <c r="G302" s="1" t="s">
        <v>27</v>
      </c>
      <c r="H302" s="1" t="n">
        <v>29.5</v>
      </c>
      <c r="I302" s="1" t="n">
        <v>184.4</v>
      </c>
      <c r="J302" s="1" t="n">
        <v>13.3</v>
      </c>
      <c r="K302" s="1"/>
      <c r="L302" s="1" t="n">
        <v>0</v>
      </c>
      <c r="M302" s="1" t="n">
        <v>0</v>
      </c>
      <c r="N302" s="1" t="s">
        <v>244</v>
      </c>
      <c r="Z302" s="0" t="n">
        <f aca="false">I302-28</f>
        <v>156.4</v>
      </c>
      <c r="AB302" s="0" t="n">
        <f aca="false">IF(Z302&lt;0,Z302+360,Z302+0)</f>
        <v>156.4</v>
      </c>
    </row>
    <row r="303" customFormat="false" ht="15.8" hidden="false" customHeight="false" outlineLevel="0" collapsed="false">
      <c r="A303" s="1" t="n">
        <v>8</v>
      </c>
      <c r="B303" s="1" t="n">
        <v>12</v>
      </c>
      <c r="C303" s="1" t="n">
        <v>0.3</v>
      </c>
      <c r="D303" s="1" t="n">
        <v>1.017</v>
      </c>
      <c r="E303" s="1" t="n">
        <v>0.0110956</v>
      </c>
      <c r="F303" s="1" t="n">
        <v>3.02746E-005</v>
      </c>
      <c r="G303" s="1" t="s">
        <v>47</v>
      </c>
      <c r="H303" s="1" t="n">
        <v>37.6</v>
      </c>
      <c r="I303" s="1" t="n">
        <v>211</v>
      </c>
      <c r="J303" s="1" t="n">
        <v>0</v>
      </c>
      <c r="K303" s="1" t="n">
        <v>69</v>
      </c>
      <c r="L303" s="1" t="n">
        <v>0</v>
      </c>
      <c r="M303" s="1" t="n">
        <v>0</v>
      </c>
      <c r="N303" s="1" t="s">
        <v>243</v>
      </c>
      <c r="Z303" s="0" t="n">
        <f aca="false">I303-28</f>
        <v>183</v>
      </c>
      <c r="AB303" s="0" t="n">
        <f aca="false">IF(Z303&lt;0,Z303+360,Z303+0)</f>
        <v>183</v>
      </c>
    </row>
    <row r="304" customFormat="false" ht="15.8" hidden="false" customHeight="false" outlineLevel="0" collapsed="false">
      <c r="A304" s="1" t="n">
        <v>8</v>
      </c>
      <c r="B304" s="1" t="n">
        <v>11</v>
      </c>
      <c r="C304" s="1" t="n">
        <v>3.8</v>
      </c>
      <c r="D304" s="1" t="n">
        <v>1.2492</v>
      </c>
      <c r="E304" s="1" t="n">
        <v>0.130344</v>
      </c>
      <c r="F304" s="1" t="n">
        <v>0.000355649</v>
      </c>
      <c r="G304" s="1" t="s">
        <v>47</v>
      </c>
      <c r="H304" s="1" t="n">
        <v>47.4</v>
      </c>
      <c r="I304" s="1" t="n">
        <v>207.1</v>
      </c>
      <c r="J304" s="1" t="n">
        <v>37.4</v>
      </c>
      <c r="K304" s="1" t="n">
        <v>73.4</v>
      </c>
      <c r="L304" s="1" t="n">
        <v>0</v>
      </c>
      <c r="M304" s="1" t="n">
        <v>0</v>
      </c>
      <c r="N304" s="1" t="s">
        <v>242</v>
      </c>
      <c r="Z304" s="0" t="n">
        <f aca="false">I304-28</f>
        <v>179.1</v>
      </c>
      <c r="AB304" s="0" t="n">
        <f aca="false">IF(Z304&lt;0,Z304+360,Z304+0)</f>
        <v>179.1</v>
      </c>
    </row>
    <row r="305" customFormat="false" ht="15.8" hidden="false" customHeight="false" outlineLevel="0" collapsed="false">
      <c r="A305" s="1" t="n">
        <v>8</v>
      </c>
      <c r="B305" s="1" t="n">
        <v>10</v>
      </c>
      <c r="C305" s="1" t="n">
        <v>3.6</v>
      </c>
      <c r="D305" s="1" t="n">
        <v>1.0965</v>
      </c>
      <c r="E305" s="1" t="n">
        <v>0.121827</v>
      </c>
      <c r="F305" s="1" t="n">
        <v>0.00033241</v>
      </c>
      <c r="G305" s="1" t="s">
        <v>47</v>
      </c>
      <c r="H305" s="1" t="n">
        <v>89.1</v>
      </c>
      <c r="I305" s="1" t="n">
        <v>175.6</v>
      </c>
      <c r="J305" s="1" t="n">
        <v>0</v>
      </c>
      <c r="K305" s="1" t="n">
        <v>91.2</v>
      </c>
      <c r="L305" s="1" t="n">
        <v>0</v>
      </c>
      <c r="M305" s="1" t="n">
        <v>0</v>
      </c>
      <c r="N305" s="1" t="s">
        <v>241</v>
      </c>
      <c r="Z305" s="0" t="n">
        <f aca="false">I305-28</f>
        <v>147.6</v>
      </c>
      <c r="AB305" s="0" t="n">
        <f aca="false">IF(Z305&lt;0,Z305+360,Z305+0)</f>
        <v>147.6</v>
      </c>
    </row>
    <row r="306" customFormat="false" ht="15.8" hidden="false" customHeight="false" outlineLevel="0" collapsed="false">
      <c r="A306" s="1" t="n">
        <v>8</v>
      </c>
      <c r="B306" s="1" t="n">
        <v>9</v>
      </c>
      <c r="C306" s="1" t="n">
        <v>5.5</v>
      </c>
      <c r="D306" s="1" t="n">
        <v>1.3883</v>
      </c>
      <c r="E306" s="1" t="n">
        <v>0.188484</v>
      </c>
      <c r="F306" s="1" t="n">
        <v>0.000514285</v>
      </c>
      <c r="G306" s="1" t="s">
        <v>47</v>
      </c>
      <c r="H306" s="1" t="n">
        <v>34.1</v>
      </c>
      <c r="I306" s="1" t="n">
        <v>264.5</v>
      </c>
      <c r="J306" s="1" t="n">
        <v>34.1</v>
      </c>
      <c r="K306" s="1" t="n">
        <v>89.1</v>
      </c>
      <c r="L306" s="1" t="n">
        <v>0</v>
      </c>
      <c r="M306" s="1" t="n">
        <v>0</v>
      </c>
      <c r="N306" s="1" t="s">
        <v>240</v>
      </c>
      <c r="Z306" s="0" t="n">
        <f aca="false">I306-28</f>
        <v>236.5</v>
      </c>
      <c r="AB306" s="0" t="n">
        <f aca="false">IF(Z306&lt;0,Z306+360,Z306+0)</f>
        <v>236.5</v>
      </c>
    </row>
    <row r="307" customFormat="false" ht="15.8" hidden="false" customHeight="false" outlineLevel="0" collapsed="false">
      <c r="A307" s="1" t="n">
        <v>8</v>
      </c>
      <c r="B307" s="1" t="n">
        <v>8</v>
      </c>
      <c r="C307" s="1" t="n">
        <v>1.5</v>
      </c>
      <c r="D307" s="1" t="n">
        <v>1.5176</v>
      </c>
      <c r="E307" s="1" t="n">
        <v>0.0514916</v>
      </c>
      <c r="F307" s="1" t="n">
        <v>0.000140496</v>
      </c>
      <c r="G307" s="1" t="s">
        <v>47</v>
      </c>
      <c r="H307" s="1" t="n">
        <v>58.7</v>
      </c>
      <c r="I307" s="1" t="n">
        <v>263</v>
      </c>
      <c r="J307" s="1" t="n">
        <v>0</v>
      </c>
      <c r="K307" s="1" t="n">
        <v>58.6</v>
      </c>
      <c r="L307" s="1" t="n">
        <v>0</v>
      </c>
      <c r="M307" s="1" t="n">
        <v>0</v>
      </c>
      <c r="N307" s="1" t="s">
        <v>239</v>
      </c>
      <c r="Z307" s="0" t="n">
        <f aca="false">I307-28</f>
        <v>235</v>
      </c>
      <c r="AB307" s="0" t="n">
        <f aca="false">IF(Z307&lt;0,Z307+360,Z307+0)</f>
        <v>235</v>
      </c>
    </row>
    <row r="308" customFormat="false" ht="15.8" hidden="false" customHeight="false" outlineLevel="0" collapsed="false">
      <c r="A308" s="1" t="n">
        <v>8</v>
      </c>
      <c r="B308" s="1" t="n">
        <v>7</v>
      </c>
      <c r="C308" s="1" t="n">
        <v>1.9</v>
      </c>
      <c r="D308" s="1" t="n">
        <v>1.9551</v>
      </c>
      <c r="E308" s="1" t="n">
        <v>0.0638077</v>
      </c>
      <c r="F308" s="1" t="n">
        <v>0.000174101</v>
      </c>
      <c r="G308" s="1" t="s">
        <v>47</v>
      </c>
      <c r="H308" s="1" t="n">
        <v>58.4</v>
      </c>
      <c r="I308" s="1" t="n">
        <v>207.3</v>
      </c>
      <c r="J308" s="1" t="n">
        <v>22.9</v>
      </c>
      <c r="K308" s="1" t="n">
        <v>99.8</v>
      </c>
      <c r="L308" s="1" t="n">
        <v>0</v>
      </c>
      <c r="M308" s="1" t="n">
        <v>0</v>
      </c>
      <c r="N308" s="1" t="s">
        <v>237</v>
      </c>
      <c r="Z308" s="0" t="n">
        <f aca="false">I308-28</f>
        <v>179.3</v>
      </c>
      <c r="AB308" s="0" t="n">
        <f aca="false">IF(Z308&lt;0,Z308+360,Z308+0)</f>
        <v>179.3</v>
      </c>
    </row>
    <row r="309" customFormat="false" ht="15.8" hidden="false" customHeight="false" outlineLevel="0" collapsed="false">
      <c r="A309" s="1" t="n">
        <v>8</v>
      </c>
      <c r="B309" s="1" t="n">
        <v>6</v>
      </c>
      <c r="C309" s="1" t="n">
        <v>0.9</v>
      </c>
      <c r="D309" s="1" t="n">
        <v>1.0816</v>
      </c>
      <c r="E309" s="1" t="n">
        <v>0.0304531</v>
      </c>
      <c r="F309" s="1" t="n">
        <v>8.30922E-005</v>
      </c>
      <c r="G309" s="1" t="s">
        <v>47</v>
      </c>
      <c r="H309" s="1" t="n">
        <v>15.6</v>
      </c>
      <c r="I309" s="1" t="n">
        <v>143</v>
      </c>
      <c r="J309" s="1" t="n">
        <v>64.3</v>
      </c>
      <c r="K309" s="1" t="n">
        <v>58.4</v>
      </c>
      <c r="L309" s="1" t="n">
        <v>0</v>
      </c>
      <c r="M309" s="1" t="n">
        <v>0</v>
      </c>
      <c r="N309" s="1" t="s">
        <v>212</v>
      </c>
      <c r="Z309" s="0" t="n">
        <f aca="false">I309-28</f>
        <v>115</v>
      </c>
      <c r="AB309" s="0" t="n">
        <f aca="false">IF(Z309&lt;0,Z309+360,Z309+0)</f>
        <v>115</v>
      </c>
    </row>
    <row r="310" customFormat="false" ht="15.8" hidden="false" customHeight="false" outlineLevel="0" collapsed="false">
      <c r="A310" s="1" t="n">
        <v>8</v>
      </c>
      <c r="B310" s="1" t="n">
        <v>5</v>
      </c>
      <c r="C310" s="1" t="n">
        <v>1.1</v>
      </c>
      <c r="D310" s="1" t="n">
        <v>1.1032</v>
      </c>
      <c r="E310" s="1" t="n">
        <v>0.0371147</v>
      </c>
      <c r="F310" s="1" t="n">
        <v>0.000101269</v>
      </c>
      <c r="G310" s="1" t="s">
        <v>47</v>
      </c>
      <c r="H310" s="1" t="n">
        <v>36.6</v>
      </c>
      <c r="I310" s="1" t="n">
        <v>148.2</v>
      </c>
      <c r="J310" s="1" t="n">
        <v>49</v>
      </c>
      <c r="K310" s="1" t="n">
        <v>88.1</v>
      </c>
      <c r="L310" s="1" t="n">
        <v>0</v>
      </c>
      <c r="M310" s="1" t="n">
        <v>0</v>
      </c>
      <c r="N310" s="1" t="s">
        <v>245</v>
      </c>
      <c r="Z310" s="0" t="n">
        <f aca="false">I310-28</f>
        <v>120.2</v>
      </c>
      <c r="AB310" s="0" t="n">
        <f aca="false">IF(Z310&lt;0,Z310+360,Z310+0)</f>
        <v>120.2</v>
      </c>
    </row>
    <row r="311" customFormat="false" ht="15.8" hidden="false" customHeight="false" outlineLevel="0" collapsed="false">
      <c r="A311" s="1" t="n">
        <v>8</v>
      </c>
      <c r="B311" s="1" t="n">
        <v>6</v>
      </c>
      <c r="C311" s="1" t="n">
        <v>1.1</v>
      </c>
      <c r="D311" s="1" t="n">
        <v>1.128</v>
      </c>
      <c r="E311" s="1" t="n">
        <v>0.0385799</v>
      </c>
      <c r="F311" s="1" t="n">
        <v>0.000105267</v>
      </c>
      <c r="G311" s="1" t="s">
        <v>27</v>
      </c>
      <c r="H311" s="1" t="n">
        <v>100.7</v>
      </c>
      <c r="I311" s="1" t="n">
        <v>214.4</v>
      </c>
      <c r="J311" s="1" t="n">
        <v>-21.8</v>
      </c>
      <c r="K311" s="1"/>
      <c r="L311" s="1" t="n">
        <v>0</v>
      </c>
      <c r="M311" s="1" t="n">
        <v>0</v>
      </c>
      <c r="N311" s="1" t="s">
        <v>246</v>
      </c>
      <c r="Z311" s="0" t="n">
        <f aca="false">I311-28</f>
        <v>186.4</v>
      </c>
      <c r="AB311" s="0" t="n">
        <f aca="false">IF(Z311&lt;0,Z311+360,Z311+0)</f>
        <v>186.4</v>
      </c>
    </row>
    <row r="312" customFormat="false" ht="15.8" hidden="false" customHeight="false" outlineLevel="0" collapsed="false">
      <c r="A312" s="1" t="n">
        <v>8</v>
      </c>
      <c r="B312" s="1" t="n">
        <v>7</v>
      </c>
      <c r="C312" s="1" t="n">
        <v>2.2</v>
      </c>
      <c r="D312" s="1" t="n">
        <v>1.272</v>
      </c>
      <c r="E312" s="1" t="n">
        <v>0.0769799</v>
      </c>
      <c r="F312" s="1" t="n">
        <v>0.000210042</v>
      </c>
      <c r="G312" s="1" t="s">
        <v>27</v>
      </c>
      <c r="H312" s="1" t="n">
        <v>84.9</v>
      </c>
      <c r="I312" s="1" t="n">
        <v>219.5</v>
      </c>
      <c r="J312" s="1" t="n">
        <v>39</v>
      </c>
      <c r="K312" s="1"/>
      <c r="L312" s="1" t="n">
        <v>0</v>
      </c>
      <c r="M312" s="1" t="n">
        <v>0</v>
      </c>
      <c r="N312" s="1" t="s">
        <v>247</v>
      </c>
      <c r="Z312" s="0" t="n">
        <f aca="false">I312-28</f>
        <v>191.5</v>
      </c>
      <c r="AB312" s="0" t="n">
        <f aca="false">IF(Z312&lt;0,Z312+360,Z312+0)</f>
        <v>191.5</v>
      </c>
    </row>
    <row r="313" customFormat="false" ht="15.8" hidden="false" customHeight="false" outlineLevel="0" collapsed="false">
      <c r="A313" s="1" t="n">
        <v>8</v>
      </c>
      <c r="B313" s="1" t="n">
        <v>8</v>
      </c>
      <c r="C313" s="1" t="n">
        <v>0.9</v>
      </c>
      <c r="D313" s="1" t="n">
        <v>1.1608</v>
      </c>
      <c r="E313" s="1" t="n">
        <v>0.0321741</v>
      </c>
      <c r="F313" s="1" t="n">
        <v>8.77881E-005</v>
      </c>
      <c r="G313" s="1" t="s">
        <v>27</v>
      </c>
      <c r="H313" s="1" t="n">
        <v>45.7</v>
      </c>
      <c r="I313" s="1" t="n">
        <v>48.1</v>
      </c>
      <c r="J313" s="1" t="n">
        <v>-27.2</v>
      </c>
      <c r="K313" s="1"/>
      <c r="L313" s="1" t="n">
        <v>0</v>
      </c>
      <c r="M313" s="1" t="n">
        <v>0</v>
      </c>
      <c r="N313" s="1" t="s">
        <v>248</v>
      </c>
      <c r="Z313" s="0" t="n">
        <f aca="false">I313-28</f>
        <v>20.1</v>
      </c>
      <c r="AB313" s="0" t="n">
        <f aca="false">IF(Z313&lt;0,Z313+360,Z313+0)</f>
        <v>20.1</v>
      </c>
    </row>
    <row r="314" customFormat="false" ht="15.8" hidden="false" customHeight="false" outlineLevel="0" collapsed="false">
      <c r="A314" s="1" t="n">
        <v>8</v>
      </c>
      <c r="B314" s="1" t="n">
        <v>8</v>
      </c>
      <c r="C314" s="1" t="n">
        <v>0.6</v>
      </c>
      <c r="D314" s="1" t="n">
        <v>1.0172</v>
      </c>
      <c r="E314" s="1" t="n">
        <v>0.0189632</v>
      </c>
      <c r="F314" s="1" t="n">
        <v>5.17418E-005</v>
      </c>
      <c r="G314" s="1" t="s">
        <v>27</v>
      </c>
      <c r="H314" s="1" t="n">
        <v>61.4</v>
      </c>
      <c r="I314" s="1" t="n">
        <v>308.5</v>
      </c>
      <c r="J314" s="1" t="n">
        <v>0</v>
      </c>
      <c r="K314" s="1"/>
      <c r="L314" s="1" t="n">
        <v>0</v>
      </c>
      <c r="M314" s="1" t="n">
        <v>0</v>
      </c>
      <c r="N314" s="1" t="s">
        <v>248</v>
      </c>
      <c r="Z314" s="0" t="n">
        <f aca="false">I314-28</f>
        <v>280.5</v>
      </c>
      <c r="AB314" s="0" t="n">
        <f aca="false">IF(Z314&lt;0,Z314+360,Z314+0)</f>
        <v>280.5</v>
      </c>
    </row>
    <row r="315" customFormat="false" ht="15.8" hidden="false" customHeight="false" outlineLevel="0" collapsed="false">
      <c r="A315" s="1" t="n">
        <v>8</v>
      </c>
      <c r="B315" s="1" t="n">
        <v>7</v>
      </c>
      <c r="C315" s="1" t="n">
        <v>0.7</v>
      </c>
      <c r="D315" s="1" t="n">
        <v>1.0081</v>
      </c>
      <c r="E315" s="1" t="n">
        <v>0.024127</v>
      </c>
      <c r="F315" s="1" t="n">
        <v>6.58312E-005</v>
      </c>
      <c r="G315" s="1" t="s">
        <v>47</v>
      </c>
      <c r="H315" s="1" t="n">
        <v>107.7</v>
      </c>
      <c r="I315" s="1" t="n">
        <v>9.9</v>
      </c>
      <c r="J315" s="1" t="n">
        <v>0</v>
      </c>
      <c r="K315" s="1" t="n">
        <v>61.4</v>
      </c>
      <c r="L315" s="1" t="n">
        <v>0</v>
      </c>
      <c r="M315" s="1" t="n">
        <v>0</v>
      </c>
      <c r="N315" s="1" t="s">
        <v>247</v>
      </c>
      <c r="Z315" s="0" t="n">
        <f aca="false">I315-28</f>
        <v>-18.1</v>
      </c>
      <c r="AB315" s="0" t="n">
        <f aca="false">IF(Z315&lt;0,Z315+360,Z315+0)</f>
        <v>341.9</v>
      </c>
    </row>
    <row r="316" customFormat="false" ht="15.8" hidden="false" customHeight="false" outlineLevel="0" collapsed="false">
      <c r="A316" s="1" t="n">
        <v>8</v>
      </c>
      <c r="B316" s="1" t="n">
        <v>9</v>
      </c>
      <c r="C316" s="1" t="n">
        <v>1.2</v>
      </c>
      <c r="D316" s="1" t="n">
        <v>1.0127</v>
      </c>
      <c r="E316" s="1" t="n">
        <v>0.0401793</v>
      </c>
      <c r="F316" s="1" t="n">
        <v>0.00010963</v>
      </c>
      <c r="G316" s="1" t="s">
        <v>27</v>
      </c>
      <c r="H316" s="1" t="n">
        <v>92.7</v>
      </c>
      <c r="I316" s="1" t="n">
        <v>25.1</v>
      </c>
      <c r="J316" s="1" t="n">
        <v>0</v>
      </c>
      <c r="K316" s="1"/>
      <c r="L316" s="1" t="n">
        <v>0</v>
      </c>
      <c r="M316" s="1" t="n">
        <v>0</v>
      </c>
      <c r="N316" s="1" t="s">
        <v>249</v>
      </c>
      <c r="Z316" s="0" t="n">
        <f aca="false">I316-28</f>
        <v>-2.9</v>
      </c>
      <c r="AB316" s="0" t="n">
        <f aca="false">IF(Z316&lt;0,Z316+360,Z316+0)</f>
        <v>357.1</v>
      </c>
    </row>
    <row r="317" customFormat="false" ht="15.8" hidden="false" customHeight="false" outlineLevel="0" collapsed="false">
      <c r="A317" s="1" t="n">
        <v>8</v>
      </c>
      <c r="B317" s="1" t="n">
        <v>10</v>
      </c>
      <c r="C317" s="1" t="n">
        <v>3.6</v>
      </c>
      <c r="D317" s="1" t="n">
        <v>1.245</v>
      </c>
      <c r="E317" s="1" t="n">
        <v>0.122022</v>
      </c>
      <c r="F317" s="1" t="n">
        <v>0.000332942</v>
      </c>
      <c r="G317" s="1" t="s">
        <v>27</v>
      </c>
      <c r="H317" s="1" t="n">
        <v>46.1</v>
      </c>
      <c r="I317" s="1" t="n">
        <v>141.5</v>
      </c>
      <c r="J317" s="1" t="n">
        <v>0</v>
      </c>
      <c r="K317" s="1"/>
      <c r="L317" s="1" t="n">
        <v>0</v>
      </c>
      <c r="M317" s="1" t="n">
        <v>0</v>
      </c>
      <c r="N317" s="1" t="s">
        <v>250</v>
      </c>
      <c r="Z317" s="0" t="n">
        <f aca="false">I317-28</f>
        <v>113.5</v>
      </c>
      <c r="AB317" s="0" t="n">
        <f aca="false">IF(Z317&lt;0,Z317+360,Z317+0)</f>
        <v>113.5</v>
      </c>
    </row>
    <row r="318" customFormat="false" ht="15.8" hidden="false" customHeight="false" outlineLevel="0" collapsed="false">
      <c r="A318" s="1" t="n">
        <v>8</v>
      </c>
      <c r="B318" s="1" t="n">
        <v>10</v>
      </c>
      <c r="C318" s="1" t="n">
        <v>3.5</v>
      </c>
      <c r="D318" s="1" t="n">
        <v>1.1712</v>
      </c>
      <c r="E318" s="1" t="n">
        <v>0.118953</v>
      </c>
      <c r="F318" s="1" t="n">
        <v>0.000324566</v>
      </c>
      <c r="G318" s="1" t="s">
        <v>27</v>
      </c>
      <c r="H318" s="1" t="n">
        <v>35.6</v>
      </c>
      <c r="I318" s="1" t="n">
        <v>203.4</v>
      </c>
      <c r="J318" s="1" t="n">
        <v>0</v>
      </c>
      <c r="K318" s="1"/>
      <c r="L318" s="1" t="n">
        <v>0</v>
      </c>
      <c r="M318" s="1" t="n">
        <v>0</v>
      </c>
      <c r="N318" s="1" t="s">
        <v>250</v>
      </c>
      <c r="Z318" s="0" t="n">
        <f aca="false">I318-28</f>
        <v>175.4</v>
      </c>
      <c r="AB318" s="0" t="n">
        <f aca="false">IF(Z318&lt;0,Z318+360,Z318+0)</f>
        <v>175.4</v>
      </c>
    </row>
    <row r="319" customFormat="false" ht="15.8" hidden="false" customHeight="false" outlineLevel="0" collapsed="false">
      <c r="A319" s="1" t="n">
        <v>8</v>
      </c>
      <c r="B319" s="1" t="n">
        <v>9</v>
      </c>
      <c r="C319" s="1" t="n">
        <v>1</v>
      </c>
      <c r="D319" s="1" t="n">
        <v>1.2352</v>
      </c>
      <c r="E319" s="1" t="n">
        <v>0.0338862</v>
      </c>
      <c r="F319" s="1" t="n">
        <v>9.24596E-005</v>
      </c>
      <c r="G319" s="1" t="s">
        <v>47</v>
      </c>
      <c r="H319" s="1" t="n">
        <v>65.6</v>
      </c>
      <c r="I319" s="1" t="n">
        <v>180</v>
      </c>
      <c r="J319" s="1" t="n">
        <v>27.5</v>
      </c>
      <c r="K319" s="1" t="n">
        <v>46.1</v>
      </c>
      <c r="L319" s="1" t="n">
        <v>0</v>
      </c>
      <c r="M319" s="1" t="n">
        <v>0</v>
      </c>
      <c r="N319" s="1" t="s">
        <v>249</v>
      </c>
      <c r="Z319" s="0" t="n">
        <f aca="false">I319-28</f>
        <v>152</v>
      </c>
      <c r="AB319" s="0" t="n">
        <f aca="false">IF(Z319&lt;0,Z319+360,Z319+0)</f>
        <v>152</v>
      </c>
    </row>
    <row r="320" customFormat="false" ht="15.8" hidden="false" customHeight="false" outlineLevel="0" collapsed="false">
      <c r="A320" s="1" t="n">
        <v>8</v>
      </c>
      <c r="B320" s="1" t="n">
        <v>8</v>
      </c>
      <c r="C320" s="1" t="n">
        <v>3.2</v>
      </c>
      <c r="D320" s="1" t="n">
        <v>1.175</v>
      </c>
      <c r="E320" s="1" t="n">
        <v>0.108373</v>
      </c>
      <c r="F320" s="1" t="n">
        <v>0.000295699</v>
      </c>
      <c r="G320" s="1" t="s">
        <v>47</v>
      </c>
      <c r="H320" s="1" t="n">
        <v>37.7</v>
      </c>
      <c r="I320" s="1" t="n">
        <v>117.8</v>
      </c>
      <c r="J320" s="1" t="n">
        <v>0</v>
      </c>
      <c r="K320" s="1" t="n">
        <v>92.7</v>
      </c>
      <c r="L320" s="1" t="n">
        <v>0</v>
      </c>
      <c r="M320" s="1" t="n">
        <v>0</v>
      </c>
      <c r="N320" s="1" t="s">
        <v>251</v>
      </c>
      <c r="Z320" s="0" t="n">
        <f aca="false">I320-28</f>
        <v>89.8</v>
      </c>
      <c r="AB320" s="0" t="n">
        <f aca="false">IF(Z320&lt;0,Z320+360,Z320+0)</f>
        <v>89.8</v>
      </c>
    </row>
    <row r="321" customFormat="false" ht="15.8" hidden="false" customHeight="false" outlineLevel="0" collapsed="false">
      <c r="A321" s="1" t="n">
        <v>8</v>
      </c>
      <c r="B321" s="1" t="n">
        <v>9</v>
      </c>
      <c r="C321" s="1" t="n">
        <v>2.2</v>
      </c>
      <c r="D321" s="1" t="n">
        <v>1.1956</v>
      </c>
      <c r="E321" s="1" t="n">
        <v>0.0766827</v>
      </c>
      <c r="F321" s="1" t="n">
        <v>0.000209231</v>
      </c>
      <c r="G321" s="1" t="s">
        <v>27</v>
      </c>
      <c r="H321" s="1" t="n">
        <v>32.4</v>
      </c>
      <c r="I321" s="1" t="n">
        <v>82.3</v>
      </c>
      <c r="J321" s="1" t="n">
        <v>23.3</v>
      </c>
      <c r="K321" s="1"/>
      <c r="L321" s="1" t="n">
        <v>0</v>
      </c>
      <c r="M321" s="1" t="n">
        <v>0</v>
      </c>
      <c r="N321" s="1" t="s">
        <v>252</v>
      </c>
      <c r="Z321" s="0" t="n">
        <f aca="false">I321-28</f>
        <v>54.3</v>
      </c>
      <c r="AB321" s="0" t="n">
        <f aca="false">IF(Z321&lt;0,Z321+360,Z321+0)</f>
        <v>54.3</v>
      </c>
    </row>
    <row r="322" customFormat="false" ht="15.8" hidden="false" customHeight="false" outlineLevel="0" collapsed="false">
      <c r="A322" s="1" t="n">
        <v>8</v>
      </c>
      <c r="B322" s="1" t="n">
        <v>10</v>
      </c>
      <c r="C322" s="1" t="n">
        <v>1.4</v>
      </c>
      <c r="D322" s="1" t="n">
        <v>1.2198</v>
      </c>
      <c r="E322" s="1" t="n">
        <v>0.0475498</v>
      </c>
      <c r="F322" s="1" t="n">
        <v>0.000129741</v>
      </c>
      <c r="G322" s="1" t="s">
        <v>27</v>
      </c>
      <c r="H322" s="1" t="n">
        <v>28.2</v>
      </c>
      <c r="I322" s="1" t="n">
        <v>183.3</v>
      </c>
      <c r="J322" s="1" t="n">
        <v>0</v>
      </c>
      <c r="K322" s="1"/>
      <c r="L322" s="1" t="n">
        <v>0</v>
      </c>
      <c r="M322" s="1" t="n">
        <v>0</v>
      </c>
      <c r="N322" s="1" t="s">
        <v>253</v>
      </c>
      <c r="Z322" s="0" t="n">
        <f aca="false">I322-28</f>
        <v>155.3</v>
      </c>
      <c r="AB322" s="0" t="n">
        <f aca="false">IF(Z322&lt;0,Z322+360,Z322+0)</f>
        <v>155.3</v>
      </c>
    </row>
    <row r="323" customFormat="false" ht="15.8" hidden="false" customHeight="false" outlineLevel="0" collapsed="false">
      <c r="A323" s="1" t="n">
        <v>8</v>
      </c>
      <c r="B323" s="1" t="n">
        <v>10</v>
      </c>
      <c r="C323" s="1" t="n">
        <v>3.5</v>
      </c>
      <c r="D323" s="1" t="n">
        <v>1.2629</v>
      </c>
      <c r="E323" s="1" t="n">
        <v>0.121045</v>
      </c>
      <c r="F323" s="1" t="n">
        <v>0.000330274</v>
      </c>
      <c r="G323" s="1" t="s">
        <v>27</v>
      </c>
      <c r="H323" s="1" t="n">
        <v>75.3</v>
      </c>
      <c r="I323" s="1" t="n">
        <v>281.7</v>
      </c>
      <c r="J323" s="1" t="n">
        <v>-41.4</v>
      </c>
      <c r="K323" s="1"/>
      <c r="L323" s="1" t="n">
        <v>0</v>
      </c>
      <c r="M323" s="1" t="n">
        <v>0</v>
      </c>
      <c r="N323" s="1" t="s">
        <v>253</v>
      </c>
      <c r="Z323" s="0" t="n">
        <f aca="false">I323-28</f>
        <v>253.7</v>
      </c>
      <c r="AB323" s="0" t="n">
        <f aca="false">IF(Z323&lt;0,Z323+360,Z323+0)</f>
        <v>253.7</v>
      </c>
    </row>
    <row r="324" customFormat="false" ht="15.8" hidden="false" customHeight="false" outlineLevel="0" collapsed="false">
      <c r="A324" s="1" t="n">
        <v>8</v>
      </c>
      <c r="B324" s="1" t="n">
        <v>9</v>
      </c>
      <c r="C324" s="1" t="n">
        <v>0.8</v>
      </c>
      <c r="D324" s="1" t="n">
        <v>1.073</v>
      </c>
      <c r="E324" s="1" t="n">
        <v>0.0268572</v>
      </c>
      <c r="F324" s="1" t="n">
        <v>7.32807E-005</v>
      </c>
      <c r="G324" s="1" t="s">
        <v>47</v>
      </c>
      <c r="H324" s="1" t="n">
        <v>107.9</v>
      </c>
      <c r="I324" s="1" t="n">
        <v>211.5</v>
      </c>
      <c r="J324" s="1" t="n">
        <v>0</v>
      </c>
      <c r="K324" s="1" t="n">
        <v>75.3</v>
      </c>
      <c r="L324" s="1" t="n">
        <v>0</v>
      </c>
      <c r="M324" s="1" t="n">
        <v>0</v>
      </c>
      <c r="N324" s="1" t="s">
        <v>252</v>
      </c>
      <c r="Z324" s="0" t="n">
        <f aca="false">I324-28</f>
        <v>183.5</v>
      </c>
      <c r="AB324" s="0" t="n">
        <f aca="false">IF(Z324&lt;0,Z324+360,Z324+0)</f>
        <v>183.5</v>
      </c>
    </row>
    <row r="325" customFormat="false" ht="15.8" hidden="false" customHeight="false" outlineLevel="0" collapsed="false">
      <c r="A325" s="1" t="n">
        <v>8</v>
      </c>
      <c r="B325" s="1" t="n">
        <v>8</v>
      </c>
      <c r="C325" s="1" t="n">
        <v>7.6</v>
      </c>
      <c r="D325" s="1" t="n">
        <v>1.3065</v>
      </c>
      <c r="E325" s="1" t="n">
        <v>0.262063</v>
      </c>
      <c r="F325" s="1" t="n">
        <v>0.000715046</v>
      </c>
      <c r="G325" s="1" t="s">
        <v>47</v>
      </c>
      <c r="H325" s="1" t="n">
        <v>55.8</v>
      </c>
      <c r="I325" s="1" t="n">
        <v>88.9</v>
      </c>
      <c r="J325" s="1" t="n">
        <v>55.3</v>
      </c>
      <c r="K325" s="1" t="n">
        <v>107.9</v>
      </c>
      <c r="L325" s="1" t="n">
        <v>0</v>
      </c>
      <c r="M325" s="1" t="n">
        <v>0</v>
      </c>
      <c r="N325" s="1" t="s">
        <v>251</v>
      </c>
      <c r="Z325" s="0" t="n">
        <f aca="false">I325-28</f>
        <v>60.9</v>
      </c>
      <c r="AB325" s="0" t="n">
        <f aca="false">IF(Z325&lt;0,Z325+360,Z325+0)</f>
        <v>60.9</v>
      </c>
    </row>
    <row r="326" customFormat="false" ht="15.8" hidden="false" customHeight="false" outlineLevel="0" collapsed="false">
      <c r="A326" s="1" t="n">
        <v>8</v>
      </c>
      <c r="B326" s="1" t="n">
        <v>7</v>
      </c>
      <c r="C326" s="1" t="n">
        <v>0.7</v>
      </c>
      <c r="D326" s="1" t="n">
        <v>1.0724</v>
      </c>
      <c r="E326" s="1" t="n">
        <v>0.0256642</v>
      </c>
      <c r="F326" s="1" t="n">
        <v>7.00255E-005</v>
      </c>
      <c r="G326" s="1" t="s">
        <v>47</v>
      </c>
      <c r="H326" s="1" t="n">
        <v>43.2</v>
      </c>
      <c r="I326" s="1" t="n">
        <v>80.1</v>
      </c>
      <c r="J326" s="1" t="n">
        <v>0</v>
      </c>
      <c r="K326" s="1" t="n">
        <v>55.8</v>
      </c>
      <c r="L326" s="1" t="n">
        <v>0</v>
      </c>
      <c r="M326" s="1" t="n">
        <v>0</v>
      </c>
      <c r="N326" s="1" t="s">
        <v>247</v>
      </c>
      <c r="Z326" s="0" t="n">
        <f aca="false">I326-28</f>
        <v>52.1</v>
      </c>
      <c r="AB326" s="0" t="n">
        <f aca="false">IF(Z326&lt;0,Z326+360,Z326+0)</f>
        <v>52.1</v>
      </c>
    </row>
    <row r="327" customFormat="false" ht="15.8" hidden="false" customHeight="false" outlineLevel="0" collapsed="false">
      <c r="A327" s="1" t="n">
        <v>8</v>
      </c>
      <c r="B327" s="1" t="n">
        <v>6</v>
      </c>
      <c r="C327" s="1" t="n">
        <v>1.2</v>
      </c>
      <c r="D327" s="1" t="n">
        <v>1.1852</v>
      </c>
      <c r="E327" s="1" t="n">
        <v>0.0422672</v>
      </c>
      <c r="F327" s="1" t="n">
        <v>0.000115327</v>
      </c>
      <c r="G327" s="1" t="s">
        <v>47</v>
      </c>
      <c r="H327" s="1" t="n">
        <v>2.3</v>
      </c>
      <c r="I327" s="1" t="n">
        <v>118.9</v>
      </c>
      <c r="J327" s="1" t="n">
        <v>20.8</v>
      </c>
      <c r="K327" s="1" t="n">
        <v>107.7</v>
      </c>
      <c r="L327" s="1" t="n">
        <v>0</v>
      </c>
      <c r="M327" s="1" t="n">
        <v>0</v>
      </c>
      <c r="N327" s="1" t="s">
        <v>246</v>
      </c>
      <c r="Z327" s="0" t="n">
        <f aca="false">I327-28</f>
        <v>90.9</v>
      </c>
      <c r="AB327" s="0" t="n">
        <f aca="false">IF(Z327&lt;0,Z327+360,Z327+0)</f>
        <v>90.9</v>
      </c>
    </row>
    <row r="328" customFormat="false" ht="15.8" hidden="false" customHeight="false" outlineLevel="0" collapsed="false">
      <c r="A328" s="1" t="n">
        <v>8</v>
      </c>
      <c r="B328" s="1" t="n">
        <v>5</v>
      </c>
      <c r="C328" s="1" t="n">
        <v>7.8</v>
      </c>
      <c r="D328" s="1" t="n">
        <v>1.3037</v>
      </c>
      <c r="E328" s="1" t="n">
        <v>0.268742</v>
      </c>
      <c r="F328" s="1" t="n">
        <v>0.000733272</v>
      </c>
      <c r="G328" s="1" t="s">
        <v>47</v>
      </c>
      <c r="H328" s="1" t="n">
        <v>23.3</v>
      </c>
      <c r="I328" s="1" t="n">
        <v>121.2</v>
      </c>
      <c r="J328" s="1" t="n">
        <v>21.7</v>
      </c>
      <c r="K328" s="1" t="n">
        <v>100.7</v>
      </c>
      <c r="L328" s="1" t="n">
        <v>0</v>
      </c>
      <c r="M328" s="1" t="n">
        <v>0</v>
      </c>
      <c r="N328" s="1" t="s">
        <v>245</v>
      </c>
      <c r="Z328" s="0" t="n">
        <f aca="false">I328-28</f>
        <v>93.2</v>
      </c>
      <c r="AB328" s="0" t="n">
        <f aca="false">IF(Z328&lt;0,Z328+360,Z328+0)</f>
        <v>93.2</v>
      </c>
    </row>
    <row r="329" customFormat="false" ht="15.8" hidden="false" customHeight="false" outlineLevel="0" collapsed="false">
      <c r="A329" s="1" t="n">
        <v>8</v>
      </c>
      <c r="B329" s="1" t="n">
        <v>4</v>
      </c>
      <c r="C329" s="1" t="n">
        <v>5.6</v>
      </c>
      <c r="D329" s="1" t="n">
        <v>1.101</v>
      </c>
      <c r="E329" s="1" t="n">
        <v>0.193474</v>
      </c>
      <c r="F329" s="1" t="n">
        <v>0.000527899</v>
      </c>
      <c r="G329" s="1" t="s">
        <v>47</v>
      </c>
      <c r="H329" s="1" t="n">
        <v>31.5</v>
      </c>
      <c r="I329" s="1" t="n">
        <v>143.6</v>
      </c>
      <c r="J329" s="1" t="n">
        <v>12.5</v>
      </c>
      <c r="K329" s="1" t="n">
        <v>36.6</v>
      </c>
      <c r="L329" s="1" t="n">
        <v>0</v>
      </c>
      <c r="M329" s="1" t="n">
        <v>0</v>
      </c>
      <c r="N329" s="1" t="s">
        <v>254</v>
      </c>
      <c r="Z329" s="0" t="n">
        <f aca="false">I329-28</f>
        <v>115.6</v>
      </c>
      <c r="AB329" s="0" t="n">
        <f aca="false">IF(Z329&lt;0,Z329+360,Z329+0)</f>
        <v>115.6</v>
      </c>
    </row>
    <row r="330" customFormat="false" ht="15.8" hidden="false" customHeight="false" outlineLevel="0" collapsed="false">
      <c r="A330" s="1" t="n">
        <v>8</v>
      </c>
      <c r="B330" s="1" t="n">
        <v>5</v>
      </c>
      <c r="C330" s="1" t="n">
        <v>1.8</v>
      </c>
      <c r="D330" s="1" t="n">
        <v>1.1269</v>
      </c>
      <c r="E330" s="1" t="n">
        <v>0.0609252</v>
      </c>
      <c r="F330" s="1" t="n">
        <v>0.000166236</v>
      </c>
      <c r="G330" s="1" t="s">
        <v>27</v>
      </c>
      <c r="H330" s="1" t="n">
        <v>40</v>
      </c>
      <c r="I330" s="1" t="n">
        <v>171.8</v>
      </c>
      <c r="J330" s="1" t="n">
        <v>-13.6</v>
      </c>
      <c r="K330" s="1"/>
      <c r="L330" s="1" t="n">
        <v>0</v>
      </c>
      <c r="M330" s="1" t="n">
        <v>0</v>
      </c>
      <c r="N330" s="1" t="s">
        <v>255</v>
      </c>
      <c r="Z330" s="0" t="n">
        <f aca="false">I330-28</f>
        <v>143.8</v>
      </c>
      <c r="AB330" s="0" t="n">
        <f aca="false">IF(Z330&lt;0,Z330+360,Z330+0)</f>
        <v>143.8</v>
      </c>
    </row>
    <row r="331" customFormat="false" ht="15.8" hidden="false" customHeight="false" outlineLevel="0" collapsed="false">
      <c r="A331" s="1" t="n">
        <v>8</v>
      </c>
      <c r="B331" s="1" t="n">
        <v>6</v>
      </c>
      <c r="C331" s="1" t="n">
        <v>3.2</v>
      </c>
      <c r="D331" s="1" t="n">
        <v>1.0766</v>
      </c>
      <c r="E331" s="1" t="n">
        <v>0.110709</v>
      </c>
      <c r="F331" s="1" t="n">
        <v>0.000302072</v>
      </c>
      <c r="G331" s="1" t="s">
        <v>27</v>
      </c>
      <c r="H331" s="1" t="n">
        <v>89.3</v>
      </c>
      <c r="I331" s="1" t="n">
        <v>347.3</v>
      </c>
      <c r="J331" s="1" t="n">
        <v>7.1</v>
      </c>
      <c r="K331" s="1"/>
      <c r="L331" s="1" t="n">
        <v>0</v>
      </c>
      <c r="M331" s="1" t="n">
        <v>0</v>
      </c>
      <c r="N331" s="1" t="s">
        <v>256</v>
      </c>
      <c r="Z331" s="0" t="n">
        <f aca="false">I331-28</f>
        <v>319.3</v>
      </c>
      <c r="AB331" s="0" t="n">
        <f aca="false">IF(Z331&lt;0,Z331+360,Z331+0)</f>
        <v>319.3</v>
      </c>
    </row>
    <row r="332" customFormat="false" ht="15.8" hidden="false" customHeight="false" outlineLevel="0" collapsed="false">
      <c r="A332" s="1" t="n">
        <v>8</v>
      </c>
      <c r="B332" s="1" t="n">
        <v>6</v>
      </c>
      <c r="C332" s="1" t="n">
        <v>1.5</v>
      </c>
      <c r="D332" s="1" t="n">
        <v>1.1431</v>
      </c>
      <c r="E332" s="1" t="n">
        <v>0.0523685</v>
      </c>
      <c r="F332" s="1" t="n">
        <v>0.000142889</v>
      </c>
      <c r="G332" s="1" t="s">
        <v>27</v>
      </c>
      <c r="H332" s="1" t="n">
        <v>62.6</v>
      </c>
      <c r="I332" s="1" t="n">
        <v>292.4</v>
      </c>
      <c r="J332" s="1" t="n">
        <v>56.2</v>
      </c>
      <c r="K332" s="1"/>
      <c r="L332" s="1" t="n">
        <v>0</v>
      </c>
      <c r="M332" s="1" t="n">
        <v>0</v>
      </c>
      <c r="N332" s="1" t="s">
        <v>256</v>
      </c>
      <c r="Z332" s="0" t="n">
        <f aca="false">I332-28</f>
        <v>264.4</v>
      </c>
      <c r="AB332" s="0" t="n">
        <f aca="false">IF(Z332&lt;0,Z332+360,Z332+0)</f>
        <v>264.4</v>
      </c>
    </row>
    <row r="333" customFormat="false" ht="15.8" hidden="false" customHeight="false" outlineLevel="0" collapsed="false">
      <c r="A333" s="1" t="n">
        <v>8</v>
      </c>
      <c r="B333" s="1" t="n">
        <v>8</v>
      </c>
      <c r="C333" s="1" t="n">
        <v>1.6</v>
      </c>
      <c r="D333" s="1" t="n">
        <v>1.2973</v>
      </c>
      <c r="E333" s="1" t="n">
        <v>0.0548017</v>
      </c>
      <c r="F333" s="1" t="n">
        <v>0.000149528</v>
      </c>
      <c r="G333" s="1" t="s">
        <v>27</v>
      </c>
      <c r="H333" s="1" t="n">
        <v>78.3</v>
      </c>
      <c r="I333" s="1" t="n">
        <v>21.4</v>
      </c>
      <c r="J333" s="1" t="n">
        <v>36.9</v>
      </c>
      <c r="K333" s="1"/>
      <c r="L333" s="1" t="n">
        <v>0</v>
      </c>
      <c r="M333" s="1" t="n">
        <v>0</v>
      </c>
      <c r="N333" s="1" t="s">
        <v>257</v>
      </c>
      <c r="Z333" s="0" t="n">
        <f aca="false">I333-28</f>
        <v>-6.6</v>
      </c>
      <c r="AB333" s="0" t="n">
        <f aca="false">IF(Z333&lt;0,Z333+360,Z333+0)</f>
        <v>353.4</v>
      </c>
    </row>
    <row r="334" customFormat="false" ht="15.8" hidden="false" customHeight="false" outlineLevel="0" collapsed="false">
      <c r="A334" s="1" t="n">
        <v>8</v>
      </c>
      <c r="B334" s="1" t="n">
        <v>9</v>
      </c>
      <c r="C334" s="1" t="n">
        <v>1.1</v>
      </c>
      <c r="D334" s="1" t="n">
        <v>1.3629</v>
      </c>
      <c r="E334" s="1" t="n">
        <v>0.0386354</v>
      </c>
      <c r="F334" s="1" t="n">
        <v>0.000105418</v>
      </c>
      <c r="G334" s="1" t="s">
        <v>27</v>
      </c>
      <c r="H334" s="1" t="n">
        <v>17.6</v>
      </c>
      <c r="I334" s="1" t="n">
        <v>301.1</v>
      </c>
      <c r="J334" s="1" t="n">
        <v>26.6</v>
      </c>
      <c r="K334" s="1"/>
      <c r="L334" s="1" t="n">
        <v>0</v>
      </c>
      <c r="M334" s="1" t="n">
        <v>0</v>
      </c>
      <c r="N334" s="1" t="s">
        <v>258</v>
      </c>
      <c r="Z334" s="0" t="n">
        <f aca="false">I334-28</f>
        <v>273.1</v>
      </c>
      <c r="AB334" s="0" t="n">
        <f aca="false">IF(Z334&lt;0,Z334+360,Z334+0)</f>
        <v>273.1</v>
      </c>
    </row>
    <row r="335" customFormat="false" ht="15.8" hidden="false" customHeight="false" outlineLevel="0" collapsed="false">
      <c r="A335" s="1" t="n">
        <v>8</v>
      </c>
      <c r="B335" s="1" t="n">
        <v>10</v>
      </c>
      <c r="C335" s="1" t="n">
        <v>1.1</v>
      </c>
      <c r="D335" s="1" t="n">
        <v>1.2505</v>
      </c>
      <c r="E335" s="1" t="n">
        <v>0.036302</v>
      </c>
      <c r="F335" s="1" t="n">
        <v>9.9051E-005</v>
      </c>
      <c r="G335" s="1" t="s">
        <v>27</v>
      </c>
      <c r="H335" s="1" t="n">
        <v>100.1</v>
      </c>
      <c r="I335" s="1" t="n">
        <v>152.7</v>
      </c>
      <c r="J335" s="1" t="n">
        <v>25.9</v>
      </c>
      <c r="K335" s="1"/>
      <c r="L335" s="1" t="n">
        <v>0</v>
      </c>
      <c r="M335" s="1" t="n">
        <v>0</v>
      </c>
      <c r="N335" s="1" t="s">
        <v>259</v>
      </c>
      <c r="Z335" s="0" t="n">
        <f aca="false">I335-28</f>
        <v>124.7</v>
      </c>
      <c r="AB335" s="0" t="n">
        <f aca="false">IF(Z335&lt;0,Z335+360,Z335+0)</f>
        <v>124.7</v>
      </c>
    </row>
    <row r="336" customFormat="false" ht="15.8" hidden="false" customHeight="false" outlineLevel="0" collapsed="false">
      <c r="A336" s="1" t="n">
        <v>8</v>
      </c>
      <c r="B336" s="1" t="n">
        <v>11</v>
      </c>
      <c r="C336" s="1" t="n">
        <v>1.8</v>
      </c>
      <c r="D336" s="1" t="n">
        <v>1.3979</v>
      </c>
      <c r="E336" s="1" t="n">
        <v>0.0616147</v>
      </c>
      <c r="F336" s="1" t="n">
        <v>0.000168118</v>
      </c>
      <c r="G336" s="1" t="s">
        <v>27</v>
      </c>
      <c r="H336" s="1" t="n">
        <v>94.9</v>
      </c>
      <c r="I336" s="1" t="n">
        <v>203.5</v>
      </c>
      <c r="J336" s="1" t="n">
        <v>0</v>
      </c>
      <c r="K336" s="1"/>
      <c r="L336" s="1" t="n">
        <v>0</v>
      </c>
      <c r="M336" s="1" t="n">
        <v>0</v>
      </c>
      <c r="N336" s="1" t="s">
        <v>260</v>
      </c>
      <c r="Z336" s="0" t="n">
        <f aca="false">I336-28</f>
        <v>175.5</v>
      </c>
      <c r="AB336" s="0" t="n">
        <f aca="false">IF(Z336&lt;0,Z336+360,Z336+0)</f>
        <v>175.5</v>
      </c>
    </row>
    <row r="337" customFormat="false" ht="15.8" hidden="false" customHeight="false" outlineLevel="0" collapsed="false">
      <c r="A337" s="1" t="n">
        <v>8</v>
      </c>
      <c r="B337" s="1" t="n">
        <v>11</v>
      </c>
      <c r="C337" s="1" t="n">
        <v>1.5</v>
      </c>
      <c r="D337" s="1" t="n">
        <v>1.2288</v>
      </c>
      <c r="E337" s="1" t="n">
        <v>0.052315</v>
      </c>
      <c r="F337" s="1" t="n">
        <v>0.000142743</v>
      </c>
      <c r="G337" s="1" t="s">
        <v>27</v>
      </c>
      <c r="H337" s="1" t="n">
        <v>31.7</v>
      </c>
      <c r="I337" s="1" t="n">
        <v>311.9</v>
      </c>
      <c r="J337" s="1" t="n">
        <v>-36.6</v>
      </c>
      <c r="K337" s="1"/>
      <c r="L337" s="1" t="n">
        <v>0</v>
      </c>
      <c r="M337" s="1" t="n">
        <v>0</v>
      </c>
      <c r="N337" s="1" t="s">
        <v>260</v>
      </c>
      <c r="Z337" s="0" t="n">
        <f aca="false">I337-28</f>
        <v>283.9</v>
      </c>
      <c r="AB337" s="0" t="n">
        <f aca="false">IF(Z337&lt;0,Z337+360,Z337+0)</f>
        <v>283.9</v>
      </c>
    </row>
    <row r="338" customFormat="false" ht="15.8" hidden="false" customHeight="false" outlineLevel="0" collapsed="false">
      <c r="A338" s="1" t="n">
        <v>8</v>
      </c>
      <c r="B338" s="1" t="n">
        <v>10</v>
      </c>
      <c r="C338" s="1" t="n">
        <v>3.3</v>
      </c>
      <c r="D338" s="1" t="n">
        <v>1.1327</v>
      </c>
      <c r="E338" s="1" t="n">
        <v>0.112252</v>
      </c>
      <c r="F338" s="1" t="n">
        <v>0.000306283</v>
      </c>
      <c r="G338" s="1" t="s">
        <v>47</v>
      </c>
      <c r="H338" s="1" t="n">
        <v>45</v>
      </c>
      <c r="I338" s="1" t="n">
        <v>298.4</v>
      </c>
      <c r="J338" s="1" t="n">
        <v>-7.4</v>
      </c>
      <c r="K338" s="1" t="n">
        <v>94.9</v>
      </c>
      <c r="L338" s="1" t="n">
        <v>0</v>
      </c>
      <c r="M338" s="1" t="n">
        <v>0</v>
      </c>
      <c r="N338" s="1" t="s">
        <v>259</v>
      </c>
      <c r="Z338" s="0" t="n">
        <f aca="false">I338-28</f>
        <v>270.4</v>
      </c>
      <c r="AB338" s="0" t="n">
        <f aca="false">IF(Z338&lt;0,Z338+360,Z338+0)</f>
        <v>270.4</v>
      </c>
    </row>
    <row r="339" customFormat="false" ht="15.8" hidden="false" customHeight="false" outlineLevel="0" collapsed="false">
      <c r="A339" s="1" t="n">
        <v>8</v>
      </c>
      <c r="B339" s="1" t="n">
        <v>9</v>
      </c>
      <c r="C339" s="1" t="n">
        <v>2</v>
      </c>
      <c r="D339" s="1" t="n">
        <v>1.3974</v>
      </c>
      <c r="E339" s="1" t="n">
        <v>0.0680248</v>
      </c>
      <c r="F339" s="1" t="n">
        <v>0.000185608</v>
      </c>
      <c r="G339" s="1" t="s">
        <v>47</v>
      </c>
      <c r="H339" s="1" t="n">
        <v>35</v>
      </c>
      <c r="I339" s="1" t="n">
        <v>253.9</v>
      </c>
      <c r="J339" s="1" t="n">
        <v>0</v>
      </c>
      <c r="K339" s="1" t="n">
        <v>100.1</v>
      </c>
      <c r="L339" s="1" t="n">
        <v>0</v>
      </c>
      <c r="M339" s="1" t="n">
        <v>0</v>
      </c>
      <c r="N339" s="1" t="s">
        <v>258</v>
      </c>
      <c r="Z339" s="0" t="n">
        <f aca="false">I339-28</f>
        <v>225.9</v>
      </c>
      <c r="AB339" s="0" t="n">
        <f aca="false">IF(Z339&lt;0,Z339+360,Z339+0)</f>
        <v>225.9</v>
      </c>
    </row>
    <row r="340" customFormat="false" ht="15.8" hidden="false" customHeight="false" outlineLevel="0" collapsed="false">
      <c r="A340" s="1" t="n">
        <v>8</v>
      </c>
      <c r="B340" s="1" t="n">
        <v>8</v>
      </c>
      <c r="C340" s="1" t="n">
        <v>1.4</v>
      </c>
      <c r="D340" s="1" t="n">
        <v>1.1465</v>
      </c>
      <c r="E340" s="1" t="n">
        <v>0.0470504</v>
      </c>
      <c r="F340" s="1" t="n">
        <v>0.000128379</v>
      </c>
      <c r="G340" s="1" t="s">
        <v>47</v>
      </c>
      <c r="H340" s="1" t="n">
        <v>13</v>
      </c>
      <c r="I340" s="1" t="n">
        <v>284.4</v>
      </c>
      <c r="J340" s="1" t="n">
        <v>18</v>
      </c>
      <c r="K340" s="1" t="n">
        <v>35</v>
      </c>
      <c r="L340" s="1" t="n">
        <v>0</v>
      </c>
      <c r="M340" s="1" t="n">
        <v>0</v>
      </c>
      <c r="N340" s="1" t="s">
        <v>257</v>
      </c>
      <c r="Z340" s="0" t="n">
        <f aca="false">I340-28</f>
        <v>256.4</v>
      </c>
      <c r="AB340" s="0" t="n">
        <f aca="false">IF(Z340&lt;0,Z340+360,Z340+0)</f>
        <v>256.4</v>
      </c>
    </row>
    <row r="341" customFormat="false" ht="15.8" hidden="false" customHeight="false" outlineLevel="0" collapsed="false">
      <c r="A341" s="1" t="n">
        <v>8</v>
      </c>
      <c r="B341" s="1" t="n">
        <v>9</v>
      </c>
      <c r="C341" s="1" t="n">
        <v>2.5</v>
      </c>
      <c r="D341" s="1" t="n">
        <v>1.208</v>
      </c>
      <c r="E341" s="1" t="n">
        <v>0.0867203</v>
      </c>
      <c r="F341" s="1" t="n">
        <v>0.000236619</v>
      </c>
      <c r="G341" s="1" t="s">
        <v>27</v>
      </c>
      <c r="H341" s="1" t="n">
        <v>61.9</v>
      </c>
      <c r="I341" s="1" t="n">
        <v>123.9</v>
      </c>
      <c r="J341" s="1" t="n">
        <v>20.7</v>
      </c>
      <c r="K341" s="1"/>
      <c r="L341" s="1" t="n">
        <v>0</v>
      </c>
      <c r="M341" s="1" t="n">
        <v>0</v>
      </c>
      <c r="N341" s="1" t="s">
        <v>261</v>
      </c>
      <c r="Z341" s="0" t="n">
        <f aca="false">I341-28</f>
        <v>95.9</v>
      </c>
      <c r="AB341" s="0" t="n">
        <f aca="false">IF(Z341&lt;0,Z341+360,Z341+0)</f>
        <v>95.9</v>
      </c>
    </row>
    <row r="342" customFormat="false" ht="15.8" hidden="false" customHeight="false" outlineLevel="0" collapsed="false">
      <c r="A342" s="1" t="n">
        <v>8</v>
      </c>
      <c r="B342" s="1" t="n">
        <v>9</v>
      </c>
      <c r="C342" s="1" t="n">
        <v>1.9</v>
      </c>
      <c r="D342" s="1" t="n">
        <v>1.2188</v>
      </c>
      <c r="E342" s="1" t="n">
        <v>0.0668339</v>
      </c>
      <c r="F342" s="1" t="n">
        <v>0.000182358</v>
      </c>
      <c r="G342" s="1" t="s">
        <v>27</v>
      </c>
      <c r="H342" s="1" t="n">
        <v>116.4</v>
      </c>
      <c r="I342" s="1" t="n">
        <v>325.9</v>
      </c>
      <c r="J342" s="1" t="n">
        <v>13.4</v>
      </c>
      <c r="K342" s="1"/>
      <c r="L342" s="1" t="n">
        <v>0</v>
      </c>
      <c r="M342" s="1" t="n">
        <v>0</v>
      </c>
      <c r="N342" s="1" t="s">
        <v>261</v>
      </c>
      <c r="Z342" s="0" t="n">
        <f aca="false">I342-28</f>
        <v>297.9</v>
      </c>
      <c r="AB342" s="0" t="n">
        <f aca="false">IF(Z342&lt;0,Z342+360,Z342+0)</f>
        <v>297.9</v>
      </c>
    </row>
    <row r="343" customFormat="false" ht="15.8" hidden="false" customHeight="false" outlineLevel="0" collapsed="false">
      <c r="A343" s="1" t="n">
        <v>8</v>
      </c>
      <c r="B343" s="1" t="n">
        <v>9</v>
      </c>
      <c r="C343" s="1" t="n">
        <v>5</v>
      </c>
      <c r="D343" s="1" t="n">
        <v>1.2331</v>
      </c>
      <c r="E343" s="1" t="n">
        <v>0.172656</v>
      </c>
      <c r="F343" s="1" t="n">
        <v>0.000471096</v>
      </c>
      <c r="G343" s="1" t="s">
        <v>27</v>
      </c>
      <c r="H343" s="1" t="n">
        <v>24.3</v>
      </c>
      <c r="I343" s="1" t="n">
        <v>172.5</v>
      </c>
      <c r="J343" s="1" t="n">
        <v>15.8</v>
      </c>
      <c r="K343" s="1"/>
      <c r="L343" s="1" t="n">
        <v>0</v>
      </c>
      <c r="M343" s="1" t="n">
        <v>0</v>
      </c>
      <c r="N343" s="1" t="s">
        <v>261</v>
      </c>
      <c r="Z343" s="0" t="n">
        <f aca="false">I343-28</f>
        <v>144.5</v>
      </c>
      <c r="AB343" s="0" t="n">
        <f aca="false">IF(Z343&lt;0,Z343+360,Z343+0)</f>
        <v>144.5</v>
      </c>
    </row>
    <row r="344" customFormat="false" ht="15.8" hidden="false" customHeight="false" outlineLevel="0" collapsed="false">
      <c r="A344" s="1" t="n">
        <v>8</v>
      </c>
      <c r="B344" s="1" t="n">
        <v>8</v>
      </c>
      <c r="C344" s="1" t="n">
        <v>2.6</v>
      </c>
      <c r="D344" s="1" t="n">
        <v>1.2185</v>
      </c>
      <c r="E344" s="1" t="n">
        <v>0.0888359</v>
      </c>
      <c r="F344" s="1" t="n">
        <v>0.000242392</v>
      </c>
      <c r="G344" s="1" t="s">
        <v>47</v>
      </c>
      <c r="H344" s="1" t="n">
        <v>74.2</v>
      </c>
      <c r="I344" s="1" t="n">
        <v>192.9</v>
      </c>
      <c r="J344" s="1" t="n">
        <v>31.5</v>
      </c>
      <c r="K344" s="1" t="n">
        <v>116.4</v>
      </c>
      <c r="L344" s="1" t="n">
        <v>0</v>
      </c>
      <c r="M344" s="1" t="n">
        <v>0</v>
      </c>
      <c r="N344" s="1" t="s">
        <v>257</v>
      </c>
      <c r="Z344" s="0" t="n">
        <f aca="false">I344-28</f>
        <v>164.9</v>
      </c>
      <c r="AB344" s="0" t="n">
        <f aca="false">IF(Z344&lt;0,Z344+360,Z344+0)</f>
        <v>164.9</v>
      </c>
    </row>
    <row r="345" customFormat="false" ht="15.8" hidden="false" customHeight="false" outlineLevel="0" collapsed="false">
      <c r="A345" s="1" t="n">
        <v>8</v>
      </c>
      <c r="B345" s="1" t="n">
        <v>7</v>
      </c>
      <c r="C345" s="1" t="n">
        <v>2.6</v>
      </c>
      <c r="D345" s="1" t="n">
        <v>1.2124</v>
      </c>
      <c r="E345" s="1" t="n">
        <v>0.0899059</v>
      </c>
      <c r="F345" s="1" t="n">
        <v>0.000245311</v>
      </c>
      <c r="G345" s="1" t="s">
        <v>47</v>
      </c>
      <c r="H345" s="1" t="n">
        <v>83.1</v>
      </c>
      <c r="I345" s="1" t="n">
        <v>282.6</v>
      </c>
      <c r="J345" s="1" t="n">
        <v>30.9</v>
      </c>
      <c r="K345" s="1" t="n">
        <v>78.3</v>
      </c>
      <c r="L345" s="1" t="n">
        <v>0</v>
      </c>
      <c r="M345" s="1" t="n">
        <v>0</v>
      </c>
      <c r="N345" s="1" t="s">
        <v>262</v>
      </c>
      <c r="Z345" s="0" t="n">
        <f aca="false">I345-28</f>
        <v>254.6</v>
      </c>
      <c r="AB345" s="0" t="n">
        <f aca="false">IF(Z345&lt;0,Z345+360,Z345+0)</f>
        <v>254.6</v>
      </c>
    </row>
    <row r="346" customFormat="false" ht="15.8" hidden="false" customHeight="false" outlineLevel="0" collapsed="false">
      <c r="A346" s="1" t="n">
        <v>8</v>
      </c>
      <c r="B346" s="1" t="n">
        <v>8</v>
      </c>
      <c r="C346" s="1" t="n">
        <v>2.8</v>
      </c>
      <c r="D346" s="1" t="n">
        <v>1.1082</v>
      </c>
      <c r="E346" s="1" t="n">
        <v>0.0971819</v>
      </c>
      <c r="F346" s="1" t="n">
        <v>0.000265164</v>
      </c>
      <c r="G346" s="1" t="s">
        <v>27</v>
      </c>
      <c r="H346" s="1" t="n">
        <v>103.9</v>
      </c>
      <c r="I346" s="1" t="n">
        <v>296.3</v>
      </c>
      <c r="J346" s="1" t="n">
        <v>0</v>
      </c>
      <c r="K346" s="1"/>
      <c r="L346" s="1" t="n">
        <v>0</v>
      </c>
      <c r="M346" s="1" t="n">
        <v>0</v>
      </c>
      <c r="N346" s="1" t="s">
        <v>263</v>
      </c>
      <c r="Z346" s="0" t="n">
        <f aca="false">I346-28</f>
        <v>268.3</v>
      </c>
      <c r="AB346" s="0" t="n">
        <f aca="false">IF(Z346&lt;0,Z346+360,Z346+0)</f>
        <v>268.3</v>
      </c>
    </row>
    <row r="347" customFormat="false" ht="15.8" hidden="false" customHeight="false" outlineLevel="0" collapsed="false">
      <c r="A347" s="1" t="n">
        <v>8</v>
      </c>
      <c r="B347" s="1" t="n">
        <v>8</v>
      </c>
      <c r="C347" s="1" t="n">
        <v>2.4</v>
      </c>
      <c r="D347" s="1" t="n">
        <v>1.5444</v>
      </c>
      <c r="E347" s="1" t="n">
        <v>0.0812326</v>
      </c>
      <c r="F347" s="1" t="n">
        <v>0.000221646</v>
      </c>
      <c r="G347" s="1" t="s">
        <v>27</v>
      </c>
      <c r="H347" s="1" t="n">
        <v>128.9</v>
      </c>
      <c r="I347" s="1" t="n">
        <v>63.4</v>
      </c>
      <c r="J347" s="1" t="n">
        <v>-14</v>
      </c>
      <c r="K347" s="1"/>
      <c r="L347" s="1" t="n">
        <v>0</v>
      </c>
      <c r="M347" s="1" t="n">
        <v>0</v>
      </c>
      <c r="N347" s="1" t="s">
        <v>263</v>
      </c>
      <c r="Z347" s="0" t="n">
        <f aca="false">I347-28</f>
        <v>35.4</v>
      </c>
      <c r="AB347" s="0" t="n">
        <f aca="false">IF(Z347&lt;0,Z347+360,Z347+0)</f>
        <v>35.4</v>
      </c>
    </row>
    <row r="348" customFormat="false" ht="15.8" hidden="false" customHeight="false" outlineLevel="0" collapsed="false">
      <c r="A348" s="1" t="n">
        <v>8</v>
      </c>
      <c r="B348" s="1" t="n">
        <v>8</v>
      </c>
      <c r="C348" s="1" t="n">
        <v>2.1</v>
      </c>
      <c r="D348" s="1" t="n">
        <v>1.2343</v>
      </c>
      <c r="E348" s="1" t="n">
        <v>0.0725889</v>
      </c>
      <c r="F348" s="1" t="n">
        <v>0.000198061</v>
      </c>
      <c r="G348" s="1" t="s">
        <v>27</v>
      </c>
      <c r="H348" s="1" t="n">
        <v>87</v>
      </c>
      <c r="I348" s="1" t="n">
        <v>100.9</v>
      </c>
      <c r="J348" s="1" t="n">
        <v>59.6</v>
      </c>
      <c r="K348" s="1"/>
      <c r="L348" s="1" t="n">
        <v>0</v>
      </c>
      <c r="M348" s="1" t="n">
        <v>0</v>
      </c>
      <c r="N348" s="1" t="s">
        <v>263</v>
      </c>
      <c r="Z348" s="0" t="n">
        <f aca="false">I348-28</f>
        <v>72.9</v>
      </c>
      <c r="AB348" s="0" t="n">
        <f aca="false">IF(Z348&lt;0,Z348+360,Z348+0)</f>
        <v>72.9</v>
      </c>
    </row>
    <row r="349" customFormat="false" ht="15.8" hidden="false" customHeight="false" outlineLevel="0" collapsed="false">
      <c r="A349" s="1" t="n">
        <v>8</v>
      </c>
      <c r="B349" s="1" t="n">
        <v>8</v>
      </c>
      <c r="C349" s="1" t="n">
        <v>6.9</v>
      </c>
      <c r="D349" s="1" t="n">
        <v>1.3659</v>
      </c>
      <c r="E349" s="1" t="n">
        <v>0.235111</v>
      </c>
      <c r="F349" s="1" t="n">
        <v>0.000641508</v>
      </c>
      <c r="G349" s="1" t="s">
        <v>27</v>
      </c>
      <c r="H349" s="1" t="n">
        <v>32.1</v>
      </c>
      <c r="I349" s="1" t="n">
        <v>222.5</v>
      </c>
      <c r="J349" s="1" t="n">
        <v>17.1</v>
      </c>
      <c r="K349" s="1"/>
      <c r="L349" s="1" t="n">
        <v>0</v>
      </c>
      <c r="M349" s="1" t="n">
        <v>0</v>
      </c>
      <c r="N349" s="1" t="s">
        <v>263</v>
      </c>
      <c r="Z349" s="0" t="n">
        <f aca="false">I349-28</f>
        <v>194.5</v>
      </c>
      <c r="AB349" s="0" t="n">
        <f aca="false">IF(Z349&lt;0,Z349+360,Z349+0)</f>
        <v>194.5</v>
      </c>
    </row>
    <row r="350" customFormat="false" ht="15.8" hidden="false" customHeight="false" outlineLevel="0" collapsed="false">
      <c r="A350" s="1" t="n">
        <v>8</v>
      </c>
      <c r="B350" s="1" t="n">
        <v>7</v>
      </c>
      <c r="C350" s="1" t="n">
        <v>5.6</v>
      </c>
      <c r="D350" s="1" t="n">
        <v>1.1802</v>
      </c>
      <c r="E350" s="1" t="n">
        <v>0.193245</v>
      </c>
      <c r="F350" s="1" t="n">
        <v>0.000527276</v>
      </c>
      <c r="G350" s="1" t="s">
        <v>47</v>
      </c>
      <c r="H350" s="1" t="n">
        <v>9.3</v>
      </c>
      <c r="I350" s="1" t="n">
        <v>192.4</v>
      </c>
      <c r="J350" s="1" t="n">
        <v>4.4</v>
      </c>
      <c r="K350" s="1" t="n">
        <v>128.9</v>
      </c>
      <c r="L350" s="1" t="n">
        <v>0</v>
      </c>
      <c r="M350" s="1" t="n">
        <v>0</v>
      </c>
      <c r="N350" s="1" t="s">
        <v>262</v>
      </c>
      <c r="Z350" s="0" t="n">
        <f aca="false">I350-28</f>
        <v>164.4</v>
      </c>
      <c r="AB350" s="0" t="n">
        <f aca="false">IF(Z350&lt;0,Z350+360,Z350+0)</f>
        <v>164.4</v>
      </c>
    </row>
    <row r="351" customFormat="false" ht="15.8" hidden="false" customHeight="false" outlineLevel="0" collapsed="false">
      <c r="A351" s="1" t="n">
        <v>8</v>
      </c>
      <c r="B351" s="1" t="n">
        <v>6</v>
      </c>
      <c r="C351" s="1" t="n">
        <v>1.8</v>
      </c>
      <c r="D351" s="1" t="n">
        <v>1.4094</v>
      </c>
      <c r="E351" s="1" t="n">
        <v>0.0614236</v>
      </c>
      <c r="F351" s="1" t="n">
        <v>0.000167596</v>
      </c>
      <c r="G351" s="1" t="s">
        <v>47</v>
      </c>
      <c r="H351" s="1" t="n">
        <v>57.4</v>
      </c>
      <c r="I351" s="1" t="n">
        <v>200.6</v>
      </c>
      <c r="J351" s="1" t="n">
        <v>0</v>
      </c>
      <c r="K351" s="1" t="n">
        <v>83.1</v>
      </c>
      <c r="L351" s="1" t="n">
        <v>0</v>
      </c>
      <c r="M351" s="1" t="n">
        <v>0</v>
      </c>
      <c r="N351" s="1" t="s">
        <v>256</v>
      </c>
      <c r="Z351" s="0" t="n">
        <f aca="false">I351-28</f>
        <v>172.6</v>
      </c>
      <c r="AB351" s="0" t="n">
        <f aca="false">IF(Z351&lt;0,Z351+360,Z351+0)</f>
        <v>172.6</v>
      </c>
    </row>
    <row r="352" customFormat="false" ht="15.8" hidden="false" customHeight="false" outlineLevel="0" collapsed="false">
      <c r="A352" s="1" t="n">
        <v>8</v>
      </c>
      <c r="B352" s="1" t="n">
        <v>5</v>
      </c>
      <c r="C352" s="1" t="n">
        <v>1</v>
      </c>
      <c r="D352" s="1" t="n">
        <v>1.0067</v>
      </c>
      <c r="E352" s="1" t="n">
        <v>0.0327331</v>
      </c>
      <c r="F352" s="1" t="n">
        <v>8.93132E-005</v>
      </c>
      <c r="G352" s="1" t="s">
        <v>47</v>
      </c>
      <c r="H352" s="1" t="n">
        <v>46.4</v>
      </c>
      <c r="I352" s="1" t="n">
        <v>258</v>
      </c>
      <c r="J352" s="1" t="n">
        <v>0</v>
      </c>
      <c r="K352" s="1" t="n">
        <v>89.3</v>
      </c>
      <c r="L352" s="1" t="n">
        <v>0</v>
      </c>
      <c r="M352" s="1" t="n">
        <v>0</v>
      </c>
      <c r="N352" s="1" t="s">
        <v>255</v>
      </c>
      <c r="Z352" s="0" t="n">
        <f aca="false">I352-28</f>
        <v>230</v>
      </c>
      <c r="AB352" s="0" t="n">
        <f aca="false">IF(Z352&lt;0,Z352+360,Z352+0)</f>
        <v>230</v>
      </c>
    </row>
    <row r="353" customFormat="false" ht="15.8" hidden="false" customHeight="false" outlineLevel="0" collapsed="false">
      <c r="A353" s="1" t="n">
        <v>8</v>
      </c>
      <c r="B353" s="1" t="n">
        <v>4</v>
      </c>
      <c r="C353" s="1" t="n">
        <v>5.7</v>
      </c>
      <c r="D353" s="1" t="n">
        <v>1.0735</v>
      </c>
      <c r="E353" s="1" t="n">
        <v>0.195071</v>
      </c>
      <c r="F353" s="1" t="n">
        <v>0.000532258</v>
      </c>
      <c r="G353" s="1" t="s">
        <v>47</v>
      </c>
      <c r="H353" s="1" t="n">
        <v>53.3</v>
      </c>
      <c r="I353" s="1" t="n">
        <v>212.2</v>
      </c>
      <c r="J353" s="1" t="n">
        <v>-8</v>
      </c>
      <c r="K353" s="1" t="n">
        <v>46.4</v>
      </c>
      <c r="L353" s="1" t="n">
        <v>0</v>
      </c>
      <c r="M353" s="1" t="n">
        <v>0</v>
      </c>
      <c r="N353" s="1" t="s">
        <v>254</v>
      </c>
      <c r="Z353" s="0" t="n">
        <f aca="false">I353-28</f>
        <v>184.2</v>
      </c>
      <c r="AB353" s="0" t="n">
        <f aca="false">IF(Z353&lt;0,Z353+360,Z353+0)</f>
        <v>184.2</v>
      </c>
    </row>
    <row r="354" customFormat="false" ht="15.8" hidden="false" customHeight="false" outlineLevel="0" collapsed="false">
      <c r="A354" s="1" t="n">
        <v>8</v>
      </c>
      <c r="B354" s="1" t="n">
        <v>3</v>
      </c>
      <c r="C354" s="1" t="n">
        <v>2.6</v>
      </c>
      <c r="D354" s="1" t="n">
        <v>1.1574</v>
      </c>
      <c r="E354" s="1" t="n">
        <v>0.0905219</v>
      </c>
      <c r="F354" s="1" t="n">
        <v>0.000246992</v>
      </c>
      <c r="G354" s="1" t="s">
        <v>47</v>
      </c>
      <c r="H354" s="1" t="n">
        <v>28</v>
      </c>
      <c r="I354" s="1" t="n">
        <v>172.4</v>
      </c>
      <c r="J354" s="1" t="n">
        <v>29.1</v>
      </c>
      <c r="K354" s="1" t="n">
        <v>53.3</v>
      </c>
      <c r="L354" s="1" t="n">
        <v>0</v>
      </c>
      <c r="M354" s="1" t="n">
        <v>0</v>
      </c>
      <c r="N354" s="1" t="s">
        <v>264</v>
      </c>
      <c r="Z354" s="0" t="n">
        <f aca="false">I354-28</f>
        <v>144.4</v>
      </c>
      <c r="AB354" s="0" t="n">
        <f aca="false">IF(Z354&lt;0,Z354+360,Z354+0)</f>
        <v>144.4</v>
      </c>
    </row>
    <row r="355" customFormat="false" ht="15.8" hidden="false" customHeight="false" outlineLevel="0" collapsed="false">
      <c r="A355" s="1" t="n">
        <v>8</v>
      </c>
      <c r="B355" s="1" t="n">
        <v>13</v>
      </c>
      <c r="C355" s="1" t="n">
        <v>2.6</v>
      </c>
      <c r="D355" s="1" t="n">
        <v>1.3709</v>
      </c>
      <c r="E355" s="1" t="n">
        <v>0.0908624</v>
      </c>
      <c r="F355" s="1" t="n">
        <v>0.000247921</v>
      </c>
      <c r="G355" s="1" t="s">
        <v>27</v>
      </c>
      <c r="H355" s="1" t="n">
        <v>38.2</v>
      </c>
      <c r="I355" s="1" t="n">
        <v>24.4</v>
      </c>
      <c r="J355" s="1" t="n">
        <v>35</v>
      </c>
      <c r="K355" s="1"/>
      <c r="L355" s="1" t="n">
        <v>0</v>
      </c>
      <c r="M355" s="1" t="n">
        <v>0</v>
      </c>
      <c r="N355" s="1" t="s">
        <v>265</v>
      </c>
      <c r="Z355" s="0" t="n">
        <f aca="false">I355-28</f>
        <v>-3.6</v>
      </c>
      <c r="AB355" s="0" t="n">
        <f aca="false">IF(Z355&lt;0,Z355+360,Z355+0)</f>
        <v>356.4</v>
      </c>
    </row>
    <row r="356" customFormat="false" ht="15.8" hidden="false" customHeight="false" outlineLevel="0" collapsed="false">
      <c r="A356" s="1" t="n">
        <v>8</v>
      </c>
      <c r="B356" s="1" t="n">
        <v>13</v>
      </c>
      <c r="C356" s="1" t="n">
        <v>1.8</v>
      </c>
      <c r="D356" s="1" t="n">
        <v>1.029</v>
      </c>
      <c r="E356" s="1" t="n">
        <v>0.0604881</v>
      </c>
      <c r="F356" s="1" t="n">
        <v>0.000165044</v>
      </c>
      <c r="G356" s="1" t="s">
        <v>27</v>
      </c>
      <c r="H356" s="1" t="n">
        <v>107.2</v>
      </c>
      <c r="I356" s="1" t="n">
        <v>204.4</v>
      </c>
      <c r="J356" s="1" t="n">
        <v>0</v>
      </c>
      <c r="K356" s="1"/>
      <c r="L356" s="1" t="n">
        <v>0</v>
      </c>
      <c r="M356" s="1" t="n">
        <v>0</v>
      </c>
      <c r="N356" s="1" t="s">
        <v>265</v>
      </c>
      <c r="Z356" s="0" t="n">
        <f aca="false">I356-28</f>
        <v>176.4</v>
      </c>
      <c r="AB356" s="0" t="n">
        <f aca="false">IF(Z356&lt;0,Z356+360,Z356+0)</f>
        <v>176.4</v>
      </c>
    </row>
    <row r="357" customFormat="false" ht="15.8" hidden="false" customHeight="false" outlineLevel="0" collapsed="false">
      <c r="A357" s="1" t="n">
        <v>8</v>
      </c>
      <c r="B357" s="1" t="n">
        <v>12</v>
      </c>
      <c r="C357" s="1" t="n">
        <v>3.5</v>
      </c>
      <c r="D357" s="1" t="n">
        <v>1.1254</v>
      </c>
      <c r="E357" s="1" t="n">
        <v>0.120613</v>
      </c>
      <c r="F357" s="1" t="n">
        <v>0.000329098</v>
      </c>
      <c r="G357" s="1" t="s">
        <v>47</v>
      </c>
      <c r="H357" s="1" t="n">
        <v>57</v>
      </c>
      <c r="I357" s="1" t="n">
        <v>47.6</v>
      </c>
      <c r="J357" s="1" t="n">
        <v>71.3</v>
      </c>
      <c r="K357" s="1" t="n">
        <v>107.2</v>
      </c>
      <c r="L357" s="1" t="n">
        <v>0</v>
      </c>
      <c r="M357" s="1" t="n">
        <v>0</v>
      </c>
      <c r="N357" s="1" t="s">
        <v>266</v>
      </c>
      <c r="Z357" s="0" t="n">
        <f aca="false">I357-28</f>
        <v>19.6</v>
      </c>
      <c r="AB357" s="0" t="n">
        <f aca="false">IF(Z357&lt;0,Z357+360,Z357+0)</f>
        <v>19.6</v>
      </c>
    </row>
    <row r="358" customFormat="false" ht="15.8" hidden="false" customHeight="false" outlineLevel="0" collapsed="false">
      <c r="A358" s="1" t="n">
        <v>8</v>
      </c>
      <c r="B358" s="1" t="n">
        <v>12</v>
      </c>
      <c r="C358" s="1" t="n">
        <v>1.2</v>
      </c>
      <c r="D358" s="1" t="n">
        <v>1.2083</v>
      </c>
      <c r="E358" s="1" t="n">
        <v>0.0426516</v>
      </c>
      <c r="F358" s="1" t="n">
        <v>0.000116376</v>
      </c>
      <c r="G358" s="1" t="s">
        <v>27</v>
      </c>
      <c r="H358" s="1" t="n">
        <v>36.4</v>
      </c>
      <c r="I358" s="1" t="n">
        <v>178.7</v>
      </c>
      <c r="J358" s="1" t="n">
        <v>21.1</v>
      </c>
      <c r="K358" s="1"/>
      <c r="L358" s="1" t="n">
        <v>0</v>
      </c>
      <c r="M358" s="1" t="n">
        <v>0</v>
      </c>
      <c r="N358" s="1" t="s">
        <v>266</v>
      </c>
      <c r="Z358" s="0" t="n">
        <f aca="false">I358-28</f>
        <v>150.7</v>
      </c>
      <c r="AB358" s="0" t="n">
        <f aca="false">IF(Z358&lt;0,Z358+360,Z358+0)</f>
        <v>150.7</v>
      </c>
    </row>
    <row r="359" customFormat="false" ht="15.8" hidden="false" customHeight="false" outlineLevel="0" collapsed="false">
      <c r="A359" s="1" t="n">
        <v>8</v>
      </c>
      <c r="B359" s="1" t="n">
        <v>11</v>
      </c>
      <c r="C359" s="1" t="n">
        <v>1.2</v>
      </c>
      <c r="D359" s="1" t="n">
        <v>1.2728</v>
      </c>
      <c r="E359" s="1" t="n">
        <v>0.0417234</v>
      </c>
      <c r="F359" s="1" t="n">
        <v>0.000113844</v>
      </c>
      <c r="G359" s="1" t="s">
        <v>47</v>
      </c>
      <c r="H359" s="1" t="n">
        <v>44.4</v>
      </c>
      <c r="I359" s="1" t="n">
        <v>205.6</v>
      </c>
      <c r="J359" s="1" t="n">
        <v>50.7</v>
      </c>
      <c r="K359" s="1" t="n">
        <v>57</v>
      </c>
      <c r="L359" s="1" t="n">
        <v>0</v>
      </c>
      <c r="M359" s="1" t="n">
        <v>0</v>
      </c>
      <c r="N359" s="1" t="s">
        <v>267</v>
      </c>
      <c r="Z359" s="0" t="n">
        <f aca="false">I359-28</f>
        <v>177.6</v>
      </c>
      <c r="AB359" s="0" t="n">
        <f aca="false">IF(Z359&lt;0,Z359+360,Z359+0)</f>
        <v>177.6</v>
      </c>
    </row>
    <row r="360" customFormat="false" ht="15.8" hidden="false" customHeight="false" outlineLevel="0" collapsed="false">
      <c r="A360" s="1" t="n">
        <v>8</v>
      </c>
      <c r="B360" s="1" t="n">
        <v>11</v>
      </c>
      <c r="C360" s="1" t="n">
        <v>0.9</v>
      </c>
      <c r="D360" s="1" t="n">
        <v>1.0904</v>
      </c>
      <c r="E360" s="1" t="n">
        <v>0.0321218</v>
      </c>
      <c r="F360" s="1" t="n">
        <v>8.76453E-005</v>
      </c>
      <c r="G360" s="1" t="s">
        <v>27</v>
      </c>
      <c r="H360" s="1" t="n">
        <v>102.5</v>
      </c>
      <c r="I360" s="1" t="n">
        <v>154.4</v>
      </c>
      <c r="J360" s="1" t="n">
        <v>0</v>
      </c>
      <c r="K360" s="1"/>
      <c r="L360" s="1" t="n">
        <v>0</v>
      </c>
      <c r="M360" s="1" t="n">
        <v>0</v>
      </c>
      <c r="N360" s="1" t="s">
        <v>267</v>
      </c>
      <c r="Z360" s="0" t="n">
        <f aca="false">I360-28</f>
        <v>126.4</v>
      </c>
      <c r="AB360" s="0" t="n">
        <f aca="false">IF(Z360&lt;0,Z360+360,Z360+0)</f>
        <v>126.4</v>
      </c>
    </row>
    <row r="361" customFormat="false" ht="15.8" hidden="false" customHeight="false" outlineLevel="0" collapsed="false">
      <c r="A361" s="1" t="n">
        <v>8</v>
      </c>
      <c r="B361" s="1" t="n">
        <v>10</v>
      </c>
      <c r="C361" s="1" t="n">
        <v>1.1</v>
      </c>
      <c r="D361" s="1" t="n">
        <v>1.0057</v>
      </c>
      <c r="E361" s="1" t="n">
        <v>0.0393995</v>
      </c>
      <c r="F361" s="1" t="n">
        <v>0.000107503</v>
      </c>
      <c r="G361" s="1" t="s">
        <v>47</v>
      </c>
      <c r="H361" s="1" t="n">
        <v>27</v>
      </c>
      <c r="I361" s="1" t="n">
        <v>310.1</v>
      </c>
      <c r="J361" s="1" t="n">
        <v>76.3</v>
      </c>
      <c r="K361" s="1" t="n">
        <v>102.5</v>
      </c>
      <c r="L361" s="1" t="n">
        <v>0</v>
      </c>
      <c r="M361" s="1" t="n">
        <v>0</v>
      </c>
      <c r="N361" s="1" t="s">
        <v>268</v>
      </c>
      <c r="Z361" s="0" t="n">
        <f aca="false">I361-28</f>
        <v>282.1</v>
      </c>
      <c r="AB361" s="0" t="n">
        <f aca="false">IF(Z361&lt;0,Z361+360,Z361+0)</f>
        <v>282.1</v>
      </c>
    </row>
    <row r="362" customFormat="false" ht="15.8" hidden="false" customHeight="false" outlineLevel="0" collapsed="false">
      <c r="A362" s="1" t="n">
        <v>8</v>
      </c>
      <c r="B362" s="1" t="n">
        <v>11</v>
      </c>
      <c r="C362" s="1" t="n">
        <v>1.7</v>
      </c>
      <c r="D362" s="1" t="n">
        <v>1.2436</v>
      </c>
      <c r="E362" s="1" t="n">
        <v>0.0592658</v>
      </c>
      <c r="F362" s="1" t="n">
        <v>0.000161709</v>
      </c>
      <c r="G362" s="1" t="s">
        <v>27</v>
      </c>
      <c r="H362" s="1" t="n">
        <v>133.6</v>
      </c>
      <c r="I362" s="1" t="n">
        <v>217.1</v>
      </c>
      <c r="J362" s="1" t="n">
        <v>-32.2</v>
      </c>
      <c r="K362" s="1"/>
      <c r="L362" s="1" t="n">
        <v>0</v>
      </c>
      <c r="M362" s="1" t="n">
        <v>0</v>
      </c>
      <c r="N362" s="1" t="s">
        <v>269</v>
      </c>
      <c r="Z362" s="0" t="n">
        <f aca="false">I362-28</f>
        <v>189.1</v>
      </c>
      <c r="AB362" s="0" t="n">
        <f aca="false">IF(Z362&lt;0,Z362+360,Z362+0)</f>
        <v>189.1</v>
      </c>
    </row>
    <row r="363" customFormat="false" ht="15.8" hidden="false" customHeight="false" outlineLevel="0" collapsed="false">
      <c r="A363" s="1" t="n">
        <v>8</v>
      </c>
      <c r="B363" s="1" t="n">
        <v>11</v>
      </c>
      <c r="C363" s="1" t="n">
        <v>2.2</v>
      </c>
      <c r="D363" s="1" t="n">
        <v>1.1457</v>
      </c>
      <c r="E363" s="1" t="n">
        <v>0.0737797</v>
      </c>
      <c r="F363" s="1" t="n">
        <v>0.00020131</v>
      </c>
      <c r="G363" s="1" t="s">
        <v>27</v>
      </c>
      <c r="H363" s="1" t="n">
        <v>26.9</v>
      </c>
      <c r="I363" s="1" t="n">
        <v>8.2</v>
      </c>
      <c r="J363" s="1" t="n">
        <v>11.4</v>
      </c>
      <c r="K363" s="1"/>
      <c r="L363" s="1" t="n">
        <v>0</v>
      </c>
      <c r="M363" s="1" t="n">
        <v>0</v>
      </c>
      <c r="N363" s="1" t="s">
        <v>269</v>
      </c>
      <c r="Z363" s="0" t="n">
        <f aca="false">I363-28</f>
        <v>-19.8</v>
      </c>
      <c r="AB363" s="0" t="n">
        <f aca="false">IF(Z363&lt;0,Z363+360,Z363+0)</f>
        <v>340.2</v>
      </c>
    </row>
    <row r="364" customFormat="false" ht="15.8" hidden="false" customHeight="false" outlineLevel="0" collapsed="false">
      <c r="A364" s="1" t="n">
        <v>8</v>
      </c>
      <c r="B364" s="1" t="n">
        <v>10</v>
      </c>
      <c r="C364" s="1" t="n">
        <v>2</v>
      </c>
      <c r="D364" s="1" t="n">
        <v>1.1114</v>
      </c>
      <c r="E364" s="1" t="n">
        <v>0.0686542</v>
      </c>
      <c r="F364" s="1" t="n">
        <v>0.000187325</v>
      </c>
      <c r="G364" s="1" t="s">
        <v>47</v>
      </c>
      <c r="H364" s="1" t="n">
        <v>72.4</v>
      </c>
      <c r="I364" s="1" t="n">
        <v>21.8</v>
      </c>
      <c r="J364" s="1" t="n">
        <v>-11.9</v>
      </c>
      <c r="K364" s="1" t="n">
        <v>133.6</v>
      </c>
      <c r="L364" s="1" t="n">
        <v>0</v>
      </c>
      <c r="M364" s="1" t="n">
        <v>0</v>
      </c>
      <c r="N364" s="1" t="s">
        <v>268</v>
      </c>
      <c r="Z364" s="0" t="n">
        <f aca="false">I364-28</f>
        <v>-6.2</v>
      </c>
      <c r="AB364" s="0" t="n">
        <f aca="false">IF(Z364&lt;0,Z364+360,Z364+0)</f>
        <v>353.8</v>
      </c>
    </row>
    <row r="365" customFormat="false" ht="15.8" hidden="false" customHeight="false" outlineLevel="0" collapsed="false">
      <c r="A365" s="1" t="n">
        <v>8</v>
      </c>
      <c r="B365" s="1" t="n">
        <v>9</v>
      </c>
      <c r="C365" s="1" t="n">
        <v>2.6</v>
      </c>
      <c r="D365" s="1" t="n">
        <v>1.2186</v>
      </c>
      <c r="E365" s="1" t="n">
        <v>0.0888753</v>
      </c>
      <c r="F365" s="1" t="n">
        <v>0.000242499</v>
      </c>
      <c r="G365" s="1" t="s">
        <v>47</v>
      </c>
      <c r="H365" s="1" t="n">
        <v>88.5</v>
      </c>
      <c r="I365" s="1" t="n">
        <v>16.9</v>
      </c>
      <c r="J365" s="1" t="n">
        <v>60.4</v>
      </c>
      <c r="K365" s="1" t="n">
        <v>72.4</v>
      </c>
      <c r="L365" s="1" t="n">
        <v>0</v>
      </c>
      <c r="M365" s="1" t="n">
        <v>0</v>
      </c>
      <c r="N365" s="1" t="s">
        <v>270</v>
      </c>
      <c r="Z365" s="0" t="n">
        <f aca="false">I365-28</f>
        <v>-11.1</v>
      </c>
      <c r="AB365" s="0" t="n">
        <f aca="false">IF(Z365&lt;0,Z365+360,Z365+0)</f>
        <v>348.9</v>
      </c>
    </row>
    <row r="366" customFormat="false" ht="15.8" hidden="false" customHeight="false" outlineLevel="0" collapsed="false">
      <c r="A366" s="1" t="n">
        <v>8</v>
      </c>
      <c r="B366" s="1" t="n">
        <v>9</v>
      </c>
      <c r="C366" s="1" t="n">
        <v>0.9</v>
      </c>
      <c r="D366" s="1" t="n">
        <v>1.1999</v>
      </c>
      <c r="E366" s="1" t="n">
        <v>0.0317303</v>
      </c>
      <c r="F366" s="1" t="n">
        <v>8.6577E-005</v>
      </c>
      <c r="G366" s="1" t="s">
        <v>27</v>
      </c>
      <c r="H366" s="1" t="n">
        <v>37.3</v>
      </c>
      <c r="I366" s="1" t="n">
        <v>270</v>
      </c>
      <c r="J366" s="1" t="n">
        <v>-28.7</v>
      </c>
      <c r="K366" s="1"/>
      <c r="L366" s="1" t="n">
        <v>0</v>
      </c>
      <c r="M366" s="1" t="n">
        <v>0</v>
      </c>
      <c r="N366" s="1" t="s">
        <v>270</v>
      </c>
      <c r="Z366" s="0" t="n">
        <f aca="false">I366-28</f>
        <v>242</v>
      </c>
      <c r="AB366" s="0" t="n">
        <f aca="false">IF(Z366&lt;0,Z366+360,Z366+0)</f>
        <v>242</v>
      </c>
    </row>
    <row r="367" customFormat="false" ht="15.8" hidden="false" customHeight="false" outlineLevel="0" collapsed="false">
      <c r="A367" s="1" t="n">
        <v>8</v>
      </c>
      <c r="B367" s="1" t="n">
        <v>8</v>
      </c>
      <c r="C367" s="1" t="n">
        <v>3.4</v>
      </c>
      <c r="D367" s="1" t="n">
        <v>1.3478</v>
      </c>
      <c r="E367" s="1" t="n">
        <v>0.118237</v>
      </c>
      <c r="F367" s="1" t="n">
        <v>0.000322615</v>
      </c>
      <c r="G367" s="1" t="s">
        <v>47</v>
      </c>
      <c r="H367" s="1" t="n">
        <v>81.8</v>
      </c>
      <c r="I367" s="1" t="n">
        <v>275.2</v>
      </c>
      <c r="J367" s="1" t="n">
        <v>8.3</v>
      </c>
      <c r="K367" s="1" t="n">
        <v>88.5</v>
      </c>
      <c r="L367" s="1" t="n">
        <v>0</v>
      </c>
      <c r="M367" s="1" t="n">
        <v>0</v>
      </c>
      <c r="N367" s="1" t="s">
        <v>271</v>
      </c>
      <c r="Z367" s="0" t="n">
        <f aca="false">I367-28</f>
        <v>247.2</v>
      </c>
      <c r="AB367" s="0" t="n">
        <f aca="false">IF(Z367&lt;0,Z367+360,Z367+0)</f>
        <v>247.2</v>
      </c>
    </row>
    <row r="368" customFormat="false" ht="15.8" hidden="false" customHeight="false" outlineLevel="0" collapsed="false">
      <c r="A368" s="1" t="n">
        <v>8</v>
      </c>
      <c r="B368" s="1" t="n">
        <v>8</v>
      </c>
      <c r="C368" s="1" t="n">
        <v>1.8</v>
      </c>
      <c r="D368" s="1" t="n">
        <v>1.1328</v>
      </c>
      <c r="E368" s="1" t="n">
        <v>0.0608622</v>
      </c>
      <c r="F368" s="1" t="n">
        <v>0.000166064</v>
      </c>
      <c r="G368" s="1" t="s">
        <v>27</v>
      </c>
      <c r="H368" s="1" t="n">
        <v>88.6</v>
      </c>
      <c r="I368" s="1" t="n">
        <v>147</v>
      </c>
      <c r="J368" s="1" t="n">
        <v>13.7</v>
      </c>
      <c r="K368" s="1"/>
      <c r="L368" s="1" t="n">
        <v>0</v>
      </c>
      <c r="M368" s="1" t="n">
        <v>0</v>
      </c>
      <c r="N368" s="1" t="s">
        <v>271</v>
      </c>
      <c r="Z368" s="0" t="n">
        <f aca="false">I368-28</f>
        <v>119</v>
      </c>
      <c r="AB368" s="0" t="n">
        <f aca="false">IF(Z368&lt;0,Z368+360,Z368+0)</f>
        <v>119</v>
      </c>
    </row>
    <row r="369" customFormat="false" ht="15.8" hidden="false" customHeight="false" outlineLevel="0" collapsed="false">
      <c r="A369" s="1" t="n">
        <v>8</v>
      </c>
      <c r="B369" s="1" t="n">
        <v>7</v>
      </c>
      <c r="C369" s="1" t="n">
        <v>7.6</v>
      </c>
      <c r="D369" s="1" t="n">
        <v>1.5205</v>
      </c>
      <c r="E369" s="1" t="n">
        <v>0.259898</v>
      </c>
      <c r="F369" s="1" t="n">
        <v>0.000709141</v>
      </c>
      <c r="G369" s="1" t="s">
        <v>47</v>
      </c>
      <c r="H369" s="1" t="n">
        <v>8.1</v>
      </c>
      <c r="I369" s="1" t="n">
        <v>4.4</v>
      </c>
      <c r="J369" s="1" t="n">
        <v>74.8</v>
      </c>
      <c r="K369" s="1" t="n">
        <v>88.6</v>
      </c>
      <c r="L369" s="1" t="n">
        <v>0</v>
      </c>
      <c r="M369" s="1" t="n">
        <v>0</v>
      </c>
      <c r="N369" s="1" t="s">
        <v>272</v>
      </c>
      <c r="Z369" s="0" t="n">
        <f aca="false">I369-28</f>
        <v>-23.6</v>
      </c>
      <c r="AB369" s="0" t="n">
        <f aca="false">IF(Z369&lt;0,Z369+360,Z369+0)</f>
        <v>336.4</v>
      </c>
    </row>
    <row r="370" customFormat="false" ht="15.8" hidden="false" customHeight="false" outlineLevel="0" collapsed="false">
      <c r="A370" s="1" t="n">
        <v>8</v>
      </c>
      <c r="B370" s="1" t="n">
        <v>9</v>
      </c>
      <c r="C370" s="1" t="n">
        <v>1.5</v>
      </c>
      <c r="D370" s="1" t="n">
        <v>1.1612</v>
      </c>
      <c r="E370" s="1" t="n">
        <v>0.0527362</v>
      </c>
      <c r="F370" s="1" t="n">
        <v>0.000143892</v>
      </c>
      <c r="G370" s="1" t="s">
        <v>27</v>
      </c>
      <c r="H370" s="1" t="n">
        <v>61.2</v>
      </c>
      <c r="I370" s="1" t="n">
        <v>284.9</v>
      </c>
      <c r="J370" s="1" t="n">
        <v>56.9</v>
      </c>
      <c r="K370" s="1"/>
      <c r="L370" s="1" t="n">
        <v>0</v>
      </c>
      <c r="M370" s="1" t="n">
        <v>0</v>
      </c>
      <c r="N370" s="1" t="s">
        <v>273</v>
      </c>
      <c r="Z370" s="0" t="n">
        <f aca="false">I370-28</f>
        <v>256.9</v>
      </c>
      <c r="AB370" s="0" t="n">
        <f aca="false">IF(Z370&lt;0,Z370+360,Z370+0)</f>
        <v>256.9</v>
      </c>
    </row>
    <row r="371" customFormat="false" ht="15.8" hidden="false" customHeight="false" outlineLevel="0" collapsed="false">
      <c r="A371" s="1" t="n">
        <v>8</v>
      </c>
      <c r="B371" s="1" t="n">
        <v>10</v>
      </c>
      <c r="C371" s="1" t="n">
        <v>4.3</v>
      </c>
      <c r="D371" s="1" t="n">
        <v>1.2414</v>
      </c>
      <c r="E371" s="1" t="n">
        <v>0.148178</v>
      </c>
      <c r="F371" s="1" t="n">
        <v>0.000404309</v>
      </c>
      <c r="G371" s="1" t="s">
        <v>27</v>
      </c>
      <c r="H371" s="1" t="n">
        <v>158.8</v>
      </c>
      <c r="I371" s="1" t="n">
        <v>58.7</v>
      </c>
      <c r="J371" s="1" t="n">
        <v>18.6</v>
      </c>
      <c r="K371" s="1"/>
      <c r="L371" s="1" t="n">
        <v>0</v>
      </c>
      <c r="M371" s="1" t="n">
        <v>0</v>
      </c>
      <c r="N371" s="1" t="s">
        <v>274</v>
      </c>
      <c r="Z371" s="0" t="n">
        <f aca="false">I371-28</f>
        <v>30.7</v>
      </c>
      <c r="AB371" s="0" t="n">
        <f aca="false">IF(Z371&lt;0,Z371+360,Z371+0)</f>
        <v>30.7</v>
      </c>
    </row>
    <row r="372" customFormat="false" ht="15.8" hidden="false" customHeight="false" outlineLevel="0" collapsed="false">
      <c r="A372" s="1" t="n">
        <v>8</v>
      </c>
      <c r="B372" s="1" t="n">
        <v>10</v>
      </c>
      <c r="C372" s="1" t="n">
        <v>3.3</v>
      </c>
      <c r="D372" s="1" t="n">
        <v>1.1771</v>
      </c>
      <c r="E372" s="1" t="n">
        <v>0.112738</v>
      </c>
      <c r="F372" s="1" t="n">
        <v>0.00030761</v>
      </c>
      <c r="G372" s="1" t="s">
        <v>27</v>
      </c>
      <c r="H372" s="1" t="n">
        <v>28.7</v>
      </c>
      <c r="I372" s="1" t="n">
        <v>211.2</v>
      </c>
      <c r="J372" s="1" t="n">
        <v>23.4</v>
      </c>
      <c r="K372" s="1"/>
      <c r="L372" s="1" t="n">
        <v>0</v>
      </c>
      <c r="M372" s="1" t="n">
        <v>0</v>
      </c>
      <c r="N372" s="1" t="s">
        <v>274</v>
      </c>
      <c r="Z372" s="0" t="n">
        <f aca="false">I372-28</f>
        <v>183.2</v>
      </c>
      <c r="AB372" s="0" t="n">
        <f aca="false">IF(Z372&lt;0,Z372+360,Z372+0)</f>
        <v>183.2</v>
      </c>
    </row>
    <row r="373" customFormat="false" ht="15.8" hidden="false" customHeight="false" outlineLevel="0" collapsed="false">
      <c r="A373" s="1" t="n">
        <v>8</v>
      </c>
      <c r="B373" s="1" t="n">
        <v>10</v>
      </c>
      <c r="C373" s="1" t="n">
        <v>1.5</v>
      </c>
      <c r="D373" s="1" t="n">
        <v>1.1694</v>
      </c>
      <c r="E373" s="1" t="n">
        <v>0.0525393</v>
      </c>
      <c r="F373" s="1" t="n">
        <v>0.000143355</v>
      </c>
      <c r="G373" s="1" t="s">
        <v>27</v>
      </c>
      <c r="H373" s="1" t="n">
        <v>69.5</v>
      </c>
      <c r="I373" s="1" t="n">
        <v>159.7</v>
      </c>
      <c r="J373" s="1" t="n">
        <v>-16.4</v>
      </c>
      <c r="K373" s="1"/>
      <c r="L373" s="1" t="n">
        <v>0</v>
      </c>
      <c r="M373" s="1" t="n">
        <v>0</v>
      </c>
      <c r="N373" s="1" t="s">
        <v>274</v>
      </c>
      <c r="Z373" s="0" t="n">
        <f aca="false">I373-28</f>
        <v>131.7</v>
      </c>
      <c r="AB373" s="0" t="n">
        <f aca="false">IF(Z373&lt;0,Z373+360,Z373+0)</f>
        <v>131.7</v>
      </c>
    </row>
    <row r="374" customFormat="false" ht="15.8" hidden="false" customHeight="false" outlineLevel="0" collapsed="false">
      <c r="A374" s="1" t="n">
        <v>8</v>
      </c>
      <c r="B374" s="1" t="n">
        <v>10</v>
      </c>
      <c r="C374" s="1" t="n">
        <v>1.4</v>
      </c>
      <c r="D374" s="1" t="n">
        <v>1.1344</v>
      </c>
      <c r="E374" s="1" t="n">
        <v>0.0466923</v>
      </c>
      <c r="F374" s="1" t="n">
        <v>0.000127401</v>
      </c>
      <c r="G374" s="1" t="s">
        <v>27</v>
      </c>
      <c r="H374" s="1" t="n">
        <v>99.4</v>
      </c>
      <c r="I374" s="1" t="n">
        <v>128.4</v>
      </c>
      <c r="J374" s="1" t="n">
        <v>18</v>
      </c>
      <c r="K374" s="1"/>
      <c r="L374" s="1" t="n">
        <v>0</v>
      </c>
      <c r="M374" s="1" t="n">
        <v>0</v>
      </c>
      <c r="N374" s="1" t="s">
        <v>274</v>
      </c>
      <c r="Z374" s="0" t="n">
        <f aca="false">I374-28</f>
        <v>100.4</v>
      </c>
      <c r="AB374" s="0" t="n">
        <f aca="false">IF(Z374&lt;0,Z374+360,Z374+0)</f>
        <v>100.4</v>
      </c>
    </row>
    <row r="375" customFormat="false" ht="15.8" hidden="false" customHeight="false" outlineLevel="0" collapsed="false">
      <c r="A375" s="1" t="n">
        <v>8</v>
      </c>
      <c r="B375" s="1" t="n">
        <v>10</v>
      </c>
      <c r="C375" s="1" t="n">
        <v>1.7</v>
      </c>
      <c r="D375" s="1" t="n">
        <v>1.1412</v>
      </c>
      <c r="E375" s="1" t="n">
        <v>0.0570805</v>
      </c>
      <c r="F375" s="1" t="n">
        <v>0.000155746</v>
      </c>
      <c r="G375" s="1" t="s">
        <v>27</v>
      </c>
      <c r="H375" s="1" t="n">
        <v>106</v>
      </c>
      <c r="I375" s="1" t="n">
        <v>334.8</v>
      </c>
      <c r="J375" s="1" t="n">
        <v>14.7</v>
      </c>
      <c r="K375" s="1"/>
      <c r="L375" s="1" t="n">
        <v>0</v>
      </c>
      <c r="M375" s="1" t="n">
        <v>0</v>
      </c>
      <c r="N375" s="1" t="s">
        <v>274</v>
      </c>
      <c r="Z375" s="0" t="n">
        <f aca="false">I375-28</f>
        <v>306.8</v>
      </c>
      <c r="AB375" s="0" t="n">
        <f aca="false">IF(Z375&lt;0,Z375+360,Z375+0)</f>
        <v>306.8</v>
      </c>
    </row>
    <row r="376" customFormat="false" ht="15.8" hidden="false" customHeight="false" outlineLevel="0" collapsed="false">
      <c r="A376" s="1" t="n">
        <v>8</v>
      </c>
      <c r="B376" s="1" t="n">
        <v>9</v>
      </c>
      <c r="C376" s="1" t="n">
        <v>1</v>
      </c>
      <c r="D376" s="1" t="n">
        <v>1.0118</v>
      </c>
      <c r="E376" s="1" t="n">
        <v>0.0336341</v>
      </c>
      <c r="F376" s="1" t="n">
        <v>9.17716E-005</v>
      </c>
      <c r="G376" s="1" t="s">
        <v>47</v>
      </c>
      <c r="H376" s="1" t="n">
        <v>28.7</v>
      </c>
      <c r="I376" s="1" t="n">
        <v>228.3</v>
      </c>
      <c r="J376" s="1" t="n">
        <v>0</v>
      </c>
      <c r="K376" s="1" t="n">
        <v>158.8</v>
      </c>
      <c r="L376" s="1" t="n">
        <v>0</v>
      </c>
      <c r="M376" s="1" t="n">
        <v>0</v>
      </c>
      <c r="N376" s="1" t="s">
        <v>273</v>
      </c>
      <c r="Z376" s="0" t="n">
        <f aca="false">I376-28</f>
        <v>200.3</v>
      </c>
      <c r="AB376" s="0" t="n">
        <f aca="false">IF(Z376&lt;0,Z376+360,Z376+0)</f>
        <v>200.3</v>
      </c>
    </row>
    <row r="377" customFormat="false" ht="15.8" hidden="false" customHeight="false" outlineLevel="0" collapsed="false">
      <c r="A377" s="1" t="n">
        <v>8</v>
      </c>
      <c r="B377" s="1" t="n">
        <v>8</v>
      </c>
      <c r="C377" s="1" t="n">
        <v>0.5</v>
      </c>
      <c r="D377" s="1" t="n">
        <v>1.0212</v>
      </c>
      <c r="E377" s="1" t="n">
        <v>0.01754</v>
      </c>
      <c r="F377" s="1" t="n">
        <v>4.78585E-005</v>
      </c>
      <c r="G377" s="1" t="s">
        <v>47</v>
      </c>
      <c r="H377" s="1" t="n">
        <v>62.6</v>
      </c>
      <c r="I377" s="1" t="n">
        <v>256.9</v>
      </c>
      <c r="J377" s="1" t="n">
        <v>0</v>
      </c>
      <c r="K377" s="1" t="n">
        <v>61.2</v>
      </c>
      <c r="L377" s="1" t="n">
        <v>0</v>
      </c>
      <c r="M377" s="1" t="n">
        <v>0</v>
      </c>
      <c r="N377" s="1" t="s">
        <v>275</v>
      </c>
      <c r="Z377" s="0" t="n">
        <f aca="false">I377-28</f>
        <v>228.9</v>
      </c>
      <c r="AB377" s="0" t="n">
        <f aca="false">IF(Z377&lt;0,Z377+360,Z377+0)</f>
        <v>228.9</v>
      </c>
    </row>
    <row r="378" customFormat="false" ht="15.8" hidden="false" customHeight="false" outlineLevel="0" collapsed="false">
      <c r="A378" s="1" t="n">
        <v>8</v>
      </c>
      <c r="B378" s="1" t="n">
        <v>8</v>
      </c>
      <c r="C378" s="1" t="n">
        <v>6.8</v>
      </c>
      <c r="D378" s="1" t="n">
        <v>1.4744</v>
      </c>
      <c r="E378" s="1" t="n">
        <v>0.232989</v>
      </c>
      <c r="F378" s="1" t="n">
        <v>0.000635718</v>
      </c>
      <c r="G378" s="1" t="s">
        <v>27</v>
      </c>
      <c r="H378" s="1" t="n">
        <v>120.5</v>
      </c>
      <c r="I378" s="1" t="n">
        <v>226.4</v>
      </c>
      <c r="J378" s="1" t="n">
        <v>-74.5</v>
      </c>
      <c r="K378" s="1"/>
      <c r="L378" s="1" t="n">
        <v>0</v>
      </c>
      <c r="M378" s="1" t="n">
        <v>0</v>
      </c>
      <c r="N378" s="1" t="s">
        <v>275</v>
      </c>
      <c r="Z378" s="0" t="n">
        <f aca="false">I378-28</f>
        <v>198.4</v>
      </c>
      <c r="AB378" s="0" t="n">
        <f aca="false">IF(Z378&lt;0,Z378+360,Z378+0)</f>
        <v>198.4</v>
      </c>
    </row>
    <row r="379" customFormat="false" ht="15.8" hidden="false" customHeight="false" outlineLevel="0" collapsed="false">
      <c r="A379" s="1" t="n">
        <v>8</v>
      </c>
      <c r="B379" s="1" t="n">
        <v>10</v>
      </c>
      <c r="C379" s="1" t="n">
        <v>0.9</v>
      </c>
      <c r="D379" s="1" t="n">
        <v>1.0086</v>
      </c>
      <c r="E379" s="1" t="n">
        <v>0.0315799</v>
      </c>
      <c r="F379" s="1" t="n">
        <v>8.61666E-005</v>
      </c>
      <c r="G379" s="1" t="s">
        <v>27</v>
      </c>
      <c r="H379" s="1" t="n">
        <v>38.1</v>
      </c>
      <c r="I379" s="1" t="n">
        <v>114.7</v>
      </c>
      <c r="J379" s="1" t="n">
        <v>0</v>
      </c>
      <c r="K379" s="1"/>
      <c r="L379" s="1" t="n">
        <v>0</v>
      </c>
      <c r="M379" s="1" t="n">
        <v>0</v>
      </c>
      <c r="N379" s="1" t="s">
        <v>276</v>
      </c>
      <c r="Z379" s="0" t="n">
        <f aca="false">I379-28</f>
        <v>86.7</v>
      </c>
      <c r="AB379" s="0" t="n">
        <f aca="false">IF(Z379&lt;0,Z379+360,Z379+0)</f>
        <v>86.7</v>
      </c>
    </row>
    <row r="380" customFormat="false" ht="15.8" hidden="false" customHeight="false" outlineLevel="0" collapsed="false">
      <c r="A380" s="1" t="n">
        <v>8</v>
      </c>
      <c r="B380" s="1" t="n">
        <v>10</v>
      </c>
      <c r="C380" s="1" t="n">
        <v>0.9</v>
      </c>
      <c r="D380" s="1" t="n">
        <v>1.1981</v>
      </c>
      <c r="E380" s="1" t="n">
        <v>0.0321259</v>
      </c>
      <c r="F380" s="1" t="n">
        <v>8.76564E-005</v>
      </c>
      <c r="G380" s="1" t="s">
        <v>27</v>
      </c>
      <c r="H380" s="1" t="n">
        <v>43.5</v>
      </c>
      <c r="I380" s="1" t="n">
        <v>176.4</v>
      </c>
      <c r="J380" s="1" t="n">
        <v>28.2</v>
      </c>
      <c r="K380" s="1"/>
      <c r="L380" s="1" t="n">
        <v>0</v>
      </c>
      <c r="M380" s="1" t="n">
        <v>0</v>
      </c>
      <c r="N380" s="1" t="s">
        <v>276</v>
      </c>
      <c r="Z380" s="0" t="n">
        <f aca="false">I380-28</f>
        <v>148.4</v>
      </c>
      <c r="AB380" s="0" t="n">
        <f aca="false">IF(Z380&lt;0,Z380+360,Z380+0)</f>
        <v>148.4</v>
      </c>
    </row>
    <row r="381" customFormat="false" ht="15.8" hidden="false" customHeight="false" outlineLevel="0" collapsed="false">
      <c r="A381" s="1" t="n">
        <v>8</v>
      </c>
      <c r="B381" s="1" t="n">
        <v>9</v>
      </c>
      <c r="C381" s="1" t="n">
        <v>0.7</v>
      </c>
      <c r="D381" s="1" t="n">
        <v>1.1844</v>
      </c>
      <c r="E381" s="1" t="n">
        <v>0.0250507</v>
      </c>
      <c r="F381" s="1" t="n">
        <v>6.83516E-005</v>
      </c>
      <c r="G381" s="1" t="s">
        <v>47</v>
      </c>
      <c r="H381" s="1" t="n">
        <v>26.3</v>
      </c>
      <c r="I381" s="1" t="n">
        <v>125.1</v>
      </c>
      <c r="J381" s="1" t="n">
        <v>36.9</v>
      </c>
      <c r="K381" s="1" t="n">
        <v>43.5</v>
      </c>
      <c r="L381" s="1" t="n">
        <v>0</v>
      </c>
      <c r="M381" s="1" t="n">
        <v>0</v>
      </c>
      <c r="N381" s="1" t="s">
        <v>277</v>
      </c>
      <c r="Z381" s="0" t="n">
        <f aca="false">I381-28</f>
        <v>97.1</v>
      </c>
      <c r="AB381" s="0" t="n">
        <f aca="false">IF(Z381&lt;0,Z381+360,Z381+0)</f>
        <v>97.1</v>
      </c>
    </row>
    <row r="382" customFormat="false" ht="15.8" hidden="false" customHeight="false" outlineLevel="0" collapsed="false">
      <c r="A382" s="1" t="n">
        <v>8</v>
      </c>
      <c r="B382" s="1" t="n">
        <v>9</v>
      </c>
      <c r="C382" s="1" t="n">
        <v>2.2</v>
      </c>
      <c r="D382" s="1" t="n">
        <v>1.0572</v>
      </c>
      <c r="E382" s="1" t="n">
        <v>0.0750086</v>
      </c>
      <c r="F382" s="1" t="n">
        <v>0.000204663</v>
      </c>
      <c r="G382" s="1" t="s">
        <v>27</v>
      </c>
      <c r="H382" s="1" t="n">
        <v>38.8</v>
      </c>
      <c r="I382" s="1" t="n">
        <v>175.5</v>
      </c>
      <c r="J382" s="1" t="n">
        <v>0</v>
      </c>
      <c r="K382" s="1"/>
      <c r="L382" s="1" t="n">
        <v>0</v>
      </c>
      <c r="M382" s="1" t="n">
        <v>0</v>
      </c>
      <c r="N382" s="1" t="s">
        <v>277</v>
      </c>
      <c r="Z382" s="0" t="n">
        <f aca="false">I382-28</f>
        <v>147.5</v>
      </c>
      <c r="AB382" s="0" t="n">
        <f aca="false">IF(Z382&lt;0,Z382+360,Z382+0)</f>
        <v>147.5</v>
      </c>
    </row>
    <row r="383" customFormat="false" ht="15.8" hidden="false" customHeight="false" outlineLevel="0" collapsed="false">
      <c r="A383" s="1" t="n">
        <v>8</v>
      </c>
      <c r="B383" s="1" t="n">
        <v>8</v>
      </c>
      <c r="C383" s="1" t="n">
        <v>2.3</v>
      </c>
      <c r="D383" s="1" t="n">
        <v>1.2022</v>
      </c>
      <c r="E383" s="1" t="n">
        <v>0.0796248</v>
      </c>
      <c r="F383" s="1" t="n">
        <v>0.000217259</v>
      </c>
      <c r="G383" s="1" t="s">
        <v>47</v>
      </c>
      <c r="H383" s="1" t="n">
        <v>38.9</v>
      </c>
      <c r="I383" s="1" t="n">
        <v>157.7</v>
      </c>
      <c r="J383" s="1" t="n">
        <v>35.1</v>
      </c>
      <c r="K383" s="1" t="n">
        <v>38.8</v>
      </c>
      <c r="L383" s="1" t="n">
        <v>0</v>
      </c>
      <c r="M383" s="1" t="n">
        <v>0</v>
      </c>
      <c r="N383" s="1" t="s">
        <v>275</v>
      </c>
      <c r="Z383" s="0" t="n">
        <f aca="false">I383-28</f>
        <v>129.7</v>
      </c>
      <c r="AB383" s="0" t="n">
        <f aca="false">IF(Z383&lt;0,Z383+360,Z383+0)</f>
        <v>129.7</v>
      </c>
    </row>
    <row r="384" customFormat="false" ht="15.8" hidden="false" customHeight="false" outlineLevel="0" collapsed="false">
      <c r="A384" s="1" t="n">
        <v>8</v>
      </c>
      <c r="B384" s="1" t="n">
        <v>7</v>
      </c>
      <c r="C384" s="1" t="n">
        <v>3.1</v>
      </c>
      <c r="D384" s="1" t="n">
        <v>1.2101</v>
      </c>
      <c r="E384" s="1" t="n">
        <v>0.107847</v>
      </c>
      <c r="F384" s="1" t="n">
        <v>0.000294264</v>
      </c>
      <c r="G384" s="1" t="s">
        <v>47</v>
      </c>
      <c r="H384" s="1" t="n">
        <v>61.1</v>
      </c>
      <c r="I384" s="1" t="n">
        <v>207.8</v>
      </c>
      <c r="J384" s="1" t="n">
        <v>45.4</v>
      </c>
      <c r="K384" s="1" t="n">
        <v>120.5</v>
      </c>
      <c r="L384" s="1" t="n">
        <v>0</v>
      </c>
      <c r="M384" s="1" t="n">
        <v>0</v>
      </c>
      <c r="N384" s="1" t="s">
        <v>272</v>
      </c>
      <c r="Z384" s="0" t="n">
        <f aca="false">I384-28</f>
        <v>179.8</v>
      </c>
      <c r="AB384" s="0" t="n">
        <f aca="false">IF(Z384&lt;0,Z384+360,Z384+0)</f>
        <v>179.8</v>
      </c>
    </row>
    <row r="385" customFormat="false" ht="15.8" hidden="false" customHeight="false" outlineLevel="0" collapsed="false">
      <c r="A385" s="1" t="n">
        <v>8</v>
      </c>
      <c r="B385" s="1" t="n">
        <v>7</v>
      </c>
      <c r="C385" s="1" t="n">
        <v>2.2</v>
      </c>
      <c r="D385" s="1" t="n">
        <v>1.013</v>
      </c>
      <c r="E385" s="1" t="n">
        <v>0.0757142</v>
      </c>
      <c r="F385" s="1" t="n">
        <v>0.000206589</v>
      </c>
      <c r="G385" s="1" t="s">
        <v>27</v>
      </c>
      <c r="H385" s="1" t="n">
        <v>70.3</v>
      </c>
      <c r="I385" s="1" t="n">
        <v>327.3</v>
      </c>
      <c r="J385" s="1" t="n">
        <v>0</v>
      </c>
      <c r="K385" s="1"/>
      <c r="L385" s="1" t="n">
        <v>0</v>
      </c>
      <c r="M385" s="1" t="n">
        <v>0</v>
      </c>
      <c r="N385" s="1" t="s">
        <v>272</v>
      </c>
      <c r="Z385" s="0" t="n">
        <f aca="false">I385-28</f>
        <v>299.3</v>
      </c>
      <c r="AB385" s="0" t="n">
        <f aca="false">IF(Z385&lt;0,Z385+360,Z385+0)</f>
        <v>299.3</v>
      </c>
    </row>
    <row r="386" customFormat="false" ht="15.8" hidden="false" customHeight="false" outlineLevel="0" collapsed="false">
      <c r="A386" s="1" t="n">
        <v>8</v>
      </c>
      <c r="B386" s="1" t="n">
        <v>6</v>
      </c>
      <c r="C386" s="1" t="n">
        <v>1</v>
      </c>
      <c r="D386" s="1" t="n">
        <v>1.2087</v>
      </c>
      <c r="E386" s="1" t="n">
        <v>0.0327938</v>
      </c>
      <c r="F386" s="1" t="n">
        <v>8.94789E-005</v>
      </c>
      <c r="G386" s="1" t="s">
        <v>47</v>
      </c>
      <c r="H386" s="1" t="n">
        <v>11.4</v>
      </c>
      <c r="I386" s="1" t="n">
        <v>344.9</v>
      </c>
      <c r="J386" s="1" t="n">
        <v>69.3</v>
      </c>
      <c r="K386" s="1" t="n">
        <v>70.3</v>
      </c>
      <c r="L386" s="1" t="n">
        <v>0</v>
      </c>
      <c r="M386" s="1" t="n">
        <v>0</v>
      </c>
      <c r="N386" s="1" t="s">
        <v>278</v>
      </c>
      <c r="Z386" s="0" t="n">
        <f aca="false">I386-28</f>
        <v>316.9</v>
      </c>
      <c r="AB386" s="0" t="n">
        <f aca="false">IF(Z386&lt;0,Z386+360,Z386+0)</f>
        <v>316.9</v>
      </c>
    </row>
    <row r="387" customFormat="false" ht="15.8" hidden="false" customHeight="false" outlineLevel="0" collapsed="false">
      <c r="A387" s="1" t="n">
        <v>8</v>
      </c>
      <c r="B387" s="1" t="n">
        <v>6</v>
      </c>
      <c r="C387" s="1" t="n">
        <v>0.5</v>
      </c>
      <c r="D387" s="1" t="n">
        <v>1.0002</v>
      </c>
      <c r="E387" s="1" t="n">
        <v>0.0183444</v>
      </c>
      <c r="F387" s="1" t="n">
        <v>5.00531E-005</v>
      </c>
      <c r="G387" s="1" t="s">
        <v>27</v>
      </c>
      <c r="H387" s="1" t="n">
        <v>85.3</v>
      </c>
      <c r="I387" s="1" t="n">
        <v>91.2</v>
      </c>
      <c r="J387" s="1" t="n">
        <v>0</v>
      </c>
      <c r="K387" s="1"/>
      <c r="L387" s="1" t="n">
        <v>0</v>
      </c>
      <c r="M387" s="1" t="n">
        <v>0</v>
      </c>
      <c r="N387" s="1" t="s">
        <v>278</v>
      </c>
      <c r="Z387" s="0" t="n">
        <f aca="false">I387-28</f>
        <v>63.2</v>
      </c>
      <c r="AB387" s="0" t="n">
        <f aca="false">IF(Z387&lt;0,Z387+360,Z387+0)</f>
        <v>63.2</v>
      </c>
    </row>
    <row r="388" customFormat="false" ht="15.8" hidden="false" customHeight="false" outlineLevel="0" collapsed="false">
      <c r="A388" s="1" t="n">
        <v>8</v>
      </c>
      <c r="B388" s="1" t="n">
        <v>5</v>
      </c>
      <c r="C388" s="1" t="n">
        <v>3.8</v>
      </c>
      <c r="D388" s="1" t="n">
        <v>1.2261</v>
      </c>
      <c r="E388" s="1" t="n">
        <v>0.129508</v>
      </c>
      <c r="F388" s="1" t="n">
        <v>0.000353366</v>
      </c>
      <c r="G388" s="1" t="s">
        <v>47</v>
      </c>
      <c r="H388" s="1" t="n">
        <v>13.8</v>
      </c>
      <c r="I388" s="1" t="n">
        <v>18.4</v>
      </c>
      <c r="J388" s="1" t="n">
        <v>73.9</v>
      </c>
      <c r="K388" s="1" t="n">
        <v>85.3</v>
      </c>
      <c r="L388" s="1" t="n">
        <v>0</v>
      </c>
      <c r="M388" s="1" t="n">
        <v>0</v>
      </c>
      <c r="N388" s="1" t="s">
        <v>279</v>
      </c>
      <c r="Z388" s="0" t="n">
        <f aca="false">I388-28</f>
        <v>-9.6</v>
      </c>
      <c r="AB388" s="0" t="n">
        <f aca="false">IF(Z388&lt;0,Z388+360,Z388+0)</f>
        <v>350.4</v>
      </c>
    </row>
    <row r="389" customFormat="false" ht="15.8" hidden="false" customHeight="false" outlineLevel="0" collapsed="false">
      <c r="A389" s="1" t="n">
        <v>8</v>
      </c>
      <c r="B389" s="1" t="n">
        <v>5</v>
      </c>
      <c r="C389" s="1" t="n">
        <v>2.8</v>
      </c>
      <c r="D389" s="1" t="n">
        <v>1.2459</v>
      </c>
      <c r="E389" s="1" t="n">
        <v>0.0954042</v>
      </c>
      <c r="F389" s="1" t="n">
        <v>0.000260313</v>
      </c>
      <c r="G389" s="1" t="s">
        <v>27</v>
      </c>
      <c r="H389" s="1" t="n">
        <v>84.7</v>
      </c>
      <c r="I389" s="1" t="n">
        <v>223.4</v>
      </c>
      <c r="J389" s="1" t="n">
        <v>29.8</v>
      </c>
      <c r="K389" s="1"/>
      <c r="L389" s="1" t="n">
        <v>0</v>
      </c>
      <c r="M389" s="1" t="n">
        <v>0</v>
      </c>
      <c r="N389" s="1" t="s">
        <v>279</v>
      </c>
      <c r="Z389" s="0" t="n">
        <f aca="false">I389-28</f>
        <v>195.4</v>
      </c>
      <c r="AB389" s="0" t="n">
        <f aca="false">IF(Z389&lt;0,Z389+360,Z389+0)</f>
        <v>195.4</v>
      </c>
    </row>
    <row r="390" customFormat="false" ht="15.8" hidden="false" customHeight="false" outlineLevel="0" collapsed="false">
      <c r="A390" s="1" t="n">
        <v>8</v>
      </c>
      <c r="B390" s="1" t="n">
        <v>5</v>
      </c>
      <c r="C390" s="1" t="n">
        <v>1.8</v>
      </c>
      <c r="D390" s="1" t="n">
        <v>1.1956</v>
      </c>
      <c r="E390" s="1" t="n">
        <v>0.061375</v>
      </c>
      <c r="F390" s="1" t="n">
        <v>0.000167464</v>
      </c>
      <c r="G390" s="1" t="s">
        <v>27</v>
      </c>
      <c r="H390" s="1" t="n">
        <v>60.7</v>
      </c>
      <c r="I390" s="1" t="n">
        <v>181.9</v>
      </c>
      <c r="J390" s="1" t="n">
        <v>47.9</v>
      </c>
      <c r="K390" s="1"/>
      <c r="L390" s="1" t="n">
        <v>0</v>
      </c>
      <c r="M390" s="1" t="n">
        <v>0</v>
      </c>
      <c r="N390" s="1" t="s">
        <v>279</v>
      </c>
      <c r="Z390" s="0" t="n">
        <f aca="false">I390-28</f>
        <v>153.9</v>
      </c>
      <c r="AB390" s="0" t="n">
        <f aca="false">IF(Z390&lt;0,Z390+360,Z390+0)</f>
        <v>153.9</v>
      </c>
    </row>
    <row r="391" customFormat="false" ht="15.8" hidden="false" customHeight="false" outlineLevel="0" collapsed="false">
      <c r="A391" s="1" t="n">
        <v>8</v>
      </c>
      <c r="B391" s="1" t="n">
        <v>4</v>
      </c>
      <c r="C391" s="1" t="n">
        <v>3.6</v>
      </c>
      <c r="D391" s="1" t="n">
        <v>1.0903</v>
      </c>
      <c r="E391" s="1" t="n">
        <v>0.121731</v>
      </c>
      <c r="F391" s="1" t="n">
        <v>0.000332147</v>
      </c>
      <c r="G391" s="1" t="s">
        <v>47</v>
      </c>
      <c r="H391" s="1" t="n">
        <v>3.2</v>
      </c>
      <c r="I391" s="1" t="n">
        <v>50.5</v>
      </c>
      <c r="J391" s="1" t="n">
        <v>65.4</v>
      </c>
      <c r="K391" s="1" t="n">
        <v>84.7</v>
      </c>
      <c r="L391" s="1" t="n">
        <v>0</v>
      </c>
      <c r="M391" s="1" t="n">
        <v>0</v>
      </c>
      <c r="N391" s="1" t="s">
        <v>280</v>
      </c>
      <c r="Z391" s="0" t="n">
        <f aca="false">I391-28</f>
        <v>22.5</v>
      </c>
      <c r="AB391" s="0" t="n">
        <f aca="false">IF(Z391&lt;0,Z391+360,Z391+0)</f>
        <v>22.5</v>
      </c>
    </row>
    <row r="392" customFormat="false" ht="15.8" hidden="false" customHeight="false" outlineLevel="0" collapsed="false">
      <c r="A392" s="1" t="n">
        <v>8</v>
      </c>
      <c r="B392" s="1" t="n">
        <v>4</v>
      </c>
      <c r="C392" s="1" t="n">
        <v>5</v>
      </c>
      <c r="D392" s="1" t="n">
        <v>1.3193</v>
      </c>
      <c r="E392" s="1" t="n">
        <v>0.172002</v>
      </c>
      <c r="F392" s="1" t="n">
        <v>0.000469314</v>
      </c>
      <c r="G392" s="1" t="s">
        <v>27</v>
      </c>
      <c r="H392" s="1" t="n">
        <v>67.2</v>
      </c>
      <c r="I392" s="1" t="n">
        <v>204.6</v>
      </c>
      <c r="J392" s="1" t="n">
        <v>42.9</v>
      </c>
      <c r="K392" s="1"/>
      <c r="L392" s="1" t="n">
        <v>0</v>
      </c>
      <c r="M392" s="1" t="n">
        <v>0</v>
      </c>
      <c r="N392" s="1" t="s">
        <v>280</v>
      </c>
      <c r="Z392" s="0" t="n">
        <f aca="false">I392-28</f>
        <v>176.6</v>
      </c>
      <c r="AB392" s="0" t="n">
        <f aca="false">IF(Z392&lt;0,Z392+360,Z392+0)</f>
        <v>176.6</v>
      </c>
    </row>
    <row r="393" customFormat="false" ht="15.8" hidden="false" customHeight="false" outlineLevel="0" collapsed="false">
      <c r="A393" s="1" t="n">
        <v>8</v>
      </c>
      <c r="B393" s="1" t="n">
        <v>3</v>
      </c>
      <c r="C393" s="1" t="n">
        <v>5.8</v>
      </c>
      <c r="D393" s="1" t="n">
        <v>1.2156</v>
      </c>
      <c r="E393" s="1" t="n">
        <v>0.19899</v>
      </c>
      <c r="F393" s="1" t="n">
        <v>0.00054295</v>
      </c>
      <c r="G393" s="1" t="s">
        <v>47</v>
      </c>
      <c r="H393" s="1" t="n">
        <v>49.7</v>
      </c>
      <c r="I393" s="1" t="n">
        <v>48.4</v>
      </c>
      <c r="J393" s="1" t="n">
        <v>68.4</v>
      </c>
      <c r="K393" s="1" t="n">
        <v>67.2</v>
      </c>
      <c r="L393" s="1" t="n">
        <v>0</v>
      </c>
      <c r="M393" s="1" t="n">
        <v>0</v>
      </c>
      <c r="N393" s="1" t="s">
        <v>264</v>
      </c>
      <c r="Z393" s="0" t="n">
        <f aca="false">I393-28</f>
        <v>20.4</v>
      </c>
      <c r="AB393" s="0" t="n">
        <f aca="false">IF(Z393&lt;0,Z393+360,Z393+0)</f>
        <v>20.4</v>
      </c>
    </row>
    <row r="394" customFormat="false" ht="15.8" hidden="false" customHeight="false" outlineLevel="0" collapsed="false">
      <c r="A394" s="1" t="n">
        <v>8</v>
      </c>
      <c r="B394" s="1" t="n">
        <v>3</v>
      </c>
      <c r="C394" s="1" t="n">
        <v>5.6</v>
      </c>
      <c r="D394" s="1" t="n">
        <v>1.2436</v>
      </c>
      <c r="E394" s="1" t="n">
        <v>0.191397</v>
      </c>
      <c r="F394" s="1" t="n">
        <v>0.000522232</v>
      </c>
      <c r="G394" s="1" t="s">
        <v>27</v>
      </c>
      <c r="H394" s="1" t="n">
        <v>76.7</v>
      </c>
      <c r="I394" s="1" t="n">
        <v>63.5</v>
      </c>
      <c r="J394" s="1" t="n">
        <v>9.5</v>
      </c>
      <c r="K394" s="1"/>
      <c r="L394" s="1" t="n">
        <v>0</v>
      </c>
      <c r="M394" s="1" t="n">
        <v>0</v>
      </c>
      <c r="N394" s="1" t="s">
        <v>264</v>
      </c>
      <c r="Z394" s="0" t="n">
        <f aca="false">I394-28</f>
        <v>35.5</v>
      </c>
      <c r="AB394" s="0" t="n">
        <f aca="false">IF(Z394&lt;0,Z394+360,Z394+0)</f>
        <v>35.5</v>
      </c>
    </row>
    <row r="395" customFormat="false" ht="15.8" hidden="false" customHeight="false" outlineLevel="0" collapsed="false">
      <c r="A395" s="1" t="n">
        <v>8</v>
      </c>
      <c r="B395" s="1" t="n">
        <v>2</v>
      </c>
      <c r="C395" s="1" t="n">
        <v>2.4</v>
      </c>
      <c r="D395" s="1" t="n">
        <v>1.1537</v>
      </c>
      <c r="E395" s="1" t="n">
        <v>0.0809895</v>
      </c>
      <c r="F395" s="1" t="n">
        <v>0.000220982</v>
      </c>
      <c r="G395" s="1" t="s">
        <v>47</v>
      </c>
      <c r="H395" s="1" t="n">
        <v>79.1</v>
      </c>
      <c r="I395" s="1" t="n">
        <v>144.1</v>
      </c>
      <c r="J395" s="1" t="n">
        <v>46.3</v>
      </c>
      <c r="K395" s="1" t="n">
        <v>76.7</v>
      </c>
      <c r="L395" s="1" t="n">
        <v>0</v>
      </c>
      <c r="M395" s="1" t="n">
        <v>0</v>
      </c>
      <c r="N395" s="1" t="s">
        <v>281</v>
      </c>
      <c r="Z395" s="0" t="n">
        <f aca="false">I395-28</f>
        <v>116.1</v>
      </c>
      <c r="AB395" s="0" t="n">
        <f aca="false">IF(Z395&lt;0,Z395+360,Z395+0)</f>
        <v>116.1</v>
      </c>
    </row>
    <row r="396" customFormat="false" ht="15.8" hidden="false" customHeight="false" outlineLevel="0" collapsed="false">
      <c r="A396" s="1" t="n">
        <v>8</v>
      </c>
      <c r="B396" s="1" t="n">
        <v>5</v>
      </c>
      <c r="C396" s="1" t="n">
        <v>2.6</v>
      </c>
      <c r="D396" s="1" t="n">
        <v>1.6054</v>
      </c>
      <c r="E396" s="1" t="n">
        <v>0.0879617</v>
      </c>
      <c r="F396" s="1" t="n">
        <v>0.000240006</v>
      </c>
      <c r="G396" s="1" t="s">
        <v>27</v>
      </c>
      <c r="H396" s="1" t="n">
        <v>63.8</v>
      </c>
      <c r="I396" s="1" t="n">
        <v>324.6</v>
      </c>
      <c r="J396" s="1" t="n">
        <v>67.8</v>
      </c>
      <c r="K396" s="1"/>
      <c r="L396" s="1" t="n">
        <v>0</v>
      </c>
      <c r="M396" s="1" t="n">
        <v>0</v>
      </c>
      <c r="N396" s="1" t="s">
        <v>282</v>
      </c>
      <c r="Z396" s="0" t="n">
        <f aca="false">I396-28</f>
        <v>296.6</v>
      </c>
      <c r="AB396" s="0" t="n">
        <f aca="false">IF(Z396&lt;0,Z396+360,Z396+0)</f>
        <v>296.6</v>
      </c>
    </row>
    <row r="397" customFormat="false" ht="15.8" hidden="false" customHeight="false" outlineLevel="0" collapsed="false">
      <c r="A397" s="1" t="n">
        <v>8</v>
      </c>
      <c r="B397" s="1" t="n">
        <v>6</v>
      </c>
      <c r="C397" s="1" t="n">
        <v>1.5</v>
      </c>
      <c r="D397" s="1" t="n">
        <v>1.1211</v>
      </c>
      <c r="E397" s="1" t="n">
        <v>0.0525786</v>
      </c>
      <c r="F397" s="1" t="n">
        <v>0.000143462</v>
      </c>
      <c r="G397" s="1" t="s">
        <v>27</v>
      </c>
      <c r="H397" s="1" t="n">
        <v>102.8</v>
      </c>
      <c r="I397" s="1" t="n">
        <v>145</v>
      </c>
      <c r="J397" s="1" t="n">
        <v>54.2</v>
      </c>
      <c r="K397" s="1"/>
      <c r="L397" s="1" t="n">
        <v>0</v>
      </c>
      <c r="M397" s="1" t="n">
        <v>0</v>
      </c>
      <c r="N397" s="1" t="s">
        <v>283</v>
      </c>
      <c r="Z397" s="0" t="n">
        <f aca="false">I397-28</f>
        <v>117</v>
      </c>
      <c r="AB397" s="0" t="n">
        <f aca="false">IF(Z397&lt;0,Z397+360,Z397+0)</f>
        <v>117</v>
      </c>
    </row>
    <row r="398" customFormat="false" ht="15.8" hidden="false" customHeight="false" outlineLevel="0" collapsed="false">
      <c r="A398" s="1" t="n">
        <v>8</v>
      </c>
      <c r="B398" s="1" t="n">
        <v>8</v>
      </c>
      <c r="C398" s="1" t="n">
        <v>4.4</v>
      </c>
      <c r="D398" s="1" t="n">
        <v>1.539</v>
      </c>
      <c r="E398" s="1" t="n">
        <v>0.15123</v>
      </c>
      <c r="F398" s="1" t="n">
        <v>0.000412637</v>
      </c>
      <c r="G398" s="1" t="s">
        <v>27</v>
      </c>
      <c r="H398" s="1" t="n">
        <v>8.9</v>
      </c>
      <c r="I398" s="1" t="n">
        <v>347.1</v>
      </c>
      <c r="J398" s="1" t="n">
        <v>-22.8</v>
      </c>
      <c r="K398" s="1"/>
      <c r="L398" s="1" t="n">
        <v>0</v>
      </c>
      <c r="M398" s="1" t="n">
        <v>0</v>
      </c>
      <c r="N398" s="1" t="s">
        <v>284</v>
      </c>
      <c r="Z398" s="0" t="n">
        <f aca="false">I398-28</f>
        <v>319.1</v>
      </c>
      <c r="AB398" s="0" t="n">
        <f aca="false">IF(Z398&lt;0,Z398+360,Z398+0)</f>
        <v>319.1</v>
      </c>
    </row>
    <row r="399" customFormat="false" ht="15.8" hidden="false" customHeight="false" outlineLevel="0" collapsed="false">
      <c r="A399" s="1" t="n">
        <v>8</v>
      </c>
      <c r="B399" s="1" t="n">
        <v>10</v>
      </c>
      <c r="C399" s="1" t="n">
        <v>3.2</v>
      </c>
      <c r="D399" s="1" t="n">
        <v>1.1636</v>
      </c>
      <c r="E399" s="1" t="n">
        <v>0.108503</v>
      </c>
      <c r="F399" s="1" t="n">
        <v>0.000296055</v>
      </c>
      <c r="G399" s="1" t="s">
        <v>27</v>
      </c>
      <c r="H399" s="1" t="n">
        <v>29.5</v>
      </c>
      <c r="I399" s="1" t="n">
        <v>334.8</v>
      </c>
      <c r="J399" s="1" t="n">
        <v>15.8</v>
      </c>
      <c r="K399" s="1"/>
      <c r="L399" s="1" t="n">
        <v>0</v>
      </c>
      <c r="M399" s="1" t="n">
        <v>0</v>
      </c>
      <c r="N399" s="1" t="s">
        <v>285</v>
      </c>
      <c r="Z399" s="0" t="n">
        <f aca="false">I399-28</f>
        <v>306.8</v>
      </c>
      <c r="AB399" s="0" t="n">
        <f aca="false">IF(Z399&lt;0,Z399+360,Z399+0)</f>
        <v>306.8</v>
      </c>
    </row>
    <row r="400" customFormat="false" ht="15.8" hidden="false" customHeight="false" outlineLevel="0" collapsed="false">
      <c r="A400" s="1" t="n">
        <v>8</v>
      </c>
      <c r="B400" s="1" t="n">
        <v>10</v>
      </c>
      <c r="C400" s="1" t="n">
        <v>12.3</v>
      </c>
      <c r="D400" s="1" t="n">
        <v>1.2219</v>
      </c>
      <c r="E400" s="1" t="n">
        <v>0.420607</v>
      </c>
      <c r="F400" s="1" t="n">
        <v>0.00114764</v>
      </c>
      <c r="G400" s="1" t="s">
        <v>27</v>
      </c>
      <c r="H400" s="1" t="n">
        <v>27</v>
      </c>
      <c r="I400" s="1" t="n">
        <v>33.3</v>
      </c>
      <c r="J400" s="1" t="n">
        <v>38.8</v>
      </c>
      <c r="K400" s="1"/>
      <c r="L400" s="1" t="n">
        <v>0</v>
      </c>
      <c r="M400" s="1" t="n">
        <v>0</v>
      </c>
      <c r="N400" s="1" t="s">
        <v>285</v>
      </c>
      <c r="Z400" s="0" t="n">
        <f aca="false">I400-28</f>
        <v>5.3</v>
      </c>
      <c r="AB400" s="0" t="n">
        <f aca="false">IF(Z400&lt;0,Z400+360,Z400+0)</f>
        <v>5.3</v>
      </c>
    </row>
    <row r="401" customFormat="false" ht="15.8" hidden="false" customHeight="false" outlineLevel="0" collapsed="false">
      <c r="A401" s="1" t="n">
        <v>8</v>
      </c>
      <c r="B401" s="1" t="n">
        <v>9</v>
      </c>
      <c r="C401" s="1" t="n">
        <v>3.9</v>
      </c>
      <c r="D401" s="1" t="n">
        <v>1.2191</v>
      </c>
      <c r="E401" s="1" t="n">
        <v>0.134789</v>
      </c>
      <c r="F401" s="1" t="n">
        <v>0.000367776</v>
      </c>
      <c r="G401" s="1" t="s">
        <v>47</v>
      </c>
      <c r="H401" s="1" t="n">
        <v>47.4</v>
      </c>
      <c r="I401" s="1" t="n">
        <v>359.8</v>
      </c>
      <c r="J401" s="1" t="n">
        <v>35</v>
      </c>
      <c r="K401" s="1" t="n">
        <v>29.5</v>
      </c>
      <c r="L401" s="1" t="n">
        <v>0</v>
      </c>
      <c r="M401" s="1" t="n">
        <v>0</v>
      </c>
      <c r="N401" s="1" t="s">
        <v>286</v>
      </c>
      <c r="Z401" s="0" t="n">
        <f aca="false">I401-28</f>
        <v>331.8</v>
      </c>
      <c r="AB401" s="0" t="n">
        <f aca="false">IF(Z401&lt;0,Z401+360,Z401+0)</f>
        <v>331.8</v>
      </c>
    </row>
    <row r="402" customFormat="false" ht="15.8" hidden="false" customHeight="false" outlineLevel="0" collapsed="false">
      <c r="A402" s="1" t="n">
        <v>8</v>
      </c>
      <c r="B402" s="1" t="n">
        <v>10</v>
      </c>
      <c r="C402" s="1" t="n">
        <v>0.5</v>
      </c>
      <c r="D402" s="1" t="n">
        <v>1.004</v>
      </c>
      <c r="E402" s="1" t="n">
        <v>0.0185889</v>
      </c>
      <c r="F402" s="1" t="n">
        <v>5.07203E-005</v>
      </c>
      <c r="G402" s="1" t="s">
        <v>27</v>
      </c>
      <c r="H402" s="1" t="n">
        <v>61</v>
      </c>
      <c r="I402" s="1" t="n">
        <v>14</v>
      </c>
      <c r="J402" s="1" t="n">
        <v>0</v>
      </c>
      <c r="K402" s="1"/>
      <c r="L402" s="1" t="n">
        <v>0</v>
      </c>
      <c r="M402" s="1" t="n">
        <v>0</v>
      </c>
      <c r="N402" s="1" t="s">
        <v>287</v>
      </c>
      <c r="Z402" s="0" t="n">
        <f aca="false">I402-28</f>
        <v>-14</v>
      </c>
      <c r="AB402" s="0" t="n">
        <f aca="false">IF(Z402&lt;0,Z402+360,Z402+0)</f>
        <v>346</v>
      </c>
    </row>
    <row r="403" customFormat="false" ht="15.8" hidden="false" customHeight="false" outlineLevel="0" collapsed="false">
      <c r="A403" s="1" t="n">
        <v>8</v>
      </c>
      <c r="B403" s="1" t="n">
        <v>10</v>
      </c>
      <c r="C403" s="1" t="n">
        <v>1</v>
      </c>
      <c r="D403" s="1" t="n">
        <v>1.1688</v>
      </c>
      <c r="E403" s="1" t="n">
        <v>0.0338289</v>
      </c>
      <c r="F403" s="1" t="n">
        <v>9.23033E-005</v>
      </c>
      <c r="G403" s="1" t="s">
        <v>27</v>
      </c>
      <c r="H403" s="1" t="n">
        <v>61</v>
      </c>
      <c r="I403" s="1" t="n">
        <v>276.2</v>
      </c>
      <c r="J403" s="1" t="n">
        <v>-61.2</v>
      </c>
      <c r="K403" s="1"/>
      <c r="L403" s="1" t="n">
        <v>0</v>
      </c>
      <c r="M403" s="1" t="n">
        <v>0</v>
      </c>
      <c r="N403" s="1" t="s">
        <v>287</v>
      </c>
      <c r="Z403" s="0" t="n">
        <f aca="false">I403-28</f>
        <v>248.2</v>
      </c>
      <c r="AB403" s="0" t="n">
        <f aca="false">IF(Z403&lt;0,Z403+360,Z403+0)</f>
        <v>248.2</v>
      </c>
    </row>
    <row r="404" customFormat="false" ht="15.8" hidden="false" customHeight="false" outlineLevel="0" collapsed="false">
      <c r="A404" s="1" t="n">
        <v>8</v>
      </c>
      <c r="B404" s="1" t="n">
        <v>9</v>
      </c>
      <c r="C404" s="1" t="n">
        <v>2.3</v>
      </c>
      <c r="D404" s="1" t="n">
        <v>1.2069</v>
      </c>
      <c r="E404" s="1" t="n">
        <v>0.0773607</v>
      </c>
      <c r="F404" s="1" t="n">
        <v>0.000211081</v>
      </c>
      <c r="G404" s="1" t="s">
        <v>47</v>
      </c>
      <c r="H404" s="1" t="n">
        <v>63.2</v>
      </c>
      <c r="I404" s="1" t="n">
        <v>51.6</v>
      </c>
      <c r="J404" s="1" t="n">
        <v>-52.3</v>
      </c>
      <c r="K404" s="1" t="n">
        <v>61</v>
      </c>
      <c r="L404" s="1" t="n">
        <v>0</v>
      </c>
      <c r="M404" s="1" t="n">
        <v>0</v>
      </c>
      <c r="N404" s="1" t="s">
        <v>286</v>
      </c>
      <c r="Z404" s="0" t="n">
        <f aca="false">I404-28</f>
        <v>23.6</v>
      </c>
      <c r="AB404" s="0" t="n">
        <f aca="false">IF(Z404&lt;0,Z404+360,Z404+0)</f>
        <v>23.6</v>
      </c>
    </row>
    <row r="405" customFormat="false" ht="15.8" hidden="false" customHeight="false" outlineLevel="0" collapsed="false">
      <c r="A405" s="1" t="n">
        <v>8</v>
      </c>
      <c r="B405" s="1" t="n">
        <v>8</v>
      </c>
      <c r="C405" s="1" t="n">
        <v>5.1</v>
      </c>
      <c r="D405" s="1" t="n">
        <v>1.2516</v>
      </c>
      <c r="E405" s="1" t="n">
        <v>0.17383</v>
      </c>
      <c r="F405" s="1" t="n">
        <v>0.000474299</v>
      </c>
      <c r="G405" s="1" t="s">
        <v>47</v>
      </c>
      <c r="H405" s="1" t="n">
        <v>61.3</v>
      </c>
      <c r="I405" s="1" t="n">
        <v>44.6</v>
      </c>
      <c r="J405" s="1" t="n">
        <v>10.5</v>
      </c>
      <c r="K405" s="1" t="n">
        <v>63.2</v>
      </c>
      <c r="L405" s="1" t="n">
        <v>0</v>
      </c>
      <c r="M405" s="1" t="n">
        <v>0</v>
      </c>
      <c r="N405" s="1" t="s">
        <v>284</v>
      </c>
      <c r="Z405" s="0" t="n">
        <f aca="false">I405-28</f>
        <v>16.6</v>
      </c>
      <c r="AB405" s="0" t="n">
        <f aca="false">IF(Z405&lt;0,Z405+360,Z405+0)</f>
        <v>16.6</v>
      </c>
    </row>
    <row r="406" customFormat="false" ht="15.8" hidden="false" customHeight="false" outlineLevel="0" collapsed="false">
      <c r="A406" s="1" t="n">
        <v>8</v>
      </c>
      <c r="B406" s="1" t="n">
        <v>7</v>
      </c>
      <c r="C406" s="1" t="n">
        <v>5.6</v>
      </c>
      <c r="D406" s="1" t="n">
        <v>1.1732</v>
      </c>
      <c r="E406" s="1" t="n">
        <v>0.190908</v>
      </c>
      <c r="F406" s="1" t="n">
        <v>0.000520897</v>
      </c>
      <c r="G406" s="1" t="s">
        <v>47</v>
      </c>
      <c r="H406" s="1" t="n">
        <v>35.6</v>
      </c>
      <c r="I406" s="1" t="n">
        <v>355.2</v>
      </c>
      <c r="J406" s="1" t="n">
        <v>-27.9</v>
      </c>
      <c r="K406" s="1" t="n">
        <v>61.3</v>
      </c>
      <c r="L406" s="1" t="n">
        <v>0</v>
      </c>
      <c r="M406" s="1" t="n">
        <v>0</v>
      </c>
      <c r="N406" s="1" t="s">
        <v>288</v>
      </c>
      <c r="Z406" s="0" t="n">
        <f aca="false">I406-28</f>
        <v>327.2</v>
      </c>
      <c r="AB406" s="0" t="n">
        <f aca="false">IF(Z406&lt;0,Z406+360,Z406+0)</f>
        <v>327.2</v>
      </c>
    </row>
    <row r="407" customFormat="false" ht="15.8" hidden="false" customHeight="false" outlineLevel="0" collapsed="false">
      <c r="A407" s="1" t="n">
        <v>8</v>
      </c>
      <c r="B407" s="1" t="n">
        <v>7</v>
      </c>
      <c r="C407" s="1" t="n">
        <v>4.4</v>
      </c>
      <c r="D407" s="1" t="n">
        <v>1.1347</v>
      </c>
      <c r="E407" s="1" t="n">
        <v>0.150964</v>
      </c>
      <c r="F407" s="1" t="n">
        <v>0.000411911</v>
      </c>
      <c r="G407" s="1" t="s">
        <v>27</v>
      </c>
      <c r="H407" s="1" t="n">
        <v>77.3</v>
      </c>
      <c r="I407" s="1" t="n">
        <v>104.9</v>
      </c>
      <c r="J407" s="1" t="n">
        <v>5.5</v>
      </c>
      <c r="K407" s="1"/>
      <c r="L407" s="1" t="n">
        <v>0</v>
      </c>
      <c r="M407" s="1" t="n">
        <v>0</v>
      </c>
      <c r="N407" s="1" t="s">
        <v>288</v>
      </c>
      <c r="Z407" s="0" t="n">
        <f aca="false">I407-28</f>
        <v>76.9</v>
      </c>
      <c r="AB407" s="0" t="n">
        <f aca="false">IF(Z407&lt;0,Z407+360,Z407+0)</f>
        <v>76.9</v>
      </c>
    </row>
    <row r="408" customFormat="false" ht="15.8" hidden="false" customHeight="false" outlineLevel="0" collapsed="false">
      <c r="A408" s="1" t="n">
        <v>8</v>
      </c>
      <c r="B408" s="1" t="n">
        <v>8</v>
      </c>
      <c r="C408" s="1" t="n">
        <v>1.9</v>
      </c>
      <c r="D408" s="1" t="n">
        <v>1.324</v>
      </c>
      <c r="E408" s="1" t="n">
        <v>0.0653612</v>
      </c>
      <c r="F408" s="1" t="n">
        <v>0.00017834</v>
      </c>
      <c r="G408" s="1" t="s">
        <v>27</v>
      </c>
      <c r="H408" s="1" t="n">
        <v>63.6</v>
      </c>
      <c r="I408" s="1" t="n">
        <v>357</v>
      </c>
      <c r="J408" s="1" t="n">
        <v>-30.9</v>
      </c>
      <c r="K408" s="1"/>
      <c r="L408" s="1" t="n">
        <v>0</v>
      </c>
      <c r="M408" s="1" t="n">
        <v>0</v>
      </c>
      <c r="N408" s="1" t="s">
        <v>289</v>
      </c>
      <c r="Z408" s="0" t="n">
        <f aca="false">I408-28</f>
        <v>329</v>
      </c>
      <c r="AB408" s="0" t="n">
        <f aca="false">IF(Z408&lt;0,Z408+360,Z408+0)</f>
        <v>329</v>
      </c>
    </row>
    <row r="409" customFormat="false" ht="15.8" hidden="false" customHeight="false" outlineLevel="0" collapsed="false">
      <c r="A409" s="1" t="n">
        <v>8</v>
      </c>
      <c r="B409" s="1" t="n">
        <v>9</v>
      </c>
      <c r="C409" s="1" t="n">
        <v>1.4</v>
      </c>
      <c r="D409" s="1" t="n">
        <v>1.5452</v>
      </c>
      <c r="E409" s="1" t="n">
        <v>0.0480948</v>
      </c>
      <c r="F409" s="1" t="n">
        <v>0.000131228</v>
      </c>
      <c r="G409" s="1" t="s">
        <v>27</v>
      </c>
      <c r="H409" s="1" t="n">
        <v>37.1</v>
      </c>
      <c r="I409" s="1" t="n">
        <v>18.2</v>
      </c>
      <c r="J409" s="1" t="n">
        <v>0</v>
      </c>
      <c r="K409" s="1"/>
      <c r="L409" s="1" t="n">
        <v>0</v>
      </c>
      <c r="M409" s="1" t="n">
        <v>0</v>
      </c>
      <c r="N409" s="1" t="s">
        <v>290</v>
      </c>
      <c r="Z409" s="0" t="n">
        <f aca="false">I409-28</f>
        <v>-9.8</v>
      </c>
      <c r="AB409" s="0" t="n">
        <f aca="false">IF(Z409&lt;0,Z409+360,Z409+0)</f>
        <v>350.2</v>
      </c>
    </row>
    <row r="410" customFormat="false" ht="15.8" hidden="false" customHeight="false" outlineLevel="0" collapsed="false">
      <c r="A410" s="1" t="n">
        <v>8</v>
      </c>
      <c r="B410" s="1" t="n">
        <v>9</v>
      </c>
      <c r="C410" s="1" t="n">
        <v>1.6</v>
      </c>
      <c r="D410" s="1" t="n">
        <v>1.3069</v>
      </c>
      <c r="E410" s="1" t="n">
        <v>0.0563123</v>
      </c>
      <c r="F410" s="1" t="n">
        <v>0.00015365</v>
      </c>
      <c r="G410" s="1" t="s">
        <v>27</v>
      </c>
      <c r="H410" s="1" t="n">
        <v>143.1</v>
      </c>
      <c r="I410" s="1" t="n">
        <v>188.7</v>
      </c>
      <c r="J410" s="1" t="n">
        <v>-36.1</v>
      </c>
      <c r="K410" s="1"/>
      <c r="L410" s="1" t="n">
        <v>0</v>
      </c>
      <c r="M410" s="1" t="n">
        <v>0</v>
      </c>
      <c r="N410" s="1" t="s">
        <v>290</v>
      </c>
      <c r="Z410" s="0" t="n">
        <f aca="false">I410-28</f>
        <v>160.7</v>
      </c>
      <c r="AB410" s="0" t="n">
        <f aca="false">IF(Z410&lt;0,Z410+360,Z410+0)</f>
        <v>160.7</v>
      </c>
    </row>
    <row r="411" customFormat="false" ht="15.8" hidden="false" customHeight="false" outlineLevel="0" collapsed="false">
      <c r="A411" s="1" t="n">
        <v>8</v>
      </c>
      <c r="B411" s="1" t="n">
        <v>9</v>
      </c>
      <c r="C411" s="1" t="n">
        <v>2.4</v>
      </c>
      <c r="D411" s="1" t="n">
        <v>1.0338</v>
      </c>
      <c r="E411" s="1" t="n">
        <v>0.083335</v>
      </c>
      <c r="F411" s="1" t="n">
        <v>0.000227382</v>
      </c>
      <c r="G411" s="1" t="s">
        <v>27</v>
      </c>
      <c r="H411" s="1" t="n">
        <v>74.2</v>
      </c>
      <c r="I411" s="1" t="n">
        <v>121.3</v>
      </c>
      <c r="J411" s="1" t="n">
        <v>0</v>
      </c>
      <c r="K411" s="1"/>
      <c r="L411" s="1" t="n">
        <v>0</v>
      </c>
      <c r="M411" s="1" t="n">
        <v>0</v>
      </c>
      <c r="N411" s="1" t="s">
        <v>290</v>
      </c>
      <c r="Z411" s="0" t="n">
        <f aca="false">I411-28</f>
        <v>93.3</v>
      </c>
      <c r="AB411" s="0" t="n">
        <f aca="false">IF(Z411&lt;0,Z411+360,Z411+0)</f>
        <v>93.3</v>
      </c>
    </row>
    <row r="412" customFormat="false" ht="15.8" hidden="false" customHeight="false" outlineLevel="0" collapsed="false">
      <c r="A412" s="1" t="n">
        <v>8</v>
      </c>
      <c r="B412" s="1" t="n">
        <v>10</v>
      </c>
      <c r="C412" s="1" t="n">
        <v>1.6</v>
      </c>
      <c r="D412" s="1" t="n">
        <v>1.1811</v>
      </c>
      <c r="E412" s="1" t="n">
        <v>0.0552114</v>
      </c>
      <c r="F412" s="1" t="n">
        <v>0.000150646</v>
      </c>
      <c r="G412" s="1" t="s">
        <v>27</v>
      </c>
      <c r="H412" s="1" t="n">
        <v>58.7</v>
      </c>
      <c r="I412" s="1" t="n">
        <v>74.8</v>
      </c>
      <c r="J412" s="1" t="n">
        <v>54.5</v>
      </c>
      <c r="K412" s="1"/>
      <c r="L412" s="1" t="n">
        <v>0</v>
      </c>
      <c r="M412" s="1" t="n">
        <v>0</v>
      </c>
      <c r="N412" s="1" t="s">
        <v>291</v>
      </c>
      <c r="Z412" s="0" t="n">
        <f aca="false">I412-28</f>
        <v>46.8</v>
      </c>
      <c r="AB412" s="0" t="n">
        <f aca="false">IF(Z412&lt;0,Z412+360,Z412+0)</f>
        <v>46.8</v>
      </c>
    </row>
    <row r="413" customFormat="false" ht="15.8" hidden="false" customHeight="false" outlineLevel="0" collapsed="false">
      <c r="A413" s="1" t="n">
        <v>8</v>
      </c>
      <c r="B413" s="1" t="n">
        <v>11</v>
      </c>
      <c r="C413" s="1" t="n">
        <v>0.8</v>
      </c>
      <c r="D413" s="1" t="n">
        <v>1.2155</v>
      </c>
      <c r="E413" s="1" t="n">
        <v>0.0260918</v>
      </c>
      <c r="F413" s="1" t="n">
        <v>7.11924E-005</v>
      </c>
      <c r="G413" s="1" t="s">
        <v>27</v>
      </c>
      <c r="H413" s="1" t="n">
        <v>50.2</v>
      </c>
      <c r="I413" s="1" t="n">
        <v>263.8</v>
      </c>
      <c r="J413" s="1" t="n">
        <v>-36.2</v>
      </c>
      <c r="K413" s="1"/>
      <c r="L413" s="1" t="n">
        <v>0</v>
      </c>
      <c r="M413" s="1" t="n">
        <v>0</v>
      </c>
      <c r="N413" s="1" t="s">
        <v>292</v>
      </c>
      <c r="Z413" s="0" t="n">
        <f aca="false">I413-28</f>
        <v>235.8</v>
      </c>
      <c r="AB413" s="0" t="n">
        <f aca="false">IF(Z413&lt;0,Z413+360,Z413+0)</f>
        <v>235.8</v>
      </c>
    </row>
    <row r="414" customFormat="false" ht="15.8" hidden="false" customHeight="false" outlineLevel="0" collapsed="false">
      <c r="A414" s="1" t="n">
        <v>8</v>
      </c>
      <c r="B414" s="1" t="n">
        <v>13</v>
      </c>
      <c r="C414" s="1" t="n">
        <v>1.3</v>
      </c>
      <c r="D414" s="1" t="n">
        <v>1.1864</v>
      </c>
      <c r="E414" s="1" t="n">
        <v>0.0435225</v>
      </c>
      <c r="F414" s="1" t="n">
        <v>0.000118752</v>
      </c>
      <c r="G414" s="1" t="s">
        <v>27</v>
      </c>
      <c r="H414" s="1" t="n">
        <v>61.4</v>
      </c>
      <c r="I414" s="1" t="n">
        <v>168.1</v>
      </c>
      <c r="J414" s="1" t="n">
        <v>20.2</v>
      </c>
      <c r="K414" s="1"/>
      <c r="L414" s="1" t="n">
        <v>0</v>
      </c>
      <c r="M414" s="1" t="n">
        <v>0</v>
      </c>
      <c r="N414" s="1" t="s">
        <v>293</v>
      </c>
      <c r="Z414" s="0" t="n">
        <f aca="false">I414-28</f>
        <v>140.1</v>
      </c>
      <c r="AB414" s="0" t="n">
        <f aca="false">IF(Z414&lt;0,Z414+360,Z414+0)</f>
        <v>140.1</v>
      </c>
    </row>
    <row r="415" customFormat="false" ht="15.8" hidden="false" customHeight="false" outlineLevel="0" collapsed="false">
      <c r="A415" s="1" t="n">
        <v>8</v>
      </c>
      <c r="B415" s="1" t="n">
        <v>13</v>
      </c>
      <c r="C415" s="1" t="n">
        <v>0.9</v>
      </c>
      <c r="D415" s="1" t="n">
        <v>1.0733</v>
      </c>
      <c r="E415" s="1" t="n">
        <v>0.0315863</v>
      </c>
      <c r="F415" s="1" t="n">
        <v>8.61842E-005</v>
      </c>
      <c r="G415" s="1" t="s">
        <v>27</v>
      </c>
      <c r="H415" s="1" t="n">
        <v>65.1</v>
      </c>
      <c r="I415" s="1" t="n">
        <v>262.7</v>
      </c>
      <c r="J415" s="1" t="n">
        <v>0</v>
      </c>
      <c r="K415" s="1"/>
      <c r="L415" s="1" t="n">
        <v>0</v>
      </c>
      <c r="M415" s="1" t="n">
        <v>0</v>
      </c>
      <c r="N415" s="1" t="s">
        <v>293</v>
      </c>
      <c r="Z415" s="0" t="n">
        <f aca="false">I415-28</f>
        <v>234.7</v>
      </c>
      <c r="AB415" s="0" t="n">
        <f aca="false">IF(Z415&lt;0,Z415+360,Z415+0)</f>
        <v>234.7</v>
      </c>
    </row>
    <row r="416" customFormat="false" ht="15.8" hidden="false" customHeight="false" outlineLevel="0" collapsed="false">
      <c r="A416" s="1" t="n">
        <v>8</v>
      </c>
      <c r="B416" s="1" t="n">
        <v>12</v>
      </c>
      <c r="C416" s="1" t="n">
        <v>0.4</v>
      </c>
      <c r="D416" s="1" t="n">
        <v>1</v>
      </c>
      <c r="E416" s="1" t="n">
        <v>0.0144186</v>
      </c>
      <c r="F416" s="1" t="n">
        <v>3.93416E-005</v>
      </c>
      <c r="G416" s="1" t="s">
        <v>47</v>
      </c>
      <c r="H416" s="1" t="n">
        <v>65.4</v>
      </c>
      <c r="I416" s="1" t="n">
        <v>235</v>
      </c>
      <c r="J416" s="1" t="n">
        <v>61.6</v>
      </c>
      <c r="K416" s="1" t="n">
        <v>65.1</v>
      </c>
      <c r="L416" s="1" t="n">
        <v>0</v>
      </c>
      <c r="M416" s="1" t="n">
        <v>0</v>
      </c>
      <c r="N416" s="1" t="s">
        <v>294</v>
      </c>
      <c r="Z416" s="0" t="n">
        <f aca="false">I416-28</f>
        <v>207</v>
      </c>
      <c r="AB416" s="0" t="n">
        <f aca="false">IF(Z416&lt;0,Z416+360,Z416+0)</f>
        <v>207</v>
      </c>
    </row>
    <row r="417" customFormat="false" ht="15.8" hidden="false" customHeight="false" outlineLevel="0" collapsed="false">
      <c r="A417" s="1" t="n">
        <v>8</v>
      </c>
      <c r="B417" s="1" t="n">
        <v>13</v>
      </c>
      <c r="C417" s="1" t="n">
        <v>1.7</v>
      </c>
      <c r="D417" s="1" t="n">
        <v>1.1782</v>
      </c>
      <c r="E417" s="1" t="n">
        <v>0.0595852</v>
      </c>
      <c r="F417" s="1" t="n">
        <v>0.00016258</v>
      </c>
      <c r="G417" s="1" t="s">
        <v>27</v>
      </c>
      <c r="H417" s="1" t="n">
        <v>38.2</v>
      </c>
      <c r="I417" s="1" t="n">
        <v>79.7</v>
      </c>
      <c r="J417" s="1" t="n">
        <v>-30.1</v>
      </c>
      <c r="K417" s="1"/>
      <c r="L417" s="1" t="n">
        <v>0</v>
      </c>
      <c r="M417" s="1" t="n">
        <v>0</v>
      </c>
      <c r="N417" s="1" t="s">
        <v>295</v>
      </c>
      <c r="Z417" s="0" t="n">
        <f aca="false">I417-28</f>
        <v>51.7</v>
      </c>
      <c r="AB417" s="0" t="n">
        <f aca="false">IF(Z417&lt;0,Z417+360,Z417+0)</f>
        <v>51.7</v>
      </c>
    </row>
    <row r="418" customFormat="false" ht="15.8" hidden="false" customHeight="false" outlineLevel="0" collapsed="false">
      <c r="A418" s="1" t="n">
        <v>8</v>
      </c>
      <c r="B418" s="1" t="n">
        <v>14</v>
      </c>
      <c r="C418" s="1" t="n">
        <v>0.9</v>
      </c>
      <c r="D418" s="1" t="n">
        <v>1.079</v>
      </c>
      <c r="E418" s="1" t="n">
        <v>0.031495</v>
      </c>
      <c r="F418" s="1" t="n">
        <v>8.59351E-005</v>
      </c>
      <c r="G418" s="1" t="s">
        <v>27</v>
      </c>
      <c r="H418" s="1" t="n">
        <v>81.7</v>
      </c>
      <c r="I418" s="1" t="n">
        <v>247.4</v>
      </c>
      <c r="J418" s="1" t="n">
        <v>0</v>
      </c>
      <c r="K418" s="1"/>
      <c r="L418" s="1" t="n">
        <v>0</v>
      </c>
      <c r="M418" s="1" t="n">
        <v>0</v>
      </c>
      <c r="N418" s="1" t="s">
        <v>296</v>
      </c>
      <c r="Z418" s="0" t="n">
        <f aca="false">I418-28</f>
        <v>219.4</v>
      </c>
      <c r="AB418" s="0" t="n">
        <f aca="false">IF(Z418&lt;0,Z418+360,Z418+0)</f>
        <v>219.4</v>
      </c>
    </row>
    <row r="419" customFormat="false" ht="15.8" hidden="false" customHeight="false" outlineLevel="0" collapsed="false">
      <c r="A419" s="1" t="n">
        <v>8</v>
      </c>
      <c r="B419" s="1" t="n">
        <v>14</v>
      </c>
      <c r="C419" s="1" t="n">
        <v>0.8</v>
      </c>
      <c r="D419" s="1" t="n">
        <v>1.0091</v>
      </c>
      <c r="E419" s="1" t="n">
        <v>0.0272823</v>
      </c>
      <c r="F419" s="1" t="n">
        <v>7.44407E-005</v>
      </c>
      <c r="G419" s="1" t="s">
        <v>27</v>
      </c>
      <c r="H419" s="1" t="n">
        <v>86.8</v>
      </c>
      <c r="I419" s="1" t="n">
        <v>94.8</v>
      </c>
      <c r="J419" s="1" t="n">
        <v>0</v>
      </c>
      <c r="K419" s="1"/>
      <c r="L419" s="1" t="n">
        <v>0</v>
      </c>
      <c r="M419" s="1" t="n">
        <v>0</v>
      </c>
      <c r="N419" s="1" t="s">
        <v>296</v>
      </c>
      <c r="Z419" s="0" t="n">
        <f aca="false">I419-28</f>
        <v>66.8</v>
      </c>
      <c r="AB419" s="0" t="n">
        <f aca="false">IF(Z419&lt;0,Z419+360,Z419+0)</f>
        <v>66.8</v>
      </c>
    </row>
    <row r="420" customFormat="false" ht="15.8" hidden="false" customHeight="false" outlineLevel="0" collapsed="false">
      <c r="A420" s="1" t="n">
        <v>8</v>
      </c>
      <c r="B420" s="1" t="n">
        <v>13</v>
      </c>
      <c r="C420" s="1" t="n">
        <v>1.9</v>
      </c>
      <c r="D420" s="1" t="n">
        <v>1.1941</v>
      </c>
      <c r="E420" s="1" t="n">
        <v>0.0668294</v>
      </c>
      <c r="F420" s="1" t="n">
        <v>0.000182346</v>
      </c>
      <c r="G420" s="1" t="s">
        <v>47</v>
      </c>
      <c r="H420" s="1" t="n">
        <v>103.1</v>
      </c>
      <c r="I420" s="1" t="n">
        <v>177.3</v>
      </c>
      <c r="J420" s="1" t="n">
        <v>65.1</v>
      </c>
      <c r="K420" s="1" t="n">
        <v>86.8</v>
      </c>
      <c r="L420" s="1" t="n">
        <v>0</v>
      </c>
      <c r="M420" s="1" t="n">
        <v>0</v>
      </c>
      <c r="N420" s="1" t="s">
        <v>295</v>
      </c>
      <c r="Z420" s="0" t="n">
        <f aca="false">I420-28</f>
        <v>149.3</v>
      </c>
      <c r="AB420" s="0" t="n">
        <f aca="false">IF(Z420&lt;0,Z420+360,Z420+0)</f>
        <v>149.3</v>
      </c>
    </row>
    <row r="421" customFormat="false" ht="15.8" hidden="false" customHeight="false" outlineLevel="0" collapsed="false">
      <c r="A421" s="1" t="n">
        <v>8</v>
      </c>
      <c r="B421" s="1" t="n">
        <v>14</v>
      </c>
      <c r="C421" s="1" t="n">
        <v>0.7</v>
      </c>
      <c r="D421" s="1" t="n">
        <v>1.0025</v>
      </c>
      <c r="E421" s="1" t="n">
        <v>0.024154</v>
      </c>
      <c r="F421" s="1" t="n">
        <v>6.5905E-005</v>
      </c>
      <c r="G421" s="1" t="s">
        <v>27</v>
      </c>
      <c r="H421" s="1" t="n">
        <v>91.4</v>
      </c>
      <c r="I421" s="1" t="n">
        <v>263.8</v>
      </c>
      <c r="J421" s="1" t="n">
        <v>0</v>
      </c>
      <c r="K421" s="1"/>
      <c r="L421" s="1" t="n">
        <v>0</v>
      </c>
      <c r="M421" s="1" t="n">
        <v>0</v>
      </c>
      <c r="N421" s="1" t="s">
        <v>297</v>
      </c>
      <c r="Z421" s="0" t="n">
        <f aca="false">I421-28</f>
        <v>235.8</v>
      </c>
      <c r="AB421" s="0" t="n">
        <f aca="false">IF(Z421&lt;0,Z421+360,Z421+0)</f>
        <v>235.8</v>
      </c>
    </row>
    <row r="422" customFormat="false" ht="15.8" hidden="false" customHeight="false" outlineLevel="0" collapsed="false">
      <c r="A422" s="1" t="n">
        <v>8</v>
      </c>
      <c r="B422" s="1" t="n">
        <v>15</v>
      </c>
      <c r="C422" s="1" t="n">
        <v>1.4</v>
      </c>
      <c r="D422" s="1" t="n">
        <v>1.1828</v>
      </c>
      <c r="E422" s="1" t="n">
        <v>0.0463103</v>
      </c>
      <c r="F422" s="1" t="n">
        <v>0.000126359</v>
      </c>
      <c r="G422" s="1" t="s">
        <v>27</v>
      </c>
      <c r="H422" s="1" t="n">
        <v>83.2</v>
      </c>
      <c r="I422" s="1" t="n">
        <v>299.7</v>
      </c>
      <c r="J422" s="1" t="n">
        <v>18.9</v>
      </c>
      <c r="K422" s="1"/>
      <c r="L422" s="1" t="n">
        <v>0</v>
      </c>
      <c r="M422" s="1" t="n">
        <v>0</v>
      </c>
      <c r="N422" s="1" t="s">
        <v>298</v>
      </c>
      <c r="Z422" s="0" t="n">
        <f aca="false">I422-28</f>
        <v>271.7</v>
      </c>
      <c r="AB422" s="0" t="n">
        <f aca="false">IF(Z422&lt;0,Z422+360,Z422+0)</f>
        <v>271.7</v>
      </c>
    </row>
    <row r="423" customFormat="false" ht="15.8" hidden="false" customHeight="false" outlineLevel="0" collapsed="false">
      <c r="A423" s="1" t="n">
        <v>8</v>
      </c>
      <c r="B423" s="1" t="n">
        <v>15</v>
      </c>
      <c r="C423" s="1" t="n">
        <v>1.7</v>
      </c>
      <c r="D423" s="1" t="n">
        <v>1.2523</v>
      </c>
      <c r="E423" s="1" t="n">
        <v>0.058551</v>
      </c>
      <c r="F423" s="1" t="n">
        <v>0.000159758</v>
      </c>
      <c r="G423" s="1" t="s">
        <v>27</v>
      </c>
      <c r="H423" s="1" t="n">
        <v>77.6</v>
      </c>
      <c r="I423" s="1" t="n">
        <v>97.7</v>
      </c>
      <c r="J423" s="1" t="n">
        <v>32.9</v>
      </c>
      <c r="K423" s="1"/>
      <c r="L423" s="1" t="n">
        <v>0</v>
      </c>
      <c r="M423" s="1" t="n">
        <v>0</v>
      </c>
      <c r="N423" s="1" t="s">
        <v>298</v>
      </c>
      <c r="Z423" s="0" t="n">
        <f aca="false">I423-28</f>
        <v>69.7</v>
      </c>
      <c r="AB423" s="0" t="n">
        <f aca="false">IF(Z423&lt;0,Z423+360,Z423+0)</f>
        <v>69.7</v>
      </c>
    </row>
    <row r="424" customFormat="false" ht="15.8" hidden="false" customHeight="false" outlineLevel="0" collapsed="false">
      <c r="A424" s="1" t="n">
        <v>8</v>
      </c>
      <c r="B424" s="1" t="n">
        <v>14</v>
      </c>
      <c r="C424" s="1" t="n">
        <v>3.2</v>
      </c>
      <c r="D424" s="1" t="n">
        <v>1.0454</v>
      </c>
      <c r="E424" s="1" t="n">
        <v>0.111374</v>
      </c>
      <c r="F424" s="1" t="n">
        <v>0.000303888</v>
      </c>
      <c r="G424" s="1" t="s">
        <v>47</v>
      </c>
      <c r="H424" s="1" t="n">
        <v>44.1</v>
      </c>
      <c r="I424" s="1" t="n">
        <v>22.5</v>
      </c>
      <c r="J424" s="1" t="n">
        <v>0</v>
      </c>
      <c r="K424" s="1" t="n">
        <v>83.2</v>
      </c>
      <c r="L424" s="1" t="n">
        <v>0</v>
      </c>
      <c r="M424" s="1" t="n">
        <v>0</v>
      </c>
      <c r="N424" s="1" t="s">
        <v>297</v>
      </c>
      <c r="Z424" s="0" t="n">
        <f aca="false">I424-28</f>
        <v>-5.5</v>
      </c>
      <c r="AB424" s="0" t="n">
        <f aca="false">IF(Z424&lt;0,Z424+360,Z424+0)</f>
        <v>354.5</v>
      </c>
    </row>
    <row r="425" customFormat="false" ht="15.8" hidden="false" customHeight="false" outlineLevel="0" collapsed="false">
      <c r="A425" s="1" t="n">
        <v>8</v>
      </c>
      <c r="B425" s="1" t="n">
        <v>13</v>
      </c>
      <c r="C425" s="1" t="n">
        <v>4.7</v>
      </c>
      <c r="D425" s="1" t="n">
        <v>1.2506</v>
      </c>
      <c r="E425" s="1" t="n">
        <v>0.160784</v>
      </c>
      <c r="F425" s="1" t="n">
        <v>0.000438703</v>
      </c>
      <c r="G425" s="1" t="s">
        <v>47</v>
      </c>
      <c r="H425" s="1" t="n">
        <v>65.8</v>
      </c>
      <c r="I425" s="1" t="n">
        <v>355.4</v>
      </c>
      <c r="J425" s="1" t="n">
        <v>36.3</v>
      </c>
      <c r="K425" s="1" t="n">
        <v>91.4</v>
      </c>
      <c r="L425" s="1" t="n">
        <v>0</v>
      </c>
      <c r="M425" s="1" t="n">
        <v>0</v>
      </c>
      <c r="N425" s="1" t="s">
        <v>295</v>
      </c>
      <c r="Z425" s="0" t="n">
        <f aca="false">I425-28</f>
        <v>327.4</v>
      </c>
      <c r="AB425" s="0" t="n">
        <f aca="false">IF(Z425&lt;0,Z425+360,Z425+0)</f>
        <v>327.4</v>
      </c>
    </row>
    <row r="426" customFormat="false" ht="15.8" hidden="false" customHeight="false" outlineLevel="0" collapsed="false">
      <c r="A426" s="1" t="n">
        <v>8</v>
      </c>
      <c r="B426" s="1" t="n">
        <v>12</v>
      </c>
      <c r="C426" s="1" t="n">
        <v>1.1</v>
      </c>
      <c r="D426" s="1" t="n">
        <v>1.018</v>
      </c>
      <c r="E426" s="1" t="n">
        <v>0.0377306</v>
      </c>
      <c r="F426" s="1" t="n">
        <v>0.000102949</v>
      </c>
      <c r="G426" s="1" t="s">
        <v>47</v>
      </c>
      <c r="H426" s="1" t="n">
        <v>53</v>
      </c>
      <c r="I426" s="1" t="n">
        <v>54.9</v>
      </c>
      <c r="J426" s="1" t="n">
        <v>0</v>
      </c>
      <c r="K426" s="1" t="n">
        <v>103.1</v>
      </c>
      <c r="L426" s="1" t="n">
        <v>0</v>
      </c>
      <c r="M426" s="1" t="n">
        <v>0</v>
      </c>
      <c r="N426" s="1" t="s">
        <v>294</v>
      </c>
      <c r="Z426" s="0" t="n">
        <f aca="false">I426-28</f>
        <v>26.9</v>
      </c>
      <c r="AB426" s="0" t="n">
        <f aca="false">IF(Z426&lt;0,Z426+360,Z426+0)</f>
        <v>26.9</v>
      </c>
    </row>
    <row r="427" customFormat="false" ht="15.8" hidden="false" customHeight="false" outlineLevel="0" collapsed="false">
      <c r="A427" s="1" t="n">
        <v>8</v>
      </c>
      <c r="B427" s="1" t="n">
        <v>11</v>
      </c>
      <c r="C427" s="1" t="n">
        <v>1.6</v>
      </c>
      <c r="D427" s="1" t="n">
        <v>1.185</v>
      </c>
      <c r="E427" s="1" t="n">
        <v>0.0565258</v>
      </c>
      <c r="F427" s="1" t="n">
        <v>0.000154232</v>
      </c>
      <c r="G427" s="1" t="s">
        <v>47</v>
      </c>
      <c r="H427" s="1" t="n">
        <v>132.1</v>
      </c>
      <c r="I427" s="1" t="n">
        <v>51.3</v>
      </c>
      <c r="J427" s="1" t="n">
        <v>52.9</v>
      </c>
      <c r="K427" s="1" t="n">
        <v>65.4</v>
      </c>
      <c r="L427" s="1" t="n">
        <v>0</v>
      </c>
      <c r="M427" s="1" t="n">
        <v>0</v>
      </c>
      <c r="N427" s="1" t="s">
        <v>292</v>
      </c>
      <c r="Z427" s="0" t="n">
        <f aca="false">I427-28</f>
        <v>23.3</v>
      </c>
      <c r="AB427" s="0" t="n">
        <f aca="false">IF(Z427&lt;0,Z427+360,Z427+0)</f>
        <v>23.3</v>
      </c>
    </row>
    <row r="428" customFormat="false" ht="15.8" hidden="false" customHeight="false" outlineLevel="0" collapsed="false">
      <c r="A428" s="1" t="n">
        <v>8</v>
      </c>
      <c r="B428" s="1" t="n">
        <v>10</v>
      </c>
      <c r="C428" s="1" t="n">
        <v>0.9</v>
      </c>
      <c r="D428" s="1" t="n">
        <v>1.1136</v>
      </c>
      <c r="E428" s="1" t="n">
        <v>0.0308208</v>
      </c>
      <c r="F428" s="1" t="n">
        <v>8.40955E-005</v>
      </c>
      <c r="G428" s="1" t="s">
        <v>47</v>
      </c>
      <c r="H428" s="1" t="n">
        <v>113.5</v>
      </c>
      <c r="I428" s="1" t="n">
        <v>336</v>
      </c>
      <c r="J428" s="1" t="n">
        <v>-66.5</v>
      </c>
      <c r="K428" s="1" t="n">
        <v>132.1</v>
      </c>
      <c r="L428" s="1" t="n">
        <v>0</v>
      </c>
      <c r="M428" s="1" t="n">
        <v>0</v>
      </c>
      <c r="N428" s="1" t="s">
        <v>291</v>
      </c>
      <c r="Z428" s="0" t="n">
        <f aca="false">I428-28</f>
        <v>308</v>
      </c>
      <c r="AB428" s="0" t="n">
        <f aca="false">IF(Z428&lt;0,Z428+360,Z428+0)</f>
        <v>308</v>
      </c>
    </row>
    <row r="429" customFormat="false" ht="15.8" hidden="false" customHeight="false" outlineLevel="0" collapsed="false">
      <c r="A429" s="1" t="n">
        <v>8</v>
      </c>
      <c r="B429" s="1" t="n">
        <v>9</v>
      </c>
      <c r="C429" s="1" t="n">
        <v>2</v>
      </c>
      <c r="D429" s="1" t="n">
        <v>1.3441</v>
      </c>
      <c r="E429" s="1" t="n">
        <v>0.0699396</v>
      </c>
      <c r="F429" s="1" t="n">
        <v>0.000190832</v>
      </c>
      <c r="G429" s="1" t="s">
        <v>47</v>
      </c>
      <c r="H429" s="1" t="n">
        <v>63.5</v>
      </c>
      <c r="I429" s="1" t="n">
        <v>333.7</v>
      </c>
      <c r="J429" s="1" t="n">
        <v>47</v>
      </c>
      <c r="K429" s="1" t="n">
        <v>113.5</v>
      </c>
      <c r="L429" s="1" t="n">
        <v>0</v>
      </c>
      <c r="M429" s="1" t="n">
        <v>0</v>
      </c>
      <c r="N429" s="1" t="s">
        <v>290</v>
      </c>
      <c r="Z429" s="0" t="n">
        <f aca="false">I429-28</f>
        <v>305.7</v>
      </c>
      <c r="AB429" s="0" t="n">
        <f aca="false">IF(Z429&lt;0,Z429+360,Z429+0)</f>
        <v>305.7</v>
      </c>
    </row>
    <row r="430" customFormat="false" ht="15.8" hidden="false" customHeight="false" outlineLevel="0" collapsed="false">
      <c r="A430" s="1" t="n">
        <v>8</v>
      </c>
      <c r="B430" s="1" t="n">
        <v>8</v>
      </c>
      <c r="C430" s="1" t="n">
        <v>2.2</v>
      </c>
      <c r="D430" s="1" t="n">
        <v>1.156</v>
      </c>
      <c r="E430" s="1" t="n">
        <v>0.0763454</v>
      </c>
      <c r="F430" s="1" t="n">
        <v>0.000208311</v>
      </c>
      <c r="G430" s="1" t="s">
        <v>47</v>
      </c>
      <c r="H430" s="1" t="n">
        <v>10</v>
      </c>
      <c r="I430" s="1" t="n">
        <v>48.5</v>
      </c>
      <c r="J430" s="1" t="n">
        <v>22.6</v>
      </c>
      <c r="K430" s="1" t="n">
        <v>143.1</v>
      </c>
      <c r="L430" s="1" t="n">
        <v>0</v>
      </c>
      <c r="M430" s="1" t="n">
        <v>0</v>
      </c>
      <c r="N430" s="1" t="s">
        <v>289</v>
      </c>
      <c r="Z430" s="0" t="n">
        <f aca="false">I430-28</f>
        <v>20.5</v>
      </c>
      <c r="AB430" s="0" t="n">
        <f aca="false">IF(Z430&lt;0,Z430+360,Z430+0)</f>
        <v>20.5</v>
      </c>
    </row>
    <row r="431" customFormat="false" ht="15.8" hidden="false" customHeight="false" outlineLevel="0" collapsed="false">
      <c r="A431" s="1" t="n">
        <v>8</v>
      </c>
      <c r="B431" s="1" t="n">
        <v>7</v>
      </c>
      <c r="C431" s="1" t="n">
        <v>1.4</v>
      </c>
      <c r="D431" s="1" t="n">
        <v>1.2039</v>
      </c>
      <c r="E431" s="1" t="n">
        <v>0.0483825</v>
      </c>
      <c r="F431" s="1" t="n">
        <v>0.000132013</v>
      </c>
      <c r="G431" s="1" t="s">
        <v>47</v>
      </c>
      <c r="H431" s="1" t="n">
        <v>31.5</v>
      </c>
      <c r="I431" s="1" t="n">
        <v>38.8</v>
      </c>
      <c r="J431" s="1" t="n">
        <v>18.4</v>
      </c>
      <c r="K431" s="1" t="n">
        <v>63.6</v>
      </c>
      <c r="L431" s="1" t="n">
        <v>0</v>
      </c>
      <c r="M431" s="1" t="n">
        <v>0</v>
      </c>
      <c r="N431" s="1" t="s">
        <v>288</v>
      </c>
      <c r="Z431" s="0" t="n">
        <f aca="false">I431-28</f>
        <v>10.8</v>
      </c>
      <c r="AB431" s="0" t="n">
        <f aca="false">IF(Z431&lt;0,Z431+360,Z431+0)</f>
        <v>10.8</v>
      </c>
    </row>
    <row r="432" customFormat="false" ht="15.8" hidden="false" customHeight="false" outlineLevel="0" collapsed="false">
      <c r="A432" s="1" t="n">
        <v>8</v>
      </c>
      <c r="B432" s="1" t="n">
        <v>6</v>
      </c>
      <c r="C432" s="1" t="n">
        <v>2</v>
      </c>
      <c r="D432" s="1" t="n">
        <v>1.1033</v>
      </c>
      <c r="E432" s="1" t="n">
        <v>0.069436</v>
      </c>
      <c r="F432" s="1" t="n">
        <v>0.000189458</v>
      </c>
      <c r="G432" s="1" t="s">
        <v>47</v>
      </c>
      <c r="H432" s="1" t="n">
        <v>12.2</v>
      </c>
      <c r="I432" s="1" t="n">
        <v>29.1</v>
      </c>
      <c r="J432" s="1" t="n">
        <v>-11.6</v>
      </c>
      <c r="K432" s="1" t="n">
        <v>77.3</v>
      </c>
      <c r="L432" s="1" t="n">
        <v>0</v>
      </c>
      <c r="M432" s="1" t="n">
        <v>0</v>
      </c>
      <c r="N432" s="1" t="s">
        <v>283</v>
      </c>
      <c r="Z432" s="0" t="n">
        <f aca="false">I432-28</f>
        <v>1.1</v>
      </c>
      <c r="AB432" s="0" t="n">
        <f aca="false">IF(Z432&lt;0,Z432+360,Z432+0)</f>
        <v>1.1</v>
      </c>
    </row>
    <row r="433" customFormat="false" ht="15.8" hidden="false" customHeight="false" outlineLevel="0" collapsed="false">
      <c r="A433" s="1" t="n">
        <v>8</v>
      </c>
      <c r="B433" s="1" t="n">
        <v>5</v>
      </c>
      <c r="C433" s="1" t="n">
        <v>3.2</v>
      </c>
      <c r="D433" s="1" t="n">
        <v>1.1654</v>
      </c>
      <c r="E433" s="1" t="n">
        <v>0.111423</v>
      </c>
      <c r="F433" s="1" t="n">
        <v>0.000304022</v>
      </c>
      <c r="G433" s="1" t="s">
        <v>47</v>
      </c>
      <c r="H433" s="1" t="n">
        <v>22.4</v>
      </c>
      <c r="I433" s="1" t="n">
        <v>32.7</v>
      </c>
      <c r="J433" s="1" t="n">
        <v>0</v>
      </c>
      <c r="K433" s="1" t="n">
        <v>102.8</v>
      </c>
      <c r="L433" s="1" t="n">
        <v>0</v>
      </c>
      <c r="M433" s="1" t="n">
        <v>0</v>
      </c>
      <c r="N433" s="1" t="s">
        <v>282</v>
      </c>
      <c r="Z433" s="0" t="n">
        <f aca="false">I433-28</f>
        <v>4.7</v>
      </c>
      <c r="AB433" s="0" t="n">
        <f aca="false">IF(Z433&lt;0,Z433+360,Z433+0)</f>
        <v>4.7</v>
      </c>
    </row>
    <row r="434" customFormat="false" ht="15.8" hidden="false" customHeight="false" outlineLevel="0" collapsed="false">
      <c r="A434" s="1" t="n">
        <v>8</v>
      </c>
      <c r="B434" s="1" t="n">
        <v>4</v>
      </c>
      <c r="C434" s="1" t="n">
        <v>11.5</v>
      </c>
      <c r="D434" s="1" t="n">
        <v>1.1498</v>
      </c>
      <c r="E434" s="1" t="n">
        <v>0.393698</v>
      </c>
      <c r="F434" s="1" t="n">
        <v>0.00107422</v>
      </c>
      <c r="G434" s="1" t="s">
        <v>47</v>
      </c>
      <c r="H434" s="1" t="n">
        <v>3</v>
      </c>
      <c r="I434" s="1" t="n">
        <v>38.4</v>
      </c>
      <c r="J434" s="1" t="n">
        <v>21.7</v>
      </c>
      <c r="K434" s="1" t="n">
        <v>63.8</v>
      </c>
      <c r="L434" s="1" t="n">
        <v>0</v>
      </c>
      <c r="M434" s="1" t="n">
        <v>0</v>
      </c>
      <c r="N434" s="1" t="s">
        <v>299</v>
      </c>
      <c r="Z434" s="0" t="n">
        <f aca="false">I434-28</f>
        <v>10.4</v>
      </c>
      <c r="AB434" s="0" t="n">
        <f aca="false">IF(Z434&lt;0,Z434+360,Z434+0)</f>
        <v>10.4</v>
      </c>
    </row>
    <row r="435" customFormat="false" ht="15.8" hidden="false" customHeight="false" outlineLevel="0" collapsed="false">
      <c r="A435" s="1" t="n">
        <v>8</v>
      </c>
      <c r="B435" s="1" t="n">
        <v>5</v>
      </c>
      <c r="C435" s="1" t="n">
        <v>8.2</v>
      </c>
      <c r="D435" s="1" t="n">
        <v>1.1847</v>
      </c>
      <c r="E435" s="1" t="n">
        <v>0.282718</v>
      </c>
      <c r="F435" s="1" t="n">
        <v>0.000771405</v>
      </c>
      <c r="G435" s="1" t="s">
        <v>27</v>
      </c>
      <c r="H435" s="1" t="n">
        <v>62.3</v>
      </c>
      <c r="I435" s="1" t="n">
        <v>2.9</v>
      </c>
      <c r="J435" s="1" t="n">
        <v>15.4</v>
      </c>
      <c r="K435" s="1"/>
      <c r="L435" s="1" t="n">
        <v>0</v>
      </c>
      <c r="M435" s="1" t="n">
        <v>0</v>
      </c>
      <c r="N435" s="1" t="s">
        <v>300</v>
      </c>
      <c r="Z435" s="0" t="n">
        <f aca="false">I435-28</f>
        <v>-25.1</v>
      </c>
      <c r="AB435" s="0" t="n">
        <f aca="false">IF(Z435&lt;0,Z435+360,Z435+0)</f>
        <v>334.9</v>
      </c>
    </row>
    <row r="436" customFormat="false" ht="15.8" hidden="false" customHeight="false" outlineLevel="0" collapsed="false">
      <c r="A436" s="1" t="n">
        <v>8</v>
      </c>
      <c r="B436" s="1" t="n">
        <v>6</v>
      </c>
      <c r="C436" s="1" t="n">
        <v>3.8</v>
      </c>
      <c r="D436" s="1" t="n">
        <v>1.2247</v>
      </c>
      <c r="E436" s="1" t="n">
        <v>0.129567</v>
      </c>
      <c r="F436" s="1" t="n">
        <v>0.000353527</v>
      </c>
      <c r="G436" s="1" t="s">
        <v>27</v>
      </c>
      <c r="H436" s="1" t="n">
        <v>61.2</v>
      </c>
      <c r="I436" s="1" t="n">
        <v>7.4</v>
      </c>
      <c r="J436" s="1" t="n">
        <v>-28.7</v>
      </c>
      <c r="K436" s="1"/>
      <c r="L436" s="1" t="n">
        <v>0</v>
      </c>
      <c r="M436" s="1" t="n">
        <v>0</v>
      </c>
      <c r="N436" s="1" t="s">
        <v>301</v>
      </c>
      <c r="Z436" s="0" t="n">
        <f aca="false">I436-28</f>
        <v>-20.6</v>
      </c>
      <c r="AB436" s="0" t="n">
        <f aca="false">IF(Z436&lt;0,Z436+360,Z436+0)</f>
        <v>339.4</v>
      </c>
    </row>
    <row r="437" customFormat="false" ht="15.8" hidden="false" customHeight="false" outlineLevel="0" collapsed="false">
      <c r="A437" s="1" t="n">
        <v>8</v>
      </c>
      <c r="B437" s="1" t="n">
        <v>7</v>
      </c>
      <c r="C437" s="1" t="n">
        <v>2</v>
      </c>
      <c r="D437" s="1" t="n">
        <v>1.165</v>
      </c>
      <c r="E437" s="1" t="n">
        <v>0.0694299</v>
      </c>
      <c r="F437" s="1" t="n">
        <v>0.000189442</v>
      </c>
      <c r="G437" s="1" t="s">
        <v>27</v>
      </c>
      <c r="H437" s="1" t="n">
        <v>54.9</v>
      </c>
      <c r="I437" s="1" t="n">
        <v>164.7</v>
      </c>
      <c r="J437" s="1" t="n">
        <v>25.2</v>
      </c>
      <c r="K437" s="1"/>
      <c r="L437" s="1" t="n">
        <v>0</v>
      </c>
      <c r="M437" s="1" t="n">
        <v>0</v>
      </c>
      <c r="N437" s="1" t="s">
        <v>302</v>
      </c>
      <c r="Z437" s="0" t="n">
        <f aca="false">I437-28</f>
        <v>136.7</v>
      </c>
      <c r="AB437" s="0" t="n">
        <f aca="false">IF(Z437&lt;0,Z437+360,Z437+0)</f>
        <v>136.7</v>
      </c>
    </row>
    <row r="438" customFormat="false" ht="15.8" hidden="false" customHeight="false" outlineLevel="0" collapsed="false">
      <c r="A438" s="1" t="n">
        <v>8</v>
      </c>
      <c r="B438" s="1" t="n">
        <v>8</v>
      </c>
      <c r="C438" s="1" t="n">
        <v>1.3</v>
      </c>
      <c r="D438" s="1" t="n">
        <v>1.2468</v>
      </c>
      <c r="E438" s="1" t="n">
        <v>0.0434631</v>
      </c>
      <c r="F438" s="1" t="n">
        <v>0.000118591</v>
      </c>
      <c r="G438" s="1" t="s">
        <v>27</v>
      </c>
      <c r="H438" s="1" t="n">
        <v>124.6</v>
      </c>
      <c r="I438" s="1" t="n">
        <v>297.5</v>
      </c>
      <c r="J438" s="1" t="n">
        <v>-21.3</v>
      </c>
      <c r="K438" s="1"/>
      <c r="L438" s="1" t="n">
        <v>0</v>
      </c>
      <c r="M438" s="1" t="n">
        <v>0</v>
      </c>
      <c r="N438" s="1" t="s">
        <v>303</v>
      </c>
      <c r="Z438" s="0" t="n">
        <f aca="false">I438-28</f>
        <v>269.5</v>
      </c>
      <c r="AB438" s="0" t="n">
        <f aca="false">IF(Z438&lt;0,Z438+360,Z438+0)</f>
        <v>269.5</v>
      </c>
    </row>
    <row r="439" customFormat="false" ht="15.8" hidden="false" customHeight="false" outlineLevel="0" collapsed="false">
      <c r="A439" s="1" t="n">
        <v>8</v>
      </c>
      <c r="B439" s="1" t="n">
        <v>10</v>
      </c>
      <c r="C439" s="1" t="n">
        <v>1.3</v>
      </c>
      <c r="D439" s="1" t="n">
        <v>1.2427</v>
      </c>
      <c r="E439" s="1" t="n">
        <v>0.0458611</v>
      </c>
      <c r="F439" s="1" t="n">
        <v>0.000125133</v>
      </c>
      <c r="G439" s="1" t="s">
        <v>27</v>
      </c>
      <c r="H439" s="1" t="n">
        <v>43.9</v>
      </c>
      <c r="I439" s="1" t="n">
        <v>335.1</v>
      </c>
      <c r="J439" s="1" t="n">
        <v>-20.1</v>
      </c>
      <c r="K439" s="1"/>
      <c r="L439" s="1" t="n">
        <v>0</v>
      </c>
      <c r="M439" s="1" t="n">
        <v>0</v>
      </c>
      <c r="N439" s="1" t="s">
        <v>304</v>
      </c>
      <c r="Z439" s="0" t="n">
        <f aca="false">I439-28</f>
        <v>307.1</v>
      </c>
      <c r="AB439" s="0" t="n">
        <f aca="false">IF(Z439&lt;0,Z439+360,Z439+0)</f>
        <v>307.1</v>
      </c>
    </row>
    <row r="440" customFormat="false" ht="15.8" hidden="false" customHeight="false" outlineLevel="0" collapsed="false">
      <c r="A440" s="1" t="n">
        <v>8</v>
      </c>
      <c r="B440" s="1" t="n">
        <v>10</v>
      </c>
      <c r="C440" s="1" t="n">
        <v>8</v>
      </c>
      <c r="D440" s="1" t="n">
        <v>1.3417</v>
      </c>
      <c r="E440" s="1" t="n">
        <v>0.273813</v>
      </c>
      <c r="F440" s="1" t="n">
        <v>0.000747108</v>
      </c>
      <c r="G440" s="1" t="s">
        <v>27</v>
      </c>
      <c r="H440" s="1" t="n">
        <v>14.9</v>
      </c>
      <c r="I440" s="1" t="n">
        <v>8.2</v>
      </c>
      <c r="J440" s="1" t="n">
        <v>25.8</v>
      </c>
      <c r="K440" s="1"/>
      <c r="L440" s="1" t="n">
        <v>0</v>
      </c>
      <c r="M440" s="1" t="n">
        <v>0</v>
      </c>
      <c r="N440" s="1" t="s">
        <v>304</v>
      </c>
      <c r="Z440" s="0" t="n">
        <f aca="false">I440-28</f>
        <v>-19.8</v>
      </c>
      <c r="AB440" s="0" t="n">
        <f aca="false">IF(Z440&lt;0,Z440+360,Z440+0)</f>
        <v>340.2</v>
      </c>
    </row>
    <row r="441" customFormat="false" ht="15.8" hidden="false" customHeight="false" outlineLevel="0" collapsed="false">
      <c r="A441" s="1" t="n">
        <v>8</v>
      </c>
      <c r="B441" s="1" t="n">
        <v>9</v>
      </c>
      <c r="C441" s="1" t="n">
        <v>5</v>
      </c>
      <c r="D441" s="1" t="n">
        <v>1.1501</v>
      </c>
      <c r="E441" s="1" t="n">
        <v>0.169849</v>
      </c>
      <c r="F441" s="1" t="n">
        <v>0.00046344</v>
      </c>
      <c r="G441" s="1" t="s">
        <v>47</v>
      </c>
      <c r="H441" s="1" t="n">
        <v>79.1</v>
      </c>
      <c r="I441" s="1" t="n">
        <v>353.2</v>
      </c>
      <c r="J441" s="1" t="n">
        <v>20.1</v>
      </c>
      <c r="K441" s="1" t="n">
        <v>43.9</v>
      </c>
      <c r="L441" s="1" t="n">
        <v>0</v>
      </c>
      <c r="M441" s="1" t="n">
        <v>0</v>
      </c>
      <c r="N441" s="1" t="s">
        <v>305</v>
      </c>
      <c r="Z441" s="0" t="n">
        <f aca="false">I441-28</f>
        <v>325.2</v>
      </c>
      <c r="AB441" s="0" t="n">
        <f aca="false">IF(Z441&lt;0,Z441+360,Z441+0)</f>
        <v>325.2</v>
      </c>
    </row>
    <row r="442" customFormat="false" ht="15.8" hidden="false" customHeight="false" outlineLevel="0" collapsed="false">
      <c r="A442" s="1" t="n">
        <v>8</v>
      </c>
      <c r="B442" s="1" t="n">
        <v>10</v>
      </c>
      <c r="C442" s="1" t="n">
        <v>2.9</v>
      </c>
      <c r="D442" s="1" t="n">
        <v>1.1571</v>
      </c>
      <c r="E442" s="1" t="n">
        <v>0.10085</v>
      </c>
      <c r="F442" s="1" t="n">
        <v>0.000275173</v>
      </c>
      <c r="G442" s="1" t="s">
        <v>27</v>
      </c>
      <c r="H442" s="1" t="n">
        <v>88.4</v>
      </c>
      <c r="I442" s="1" t="n">
        <v>4.9</v>
      </c>
      <c r="J442" s="1" t="n">
        <v>16.9</v>
      </c>
      <c r="K442" s="1"/>
      <c r="L442" s="1" t="n">
        <v>0</v>
      </c>
      <c r="M442" s="1" t="n">
        <v>0</v>
      </c>
      <c r="N442" s="1" t="s">
        <v>306</v>
      </c>
      <c r="Z442" s="0" t="n">
        <f aca="false">I442-28</f>
        <v>-23.1</v>
      </c>
      <c r="AB442" s="0" t="n">
        <f aca="false">IF(Z442&lt;0,Z442+360,Z442+0)</f>
        <v>336.9</v>
      </c>
    </row>
    <row r="443" customFormat="false" ht="15.8" hidden="false" customHeight="false" outlineLevel="0" collapsed="false">
      <c r="A443" s="1" t="n">
        <v>8</v>
      </c>
      <c r="B443" s="1" t="n">
        <v>12</v>
      </c>
      <c r="C443" s="1" t="n">
        <v>6.6</v>
      </c>
      <c r="D443" s="1" t="n">
        <v>1.2297</v>
      </c>
      <c r="E443" s="1" t="n">
        <v>0.226628</v>
      </c>
      <c r="F443" s="1" t="n">
        <v>0.000618362</v>
      </c>
      <c r="G443" s="1" t="s">
        <v>27</v>
      </c>
      <c r="H443" s="1" t="n">
        <v>80.5</v>
      </c>
      <c r="I443" s="1" t="n">
        <v>358.1</v>
      </c>
      <c r="J443" s="1" t="n">
        <v>-43.5</v>
      </c>
      <c r="K443" s="1"/>
      <c r="L443" s="1" t="n">
        <v>0</v>
      </c>
      <c r="M443" s="1" t="n">
        <v>0</v>
      </c>
      <c r="N443" s="1" t="s">
        <v>307</v>
      </c>
      <c r="Z443" s="0" t="n">
        <f aca="false">I443-28</f>
        <v>330.1</v>
      </c>
      <c r="AB443" s="0" t="n">
        <f aca="false">IF(Z443&lt;0,Z443+360,Z443+0)</f>
        <v>330.1</v>
      </c>
    </row>
    <row r="444" customFormat="false" ht="15.8" hidden="false" customHeight="false" outlineLevel="0" collapsed="false">
      <c r="A444" s="1" t="n">
        <v>8</v>
      </c>
      <c r="B444" s="1" t="n">
        <v>12</v>
      </c>
      <c r="C444" s="1" t="n">
        <v>3.3</v>
      </c>
      <c r="D444" s="1" t="n">
        <v>1.2345</v>
      </c>
      <c r="E444" s="1" t="n">
        <v>0.113376</v>
      </c>
      <c r="F444" s="1" t="n">
        <v>0.000309349</v>
      </c>
      <c r="G444" s="1" t="s">
        <v>27</v>
      </c>
      <c r="H444" s="1" t="n">
        <v>21.7</v>
      </c>
      <c r="I444" s="1" t="n">
        <v>224.8</v>
      </c>
      <c r="J444" s="1" t="n">
        <v>-43.7</v>
      </c>
      <c r="K444" s="1"/>
      <c r="L444" s="1" t="n">
        <v>0</v>
      </c>
      <c r="M444" s="1" t="n">
        <v>0</v>
      </c>
      <c r="N444" s="1" t="s">
        <v>307</v>
      </c>
      <c r="Z444" s="0" t="n">
        <f aca="false">I444-28</f>
        <v>196.8</v>
      </c>
      <c r="AB444" s="0" t="n">
        <f aca="false">IF(Z444&lt;0,Z444+360,Z444+0)</f>
        <v>196.8</v>
      </c>
    </row>
    <row r="445" customFormat="false" ht="15.8" hidden="false" customHeight="false" outlineLevel="0" collapsed="false">
      <c r="A445" s="1" t="n">
        <v>8</v>
      </c>
      <c r="B445" s="1" t="n">
        <v>11</v>
      </c>
      <c r="C445" s="1" t="n">
        <v>2.2</v>
      </c>
      <c r="D445" s="1" t="n">
        <v>1.209</v>
      </c>
      <c r="E445" s="1" t="n">
        <v>0.0750683</v>
      </c>
      <c r="F445" s="1" t="n">
        <v>0.000204826</v>
      </c>
      <c r="G445" s="1" t="s">
        <v>47</v>
      </c>
      <c r="H445" s="1" t="n">
        <v>93.1</v>
      </c>
      <c r="I445" s="1" t="n">
        <v>195.8</v>
      </c>
      <c r="J445" s="1" t="n">
        <v>-54.8</v>
      </c>
      <c r="K445" s="1" t="n">
        <v>80.5</v>
      </c>
      <c r="L445" s="1" t="n">
        <v>0</v>
      </c>
      <c r="M445" s="1" t="n">
        <v>0</v>
      </c>
      <c r="N445" s="1" t="s">
        <v>308</v>
      </c>
      <c r="Z445" s="0" t="n">
        <f aca="false">I445-28</f>
        <v>167.8</v>
      </c>
      <c r="AB445" s="0" t="n">
        <f aca="false">IF(Z445&lt;0,Z445+360,Z445+0)</f>
        <v>167.8</v>
      </c>
    </row>
    <row r="446" customFormat="false" ht="15.8" hidden="false" customHeight="false" outlineLevel="0" collapsed="false">
      <c r="A446" s="1" t="n">
        <v>8</v>
      </c>
      <c r="B446" s="1" t="n">
        <v>12</v>
      </c>
      <c r="C446" s="1" t="n">
        <v>6.6</v>
      </c>
      <c r="D446" s="1" t="n">
        <v>1.2859</v>
      </c>
      <c r="E446" s="1" t="n">
        <v>0.226822</v>
      </c>
      <c r="F446" s="1" t="n">
        <v>0.000618892</v>
      </c>
      <c r="G446" s="1" t="s">
        <v>27</v>
      </c>
      <c r="H446" s="1" t="n">
        <v>42.5</v>
      </c>
      <c r="I446" s="1" t="n">
        <v>27.8</v>
      </c>
      <c r="J446" s="1" t="n">
        <v>-4.1</v>
      </c>
      <c r="K446" s="1"/>
      <c r="L446" s="1" t="n">
        <v>0</v>
      </c>
      <c r="M446" s="1" t="n">
        <v>0</v>
      </c>
      <c r="N446" s="1" t="s">
        <v>309</v>
      </c>
      <c r="Z446" s="0" t="n">
        <f aca="false">I446-28</f>
        <v>-0.199999999999999</v>
      </c>
      <c r="AB446" s="0" t="n">
        <f aca="false">IF(Z446&lt;0,Z446+360,Z446+0)</f>
        <v>359.8</v>
      </c>
    </row>
    <row r="447" customFormat="false" ht="15.8" hidden="false" customHeight="false" outlineLevel="0" collapsed="false">
      <c r="A447" s="1" t="n">
        <v>8</v>
      </c>
      <c r="B447" s="1" t="n">
        <v>13</v>
      </c>
      <c r="C447" s="1" t="n">
        <v>2.4</v>
      </c>
      <c r="D447" s="1" t="n">
        <v>1.3673</v>
      </c>
      <c r="E447" s="1" t="n">
        <v>0.0828776</v>
      </c>
      <c r="F447" s="1" t="n">
        <v>0.000226134</v>
      </c>
      <c r="G447" s="1" t="s">
        <v>27</v>
      </c>
      <c r="H447" s="1" t="n">
        <v>141.1</v>
      </c>
      <c r="I447" s="1" t="n">
        <v>4</v>
      </c>
      <c r="J447" s="1" t="n">
        <v>-12.1</v>
      </c>
      <c r="K447" s="1"/>
      <c r="L447" s="1" t="n">
        <v>0</v>
      </c>
      <c r="M447" s="1" t="n">
        <v>0</v>
      </c>
      <c r="N447" s="1" t="s">
        <v>310</v>
      </c>
      <c r="Z447" s="0" t="n">
        <f aca="false">I447-28</f>
        <v>-24</v>
      </c>
      <c r="AB447" s="0" t="n">
        <f aca="false">IF(Z447&lt;0,Z447+360,Z447+0)</f>
        <v>336</v>
      </c>
    </row>
    <row r="448" customFormat="false" ht="15.8" hidden="false" customHeight="false" outlineLevel="0" collapsed="false">
      <c r="A448" s="1" t="n">
        <v>8</v>
      </c>
      <c r="B448" s="1" t="n">
        <v>13</v>
      </c>
      <c r="C448" s="1" t="n">
        <v>2.1</v>
      </c>
      <c r="D448" s="1" t="n">
        <v>1.1299</v>
      </c>
      <c r="E448" s="1" t="n">
        <v>0.0708967</v>
      </c>
      <c r="F448" s="1" t="n">
        <v>0.000193444</v>
      </c>
      <c r="G448" s="1" t="s">
        <v>27</v>
      </c>
      <c r="H448" s="1" t="n">
        <v>98.6</v>
      </c>
      <c r="I448" s="1" t="n">
        <v>42.5</v>
      </c>
      <c r="J448" s="1" t="n">
        <v>11.7</v>
      </c>
      <c r="K448" s="1"/>
      <c r="L448" s="1" t="n">
        <v>0</v>
      </c>
      <c r="M448" s="1" t="n">
        <v>0</v>
      </c>
      <c r="N448" s="1" t="s">
        <v>310</v>
      </c>
      <c r="Z448" s="0" t="n">
        <f aca="false">I448-28</f>
        <v>14.5</v>
      </c>
      <c r="AB448" s="0" t="n">
        <f aca="false">IF(Z448&lt;0,Z448+360,Z448+0)</f>
        <v>14.5</v>
      </c>
    </row>
    <row r="449" customFormat="false" ht="15.8" hidden="false" customHeight="false" outlineLevel="0" collapsed="false">
      <c r="A449" s="1" t="n">
        <v>8</v>
      </c>
      <c r="B449" s="1" t="n">
        <v>13</v>
      </c>
      <c r="C449" s="1" t="n">
        <v>3.7</v>
      </c>
      <c r="D449" s="1" t="n">
        <v>1.0254</v>
      </c>
      <c r="E449" s="1" t="n">
        <v>0.12785</v>
      </c>
      <c r="F449" s="1" t="n">
        <v>0.000348841</v>
      </c>
      <c r="G449" s="1" t="s">
        <v>27</v>
      </c>
      <c r="H449" s="1" t="n">
        <v>33.1</v>
      </c>
      <c r="I449" s="1" t="n">
        <v>175.2</v>
      </c>
      <c r="J449" s="1" t="n">
        <v>0</v>
      </c>
      <c r="K449" s="1"/>
      <c r="L449" s="1" t="n">
        <v>0</v>
      </c>
      <c r="M449" s="1" t="n">
        <v>0</v>
      </c>
      <c r="N449" s="1" t="s">
        <v>310</v>
      </c>
      <c r="Z449" s="0" t="n">
        <f aca="false">I449-28</f>
        <v>147.2</v>
      </c>
      <c r="AB449" s="0" t="n">
        <f aca="false">IF(Z449&lt;0,Z449+360,Z449+0)</f>
        <v>147.2</v>
      </c>
    </row>
    <row r="450" customFormat="false" ht="15.8" hidden="false" customHeight="false" outlineLevel="0" collapsed="false">
      <c r="A450" s="1" t="n">
        <v>8</v>
      </c>
      <c r="B450" s="1" t="n">
        <v>14</v>
      </c>
      <c r="C450" s="1" t="n">
        <v>4.9</v>
      </c>
      <c r="D450" s="1" t="n">
        <v>1.3692</v>
      </c>
      <c r="E450" s="1" t="n">
        <v>0.168007</v>
      </c>
      <c r="F450" s="1" t="n">
        <v>0.000458412</v>
      </c>
      <c r="G450" s="1" t="s">
        <v>27</v>
      </c>
      <c r="H450" s="1" t="n">
        <v>56.3</v>
      </c>
      <c r="I450" s="1" t="n">
        <v>117.8</v>
      </c>
      <c r="J450" s="1" t="n">
        <v>55.8</v>
      </c>
      <c r="K450" s="1"/>
      <c r="L450" s="1" t="n">
        <v>0</v>
      </c>
      <c r="M450" s="1" t="n">
        <v>0</v>
      </c>
      <c r="N450" s="1" t="s">
        <v>311</v>
      </c>
      <c r="Z450" s="0" t="n">
        <f aca="false">I450-28</f>
        <v>89.8</v>
      </c>
      <c r="AB450" s="0" t="n">
        <f aca="false">IF(Z450&lt;0,Z450+360,Z450+0)</f>
        <v>89.8</v>
      </c>
    </row>
    <row r="451" customFormat="false" ht="15.8" hidden="false" customHeight="false" outlineLevel="0" collapsed="false">
      <c r="A451" s="1" t="n">
        <v>8</v>
      </c>
      <c r="B451" s="1" t="n">
        <v>14</v>
      </c>
      <c r="C451" s="1" t="n">
        <v>3</v>
      </c>
      <c r="D451" s="1" t="n">
        <v>1.2008</v>
      </c>
      <c r="E451" s="1" t="n">
        <v>0.103137</v>
      </c>
      <c r="F451" s="1" t="n">
        <v>0.000281414</v>
      </c>
      <c r="G451" s="1" t="s">
        <v>27</v>
      </c>
      <c r="H451" s="1" t="n">
        <v>37.7</v>
      </c>
      <c r="I451" s="1" t="n">
        <v>90.3</v>
      </c>
      <c r="J451" s="1" t="n">
        <v>-8.5</v>
      </c>
      <c r="K451" s="1"/>
      <c r="L451" s="1" t="n">
        <v>0</v>
      </c>
      <c r="M451" s="1" t="n">
        <v>0</v>
      </c>
      <c r="N451" s="1" t="s">
        <v>311</v>
      </c>
      <c r="Z451" s="0" t="n">
        <f aca="false">I451-28</f>
        <v>62.3</v>
      </c>
      <c r="AB451" s="0" t="n">
        <f aca="false">IF(Z451&lt;0,Z451+360,Z451+0)</f>
        <v>62.3</v>
      </c>
    </row>
    <row r="452" customFormat="false" ht="15.8" hidden="false" customHeight="false" outlineLevel="0" collapsed="false">
      <c r="A452" s="1" t="n">
        <v>8</v>
      </c>
      <c r="B452" s="1" t="n">
        <v>13</v>
      </c>
      <c r="C452" s="1" t="n">
        <v>2.1</v>
      </c>
      <c r="D452" s="1" t="n">
        <v>1.0418</v>
      </c>
      <c r="E452" s="1" t="n">
        <v>0.0708266</v>
      </c>
      <c r="F452" s="1" t="n">
        <v>0.000193253</v>
      </c>
      <c r="G452" s="1" t="s">
        <v>47</v>
      </c>
      <c r="H452" s="1" t="n">
        <v>20.9</v>
      </c>
      <c r="I452" s="1" t="n">
        <v>127.1</v>
      </c>
      <c r="J452" s="1" t="n">
        <v>0</v>
      </c>
      <c r="K452" s="1" t="n">
        <v>56.3</v>
      </c>
      <c r="L452" s="1" t="n">
        <v>0</v>
      </c>
      <c r="M452" s="1" t="n">
        <v>0</v>
      </c>
      <c r="N452" s="1" t="s">
        <v>310</v>
      </c>
      <c r="Z452" s="0" t="n">
        <f aca="false">I452-28</f>
        <v>99.1</v>
      </c>
      <c r="AB452" s="0" t="n">
        <f aca="false">IF(Z452&lt;0,Z452+360,Z452+0)</f>
        <v>99.1</v>
      </c>
    </row>
    <row r="453" customFormat="false" ht="15.8" hidden="false" customHeight="false" outlineLevel="0" collapsed="false">
      <c r="A453" s="1" t="n">
        <v>8</v>
      </c>
      <c r="B453" s="1" t="n">
        <v>12</v>
      </c>
      <c r="C453" s="1" t="n">
        <v>2.1</v>
      </c>
      <c r="D453" s="1" t="n">
        <v>1.2325</v>
      </c>
      <c r="E453" s="1" t="n">
        <v>0.0733743</v>
      </c>
      <c r="F453" s="1" t="n">
        <v>0.000200204</v>
      </c>
      <c r="G453" s="1" t="s">
        <v>47</v>
      </c>
      <c r="H453" s="1" t="n">
        <v>74.7</v>
      </c>
      <c r="I453" s="1" t="n">
        <v>144.2</v>
      </c>
      <c r="J453" s="1" t="n">
        <v>12.3</v>
      </c>
      <c r="K453" s="1" t="n">
        <v>141.1</v>
      </c>
      <c r="L453" s="1" t="n">
        <v>0</v>
      </c>
      <c r="M453" s="1" t="n">
        <v>0</v>
      </c>
      <c r="N453" s="1" t="s">
        <v>309</v>
      </c>
      <c r="Z453" s="0" t="n">
        <f aca="false">I453-28</f>
        <v>116.2</v>
      </c>
      <c r="AB453" s="0" t="n">
        <f aca="false">IF(Z453&lt;0,Z453+360,Z453+0)</f>
        <v>116.2</v>
      </c>
    </row>
    <row r="454" customFormat="false" ht="15.8" hidden="false" customHeight="false" outlineLevel="0" collapsed="false">
      <c r="A454" s="1" t="n">
        <v>8</v>
      </c>
      <c r="B454" s="1" t="n">
        <v>11</v>
      </c>
      <c r="C454" s="1" t="n">
        <v>4.8</v>
      </c>
      <c r="D454" s="1" t="n">
        <v>1.3163</v>
      </c>
      <c r="E454" s="1" t="n">
        <v>0.163989</v>
      </c>
      <c r="F454" s="1" t="n">
        <v>0.000447449</v>
      </c>
      <c r="G454" s="1" t="s">
        <v>47</v>
      </c>
      <c r="H454" s="1" t="n">
        <v>34.7</v>
      </c>
      <c r="I454" s="1" t="n">
        <v>67.4</v>
      </c>
      <c r="J454" s="1" t="n">
        <v>11.8</v>
      </c>
      <c r="K454" s="1" t="n">
        <v>74.7</v>
      </c>
      <c r="L454" s="1" t="n">
        <v>0</v>
      </c>
      <c r="M454" s="1" t="n">
        <v>0</v>
      </c>
      <c r="N454" s="1" t="s">
        <v>308</v>
      </c>
      <c r="Z454" s="0" t="n">
        <f aca="false">I454-28</f>
        <v>39.4</v>
      </c>
      <c r="AB454" s="0" t="n">
        <f aca="false">IF(Z454&lt;0,Z454+360,Z454+0)</f>
        <v>39.4</v>
      </c>
    </row>
    <row r="455" customFormat="false" ht="15.8" hidden="false" customHeight="false" outlineLevel="0" collapsed="false">
      <c r="A455" s="1" t="n">
        <v>8</v>
      </c>
      <c r="B455" s="1" t="n">
        <v>10</v>
      </c>
      <c r="C455" s="1" t="n">
        <v>6.5</v>
      </c>
      <c r="D455" s="1" t="n">
        <v>1.3051</v>
      </c>
      <c r="E455" s="1" t="n">
        <v>0.2234</v>
      </c>
      <c r="F455" s="1" t="n">
        <v>0.000609554</v>
      </c>
      <c r="G455" s="1" t="s">
        <v>47</v>
      </c>
      <c r="H455" s="1" t="n">
        <v>7.1</v>
      </c>
      <c r="I455" s="1" t="n">
        <v>100.3</v>
      </c>
      <c r="J455" s="1" t="n">
        <v>0</v>
      </c>
      <c r="K455" s="1" t="n">
        <v>93.1</v>
      </c>
      <c r="L455" s="1" t="n">
        <v>0</v>
      </c>
      <c r="M455" s="1" t="n">
        <v>0</v>
      </c>
      <c r="N455" s="1" t="s">
        <v>306</v>
      </c>
      <c r="Z455" s="0" t="n">
        <f aca="false">I455-28</f>
        <v>72.3</v>
      </c>
      <c r="AB455" s="0" t="n">
        <f aca="false">IF(Z455&lt;0,Z455+360,Z455+0)</f>
        <v>72.3</v>
      </c>
    </row>
    <row r="456" customFormat="false" ht="15.8" hidden="false" customHeight="false" outlineLevel="0" collapsed="false">
      <c r="A456" s="1" t="n">
        <v>8</v>
      </c>
      <c r="B456" s="1" t="n">
        <v>9</v>
      </c>
      <c r="C456" s="1" t="n">
        <v>0.6</v>
      </c>
      <c r="D456" s="1" t="n">
        <v>1.004</v>
      </c>
      <c r="E456" s="1" t="n">
        <v>0.0203196</v>
      </c>
      <c r="F456" s="1" t="n">
        <v>5.54427E-005</v>
      </c>
      <c r="G456" s="1" t="s">
        <v>47</v>
      </c>
      <c r="H456" s="1" t="n">
        <v>21.6</v>
      </c>
      <c r="I456" s="1" t="n">
        <v>93.2</v>
      </c>
      <c r="J456" s="1" t="n">
        <v>0</v>
      </c>
      <c r="K456" s="1" t="n">
        <v>88.4</v>
      </c>
      <c r="L456" s="1" t="n">
        <v>0</v>
      </c>
      <c r="M456" s="1" t="n">
        <v>0</v>
      </c>
      <c r="N456" s="1" t="s">
        <v>305</v>
      </c>
      <c r="Z456" s="0" t="n">
        <f aca="false">I456-28</f>
        <v>65.2</v>
      </c>
      <c r="AB456" s="0" t="n">
        <f aca="false">IF(Z456&lt;0,Z456+360,Z456+0)</f>
        <v>65.2</v>
      </c>
    </row>
    <row r="457" customFormat="false" ht="15.8" hidden="false" customHeight="false" outlineLevel="0" collapsed="false">
      <c r="A457" s="1" t="n">
        <v>8</v>
      </c>
      <c r="B457" s="1" t="n">
        <v>8</v>
      </c>
      <c r="C457" s="1" t="n">
        <v>0.5</v>
      </c>
      <c r="D457" s="1" t="n">
        <v>1.0038</v>
      </c>
      <c r="E457" s="1" t="n">
        <v>0.0154428</v>
      </c>
      <c r="F457" s="1" t="n">
        <v>4.21362E-005</v>
      </c>
      <c r="G457" s="1" t="s">
        <v>47</v>
      </c>
      <c r="H457" s="1" t="n">
        <v>23.2</v>
      </c>
      <c r="I457" s="1" t="n">
        <v>71.6</v>
      </c>
      <c r="J457" s="1" t="n">
        <v>0</v>
      </c>
      <c r="K457" s="1" t="n">
        <v>79.1</v>
      </c>
      <c r="L457" s="1" t="n">
        <v>0</v>
      </c>
      <c r="M457" s="1" t="n">
        <v>0</v>
      </c>
      <c r="N457" s="1" t="s">
        <v>303</v>
      </c>
      <c r="Z457" s="0" t="n">
        <f aca="false">I457-28</f>
        <v>43.6</v>
      </c>
      <c r="AB457" s="0" t="n">
        <f aca="false">IF(Z457&lt;0,Z457+360,Z457+0)</f>
        <v>43.6</v>
      </c>
    </row>
    <row r="458" customFormat="false" ht="15.8" hidden="false" customHeight="false" outlineLevel="0" collapsed="false">
      <c r="A458" s="1" t="n">
        <v>8</v>
      </c>
      <c r="B458" s="1" t="n">
        <v>7</v>
      </c>
      <c r="C458" s="1" t="n">
        <v>2.6</v>
      </c>
      <c r="D458" s="1" t="n">
        <v>1.1249</v>
      </c>
      <c r="E458" s="1" t="n">
        <v>0.0876017</v>
      </c>
      <c r="F458" s="1" t="n">
        <v>0.000239024</v>
      </c>
      <c r="G458" s="1" t="s">
        <v>47</v>
      </c>
      <c r="H458" s="1" t="n">
        <v>58.2</v>
      </c>
      <c r="I458" s="1" t="n">
        <v>58.1</v>
      </c>
      <c r="J458" s="1" t="n">
        <v>19</v>
      </c>
      <c r="K458" s="1" t="n">
        <v>124.6</v>
      </c>
      <c r="L458" s="1" t="n">
        <v>0</v>
      </c>
      <c r="M458" s="1" t="n">
        <v>0</v>
      </c>
      <c r="N458" s="1" t="s">
        <v>302</v>
      </c>
      <c r="Z458" s="0" t="n">
        <f aca="false">I458-28</f>
        <v>30.1</v>
      </c>
      <c r="AB458" s="0" t="n">
        <f aca="false">IF(Z458&lt;0,Z458+360,Z458+0)</f>
        <v>30.1</v>
      </c>
    </row>
    <row r="459" customFormat="false" ht="15.8" hidden="false" customHeight="false" outlineLevel="0" collapsed="false">
      <c r="A459" s="1" t="n">
        <v>8</v>
      </c>
      <c r="B459" s="1" t="n">
        <v>6</v>
      </c>
      <c r="C459" s="1" t="n">
        <v>0.6</v>
      </c>
      <c r="D459" s="1" t="n">
        <v>1.0205</v>
      </c>
      <c r="E459" s="1" t="n">
        <v>0.020511</v>
      </c>
      <c r="F459" s="1" t="n">
        <v>5.59648E-005</v>
      </c>
      <c r="G459" s="1" t="s">
        <v>47</v>
      </c>
      <c r="H459" s="1" t="n">
        <v>50.1</v>
      </c>
      <c r="I459" s="1" t="n">
        <v>114.2</v>
      </c>
      <c r="J459" s="1" t="n">
        <v>0</v>
      </c>
      <c r="K459" s="1" t="n">
        <v>58.2</v>
      </c>
      <c r="L459" s="1" t="n">
        <v>0</v>
      </c>
      <c r="M459" s="1" t="n">
        <v>0</v>
      </c>
      <c r="N459" s="1" t="s">
        <v>301</v>
      </c>
      <c r="Z459" s="0" t="n">
        <f aca="false">I459-28</f>
        <v>86.2</v>
      </c>
      <c r="AB459" s="0" t="n">
        <f aca="false">IF(Z459&lt;0,Z459+360,Z459+0)</f>
        <v>86.2</v>
      </c>
    </row>
    <row r="460" customFormat="false" ht="15.8" hidden="false" customHeight="false" outlineLevel="0" collapsed="false">
      <c r="A460" s="1" t="n">
        <v>8</v>
      </c>
      <c r="B460" s="1" t="n">
        <v>5</v>
      </c>
      <c r="C460" s="1" t="n">
        <v>0.9</v>
      </c>
      <c r="D460" s="1" t="n">
        <v>1.0378</v>
      </c>
      <c r="E460" s="1" t="n">
        <v>0.0302217</v>
      </c>
      <c r="F460" s="1" t="n">
        <v>8.24609E-005</v>
      </c>
      <c r="G460" s="1" t="s">
        <v>47</v>
      </c>
      <c r="H460" s="1" t="n">
        <v>40.5</v>
      </c>
      <c r="I460" s="1" t="n">
        <v>64.1</v>
      </c>
      <c r="J460" s="1" t="n">
        <v>0</v>
      </c>
      <c r="K460" s="1" t="n">
        <v>61.2</v>
      </c>
      <c r="L460" s="1" t="n">
        <v>0</v>
      </c>
      <c r="M460" s="1" t="n">
        <v>0</v>
      </c>
      <c r="N460" s="1" t="s">
        <v>300</v>
      </c>
      <c r="Z460" s="0" t="n">
        <f aca="false">I460-28</f>
        <v>36.1</v>
      </c>
      <c r="AB460" s="0" t="n">
        <f aca="false">IF(Z460&lt;0,Z460+360,Z460+0)</f>
        <v>36.1</v>
      </c>
    </row>
    <row r="461" customFormat="false" ht="15.8" hidden="false" customHeight="false" outlineLevel="0" collapsed="false">
      <c r="A461" s="1" t="n">
        <v>8</v>
      </c>
      <c r="B461" s="1" t="n">
        <v>4</v>
      </c>
      <c r="C461" s="1" t="n">
        <v>2.5</v>
      </c>
      <c r="D461" s="1" t="n">
        <v>1.2871</v>
      </c>
      <c r="E461" s="1" t="n">
        <v>0.0860133</v>
      </c>
      <c r="F461" s="1" t="n">
        <v>0.00023469</v>
      </c>
      <c r="G461" s="1" t="s">
        <v>47</v>
      </c>
      <c r="H461" s="1" t="n">
        <v>55.1</v>
      </c>
      <c r="I461" s="1" t="n">
        <v>41.8</v>
      </c>
      <c r="J461" s="1" t="n">
        <v>-34.7</v>
      </c>
      <c r="K461" s="1" t="n">
        <v>62.3</v>
      </c>
      <c r="L461" s="1" t="n">
        <v>0</v>
      </c>
      <c r="M461" s="1" t="n">
        <v>0</v>
      </c>
      <c r="N461" s="1" t="s">
        <v>299</v>
      </c>
      <c r="Z461" s="0" t="n">
        <f aca="false">I461-28</f>
        <v>13.8</v>
      </c>
      <c r="AB461" s="0" t="n">
        <f aca="false">IF(Z461&lt;0,Z461+360,Z461+0)</f>
        <v>13.8</v>
      </c>
    </row>
    <row r="462" customFormat="false" ht="15.8" hidden="false" customHeight="false" outlineLevel="0" collapsed="false">
      <c r="A462" s="1" t="n">
        <v>8</v>
      </c>
      <c r="B462" s="1" t="n">
        <v>3</v>
      </c>
      <c r="C462" s="1" t="n">
        <v>1.3</v>
      </c>
      <c r="D462" s="1" t="n">
        <v>1.2057</v>
      </c>
      <c r="E462" s="1" t="n">
        <v>0.0439107</v>
      </c>
      <c r="F462" s="1" t="n">
        <v>0.000119812</v>
      </c>
      <c r="G462" s="1" t="s">
        <v>47</v>
      </c>
      <c r="H462" s="1" t="n">
        <v>41</v>
      </c>
      <c r="I462" s="1" t="n">
        <v>41.2</v>
      </c>
      <c r="J462" s="1" t="n">
        <v>20.4</v>
      </c>
      <c r="K462" s="1" t="n">
        <v>55.1</v>
      </c>
      <c r="L462" s="1" t="n">
        <v>0</v>
      </c>
      <c r="M462" s="1" t="n">
        <v>0</v>
      </c>
      <c r="N462" s="1" t="s">
        <v>312</v>
      </c>
      <c r="Z462" s="0" t="n">
        <f aca="false">I462-28</f>
        <v>13.2</v>
      </c>
      <c r="AB462" s="0" t="n">
        <f aca="false">IF(Z462&lt;0,Z462+360,Z462+0)</f>
        <v>13.2</v>
      </c>
    </row>
    <row r="463" customFormat="false" ht="15.8" hidden="false" customHeight="false" outlineLevel="0" collapsed="false">
      <c r="A463" s="1" t="n">
        <v>8</v>
      </c>
      <c r="B463" s="1" t="n">
        <v>4</v>
      </c>
      <c r="C463" s="1" t="n">
        <v>1.3</v>
      </c>
      <c r="D463" s="1" t="n">
        <v>1.1364</v>
      </c>
      <c r="E463" s="1" t="n">
        <v>0.0439868</v>
      </c>
      <c r="F463" s="1" t="n">
        <v>0.000120019</v>
      </c>
      <c r="G463" s="1" t="s">
        <v>27</v>
      </c>
      <c r="H463" s="1" t="n">
        <v>62.6</v>
      </c>
      <c r="I463" s="1" t="n">
        <v>17.9</v>
      </c>
      <c r="J463" s="1" t="n">
        <v>19.1</v>
      </c>
      <c r="K463" s="1"/>
      <c r="L463" s="1" t="n">
        <v>0</v>
      </c>
      <c r="M463" s="1" t="n">
        <v>0</v>
      </c>
      <c r="N463" s="1" t="s">
        <v>313</v>
      </c>
      <c r="Z463" s="0" t="n">
        <f aca="false">I463-28</f>
        <v>-10.1</v>
      </c>
      <c r="AB463" s="0" t="n">
        <f aca="false">IF(Z463&lt;0,Z463+360,Z463+0)</f>
        <v>349.9</v>
      </c>
    </row>
    <row r="464" customFormat="false" ht="15.8" hidden="false" customHeight="false" outlineLevel="0" collapsed="false">
      <c r="A464" s="1" t="n">
        <v>8</v>
      </c>
      <c r="B464" s="1" t="n">
        <v>4</v>
      </c>
      <c r="C464" s="1" t="n">
        <v>1.2</v>
      </c>
      <c r="D464" s="1" t="n">
        <v>1.2091</v>
      </c>
      <c r="E464" s="1" t="n">
        <v>0.0421985</v>
      </c>
      <c r="F464" s="1" t="n">
        <v>0.00011514</v>
      </c>
      <c r="G464" s="1" t="s">
        <v>27</v>
      </c>
      <c r="H464" s="1" t="n">
        <v>40.3</v>
      </c>
      <c r="I464" s="1" t="n">
        <v>282</v>
      </c>
      <c r="J464" s="1" t="n">
        <v>-21.3</v>
      </c>
      <c r="K464" s="1"/>
      <c r="L464" s="1" t="n">
        <v>0</v>
      </c>
      <c r="M464" s="1" t="n">
        <v>0</v>
      </c>
      <c r="N464" s="1" t="s">
        <v>313</v>
      </c>
      <c r="Z464" s="0" t="n">
        <f aca="false">I464-28</f>
        <v>254</v>
      </c>
      <c r="AB464" s="0" t="n">
        <f aca="false">IF(Z464&lt;0,Z464+360,Z464+0)</f>
        <v>254</v>
      </c>
    </row>
    <row r="465" customFormat="false" ht="15.8" hidden="false" customHeight="false" outlineLevel="0" collapsed="false">
      <c r="A465" s="1" t="n">
        <v>8</v>
      </c>
      <c r="B465" s="1" t="n">
        <v>3</v>
      </c>
      <c r="C465" s="1" t="n">
        <v>1.5</v>
      </c>
      <c r="D465" s="1" t="n">
        <v>1.0057</v>
      </c>
      <c r="E465" s="1" t="n">
        <v>0.0501893</v>
      </c>
      <c r="F465" s="1" t="n">
        <v>0.000136943</v>
      </c>
      <c r="G465" s="1" t="s">
        <v>47</v>
      </c>
      <c r="H465" s="1" t="n">
        <v>120.6</v>
      </c>
      <c r="I465" s="1" t="n">
        <v>317</v>
      </c>
      <c r="J465" s="1" t="n">
        <v>0</v>
      </c>
      <c r="K465" s="1" t="n">
        <v>62.6</v>
      </c>
      <c r="L465" s="1" t="n">
        <v>0</v>
      </c>
      <c r="M465" s="1" t="n">
        <v>0</v>
      </c>
      <c r="N465" s="1" t="s">
        <v>312</v>
      </c>
      <c r="Z465" s="0" t="n">
        <f aca="false">I465-28</f>
        <v>289</v>
      </c>
      <c r="AB465" s="0" t="n">
        <f aca="false">IF(Z465&lt;0,Z465+360,Z465+0)</f>
        <v>289</v>
      </c>
    </row>
    <row r="466" customFormat="false" ht="15.8" hidden="false" customHeight="false" outlineLevel="0" collapsed="false">
      <c r="A466" s="1" t="n">
        <v>8</v>
      </c>
      <c r="B466" s="1" t="n">
        <v>5</v>
      </c>
      <c r="C466" s="1" t="n">
        <v>1.6</v>
      </c>
      <c r="D466" s="1" t="n">
        <v>1.3412</v>
      </c>
      <c r="E466" s="1" t="n">
        <v>0.0564321</v>
      </c>
      <c r="F466" s="1" t="n">
        <v>0.000153977</v>
      </c>
      <c r="G466" s="1" t="s">
        <v>27</v>
      </c>
      <c r="H466" s="1" t="n">
        <v>94.7</v>
      </c>
      <c r="I466" s="1" t="n">
        <v>98.6</v>
      </c>
      <c r="J466" s="1" t="n">
        <v>-17.5</v>
      </c>
      <c r="K466" s="1"/>
      <c r="L466" s="1" t="n">
        <v>0</v>
      </c>
      <c r="M466" s="1" t="n">
        <v>0</v>
      </c>
      <c r="N466" s="1" t="s">
        <v>314</v>
      </c>
      <c r="Z466" s="0" t="n">
        <f aca="false">I466-28</f>
        <v>70.6</v>
      </c>
      <c r="AB466" s="0" t="n">
        <f aca="false">IF(Z466&lt;0,Z466+360,Z466+0)</f>
        <v>70.6</v>
      </c>
    </row>
    <row r="467" customFormat="false" ht="15.8" hidden="false" customHeight="false" outlineLevel="0" collapsed="false">
      <c r="A467" s="1" t="n">
        <v>8</v>
      </c>
      <c r="B467" s="1" t="n">
        <v>6</v>
      </c>
      <c r="C467" s="1" t="n">
        <v>1.3</v>
      </c>
      <c r="D467" s="1" t="n">
        <v>1.0745</v>
      </c>
      <c r="E467" s="1" t="n">
        <v>0.0451391</v>
      </c>
      <c r="F467" s="1" t="n">
        <v>0.000123163</v>
      </c>
      <c r="G467" s="1" t="s">
        <v>27</v>
      </c>
      <c r="H467" s="1" t="n">
        <v>63</v>
      </c>
      <c r="I467" s="1" t="n">
        <v>8.5</v>
      </c>
      <c r="J467" s="1" t="n">
        <v>-65</v>
      </c>
      <c r="K467" s="1"/>
      <c r="L467" s="1" t="n">
        <v>0</v>
      </c>
      <c r="M467" s="1" t="n">
        <v>0</v>
      </c>
      <c r="N467" s="1" t="s">
        <v>315</v>
      </c>
      <c r="Z467" s="0" t="n">
        <f aca="false">I467-28</f>
        <v>-19.5</v>
      </c>
      <c r="AB467" s="0" t="n">
        <f aca="false">IF(Z467&lt;0,Z467+360,Z467+0)</f>
        <v>340.5</v>
      </c>
    </row>
    <row r="468" customFormat="false" ht="15.8" hidden="false" customHeight="false" outlineLevel="0" collapsed="false">
      <c r="A468" s="1" t="n">
        <v>8</v>
      </c>
      <c r="B468" s="1" t="n">
        <v>6</v>
      </c>
      <c r="C468" s="1" t="n">
        <v>2.6</v>
      </c>
      <c r="D468" s="1" t="n">
        <v>1.2653</v>
      </c>
      <c r="E468" s="1" t="n">
        <v>0.0894792</v>
      </c>
      <c r="F468" s="1" t="n">
        <v>0.000244147</v>
      </c>
      <c r="G468" s="1" t="s">
        <v>27</v>
      </c>
      <c r="H468" s="1" t="n">
        <v>38.8</v>
      </c>
      <c r="I468" s="1" t="n">
        <v>196.8</v>
      </c>
      <c r="J468" s="1" t="n">
        <v>-45.9</v>
      </c>
      <c r="K468" s="1"/>
      <c r="L468" s="1" t="n">
        <v>0</v>
      </c>
      <c r="M468" s="1" t="n">
        <v>0</v>
      </c>
      <c r="N468" s="1" t="s">
        <v>315</v>
      </c>
      <c r="Z468" s="0" t="n">
        <f aca="false">I468-28</f>
        <v>168.8</v>
      </c>
      <c r="AB468" s="0" t="n">
        <f aca="false">IF(Z468&lt;0,Z468+360,Z468+0)</f>
        <v>168.8</v>
      </c>
    </row>
    <row r="469" customFormat="false" ht="15.8" hidden="false" customHeight="false" outlineLevel="0" collapsed="false">
      <c r="A469" s="1" t="n">
        <v>8</v>
      </c>
      <c r="B469" s="1" t="n">
        <v>5</v>
      </c>
      <c r="C469" s="1" t="n">
        <v>2.4</v>
      </c>
      <c r="D469" s="1" t="n">
        <v>1.1748</v>
      </c>
      <c r="E469" s="1" t="n">
        <v>0.0831961</v>
      </c>
      <c r="F469" s="1" t="n">
        <v>0.000227003</v>
      </c>
      <c r="G469" s="1" t="s">
        <v>47</v>
      </c>
      <c r="H469" s="1" t="n">
        <v>54.6</v>
      </c>
      <c r="I469" s="1" t="n">
        <v>139.9</v>
      </c>
      <c r="J469" s="1" t="n">
        <v>-45.8</v>
      </c>
      <c r="K469" s="1" t="n">
        <v>63</v>
      </c>
      <c r="L469" s="1" t="n">
        <v>0</v>
      </c>
      <c r="M469" s="1" t="n">
        <v>0</v>
      </c>
      <c r="N469" s="1" t="s">
        <v>314</v>
      </c>
      <c r="Z469" s="0" t="n">
        <f aca="false">I469-28</f>
        <v>111.9</v>
      </c>
      <c r="AB469" s="0" t="n">
        <f aca="false">IF(Z469&lt;0,Z469+360,Z469+0)</f>
        <v>111.9</v>
      </c>
    </row>
    <row r="470" customFormat="false" ht="15.8" hidden="false" customHeight="false" outlineLevel="0" collapsed="false">
      <c r="A470" s="1" t="n">
        <v>8</v>
      </c>
      <c r="B470" s="1" t="n">
        <v>4</v>
      </c>
      <c r="C470" s="1" t="n">
        <v>10.5</v>
      </c>
      <c r="D470" s="1" t="n">
        <v>1.1393</v>
      </c>
      <c r="E470" s="1" t="n">
        <v>0.361323</v>
      </c>
      <c r="F470" s="1" t="n">
        <v>0.000985881</v>
      </c>
      <c r="G470" s="1" t="s">
        <v>47</v>
      </c>
      <c r="H470" s="1" t="n">
        <v>28.7</v>
      </c>
      <c r="I470" s="1" t="n">
        <v>238.7</v>
      </c>
      <c r="J470" s="1" t="n">
        <v>-61.6</v>
      </c>
      <c r="K470" s="1" t="n">
        <v>94.7</v>
      </c>
      <c r="L470" s="1" t="n">
        <v>0</v>
      </c>
      <c r="M470" s="1" t="n">
        <v>0</v>
      </c>
      <c r="N470" s="1" t="s">
        <v>316</v>
      </c>
      <c r="Z470" s="0" t="n">
        <f aca="false">I470-28</f>
        <v>210.7</v>
      </c>
      <c r="AB470" s="0" t="n">
        <f aca="false">IF(Z470&lt;0,Z470+360,Z470+0)</f>
        <v>210.7</v>
      </c>
    </row>
    <row r="471" customFormat="false" ht="15.8" hidden="false" customHeight="false" outlineLevel="0" collapsed="false">
      <c r="A471" s="1" t="n">
        <v>8</v>
      </c>
      <c r="B471" s="1" t="n">
        <v>4</v>
      </c>
      <c r="C471" s="1" t="n">
        <v>2.6</v>
      </c>
      <c r="D471" s="1" t="n">
        <v>1.6293</v>
      </c>
      <c r="E471" s="1" t="n">
        <v>0.0906803</v>
      </c>
      <c r="F471" s="1" t="n">
        <v>0.000247424</v>
      </c>
      <c r="G471" s="1" t="s">
        <v>27</v>
      </c>
      <c r="H471" s="1" t="n">
        <v>43.3</v>
      </c>
      <c r="I471" s="1" t="n">
        <v>194.8</v>
      </c>
      <c r="J471" s="1" t="n">
        <v>-13.2</v>
      </c>
      <c r="K471" s="1"/>
      <c r="L471" s="1" t="n">
        <v>0</v>
      </c>
      <c r="M471" s="1" t="n">
        <v>0</v>
      </c>
      <c r="N471" s="1" t="s">
        <v>316</v>
      </c>
      <c r="Z471" s="0" t="n">
        <f aca="false">I471-28</f>
        <v>166.8</v>
      </c>
      <c r="AB471" s="0" t="n">
        <f aca="false">IF(Z471&lt;0,Z471+360,Z471+0)</f>
        <v>166.8</v>
      </c>
    </row>
    <row r="472" customFormat="false" ht="15.8" hidden="false" customHeight="false" outlineLevel="0" collapsed="false">
      <c r="A472" s="1" t="n">
        <v>8</v>
      </c>
      <c r="B472" s="1" t="n">
        <v>3</v>
      </c>
      <c r="C472" s="1" t="n">
        <v>6.3</v>
      </c>
      <c r="D472" s="1" t="n">
        <v>1.1719</v>
      </c>
      <c r="E472" s="1" t="n">
        <v>0.216522</v>
      </c>
      <c r="F472" s="1" t="n">
        <v>0.000590786</v>
      </c>
      <c r="G472" s="1" t="s">
        <v>47</v>
      </c>
      <c r="H472" s="1" t="n">
        <v>98.7</v>
      </c>
      <c r="I472" s="1" t="n">
        <v>183.1</v>
      </c>
      <c r="J472" s="1" t="n">
        <v>-55.5</v>
      </c>
      <c r="K472" s="1" t="n">
        <v>43.3</v>
      </c>
      <c r="L472" s="1" t="n">
        <v>0</v>
      </c>
      <c r="M472" s="1" t="n">
        <v>0</v>
      </c>
      <c r="N472" s="1" t="s">
        <v>312</v>
      </c>
      <c r="Z472" s="0" t="n">
        <f aca="false">I472-28</f>
        <v>155.1</v>
      </c>
      <c r="AB472" s="0" t="n">
        <f aca="false">IF(Z472&lt;0,Z472+360,Z472+0)</f>
        <v>155.1</v>
      </c>
    </row>
    <row r="473" customFormat="false" ht="15.8" hidden="false" customHeight="false" outlineLevel="0" collapsed="false">
      <c r="A473" s="1" t="n">
        <v>8</v>
      </c>
      <c r="B473" s="1" t="n">
        <v>2</v>
      </c>
      <c r="C473" s="1" t="n">
        <v>1.1</v>
      </c>
      <c r="D473" s="1" t="n">
        <v>1.0104</v>
      </c>
      <c r="E473" s="1" t="n">
        <v>0.0376106</v>
      </c>
      <c r="F473" s="1" t="n">
        <v>0.000102622</v>
      </c>
      <c r="G473" s="1" t="s">
        <v>47</v>
      </c>
      <c r="H473" s="1" t="n">
        <v>7.7</v>
      </c>
      <c r="I473" s="1" t="n">
        <v>77.6</v>
      </c>
      <c r="J473" s="1" t="n">
        <v>0</v>
      </c>
      <c r="K473" s="1" t="n">
        <v>120.6</v>
      </c>
      <c r="L473" s="1" t="n">
        <v>0</v>
      </c>
      <c r="M473" s="1" t="n">
        <v>0</v>
      </c>
      <c r="N473" s="1" t="s">
        <v>281</v>
      </c>
      <c r="Z473" s="0" t="n">
        <f aca="false">I473-28</f>
        <v>49.6</v>
      </c>
      <c r="AB473" s="0" t="n">
        <f aca="false">IF(Z473&lt;0,Z473+360,Z473+0)</f>
        <v>49.6</v>
      </c>
    </row>
    <row r="474" customFormat="false" ht="15.8" hidden="false" customHeight="false" outlineLevel="0" collapsed="false">
      <c r="A474" s="1" t="n">
        <v>8</v>
      </c>
      <c r="B474" s="1" t="n">
        <v>1</v>
      </c>
      <c r="C474" s="1" t="n">
        <v>2</v>
      </c>
      <c r="D474" s="1" t="n">
        <v>1.0006</v>
      </c>
      <c r="E474" s="1" t="n">
        <v>0.0688525</v>
      </c>
      <c r="F474" s="1" t="n">
        <v>0.000187866</v>
      </c>
      <c r="G474" s="1" t="s">
        <v>47</v>
      </c>
      <c r="H474" s="1"/>
      <c r="I474" s="1" t="n">
        <v>69.9</v>
      </c>
      <c r="J474" s="1" t="n">
        <v>0</v>
      </c>
      <c r="K474" s="1" t="n">
        <v>79.1</v>
      </c>
      <c r="L474" s="1" t="n">
        <v>0</v>
      </c>
      <c r="M474" s="1" t="n">
        <v>0</v>
      </c>
      <c r="N474" s="1" t="s">
        <v>317</v>
      </c>
      <c r="Z474" s="0" t="n">
        <f aca="false">I474-28</f>
        <v>41.9</v>
      </c>
      <c r="AB474" s="0" t="n">
        <f aca="false">IF(Z474&lt;0,Z474+360,Z474+0)</f>
        <v>41.9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961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2017-05-19T18:07:06Z</dcterms:created>
  <dc:language>en-US</dc:language>
  <dcterms:modified xsi:type="dcterms:W3CDTF">2017-09-27T21:40:42Z</dcterms:modified>
  <cp:revision>5</cp:revision>
</cp:coreProperties>
</file>