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<sst xmlns="http://schemas.openxmlformats.org/spreadsheetml/2006/main" count="912" uniqueCount="288">
  <si>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</si>
  <si>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</si>
  <si>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</si>
  <si>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</si>
  <si>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</si>
  <si>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</si>
  <si>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</si>
  <si>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</si>
  <si>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</si>
  <si>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</si>
  <si>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</si>
  <si>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</si>
  <si>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</si>
  <si>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</si>
  <si>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</si>
  <si>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</si>
  <si>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</si>
  <si>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</si>
  <si>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</si>
  <si>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</si>
  <si>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</si>
  <si>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</si>
  <si>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</si>
  <si>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</si>
  <si>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</si>
  <si>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</si>
  <si>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</si>
  <si>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</si>
  <si>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(46.46, -50.05, -12.87)</t>
  </si>
  <si>
    <t>[90:75]</t>
  </si>
  <si>
    <t>&gt;75 R</t>
  </si>
  <si>
    <t>-75,-90 R</t>
  </si>
  <si>
    <t>[0:15)</t>
  </si>
  <si>
    <t>(44.18, -47.14, -10.92)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</si>
  <si>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</si>
  <si>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</si>
  <si>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</si>
  <si>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</si>
  <si>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</si>
  <si>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</si>
  <si>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</si>
  <si>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</si>
  <si>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</si>
  <si>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(44.52, -49.34, -12.48)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</si>
  <si>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</si>
  <si>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</si>
  <si>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</si>
  <si>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</si>
  <si>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</si>
  <si>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</si>
  <si>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</si>
  <si>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</si>
  <si>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</si>
  <si>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</si>
  <si>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</si>
  <si>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</si>
  <si>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(46.09, -50.05, -12.87)</t>
  </si>
  <si>
    <t>[0]</t>
  </si>
  <si>
    <t>&gt;-15 R</t>
  </si>
  <si>
    <t>0,15 R</t>
  </si>
  <si>
    <t>[90:105)</t>
  </si>
  <si>
    <t>(48.35, -63.71, -11.31)</t>
  </si>
  <si>
    <t>[0:15]</t>
  </si>
  <si>
    <t>&gt;-30 R</t>
  </si>
  <si>
    <t>15,30 R</t>
  </si>
  <si>
    <t>[105:120)</t>
  </si>
  <si>
    <t>Sum</t>
  </si>
  <si>
    <t>[15:30]</t>
  </si>
  <si>
    <t>&gt;-45 R</t>
  </si>
  <si>
    <t>30,45 R</t>
  </si>
  <si>
    <t>[120:135)</t>
  </si>
  <si>
    <t>(44.44, -63.06, -10.53)</t>
  </si>
  <si>
    <t>[30:45]</t>
  </si>
  <si>
    <t>&gt;-60 R</t>
  </si>
  <si>
    <t>45,60 R</t>
  </si>
  <si>
    <t>[135:150)</t>
  </si>
  <si>
    <t>[45:60]</t>
  </si>
  <si>
    <t>&gt;-75 R</t>
  </si>
  <si>
    <t>60,75 R</t>
  </si>
  <si>
    <t>[150:165)</t>
  </si>
  <si>
    <t>(43.25, -62.29, -9.36)</t>
  </si>
  <si>
    <t>[60:75]</t>
  </si>
  <si>
    <t> &gt;-90 R</t>
  </si>
  <si>
    <t> 75,90 R</t>
  </si>
  <si>
    <t>[165:180)</t>
  </si>
  <si>
    <t>(42.11, -62.86, -8.97)</t>
  </si>
  <si>
    <t>[75:90]</t>
  </si>
  <si>
    <t>&gt;-90 L</t>
  </si>
  <si>
    <t>90,75 L</t>
  </si>
  <si>
    <t>[180:195)</t>
  </si>
  <si>
    <t>&gt;-75 L</t>
  </si>
  <si>
    <t>75,60 L</t>
  </si>
  <si>
    <t>[195:210)</t>
  </si>
  <si>
    <t>(42.60, -65.49, -8.58)</t>
  </si>
  <si>
    <t>&gt;-60 L</t>
  </si>
  <si>
    <t>60,45 L</t>
  </si>
  <si>
    <t>[210:225)</t>
  </si>
  <si>
    <t>&gt;-45 L</t>
  </si>
  <si>
    <t>45,30 L</t>
  </si>
  <si>
    <t>[225:240)</t>
  </si>
  <si>
    <t>(43.22, -63.91, -8.97)</t>
  </si>
  <si>
    <t>&gt;-30 L</t>
  </si>
  <si>
    <t>30,15 L</t>
  </si>
  <si>
    <t>[240:255)</t>
  </si>
  <si>
    <t>(46.91, -66.19, -8.19)</t>
  </si>
  <si>
    <t>&gt;-15 L</t>
  </si>
  <si>
    <t>15,0 L</t>
  </si>
  <si>
    <t>[255:270)</t>
  </si>
  <si>
    <t>&gt;0 L</t>
  </si>
  <si>
    <t>0,-15 L</t>
  </si>
  <si>
    <t>[270:285)</t>
  </si>
  <si>
    <t>(48.14, -67.43, -7.80)</t>
  </si>
  <si>
    <t>&gt;15 L</t>
  </si>
  <si>
    <t>-15,-30 L</t>
  </si>
  <si>
    <t>[285:300)</t>
  </si>
  <si>
    <t>&gt;30 L</t>
  </si>
  <si>
    <t>-30,-45 L</t>
  </si>
  <si>
    <t>[300:315)</t>
  </si>
  <si>
    <t>&gt;45 L</t>
  </si>
  <si>
    <t>-45,-60 L</t>
  </si>
  <si>
    <t>[315:330)</t>
  </si>
  <si>
    <t>&gt;60 L</t>
  </si>
  <si>
    <t>-60,-75 L</t>
  </si>
  <si>
    <t>[330:345)</t>
  </si>
  <si>
    <t>&gt;75 L</t>
  </si>
  <si>
    <t>-75,-90 L</t>
  </si>
  <si>
    <t>[345:0]</t>
  </si>
  <si>
    <t>Total</t>
  </si>
  <si>
    <t>(42.05, -61.60, -9.75)</t>
  </si>
  <si>
    <t>Count</t>
  </si>
  <si>
    <t>Total L</t>
  </si>
  <si>
    <t>(37.20, -63.26, -9.36)</t>
  </si>
  <si>
    <t>(42.63, -58.57, -10.92)</t>
  </si>
  <si>
    <t>(43.68, -55.69, -12.48)</t>
  </si>
  <si>
    <t>(37.92, -53.05, -14.04)</t>
  </si>
  <si>
    <t>(39.97, -52.08, -16.77)</t>
  </si>
  <si>
    <t>(39.00, -52.88, -15.21)</t>
  </si>
  <si>
    <t>(41.44, -55.20, -19.11)</t>
  </si>
  <si>
    <t>(41.11, -53.35, -16.38)</t>
  </si>
  <si>
    <t>(41.33, -53.05, -15.60)</t>
  </si>
  <si>
    <t>(39.36, -54.76, -13.26)</t>
  </si>
  <si>
    <t>(31.96, -62.54, -14.82)</t>
  </si>
  <si>
    <t>(32.47, -61.09, -15.21)</t>
  </si>
  <si>
    <t>(30.56, -59.87, -12.09)</t>
  </si>
  <si>
    <t>(33.70, -60.09, -15.99)</t>
  </si>
  <si>
    <t>(33.72, -60.17, -20.67)</t>
  </si>
  <si>
    <t>(33.36, -59.08, -19.11)</t>
  </si>
  <si>
    <t>(32.75, -58.94, -17.55)</t>
  </si>
  <si>
    <t>(39.01, -59.53, -16.38)</t>
  </si>
  <si>
    <t>(40.34, -61.56, -15.99)</t>
  </si>
  <si>
    <t>(39.64, -60.41, -15.99)</t>
  </si>
  <si>
    <t>(38.51, -58.13, -16.38)</t>
  </si>
  <si>
    <t>(37.20, -58.36, -16.38)</t>
  </si>
  <si>
    <t>(38.20, -56.08, -14.43)</t>
  </si>
  <si>
    <t>(33.51, -50.33, -12.09)</t>
  </si>
  <si>
    <t>(27.44, -47.22, -11.31)</t>
  </si>
  <si>
    <t>(29.35, -47.95, -10.14)</t>
  </si>
  <si>
    <t>(33.79, -50.88, -12.48)</t>
  </si>
  <si>
    <t>(36.31, -53.86, -13.26)</t>
  </si>
  <si>
    <t>(27.09, -54.87, -8.19)</t>
  </si>
  <si>
    <t>(30.83, -54.75, -10.53)</t>
  </si>
  <si>
    <t>(31.94, -53.85, -13.26)</t>
  </si>
  <si>
    <t>(30.75, -53.58, -13.26)</t>
  </si>
  <si>
    <t>(29.03, -52.53, -13.65)</t>
  </si>
  <si>
    <t>(25.25, -55.59, -17.94)</t>
  </si>
  <si>
    <t>(25.97, -55.27, -17.55)</t>
  </si>
  <si>
    <t>(25.83, -54.41, -17.16)</t>
  </si>
  <si>
    <t>(28.99, -54.31, -18.33)</t>
  </si>
  <si>
    <t>(27.59, -54.47, -18.33)</t>
  </si>
  <si>
    <t>(27.19, -52.92, -14.82)</t>
  </si>
  <si>
    <t>(27.82, -52.99, -14.04)</t>
  </si>
  <si>
    <t>(27.71, -52.66, -13.65)</t>
  </si>
  <si>
    <t>(21.78, -53.95, -11.70)</t>
  </si>
  <si>
    <t>(24.93, -52.08, -12.87)</t>
  </si>
  <si>
    <t>(26.32, -51.94, -12.87)</t>
  </si>
  <si>
    <t>(21.81, -49.51, -11.70)</t>
  </si>
  <si>
    <t>(44.41, -55.27, -12.48)</t>
  </si>
  <si>
    <t>(51.86, -57.36, -12.48)</t>
  </si>
  <si>
    <t>(50.64, -55.97, -12.48)</t>
  </si>
  <si>
    <t>(59.83, -58.53, -10.53)</t>
  </si>
  <si>
    <t>(52.48, -56.38, -11.70)</t>
  </si>
  <si>
    <t>(51.65, -55.67, -12.09)</t>
  </si>
  <si>
    <t>(56.24, -62.08, -9.36)</t>
  </si>
  <si>
    <t>(58.84, -62.56, -8.58)</t>
  </si>
  <si>
    <t>(54.94, -62.36, -9.75)</t>
  </si>
  <si>
    <t>(54.31, -62.98, -9.75)</t>
  </si>
  <si>
    <t>(48.41, -61.77, -10.92)</t>
  </si>
  <si>
    <t>(52.24, -68.85, -8.19)</t>
  </si>
  <si>
    <t>(48.28, -64.99, -9.75)</t>
  </si>
  <si>
    <t>(47.10, -60.44, -10.92)</t>
  </si>
  <si>
    <t>(47.18, -58.75, -11.31)</t>
  </si>
  <si>
    <t>(47.78, -57.79, -11.31)</t>
  </si>
  <si>
    <t>(48.28, -56.21, -11.70)</t>
  </si>
  <si>
    <t>(27.63, -48.76, -15.21)</t>
  </si>
  <si>
    <t>(32.87, -49.45, -15.60)</t>
  </si>
  <si>
    <t>(36.08, -50.59, -15.21)</t>
  </si>
  <si>
    <t>(38.56, -50.11, -14.04)</t>
  </si>
  <si>
    <t>(25.54, -31.57, -13.65)</t>
  </si>
  <si>
    <t>(29.54, -31.40, -13.65)</t>
  </si>
  <si>
    <t>(32.82, -32.16, -13.26)</t>
  </si>
  <si>
    <t>(31.56, -32.86, -12.48)</t>
  </si>
  <si>
    <t>(31.72, -34.54, -12.09)</t>
  </si>
  <si>
    <t>(31.94, -35.63, -12.09)</t>
  </si>
  <si>
    <t>(32.78, -35.86, -12.09)</t>
  </si>
  <si>
    <t>(33.69, -36.11, -12.09)</t>
  </si>
  <si>
    <t>(31.39, -36.56, -12.09)</t>
  </si>
  <si>
    <t>(33.18, -39.00, -12.48)</t>
  </si>
  <si>
    <t>(33.21, -41.13, -13.26)</t>
  </si>
  <si>
    <t>(32.69, -42.04, -12.48)</t>
  </si>
  <si>
    <t>(31.56, -42.37, -12.48)</t>
  </si>
  <si>
    <t>(32.60, -44.15, -14.43)</t>
  </si>
  <si>
    <t>(33.67, -44.47, -14.82)</t>
  </si>
  <si>
    <t>(34.97, -44.24, -14.82)</t>
  </si>
  <si>
    <t>(37.12, -45.35, -14.43)</t>
  </si>
  <si>
    <t>(46.25, -42.56, -15.21)</t>
  </si>
  <si>
    <t>(44.70, -44.01, -15.99)</t>
  </si>
  <si>
    <t>(44.95, -45.37, -16.38)</t>
  </si>
  <si>
    <t>(44.81, -44.45, -15.99)</t>
  </si>
  <si>
    <t>(42.65, -44.32, -15.60)</t>
  </si>
  <si>
    <t>(43.69, -46.79, -15.21)</t>
  </si>
  <si>
    <t>(40.37, -51.13, -14.04)</t>
  </si>
  <si>
    <t>(42.59, -52.08, -13.65)</t>
  </si>
  <si>
    <t>(59.07, -48.76, -11.70)</t>
  </si>
  <si>
    <t>(62.40, -48.69, -11.70)</t>
  </si>
  <si>
    <t>(60.61, -48.76, -11.31)</t>
  </si>
  <si>
    <t>(57.50, -48.98, -12.87)</t>
  </si>
  <si>
    <t>(55.60, -49.70, -13.65)</t>
  </si>
  <si>
    <t>(55.55, -50.06, -12.48)</t>
  </si>
  <si>
    <t>(49.18, -49.42, -14.82)</t>
  </si>
  <si>
    <t>(53.72, -39.47, -17.55)</t>
  </si>
  <si>
    <t>(54.67, -39.39, -17.55)</t>
  </si>
  <si>
    <t>(55.35, -40.90, -17.16)</t>
  </si>
  <si>
    <t>(56.37, -42.08, -16.38)</t>
  </si>
  <si>
    <t>(57.18, -41.52, -15.99)</t>
  </si>
  <si>
    <t>(56.67, -41.40, -17.16)</t>
  </si>
  <si>
    <t>(57.34, -40.37, -17.94)</t>
  </si>
  <si>
    <t>(54.94, -47.24, -15.21)</t>
  </si>
  <si>
    <t>(54.91, -48.05, -14.82)</t>
  </si>
  <si>
    <t>(54.19, -48.75, -14.43)</t>
  </si>
  <si>
    <t>(64.05, -53.97, -12.48)</t>
  </si>
  <si>
    <t>(63.61, -53.43, -12.09)</t>
  </si>
  <si>
    <t>(63.67, -52.15, -12.09)</t>
  </si>
  <si>
    <t>(64.96, -51.53, -12.09)</t>
  </si>
  <si>
    <t>(59.26, -53.81, -13.26)</t>
  </si>
  <si>
    <t>(62.82, -55.64, -13.65)</t>
  </si>
  <si>
    <t>(66.36, -55.42, -13.65)</t>
  </si>
  <si>
    <t>(66.67, -55.93, -13.26)</t>
  </si>
  <si>
    <t>(56.92, -53.53, -13.65)</t>
  </si>
  <si>
    <t>(66.09, -61.03, -14.82)</t>
  </si>
  <si>
    <t>(73.09, -61.26, -16.77)</t>
  </si>
  <si>
    <t>(72.55, -59.13, -17.55)</t>
  </si>
  <si>
    <t>(72.80, -56.78, -17.16)</t>
  </si>
  <si>
    <t>(72.09, -58.50, -17.94)</t>
  </si>
  <si>
    <t>(72.61, -57.13, -20.28)</t>
  </si>
  <si>
    <t>(71.09, -61.76, -16.77)</t>
  </si>
  <si>
    <t>(70.36, -61.98, -16.38)</t>
  </si>
  <si>
    <t>(67.56, -60.78, -14.82)</t>
  </si>
  <si>
    <t>(70.30, -62.74, -12.87)</t>
  </si>
  <si>
    <t>(68.03, -61.33, -14.04)</t>
  </si>
  <si>
    <t>(67.90, -63.58, -12.87)</t>
  </si>
  <si>
    <t>(69.20, -64.36, -10.92)</t>
  </si>
  <si>
    <t>(69.13, -64.67, -9.75)</t>
  </si>
  <si>
    <t>(68.63, -63.81, -10.92)</t>
  </si>
  <si>
    <t>(66.57, -63.83, -10.92)</t>
  </si>
  <si>
    <t>(65.95, -63.48, -10.53)</t>
  </si>
  <si>
    <t>(64.45, -63.10, -10.53)</t>
  </si>
  <si>
    <t>(66.12, -59.15, -14.43)</t>
  </si>
  <si>
    <t>(67.85, -57.84, -15.21)</t>
  </si>
  <si>
    <t>(64.97, -58.32, -12.48)</t>
  </si>
  <si>
    <t>(63.35, -59.58, -14.82)</t>
  </si>
  <si>
    <t>(66.54, -66.10, -19.50)</t>
  </si>
  <si>
    <t>(63.19, -64.26, -17.94)</t>
  </si>
  <si>
    <t>(63.08, -67.50, -17.16)</t>
  </si>
  <si>
    <t>(61.74, -62.02, -16.77)</t>
  </si>
  <si>
    <t>(61.25, -61.58, -15.60)</t>
  </si>
  <si>
    <t>(58.96, -62.60, -14.82)</t>
  </si>
  <si>
    <t>(56.93, -63.81, -14.04)</t>
  </si>
  <si>
    <t>(60.82, -59.18, -14.82)</t>
  </si>
  <si>
    <t>(59.86, -58.37, -14.82)</t>
  </si>
  <si>
    <t>Generated</t>
  </si>
  <si>
    <t>(56.59, -55.31, -13.65)</t>
  </si>
  <si>
    <t>(56.14, -57.22, -14.04)</t>
  </si>
  <si>
    <t>(59.49, -56.05, -13.65)</t>
  </si>
  <si>
    <t>(59.35, -56.72, -13.65)</t>
  </si>
  <si>
    <t>(71.96, -59.90, -15.21)</t>
  </si>
  <si>
    <t>(47.65, -50.25, -15.21)</t>
  </si>
  <si>
    <t>(57.48, -53.25, -14.82)</t>
  </si>
  <si>
    <t>(47.46, -56.23, -12.48)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</si>
</sst>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99FF"/>
      </patternFill>
    </fill>
    <fill>
      <patternFill patternType="solid">
        <fgColor rgb="FFCCFFCC"/>
        <bgColor rgb="FFD2F8FA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D2F8FA"/>
      </patternFill>
    </fill>
    <fill>
      <patternFill patternType="solid">
        <fgColor rgb="FFFFCC99"/>
        <bgColor rgb="FFDDDDDD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CCFF00"/>
      </patternFill>
    </fill>
    <fill>
      <patternFill patternType="solid">
        <fgColor rgb="FFCCFF00"/>
        <bgColor rgb="FFFFFF00"/>
      </patternFill>
    </fill>
    <fill>
      <patternFill patternType="solid">
        <fgColor rgb="FFDDDDDD"/>
        <bgColor rgb="FFCCCCFF"/>
      </patternFill>
    </fill>
    <fill>
      <patternFill patternType="solid">
        <fgColor rgb="FFD2F8FA"/>
        <bgColor rgb="FFCCFFFF"/>
      </patternFill>
    </fill>
    <fill>
      <patternFill patternType="solid">
        <fgColor rgb="FF9999FF"/>
        <bgColor rgb="FFCC99FF"/>
      </patternFill>
    </fill>
    <fill>
      <patternFill patternType="solid">
        <fgColor rgb="FFFF99FF"/>
        <bgColor rgb="FFFF99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CFF00"/>
      <rgbColor rgb="FF00FFFF"/>
      <rgbColor rgb="FF800080"/>
      <rgbColor rgb="FF800000"/>
      <rgbColor rgb="FF008080"/>
      <rgbColor rgb="FF0000FF"/>
      <rgbColor rgb="FF00CCFF"/>
      <rgbColor rgb="FFD2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DDDDDD"/>
      <rgbColor rgb="FFFFCC00"/>
      <rgbColor rgb="FFFF9900"/>
      <rgbColor rgb="FFFF6600"/>
      <rgbColor rgb="FFFF99F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4489795918367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</v>
      </c>
      <c r="C2" s="1" t="n">
        <v>9.9</v>
      </c>
      <c r="D2" s="1" t="n">
        <v>1.2109</v>
      </c>
      <c r="E2" s="1" t="n">
        <v>0.359178</v>
      </c>
      <c r="F2" s="1" t="n">
        <v>0.0010324</v>
      </c>
      <c r="G2" s="1" t="s">
        <v>27</v>
      </c>
      <c r="H2" s="1"/>
      <c r="I2" s="1" t="n">
        <v>126.7</v>
      </c>
      <c r="J2" s="1" t="n">
        <v>5.5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20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67.4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I2-8</f>
        <v>118.7</v>
      </c>
      <c r="AB2" s="0" t="n">
        <f aca="false">IF(Z2&lt;0,Z2+360,Z2+0)</f>
        <v>118.7</v>
      </c>
      <c r="AC2" s="4" t="s">
        <v>32</v>
      </c>
      <c r="AD2" s="1" t="s">
        <v>32</v>
      </c>
      <c r="AE2" s="1" t="n">
        <f aca="false">COUNTIF(AB$2:AB$1500,"&lt;15")</f>
        <v>18</v>
      </c>
      <c r="AF2" s="1"/>
      <c r="AG2" s="1" t="s">
        <v>32</v>
      </c>
      <c r="AH2" s="0" t="n">
        <f aca="false">SUMIFS(C$2:C$1500,C$2:C$1500, "&gt;=0",AB$2:AB$1500, "&lt;15")</f>
        <v>42.6</v>
      </c>
      <c r="AJ2" s="5" t="s">
        <v>29</v>
      </c>
      <c r="AK2" s="0" t="n">
        <f aca="false">SUMIF($J$2:$J$2000,"&lt;-75",$C$2:$C$2000)</f>
        <v>3.8</v>
      </c>
      <c r="AM2" s="1" t="s">
        <v>32</v>
      </c>
      <c r="AN2" s="0" t="n">
        <f aca="false">AE2+AE13+AE14+AE25</f>
        <v>77</v>
      </c>
      <c r="AO2" s="1" t="s">
        <v>32</v>
      </c>
      <c r="AP2" s="0" t="n">
        <f aca="false">R7+R8+R9</f>
        <v>179</v>
      </c>
      <c r="AR2" s="1" t="s">
        <v>32</v>
      </c>
      <c r="AS2" s="0" t="n">
        <f aca="false">AH2+AH13+AH14+AH25</f>
        <v>238.7</v>
      </c>
      <c r="AU2" s="0" t="n">
        <f aca="false">AK7+AK8+AK9</f>
        <v>506.5</v>
      </c>
    </row>
    <row r="3" customFormat="false" ht="15.8" hidden="false" customHeight="false" outlineLevel="0" collapsed="false">
      <c r="A3" s="1" t="n">
        <v>2</v>
      </c>
      <c r="B3" s="1" t="n">
        <v>3</v>
      </c>
      <c r="C3" s="1" t="n">
        <v>1.2</v>
      </c>
      <c r="D3" s="1" t="n">
        <v>1.204</v>
      </c>
      <c r="E3" s="1" t="n">
        <v>0.043738</v>
      </c>
      <c r="F3" s="1" t="n">
        <v>0.000125718</v>
      </c>
      <c r="G3" s="1" t="s">
        <v>27</v>
      </c>
      <c r="H3" s="1" t="n">
        <v>35.2</v>
      </c>
      <c r="I3" s="1" t="n">
        <v>54.6</v>
      </c>
      <c r="J3" s="1" t="n">
        <v>50.9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15</v>
      </c>
      <c r="Q3" s="1" t="s">
        <v>34</v>
      </c>
      <c r="R3" s="1" t="n">
        <f aca="false">COUNTIF(J$2:J$1500,"&lt;-60")-R2</f>
        <v>4</v>
      </c>
      <c r="S3" s="2" t="s">
        <v>35</v>
      </c>
      <c r="T3" s="1" t="n">
        <f aca="false">COUNTIFS(J$2:J$1500, "&gt;60",I$2:I$1500, "&lt;180")-T2</f>
        <v>0</v>
      </c>
      <c r="U3" s="1" t="n">
        <v>15</v>
      </c>
      <c r="V3" s="0" t="n">
        <f aca="false">SUMIFS(C$2:C$1500,C$2:C$1500, "&gt;=0",I$2:I$1500, "&lt;30",I$2:I$1500,"&gt;=15")</f>
        <v>32.3</v>
      </c>
      <c r="W3" s="2" t="s">
        <v>36</v>
      </c>
      <c r="X3" s="0" t="n">
        <f aca="false">SUMIFS(C$2:C$1500,C$2:C$1500, "&gt;=0",J$2:J$1500, "&lt;-60",J$2:J$1500,"&gt;=-75",I$2:I$1500,"&lt;180")</f>
        <v>0</v>
      </c>
      <c r="Z3" s="0" t="n">
        <f aca="false">I3-8</f>
        <v>46.6</v>
      </c>
      <c r="AB3" s="0" t="n">
        <f aca="false">IF(Z3&lt;0,Z3+360,Z3+0)</f>
        <v>46.6</v>
      </c>
      <c r="AC3" s="6" t="s">
        <v>37</v>
      </c>
      <c r="AD3" s="1" t="s">
        <v>37</v>
      </c>
      <c r="AE3" s="1" t="n">
        <f aca="false">COUNTIF(AB$2:AB$1500,"&lt;30")-AE2</f>
        <v>7</v>
      </c>
      <c r="AF3" s="1"/>
      <c r="AG3" s="1" t="s">
        <v>37</v>
      </c>
      <c r="AH3" s="0" t="n">
        <f aca="false">SUMIFS(C$2:C$1500,C$2:C$1500, "&gt;=0",AB$2:AB$1500, "&lt;30",AB$2:AB$1500,"&gt;=15")</f>
        <v>15.9</v>
      </c>
      <c r="AJ3" s="7" t="s">
        <v>34</v>
      </c>
      <c r="AK3" s="0" t="n">
        <f aca="false">SUMIF($J$2:$J$2000,"&lt;-60",$C$2:$C$2000)-$AK$2</f>
        <v>5.9</v>
      </c>
      <c r="AM3" s="1" t="s">
        <v>37</v>
      </c>
      <c r="AN3" s="0" t="n">
        <f aca="false">AE3+AE12+AE15+AE24</f>
        <v>61</v>
      </c>
      <c r="AO3" s="1" t="s">
        <v>37</v>
      </c>
      <c r="AP3" s="0" t="n">
        <f aca="false">R10+R6</f>
        <v>100</v>
      </c>
      <c r="AR3" s="1" t="s">
        <v>37</v>
      </c>
      <c r="AS3" s="0" t="n">
        <f aca="false">AH3+AH12+AH15+AH24</f>
        <v>185.9</v>
      </c>
      <c r="AU3" s="0" t="n">
        <f aca="false">AK10+AK6</f>
        <v>253.3</v>
      </c>
    </row>
    <row r="4" customFormat="false" ht="15.8" hidden="false" customHeight="false" outlineLevel="0" collapsed="false">
      <c r="A4" s="1" t="n">
        <v>2</v>
      </c>
      <c r="B4" s="1" t="n">
        <v>3</v>
      </c>
      <c r="C4" s="1" t="n">
        <v>1.1</v>
      </c>
      <c r="D4" s="1" t="n">
        <v>1.1603</v>
      </c>
      <c r="E4" s="1" t="n">
        <v>0.0387286</v>
      </c>
      <c r="F4" s="1" t="n">
        <v>0.000111319</v>
      </c>
      <c r="G4" s="1" t="s">
        <v>27</v>
      </c>
      <c r="H4" s="1" t="n">
        <v>134.4</v>
      </c>
      <c r="I4" s="1" t="n">
        <v>226.7</v>
      </c>
      <c r="J4" s="1" t="n">
        <v>-25</v>
      </c>
      <c r="K4" s="1"/>
      <c r="L4" s="1" t="n">
        <v>0</v>
      </c>
      <c r="M4" s="1" t="n">
        <v>0</v>
      </c>
      <c r="N4" s="1" t="s">
        <v>33</v>
      </c>
      <c r="O4" s="1" t="n">
        <v>30</v>
      </c>
      <c r="P4" s="1" t="n">
        <f aca="false">COUNTIF(I$2:I$1500,"&lt;45")-SUM(P2:P3)</f>
        <v>9</v>
      </c>
      <c r="Q4" s="8" t="s">
        <v>38</v>
      </c>
      <c r="R4" s="1" t="n">
        <f aca="false">COUNTIF(J$2:J$1500,"&lt;-45")-SUM(R2:R3)</f>
        <v>16</v>
      </c>
      <c r="S4" s="2" t="s">
        <v>39</v>
      </c>
      <c r="T4" s="1" t="n">
        <f aca="false">COUNTIFS(J$2:J$1500, "&gt;45",I$2:I$1500, "&lt;180")-SUM(T2:T3)</f>
        <v>6</v>
      </c>
      <c r="U4" s="1" t="n">
        <v>30</v>
      </c>
      <c r="V4" s="0" t="n">
        <f aca="false">SUMIFS(C$2:C$1500,C$2:C$1500, "&gt;=0",I$2:I$1500, "&lt;45",I$2:I$1500,"&gt;=30")</f>
        <v>15.5</v>
      </c>
      <c r="W4" s="2" t="s">
        <v>40</v>
      </c>
      <c r="X4" s="0" t="n">
        <f aca="false">SUMIFS(C$2:C$1500,C$2:C$1500, "&gt;=0",J$2:J$1500, "&lt;-45",J$2:J$1500,"&gt;=-60",I$2:I$1500,"&lt;180")</f>
        <v>17.1</v>
      </c>
      <c r="Z4" s="0" t="n">
        <f aca="false">I4-8</f>
        <v>218.7</v>
      </c>
      <c r="AB4" s="0" t="n">
        <f aca="false">IF(Z4&lt;0,Z4+360,Z4+0)</f>
        <v>218.7</v>
      </c>
      <c r="AC4" s="9" t="s">
        <v>41</v>
      </c>
      <c r="AD4" s="1" t="s">
        <v>41</v>
      </c>
      <c r="AE4" s="1" t="n">
        <f aca="false">COUNTIF(AB$2:AB$1500,"&lt;45")-SUM(AE2:AE3)</f>
        <v>9</v>
      </c>
      <c r="AF4" s="1"/>
      <c r="AG4" s="1" t="s">
        <v>41</v>
      </c>
      <c r="AH4" s="0" t="n">
        <f aca="false">SUMIFS(C$2:C$1500,C$2:C$1500, "&gt;=0",AB$2:AB$1500, "&lt;45",AB$2:AB$1500,"&gt;=30")</f>
        <v>13.7</v>
      </c>
      <c r="AJ4" s="10" t="s">
        <v>38</v>
      </c>
      <c r="AK4" s="0" t="n">
        <f aca="false">SUMIF($J$2:$J$2000,"&lt;-45",$C$2:$C$2000)-SUM($AK$2:$AK$3)</f>
        <v>35.1</v>
      </c>
      <c r="AM4" s="1" t="s">
        <v>41</v>
      </c>
      <c r="AN4" s="0" t="n">
        <f aca="false">AE4+AE11+AE16+AE23</f>
        <v>71</v>
      </c>
      <c r="AO4" s="1" t="s">
        <v>41</v>
      </c>
      <c r="AP4" s="0" t="n">
        <f aca="false">R11+R5</f>
        <v>42</v>
      </c>
      <c r="AR4" s="1" t="s">
        <v>41</v>
      </c>
      <c r="AS4" s="0" t="n">
        <f aca="false">AH4+AH11+AH16+AH23</f>
        <v>185.9</v>
      </c>
      <c r="AU4" s="0" t="n">
        <f aca="false">AK11+AK5</f>
        <v>102.4</v>
      </c>
    </row>
    <row r="5" customFormat="false" ht="15.8" hidden="false" customHeight="false" outlineLevel="0" collapsed="false">
      <c r="A5" s="1" t="n">
        <v>2</v>
      </c>
      <c r="B5" s="1" t="n">
        <v>2</v>
      </c>
      <c r="C5" s="1" t="n">
        <v>4.1</v>
      </c>
      <c r="D5" s="1" t="n">
        <v>1.5212</v>
      </c>
      <c r="E5" s="1" t="n">
        <v>0.149135</v>
      </c>
      <c r="F5" s="1" t="n">
        <v>0.000428664</v>
      </c>
      <c r="G5" s="1" t="s">
        <v>42</v>
      </c>
      <c r="H5" s="1" t="n">
        <v>55.9</v>
      </c>
      <c r="I5" s="1" t="n">
        <v>98.6</v>
      </c>
      <c r="J5" s="1" t="n">
        <v>35.1</v>
      </c>
      <c r="K5" s="1" t="n">
        <v>134.4</v>
      </c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7</v>
      </c>
      <c r="Q5" s="1" t="s">
        <v>44</v>
      </c>
      <c r="R5" s="1" t="n">
        <f aca="false">COUNTIF(J$2:J$1500,"&lt;-30")-SUM(R2:R4)</f>
        <v>19</v>
      </c>
      <c r="S5" s="2" t="s">
        <v>45</v>
      </c>
      <c r="T5" s="1" t="n">
        <f aca="false">COUNTIFS(J$2:J$1500, "&gt;30",I$2:I$1500, "&lt;180")-SUM(T2:T4)</f>
        <v>12</v>
      </c>
      <c r="U5" s="1" t="n">
        <v>45</v>
      </c>
      <c r="V5" s="0" t="n">
        <f aca="false">SUMIFS(C$2:C$1500,C$2:C$1500, "&gt;=0",I$2:I$1500, "&lt;60",I$2:I$1500,"&gt;=45")</f>
        <v>9.9</v>
      </c>
      <c r="W5" s="2" t="s">
        <v>46</v>
      </c>
      <c r="X5" s="0" t="n">
        <f aca="false">SUMIFS(C$2:C$1500,C$2:C$1500, "&gt;=0",J$2:J$1500, "&lt;-30",J$2:J$1500,"&gt;=-45",I$2:I$1500,"&lt;180")</f>
        <v>24</v>
      </c>
      <c r="Z5" s="0" t="n">
        <f aca="false">I5-8</f>
        <v>90.6</v>
      </c>
      <c r="AB5" s="0" t="n">
        <f aca="false">IF(Z5&lt;0,Z5+360,Z5+0)</f>
        <v>90.6</v>
      </c>
      <c r="AC5" s="11" t="s">
        <v>47</v>
      </c>
      <c r="AD5" s="1" t="s">
        <v>47</v>
      </c>
      <c r="AE5" s="1" t="n">
        <f aca="false">COUNTIF(AB$2:AB$1500,"&lt;60")-SUM(AE2:AE4)</f>
        <v>10</v>
      </c>
      <c r="AF5" s="1"/>
      <c r="AG5" s="1" t="s">
        <v>47</v>
      </c>
      <c r="AH5" s="0" t="n">
        <f aca="false">SUMIFS(C$2:C$1500,C$2:C$1500, "&gt;=0",AB$2:AB$1500, "&lt;60",AB$2:AB$1500,"&gt;=45")</f>
        <v>17.1</v>
      </c>
      <c r="AJ5" s="9" t="s">
        <v>44</v>
      </c>
      <c r="AK5" s="0" t="n">
        <f aca="false">SUMIF($J$2:$J$2000,"&lt;-30",$C$2:$C$2000)-SUM($AK$2:$AK$4)</f>
        <v>50.6</v>
      </c>
      <c r="AM5" s="1" t="s">
        <v>47</v>
      </c>
      <c r="AN5" s="0" t="n">
        <f aca="false">AE5+AE10+AE17+AE22</f>
        <v>52</v>
      </c>
      <c r="AO5" s="1" t="s">
        <v>47</v>
      </c>
      <c r="AP5" s="0" t="n">
        <f aca="false">R12+R4</f>
        <v>23</v>
      </c>
      <c r="AR5" s="1" t="s">
        <v>47</v>
      </c>
      <c r="AS5" s="0" t="n">
        <f aca="false">AH5+AH10+AH17+AH22</f>
        <v>103.5</v>
      </c>
      <c r="AU5" s="0" t="n">
        <f aca="false">AK12+AK4</f>
        <v>52.7</v>
      </c>
    </row>
    <row r="6" customFormat="false" ht="15.8" hidden="false" customHeight="false" outlineLevel="0" collapsed="false">
      <c r="A6" s="1" t="n">
        <v>2</v>
      </c>
      <c r="B6" s="1" t="n">
        <v>2</v>
      </c>
      <c r="C6" s="1" t="n">
        <v>0.9</v>
      </c>
      <c r="D6" s="1" t="n">
        <v>1.0067</v>
      </c>
      <c r="E6" s="1" t="n">
        <v>0.0335118</v>
      </c>
      <c r="F6" s="1" t="n">
        <v>9.63242E-005</v>
      </c>
      <c r="G6" s="1" t="s">
        <v>27</v>
      </c>
      <c r="H6" s="1" t="n">
        <v>30.5</v>
      </c>
      <c r="I6" s="1" t="n">
        <v>183.6</v>
      </c>
      <c r="J6" s="1" t="n">
        <v>0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9</v>
      </c>
      <c r="Q6" s="1" t="s">
        <v>48</v>
      </c>
      <c r="R6" s="1" t="n">
        <f aca="false">COUNTIF(J$2:J$1500,"&lt;-15")-SUM(R2:R5)</f>
        <v>48</v>
      </c>
      <c r="S6" s="2" t="s">
        <v>49</v>
      </c>
      <c r="T6" s="1" t="n">
        <f aca="false">COUNTIFS(J$2:J$1500, "&gt;15",I$2:I$1500, "&lt;180")-SUM(T2:T5)</f>
        <v>19</v>
      </c>
      <c r="U6" s="1" t="n">
        <v>60</v>
      </c>
      <c r="V6" s="0" t="n">
        <f aca="false">SUMIFS(C$2:C$1500,C$2:C$1500, "&gt;=0",I$2:I$1500, "&lt;75",I$2:I$1500,"&gt;=60")</f>
        <v>26.2</v>
      </c>
      <c r="W6" s="2" t="s">
        <v>50</v>
      </c>
      <c r="X6" s="0" t="n">
        <f aca="false">SUMIFS(C$2:C$1500,C$2:C$1500, "&gt;=0",J$2:J$1500, "&lt;-15",J$2:J$1500,"&gt;=-30",I$2:I$1500,"&lt;180")</f>
        <v>71.6</v>
      </c>
      <c r="Z6" s="0" t="n">
        <f aca="false">I6-8</f>
        <v>175.6</v>
      </c>
      <c r="AB6" s="0" t="n">
        <f aca="false">IF(Z6&lt;0,Z6+360,Z6+0)</f>
        <v>175.6</v>
      </c>
      <c r="AC6" s="7" t="s">
        <v>51</v>
      </c>
      <c r="AD6" s="1" t="s">
        <v>51</v>
      </c>
      <c r="AE6" s="1" t="n">
        <f aca="false">COUNTIF(AB$2:AB$1500,"&lt;75")-SUM(AE2:AE5)</f>
        <v>9</v>
      </c>
      <c r="AF6" s="1"/>
      <c r="AG6" s="1" t="s">
        <v>51</v>
      </c>
      <c r="AH6" s="0" t="n">
        <f aca="false">SUMIFS(C$2:C$1500,C$2:C$1500, "&gt;=0",AB$2:AB$1500, "&lt;75",AB$2:AB$1500,"&gt;=60")</f>
        <v>23.8</v>
      </c>
      <c r="AJ6" s="6" t="s">
        <v>48</v>
      </c>
      <c r="AK6" s="0" t="n">
        <f aca="false">SUMIF($J$2:$J$2000,"&lt;-15",$C$2:$C$2000)-SUM($AK$2:$AK$5)</f>
        <v>113.6</v>
      </c>
      <c r="AM6" s="1" t="s">
        <v>51</v>
      </c>
      <c r="AN6" s="0" t="n">
        <f aca="false">AE6+AE9+AE18+AE21</f>
        <v>47</v>
      </c>
      <c r="AO6" s="1" t="s">
        <v>51</v>
      </c>
      <c r="AP6" s="0" t="n">
        <f aca="false">R13+R3</f>
        <v>8</v>
      </c>
      <c r="AR6" s="1" t="s">
        <v>51</v>
      </c>
      <c r="AS6" s="0" t="n">
        <f aca="false">AH6+AH9+AH18+AH21</f>
        <v>111.8</v>
      </c>
      <c r="AU6" s="0" t="n">
        <f aca="false">AK13+AK3</f>
        <v>15.0999999999999</v>
      </c>
    </row>
    <row r="7" customFormat="false" ht="15.8" hidden="false" customHeight="false" outlineLevel="0" collapsed="false">
      <c r="A7" s="1" t="n">
        <v>2</v>
      </c>
      <c r="B7" s="1" t="n">
        <v>2</v>
      </c>
      <c r="C7" s="1" t="n">
        <v>0.9</v>
      </c>
      <c r="D7" s="1" t="n">
        <v>1.1206</v>
      </c>
      <c r="E7" s="1" t="n">
        <v>0.03241</v>
      </c>
      <c r="F7" s="1" t="n">
        <v>9.31572E-005</v>
      </c>
      <c r="G7" s="1" t="s">
        <v>27</v>
      </c>
      <c r="H7" s="1" t="n">
        <v>133.2</v>
      </c>
      <c r="I7" s="1" t="n">
        <v>21</v>
      </c>
      <c r="J7" s="1" t="n">
        <v>0</v>
      </c>
      <c r="K7" s="1"/>
      <c r="L7" s="1" t="n">
        <v>0</v>
      </c>
      <c r="M7" s="1" t="n">
        <v>0</v>
      </c>
      <c r="N7" s="1" t="s">
        <v>43</v>
      </c>
      <c r="O7" s="1" t="n">
        <v>75</v>
      </c>
      <c r="P7" s="1" t="n">
        <f aca="false">COUNTIF(I$2:I$1500,"&lt;90")-SUM(P2:P6)</f>
        <v>6</v>
      </c>
      <c r="Q7" s="1" t="s">
        <v>52</v>
      </c>
      <c r="R7" s="1" t="n">
        <f aca="false">COUNTIF(J$2:J$1500,"&lt;0")-SUM(R2:R6)</f>
        <v>38</v>
      </c>
      <c r="S7" s="2" t="s">
        <v>53</v>
      </c>
      <c r="T7" s="1" t="n">
        <f aca="false">COUNTIFS(J$2:J$1500, "&gt;0",I$2:I$1500, "&lt;180")-SUM(T2:T6)</f>
        <v>20</v>
      </c>
      <c r="U7" s="1" t="n">
        <v>75</v>
      </c>
      <c r="V7" s="0" t="n">
        <f aca="false">SUMIFS(C$2:C$1500,C$2:C$1500, "&gt;=0",I$2:I$1500, "&lt;90",I$2:I$1500,"&gt;=75")</f>
        <v>8</v>
      </c>
      <c r="W7" s="2" t="s">
        <v>54</v>
      </c>
      <c r="X7" s="0" t="n">
        <f aca="false">SUMIFS(C$2:C$1500,C$2:C$1500, "&gt;=0",J$2:J$1500, "&lt;0",J$2:J$1500,"&gt;=-15",I$2:I$1500,"&lt;180")</f>
        <v>96.2</v>
      </c>
      <c r="Z7" s="0" t="n">
        <f aca="false">I7-8</f>
        <v>13</v>
      </c>
      <c r="AB7" s="0" t="n">
        <f aca="false">IF(Z7&lt;0,Z7+360,Z7+0)</f>
        <v>13</v>
      </c>
      <c r="AC7" s="5" t="s">
        <v>55</v>
      </c>
      <c r="AD7" s="1" t="s">
        <v>55</v>
      </c>
      <c r="AE7" s="1" t="n">
        <f aca="false">COUNTIF(AB$2:AB$1500,"&lt;90")-SUM(AE2:AE6)</f>
        <v>8</v>
      </c>
      <c r="AF7" s="1"/>
      <c r="AG7" s="1" t="s">
        <v>55</v>
      </c>
      <c r="AH7" s="0" t="n">
        <f aca="false">SUMIFS(C$2:C$1500,C$2:C$1500, "&gt;=0",AB$2:AB$1500, "&lt;90",AB$2:AB$1500,"&gt;=75")</f>
        <v>16</v>
      </c>
      <c r="AJ7" s="4" t="s">
        <v>52</v>
      </c>
      <c r="AK7" s="0" t="n">
        <f aca="false">SUMIF($J$2:$J$2000,"&lt;0",$C$2:$C$2000)-SUM($AK$2:$AK$6)</f>
        <v>160.2</v>
      </c>
      <c r="AM7" s="1" t="s">
        <v>55</v>
      </c>
      <c r="AN7" s="0" t="n">
        <f aca="false">AE7+AE8+AE19+AE20</f>
        <v>45</v>
      </c>
      <c r="AO7" s="1" t="s">
        <v>55</v>
      </c>
      <c r="AP7" s="0" t="n">
        <f aca="false">R14+R2</f>
        <v>1</v>
      </c>
      <c r="AR7" s="1" t="s">
        <v>55</v>
      </c>
      <c r="AS7" s="0" t="n">
        <f aca="false">AH7+AH8+AH19+AH20</f>
        <v>108</v>
      </c>
      <c r="AU7" s="0" t="n">
        <f aca="false">AK14+AK2</f>
        <v>3.8</v>
      </c>
    </row>
    <row r="8" customFormat="false" ht="15.8" hidden="false" customHeight="false" outlineLevel="0" collapsed="false">
      <c r="A8" s="1" t="n">
        <v>2</v>
      </c>
      <c r="B8" s="1" t="n">
        <v>1</v>
      </c>
      <c r="C8" s="1" t="n">
        <v>2.3</v>
      </c>
      <c r="D8" s="1" t="n">
        <v>1.2837</v>
      </c>
      <c r="E8" s="1" t="n">
        <v>0.0821786</v>
      </c>
      <c r="F8" s="1" t="n">
        <v>0.000236209</v>
      </c>
      <c r="G8" s="1" t="s">
        <v>42</v>
      </c>
      <c r="H8" s="1"/>
      <c r="I8" s="1" t="n">
        <v>155.7</v>
      </c>
      <c r="J8" s="1" t="n">
        <v>12.7</v>
      </c>
      <c r="K8" s="1" t="n">
        <v>133.2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11</v>
      </c>
      <c r="Q8" s="0" t="s">
        <v>57</v>
      </c>
      <c r="R8" s="1" t="n">
        <f aca="false">COUNTIF(J$2:J$1500,"=0")</f>
        <v>96</v>
      </c>
      <c r="S8" s="2" t="s">
        <v>58</v>
      </c>
      <c r="T8" s="1" t="n">
        <f aca="false">COUNTIFS(J$2:J$1500, "&gt;-15",I$2:I$1500, "&lt;180")-SUM(T2:T7)</f>
        <v>63</v>
      </c>
      <c r="U8" s="1" t="n">
        <v>90</v>
      </c>
      <c r="V8" s="0" t="n">
        <f aca="false">SUMIFS(C$2:C$1500,C$2:C$1500, "&gt;=0",I$2:I$1500, "&lt;105",I$2:I$1500,"&gt;=90")</f>
        <v>24.1</v>
      </c>
      <c r="W8" s="2" t="s">
        <v>59</v>
      </c>
      <c r="X8" s="0" t="n">
        <f aca="false">SUMIFS(C$2:C$1500,C$2:C$1500, "&gt;=0",J$2:J$1500, "&lt;15",J$2:J$1500,"&gt;=0",I$2:I$1500,"&lt;180")</f>
        <v>154.2</v>
      </c>
      <c r="Z8" s="0" t="n">
        <f aca="false">I8-8</f>
        <v>147.7</v>
      </c>
      <c r="AB8" s="0" t="n">
        <f aca="false">IF(Z8&lt;0,Z8+360,Z8+0)</f>
        <v>147.7</v>
      </c>
      <c r="AC8" s="5" t="s">
        <v>55</v>
      </c>
      <c r="AD8" s="0" t="s">
        <v>60</v>
      </c>
      <c r="AE8" s="1" t="n">
        <f aca="false">COUNTIF(AB$2:AB$1500,"&lt;105")-SUM(AE2:AE7)</f>
        <v>8</v>
      </c>
      <c r="AF8" s="1"/>
      <c r="AG8" s="0" t="s">
        <v>60</v>
      </c>
      <c r="AH8" s="0" t="n">
        <f aca="false">SUMIFS(C$2:C$1500,C$2:C$1500, "&gt;=0",AB$2:AB$1500, "&lt;105",AB$2:AB$1500,"&gt;=90")</f>
        <v>24.3</v>
      </c>
      <c r="AJ8" s="12" t="s">
        <v>57</v>
      </c>
      <c r="AK8" s="0" t="n">
        <f aca="false">SUMIF($J$2:$J$2000,"=0",$C$2:$C$2000)</f>
        <v>154.7</v>
      </c>
      <c r="AM8" s="1"/>
      <c r="AR8" s="1"/>
    </row>
    <row r="9" customFormat="false" ht="15.8" hidden="false" customHeight="false" outlineLevel="0" collapsed="false">
      <c r="A9" s="1" t="n">
        <v>3</v>
      </c>
      <c r="B9" s="1" t="n">
        <v>7</v>
      </c>
      <c r="C9" s="1" t="n">
        <v>1.1</v>
      </c>
      <c r="D9" s="1" t="n">
        <v>1.2462</v>
      </c>
      <c r="E9" s="1" t="n">
        <v>0.038489</v>
      </c>
      <c r="F9" s="1" t="n">
        <v>0.00011063</v>
      </c>
      <c r="G9" s="1" t="s">
        <v>27</v>
      </c>
      <c r="H9" s="1" t="n">
        <v>64.6</v>
      </c>
      <c r="I9" s="1" t="n">
        <v>297</v>
      </c>
      <c r="J9" s="1" t="n">
        <v>27.1</v>
      </c>
      <c r="K9" s="1"/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9</v>
      </c>
      <c r="Q9" s="1" t="s">
        <v>62</v>
      </c>
      <c r="R9" s="1" t="n">
        <f aca="false">COUNTIF(J$2:J$1500,"&lt;15")-SUM(R2:R8)</f>
        <v>45</v>
      </c>
      <c r="S9" s="2" t="s">
        <v>63</v>
      </c>
      <c r="T9" s="1" t="n">
        <f aca="false">COUNTIFS(J$2:J$1500, "&gt;-30",I$2:I$1500, "&lt;180")-SUM(T2:T8)</f>
        <v>29</v>
      </c>
      <c r="U9" s="1" t="n">
        <v>105</v>
      </c>
      <c r="V9" s="0" t="n">
        <f aca="false">SUMIFS(C$2:C$1500,C$2:C$1500, "&gt;=0",I$2:I$1500, "&lt;120",I$2:I$1500,"&gt;=105")</f>
        <v>20.8</v>
      </c>
      <c r="W9" s="2" t="s">
        <v>64</v>
      </c>
      <c r="X9" s="0" t="n">
        <f aca="false">SUMIFS(C$2:C$1500,C$2:C$1500, "&gt;=0",J$2:J$1500, "&lt;30",J$2:J$1500,"&gt;=15",I$2:I$1500,"&lt;180")</f>
        <v>53.7</v>
      </c>
      <c r="Z9" s="0" t="n">
        <f aca="false">I9-8</f>
        <v>289</v>
      </c>
      <c r="AB9" s="0" t="n">
        <f aca="false">IF(Z9&lt;0,Z9+360,Z9+0)</f>
        <v>289</v>
      </c>
      <c r="AC9" s="7" t="s">
        <v>51</v>
      </c>
      <c r="AD9" s="0" t="s">
        <v>65</v>
      </c>
      <c r="AE9" s="1" t="n">
        <f aca="false">COUNTIF(AB$2:AB$1500,"&lt;120")-SUM(AE2:AE8)</f>
        <v>10</v>
      </c>
      <c r="AF9" s="1"/>
      <c r="AG9" s="0" t="s">
        <v>65</v>
      </c>
      <c r="AH9" s="0" t="n">
        <f aca="false">SUMIFS(C$2:C$1500,C$2:C$1500, "&gt;=0",AB$2:AB$1500, "&lt;120",AB$2:AB$1500,"&gt;=105")</f>
        <v>25.6</v>
      </c>
      <c r="AJ9" s="4" t="s">
        <v>62</v>
      </c>
      <c r="AK9" s="0" t="n">
        <f aca="false">SUMIF($J$2:$J$2000,"&lt;15",$C$2:$C$2000)-SUM($AK$2:$AK$8)</f>
        <v>191.6</v>
      </c>
      <c r="AM9" s="1" t="s">
        <v>66</v>
      </c>
      <c r="AN9" s="0" t="n">
        <f aca="false">SUM(AN2:AN7)</f>
        <v>353</v>
      </c>
      <c r="AO9" s="1" t="s">
        <v>66</v>
      </c>
      <c r="AP9" s="0" t="n">
        <f aca="false">SUM(AP2:AP7)</f>
        <v>353</v>
      </c>
      <c r="AR9" s="1" t="s">
        <v>66</v>
      </c>
      <c r="AS9" s="0" t="n">
        <f aca="false">SUM(AS2:AS7)</f>
        <v>933.8</v>
      </c>
      <c r="AT9" s="1" t="s">
        <v>66</v>
      </c>
      <c r="AU9" s="0" t="n">
        <f aca="false">SUM(AU2:AU7)</f>
        <v>933.8</v>
      </c>
    </row>
    <row r="10" customFormat="false" ht="15.8" hidden="false" customHeight="false" outlineLevel="0" collapsed="false">
      <c r="A10" s="1" t="n">
        <v>3</v>
      </c>
      <c r="B10" s="1" t="n">
        <v>7</v>
      </c>
      <c r="C10" s="1" t="n">
        <v>1.8</v>
      </c>
      <c r="D10" s="1" t="n">
        <v>1.1541</v>
      </c>
      <c r="E10" s="1" t="n">
        <v>0.0647937</v>
      </c>
      <c r="F10" s="1" t="n">
        <v>0.000186239</v>
      </c>
      <c r="G10" s="1" t="s">
        <v>27</v>
      </c>
      <c r="H10" s="1" t="n">
        <v>31.9</v>
      </c>
      <c r="I10" s="1" t="n">
        <v>9.7</v>
      </c>
      <c r="J10" s="1" t="n">
        <v>14.5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16</v>
      </c>
      <c r="Q10" s="1" t="s">
        <v>67</v>
      </c>
      <c r="R10" s="1" t="n">
        <f aca="false">COUNTIF(J$2:J$1500,"&lt;30")-SUM(R2:R9)</f>
        <v>52</v>
      </c>
      <c r="S10" s="2" t="s">
        <v>68</v>
      </c>
      <c r="T10" s="1" t="n">
        <f aca="false">COUNTIFS(J$2:J$1500, "&gt;-45",I$2:I$1500, "&lt;180")-SUM(T2:T9)</f>
        <v>9</v>
      </c>
      <c r="U10" s="1" t="n">
        <v>120</v>
      </c>
      <c r="V10" s="0" t="n">
        <f aca="false">SUMIFS(C$2:C$1500,C$2:C$1500, "&gt;=0",I$2:I$1500, "&lt;135",I$2:I$1500,"&gt;=120")</f>
        <v>47.8</v>
      </c>
      <c r="W10" s="2" t="s">
        <v>69</v>
      </c>
      <c r="X10" s="0" t="n">
        <f aca="false">SUMIFS(C$2:C$1500,C$2:C$1500, "&gt;=0",J$2:J$1500, "&lt;45",J$2:J$1500,"&gt;=30",I$2:I$1500,"&lt;180")</f>
        <v>28.3</v>
      </c>
      <c r="Z10" s="0" t="n">
        <f aca="false">I10-8</f>
        <v>1.7</v>
      </c>
      <c r="AB10" s="0" t="n">
        <f aca="false">IF(Z10&lt;0,Z10+360,Z10+0)</f>
        <v>1.7</v>
      </c>
      <c r="AC10" s="11" t="s">
        <v>47</v>
      </c>
      <c r="AD10" s="0" t="s">
        <v>70</v>
      </c>
      <c r="AE10" s="1" t="n">
        <f aca="false">COUNTIF(AB$2:AB$1500,"&lt;135")-SUM(AE2:AE9)</f>
        <v>15</v>
      </c>
      <c r="AF10" s="1"/>
      <c r="AG10" s="0" t="s">
        <v>70</v>
      </c>
      <c r="AH10" s="0" t="n">
        <f aca="false">SUMIFS(C$2:C$1500,C$2:C$1500, "&gt;=0",AB$2:AB$1500, "&lt;135",AB$2:AB$1500,"&gt;=120")</f>
        <v>38.1</v>
      </c>
      <c r="AJ10" s="6" t="s">
        <v>67</v>
      </c>
      <c r="AK10" s="0" t="n">
        <f aca="false">SUMIF($J$2:$J$2000,"&lt;30",$C$2:$C$2000)-SUM($AK$2:$AK$9)</f>
        <v>139.7</v>
      </c>
      <c r="AM10" s="1"/>
      <c r="AR10" s="1"/>
    </row>
    <row r="11" customFormat="false" ht="15.8" hidden="false" customHeight="false" outlineLevel="0" collapsed="false">
      <c r="A11" s="1" t="n">
        <v>3</v>
      </c>
      <c r="B11" s="1" t="n">
        <v>6</v>
      </c>
      <c r="C11" s="1" t="n">
        <v>4.6</v>
      </c>
      <c r="D11" s="1" t="n">
        <v>1.1461</v>
      </c>
      <c r="E11" s="1" t="n">
        <v>0.167158</v>
      </c>
      <c r="F11" s="1" t="n">
        <v>0.000480467</v>
      </c>
      <c r="G11" s="1" t="s">
        <v>42</v>
      </c>
      <c r="H11" s="1" t="n">
        <v>35.1</v>
      </c>
      <c r="I11" s="1" t="n">
        <v>350.6</v>
      </c>
      <c r="J11" s="1" t="n">
        <v>-11.1</v>
      </c>
      <c r="K11" s="1" t="n">
        <v>64.6</v>
      </c>
      <c r="L11" s="1" t="n">
        <v>0</v>
      </c>
      <c r="M11" s="1" t="n">
        <v>0</v>
      </c>
      <c r="N11" s="1" t="s">
        <v>71</v>
      </c>
      <c r="O11" s="1" t="n">
        <v>135</v>
      </c>
      <c r="P11" s="1" t="n">
        <f aca="false">COUNTIF(I$2:I$1500,"&lt;150")-SUM(P2:P10)</f>
        <v>10</v>
      </c>
      <c r="Q11" s="1" t="s">
        <v>72</v>
      </c>
      <c r="R11" s="1" t="n">
        <f aca="false">COUNTIF(J$2:J$1500,"&lt;45")-SUM(R2:R10)</f>
        <v>23</v>
      </c>
      <c r="S11" s="2" t="s">
        <v>73</v>
      </c>
      <c r="T11" s="1" t="n">
        <f aca="false">COUNTIFS(J$2:J$1500, "&gt;-60",I$2:I$1500, "&lt;180")-SUM(T2:T10)</f>
        <v>9</v>
      </c>
      <c r="U11" s="1" t="n">
        <v>135</v>
      </c>
      <c r="V11" s="0" t="n">
        <f aca="false">SUMIFS(C$2:C$1500,C$2:C$1500, "&gt;=0",I$2:I$1500, "&lt;150",I$2:I$1500,"&gt;=135")</f>
        <v>28.6</v>
      </c>
      <c r="W11" s="2" t="s">
        <v>74</v>
      </c>
      <c r="X11" s="0" t="n">
        <f aca="false">SUMIFS(C$2:C$1500,C$2:C$1500, "&gt;=0",J$2:J$1500, "&lt;60",J$2:J$1500,"&gt;=45",I$2:I$1500,"&lt;180")</f>
        <v>16.4</v>
      </c>
      <c r="Z11" s="0" t="n">
        <f aca="false">I11-8</f>
        <v>342.6</v>
      </c>
      <c r="AB11" s="0" t="n">
        <f aca="false">IF(Z11&lt;0,Z11+360,Z11+0)</f>
        <v>342.6</v>
      </c>
      <c r="AC11" s="9" t="s">
        <v>41</v>
      </c>
      <c r="AD11" s="0" t="s">
        <v>75</v>
      </c>
      <c r="AE11" s="1" t="n">
        <f aca="false">COUNTIF(AB$2:AB$1500,"&lt;150")-SUM(AE2:AE10)</f>
        <v>27</v>
      </c>
      <c r="AF11" s="1"/>
      <c r="AG11" s="0" t="s">
        <v>75</v>
      </c>
      <c r="AH11" s="0" t="n">
        <f aca="false">SUMIFS(C$2:C$1500,C$2:C$1500, "&gt;=0",AB$2:AB$1500, "&lt;150",AB$2:AB$1500,"&gt;=135")</f>
        <v>87.4</v>
      </c>
      <c r="AJ11" s="9" t="s">
        <v>72</v>
      </c>
      <c r="AK11" s="0" t="n">
        <f aca="false">SUMIF($J$2:$J$2000,"&lt;45",$C$2:$C$2000)-SUM($AK$2:$AK$10)</f>
        <v>51.8000000000002</v>
      </c>
      <c r="AM11" s="1"/>
      <c r="AR11" s="1"/>
    </row>
    <row r="12" customFormat="false" ht="15.8" hidden="false" customHeight="false" outlineLevel="0" collapsed="false">
      <c r="A12" s="1" t="n">
        <v>3</v>
      </c>
      <c r="B12" s="1" t="n">
        <v>6</v>
      </c>
      <c r="C12" s="1" t="n">
        <v>4.3</v>
      </c>
      <c r="D12" s="1" t="n">
        <v>1.0723</v>
      </c>
      <c r="E12" s="1" t="n">
        <v>0.157113</v>
      </c>
      <c r="F12" s="1" t="n">
        <v>0.000451596</v>
      </c>
      <c r="G12" s="1" t="s">
        <v>27</v>
      </c>
      <c r="H12" s="1" t="n">
        <v>34.1</v>
      </c>
      <c r="I12" s="1" t="n">
        <v>322.9</v>
      </c>
      <c r="J12" s="1" t="n">
        <v>-5.5</v>
      </c>
      <c r="K12" s="1"/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34</v>
      </c>
      <c r="Q12" s="1" t="s">
        <v>76</v>
      </c>
      <c r="R12" s="1" t="n">
        <f aca="false">COUNTIF(J$2:J$1500,"&lt;60")-SUM(R2:R11)</f>
        <v>7</v>
      </c>
      <c r="S12" s="2" t="s">
        <v>77</v>
      </c>
      <c r="T12" s="1" t="n">
        <f aca="false">COUNTIFS(J$2:J$1500, "&gt;-75",I$2:I$1500, "&lt;180")-SUM(T2:T11)</f>
        <v>0</v>
      </c>
      <c r="U12" s="1" t="n">
        <v>150</v>
      </c>
      <c r="V12" s="0" t="n">
        <f aca="false">SUMIFS(C$2:C$1500,C$2:C$1500, "&gt;=0",I$2:I$1500, "&lt;165",I$2:I$1500,"&gt;=150")</f>
        <v>110</v>
      </c>
      <c r="W12" s="2" t="s">
        <v>78</v>
      </c>
      <c r="X12" s="0" t="n">
        <f aca="false">SUMIFS(C$2:C$1500,C$2:C$1500, "&gt;=0",J$2:J$1500, "&lt;75",J$2:J$1500,"&gt;=60",I$2:I$1500,"&lt;180")</f>
        <v>0</v>
      </c>
      <c r="Z12" s="0" t="n">
        <f aca="false">I12-8</f>
        <v>314.9</v>
      </c>
      <c r="AB12" s="0" t="n">
        <f aca="false">IF(Z12&lt;0,Z12+360,Z12+0)</f>
        <v>314.9</v>
      </c>
      <c r="AC12" s="6" t="s">
        <v>37</v>
      </c>
      <c r="AD12" s="0" t="s">
        <v>79</v>
      </c>
      <c r="AE12" s="1" t="n">
        <f aca="false">COUNTIF(AB$2:AB$1500,"&lt;165")-SUM(AE2:AE11)</f>
        <v>26</v>
      </c>
      <c r="AF12" s="1"/>
      <c r="AG12" s="0" t="s">
        <v>79</v>
      </c>
      <c r="AH12" s="0" t="n">
        <f aca="false">SUMIFS(C$2:C$1500,C$2:C$1500, "&gt;=0",AB$2:AB$1500, "&lt;165",AB$2:AB$1500,"&gt;=150")</f>
        <v>91</v>
      </c>
      <c r="AJ12" s="11" t="s">
        <v>76</v>
      </c>
      <c r="AK12" s="0" t="n">
        <f aca="false">SUMIF($J$2:$J$2000,"&lt;60",$C$2:$C$2000)-SUM($AK$2:$AK$11)</f>
        <v>17.6</v>
      </c>
      <c r="AM12" s="1"/>
      <c r="AR12" s="1"/>
    </row>
    <row r="13" customFormat="false" ht="15.8" hidden="false" customHeight="false" outlineLevel="0" collapsed="false">
      <c r="A13" s="1" t="n">
        <v>3</v>
      </c>
      <c r="B13" s="1" t="n">
        <v>5</v>
      </c>
      <c r="C13" s="1" t="n">
        <v>2.2</v>
      </c>
      <c r="D13" s="1" t="n">
        <v>1.2109</v>
      </c>
      <c r="E13" s="1" t="n">
        <v>0.0805568</v>
      </c>
      <c r="F13" s="1" t="n">
        <v>0.000231547</v>
      </c>
      <c r="G13" s="1" t="s">
        <v>42</v>
      </c>
      <c r="H13" s="1" t="n">
        <v>55.3</v>
      </c>
      <c r="I13" s="1" t="n">
        <v>327.2</v>
      </c>
      <c r="J13" s="1" t="n">
        <v>-39.4</v>
      </c>
      <c r="K13" s="1" t="n">
        <v>35.1</v>
      </c>
      <c r="L13" s="1" t="n">
        <v>0</v>
      </c>
      <c r="M13" s="1" t="n">
        <v>0</v>
      </c>
      <c r="N13" s="1" t="s">
        <v>80</v>
      </c>
      <c r="O13" s="1" t="n">
        <v>165</v>
      </c>
      <c r="P13" s="1" t="n">
        <f aca="false">COUNTIF(I$2:I$1500,"&lt;180")-SUM(P2:P12)</f>
        <v>21</v>
      </c>
      <c r="Q13" s="1" t="s">
        <v>81</v>
      </c>
      <c r="R13" s="1" t="n">
        <f aca="false">COUNTIF(J$2:J$1500,"&lt;75")-SUM(R2:R12)</f>
        <v>4</v>
      </c>
      <c r="S13" s="2" t="s">
        <v>82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70.9</v>
      </c>
      <c r="W13" s="2" t="s">
        <v>83</v>
      </c>
      <c r="X13" s="0" t="n">
        <f aca="false">SUMIFS(C$2:C$1500,C$2:C$1500, "&gt;=0",J$2:J$1500, "&lt;90",J$2:J$1500,"&gt;=75",I$2:I$1500,"&lt;180")</f>
        <v>0</v>
      </c>
      <c r="Z13" s="0" t="n">
        <f aca="false">I13-8</f>
        <v>319.2</v>
      </c>
      <c r="AB13" s="0" t="n">
        <f aca="false">IF(Z13&lt;0,Z13+360,Z13+0)</f>
        <v>319.2</v>
      </c>
      <c r="AC13" s="4" t="s">
        <v>32</v>
      </c>
      <c r="AD13" s="0" t="s">
        <v>84</v>
      </c>
      <c r="AE13" s="1" t="n">
        <f aca="false">COUNTIF(AB$2:AB$1500,"&lt;180")-SUM(AE2:AE12)</f>
        <v>23</v>
      </c>
      <c r="AF13" s="1"/>
      <c r="AG13" s="0" t="s">
        <v>84</v>
      </c>
      <c r="AH13" s="0" t="n">
        <f aca="false">SUMIFS(C$2:C$1500,C$2:C$1500, "&gt;=0",AB$2:AB$1500, "&lt;180",AB$2:AB$1500,"&gt;=165")</f>
        <v>66.7</v>
      </c>
      <c r="AJ13" s="7" t="s">
        <v>81</v>
      </c>
      <c r="AK13" s="0" t="n">
        <f aca="false">SUMIF($J$2:$J$2000,"&lt;75",$C$2:$C$2000)-SUM($AK$2:$AK$12)</f>
        <v>9.19999999999993</v>
      </c>
      <c r="AM13" s="1"/>
      <c r="AR13" s="1"/>
    </row>
    <row r="14" customFormat="false" ht="15.8" hidden="false" customHeight="false" outlineLevel="0" collapsed="false">
      <c r="A14" s="1" t="n">
        <v>3</v>
      </c>
      <c r="B14" s="1" t="n">
        <v>6</v>
      </c>
      <c r="C14" s="1" t="n">
        <v>6.2</v>
      </c>
      <c r="D14" s="1" t="n">
        <v>1.2751</v>
      </c>
      <c r="E14" s="1" t="n">
        <v>0.223347</v>
      </c>
      <c r="F14" s="1" t="n">
        <v>0.000641975</v>
      </c>
      <c r="G14" s="1" t="s">
        <v>27</v>
      </c>
      <c r="H14" s="1" t="n">
        <v>49.7</v>
      </c>
      <c r="I14" s="1" t="n">
        <v>171.5</v>
      </c>
      <c r="J14" s="1" t="n">
        <v>-18.8</v>
      </c>
      <c r="K14" s="1"/>
      <c r="L14" s="1" t="n">
        <v>0</v>
      </c>
      <c r="M14" s="1" t="n">
        <v>0</v>
      </c>
      <c r="N14" s="1" t="s">
        <v>85</v>
      </c>
      <c r="O14" s="1" t="n">
        <v>180</v>
      </c>
      <c r="P14" s="1" t="n">
        <f aca="false">COUNTIF(I$2:I$1500,"&lt;195")-SUM(P2:P13)</f>
        <v>23</v>
      </c>
      <c r="Q14" s="1" t="s">
        <v>86</v>
      </c>
      <c r="R14" s="1" t="n">
        <f aca="false">COUNTIF(J$2:J$1500,"&lt;=90")-SUM(R2:R13)</f>
        <v>0</v>
      </c>
      <c r="S14" s="2" t="s">
        <v>87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70.9</v>
      </c>
      <c r="W14" s="2" t="s">
        <v>88</v>
      </c>
      <c r="X14" s="0" t="n">
        <f aca="false">SUMIFS(C$2:C$1500,C$2:C$1500, "&gt;=0",J$2:J$1500, "&lt;90",J$2:J$1500,"&gt;=75",I$2:I$1500,"&gt;=180")</f>
        <v>0</v>
      </c>
      <c r="Z14" s="0" t="n">
        <f aca="false">I14-8</f>
        <v>163.5</v>
      </c>
      <c r="AB14" s="0" t="n">
        <f aca="false">IF(Z14&lt;0,Z14+360,Z14+0)</f>
        <v>163.5</v>
      </c>
      <c r="AC14" s="4" t="s">
        <v>32</v>
      </c>
      <c r="AD14" s="0" t="s">
        <v>89</v>
      </c>
      <c r="AE14" s="1" t="n">
        <f aca="false">COUNTIF(AB$2:AB$1500,"&lt;195")-SUM(AE2:AE13)</f>
        <v>13</v>
      </c>
      <c r="AF14" s="1"/>
      <c r="AG14" s="0" t="s">
        <v>89</v>
      </c>
      <c r="AH14" s="0" t="n">
        <f aca="false">SUMIFS(C$2:C$1500,C$2:C$1500, "&gt;=0",AB$2:AB$1500, "&lt;195",AB$2:AB$1500,"&gt;=180")</f>
        <v>47.7</v>
      </c>
      <c r="AJ14" s="5" t="s">
        <v>86</v>
      </c>
      <c r="AK14" s="0" t="n">
        <f aca="false">SUMIF($J$2:$J$2000,"&lt;90",$C$2:$C$2000)-SUM($AK$2:$AK$13)</f>
        <v>0</v>
      </c>
      <c r="AM14" s="1"/>
      <c r="AR14" s="1"/>
    </row>
    <row r="15" customFormat="false" ht="15.8" hidden="false" customHeight="false" outlineLevel="0" collapsed="false">
      <c r="A15" s="1" t="n">
        <v>3</v>
      </c>
      <c r="B15" s="1" t="n">
        <v>6</v>
      </c>
      <c r="C15" s="1" t="n">
        <v>3.6</v>
      </c>
      <c r="D15" s="1" t="n">
        <v>1.4641</v>
      </c>
      <c r="E15" s="1" t="n">
        <v>0.128874</v>
      </c>
      <c r="F15" s="1" t="n">
        <v>0.000370428</v>
      </c>
      <c r="G15" s="1" t="s">
        <v>27</v>
      </c>
      <c r="H15" s="1" t="n">
        <v>49.8</v>
      </c>
      <c r="I15" s="1" t="n">
        <v>162.1</v>
      </c>
      <c r="J15" s="1" t="n">
        <v>53.1</v>
      </c>
      <c r="K15" s="1"/>
      <c r="L15" s="1" t="n">
        <v>0</v>
      </c>
      <c r="M15" s="1" t="n">
        <v>0</v>
      </c>
      <c r="N15" s="1" t="s">
        <v>85</v>
      </c>
      <c r="O15" s="1" t="n">
        <v>195</v>
      </c>
      <c r="P15" s="1" t="n">
        <f aca="false">COUNTIF(I$2:I$1500,"&lt;210")-SUM(P2:P14)</f>
        <v>9</v>
      </c>
      <c r="R15" s="1"/>
      <c r="S15" s="2" t="s">
        <v>90</v>
      </c>
      <c r="T15" s="1" t="n">
        <f aca="false">COUNTIFS(J$2:J$1500, "&gt;-75",I$2:I$1500, "&gt;=180")-SUM(T16:T25)</f>
        <v>4</v>
      </c>
      <c r="U15" s="1" t="n">
        <v>195</v>
      </c>
      <c r="V15" s="0" t="n">
        <f aca="false">SUMIFS(C$2:C$1500,C$2:C$1500, "&gt;=0",I$2:I$1500, "&lt;210",I$2:I$1500,"&gt;=195")</f>
        <v>30</v>
      </c>
      <c r="W15" s="2" t="s">
        <v>91</v>
      </c>
      <c r="X15" s="0" t="n">
        <f aca="false">SUMIFS(C$2:C$1500,C$2:C$1500, "&gt;=0",J$2:J$1500, "&lt;75",J$2:J$1500,"&gt;=60",I$2:I$1500,"&gt;=180")</f>
        <v>9.2</v>
      </c>
      <c r="Z15" s="0" t="n">
        <f aca="false">I15-8</f>
        <v>154.1</v>
      </c>
      <c r="AB15" s="0" t="n">
        <f aca="false">IF(Z15&lt;0,Z15+360,Z15+0)</f>
        <v>154.1</v>
      </c>
      <c r="AC15" s="6" t="s">
        <v>37</v>
      </c>
      <c r="AD15" s="0" t="s">
        <v>92</v>
      </c>
      <c r="AE15" s="1" t="n">
        <f aca="false">COUNTIF(AB$2:AB$1500,"&lt;210")-SUM(AE2:AE14)</f>
        <v>10</v>
      </c>
      <c r="AF15" s="1"/>
      <c r="AG15" s="0" t="s">
        <v>92</v>
      </c>
      <c r="AH15" s="0" t="n">
        <f aca="false">SUMIFS(C$2:C$1500,C$2:C$1500, "&gt;=0",AB$2:AB$1500, "&lt;210",AB$2:AB$1500,"&gt;=195")</f>
        <v>24.2</v>
      </c>
      <c r="AM15" s="1"/>
      <c r="AR15" s="1"/>
    </row>
    <row r="16" customFormat="false" ht="15.8" hidden="false" customHeight="false" outlineLevel="0" collapsed="false">
      <c r="A16" s="1" t="n">
        <v>3</v>
      </c>
      <c r="B16" s="1" t="n">
        <v>8</v>
      </c>
      <c r="C16" s="1" t="n">
        <v>0.6</v>
      </c>
      <c r="D16" s="1" t="n">
        <v>1.0515</v>
      </c>
      <c r="E16" s="1" t="n">
        <v>0.0208331</v>
      </c>
      <c r="F16" s="1" t="n">
        <v>5.98812E-005</v>
      </c>
      <c r="G16" s="1" t="s">
        <v>27</v>
      </c>
      <c r="H16" s="1" t="n">
        <v>78.8</v>
      </c>
      <c r="I16" s="1" t="n">
        <v>327</v>
      </c>
      <c r="J16" s="1" t="n">
        <v>0</v>
      </c>
      <c r="K16" s="1"/>
      <c r="L16" s="1" t="n">
        <v>0</v>
      </c>
      <c r="M16" s="1" t="n">
        <v>0</v>
      </c>
      <c r="N16" s="1" t="s">
        <v>93</v>
      </c>
      <c r="O16" s="1" t="n">
        <v>210</v>
      </c>
      <c r="P16" s="1" t="n">
        <f aca="false">COUNTIF(I$2:I$1500,"&lt;225")-SUM(P2:P15)</f>
        <v>12</v>
      </c>
      <c r="S16" s="2" t="s">
        <v>94</v>
      </c>
      <c r="T16" s="1" t="n">
        <f aca="false">COUNTIFS(J$2:J$1500, "&gt;-60",I$2:I$1500, "&gt;=180")-SUM(T17:T25)</f>
        <v>7</v>
      </c>
      <c r="U16" s="1" t="n">
        <v>210</v>
      </c>
      <c r="V16" s="0" t="n">
        <f aca="false">SUMIFS(C$2:C$1500,C$2:C$1500, "&gt;=0",I$2:I$1500, "&lt;225",I$2:I$1500,"&gt;=210")</f>
        <v>27.8</v>
      </c>
      <c r="W16" s="2" t="s">
        <v>95</v>
      </c>
      <c r="X16" s="0" t="n">
        <f aca="false">SUMIFS(C$2:C$1500,C$2:C$1500, "&gt;=0",J$2:J$1500, "&lt;60",J$2:J$1500,"&gt;=45",I$2:I$1500,"&gt;=180")</f>
        <v>1.2</v>
      </c>
      <c r="Z16" s="0" t="n">
        <f aca="false">I16-8</f>
        <v>319</v>
      </c>
      <c r="AB16" s="0" t="n">
        <f aca="false">IF(Z16&lt;0,Z16+360,Z16+0)</f>
        <v>319</v>
      </c>
      <c r="AC16" s="9" t="s">
        <v>41</v>
      </c>
      <c r="AD16" s="0" t="s">
        <v>96</v>
      </c>
      <c r="AE16" s="1" t="n">
        <f aca="false">COUNTIF(AB$2:AB$1500,"&lt;225")-SUM(AE2:AE15)</f>
        <v>13</v>
      </c>
      <c r="AF16" s="1"/>
      <c r="AG16" s="0" t="s">
        <v>96</v>
      </c>
      <c r="AH16" s="0" t="n">
        <f aca="false">SUMIFS(C$2:C$1500,C$2:C$1500, "&gt;=0",AB$2:AB$1500, "&lt;225",AB$2:AB$1500,"&gt;=210")</f>
        <v>24.1</v>
      </c>
      <c r="AM16" s="1"/>
      <c r="AR16" s="1"/>
    </row>
    <row r="17" customFormat="false" ht="15.8" hidden="false" customHeight="false" outlineLevel="0" collapsed="false">
      <c r="A17" s="1" t="n">
        <v>3</v>
      </c>
      <c r="B17" s="1" t="n">
        <v>8</v>
      </c>
      <c r="C17" s="1" t="n">
        <v>1</v>
      </c>
      <c r="D17" s="1" t="n">
        <v>1.1469</v>
      </c>
      <c r="E17" s="1" t="n">
        <v>0.0346713</v>
      </c>
      <c r="F17" s="1" t="n">
        <v>9.9657E-005</v>
      </c>
      <c r="G17" s="1" t="s">
        <v>27</v>
      </c>
      <c r="H17" s="1" t="n">
        <v>33.6</v>
      </c>
      <c r="I17" s="1" t="n">
        <v>216.2</v>
      </c>
      <c r="J17" s="1" t="n">
        <v>27.8</v>
      </c>
      <c r="K17" s="1"/>
      <c r="L17" s="1" t="n">
        <v>0</v>
      </c>
      <c r="M17" s="1" t="n">
        <v>0</v>
      </c>
      <c r="N17" s="1" t="s">
        <v>93</v>
      </c>
      <c r="O17" s="1" t="n">
        <v>225</v>
      </c>
      <c r="P17" s="1" t="n">
        <f aca="false">COUNTIF(I$2:I$1500,"&lt;240")-SUM(P2:P16)</f>
        <v>12</v>
      </c>
      <c r="S17" s="2" t="s">
        <v>97</v>
      </c>
      <c r="T17" s="1" t="n">
        <f aca="false">COUNTIFS(J$2:J$1500, "&gt;-45",I$2:I$1500, "&gt;=180")-SUM(T18:T25)</f>
        <v>10</v>
      </c>
      <c r="U17" s="1" t="n">
        <v>225</v>
      </c>
      <c r="V17" s="0" t="n">
        <f aca="false">SUMIFS(C$2:C$1500,C$2:C$1500, "&gt;=0",I$2:I$1500, "&lt;240",I$2:I$1500,"&gt;=225")</f>
        <v>21</v>
      </c>
      <c r="W17" s="2" t="s">
        <v>98</v>
      </c>
      <c r="X17" s="0" t="n">
        <f aca="false">SUMIFS(C$2:C$1500,C$2:C$1500, "&gt;=0",J$2:J$1500, "&lt;45",J$2:J$1500,"&gt;=30",I$2:I$1500,"&gt;=180")</f>
        <v>23.5</v>
      </c>
      <c r="Z17" s="0" t="n">
        <f aca="false">I17-8</f>
        <v>208.2</v>
      </c>
      <c r="AB17" s="0" t="n">
        <f aca="false">IF(Z17&lt;0,Z17+360,Z17+0)</f>
        <v>208.2</v>
      </c>
      <c r="AC17" s="11" t="s">
        <v>47</v>
      </c>
      <c r="AD17" s="0" t="s">
        <v>99</v>
      </c>
      <c r="AE17" s="1" t="n">
        <f aca="false">COUNTIF(AB$2:AB$1500,"&lt;240")-SUM(AE2:AE16)</f>
        <v>7</v>
      </c>
      <c r="AF17" s="1"/>
      <c r="AG17" s="0" t="s">
        <v>99</v>
      </c>
      <c r="AH17" s="0" t="n">
        <f aca="false">SUMIFS(C$2:C$1500,C$2:C$1500, "&gt;=0",AB$2:AB$1500, "&lt;240",AB$2:AB$1500,"&gt;=225")</f>
        <v>10.8</v>
      </c>
      <c r="AM17" s="1"/>
      <c r="AR17" s="1"/>
    </row>
    <row r="18" customFormat="false" ht="15.8" hidden="false" customHeight="false" outlineLevel="0" collapsed="false">
      <c r="A18" s="1" t="n">
        <v>3</v>
      </c>
      <c r="B18" s="1" t="n">
        <v>7</v>
      </c>
      <c r="C18" s="1" t="n">
        <v>2</v>
      </c>
      <c r="D18" s="1" t="n">
        <v>1.1376</v>
      </c>
      <c r="E18" s="1" t="n">
        <v>0.0713901</v>
      </c>
      <c r="F18" s="1" t="n">
        <v>0.000205199</v>
      </c>
      <c r="G18" s="1" t="s">
        <v>42</v>
      </c>
      <c r="H18" s="1" t="n">
        <v>68.3</v>
      </c>
      <c r="I18" s="1" t="n">
        <v>248.5</v>
      </c>
      <c r="J18" s="1" t="n">
        <v>13</v>
      </c>
      <c r="K18" s="1" t="n">
        <v>78.8</v>
      </c>
      <c r="L18" s="1" t="n">
        <v>0</v>
      </c>
      <c r="M18" s="1" t="n">
        <v>0</v>
      </c>
      <c r="N18" s="1" t="s">
        <v>100</v>
      </c>
      <c r="O18" s="1" t="n">
        <v>240</v>
      </c>
      <c r="P18" s="1" t="n">
        <f aca="false">COUNTIF(I$2:I$1500,"&lt;255")-SUM(P2:P17)</f>
        <v>9</v>
      </c>
      <c r="S18" s="2" t="s">
        <v>101</v>
      </c>
      <c r="T18" s="1" t="n">
        <f aca="false">COUNTIFS(J$2:J$1500, "&gt;-30",I$2:I$1500, "&gt;=180")-SUM(T19:T25)</f>
        <v>19</v>
      </c>
      <c r="U18" s="1" t="n">
        <v>240</v>
      </c>
      <c r="V18" s="0" t="n">
        <f aca="false">SUMIFS(C$2:C$1500,C$2:C$1500, "&gt;=0",I$2:I$1500, "&lt;255",I$2:I$1500,"&gt;=240")</f>
        <v>18.4</v>
      </c>
      <c r="W18" s="2" t="s">
        <v>102</v>
      </c>
      <c r="X18" s="0" t="n">
        <f aca="false">SUMIFS(C$2:C$1500,C$2:C$1500, "&gt;=0",J$2:J$1500, "&lt;30",J$2:J$1500,"&gt;=15",I$2:I$1500,"&gt;=180")</f>
        <v>86</v>
      </c>
      <c r="Z18" s="0" t="n">
        <f aca="false">I18-8</f>
        <v>240.5</v>
      </c>
      <c r="AB18" s="0" t="n">
        <f aca="false">IF(Z18&lt;0,Z18+360,Z18+0)</f>
        <v>240.5</v>
      </c>
      <c r="AC18" s="7" t="s">
        <v>51</v>
      </c>
      <c r="AD18" s="0" t="s">
        <v>103</v>
      </c>
      <c r="AE18" s="1" t="n">
        <f aca="false">COUNTIF(AB$2:AB$1500,"&lt;255")-SUM(AE2:AE17)</f>
        <v>12</v>
      </c>
      <c r="AF18" s="1"/>
      <c r="AG18" s="0" t="s">
        <v>103</v>
      </c>
      <c r="AH18" s="0" t="n">
        <f aca="false">SUMIFS(C$2:C$1500,C$2:C$1500, "&gt;=0",AB$2:AB$1500, "&lt;255",AB$2:AB$1500,"&gt;=240")</f>
        <v>27.3</v>
      </c>
      <c r="AM18" s="1"/>
      <c r="AR18" s="1"/>
    </row>
    <row r="19" customFormat="false" ht="15.8" hidden="false" customHeight="false" outlineLevel="0" collapsed="false">
      <c r="A19" s="1" t="n">
        <v>3</v>
      </c>
      <c r="B19" s="1" t="n">
        <v>8</v>
      </c>
      <c r="C19" s="1" t="n">
        <v>2</v>
      </c>
      <c r="D19" s="1" t="n">
        <v>1.2106</v>
      </c>
      <c r="E19" s="1" t="n">
        <v>0.0723329</v>
      </c>
      <c r="F19" s="1" t="n">
        <v>0.000207909</v>
      </c>
      <c r="G19" s="1" t="s">
        <v>27</v>
      </c>
      <c r="H19" s="1" t="n">
        <v>86.9</v>
      </c>
      <c r="I19" s="1" t="n">
        <v>57.6</v>
      </c>
      <c r="J19" s="1" t="n">
        <v>13.6</v>
      </c>
      <c r="K19" s="1"/>
      <c r="L19" s="1" t="n">
        <v>0</v>
      </c>
      <c r="M19" s="1" t="n">
        <v>0</v>
      </c>
      <c r="N19" s="1" t="s">
        <v>104</v>
      </c>
      <c r="O19" s="1" t="n">
        <v>255</v>
      </c>
      <c r="P19" s="1" t="n">
        <f aca="false">COUNTIF(I$2:I$1500,"&lt;270")-SUM(P2:P18)</f>
        <v>14</v>
      </c>
      <c r="S19" s="2" t="s">
        <v>105</v>
      </c>
      <c r="T19" s="1" t="n">
        <f aca="false">COUNTIFS(J$2:J$1500, "&gt;-15",I$2:I$1500, "&gt;=180")-SUM(T20:T25)</f>
        <v>71</v>
      </c>
      <c r="U19" s="1" t="n">
        <v>255</v>
      </c>
      <c r="V19" s="0" t="n">
        <f aca="false">SUMIFS(C$2:C$1500,C$2:C$1500, "&gt;=0",I$2:I$1500, "&lt;270",I$2:I$1500,"&gt;=255")</f>
        <v>39.1</v>
      </c>
      <c r="W19" s="2" t="s">
        <v>106</v>
      </c>
      <c r="X19" s="0" t="n">
        <f aca="false">SUMIFS(C$2:C$1500,C$2:C$1500, "&gt;=0",J$2:J$1500, "&lt;15",J$2:J$1500,"&gt;=0",I$2:I$1500,"&gt;=180")</f>
        <v>192.1</v>
      </c>
      <c r="Z19" s="0" t="n">
        <f aca="false">I19-8</f>
        <v>49.6</v>
      </c>
      <c r="AB19" s="0" t="n">
        <f aca="false">IF(Z19&lt;0,Z19+360,Z19+0)</f>
        <v>49.6</v>
      </c>
      <c r="AC19" s="5" t="s">
        <v>55</v>
      </c>
      <c r="AD19" s="0" t="s">
        <v>107</v>
      </c>
      <c r="AE19" s="1" t="n">
        <f aca="false">COUNTIF(AB$2:AB$1500,"&lt;270")-SUM(AE2:AE18)</f>
        <v>12</v>
      </c>
      <c r="AF19" s="1"/>
      <c r="AG19" s="0" t="s">
        <v>107</v>
      </c>
      <c r="AH19" s="0" t="n">
        <f aca="false">SUMIFS(C$2:C$1500,C$2:C$1500, "&gt;=0",AB$2:AB$1500, "&lt;270",AB$2:AB$1500,"&gt;=255")</f>
        <v>31.7</v>
      </c>
      <c r="AM19" s="1"/>
      <c r="AR19" s="1"/>
    </row>
    <row r="20" customFormat="false" ht="15.8" hidden="false" customHeight="false" outlineLevel="0" collapsed="false">
      <c r="A20" s="1" t="n">
        <v>3</v>
      </c>
      <c r="B20" s="1" t="n">
        <v>8</v>
      </c>
      <c r="C20" s="1" t="n">
        <v>1.9</v>
      </c>
      <c r="D20" s="1" t="n">
        <v>1.2595</v>
      </c>
      <c r="E20" s="1" t="n">
        <v>0.0680516</v>
      </c>
      <c r="F20" s="1" t="n">
        <v>0.000195603</v>
      </c>
      <c r="G20" s="1" t="s">
        <v>27</v>
      </c>
      <c r="H20" s="1" t="n">
        <v>129.1</v>
      </c>
      <c r="I20" s="1" t="n">
        <v>179</v>
      </c>
      <c r="J20" s="1" t="n">
        <v>31.4</v>
      </c>
      <c r="K20" s="1"/>
      <c r="L20" s="1" t="n">
        <v>0</v>
      </c>
      <c r="M20" s="1" t="n">
        <v>0</v>
      </c>
      <c r="N20" s="1" t="s">
        <v>104</v>
      </c>
      <c r="O20" s="1" t="n">
        <v>270</v>
      </c>
      <c r="P20" s="1" t="n">
        <f aca="false">COUNTIF(I$2:I$1500,"&lt;285")-SUM(P2:P19)</f>
        <v>11</v>
      </c>
      <c r="S20" s="2" t="s">
        <v>108</v>
      </c>
      <c r="T20" s="1" t="n">
        <f aca="false">COUNTIFS(J$2:J$1500, "&gt;0",I$2:I$1500, "&gt;=180")-SUM(T21:T25)</f>
        <v>25</v>
      </c>
      <c r="U20" s="1" t="n">
        <v>270</v>
      </c>
      <c r="V20" s="0" t="n">
        <f aca="false">SUMIFS(C$2:C$1500,C$2:C$1500, "&gt;=0",I$2:I$1500, "&lt;285",I$2:I$1500,"&gt;=270")</f>
        <v>23.9</v>
      </c>
      <c r="W20" s="2" t="s">
        <v>109</v>
      </c>
      <c r="X20" s="0" t="n">
        <f aca="false">SUMIFS(C$2:C$1500,C$2:C$1500, "&gt;=0",J$2:J$1500, "&lt;0",J$2:J$1500,"&gt;=-15",I$2:I$1500,"&gt;=180")</f>
        <v>64</v>
      </c>
      <c r="Z20" s="0" t="n">
        <f aca="false">I20-8</f>
        <v>171</v>
      </c>
      <c r="AB20" s="0" t="n">
        <f aca="false">IF(Z20&lt;0,Z20+360,Z20+0)</f>
        <v>171</v>
      </c>
      <c r="AC20" s="5" t="s">
        <v>55</v>
      </c>
      <c r="AD20" s="0" t="s">
        <v>110</v>
      </c>
      <c r="AE20" s="1" t="n">
        <f aca="false">COUNTIF(AB$2:AB$1500,"&lt;285")-SUM(AE2:AE19)</f>
        <v>17</v>
      </c>
      <c r="AF20" s="1"/>
      <c r="AG20" s="0" t="s">
        <v>110</v>
      </c>
      <c r="AH20" s="0" t="n">
        <f aca="false">SUMIFS(C$2:C$1500,C$2:C$1500, "&gt;=0",AB$2:AB$1500, "&lt;285",AB$2:AB$1500,"&gt;=270")</f>
        <v>36</v>
      </c>
      <c r="AM20" s="1"/>
      <c r="AR20" s="1"/>
    </row>
    <row r="21" customFormat="false" ht="15.8" hidden="false" customHeight="false" outlineLevel="0" collapsed="false">
      <c r="A21" s="1" t="n">
        <v>3</v>
      </c>
      <c r="B21" s="1" t="n">
        <v>9</v>
      </c>
      <c r="C21" s="1" t="n">
        <v>2.6</v>
      </c>
      <c r="D21" s="1" t="n">
        <v>1.0943</v>
      </c>
      <c r="E21" s="1" t="n">
        <v>0.0929865</v>
      </c>
      <c r="F21" s="1" t="n">
        <v>0.000267274</v>
      </c>
      <c r="G21" s="1" t="s">
        <v>27</v>
      </c>
      <c r="H21" s="1" t="n">
        <v>31.1</v>
      </c>
      <c r="I21" s="1" t="n">
        <v>346.2</v>
      </c>
      <c r="J21" s="1" t="n">
        <v>9.5</v>
      </c>
      <c r="K21" s="1"/>
      <c r="L21" s="1" t="n">
        <v>0</v>
      </c>
      <c r="M21" s="1" t="n">
        <v>0</v>
      </c>
      <c r="N21" s="1" t="s">
        <v>111</v>
      </c>
      <c r="O21" s="1" t="n">
        <v>285</v>
      </c>
      <c r="P21" s="1" t="n">
        <f aca="false">COUNTIF(I$2:I$1500,"&lt;300")-SUM(P2:P20)</f>
        <v>12</v>
      </c>
      <c r="S21" s="2" t="s">
        <v>112</v>
      </c>
      <c r="T21" s="1" t="n">
        <f aca="false">COUNTIFS(J$2:J$1500, "&gt;15",I$2:I$1500, "&gt;=180")-SUM(T22:T25)</f>
        <v>33</v>
      </c>
      <c r="U21" s="1" t="n">
        <v>285</v>
      </c>
      <c r="V21" s="0" t="n">
        <f aca="false">SUMIFS(C$2:C$1500,C$2:C$1500, "&gt;=0",I$2:I$1500, "&lt;300",I$2:I$1500,"&gt;=285")</f>
        <v>25.3</v>
      </c>
      <c r="W21" s="2" t="s">
        <v>113</v>
      </c>
      <c r="X21" s="0" t="n">
        <f aca="false">SUMIFS(C$2:C$1500,C$2:C$1500, "&gt;=0",J$2:J$1500, "&lt;-15",J$2:J$1500,"&gt;=-30",I$2:I$1500,"&gt;=180")</f>
        <v>42</v>
      </c>
      <c r="Z21" s="0" t="n">
        <f aca="false">I21-8</f>
        <v>338.2</v>
      </c>
      <c r="AB21" s="0" t="n">
        <f aca="false">IF(Z21&lt;0,Z21+360,Z21+0)</f>
        <v>338.2</v>
      </c>
      <c r="AC21" s="7" t="s">
        <v>51</v>
      </c>
      <c r="AD21" s="0" t="s">
        <v>114</v>
      </c>
      <c r="AE21" s="1" t="n">
        <f aca="false">COUNTIF(AB$2:AB$1500,"&lt;300")-SUM(AE2:AE20)</f>
        <v>16</v>
      </c>
      <c r="AF21" s="1"/>
      <c r="AG21" s="0" t="s">
        <v>114</v>
      </c>
      <c r="AH21" s="0" t="n">
        <f aca="false">SUMIFS(C$2:C$1500,C$2:C$1500, "&gt;=0",AB$2:AB$1500, "&lt;300",AB$2:AB$1500,"&gt;=285")</f>
        <v>35.1</v>
      </c>
      <c r="AM21" s="1"/>
      <c r="AR21" s="1"/>
    </row>
    <row r="22" customFormat="false" ht="15.8" hidden="false" customHeight="false" outlineLevel="0" collapsed="false">
      <c r="A22" s="1" t="n">
        <v>3</v>
      </c>
      <c r="B22" s="1" t="n">
        <v>9</v>
      </c>
      <c r="C22" s="1" t="n">
        <v>1.9</v>
      </c>
      <c r="D22" s="1" t="n">
        <v>1.3127</v>
      </c>
      <c r="E22" s="1" t="n">
        <v>0.0676054</v>
      </c>
      <c r="F22" s="1" t="n">
        <v>0.00019432</v>
      </c>
      <c r="G22" s="1" t="s">
        <v>27</v>
      </c>
      <c r="H22" s="1" t="n">
        <v>56.6</v>
      </c>
      <c r="I22" s="1" t="n">
        <v>256.6</v>
      </c>
      <c r="J22" s="1" t="n">
        <v>33.2</v>
      </c>
      <c r="K22" s="1"/>
      <c r="L22" s="1" t="n">
        <v>0</v>
      </c>
      <c r="M22" s="1" t="n">
        <v>0</v>
      </c>
      <c r="N22" s="1" t="s">
        <v>111</v>
      </c>
      <c r="O22" s="1" t="n">
        <v>300</v>
      </c>
      <c r="P22" s="1" t="n">
        <f aca="false">COUNTIF(I$2:I$1500,"&lt;315")-SUM(P2:P21)</f>
        <v>22</v>
      </c>
      <c r="S22" s="2" t="s">
        <v>115</v>
      </c>
      <c r="T22" s="1" t="n">
        <f aca="false">COUNTIFS(J$2:J$1500, "&gt;30",I$2:I$1500, "&gt;=180")-SUM(T23:T25)</f>
        <v>11</v>
      </c>
      <c r="U22" s="1" t="n">
        <v>300</v>
      </c>
      <c r="V22" s="0" t="n">
        <f aca="false">SUMIFS(C$2:C$1500,C$2:C$1500, "&gt;=0",I$2:I$1500, "&lt;315",I$2:I$1500,"&gt;=300")</f>
        <v>41.2</v>
      </c>
      <c r="W22" s="2" t="s">
        <v>116</v>
      </c>
      <c r="X22" s="0" t="n">
        <f aca="false">SUMIFS(C$2:C$1500,C$2:C$1500, "&gt;=0",J$2:J$1500, "&lt;-30",J$2:J$1500,"&gt;=-45",I$2:I$1500,"&gt;=180")</f>
        <v>26.6</v>
      </c>
      <c r="Z22" s="0" t="n">
        <f aca="false">I22-8</f>
        <v>248.6</v>
      </c>
      <c r="AB22" s="0" t="n">
        <f aca="false">IF(Z22&lt;0,Z22+360,Z22+0)</f>
        <v>248.6</v>
      </c>
      <c r="AC22" s="11" t="s">
        <v>47</v>
      </c>
      <c r="AD22" s="0" t="s">
        <v>117</v>
      </c>
      <c r="AE22" s="1" t="n">
        <f aca="false">COUNTIF(AB$2:AB$1500,"&lt;315")-SUM(AE2:AE21)</f>
        <v>20</v>
      </c>
      <c r="AF22" s="1"/>
      <c r="AG22" s="0" t="s">
        <v>117</v>
      </c>
      <c r="AH22" s="0" t="n">
        <f aca="false">SUMIFS(C$2:C$1500,C$2:C$1500, "&gt;=0",AB$2:AB$1500, "&lt;315",AB$2:AB$1500,"&gt;=300")</f>
        <v>37.5</v>
      </c>
      <c r="AM22" s="1"/>
      <c r="AR22" s="1"/>
    </row>
    <row r="23" customFormat="false" ht="15.8" hidden="false" customHeight="false" outlineLevel="0" collapsed="false">
      <c r="A23" s="1" t="n">
        <v>3</v>
      </c>
      <c r="B23" s="1" t="n">
        <v>8</v>
      </c>
      <c r="C23" s="1" t="n">
        <v>2</v>
      </c>
      <c r="D23" s="1" t="n">
        <v>1.1178</v>
      </c>
      <c r="E23" s="1" t="n">
        <v>0.0723079</v>
      </c>
      <c r="F23" s="1" t="n">
        <v>0.000207837</v>
      </c>
      <c r="G23" s="1" t="s">
        <v>42</v>
      </c>
      <c r="H23" s="1" t="n">
        <v>13.5</v>
      </c>
      <c r="I23" s="1" t="n">
        <v>314.7</v>
      </c>
      <c r="J23" s="1" t="n">
        <v>12.6</v>
      </c>
      <c r="K23" s="1" t="n">
        <v>56.6</v>
      </c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24</v>
      </c>
      <c r="S23" s="2" t="s">
        <v>118</v>
      </c>
      <c r="T23" s="1" t="n">
        <f aca="false">COUNTIFS(J$2:J$1500, "&gt;45",I$2:I$1500, "&gt;=180")-SUM(T24:T25)</f>
        <v>1</v>
      </c>
      <c r="U23" s="1" t="n">
        <v>315</v>
      </c>
      <c r="V23" s="0" t="n">
        <f aca="false">SUMIFS(C$2:C$1500,C$2:C$1500, "&gt;=0",I$2:I$1500, "&lt;330",I$2:I$1500,"&gt;=315")</f>
        <v>57.2</v>
      </c>
      <c r="W23" s="2" t="s">
        <v>119</v>
      </c>
      <c r="X23" s="0" t="n">
        <f aca="false">SUMIFS(C$2:C$1500,C$2:C$1500, "&gt;=0",J$2:J$1500, "&lt;-45",J$2:J$1500,"&gt;=-60",I$2:I$1500,"&gt;=180")</f>
        <v>18</v>
      </c>
      <c r="Z23" s="0" t="n">
        <f aca="false">I23-8</f>
        <v>306.7</v>
      </c>
      <c r="AB23" s="0" t="n">
        <f aca="false">IF(Z23&lt;0,Z23+360,Z23+0)</f>
        <v>306.7</v>
      </c>
      <c r="AC23" s="9" t="s">
        <v>41</v>
      </c>
      <c r="AD23" s="0" t="s">
        <v>120</v>
      </c>
      <c r="AE23" s="1" t="n">
        <f aca="false">COUNTIF(AB$2:AB$1500,"&lt;330")-SUM(AE2:AE22)</f>
        <v>22</v>
      </c>
      <c r="AF23" s="1"/>
      <c r="AG23" s="0" t="s">
        <v>120</v>
      </c>
      <c r="AH23" s="0" t="n">
        <f aca="false">SUMIFS(C$2:C$1500,C$2:C$1500, "&gt;=0",AB$2:AB$1500, "&lt;330",AB$2:AB$1500,"&gt;=315")</f>
        <v>60.7</v>
      </c>
      <c r="AM23" s="1"/>
      <c r="AR23" s="1"/>
    </row>
    <row r="24" customFormat="false" ht="15.8" hidden="false" customHeight="false" outlineLevel="0" collapsed="false">
      <c r="A24" s="1" t="n">
        <v>3</v>
      </c>
      <c r="B24" s="1" t="n">
        <v>7</v>
      </c>
      <c r="C24" s="1" t="n">
        <v>5</v>
      </c>
      <c r="D24" s="1" t="n">
        <v>1.1271</v>
      </c>
      <c r="E24" s="1" t="n">
        <v>0.179358</v>
      </c>
      <c r="F24" s="1" t="n">
        <v>0.000515536</v>
      </c>
      <c r="G24" s="1" t="s">
        <v>42</v>
      </c>
      <c r="H24" s="1" t="n">
        <v>15.8</v>
      </c>
      <c r="I24" s="1" t="n">
        <v>328.3</v>
      </c>
      <c r="J24" s="1" t="n">
        <v>10.2</v>
      </c>
      <c r="K24" s="1" t="n">
        <v>129.1</v>
      </c>
      <c r="L24" s="1" t="n">
        <v>0</v>
      </c>
      <c r="M24" s="1" t="n">
        <v>0</v>
      </c>
      <c r="N24" s="1" t="s">
        <v>100</v>
      </c>
      <c r="O24" s="1" t="n">
        <v>330</v>
      </c>
      <c r="P24" s="1" t="n">
        <f aca="false">COUNTIF(I$2:I$1500,"&lt;345")-SUM(P2:P23)</f>
        <v>18</v>
      </c>
      <c r="S24" s="2" t="s">
        <v>121</v>
      </c>
      <c r="T24" s="1" t="n">
        <f aca="false">COUNTIFS(J$2:J$1500, "&gt;60",I$2:I$1500, "&gt;=180")-T25</f>
        <v>4</v>
      </c>
      <c r="U24" s="1" t="n">
        <v>330</v>
      </c>
      <c r="V24" s="0" t="n">
        <f aca="false">SUMIFS(C$2:C$1500,C$2:C$1500, "&gt;=0",I$2:I$1500, "&lt;345",I$2:I$1500,"&gt;=330")</f>
        <v>52.3</v>
      </c>
      <c r="W24" s="2" t="s">
        <v>122</v>
      </c>
      <c r="X24" s="0" t="n">
        <f aca="false">SUMIFS(C$2:C$1500,C$2:C$1500, "&gt;=0",J$2:J$1500, "&lt;-60",J$2:J$1500,"&gt;=-75",I$2:I$1500,"&gt;=180")</f>
        <v>5.9</v>
      </c>
      <c r="Z24" s="0" t="n">
        <f aca="false">I24-8</f>
        <v>320.3</v>
      </c>
      <c r="AB24" s="0" t="n">
        <f aca="false">IF(Z24&lt;0,Z24+360,Z24+0)</f>
        <v>320.3</v>
      </c>
      <c r="AC24" s="6" t="s">
        <v>37</v>
      </c>
      <c r="AD24" s="0" t="s">
        <v>123</v>
      </c>
      <c r="AE24" s="1" t="n">
        <f aca="false">COUNTIF(AB$2:AB$1500,"&lt;345")-SUM(AE2:AE23)</f>
        <v>18</v>
      </c>
      <c r="AF24" s="1"/>
      <c r="AG24" s="0" t="s">
        <v>123</v>
      </c>
      <c r="AH24" s="0" t="n">
        <f aca="false">SUMIFS(C$2:C$1500,C$2:C$1500, "&gt;=0",AB$2:AB$1500, "&lt;345",AB$2:AB$1500,"&gt;=330")</f>
        <v>54.8</v>
      </c>
      <c r="AM24" s="1"/>
      <c r="AR24" s="1"/>
    </row>
    <row r="25" customFormat="false" ht="15.8" hidden="false" customHeight="false" outlineLevel="0" collapsed="false">
      <c r="A25" s="1" t="n">
        <v>3</v>
      </c>
      <c r="B25" s="1" t="n">
        <v>6</v>
      </c>
      <c r="C25" s="1" t="n">
        <v>1.7</v>
      </c>
      <c r="D25" s="1" t="n">
        <v>1.0997</v>
      </c>
      <c r="E25" s="1" t="n">
        <v>0.0607226</v>
      </c>
      <c r="F25" s="1" t="n">
        <v>0.000174537</v>
      </c>
      <c r="G25" s="1" t="s">
        <v>42</v>
      </c>
      <c r="H25" s="1" t="n">
        <v>108.9</v>
      </c>
      <c r="I25" s="1" t="n">
        <v>316.2</v>
      </c>
      <c r="J25" s="1" t="n">
        <v>0</v>
      </c>
      <c r="K25" s="1" t="n">
        <v>68.3</v>
      </c>
      <c r="L25" s="1" t="n">
        <v>0</v>
      </c>
      <c r="M25" s="1" t="n">
        <v>0</v>
      </c>
      <c r="N25" s="1" t="s">
        <v>85</v>
      </c>
      <c r="O25" s="1" t="n">
        <v>345</v>
      </c>
      <c r="P25" s="1" t="n">
        <f aca="false">COUNTIF(I$2:I$1500,"&lt;=360")-SUM(P2:P24)</f>
        <v>20</v>
      </c>
      <c r="S25" s="2" t="s">
        <v>124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65.2</v>
      </c>
      <c r="W25" s="2" t="s">
        <v>125</v>
      </c>
      <c r="X25" s="0" t="n">
        <f aca="false">SUMIFS(C$2:C$1500,C$2:C$1500, "&gt;=0",J$2:J$1500, "&lt;-75",J$2:J$1500,"&gt;=-90",I$2:I$1500,"&gt;=180")</f>
        <v>3.8</v>
      </c>
      <c r="Z25" s="0" t="n">
        <f aca="false">I25-8</f>
        <v>308.2</v>
      </c>
      <c r="AB25" s="0" t="n">
        <f aca="false">IF(Z25&lt;0,Z25+360,Z25+0)</f>
        <v>308.2</v>
      </c>
      <c r="AC25" s="4" t="s">
        <v>32</v>
      </c>
      <c r="AD25" s="0" t="s">
        <v>126</v>
      </c>
      <c r="AE25" s="1" t="n">
        <f aca="false">COUNTIF(AB$2:AB$1500,"&lt;=360")-SUM(AE2:AE24)</f>
        <v>23</v>
      </c>
      <c r="AF25" s="1"/>
      <c r="AG25" s="0" t="s">
        <v>126</v>
      </c>
      <c r="AH25" s="0" t="n">
        <f aca="false">SUMIFS(C$2:C$1500,C$2:C$1500, "&gt;=0",AB$2:AB$1500, "&lt;=360",AB$2:AB$1500,"&gt;=345")</f>
        <v>81.7</v>
      </c>
      <c r="AM25" s="1"/>
      <c r="AR25" s="1"/>
    </row>
    <row r="26" customFormat="false" ht="15.8" hidden="false" customHeight="false" outlineLevel="0" collapsed="false">
      <c r="A26" s="1" t="n">
        <v>3</v>
      </c>
      <c r="B26" s="1" t="n">
        <v>5</v>
      </c>
      <c r="C26" s="1" t="n">
        <v>1.6</v>
      </c>
      <c r="D26" s="1" t="n">
        <v>1.1846</v>
      </c>
      <c r="E26" s="1" t="n">
        <v>0.0567471</v>
      </c>
      <c r="F26" s="1" t="n">
        <v>0.00016311</v>
      </c>
      <c r="G26" s="1" t="s">
        <v>42</v>
      </c>
      <c r="H26" s="1" t="n">
        <v>115.4</v>
      </c>
      <c r="I26" s="1" t="n">
        <v>206.4</v>
      </c>
      <c r="J26" s="1" t="n">
        <v>17.1</v>
      </c>
      <c r="K26" s="1" t="n">
        <v>108.9</v>
      </c>
      <c r="L26" s="1" t="n">
        <v>0</v>
      </c>
      <c r="M26" s="1" t="n">
        <v>0</v>
      </c>
      <c r="N26" s="1" t="s">
        <v>80</v>
      </c>
      <c r="O26" s="1" t="s">
        <v>127</v>
      </c>
      <c r="P26" s="1" t="n">
        <f aca="false">SUM(P2:P25)</f>
        <v>353</v>
      </c>
      <c r="R26" s="1" t="n">
        <f aca="false">SUM(R2:R14)</f>
        <v>353</v>
      </c>
      <c r="S26" s="2"/>
      <c r="T26" s="1" t="n">
        <f aca="false">SUM(T2:T25)</f>
        <v>353</v>
      </c>
      <c r="U26" s="1" t="s">
        <v>127</v>
      </c>
      <c r="V26" s="0" t="n">
        <f aca="false">SUM(V2:V25)</f>
        <v>933.8</v>
      </c>
      <c r="X26" s="0" t="n">
        <f aca="false">SUM(X2:X25)</f>
        <v>933.8</v>
      </c>
      <c r="Z26" s="0" t="n">
        <f aca="false">I26-8</f>
        <v>198.4</v>
      </c>
      <c r="AB26" s="0" t="n">
        <f aca="false">IF(Z26&lt;0,Z26+360,Z26+0)</f>
        <v>198.4</v>
      </c>
      <c r="AD26" s="1" t="s">
        <v>127</v>
      </c>
      <c r="AE26" s="1" t="n">
        <f aca="false">SUM(AE2:AE25)</f>
        <v>353</v>
      </c>
      <c r="AF26" s="1"/>
      <c r="AG26" s="1" t="s">
        <v>127</v>
      </c>
      <c r="AH26" s="0" t="n">
        <f aca="false">SUM(AH2:AH25)</f>
        <v>933.8</v>
      </c>
      <c r="AJ26" s="0" t="s">
        <v>66</v>
      </c>
      <c r="AK26" s="0" t="n">
        <f aca="false">SUM(AK2:AK14)</f>
        <v>933.8</v>
      </c>
    </row>
    <row r="27" customFormat="false" ht="15.8" hidden="false" customHeight="false" outlineLevel="0" collapsed="false">
      <c r="A27" s="1" t="n">
        <v>3</v>
      </c>
      <c r="B27" s="1" t="n">
        <v>4</v>
      </c>
      <c r="C27" s="1" t="n">
        <v>1.7</v>
      </c>
      <c r="D27" s="1" t="n">
        <v>1.1585</v>
      </c>
      <c r="E27" s="1" t="n">
        <v>0.0600259</v>
      </c>
      <c r="F27" s="1" t="n">
        <v>0.000172534</v>
      </c>
      <c r="G27" s="1" t="s">
        <v>42</v>
      </c>
      <c r="H27" s="1" t="n">
        <v>66.9</v>
      </c>
      <c r="I27" s="1" t="n">
        <v>330</v>
      </c>
      <c r="J27" s="1" t="n">
        <v>15.8</v>
      </c>
      <c r="K27" s="1" t="n">
        <v>115.4</v>
      </c>
      <c r="L27" s="1" t="n">
        <v>0</v>
      </c>
      <c r="M27" s="1" t="n">
        <v>0</v>
      </c>
      <c r="N27" s="1" t="s">
        <v>128</v>
      </c>
      <c r="O27" s="1" t="s">
        <v>129</v>
      </c>
      <c r="P27" s="1" t="n">
        <f aca="false">COUNT(I2:I1500)</f>
        <v>353</v>
      </c>
      <c r="R27" s="1" t="n">
        <f aca="false">COUNT(J2:J1500)</f>
        <v>353</v>
      </c>
      <c r="S27" s="2"/>
      <c r="U27" s="1" t="s">
        <v>130</v>
      </c>
      <c r="V27" s="0" t="n">
        <f aca="false">SUM(C2:C1000)</f>
        <v>933.8</v>
      </c>
      <c r="Z27" s="0" t="n">
        <f aca="false">I27-8</f>
        <v>322</v>
      </c>
      <c r="AB27" s="0" t="n">
        <f aca="false">IF(Z27&lt;0,Z27+360,Z27+0)</f>
        <v>322</v>
      </c>
      <c r="AD27" s="1" t="s">
        <v>129</v>
      </c>
      <c r="AE27" s="1" t="n">
        <f aca="false">COUNT(Z2:Z1500)</f>
        <v>353</v>
      </c>
      <c r="AF27" s="1"/>
      <c r="AG27" s="1" t="s">
        <v>130</v>
      </c>
      <c r="AH27" s="0" t="n">
        <f aca="false">SUM(C2:C1200)</f>
        <v>933.8</v>
      </c>
    </row>
    <row r="28" customFormat="false" ht="15.8" hidden="false" customHeight="false" outlineLevel="0" collapsed="false">
      <c r="A28" s="1" t="n">
        <v>3</v>
      </c>
      <c r="B28" s="1" t="n">
        <v>5</v>
      </c>
      <c r="C28" s="1" t="n">
        <v>0.9</v>
      </c>
      <c r="D28" s="1" t="n">
        <v>1.0177</v>
      </c>
      <c r="E28" s="1" t="n">
        <v>0.0322219</v>
      </c>
      <c r="F28" s="1" t="n">
        <v>9.26165E-005</v>
      </c>
      <c r="G28" s="1" t="s">
        <v>27</v>
      </c>
      <c r="H28" s="1" t="n">
        <v>54.5</v>
      </c>
      <c r="I28" s="1" t="n">
        <v>253.2</v>
      </c>
      <c r="J28" s="1" t="n">
        <v>0</v>
      </c>
      <c r="K28" s="1"/>
      <c r="L28" s="1" t="n">
        <v>0</v>
      </c>
      <c r="M28" s="1" t="n">
        <v>0</v>
      </c>
      <c r="N28" s="1" t="s">
        <v>131</v>
      </c>
      <c r="O28" s="1"/>
      <c r="P28" s="1"/>
      <c r="Q28" s="1"/>
      <c r="R28" s="1"/>
      <c r="S28" s="1"/>
      <c r="T28" s="1"/>
      <c r="Z28" s="0" t="n">
        <f aca="false">I28-8</f>
        <v>245.2</v>
      </c>
      <c r="AB28" s="0" t="n">
        <f aca="false">IF(Z28&lt;0,Z28+360,Z28+0)</f>
        <v>245.2</v>
      </c>
    </row>
    <row r="29" customFormat="false" ht="15.8" hidden="false" customHeight="false" outlineLevel="0" collapsed="false">
      <c r="A29" s="1" t="n">
        <v>3</v>
      </c>
      <c r="B29" s="1" t="n">
        <v>5</v>
      </c>
      <c r="C29" s="1" t="n">
        <v>1.1</v>
      </c>
      <c r="D29" s="1" t="n">
        <v>1.0343</v>
      </c>
      <c r="E29" s="1" t="n">
        <v>0.0408386</v>
      </c>
      <c r="F29" s="1" t="n">
        <v>0.000117384</v>
      </c>
      <c r="G29" s="1" t="s">
        <v>27</v>
      </c>
      <c r="H29" s="1" t="n">
        <v>41.3</v>
      </c>
      <c r="I29" s="1" t="n">
        <v>157.8</v>
      </c>
      <c r="J29" s="1" t="n">
        <v>0</v>
      </c>
      <c r="K29" s="1"/>
      <c r="L29" s="1" t="n">
        <v>0</v>
      </c>
      <c r="M29" s="1" t="n">
        <v>0</v>
      </c>
      <c r="N29" s="1" t="s">
        <v>131</v>
      </c>
      <c r="O29" s="1"/>
      <c r="P29" s="1"/>
      <c r="Q29" s="1"/>
      <c r="R29" s="1"/>
      <c r="S29" s="1"/>
      <c r="T29" s="1"/>
      <c r="Z29" s="0" t="n">
        <f aca="false">I29-8</f>
        <v>149.8</v>
      </c>
      <c r="AB29" s="0" t="n">
        <f aca="false">IF(Z29&lt;0,Z29+360,Z29+0)</f>
        <v>149.8</v>
      </c>
    </row>
    <row r="30" customFormat="false" ht="15.8" hidden="false" customHeight="false" outlineLevel="0" collapsed="false">
      <c r="A30" s="1" t="n">
        <v>3</v>
      </c>
      <c r="B30" s="1" t="n">
        <v>4</v>
      </c>
      <c r="C30" s="1" t="n">
        <v>5.6</v>
      </c>
      <c r="D30" s="1" t="n">
        <v>1.091</v>
      </c>
      <c r="E30" s="1" t="n">
        <v>0.202596</v>
      </c>
      <c r="F30" s="1" t="n">
        <v>0.00058233</v>
      </c>
      <c r="G30" s="1" t="s">
        <v>42</v>
      </c>
      <c r="H30" s="1" t="n">
        <v>60.9</v>
      </c>
      <c r="I30" s="1" t="n">
        <v>198.8</v>
      </c>
      <c r="J30" s="1" t="n">
        <v>4.4</v>
      </c>
      <c r="K30" s="1" t="n">
        <v>54.5</v>
      </c>
      <c r="L30" s="1" t="n">
        <v>0</v>
      </c>
      <c r="M30" s="1" t="n">
        <v>0</v>
      </c>
      <c r="N30" s="1" t="s">
        <v>128</v>
      </c>
      <c r="O30" s="1"/>
      <c r="P30" s="1"/>
      <c r="Q30" s="1"/>
      <c r="R30" s="1"/>
      <c r="S30" s="1"/>
      <c r="T30" s="1"/>
      <c r="Z30" s="0" t="n">
        <f aca="false">I30-8</f>
        <v>190.8</v>
      </c>
      <c r="AB30" s="0" t="n">
        <f aca="false">IF(Z30&lt;0,Z30+360,Z30+0)</f>
        <v>190.8</v>
      </c>
    </row>
    <row r="31" customFormat="false" ht="15.8" hidden="false" customHeight="false" outlineLevel="0" collapsed="false">
      <c r="A31" s="1" t="n">
        <v>3</v>
      </c>
      <c r="B31" s="1" t="n">
        <v>3</v>
      </c>
      <c r="C31" s="1" t="n">
        <v>4</v>
      </c>
      <c r="D31" s="1" t="n">
        <v>1.2116</v>
      </c>
      <c r="E31" s="1" t="n">
        <v>0.144566</v>
      </c>
      <c r="F31" s="1" t="n">
        <v>0.00041553</v>
      </c>
      <c r="G31" s="1" t="s">
        <v>42</v>
      </c>
      <c r="H31" s="1" t="n">
        <v>10.7</v>
      </c>
      <c r="I31" s="1" t="n">
        <v>259.3</v>
      </c>
      <c r="J31" s="1" t="n">
        <v>20.7</v>
      </c>
      <c r="K31" s="1" t="n">
        <v>66.9</v>
      </c>
      <c r="L31" s="1" t="n">
        <v>0</v>
      </c>
      <c r="M31" s="1" t="n">
        <v>0</v>
      </c>
      <c r="N31" s="1" t="s">
        <v>132</v>
      </c>
      <c r="O31" s="1"/>
      <c r="P31" s="1"/>
      <c r="Q31" s="1"/>
      <c r="R31" s="1"/>
      <c r="S31" s="1"/>
      <c r="T31" s="1"/>
      <c r="Z31" s="0" t="n">
        <f aca="false">I31-8</f>
        <v>251.3</v>
      </c>
      <c r="AB31" s="0" t="n">
        <f aca="false">IF(Z31&lt;0,Z31+360,Z31+0)</f>
        <v>251.3</v>
      </c>
    </row>
    <row r="32" customFormat="false" ht="15.8" hidden="false" customHeight="false" outlineLevel="0" collapsed="false">
      <c r="A32" s="1" t="n">
        <v>3</v>
      </c>
      <c r="B32" s="1" t="n">
        <v>3</v>
      </c>
      <c r="C32" s="1" t="n">
        <v>3.5</v>
      </c>
      <c r="D32" s="1" t="n">
        <v>1.0746</v>
      </c>
      <c r="E32" s="1" t="n">
        <v>0.125032</v>
      </c>
      <c r="F32" s="1" t="n">
        <v>0.000359384</v>
      </c>
      <c r="G32" s="1" t="s">
        <v>27</v>
      </c>
      <c r="H32" s="1" t="n">
        <v>73.5</v>
      </c>
      <c r="I32" s="1" t="n">
        <v>174.8</v>
      </c>
      <c r="J32" s="1" t="n">
        <v>7</v>
      </c>
      <c r="K32" s="1"/>
      <c r="L32" s="1" t="n">
        <v>0</v>
      </c>
      <c r="M32" s="1" t="n">
        <v>0</v>
      </c>
      <c r="N32" s="1" t="s">
        <v>132</v>
      </c>
      <c r="O32" s="1"/>
      <c r="P32" s="1"/>
      <c r="Q32" s="1"/>
      <c r="R32" s="1"/>
      <c r="S32" s="1"/>
      <c r="T32" s="1"/>
      <c r="Z32" s="0" t="n">
        <f aca="false">I32-8</f>
        <v>166.8</v>
      </c>
      <c r="AB32" s="0" t="n">
        <f aca="false">IF(Z32&lt;0,Z32+360,Z32+0)</f>
        <v>166.8</v>
      </c>
    </row>
    <row r="33" customFormat="false" ht="15.8" hidden="false" customHeight="false" outlineLevel="0" collapsed="false">
      <c r="A33" s="1" t="n">
        <v>3</v>
      </c>
      <c r="B33" s="1" t="n">
        <v>2</v>
      </c>
      <c r="C33" s="1" t="n">
        <v>5.1</v>
      </c>
      <c r="D33" s="1" t="n">
        <v>1.4895</v>
      </c>
      <c r="E33" s="1" t="n">
        <v>0.184925</v>
      </c>
      <c r="F33" s="1" t="n">
        <v>0.000531537</v>
      </c>
      <c r="G33" s="1" t="s">
        <v>42</v>
      </c>
      <c r="H33" s="1" t="n">
        <v>46.7</v>
      </c>
      <c r="I33" s="1" t="n">
        <v>249.8</v>
      </c>
      <c r="J33" s="1" t="n">
        <v>27</v>
      </c>
      <c r="K33" s="1" t="n">
        <v>73.5</v>
      </c>
      <c r="L33" s="1" t="n">
        <v>0</v>
      </c>
      <c r="M33" s="1" t="n">
        <v>0</v>
      </c>
      <c r="N33" s="1" t="s">
        <v>133</v>
      </c>
      <c r="O33" s="1"/>
      <c r="P33" s="1"/>
      <c r="Q33" s="1"/>
      <c r="R33" s="1"/>
      <c r="S33" s="1"/>
      <c r="T33" s="1"/>
      <c r="Z33" s="0" t="n">
        <f aca="false">I33-8</f>
        <v>241.8</v>
      </c>
      <c r="AB33" s="0" t="n">
        <f aca="false">IF(Z33&lt;0,Z33+360,Z33+0)</f>
        <v>241.8</v>
      </c>
    </row>
    <row r="34" customFormat="false" ht="15.8" hidden="false" customHeight="false" outlineLevel="0" collapsed="false">
      <c r="A34" s="1" t="n">
        <v>3</v>
      </c>
      <c r="B34" s="1" t="n">
        <v>4</v>
      </c>
      <c r="C34" s="1" t="n">
        <v>2.8</v>
      </c>
      <c r="D34" s="1" t="n">
        <v>1.4073</v>
      </c>
      <c r="E34" s="1" t="n">
        <v>0.101684</v>
      </c>
      <c r="F34" s="1" t="n">
        <v>0.000292274</v>
      </c>
      <c r="G34" s="1" t="s">
        <v>27</v>
      </c>
      <c r="H34" s="1" t="n">
        <v>44.7</v>
      </c>
      <c r="I34" s="1" t="n">
        <v>177.6</v>
      </c>
      <c r="J34" s="1" t="n">
        <v>-35.8</v>
      </c>
      <c r="K34" s="1"/>
      <c r="L34" s="1" t="n">
        <v>0</v>
      </c>
      <c r="M34" s="1" t="n">
        <v>0</v>
      </c>
      <c r="N34" s="1" t="s">
        <v>134</v>
      </c>
      <c r="O34" s="1"/>
      <c r="P34" s="1"/>
      <c r="Q34" s="1"/>
      <c r="R34" s="1"/>
      <c r="S34" s="1"/>
      <c r="T34" s="1"/>
      <c r="Z34" s="0" t="n">
        <f aca="false">I34-8</f>
        <v>169.6</v>
      </c>
      <c r="AB34" s="0" t="n">
        <f aca="false">IF(Z34&lt;0,Z34+360,Z34+0)</f>
        <v>169.6</v>
      </c>
    </row>
    <row r="35" customFormat="false" ht="15.8" hidden="false" customHeight="false" outlineLevel="0" collapsed="false">
      <c r="A35" s="1" t="n">
        <v>3</v>
      </c>
      <c r="B35" s="1" t="n">
        <v>4</v>
      </c>
      <c r="C35" s="1" t="n">
        <v>2.9</v>
      </c>
      <c r="D35" s="1" t="n">
        <v>1.3874</v>
      </c>
      <c r="E35" s="1" t="n">
        <v>0.10646</v>
      </c>
      <c r="F35" s="1" t="n">
        <v>0.000306003</v>
      </c>
      <c r="G35" s="1" t="s">
        <v>27</v>
      </c>
      <c r="H35" s="1" t="n">
        <v>4.2</v>
      </c>
      <c r="I35" s="1" t="n">
        <v>133.8</v>
      </c>
      <c r="J35" s="1" t="n">
        <v>-21.5</v>
      </c>
      <c r="K35" s="1"/>
      <c r="L35" s="1" t="n">
        <v>0</v>
      </c>
      <c r="M35" s="1" t="n">
        <v>0</v>
      </c>
      <c r="N35" s="1" t="s">
        <v>134</v>
      </c>
      <c r="O35" s="1"/>
      <c r="P35" s="1"/>
      <c r="Q35" s="1"/>
      <c r="R35" s="1"/>
      <c r="S35" s="1"/>
      <c r="T35" s="1"/>
      <c r="Z35" s="0" t="n">
        <f aca="false">I35-8</f>
        <v>125.8</v>
      </c>
      <c r="AB35" s="0" t="n">
        <f aca="false">IF(Z35&lt;0,Z35+360,Z35+0)</f>
        <v>125.8</v>
      </c>
    </row>
    <row r="36" customFormat="false" ht="15.8" hidden="false" customHeight="false" outlineLevel="0" collapsed="false">
      <c r="A36" s="1" t="n">
        <v>3</v>
      </c>
      <c r="B36" s="1" t="n">
        <v>6</v>
      </c>
      <c r="C36" s="1" t="n">
        <v>1.5</v>
      </c>
      <c r="D36" s="1" t="n">
        <v>1.1851</v>
      </c>
      <c r="E36" s="1" t="n">
        <v>0.052535</v>
      </c>
      <c r="F36" s="1" t="n">
        <v>0.000151003</v>
      </c>
      <c r="G36" s="1" t="s">
        <v>27</v>
      </c>
      <c r="H36" s="1" t="n">
        <v>70.7</v>
      </c>
      <c r="I36" s="1" t="n">
        <v>52.2</v>
      </c>
      <c r="J36" s="1" t="n">
        <v>18.5</v>
      </c>
      <c r="K36" s="1"/>
      <c r="L36" s="1" t="n">
        <v>0</v>
      </c>
      <c r="M36" s="1" t="n">
        <v>0</v>
      </c>
      <c r="N36" s="1" t="s">
        <v>135</v>
      </c>
      <c r="O36" s="1"/>
      <c r="P36" s="1"/>
      <c r="Q36" s="1"/>
      <c r="R36" s="1"/>
      <c r="S36" s="1"/>
      <c r="T36" s="1"/>
      <c r="Z36" s="0" t="n">
        <f aca="false">I36-8</f>
        <v>44.2</v>
      </c>
      <c r="AB36" s="0" t="n">
        <f aca="false">IF(Z36&lt;0,Z36+360,Z36+0)</f>
        <v>44.2</v>
      </c>
    </row>
    <row r="37" customFormat="false" ht="15.8" hidden="false" customHeight="false" outlineLevel="0" collapsed="false">
      <c r="A37" s="1" t="n">
        <v>3</v>
      </c>
      <c r="B37" s="1" t="n">
        <v>6</v>
      </c>
      <c r="C37" s="1" t="n">
        <v>3</v>
      </c>
      <c r="D37" s="1" t="n">
        <v>1.2016</v>
      </c>
      <c r="E37" s="1" t="n">
        <v>0.107936</v>
      </c>
      <c r="F37" s="1" t="n">
        <v>0.000310243</v>
      </c>
      <c r="G37" s="1" t="s">
        <v>27</v>
      </c>
      <c r="H37" s="1" t="n">
        <v>69.6</v>
      </c>
      <c r="I37" s="1" t="n">
        <v>266.6</v>
      </c>
      <c r="J37" s="1" t="n">
        <v>-51.6</v>
      </c>
      <c r="K37" s="1"/>
      <c r="L37" s="1" t="n">
        <v>0</v>
      </c>
      <c r="M37" s="1" t="n">
        <v>0</v>
      </c>
      <c r="N37" s="1" t="s">
        <v>135</v>
      </c>
      <c r="O37" s="1"/>
      <c r="P37" s="1"/>
      <c r="Q37" s="1"/>
      <c r="R37" s="1"/>
      <c r="S37" s="1"/>
      <c r="T37" s="1"/>
      <c r="Z37" s="0" t="n">
        <f aca="false">I37-8</f>
        <v>258.6</v>
      </c>
      <c r="AB37" s="0" t="n">
        <f aca="false">IF(Z37&lt;0,Z37+360,Z37+0)</f>
        <v>258.6</v>
      </c>
    </row>
    <row r="38" customFormat="false" ht="15.8" hidden="false" customHeight="false" outlineLevel="0" collapsed="false">
      <c r="A38" s="1" t="n">
        <v>3</v>
      </c>
      <c r="B38" s="1" t="n">
        <v>5</v>
      </c>
      <c r="C38" s="1" t="n">
        <v>2.5</v>
      </c>
      <c r="D38" s="1" t="n">
        <v>1.2537</v>
      </c>
      <c r="E38" s="1" t="n">
        <v>0.090515</v>
      </c>
      <c r="F38" s="1" t="n">
        <v>0.00026017</v>
      </c>
      <c r="G38" s="1" t="s">
        <v>42</v>
      </c>
      <c r="H38" s="1" t="n">
        <v>20.2</v>
      </c>
      <c r="I38" s="1" t="n">
        <v>39.4</v>
      </c>
      <c r="J38" s="1" t="n">
        <v>-51.3</v>
      </c>
      <c r="K38" s="1" t="n">
        <v>70.7</v>
      </c>
      <c r="L38" s="1" t="n">
        <v>0</v>
      </c>
      <c r="M38" s="1" t="n">
        <v>0</v>
      </c>
      <c r="N38" s="1" t="s">
        <v>136</v>
      </c>
      <c r="O38" s="1"/>
      <c r="P38" s="1"/>
      <c r="Q38" s="1"/>
      <c r="R38" s="1"/>
      <c r="S38" s="1"/>
      <c r="T38" s="1"/>
      <c r="Z38" s="0" t="n">
        <f aca="false">I38-8</f>
        <v>31.4</v>
      </c>
      <c r="AB38" s="0" t="n">
        <f aca="false">IF(Z38&lt;0,Z38+360,Z38+0)</f>
        <v>31.4</v>
      </c>
    </row>
    <row r="39" customFormat="false" ht="15.8" hidden="false" customHeight="false" outlineLevel="0" collapsed="false">
      <c r="A39" s="1" t="n">
        <v>3</v>
      </c>
      <c r="B39" s="1" t="n">
        <v>5</v>
      </c>
      <c r="C39" s="1" t="n">
        <v>2.9</v>
      </c>
      <c r="D39" s="1" t="n">
        <v>1.2945</v>
      </c>
      <c r="E39" s="1" t="n">
        <v>0.103905</v>
      </c>
      <c r="F39" s="1" t="n">
        <v>0.000298657</v>
      </c>
      <c r="G39" s="1" t="s">
        <v>27</v>
      </c>
      <c r="H39" s="1" t="n">
        <v>54.9</v>
      </c>
      <c r="I39" s="1" t="n">
        <v>286.5</v>
      </c>
      <c r="J39" s="1" t="n">
        <v>-44.6</v>
      </c>
      <c r="K39" s="1"/>
      <c r="L39" s="1" t="n">
        <v>0</v>
      </c>
      <c r="M39" s="1" t="n">
        <v>0</v>
      </c>
      <c r="N39" s="1" t="s">
        <v>136</v>
      </c>
      <c r="O39" s="1"/>
      <c r="P39" s="1"/>
      <c r="Q39" s="1"/>
      <c r="R39" s="1"/>
      <c r="S39" s="1"/>
      <c r="T39" s="1"/>
      <c r="Z39" s="0" t="n">
        <f aca="false">I39-8</f>
        <v>278.5</v>
      </c>
      <c r="AB39" s="0" t="n">
        <f aca="false">IF(Z39&lt;0,Z39+360,Z39+0)</f>
        <v>278.5</v>
      </c>
    </row>
    <row r="40" customFormat="false" ht="15.8" hidden="false" customHeight="false" outlineLevel="0" collapsed="false">
      <c r="A40" s="1" t="n">
        <v>3</v>
      </c>
      <c r="B40" s="1" t="n">
        <v>8</v>
      </c>
      <c r="C40" s="1" t="n">
        <v>5</v>
      </c>
      <c r="D40" s="1" t="n">
        <v>1.296</v>
      </c>
      <c r="E40" s="1" t="n">
        <v>0.181837</v>
      </c>
      <c r="F40" s="1" t="n">
        <v>0.000522659</v>
      </c>
      <c r="G40" s="1" t="s">
        <v>27</v>
      </c>
      <c r="H40" s="1" t="n">
        <v>82.7</v>
      </c>
      <c r="I40" s="1" t="n">
        <v>186.2</v>
      </c>
      <c r="J40" s="1" t="n">
        <v>-11.6</v>
      </c>
      <c r="K40" s="1"/>
      <c r="L40" s="1" t="n">
        <v>0</v>
      </c>
      <c r="M40" s="1" t="n">
        <v>0</v>
      </c>
      <c r="N40" s="1" t="s">
        <v>137</v>
      </c>
      <c r="O40" s="1"/>
      <c r="P40" s="1"/>
      <c r="Q40" s="1"/>
      <c r="R40" s="1"/>
      <c r="S40" s="1"/>
      <c r="T40" s="1"/>
      <c r="Z40" s="0" t="n">
        <f aca="false">I40-8</f>
        <v>178.2</v>
      </c>
      <c r="AB40" s="0" t="n">
        <f aca="false">IF(Z40&lt;0,Z40+360,Z40+0)</f>
        <v>178.2</v>
      </c>
    </row>
    <row r="41" customFormat="false" ht="15.8" hidden="false" customHeight="false" outlineLevel="0" collapsed="false">
      <c r="A41" s="1" t="n">
        <v>3</v>
      </c>
      <c r="B41" s="1" t="n">
        <v>8</v>
      </c>
      <c r="C41" s="1" t="n">
        <v>2</v>
      </c>
      <c r="D41" s="1" t="n">
        <v>1.1287</v>
      </c>
      <c r="E41" s="1" t="n">
        <v>0.0716493</v>
      </c>
      <c r="F41" s="1" t="n">
        <v>0.000205944</v>
      </c>
      <c r="G41" s="1" t="s">
        <v>27</v>
      </c>
      <c r="H41" s="1" t="n">
        <v>15.9</v>
      </c>
      <c r="I41" s="1" t="n">
        <v>268</v>
      </c>
      <c r="J41" s="1" t="n">
        <v>-41.7</v>
      </c>
      <c r="K41" s="1"/>
      <c r="L41" s="1" t="n">
        <v>0</v>
      </c>
      <c r="M41" s="1" t="n">
        <v>0</v>
      </c>
      <c r="N41" s="1" t="s">
        <v>137</v>
      </c>
      <c r="O41" s="1"/>
      <c r="P41" s="1"/>
      <c r="Q41" s="1"/>
      <c r="R41" s="1"/>
      <c r="S41" s="1"/>
      <c r="T41" s="1"/>
      <c r="Z41" s="0" t="n">
        <f aca="false">I41-8</f>
        <v>260</v>
      </c>
      <c r="AB41" s="0" t="n">
        <f aca="false">IF(Z41&lt;0,Z41+360,Z41+0)</f>
        <v>260</v>
      </c>
    </row>
    <row r="42" customFormat="false" ht="15.8" hidden="false" customHeight="false" outlineLevel="0" collapsed="false">
      <c r="A42" s="1" t="n">
        <v>3</v>
      </c>
      <c r="B42" s="1" t="n">
        <v>7</v>
      </c>
      <c r="C42" s="1" t="n">
        <v>5.2</v>
      </c>
      <c r="D42" s="1" t="n">
        <v>1.5547</v>
      </c>
      <c r="E42" s="1" t="n">
        <v>0.186172</v>
      </c>
      <c r="F42" s="1" t="n">
        <v>0.000535119</v>
      </c>
      <c r="G42" s="1" t="s">
        <v>42</v>
      </c>
      <c r="H42" s="1" t="n">
        <v>24.2</v>
      </c>
      <c r="I42" s="1" t="n">
        <v>280.2</v>
      </c>
      <c r="J42" s="1" t="n">
        <v>-55.4</v>
      </c>
      <c r="K42" s="1" t="n">
        <v>82.7</v>
      </c>
      <c r="L42" s="1" t="n">
        <v>0</v>
      </c>
      <c r="M42" s="1" t="n">
        <v>0</v>
      </c>
      <c r="N42" s="1" t="s">
        <v>138</v>
      </c>
      <c r="O42" s="1"/>
      <c r="P42" s="1"/>
      <c r="Q42" s="1"/>
      <c r="R42" s="1"/>
      <c r="S42" s="1"/>
      <c r="T42" s="1"/>
      <c r="Z42" s="0" t="n">
        <f aca="false">I42-8</f>
        <v>272.2</v>
      </c>
      <c r="AB42" s="0" t="n">
        <f aca="false">IF(Z42&lt;0,Z42+360,Z42+0)</f>
        <v>272.2</v>
      </c>
    </row>
    <row r="43" customFormat="false" ht="15.8" hidden="false" customHeight="false" outlineLevel="0" collapsed="false">
      <c r="A43" s="1" t="n">
        <v>3</v>
      </c>
      <c r="B43" s="1" t="n">
        <v>7</v>
      </c>
      <c r="C43" s="1" t="n">
        <v>1.3</v>
      </c>
      <c r="D43" s="1" t="n">
        <v>1.2013</v>
      </c>
      <c r="E43" s="1" t="n">
        <v>0.047162</v>
      </c>
      <c r="F43" s="1" t="n">
        <v>0.000135559</v>
      </c>
      <c r="G43" s="1" t="s">
        <v>27</v>
      </c>
      <c r="H43" s="1" t="n">
        <v>44.7</v>
      </c>
      <c r="I43" s="1" t="n">
        <v>218.6</v>
      </c>
      <c r="J43" s="1" t="n">
        <v>-21</v>
      </c>
      <c r="K43" s="1"/>
      <c r="L43" s="1" t="n">
        <v>0</v>
      </c>
      <c r="M43" s="1" t="n">
        <v>0</v>
      </c>
      <c r="N43" s="1" t="s">
        <v>138</v>
      </c>
      <c r="O43" s="1"/>
      <c r="P43" s="1"/>
      <c r="Q43" s="1"/>
      <c r="R43" s="1"/>
      <c r="S43" s="1"/>
      <c r="T43" s="1"/>
      <c r="Z43" s="0" t="n">
        <f aca="false">I43-8</f>
        <v>210.6</v>
      </c>
      <c r="AB43" s="0" t="n">
        <f aca="false">IF(Z43&lt;0,Z43+360,Z43+0)</f>
        <v>210.6</v>
      </c>
    </row>
    <row r="44" customFormat="false" ht="15.8" hidden="false" customHeight="false" outlineLevel="0" collapsed="false">
      <c r="A44" s="1" t="n">
        <v>3</v>
      </c>
      <c r="B44" s="1" t="n">
        <v>6</v>
      </c>
      <c r="C44" s="1" t="n">
        <v>1</v>
      </c>
      <c r="D44" s="1" t="n">
        <v>1.1341</v>
      </c>
      <c r="E44" s="1" t="n">
        <v>0.0353694</v>
      </c>
      <c r="F44" s="1" t="n">
        <v>0.000101663</v>
      </c>
      <c r="G44" s="1" t="s">
        <v>42</v>
      </c>
      <c r="H44" s="1" t="n">
        <v>94.3</v>
      </c>
      <c r="I44" s="1" t="n">
        <v>233.8</v>
      </c>
      <c r="J44" s="1" t="n">
        <v>-64.6</v>
      </c>
      <c r="K44" s="1" t="n">
        <v>44.7</v>
      </c>
      <c r="L44" s="1" t="n">
        <v>0</v>
      </c>
      <c r="M44" s="1" t="n">
        <v>0</v>
      </c>
      <c r="N44" s="1" t="s">
        <v>139</v>
      </c>
      <c r="O44" s="1"/>
      <c r="P44" s="1"/>
      <c r="Q44" s="1"/>
      <c r="R44" s="1"/>
      <c r="S44" s="1"/>
      <c r="T44" s="1"/>
      <c r="Z44" s="0" t="n">
        <f aca="false">I44-8</f>
        <v>225.8</v>
      </c>
      <c r="AB44" s="0" t="n">
        <f aca="false">IF(Z44&lt;0,Z44+360,Z44+0)</f>
        <v>225.8</v>
      </c>
    </row>
    <row r="45" customFormat="false" ht="15.8" hidden="false" customHeight="false" outlineLevel="0" collapsed="false">
      <c r="A45" s="1" t="n">
        <v>3</v>
      </c>
      <c r="B45" s="1" t="n">
        <v>6</v>
      </c>
      <c r="C45" s="1" t="n">
        <v>2.7</v>
      </c>
      <c r="D45" s="1" t="n">
        <v>1.307</v>
      </c>
      <c r="E45" s="1" t="n">
        <v>0.0992708</v>
      </c>
      <c r="F45" s="1" t="n">
        <v>0.000285338</v>
      </c>
      <c r="G45" s="1" t="s">
        <v>27</v>
      </c>
      <c r="H45" s="1" t="n">
        <v>99.8</v>
      </c>
      <c r="I45" s="1" t="n">
        <v>95.6</v>
      </c>
      <c r="J45" s="1" t="n">
        <v>0</v>
      </c>
      <c r="K45" s="1"/>
      <c r="L45" s="1" t="n">
        <v>0</v>
      </c>
      <c r="M45" s="1" t="n">
        <v>0</v>
      </c>
      <c r="N45" s="1" t="s">
        <v>139</v>
      </c>
      <c r="O45" s="1"/>
      <c r="P45" s="1"/>
      <c r="Q45" s="1"/>
      <c r="R45" s="1"/>
      <c r="S45" s="1"/>
      <c r="T45" s="1"/>
      <c r="Z45" s="0" t="n">
        <f aca="false">I45-8</f>
        <v>87.6</v>
      </c>
      <c r="AB45" s="0" t="n">
        <f aca="false">IF(Z45&lt;0,Z45+360,Z45+0)</f>
        <v>87.6</v>
      </c>
    </row>
    <row r="46" customFormat="false" ht="15.8" hidden="false" customHeight="false" outlineLevel="0" collapsed="false">
      <c r="A46" s="1" t="n">
        <v>3</v>
      </c>
      <c r="B46" s="1" t="n">
        <v>6</v>
      </c>
      <c r="C46" s="1" t="n">
        <v>2</v>
      </c>
      <c r="D46" s="1" t="n">
        <v>1.1637</v>
      </c>
      <c r="E46" s="1" t="n">
        <v>0.0706458</v>
      </c>
      <c r="F46" s="1" t="n">
        <v>0.00020306</v>
      </c>
      <c r="G46" s="1" t="s">
        <v>27</v>
      </c>
      <c r="H46" s="1" t="n">
        <v>80.9</v>
      </c>
      <c r="I46" s="1" t="n">
        <v>324</v>
      </c>
      <c r="J46" s="1" t="n">
        <v>68.2</v>
      </c>
      <c r="K46" s="1"/>
      <c r="L46" s="1" t="n">
        <v>0</v>
      </c>
      <c r="M46" s="1" t="n">
        <v>0</v>
      </c>
      <c r="N46" s="1" t="s">
        <v>139</v>
      </c>
      <c r="O46" s="1"/>
      <c r="P46" s="1"/>
      <c r="Q46" s="1"/>
      <c r="R46" s="1"/>
      <c r="S46" s="1"/>
      <c r="T46" s="1"/>
      <c r="Z46" s="0" t="n">
        <f aca="false">I46-8</f>
        <v>316</v>
      </c>
      <c r="AB46" s="0" t="n">
        <f aca="false">IF(Z46&lt;0,Z46+360,Z46+0)</f>
        <v>316</v>
      </c>
    </row>
    <row r="47" customFormat="false" ht="15.8" hidden="false" customHeight="false" outlineLevel="0" collapsed="false">
      <c r="A47" s="1" t="n">
        <v>3</v>
      </c>
      <c r="B47" s="1" t="n">
        <v>5</v>
      </c>
      <c r="C47" s="1" t="n">
        <v>2.7</v>
      </c>
      <c r="D47" s="1" t="n">
        <v>1.1286</v>
      </c>
      <c r="E47" s="1" t="n">
        <v>0.0962568</v>
      </c>
      <c r="F47" s="1" t="n">
        <v>0.000276674</v>
      </c>
      <c r="G47" s="1" t="s">
        <v>42</v>
      </c>
      <c r="H47" s="1" t="n">
        <v>39.1</v>
      </c>
      <c r="I47" s="1" t="n">
        <v>355.8</v>
      </c>
      <c r="J47" s="1" t="n">
        <v>-9.5</v>
      </c>
      <c r="K47" s="1" t="n">
        <v>99.8</v>
      </c>
      <c r="L47" s="1" t="n">
        <v>0</v>
      </c>
      <c r="M47" s="1" t="n">
        <v>0</v>
      </c>
      <c r="N47" s="1" t="s">
        <v>136</v>
      </c>
      <c r="O47" s="1"/>
      <c r="P47" s="1"/>
      <c r="Q47" s="1"/>
      <c r="R47" s="1"/>
      <c r="S47" s="1"/>
      <c r="T47" s="1"/>
      <c r="Z47" s="0" t="n">
        <f aca="false">I47-8</f>
        <v>347.8</v>
      </c>
      <c r="AB47" s="0" t="n">
        <f aca="false">IF(Z47&lt;0,Z47+360,Z47+0)</f>
        <v>347.8</v>
      </c>
    </row>
    <row r="48" customFormat="false" ht="15.8" hidden="false" customHeight="false" outlineLevel="0" collapsed="false">
      <c r="A48" s="1" t="n">
        <v>3</v>
      </c>
      <c r="B48" s="1" t="n">
        <v>4</v>
      </c>
      <c r="C48" s="1" t="n">
        <v>2</v>
      </c>
      <c r="D48" s="1" t="n">
        <v>1.2288</v>
      </c>
      <c r="E48" s="1" t="n">
        <v>0.0711044</v>
      </c>
      <c r="F48" s="1" t="n">
        <v>0.000204378</v>
      </c>
      <c r="G48" s="1" t="s">
        <v>42</v>
      </c>
      <c r="H48" s="1" t="n">
        <v>95.3</v>
      </c>
      <c r="I48" s="1" t="n">
        <v>9.1</v>
      </c>
      <c r="J48" s="1" t="n">
        <v>-46.9</v>
      </c>
      <c r="K48" s="1" t="n">
        <v>54.9</v>
      </c>
      <c r="L48" s="1" t="n">
        <v>0</v>
      </c>
      <c r="M48" s="1" t="n">
        <v>0</v>
      </c>
      <c r="N48" s="1" t="s">
        <v>134</v>
      </c>
      <c r="O48" s="1"/>
      <c r="P48" s="1"/>
      <c r="Q48" s="1"/>
      <c r="R48" s="1"/>
      <c r="S48" s="1"/>
      <c r="T48" s="1"/>
      <c r="Z48" s="0" t="n">
        <f aca="false">I48-8</f>
        <v>1.1</v>
      </c>
      <c r="AB48" s="0" t="n">
        <f aca="false">IF(Z48&lt;0,Z48+360,Z48+0)</f>
        <v>1.1</v>
      </c>
    </row>
    <row r="49" customFormat="false" ht="15.8" hidden="false" customHeight="false" outlineLevel="0" collapsed="false">
      <c r="A49" s="1" t="n">
        <v>3</v>
      </c>
      <c r="B49" s="1" t="n">
        <v>3</v>
      </c>
      <c r="C49" s="1" t="n">
        <v>2.7</v>
      </c>
      <c r="D49" s="1" t="n">
        <v>1.1602</v>
      </c>
      <c r="E49" s="1" t="n">
        <v>0.099215</v>
      </c>
      <c r="F49" s="1" t="n">
        <v>0.000285177</v>
      </c>
      <c r="G49" s="1" t="s">
        <v>42</v>
      </c>
      <c r="H49" s="1" t="n">
        <v>37.5</v>
      </c>
      <c r="I49" s="1" t="n">
        <v>130.1</v>
      </c>
      <c r="J49" s="1" t="n">
        <v>-19.2</v>
      </c>
      <c r="K49" s="1" t="n">
        <v>95.3</v>
      </c>
      <c r="L49" s="1" t="n">
        <v>0</v>
      </c>
      <c r="M49" s="1" t="n">
        <v>0</v>
      </c>
      <c r="N49" s="1" t="s">
        <v>140</v>
      </c>
      <c r="O49" s="1"/>
      <c r="P49" s="1"/>
      <c r="Q49" s="1"/>
      <c r="R49" s="1"/>
      <c r="S49" s="1"/>
      <c r="T49" s="1"/>
      <c r="Z49" s="0" t="n">
        <f aca="false">I49-8</f>
        <v>122.1</v>
      </c>
      <c r="AB49" s="0" t="n">
        <f aca="false">IF(Z49&lt;0,Z49+360,Z49+0)</f>
        <v>122.1</v>
      </c>
    </row>
    <row r="50" customFormat="false" ht="15.8" hidden="false" customHeight="false" outlineLevel="0" collapsed="false">
      <c r="A50" s="1" t="n">
        <v>3</v>
      </c>
      <c r="B50" s="1" t="n">
        <v>9</v>
      </c>
      <c r="C50" s="1" t="n">
        <v>4.4</v>
      </c>
      <c r="D50" s="1" t="n">
        <v>1.0845</v>
      </c>
      <c r="E50" s="1" t="n">
        <v>0.159992</v>
      </c>
      <c r="F50" s="1" t="n">
        <v>0.00045987</v>
      </c>
      <c r="G50" s="1" t="s">
        <v>27</v>
      </c>
      <c r="H50" s="1" t="n">
        <v>79</v>
      </c>
      <c r="I50" s="1" t="n">
        <v>170.7</v>
      </c>
      <c r="J50" s="1" t="n">
        <v>5.5</v>
      </c>
      <c r="K50" s="1"/>
      <c r="L50" s="1" t="n">
        <v>0</v>
      </c>
      <c r="M50" s="1" t="n">
        <v>0</v>
      </c>
      <c r="N50" s="1" t="s">
        <v>141</v>
      </c>
      <c r="O50" s="1"/>
      <c r="P50" s="1"/>
      <c r="Q50" s="1"/>
      <c r="R50" s="1"/>
      <c r="S50" s="1"/>
      <c r="T50" s="1"/>
      <c r="Z50" s="0" t="n">
        <f aca="false">I50-8</f>
        <v>162.7</v>
      </c>
      <c r="AB50" s="0" t="n">
        <f aca="false">IF(Z50&lt;0,Z50+360,Z50+0)</f>
        <v>162.7</v>
      </c>
    </row>
    <row r="51" customFormat="false" ht="15.8" hidden="false" customHeight="false" outlineLevel="0" collapsed="false">
      <c r="A51" s="1" t="n">
        <v>3</v>
      </c>
      <c r="B51" s="1" t="n">
        <v>9</v>
      </c>
      <c r="C51" s="1" t="n">
        <v>3.1</v>
      </c>
      <c r="D51" s="1" t="n">
        <v>1.1725</v>
      </c>
      <c r="E51" s="1" t="n">
        <v>0.113369</v>
      </c>
      <c r="F51" s="1" t="n">
        <v>0.000325862</v>
      </c>
      <c r="G51" s="1" t="s">
        <v>27</v>
      </c>
      <c r="H51" s="1" t="n">
        <v>54.1</v>
      </c>
      <c r="I51" s="1" t="n">
        <v>300.2</v>
      </c>
      <c r="J51" s="1" t="n">
        <v>-8.4</v>
      </c>
      <c r="K51" s="1"/>
      <c r="L51" s="1" t="n">
        <v>0</v>
      </c>
      <c r="M51" s="1" t="n">
        <v>0</v>
      </c>
      <c r="N51" s="1" t="s">
        <v>141</v>
      </c>
      <c r="O51" s="1"/>
      <c r="P51" s="1"/>
      <c r="Q51" s="1"/>
      <c r="R51" s="1"/>
      <c r="S51" s="1"/>
      <c r="T51" s="1"/>
      <c r="Z51" s="0" t="n">
        <f aca="false">I51-8</f>
        <v>292.2</v>
      </c>
      <c r="AB51" s="0" t="n">
        <f aca="false">IF(Z51&lt;0,Z51+360,Z51+0)</f>
        <v>292.2</v>
      </c>
    </row>
    <row r="52" customFormat="false" ht="15.8" hidden="false" customHeight="false" outlineLevel="0" collapsed="false">
      <c r="A52" s="1" t="n">
        <v>3</v>
      </c>
      <c r="B52" s="1" t="n">
        <v>8</v>
      </c>
      <c r="C52" s="1" t="n">
        <v>1.9</v>
      </c>
      <c r="D52" s="1" t="n">
        <v>1.2292</v>
      </c>
      <c r="E52" s="1" t="n">
        <v>0.070294</v>
      </c>
      <c r="F52" s="1" t="n">
        <v>0.000202049</v>
      </c>
      <c r="G52" s="1" t="s">
        <v>42</v>
      </c>
      <c r="H52" s="1" t="n">
        <v>31.9</v>
      </c>
      <c r="I52" s="1" t="n">
        <v>250.8</v>
      </c>
      <c r="J52" s="1" t="n">
        <v>14.3</v>
      </c>
      <c r="K52" s="1" t="n">
        <v>79</v>
      </c>
      <c r="L52" s="1" t="n">
        <v>0</v>
      </c>
      <c r="M52" s="1" t="n">
        <v>0</v>
      </c>
      <c r="N52" s="1" t="s">
        <v>142</v>
      </c>
      <c r="O52" s="1"/>
      <c r="P52" s="1"/>
      <c r="Q52" s="1"/>
      <c r="R52" s="1"/>
      <c r="S52" s="1"/>
      <c r="T52" s="1"/>
      <c r="Z52" s="0" t="n">
        <f aca="false">I52-8</f>
        <v>242.8</v>
      </c>
      <c r="AB52" s="0" t="n">
        <f aca="false">IF(Z52&lt;0,Z52+360,Z52+0)</f>
        <v>242.8</v>
      </c>
    </row>
    <row r="53" customFormat="false" ht="15.8" hidden="false" customHeight="false" outlineLevel="0" collapsed="false">
      <c r="A53" s="1" t="n">
        <v>3</v>
      </c>
      <c r="B53" s="1" t="n">
        <v>9</v>
      </c>
      <c r="C53" s="1" t="n">
        <v>1.2</v>
      </c>
      <c r="D53" s="1" t="n">
        <v>1.0014</v>
      </c>
      <c r="E53" s="1" t="n">
        <v>0.04335</v>
      </c>
      <c r="F53" s="1" t="n">
        <v>0.000124603</v>
      </c>
      <c r="G53" s="1" t="s">
        <v>27</v>
      </c>
      <c r="H53" s="1" t="n">
        <v>59</v>
      </c>
      <c r="I53" s="1" t="n">
        <v>176.1</v>
      </c>
      <c r="J53" s="1" t="n">
        <v>0</v>
      </c>
      <c r="K53" s="1"/>
      <c r="L53" s="1" t="n">
        <v>0</v>
      </c>
      <c r="M53" s="1" t="n">
        <v>0</v>
      </c>
      <c r="N53" s="1" t="s">
        <v>143</v>
      </c>
      <c r="O53" s="1"/>
      <c r="P53" s="1"/>
      <c r="Q53" s="1"/>
      <c r="R53" s="1"/>
      <c r="S53" s="1"/>
      <c r="T53" s="1"/>
      <c r="Z53" s="0" t="n">
        <f aca="false">I53-8</f>
        <v>168.1</v>
      </c>
      <c r="AB53" s="0" t="n">
        <f aca="false">IF(Z53&lt;0,Z53+360,Z53+0)</f>
        <v>168.1</v>
      </c>
    </row>
    <row r="54" customFormat="false" ht="15.8" hidden="false" customHeight="false" outlineLevel="0" collapsed="false">
      <c r="A54" s="1" t="n">
        <v>3</v>
      </c>
      <c r="B54" s="1" t="n">
        <v>9</v>
      </c>
      <c r="C54" s="1" t="n">
        <v>1</v>
      </c>
      <c r="D54" s="1" t="n">
        <v>1.0193</v>
      </c>
      <c r="E54" s="1" t="n">
        <v>0.0377114</v>
      </c>
      <c r="F54" s="1" t="n">
        <v>0.000108395</v>
      </c>
      <c r="G54" s="1" t="s">
        <v>27</v>
      </c>
      <c r="H54" s="1" t="n">
        <v>120.6</v>
      </c>
      <c r="I54" s="1" t="n">
        <v>357.4</v>
      </c>
      <c r="J54" s="1" t="n">
        <v>0</v>
      </c>
      <c r="K54" s="1"/>
      <c r="L54" s="1" t="n">
        <v>0</v>
      </c>
      <c r="M54" s="1" t="n">
        <v>0</v>
      </c>
      <c r="N54" s="1" t="s">
        <v>143</v>
      </c>
      <c r="O54" s="1"/>
      <c r="P54" s="1"/>
      <c r="Q54" s="1"/>
      <c r="R54" s="1"/>
      <c r="S54" s="1"/>
      <c r="T54" s="1"/>
      <c r="Z54" s="0" t="n">
        <f aca="false">I54-8</f>
        <v>349.4</v>
      </c>
      <c r="AB54" s="0" t="n">
        <f aca="false">IF(Z54&lt;0,Z54+360,Z54+0)</f>
        <v>349.4</v>
      </c>
    </row>
    <row r="55" customFormat="false" ht="15.8" hidden="false" customHeight="false" outlineLevel="0" collapsed="false">
      <c r="A55" s="1" t="n">
        <v>3</v>
      </c>
      <c r="B55" s="1" t="n">
        <v>8</v>
      </c>
      <c r="C55" s="1" t="n">
        <v>4.9</v>
      </c>
      <c r="D55" s="1" t="n">
        <v>1.2635</v>
      </c>
      <c r="E55" s="1" t="n">
        <v>0.175938</v>
      </c>
      <c r="F55" s="1" t="n">
        <v>0.000505703</v>
      </c>
      <c r="G55" s="1" t="s">
        <v>42</v>
      </c>
      <c r="H55" s="1" t="n">
        <v>58.5</v>
      </c>
      <c r="I55" s="1" t="n">
        <v>147.4</v>
      </c>
      <c r="J55" s="1" t="n">
        <v>54</v>
      </c>
      <c r="K55" s="1" t="n">
        <v>120.6</v>
      </c>
      <c r="L55" s="1" t="n">
        <v>0</v>
      </c>
      <c r="M55" s="1" t="n">
        <v>0</v>
      </c>
      <c r="N55" s="1" t="s">
        <v>142</v>
      </c>
      <c r="O55" s="1"/>
      <c r="P55" s="1"/>
      <c r="Q55" s="1"/>
      <c r="R55" s="1"/>
      <c r="S55" s="1"/>
      <c r="T55" s="1"/>
      <c r="Z55" s="0" t="n">
        <f aca="false">I55-8</f>
        <v>139.4</v>
      </c>
      <c r="AB55" s="0" t="n">
        <f aca="false">IF(Z55&lt;0,Z55+360,Z55+0)</f>
        <v>139.4</v>
      </c>
    </row>
    <row r="56" customFormat="false" ht="15.8" hidden="false" customHeight="false" outlineLevel="0" collapsed="false">
      <c r="A56" s="1" t="n">
        <v>3</v>
      </c>
      <c r="B56" s="1" t="n">
        <v>7</v>
      </c>
      <c r="C56" s="1" t="n">
        <v>2.1</v>
      </c>
      <c r="D56" s="1" t="n">
        <v>1.1803</v>
      </c>
      <c r="E56" s="1" t="n">
        <v>0.0753324</v>
      </c>
      <c r="F56" s="1" t="n">
        <v>0.00021653</v>
      </c>
      <c r="G56" s="1" t="s">
        <v>42</v>
      </c>
      <c r="H56" s="1" t="n">
        <v>38.5</v>
      </c>
      <c r="I56" s="1" t="n">
        <v>219.1</v>
      </c>
      <c r="J56" s="1" t="n">
        <v>26.2</v>
      </c>
      <c r="K56" s="1" t="n">
        <v>58.5</v>
      </c>
      <c r="L56" s="1" t="n">
        <v>0</v>
      </c>
      <c r="M56" s="1" t="n">
        <v>0</v>
      </c>
      <c r="N56" s="1" t="s">
        <v>144</v>
      </c>
      <c r="O56" s="1"/>
      <c r="P56" s="1"/>
      <c r="Q56" s="1"/>
      <c r="R56" s="1"/>
      <c r="S56" s="1"/>
      <c r="T56" s="1"/>
      <c r="Z56" s="0" t="n">
        <f aca="false">I56-8</f>
        <v>211.1</v>
      </c>
      <c r="AB56" s="0" t="n">
        <f aca="false">IF(Z56&lt;0,Z56+360,Z56+0)</f>
        <v>211.1</v>
      </c>
    </row>
    <row r="57" customFormat="false" ht="15.8" hidden="false" customHeight="false" outlineLevel="0" collapsed="false">
      <c r="A57" s="1" t="n">
        <v>3</v>
      </c>
      <c r="B57" s="1" t="n">
        <v>10</v>
      </c>
      <c r="C57" s="1" t="n">
        <v>2.8</v>
      </c>
      <c r="D57" s="1" t="n">
        <v>1.1715</v>
      </c>
      <c r="E57" s="1" t="n">
        <v>0.0998433</v>
      </c>
      <c r="F57" s="1" t="n">
        <v>0.000286983</v>
      </c>
      <c r="G57" s="1" t="s">
        <v>27</v>
      </c>
      <c r="H57" s="1" t="n">
        <v>51</v>
      </c>
      <c r="I57" s="1" t="n">
        <v>337.5</v>
      </c>
      <c r="J57" s="1" t="n">
        <v>-19.3</v>
      </c>
      <c r="K57" s="1"/>
      <c r="L57" s="1" t="n">
        <v>0</v>
      </c>
      <c r="M57" s="1" t="n">
        <v>0</v>
      </c>
      <c r="N57" s="1" t="s">
        <v>145</v>
      </c>
      <c r="O57" s="1"/>
      <c r="P57" s="1"/>
      <c r="Q57" s="1"/>
      <c r="R57" s="1"/>
      <c r="S57" s="1"/>
      <c r="T57" s="1"/>
      <c r="Z57" s="0" t="n">
        <f aca="false">I57-8</f>
        <v>329.5</v>
      </c>
      <c r="AB57" s="0" t="n">
        <f aca="false">IF(Z57&lt;0,Z57+360,Z57+0)</f>
        <v>329.5</v>
      </c>
    </row>
    <row r="58" customFormat="false" ht="15.8" hidden="false" customHeight="false" outlineLevel="0" collapsed="false">
      <c r="A58" s="1" t="n">
        <v>3</v>
      </c>
      <c r="B58" s="1" t="n">
        <v>10</v>
      </c>
      <c r="C58" s="1" t="n">
        <v>3.4</v>
      </c>
      <c r="D58" s="1" t="n">
        <v>1.0241</v>
      </c>
      <c r="E58" s="1" t="n">
        <v>0.121631</v>
      </c>
      <c r="F58" s="1" t="n">
        <v>0.000349609</v>
      </c>
      <c r="G58" s="1" t="s">
        <v>27</v>
      </c>
      <c r="H58" s="1" t="n">
        <v>100.4</v>
      </c>
      <c r="I58" s="1" t="n">
        <v>180.4</v>
      </c>
      <c r="J58" s="1" t="n">
        <v>0</v>
      </c>
      <c r="K58" s="1"/>
      <c r="L58" s="1" t="n">
        <v>0</v>
      </c>
      <c r="M58" s="1" t="n">
        <v>0</v>
      </c>
      <c r="N58" s="1" t="s">
        <v>145</v>
      </c>
      <c r="O58" s="1"/>
      <c r="P58" s="1"/>
      <c r="Q58" s="1"/>
      <c r="R58" s="1"/>
      <c r="S58" s="1"/>
      <c r="T58" s="1"/>
      <c r="Z58" s="0" t="n">
        <f aca="false">I58-8</f>
        <v>172.4</v>
      </c>
      <c r="AB58" s="0" t="n">
        <f aca="false">IF(Z58&lt;0,Z58+360,Z58+0)</f>
        <v>172.4</v>
      </c>
    </row>
    <row r="59" customFormat="false" ht="15.8" hidden="false" customHeight="false" outlineLevel="0" collapsed="false">
      <c r="A59" s="1" t="n">
        <v>3</v>
      </c>
      <c r="B59" s="1" t="n">
        <v>9</v>
      </c>
      <c r="C59" s="1" t="n">
        <v>2.4</v>
      </c>
      <c r="D59" s="1" t="n">
        <v>1.2533</v>
      </c>
      <c r="E59" s="1" t="n">
        <v>0.0877057</v>
      </c>
      <c r="F59" s="1" t="n">
        <v>0.000252096</v>
      </c>
      <c r="G59" s="1" t="s">
        <v>42</v>
      </c>
      <c r="H59" s="1" t="n">
        <v>30.6</v>
      </c>
      <c r="I59" s="1" t="n">
        <v>288.1</v>
      </c>
      <c r="J59" s="1" t="n">
        <v>-53.6</v>
      </c>
      <c r="K59" s="1" t="n">
        <v>100.4</v>
      </c>
      <c r="L59" s="1" t="n">
        <v>0</v>
      </c>
      <c r="M59" s="1" t="n">
        <v>0</v>
      </c>
      <c r="N59" s="1" t="s">
        <v>146</v>
      </c>
      <c r="O59" s="1"/>
      <c r="P59" s="1"/>
      <c r="Q59" s="1"/>
      <c r="R59" s="1"/>
      <c r="S59" s="1"/>
      <c r="T59" s="1"/>
      <c r="Z59" s="0" t="n">
        <f aca="false">I59-8</f>
        <v>280.1</v>
      </c>
      <c r="AB59" s="0" t="n">
        <f aca="false">IF(Z59&lt;0,Z59+360,Z59+0)</f>
        <v>280.1</v>
      </c>
    </row>
    <row r="60" customFormat="false" ht="15.8" hidden="false" customHeight="false" outlineLevel="0" collapsed="false">
      <c r="A60" s="1" t="n">
        <v>3</v>
      </c>
      <c r="B60" s="1" t="n">
        <v>9</v>
      </c>
      <c r="C60" s="1" t="n">
        <v>4.7</v>
      </c>
      <c r="D60" s="1" t="n">
        <v>1.3029</v>
      </c>
      <c r="E60" s="1" t="n">
        <v>0.170943</v>
      </c>
      <c r="F60" s="1" t="n">
        <v>0.000491347</v>
      </c>
      <c r="G60" s="1" t="s">
        <v>27</v>
      </c>
      <c r="H60" s="1" t="n">
        <v>104</v>
      </c>
      <c r="I60" s="1" t="n">
        <v>144.6</v>
      </c>
      <c r="J60" s="1" t="n">
        <v>-6.2</v>
      </c>
      <c r="K60" s="1"/>
      <c r="L60" s="1" t="n">
        <v>0</v>
      </c>
      <c r="M60" s="1" t="n">
        <v>0</v>
      </c>
      <c r="N60" s="1" t="s">
        <v>146</v>
      </c>
      <c r="O60" s="1"/>
      <c r="P60" s="1"/>
      <c r="Q60" s="1"/>
      <c r="R60" s="1"/>
      <c r="S60" s="1"/>
      <c r="T60" s="1"/>
      <c r="Z60" s="0" t="n">
        <f aca="false">I60-8</f>
        <v>136.6</v>
      </c>
      <c r="AB60" s="0" t="n">
        <f aca="false">IF(Z60&lt;0,Z60+360,Z60+0)</f>
        <v>136.6</v>
      </c>
    </row>
    <row r="61" customFormat="false" ht="15.8" hidden="false" customHeight="false" outlineLevel="0" collapsed="false">
      <c r="A61" s="1" t="n">
        <v>3</v>
      </c>
      <c r="B61" s="1" t="n">
        <v>8</v>
      </c>
      <c r="C61" s="1" t="n">
        <v>1.8</v>
      </c>
      <c r="D61" s="1" t="n">
        <v>1.0691</v>
      </c>
      <c r="E61" s="1" t="n">
        <v>0.0648911</v>
      </c>
      <c r="F61" s="1" t="n">
        <v>0.000186519</v>
      </c>
      <c r="G61" s="1" t="s">
        <v>42</v>
      </c>
      <c r="H61" s="1" t="n">
        <v>62</v>
      </c>
      <c r="I61" s="1" t="n">
        <v>347.2</v>
      </c>
      <c r="J61" s="1" t="n">
        <v>-68.2</v>
      </c>
      <c r="K61" s="1" t="n">
        <v>104</v>
      </c>
      <c r="L61" s="1" t="n">
        <v>0</v>
      </c>
      <c r="M61" s="1" t="n">
        <v>0</v>
      </c>
      <c r="N61" s="1" t="s">
        <v>147</v>
      </c>
      <c r="O61" s="1"/>
      <c r="P61" s="1"/>
      <c r="Q61" s="1"/>
      <c r="R61" s="1"/>
      <c r="S61" s="1"/>
      <c r="T61" s="1"/>
      <c r="Z61" s="0" t="n">
        <f aca="false">I61-8</f>
        <v>339.2</v>
      </c>
      <c r="AB61" s="0" t="n">
        <f aca="false">IF(Z61&lt;0,Z61+360,Z61+0)</f>
        <v>339.2</v>
      </c>
    </row>
    <row r="62" customFormat="false" ht="15.8" hidden="false" customHeight="false" outlineLevel="0" collapsed="false">
      <c r="A62" s="1" t="n">
        <v>3</v>
      </c>
      <c r="B62" s="1" t="n">
        <v>8</v>
      </c>
      <c r="C62" s="1" t="n">
        <v>2.7</v>
      </c>
      <c r="D62" s="1" t="n">
        <v>1.4053</v>
      </c>
      <c r="E62" s="1" t="n">
        <v>0.0970628</v>
      </c>
      <c r="F62" s="1" t="n">
        <v>0.000278991</v>
      </c>
      <c r="G62" s="1" t="s">
        <v>27</v>
      </c>
      <c r="H62" s="1" t="n">
        <v>82</v>
      </c>
      <c r="I62" s="1" t="n">
        <v>64.5</v>
      </c>
      <c r="J62" s="1" t="n">
        <v>11.8</v>
      </c>
      <c r="K62" s="1"/>
      <c r="L62" s="1" t="n">
        <v>0</v>
      </c>
      <c r="M62" s="1" t="n">
        <v>0</v>
      </c>
      <c r="N62" s="1" t="s">
        <v>147</v>
      </c>
      <c r="O62" s="1"/>
      <c r="P62" s="1"/>
      <c r="Q62" s="1"/>
      <c r="R62" s="1"/>
      <c r="S62" s="1"/>
      <c r="T62" s="1"/>
      <c r="Z62" s="0" t="n">
        <f aca="false">I62-8</f>
        <v>56.5</v>
      </c>
      <c r="AB62" s="0" t="n">
        <f aca="false">IF(Z62&lt;0,Z62+360,Z62+0)</f>
        <v>56.5</v>
      </c>
    </row>
    <row r="63" customFormat="false" ht="15.8" hidden="false" customHeight="false" outlineLevel="0" collapsed="false">
      <c r="A63" s="1" t="n">
        <v>3</v>
      </c>
      <c r="B63" s="1" t="n">
        <v>7</v>
      </c>
      <c r="C63" s="1" t="n">
        <v>2.7</v>
      </c>
      <c r="D63" s="1" t="n">
        <v>1.2436</v>
      </c>
      <c r="E63" s="1" t="n">
        <v>0.096807</v>
      </c>
      <c r="F63" s="1" t="n">
        <v>0.000278256</v>
      </c>
      <c r="G63" s="1" t="s">
        <v>42</v>
      </c>
      <c r="H63" s="1" t="n">
        <v>71</v>
      </c>
      <c r="I63" s="1" t="n">
        <v>129.4</v>
      </c>
      <c r="J63" s="1" t="n">
        <v>-46.4</v>
      </c>
      <c r="K63" s="1" t="n">
        <v>82</v>
      </c>
      <c r="L63" s="1" t="n">
        <v>0</v>
      </c>
      <c r="M63" s="1" t="n">
        <v>0</v>
      </c>
      <c r="N63" s="1" t="s">
        <v>144</v>
      </c>
      <c r="O63" s="1"/>
      <c r="P63" s="1"/>
      <c r="Q63" s="1"/>
      <c r="R63" s="1"/>
      <c r="S63" s="1"/>
      <c r="T63" s="1"/>
      <c r="Z63" s="0" t="n">
        <f aca="false">I63-8</f>
        <v>121.4</v>
      </c>
      <c r="AB63" s="0" t="n">
        <f aca="false">IF(Z63&lt;0,Z63+360,Z63+0)</f>
        <v>121.4</v>
      </c>
    </row>
    <row r="64" customFormat="false" ht="15.8" hidden="false" customHeight="false" outlineLevel="0" collapsed="false">
      <c r="A64" s="1" t="n">
        <v>3</v>
      </c>
      <c r="B64" s="1" t="n">
        <v>6</v>
      </c>
      <c r="C64" s="1" t="n">
        <v>6</v>
      </c>
      <c r="D64" s="1" t="n">
        <v>1.1168</v>
      </c>
      <c r="E64" s="1" t="n">
        <v>0.216051</v>
      </c>
      <c r="F64" s="1" t="n">
        <v>0.000621003</v>
      </c>
      <c r="G64" s="1" t="s">
        <v>42</v>
      </c>
      <c r="H64" s="1" t="n">
        <v>103.4</v>
      </c>
      <c r="I64" s="1" t="n">
        <v>186.1</v>
      </c>
      <c r="J64" s="1" t="n">
        <v>4.2</v>
      </c>
      <c r="K64" s="1" t="n">
        <v>71</v>
      </c>
      <c r="L64" s="1" t="n">
        <v>0</v>
      </c>
      <c r="M64" s="1" t="n">
        <v>0</v>
      </c>
      <c r="N64" s="1" t="s">
        <v>148</v>
      </c>
      <c r="O64" s="1"/>
      <c r="P64" s="1"/>
      <c r="Q64" s="1"/>
      <c r="R64" s="1"/>
      <c r="S64" s="1"/>
      <c r="T64" s="1"/>
      <c r="Z64" s="0" t="n">
        <f aca="false">I64-8</f>
        <v>178.1</v>
      </c>
      <c r="AB64" s="0" t="n">
        <f aca="false">IF(Z64&lt;0,Z64+360,Z64+0)</f>
        <v>178.1</v>
      </c>
    </row>
    <row r="65" customFormat="false" ht="15.8" hidden="false" customHeight="false" outlineLevel="0" collapsed="false">
      <c r="A65" s="1" t="n">
        <v>3</v>
      </c>
      <c r="B65" s="1" t="n">
        <v>8</v>
      </c>
      <c r="C65" s="1" t="n">
        <v>3.8</v>
      </c>
      <c r="D65" s="1" t="n">
        <v>1.262</v>
      </c>
      <c r="E65" s="1" t="n">
        <v>0.13681</v>
      </c>
      <c r="F65" s="1" t="n">
        <v>0.000393236</v>
      </c>
      <c r="G65" s="1" t="s">
        <v>27</v>
      </c>
      <c r="H65" s="1" t="n">
        <v>32.5</v>
      </c>
      <c r="I65" s="1" t="n">
        <v>268.9</v>
      </c>
      <c r="J65" s="1" t="n">
        <v>0</v>
      </c>
      <c r="K65" s="1"/>
      <c r="L65" s="1" t="n">
        <v>0</v>
      </c>
      <c r="M65" s="1" t="n">
        <v>0</v>
      </c>
      <c r="N65" s="1" t="s">
        <v>149</v>
      </c>
      <c r="O65" s="1"/>
      <c r="P65" s="1"/>
      <c r="Q65" s="1"/>
      <c r="R65" s="1"/>
      <c r="S65" s="1"/>
      <c r="T65" s="1"/>
      <c r="Z65" s="0" t="n">
        <f aca="false">I65-8</f>
        <v>260.9</v>
      </c>
      <c r="AB65" s="0" t="n">
        <f aca="false">IF(Z65&lt;0,Z65+360,Z65+0)</f>
        <v>260.9</v>
      </c>
    </row>
    <row r="66" customFormat="false" ht="15.8" hidden="false" customHeight="false" outlineLevel="0" collapsed="false">
      <c r="A66" s="1" t="n">
        <v>3</v>
      </c>
      <c r="B66" s="1" t="n">
        <v>8</v>
      </c>
      <c r="C66" s="1" t="n">
        <v>0.7</v>
      </c>
      <c r="D66" s="1" t="n">
        <v>1.0333</v>
      </c>
      <c r="E66" s="1" t="n">
        <v>0.0256031</v>
      </c>
      <c r="F66" s="1" t="n">
        <v>7.35917E-005</v>
      </c>
      <c r="G66" s="1" t="s">
        <v>27</v>
      </c>
      <c r="H66" s="1" t="n">
        <v>70.9</v>
      </c>
      <c r="I66" s="1" t="n">
        <v>230.4</v>
      </c>
      <c r="J66" s="1" t="n">
        <v>0</v>
      </c>
      <c r="K66" s="1"/>
      <c r="L66" s="1" t="n">
        <v>0</v>
      </c>
      <c r="M66" s="1" t="n">
        <v>0</v>
      </c>
      <c r="N66" s="1" t="s">
        <v>149</v>
      </c>
      <c r="O66" s="1"/>
      <c r="P66" s="1"/>
      <c r="Q66" s="1"/>
      <c r="R66" s="1"/>
      <c r="S66" s="1"/>
      <c r="T66" s="1"/>
      <c r="Z66" s="0" t="n">
        <f aca="false">I66-8</f>
        <v>222.4</v>
      </c>
      <c r="AB66" s="0" t="n">
        <f aca="false">IF(Z66&lt;0,Z66+360,Z66+0)</f>
        <v>222.4</v>
      </c>
    </row>
    <row r="67" customFormat="false" ht="15.8" hidden="false" customHeight="false" outlineLevel="0" collapsed="false">
      <c r="A67" s="1" t="n">
        <v>3</v>
      </c>
      <c r="B67" s="1" t="n">
        <v>7</v>
      </c>
      <c r="C67" s="1" t="n">
        <v>1.5</v>
      </c>
      <c r="D67" s="1" t="n">
        <v>1.1033</v>
      </c>
      <c r="E67" s="1" t="n">
        <v>0.0536673</v>
      </c>
      <c r="F67" s="1" t="n">
        <v>0.000154258</v>
      </c>
      <c r="G67" s="1" t="s">
        <v>42</v>
      </c>
      <c r="H67" s="1" t="n">
        <v>20.1</v>
      </c>
      <c r="I67" s="1" t="n">
        <v>301.4</v>
      </c>
      <c r="J67" s="1" t="n">
        <v>0</v>
      </c>
      <c r="K67" s="1" t="n">
        <v>70.9</v>
      </c>
      <c r="L67" s="1" t="n">
        <v>0</v>
      </c>
      <c r="M67" s="1" t="n">
        <v>0</v>
      </c>
      <c r="N67" s="1" t="s">
        <v>150</v>
      </c>
      <c r="O67" s="1"/>
      <c r="P67" s="1"/>
      <c r="Q67" s="1"/>
      <c r="R67" s="1"/>
      <c r="S67" s="1"/>
      <c r="T67" s="1"/>
      <c r="Z67" s="0" t="n">
        <f aca="false">I67-8</f>
        <v>293.4</v>
      </c>
      <c r="AB67" s="0" t="n">
        <f aca="false">IF(Z67&lt;0,Z67+360,Z67+0)</f>
        <v>293.4</v>
      </c>
    </row>
    <row r="68" customFormat="false" ht="15.8" hidden="false" customHeight="false" outlineLevel="0" collapsed="false">
      <c r="A68" s="1" t="n">
        <v>3</v>
      </c>
      <c r="B68" s="1" t="n">
        <v>7</v>
      </c>
      <c r="C68" s="1" t="n">
        <v>0.6</v>
      </c>
      <c r="D68" s="1" t="n">
        <v>1.0006</v>
      </c>
      <c r="E68" s="1" t="n">
        <v>0.0224429</v>
      </c>
      <c r="F68" s="1" t="n">
        <v>6.45083E-005</v>
      </c>
      <c r="G68" s="1" t="s">
        <v>27</v>
      </c>
      <c r="H68" s="1" t="n">
        <v>122.2</v>
      </c>
      <c r="I68" s="1" t="n">
        <v>181.1</v>
      </c>
      <c r="J68" s="1" t="n">
        <v>0</v>
      </c>
      <c r="K68" s="1"/>
      <c r="L68" s="1" t="n">
        <v>0</v>
      </c>
      <c r="M68" s="1" t="n">
        <v>0</v>
      </c>
      <c r="N68" s="1" t="s">
        <v>150</v>
      </c>
      <c r="O68" s="1"/>
      <c r="P68" s="1"/>
      <c r="Q68" s="1"/>
      <c r="R68" s="1"/>
      <c r="S68" s="1"/>
      <c r="T68" s="1"/>
      <c r="Z68" s="0" t="n">
        <f aca="false">I68-8</f>
        <v>173.1</v>
      </c>
      <c r="AB68" s="0" t="n">
        <f aca="false">IF(Z68&lt;0,Z68+360,Z68+0)</f>
        <v>173.1</v>
      </c>
    </row>
    <row r="69" customFormat="false" ht="15.8" hidden="false" customHeight="false" outlineLevel="0" collapsed="false">
      <c r="A69" s="1" t="n">
        <v>3</v>
      </c>
      <c r="B69" s="1" t="n">
        <v>6</v>
      </c>
      <c r="C69" s="1" t="n">
        <v>1.4</v>
      </c>
      <c r="D69" s="1" t="n">
        <v>1.2208</v>
      </c>
      <c r="E69" s="1" t="n">
        <v>0.0509631</v>
      </c>
      <c r="F69" s="1" t="n">
        <v>0.000146485</v>
      </c>
      <c r="G69" s="1" t="s">
        <v>42</v>
      </c>
      <c r="H69" s="1" t="n">
        <v>25.2</v>
      </c>
      <c r="I69" s="1" t="n">
        <v>305.5</v>
      </c>
      <c r="J69" s="1" t="n">
        <v>19.7</v>
      </c>
      <c r="K69" s="1" t="n">
        <v>122.2</v>
      </c>
      <c r="L69" s="1" t="n">
        <v>0</v>
      </c>
      <c r="M69" s="1" t="n">
        <v>0</v>
      </c>
      <c r="N69" s="1" t="s">
        <v>148</v>
      </c>
      <c r="O69" s="1"/>
      <c r="P69" s="1"/>
      <c r="Q69" s="1"/>
      <c r="R69" s="1"/>
      <c r="S69" s="1"/>
      <c r="T69" s="1"/>
      <c r="Z69" s="0" t="n">
        <f aca="false">I69-8</f>
        <v>297.5</v>
      </c>
      <c r="AB69" s="0" t="n">
        <f aca="false">IF(Z69&lt;0,Z69+360,Z69+0)</f>
        <v>297.5</v>
      </c>
    </row>
    <row r="70" customFormat="false" ht="15.8" hidden="false" customHeight="false" outlineLevel="0" collapsed="false">
      <c r="A70" s="1" t="n">
        <v>3</v>
      </c>
      <c r="B70" s="1" t="n">
        <v>5</v>
      </c>
      <c r="C70" s="1" t="n">
        <v>1.6</v>
      </c>
      <c r="D70" s="1" t="n">
        <v>1.0501</v>
      </c>
      <c r="E70" s="1" t="n">
        <v>0.0563407</v>
      </c>
      <c r="F70" s="1" t="n">
        <v>0.000161942</v>
      </c>
      <c r="G70" s="1" t="s">
        <v>42</v>
      </c>
      <c r="H70" s="1" t="n">
        <v>44.4</v>
      </c>
      <c r="I70" s="1" t="n">
        <v>289.5</v>
      </c>
      <c r="J70" s="1" t="n">
        <v>0</v>
      </c>
      <c r="K70" s="1" t="n">
        <v>103.4</v>
      </c>
      <c r="L70" s="1" t="n">
        <v>0</v>
      </c>
      <c r="M70" s="1" t="n">
        <v>0</v>
      </c>
      <c r="N70" s="1" t="s">
        <v>151</v>
      </c>
      <c r="O70" s="1"/>
      <c r="P70" s="1"/>
      <c r="Q70" s="1"/>
      <c r="R70" s="1"/>
      <c r="S70" s="1"/>
      <c r="T70" s="1"/>
      <c r="Z70" s="0" t="n">
        <f aca="false">I70-8</f>
        <v>281.5</v>
      </c>
      <c r="AB70" s="0" t="n">
        <f aca="false">IF(Z70&lt;0,Z70+360,Z70+0)</f>
        <v>281.5</v>
      </c>
    </row>
    <row r="71" customFormat="false" ht="15.8" hidden="false" customHeight="false" outlineLevel="0" collapsed="false">
      <c r="A71" s="1" t="n">
        <v>3</v>
      </c>
      <c r="B71" s="1" t="n">
        <v>5</v>
      </c>
      <c r="C71" s="1" t="n">
        <v>1.7</v>
      </c>
      <c r="D71" s="1" t="n">
        <v>1.1994</v>
      </c>
      <c r="E71" s="1" t="n">
        <v>0.0601995</v>
      </c>
      <c r="F71" s="1" t="n">
        <v>0.000173034</v>
      </c>
      <c r="G71" s="1" t="s">
        <v>27</v>
      </c>
      <c r="H71" s="1" t="n">
        <v>100.2</v>
      </c>
      <c r="I71" s="1" t="n">
        <v>348.5</v>
      </c>
      <c r="J71" s="1" t="n">
        <v>34.1</v>
      </c>
      <c r="K71" s="1"/>
      <c r="L71" s="1" t="n">
        <v>0</v>
      </c>
      <c r="M71" s="1" t="n">
        <v>0</v>
      </c>
      <c r="N71" s="1" t="s">
        <v>151</v>
      </c>
      <c r="O71" s="1"/>
      <c r="P71" s="1"/>
      <c r="Q71" s="1"/>
      <c r="R71" s="1"/>
      <c r="S71" s="1"/>
      <c r="T71" s="1"/>
      <c r="Z71" s="0" t="n">
        <f aca="false">I71-8</f>
        <v>340.5</v>
      </c>
      <c r="AB71" s="0" t="n">
        <f aca="false">IF(Z71&lt;0,Z71+360,Z71+0)</f>
        <v>340.5</v>
      </c>
    </row>
    <row r="72" customFormat="false" ht="15.8" hidden="false" customHeight="false" outlineLevel="0" collapsed="false">
      <c r="A72" s="1" t="n">
        <v>3</v>
      </c>
      <c r="B72" s="1" t="n">
        <v>6</v>
      </c>
      <c r="C72" s="1" t="n">
        <v>1</v>
      </c>
      <c r="D72" s="1" t="n">
        <v>1.0028</v>
      </c>
      <c r="E72" s="1" t="n">
        <v>0.0379077</v>
      </c>
      <c r="F72" s="1" t="n">
        <v>0.000108959</v>
      </c>
      <c r="G72" s="1" t="s">
        <v>27</v>
      </c>
      <c r="H72" s="1" t="n">
        <v>115.4</v>
      </c>
      <c r="I72" s="1" t="n">
        <v>305.6</v>
      </c>
      <c r="J72" s="1" t="n">
        <v>0</v>
      </c>
      <c r="K72" s="1"/>
      <c r="L72" s="1" t="n">
        <v>0</v>
      </c>
      <c r="M72" s="1" t="n">
        <v>0</v>
      </c>
      <c r="N72" s="1" t="s">
        <v>152</v>
      </c>
      <c r="O72" s="1"/>
      <c r="P72" s="1"/>
      <c r="Q72" s="1"/>
      <c r="R72" s="1"/>
      <c r="S72" s="1"/>
      <c r="T72" s="1"/>
      <c r="Z72" s="0" t="n">
        <f aca="false">I72-8</f>
        <v>297.6</v>
      </c>
      <c r="AB72" s="0" t="n">
        <f aca="false">IF(Z72&lt;0,Z72+360,Z72+0)</f>
        <v>297.6</v>
      </c>
    </row>
    <row r="73" customFormat="false" ht="15.8" hidden="false" customHeight="false" outlineLevel="0" collapsed="false">
      <c r="A73" s="1" t="n">
        <v>3</v>
      </c>
      <c r="B73" s="1" t="n">
        <v>6</v>
      </c>
      <c r="C73" s="1" t="n">
        <v>1.9</v>
      </c>
      <c r="D73" s="1" t="n">
        <v>1.1801</v>
      </c>
      <c r="E73" s="1" t="n">
        <v>0.0685615</v>
      </c>
      <c r="F73" s="1" t="n">
        <v>0.000197069</v>
      </c>
      <c r="G73" s="1" t="s">
        <v>27</v>
      </c>
      <c r="H73" s="1" t="n">
        <v>30.1</v>
      </c>
      <c r="I73" s="1" t="n">
        <v>163.3</v>
      </c>
      <c r="J73" s="1" t="n">
        <v>-14</v>
      </c>
      <c r="K73" s="1"/>
      <c r="L73" s="1" t="n">
        <v>0</v>
      </c>
      <c r="M73" s="1" t="n">
        <v>0</v>
      </c>
      <c r="N73" s="1" t="s">
        <v>152</v>
      </c>
      <c r="O73" s="1"/>
      <c r="P73" s="1"/>
      <c r="Q73" s="1"/>
      <c r="R73" s="1"/>
      <c r="S73" s="1"/>
      <c r="T73" s="1"/>
      <c r="Z73" s="0" t="n">
        <f aca="false">I73-8</f>
        <v>155.3</v>
      </c>
      <c r="AB73" s="0" t="n">
        <f aca="false">IF(Z73&lt;0,Z73+360,Z73+0)</f>
        <v>155.3</v>
      </c>
    </row>
    <row r="74" customFormat="false" ht="15.8" hidden="false" customHeight="false" outlineLevel="0" collapsed="false">
      <c r="A74" s="1" t="n">
        <v>3</v>
      </c>
      <c r="B74" s="1" t="n">
        <v>5</v>
      </c>
      <c r="C74" s="1" t="n">
        <v>1.4</v>
      </c>
      <c r="D74" s="1" t="n">
        <v>1.0829</v>
      </c>
      <c r="E74" s="1" t="n">
        <v>0.052048</v>
      </c>
      <c r="F74" s="1" t="n">
        <v>0.000149604</v>
      </c>
      <c r="G74" s="1" t="s">
        <v>42</v>
      </c>
      <c r="H74" s="1" t="n">
        <v>88.8</v>
      </c>
      <c r="I74" s="1" t="n">
        <v>190.2</v>
      </c>
      <c r="J74" s="1" t="n">
        <v>0</v>
      </c>
      <c r="K74" s="1" t="n">
        <v>115.4</v>
      </c>
      <c r="L74" s="1" t="n">
        <v>0</v>
      </c>
      <c r="M74" s="1" t="n">
        <v>0</v>
      </c>
      <c r="N74" s="1" t="s">
        <v>151</v>
      </c>
      <c r="O74" s="1"/>
      <c r="P74" s="1"/>
      <c r="Q74" s="1"/>
      <c r="R74" s="1"/>
      <c r="S74" s="1"/>
      <c r="T74" s="1"/>
      <c r="Z74" s="0" t="n">
        <f aca="false">I74-8</f>
        <v>182.2</v>
      </c>
      <c r="AB74" s="0" t="n">
        <f aca="false">IF(Z74&lt;0,Z74+360,Z74+0)</f>
        <v>182.2</v>
      </c>
    </row>
    <row r="75" customFormat="false" ht="15.8" hidden="false" customHeight="false" outlineLevel="0" collapsed="false">
      <c r="A75" s="1" t="n">
        <v>3</v>
      </c>
      <c r="B75" s="1" t="n">
        <v>4</v>
      </c>
      <c r="C75" s="1" t="n">
        <v>5</v>
      </c>
      <c r="D75" s="1" t="n">
        <v>1.7659</v>
      </c>
      <c r="E75" s="1" t="n">
        <v>0.181391</v>
      </c>
      <c r="F75" s="1" t="n">
        <v>0.000521378</v>
      </c>
      <c r="G75" s="1" t="s">
        <v>42</v>
      </c>
      <c r="H75" s="1" t="n">
        <v>39.7</v>
      </c>
      <c r="I75" s="1" t="n">
        <v>278.6</v>
      </c>
      <c r="J75" s="1" t="n">
        <v>-43.3</v>
      </c>
      <c r="K75" s="1" t="n">
        <v>100.2</v>
      </c>
      <c r="L75" s="1" t="n">
        <v>0</v>
      </c>
      <c r="M75" s="1" t="n">
        <v>0</v>
      </c>
      <c r="N75" s="1" t="s">
        <v>153</v>
      </c>
      <c r="O75" s="1"/>
      <c r="P75" s="1"/>
      <c r="Q75" s="1"/>
      <c r="R75" s="1"/>
      <c r="S75" s="1"/>
      <c r="T75" s="1"/>
      <c r="Z75" s="0" t="n">
        <f aca="false">I75-8</f>
        <v>270.6</v>
      </c>
      <c r="AB75" s="0" t="n">
        <f aca="false">IF(Z75&lt;0,Z75+360,Z75+0)</f>
        <v>270.6</v>
      </c>
    </row>
    <row r="76" customFormat="false" ht="15.8" hidden="false" customHeight="false" outlineLevel="0" collapsed="false">
      <c r="A76" s="1" t="n">
        <v>3</v>
      </c>
      <c r="B76" s="1" t="n">
        <v>4</v>
      </c>
      <c r="C76" s="1" t="n">
        <v>1</v>
      </c>
      <c r="D76" s="1" t="n">
        <v>1.0067</v>
      </c>
      <c r="E76" s="1" t="n">
        <v>0.0352152</v>
      </c>
      <c r="F76" s="1" t="n">
        <v>0.00010122</v>
      </c>
      <c r="G76" s="1" t="s">
        <v>27</v>
      </c>
      <c r="H76" s="1" t="n">
        <v>87.7</v>
      </c>
      <c r="I76" s="1" t="n">
        <v>141.5</v>
      </c>
      <c r="J76" s="1" t="n">
        <v>0</v>
      </c>
      <c r="K76" s="1"/>
      <c r="L76" s="1" t="n">
        <v>0</v>
      </c>
      <c r="M76" s="1" t="n">
        <v>0</v>
      </c>
      <c r="N76" s="1" t="s">
        <v>153</v>
      </c>
      <c r="O76" s="1"/>
      <c r="P76" s="1"/>
      <c r="Q76" s="1"/>
      <c r="R76" s="1"/>
      <c r="S76" s="1"/>
      <c r="T76" s="1"/>
      <c r="Z76" s="0" t="n">
        <f aca="false">I76-8</f>
        <v>133.5</v>
      </c>
      <c r="AB76" s="0" t="n">
        <f aca="false">IF(Z76&lt;0,Z76+360,Z76+0)</f>
        <v>133.5</v>
      </c>
    </row>
    <row r="77" customFormat="false" ht="15.8" hidden="false" customHeight="false" outlineLevel="0" collapsed="false">
      <c r="A77" s="1" t="n">
        <v>3</v>
      </c>
      <c r="B77" s="1" t="n">
        <v>4</v>
      </c>
      <c r="C77" s="1" t="n">
        <v>9.4</v>
      </c>
      <c r="D77" s="1" t="n">
        <v>1.2431</v>
      </c>
      <c r="E77" s="1" t="n">
        <v>0.338051</v>
      </c>
      <c r="F77" s="1" t="n">
        <v>0.000971671</v>
      </c>
      <c r="G77" s="1" t="s">
        <v>27</v>
      </c>
      <c r="H77" s="1" t="n">
        <v>62.2</v>
      </c>
      <c r="I77" s="1" t="n">
        <v>168.4</v>
      </c>
      <c r="J77" s="1" t="n">
        <v>-5.9</v>
      </c>
      <c r="K77" s="1"/>
      <c r="L77" s="1" t="n">
        <v>0</v>
      </c>
      <c r="M77" s="1" t="n">
        <v>0</v>
      </c>
      <c r="N77" s="1" t="s">
        <v>153</v>
      </c>
      <c r="O77" s="1"/>
      <c r="P77" s="1"/>
      <c r="Q77" s="1"/>
      <c r="R77" s="1"/>
      <c r="S77" s="1"/>
      <c r="T77" s="1"/>
      <c r="Z77" s="0" t="n">
        <f aca="false">I77-8</f>
        <v>160.4</v>
      </c>
      <c r="AB77" s="0" t="n">
        <f aca="false">IF(Z77&lt;0,Z77+360,Z77+0)</f>
        <v>160.4</v>
      </c>
    </row>
    <row r="78" customFormat="false" ht="15.8" hidden="false" customHeight="false" outlineLevel="0" collapsed="false">
      <c r="A78" s="1" t="n">
        <v>3</v>
      </c>
      <c r="B78" s="1" t="n">
        <v>3</v>
      </c>
      <c r="C78" s="1" t="n">
        <v>2.6</v>
      </c>
      <c r="D78" s="1" t="n">
        <v>1.2382</v>
      </c>
      <c r="E78" s="1" t="n">
        <v>0.0945128</v>
      </c>
      <c r="F78" s="1" t="n">
        <v>0.000271661</v>
      </c>
      <c r="G78" s="1" t="s">
        <v>42</v>
      </c>
      <c r="H78" s="1" t="n">
        <v>60.3</v>
      </c>
      <c r="I78" s="1" t="n">
        <v>228.7</v>
      </c>
      <c r="J78" s="1" t="n">
        <v>-33.6</v>
      </c>
      <c r="K78" s="1" t="n">
        <v>87.7</v>
      </c>
      <c r="L78" s="1" t="n">
        <v>0</v>
      </c>
      <c r="M78" s="1" t="n">
        <v>0</v>
      </c>
      <c r="N78" s="1" t="s">
        <v>140</v>
      </c>
      <c r="O78" s="1"/>
      <c r="P78" s="1"/>
      <c r="Q78" s="1"/>
      <c r="R78" s="1"/>
      <c r="S78" s="1"/>
      <c r="T78" s="1"/>
      <c r="Z78" s="0" t="n">
        <f aca="false">I78-8</f>
        <v>220.7</v>
      </c>
      <c r="AB78" s="0" t="n">
        <f aca="false">IF(Z78&lt;0,Z78+360,Z78+0)</f>
        <v>220.7</v>
      </c>
    </row>
    <row r="79" customFormat="false" ht="15.8" hidden="false" customHeight="false" outlineLevel="0" collapsed="false">
      <c r="A79" s="1" t="n">
        <v>3</v>
      </c>
      <c r="B79" s="1" t="n">
        <v>6</v>
      </c>
      <c r="C79" s="1" t="n">
        <v>8.8</v>
      </c>
      <c r="D79" s="1" t="n">
        <v>1.2123</v>
      </c>
      <c r="E79" s="1" t="n">
        <v>0.31917</v>
      </c>
      <c r="F79" s="1" t="n">
        <v>0.000917402</v>
      </c>
      <c r="G79" s="1" t="s">
        <v>27</v>
      </c>
      <c r="H79" s="1" t="n">
        <v>118.4</v>
      </c>
      <c r="I79" s="1" t="n">
        <v>3.1</v>
      </c>
      <c r="J79" s="1" t="n">
        <v>-15.5</v>
      </c>
      <c r="K79" s="1"/>
      <c r="L79" s="1" t="n">
        <v>0</v>
      </c>
      <c r="M79" s="1" t="n">
        <v>0</v>
      </c>
      <c r="N79" s="1" t="s">
        <v>154</v>
      </c>
      <c r="O79" s="1"/>
      <c r="P79" s="1"/>
      <c r="Q79" s="1"/>
      <c r="R79" s="1"/>
      <c r="S79" s="1"/>
      <c r="T79" s="1"/>
      <c r="Z79" s="0" t="n">
        <f aca="false">I79-8</f>
        <v>-4.9</v>
      </c>
      <c r="AB79" s="0" t="n">
        <f aca="false">IF(Z79&lt;0,Z79+360,Z79+0)</f>
        <v>355.1</v>
      </c>
    </row>
    <row r="80" customFormat="false" ht="15.8" hidden="false" customHeight="false" outlineLevel="0" collapsed="false">
      <c r="A80" s="1" t="n">
        <v>3</v>
      </c>
      <c r="B80" s="1" t="n">
        <v>8</v>
      </c>
      <c r="C80" s="1" t="n">
        <v>3.5</v>
      </c>
      <c r="D80" s="1" t="n">
        <v>1.225</v>
      </c>
      <c r="E80" s="1" t="n">
        <v>0.126936</v>
      </c>
      <c r="F80" s="1" t="n">
        <v>0.000364855</v>
      </c>
      <c r="G80" s="1" t="s">
        <v>27</v>
      </c>
      <c r="H80" s="1" t="n">
        <v>98.2</v>
      </c>
      <c r="I80" s="1" t="n">
        <v>298.4</v>
      </c>
      <c r="J80" s="1" t="n">
        <v>-42.8</v>
      </c>
      <c r="K80" s="1"/>
      <c r="L80" s="1" t="n">
        <v>0</v>
      </c>
      <c r="M80" s="1" t="n">
        <v>0</v>
      </c>
      <c r="N80" s="1" t="s">
        <v>155</v>
      </c>
      <c r="O80" s="1"/>
      <c r="P80" s="1"/>
      <c r="Q80" s="1"/>
      <c r="R80" s="1"/>
      <c r="S80" s="1"/>
      <c r="T80" s="1"/>
      <c r="Z80" s="0" t="n">
        <f aca="false">I80-8</f>
        <v>290.4</v>
      </c>
      <c r="AB80" s="0" t="n">
        <f aca="false">IF(Z80&lt;0,Z80+360,Z80+0)</f>
        <v>290.4</v>
      </c>
    </row>
    <row r="81" customFormat="false" ht="15.8" hidden="false" customHeight="false" outlineLevel="0" collapsed="false">
      <c r="A81" s="1" t="n">
        <v>3</v>
      </c>
      <c r="B81" s="1" t="n">
        <v>8</v>
      </c>
      <c r="C81" s="1" t="n">
        <v>1.8</v>
      </c>
      <c r="D81" s="1" t="n">
        <v>1.0118</v>
      </c>
      <c r="E81" s="1" t="n">
        <v>0.063918</v>
      </c>
      <c r="F81" s="1" t="n">
        <v>0.000183722</v>
      </c>
      <c r="G81" s="1" t="s">
        <v>27</v>
      </c>
      <c r="H81" s="1" t="n">
        <v>30.7</v>
      </c>
      <c r="I81" s="1" t="n">
        <v>151.8</v>
      </c>
      <c r="J81" s="1" t="n">
        <v>0</v>
      </c>
      <c r="K81" s="1"/>
      <c r="L81" s="1" t="n">
        <v>0</v>
      </c>
      <c r="M81" s="1" t="n">
        <v>0</v>
      </c>
      <c r="N81" s="1" t="s">
        <v>155</v>
      </c>
      <c r="O81" s="1"/>
      <c r="P81" s="1"/>
      <c r="Q81" s="1"/>
      <c r="R81" s="1"/>
      <c r="S81" s="1"/>
      <c r="T81" s="1"/>
      <c r="Z81" s="0" t="n">
        <f aca="false">I81-8</f>
        <v>143.8</v>
      </c>
      <c r="AB81" s="0" t="n">
        <f aca="false">IF(Z81&lt;0,Z81+360,Z81+0)</f>
        <v>143.8</v>
      </c>
    </row>
    <row r="82" customFormat="false" ht="15.8" hidden="false" customHeight="false" outlineLevel="0" collapsed="false">
      <c r="A82" s="1" t="n">
        <v>3</v>
      </c>
      <c r="B82" s="1" t="n">
        <v>7</v>
      </c>
      <c r="C82" s="1" t="n">
        <v>2.8</v>
      </c>
      <c r="D82" s="1" t="n">
        <v>1.1876</v>
      </c>
      <c r="E82" s="1" t="n">
        <v>0.100931</v>
      </c>
      <c r="F82" s="1" t="n">
        <v>0.000290108</v>
      </c>
      <c r="G82" s="1" t="s">
        <v>42</v>
      </c>
      <c r="H82" s="1" t="n">
        <v>52.7</v>
      </c>
      <c r="I82" s="1" t="n">
        <v>159.2</v>
      </c>
      <c r="J82" s="1" t="n">
        <v>-29.8</v>
      </c>
      <c r="K82" s="1" t="n">
        <v>98.2</v>
      </c>
      <c r="L82" s="1" t="n">
        <v>0</v>
      </c>
      <c r="M82" s="1" t="n">
        <v>0</v>
      </c>
      <c r="N82" s="1" t="s">
        <v>156</v>
      </c>
      <c r="O82" s="1"/>
      <c r="P82" s="1"/>
      <c r="Q82" s="1"/>
      <c r="R82" s="1"/>
      <c r="S82" s="1"/>
      <c r="T82" s="1"/>
      <c r="Z82" s="0" t="n">
        <f aca="false">I82-8</f>
        <v>151.2</v>
      </c>
      <c r="AB82" s="0" t="n">
        <f aca="false">IF(Z82&lt;0,Z82+360,Z82+0)</f>
        <v>151.2</v>
      </c>
    </row>
    <row r="83" customFormat="false" ht="15.8" hidden="false" customHeight="false" outlineLevel="0" collapsed="false">
      <c r="A83" s="1" t="n">
        <v>3</v>
      </c>
      <c r="B83" s="1" t="n">
        <v>7</v>
      </c>
      <c r="C83" s="1" t="n">
        <v>0.8</v>
      </c>
      <c r="D83" s="1" t="n">
        <v>1.1683</v>
      </c>
      <c r="E83" s="1" t="n">
        <v>0.0303174</v>
      </c>
      <c r="F83" s="1" t="n">
        <v>8.71423E-005</v>
      </c>
      <c r="G83" s="1" t="s">
        <v>27</v>
      </c>
      <c r="H83" s="1" t="n">
        <v>77.2</v>
      </c>
      <c r="I83" s="1" t="n">
        <v>239</v>
      </c>
      <c r="J83" s="1" t="n">
        <v>32.9</v>
      </c>
      <c r="K83" s="1"/>
      <c r="L83" s="1" t="n">
        <v>0</v>
      </c>
      <c r="M83" s="1" t="n">
        <v>0</v>
      </c>
      <c r="N83" s="1" t="s">
        <v>156</v>
      </c>
      <c r="O83" s="1"/>
      <c r="P83" s="1"/>
      <c r="Q83" s="1"/>
      <c r="R83" s="1"/>
      <c r="S83" s="1"/>
      <c r="T83" s="1"/>
      <c r="Z83" s="0" t="n">
        <f aca="false">I83-8</f>
        <v>231</v>
      </c>
      <c r="AB83" s="0" t="n">
        <f aca="false">IF(Z83&lt;0,Z83+360,Z83+0)</f>
        <v>231</v>
      </c>
    </row>
    <row r="84" customFormat="false" ht="15.8" hidden="false" customHeight="false" outlineLevel="0" collapsed="false">
      <c r="A84" s="1" t="n">
        <v>3</v>
      </c>
      <c r="B84" s="1" t="n">
        <v>6</v>
      </c>
      <c r="C84" s="1" t="n">
        <v>6.8</v>
      </c>
      <c r="D84" s="1" t="n">
        <v>1.318</v>
      </c>
      <c r="E84" s="1" t="n">
        <v>0.246396</v>
      </c>
      <c r="F84" s="1" t="n">
        <v>0.000708224</v>
      </c>
      <c r="G84" s="1" t="s">
        <v>42</v>
      </c>
      <c r="H84" s="1" t="n">
        <v>30.8</v>
      </c>
      <c r="I84" s="1" t="n">
        <v>150.2</v>
      </c>
      <c r="J84" s="1" t="n">
        <v>22.1</v>
      </c>
      <c r="K84" s="1" t="n">
        <v>77.2</v>
      </c>
      <c r="L84" s="1" t="n">
        <v>0</v>
      </c>
      <c r="M84" s="1" t="n">
        <v>0</v>
      </c>
      <c r="N84" s="1" t="s">
        <v>154</v>
      </c>
      <c r="O84" s="1"/>
      <c r="P84" s="1"/>
      <c r="Q84" s="1"/>
      <c r="R84" s="1"/>
      <c r="S84" s="1"/>
      <c r="T84" s="1"/>
      <c r="Z84" s="0" t="n">
        <f aca="false">I84-8</f>
        <v>142.2</v>
      </c>
      <c r="AB84" s="0" t="n">
        <f aca="false">IF(Z84&lt;0,Z84+360,Z84+0)</f>
        <v>142.2</v>
      </c>
    </row>
    <row r="85" customFormat="false" ht="15.8" hidden="false" customHeight="false" outlineLevel="0" collapsed="false">
      <c r="A85" s="1" t="n">
        <v>3</v>
      </c>
      <c r="B85" s="1" t="n">
        <v>5</v>
      </c>
      <c r="C85" s="1" t="n">
        <v>0.9</v>
      </c>
      <c r="D85" s="1" t="n">
        <v>1.233</v>
      </c>
      <c r="E85" s="1" t="n">
        <v>0.0303947</v>
      </c>
      <c r="F85" s="1" t="n">
        <v>8.30317E-005</v>
      </c>
      <c r="G85" s="1" t="s">
        <v>42</v>
      </c>
      <c r="H85" s="1" t="n">
        <v>24</v>
      </c>
      <c r="I85" s="1" t="n">
        <v>117.3</v>
      </c>
      <c r="J85" s="1" t="n">
        <v>32.1</v>
      </c>
      <c r="K85" s="1" t="n">
        <v>118.4</v>
      </c>
      <c r="L85" s="1" t="n">
        <v>0</v>
      </c>
      <c r="M85" s="1" t="n">
        <v>0</v>
      </c>
      <c r="N85" s="1" t="s">
        <v>157</v>
      </c>
      <c r="O85" s="1"/>
      <c r="P85" s="1"/>
      <c r="Q85" s="1"/>
      <c r="R85" s="1"/>
      <c r="S85" s="1"/>
      <c r="T85" s="1"/>
      <c r="Z85" s="0" t="n">
        <f aca="false">I85-8</f>
        <v>109.3</v>
      </c>
      <c r="AB85" s="0" t="n">
        <f aca="false">IF(Z85&lt;0,Z85+360,Z85+0)</f>
        <v>109.3</v>
      </c>
    </row>
    <row r="86" customFormat="false" ht="15.8" hidden="false" customHeight="false" outlineLevel="0" collapsed="false">
      <c r="A86" s="1" t="n">
        <v>3</v>
      </c>
      <c r="B86" s="1" t="n">
        <v>5</v>
      </c>
      <c r="C86" s="1" t="n">
        <v>1.7</v>
      </c>
      <c r="D86" s="1" t="n">
        <v>1.2421</v>
      </c>
      <c r="E86" s="1" t="n">
        <v>0.0588882</v>
      </c>
      <c r="F86" s="1" t="n">
        <v>0.000161012</v>
      </c>
      <c r="G86" s="1" t="s">
        <v>27</v>
      </c>
      <c r="H86" s="1" t="n">
        <v>91.6</v>
      </c>
      <c r="I86" s="1" t="n">
        <v>229.9</v>
      </c>
      <c r="J86" s="1" t="n">
        <v>33.6</v>
      </c>
      <c r="K86" s="1"/>
      <c r="L86" s="1" t="n">
        <v>0</v>
      </c>
      <c r="M86" s="1" t="n">
        <v>0</v>
      </c>
      <c r="N86" s="1" t="s">
        <v>157</v>
      </c>
      <c r="O86" s="1"/>
      <c r="P86" s="1"/>
      <c r="Q86" s="1"/>
      <c r="R86" s="1"/>
      <c r="S86" s="1"/>
      <c r="T86" s="1"/>
      <c r="Z86" s="0" t="n">
        <f aca="false">I86-8</f>
        <v>221.9</v>
      </c>
      <c r="AB86" s="0" t="n">
        <f aca="false">IF(Z86&lt;0,Z86+360,Z86+0)</f>
        <v>221.9</v>
      </c>
    </row>
    <row r="87" customFormat="false" ht="15.8" hidden="false" customHeight="false" outlineLevel="0" collapsed="false">
      <c r="A87" s="1" t="n">
        <v>3</v>
      </c>
      <c r="B87" s="1" t="n">
        <v>4</v>
      </c>
      <c r="C87" s="1" t="n">
        <v>5.2</v>
      </c>
      <c r="D87" s="1" t="n">
        <v>1.308</v>
      </c>
      <c r="E87" s="1" t="n">
        <v>0.124798</v>
      </c>
      <c r="F87" s="1" t="n">
        <v>0.000267592</v>
      </c>
      <c r="G87" s="1" t="s">
        <v>42</v>
      </c>
      <c r="H87" s="1" t="n">
        <v>35</v>
      </c>
      <c r="I87" s="1" t="n">
        <v>130.2</v>
      </c>
      <c r="J87" s="1" t="n">
        <v>11.3</v>
      </c>
      <c r="K87" s="1" t="n">
        <v>91.6</v>
      </c>
      <c r="L87" s="1" t="n">
        <v>0</v>
      </c>
      <c r="M87" s="1" t="n">
        <v>0</v>
      </c>
      <c r="N87" s="1" t="s">
        <v>158</v>
      </c>
      <c r="O87" s="1"/>
      <c r="P87" s="1"/>
      <c r="Q87" s="1"/>
      <c r="R87" s="1"/>
      <c r="S87" s="1"/>
      <c r="T87" s="1"/>
      <c r="Z87" s="0" t="n">
        <f aca="false">I87-8</f>
        <v>122.2</v>
      </c>
      <c r="AB87" s="0" t="n">
        <f aca="false">IF(Z87&lt;0,Z87+360,Z87+0)</f>
        <v>122.2</v>
      </c>
    </row>
    <row r="88" customFormat="false" ht="15.8" hidden="false" customHeight="false" outlineLevel="0" collapsed="false">
      <c r="A88" s="1" t="n">
        <v>3</v>
      </c>
      <c r="B88" s="1" t="n">
        <v>7</v>
      </c>
      <c r="C88" s="1" t="n">
        <v>1.3</v>
      </c>
      <c r="D88" s="1" t="n">
        <v>1.0403</v>
      </c>
      <c r="E88" s="1" t="n">
        <v>0.048413</v>
      </c>
      <c r="F88" s="1" t="n">
        <v>0.000139155</v>
      </c>
      <c r="G88" s="1" t="s">
        <v>27</v>
      </c>
      <c r="H88" s="1" t="n">
        <v>35.1</v>
      </c>
      <c r="I88" s="1" t="n">
        <v>166.6</v>
      </c>
      <c r="J88" s="1" t="n">
        <v>0</v>
      </c>
      <c r="K88" s="1"/>
      <c r="L88" s="1" t="n">
        <v>0</v>
      </c>
      <c r="M88" s="1" t="n">
        <v>0</v>
      </c>
      <c r="N88" s="1" t="s">
        <v>159</v>
      </c>
      <c r="O88" s="1"/>
      <c r="P88" s="1"/>
      <c r="Q88" s="1"/>
      <c r="R88" s="1"/>
      <c r="S88" s="1"/>
      <c r="T88" s="1"/>
      <c r="Z88" s="0" t="n">
        <f aca="false">I88-8</f>
        <v>158.6</v>
      </c>
      <c r="AB88" s="0" t="n">
        <f aca="false">IF(Z88&lt;0,Z88+360,Z88+0)</f>
        <v>158.6</v>
      </c>
    </row>
    <row r="89" customFormat="false" ht="15.8" hidden="false" customHeight="false" outlineLevel="0" collapsed="false">
      <c r="A89" s="1" t="n">
        <v>3</v>
      </c>
      <c r="B89" s="1" t="n">
        <v>7</v>
      </c>
      <c r="C89" s="1" t="n">
        <v>2.1</v>
      </c>
      <c r="D89" s="1" t="n">
        <v>1.048</v>
      </c>
      <c r="E89" s="1" t="n">
        <v>0.0751446</v>
      </c>
      <c r="F89" s="1" t="n">
        <v>0.000215991</v>
      </c>
      <c r="G89" s="1" t="s">
        <v>27</v>
      </c>
      <c r="H89" s="1" t="n">
        <v>142.8</v>
      </c>
      <c r="I89" s="1" t="n">
        <v>341.8</v>
      </c>
      <c r="J89" s="1" t="n">
        <v>0</v>
      </c>
      <c r="K89" s="1"/>
      <c r="L89" s="1" t="n">
        <v>0</v>
      </c>
      <c r="M89" s="1" t="n">
        <v>0</v>
      </c>
      <c r="N89" s="1" t="s">
        <v>159</v>
      </c>
      <c r="O89" s="1"/>
      <c r="P89" s="1"/>
      <c r="Q89" s="1"/>
      <c r="R89" s="1"/>
      <c r="S89" s="1"/>
      <c r="T89" s="1"/>
      <c r="Z89" s="0" t="n">
        <f aca="false">I89-8</f>
        <v>333.8</v>
      </c>
      <c r="AB89" s="0" t="n">
        <f aca="false">IF(Z89&lt;0,Z89+360,Z89+0)</f>
        <v>333.8</v>
      </c>
    </row>
    <row r="90" customFormat="false" ht="15.8" hidden="false" customHeight="false" outlineLevel="0" collapsed="false">
      <c r="A90" s="1" t="n">
        <v>3</v>
      </c>
      <c r="B90" s="1" t="n">
        <v>6</v>
      </c>
      <c r="C90" s="1" t="n">
        <v>5.5</v>
      </c>
      <c r="D90" s="1" t="n">
        <v>1.2385</v>
      </c>
      <c r="E90" s="1" t="n">
        <v>0.197501</v>
      </c>
      <c r="F90" s="1" t="n">
        <v>0.000567684</v>
      </c>
      <c r="G90" s="1" t="s">
        <v>42</v>
      </c>
      <c r="H90" s="1" t="n">
        <v>38.6</v>
      </c>
      <c r="I90" s="1" t="n">
        <v>181.8</v>
      </c>
      <c r="J90" s="1" t="n">
        <v>32</v>
      </c>
      <c r="K90" s="1" t="n">
        <v>142.8</v>
      </c>
      <c r="L90" s="1" t="n">
        <v>0</v>
      </c>
      <c r="M90" s="1" t="n">
        <v>0</v>
      </c>
      <c r="N90" s="1" t="s">
        <v>160</v>
      </c>
      <c r="O90" s="1"/>
      <c r="P90" s="1"/>
      <c r="Q90" s="1"/>
      <c r="R90" s="1"/>
      <c r="S90" s="1"/>
      <c r="T90" s="1"/>
      <c r="Z90" s="0" t="n">
        <f aca="false">I90-8</f>
        <v>173.8</v>
      </c>
      <c r="AB90" s="0" t="n">
        <f aca="false">IF(Z90&lt;0,Z90+360,Z90+0)</f>
        <v>173.8</v>
      </c>
    </row>
    <row r="91" customFormat="false" ht="15.8" hidden="false" customHeight="false" outlineLevel="0" collapsed="false">
      <c r="A91" s="1" t="n">
        <v>3</v>
      </c>
      <c r="B91" s="1" t="n">
        <v>6</v>
      </c>
      <c r="C91" s="1" t="n">
        <v>0.8</v>
      </c>
      <c r="D91" s="1" t="n">
        <v>1.0237</v>
      </c>
      <c r="E91" s="1" t="n">
        <v>0.0273976</v>
      </c>
      <c r="F91" s="1" t="n">
        <v>7.87498E-005</v>
      </c>
      <c r="G91" s="1" t="s">
        <v>27</v>
      </c>
      <c r="H91" s="1" t="n">
        <v>94.1</v>
      </c>
      <c r="I91" s="1" t="n">
        <v>318.1</v>
      </c>
      <c r="J91" s="1" t="n">
        <v>0</v>
      </c>
      <c r="K91" s="1"/>
      <c r="L91" s="1" t="n">
        <v>0</v>
      </c>
      <c r="M91" s="1" t="n">
        <v>0</v>
      </c>
      <c r="N91" s="1" t="s">
        <v>160</v>
      </c>
      <c r="O91" s="1"/>
      <c r="P91" s="1"/>
      <c r="Q91" s="1"/>
      <c r="R91" s="1"/>
      <c r="S91" s="1"/>
      <c r="T91" s="1"/>
      <c r="Z91" s="0" t="n">
        <f aca="false">I91-8</f>
        <v>310.1</v>
      </c>
      <c r="AB91" s="0" t="n">
        <f aca="false">IF(Z91&lt;0,Z91+360,Z91+0)</f>
        <v>310.1</v>
      </c>
    </row>
    <row r="92" customFormat="false" ht="15.8" hidden="false" customHeight="false" outlineLevel="0" collapsed="false">
      <c r="A92" s="1" t="n">
        <v>3</v>
      </c>
      <c r="B92" s="1" t="n">
        <v>6</v>
      </c>
      <c r="C92" s="1" t="n">
        <v>0.8</v>
      </c>
      <c r="D92" s="1" t="n">
        <v>1.3566</v>
      </c>
      <c r="E92" s="1" t="n">
        <v>0.0291191</v>
      </c>
      <c r="F92" s="1" t="n">
        <v>8.3698E-005</v>
      </c>
      <c r="G92" s="1" t="s">
        <v>27</v>
      </c>
      <c r="H92" s="1" t="n">
        <v>61.2</v>
      </c>
      <c r="I92" s="1" t="n">
        <v>112.6</v>
      </c>
      <c r="J92" s="1" t="n">
        <v>41</v>
      </c>
      <c r="K92" s="1"/>
      <c r="L92" s="1" t="n">
        <v>0</v>
      </c>
      <c r="M92" s="1" t="n">
        <v>0</v>
      </c>
      <c r="N92" s="1" t="s">
        <v>160</v>
      </c>
      <c r="O92" s="1"/>
      <c r="P92" s="1"/>
      <c r="Q92" s="1"/>
      <c r="R92" s="1"/>
      <c r="S92" s="1"/>
      <c r="T92" s="1"/>
      <c r="Z92" s="0" t="n">
        <f aca="false">I92-8</f>
        <v>104.6</v>
      </c>
      <c r="AB92" s="0" t="n">
        <f aca="false">IF(Z92&lt;0,Z92+360,Z92+0)</f>
        <v>104.6</v>
      </c>
    </row>
    <row r="93" customFormat="false" ht="15.8" hidden="false" customHeight="false" outlineLevel="0" collapsed="false">
      <c r="A93" s="1" t="n">
        <v>3</v>
      </c>
      <c r="B93" s="1" t="n">
        <v>5</v>
      </c>
      <c r="C93" s="1" t="n">
        <v>3.6</v>
      </c>
      <c r="D93" s="1" t="n">
        <v>1.1531</v>
      </c>
      <c r="E93" s="1" t="n">
        <v>0.128322</v>
      </c>
      <c r="F93" s="1" t="n">
        <v>0.000368841</v>
      </c>
      <c r="G93" s="1" t="s">
        <v>42</v>
      </c>
      <c r="H93" s="1" t="n">
        <v>69</v>
      </c>
      <c r="I93" s="1" t="n">
        <v>219.3</v>
      </c>
      <c r="J93" s="1" t="n">
        <v>62.4</v>
      </c>
      <c r="K93" s="1" t="n">
        <v>94.1</v>
      </c>
      <c r="L93" s="1" t="n">
        <v>0</v>
      </c>
      <c r="M93" s="1" t="n">
        <v>0</v>
      </c>
      <c r="N93" s="1" t="s">
        <v>161</v>
      </c>
      <c r="O93" s="1"/>
      <c r="P93" s="1"/>
      <c r="Q93" s="1"/>
      <c r="R93" s="1"/>
      <c r="S93" s="1"/>
      <c r="T93" s="1"/>
      <c r="Z93" s="0" t="n">
        <f aca="false">I93-8</f>
        <v>211.3</v>
      </c>
      <c r="AB93" s="0" t="n">
        <f aca="false">IF(Z93&lt;0,Z93+360,Z93+0)</f>
        <v>211.3</v>
      </c>
    </row>
    <row r="94" customFormat="false" ht="15.8" hidden="false" customHeight="false" outlineLevel="0" collapsed="false">
      <c r="A94" s="1" t="n">
        <v>3</v>
      </c>
      <c r="B94" s="1" t="n">
        <v>6</v>
      </c>
      <c r="C94" s="1" t="n">
        <v>1.5</v>
      </c>
      <c r="D94" s="1" t="n">
        <v>1.1117</v>
      </c>
      <c r="E94" s="1" t="n">
        <v>0.0549914</v>
      </c>
      <c r="F94" s="1" t="n">
        <v>0.000158064</v>
      </c>
      <c r="G94" s="1" t="s">
        <v>27</v>
      </c>
      <c r="H94" s="1" t="n">
        <v>85.5</v>
      </c>
      <c r="I94" s="1" t="n">
        <v>252.7</v>
      </c>
      <c r="J94" s="1" t="n">
        <v>-16.5</v>
      </c>
      <c r="K94" s="1"/>
      <c r="L94" s="1" t="n">
        <v>0</v>
      </c>
      <c r="M94" s="1" t="n">
        <v>0</v>
      </c>
      <c r="N94" s="1" t="s">
        <v>162</v>
      </c>
      <c r="O94" s="1"/>
      <c r="P94" s="1"/>
      <c r="Q94" s="1"/>
      <c r="R94" s="1"/>
      <c r="S94" s="1"/>
      <c r="T94" s="1"/>
      <c r="Z94" s="0" t="n">
        <f aca="false">I94-8</f>
        <v>244.7</v>
      </c>
      <c r="AB94" s="0" t="n">
        <f aca="false">IF(Z94&lt;0,Z94+360,Z94+0)</f>
        <v>244.7</v>
      </c>
    </row>
    <row r="95" customFormat="false" ht="15.8" hidden="false" customHeight="false" outlineLevel="0" collapsed="false">
      <c r="A95" s="1" t="n">
        <v>3</v>
      </c>
      <c r="B95" s="1" t="n">
        <v>7</v>
      </c>
      <c r="C95" s="1" t="n">
        <v>1.8</v>
      </c>
      <c r="D95" s="1" t="n">
        <v>1.1004</v>
      </c>
      <c r="E95" s="1" t="n">
        <v>0.0634025</v>
      </c>
      <c r="F95" s="1" t="n">
        <v>0.00018224</v>
      </c>
      <c r="G95" s="1" t="s">
        <v>27</v>
      </c>
      <c r="H95" s="1" t="n">
        <v>4.4</v>
      </c>
      <c r="I95" s="1" t="n">
        <v>145.6</v>
      </c>
      <c r="J95" s="1" t="n">
        <v>-14.2</v>
      </c>
      <c r="K95" s="1"/>
      <c r="L95" s="1" t="n">
        <v>0</v>
      </c>
      <c r="M95" s="1" t="n">
        <v>0</v>
      </c>
      <c r="N95" s="1" t="s">
        <v>163</v>
      </c>
      <c r="O95" s="1"/>
      <c r="P95" s="1"/>
      <c r="Q95" s="1"/>
      <c r="R95" s="1"/>
      <c r="S95" s="1"/>
      <c r="T95" s="1"/>
      <c r="Z95" s="0" t="n">
        <f aca="false">I95-8</f>
        <v>137.6</v>
      </c>
      <c r="AB95" s="0" t="n">
        <f aca="false">IF(Z95&lt;0,Z95+360,Z95+0)</f>
        <v>137.6</v>
      </c>
    </row>
    <row r="96" customFormat="false" ht="15.8" hidden="false" customHeight="false" outlineLevel="0" collapsed="false">
      <c r="A96" s="1" t="n">
        <v>3</v>
      </c>
      <c r="B96" s="1" t="n">
        <v>13</v>
      </c>
      <c r="C96" s="1" t="n">
        <v>2.6</v>
      </c>
      <c r="D96" s="1" t="n">
        <v>1.1225</v>
      </c>
      <c r="E96" s="1" t="n">
        <v>0.0950424</v>
      </c>
      <c r="F96" s="1" t="n">
        <v>0.000273184</v>
      </c>
      <c r="G96" s="1" t="s">
        <v>27</v>
      </c>
      <c r="H96" s="1" t="n">
        <v>54.5</v>
      </c>
      <c r="I96" s="1" t="n">
        <v>234.7</v>
      </c>
      <c r="J96" s="1" t="n">
        <v>19.4</v>
      </c>
      <c r="K96" s="1"/>
      <c r="L96" s="1" t="n">
        <v>0</v>
      </c>
      <c r="M96" s="1" t="n">
        <v>0</v>
      </c>
      <c r="N96" s="1" t="s">
        <v>164</v>
      </c>
      <c r="O96" s="1"/>
      <c r="P96" s="1"/>
      <c r="Q96" s="1"/>
      <c r="R96" s="1"/>
      <c r="S96" s="1"/>
      <c r="T96" s="1"/>
      <c r="Z96" s="0" t="n">
        <f aca="false">I96-8</f>
        <v>226.7</v>
      </c>
      <c r="AB96" s="0" t="n">
        <f aca="false">IF(Z96&lt;0,Z96+360,Z96+0)</f>
        <v>226.7</v>
      </c>
    </row>
    <row r="97" customFormat="false" ht="15.8" hidden="false" customHeight="false" outlineLevel="0" collapsed="false">
      <c r="A97" s="1" t="n">
        <v>3</v>
      </c>
      <c r="B97" s="1" t="n">
        <v>13</v>
      </c>
      <c r="C97" s="1" t="n">
        <v>1.7</v>
      </c>
      <c r="D97" s="1" t="n">
        <v>1.0094</v>
      </c>
      <c r="E97" s="1" t="n">
        <v>0.0607973</v>
      </c>
      <c r="F97" s="1" t="n">
        <v>0.000174752</v>
      </c>
      <c r="G97" s="1" t="s">
        <v>27</v>
      </c>
      <c r="H97" s="1" t="n">
        <v>72.9</v>
      </c>
      <c r="I97" s="1" t="n">
        <v>133</v>
      </c>
      <c r="J97" s="1" t="n">
        <v>0</v>
      </c>
      <c r="K97" s="1"/>
      <c r="L97" s="1" t="n">
        <v>0</v>
      </c>
      <c r="M97" s="1" t="n">
        <v>0</v>
      </c>
      <c r="N97" s="1" t="s">
        <v>164</v>
      </c>
      <c r="O97" s="1"/>
      <c r="P97" s="1"/>
      <c r="Q97" s="1"/>
      <c r="R97" s="1"/>
      <c r="S97" s="1"/>
      <c r="T97" s="1"/>
      <c r="Z97" s="0" t="n">
        <f aca="false">I97-8</f>
        <v>125</v>
      </c>
      <c r="AB97" s="0" t="n">
        <f aca="false">IF(Z97&lt;0,Z97+360,Z97+0)</f>
        <v>125</v>
      </c>
    </row>
    <row r="98" customFormat="false" ht="15.8" hidden="false" customHeight="false" outlineLevel="0" collapsed="false">
      <c r="A98" s="1" t="n">
        <v>3</v>
      </c>
      <c r="B98" s="1" t="n">
        <v>12</v>
      </c>
      <c r="C98" s="1" t="n">
        <v>1</v>
      </c>
      <c r="D98" s="1" t="n">
        <v>1.166</v>
      </c>
      <c r="E98" s="1" t="n">
        <v>0.0372069</v>
      </c>
      <c r="F98" s="1" t="n">
        <v>0.000106945</v>
      </c>
      <c r="G98" s="1" t="s">
        <v>42</v>
      </c>
      <c r="H98" s="1" t="n">
        <v>67</v>
      </c>
      <c r="I98" s="1" t="n">
        <v>204</v>
      </c>
      <c r="J98" s="1" t="n">
        <v>-26.2</v>
      </c>
      <c r="K98" s="1" t="n">
        <v>72.9</v>
      </c>
      <c r="L98" s="1" t="n">
        <v>0</v>
      </c>
      <c r="M98" s="1" t="n">
        <v>0</v>
      </c>
      <c r="N98" s="1" t="s">
        <v>165</v>
      </c>
      <c r="O98" s="1"/>
      <c r="P98" s="1"/>
      <c r="Q98" s="1"/>
      <c r="R98" s="1"/>
      <c r="S98" s="1"/>
      <c r="T98" s="1"/>
      <c r="Z98" s="0" t="n">
        <f aca="false">I98-8</f>
        <v>196</v>
      </c>
      <c r="AB98" s="0" t="n">
        <f aca="false">IF(Z98&lt;0,Z98+360,Z98+0)</f>
        <v>196</v>
      </c>
    </row>
    <row r="99" customFormat="false" ht="15.8" hidden="false" customHeight="false" outlineLevel="0" collapsed="false">
      <c r="A99" s="1" t="n">
        <v>3</v>
      </c>
      <c r="B99" s="1" t="n">
        <v>12</v>
      </c>
      <c r="C99" s="1" t="n">
        <v>1.5</v>
      </c>
      <c r="D99" s="1" t="n">
        <v>1.035</v>
      </c>
      <c r="E99" s="1" t="n">
        <v>0.0543853</v>
      </c>
      <c r="F99" s="1" t="n">
        <v>0.000156321</v>
      </c>
      <c r="G99" s="1" t="s">
        <v>27</v>
      </c>
      <c r="H99" s="1" t="n">
        <v>66.3</v>
      </c>
      <c r="I99" s="1" t="n">
        <v>343</v>
      </c>
      <c r="J99" s="1" t="n">
        <v>0</v>
      </c>
      <c r="K99" s="1"/>
      <c r="L99" s="1" t="n">
        <v>0</v>
      </c>
      <c r="M99" s="1" t="n">
        <v>0</v>
      </c>
      <c r="N99" s="1" t="s">
        <v>165</v>
      </c>
      <c r="O99" s="1"/>
      <c r="P99" s="1"/>
      <c r="Q99" s="1"/>
      <c r="R99" s="1"/>
      <c r="S99" s="1"/>
      <c r="T99" s="1"/>
      <c r="Z99" s="0" t="n">
        <f aca="false">I99-8</f>
        <v>335</v>
      </c>
      <c r="AB99" s="0" t="n">
        <f aca="false">IF(Z99&lt;0,Z99+360,Z99+0)</f>
        <v>335</v>
      </c>
    </row>
    <row r="100" customFormat="false" ht="15.8" hidden="false" customHeight="false" outlineLevel="0" collapsed="false">
      <c r="A100" s="1" t="n">
        <v>3</v>
      </c>
      <c r="B100" s="1" t="n">
        <v>11</v>
      </c>
      <c r="C100" s="1" t="n">
        <v>1.1</v>
      </c>
      <c r="D100" s="1" t="n">
        <v>1.1273</v>
      </c>
      <c r="E100" s="1" t="n">
        <v>0.0389411</v>
      </c>
      <c r="F100" s="1" t="n">
        <v>0.00011193</v>
      </c>
      <c r="G100" s="1" t="s">
        <v>42</v>
      </c>
      <c r="H100" s="1" t="n">
        <v>47.2</v>
      </c>
      <c r="I100" s="1" t="n">
        <v>279.1</v>
      </c>
      <c r="J100" s="1" t="n">
        <v>-24.1</v>
      </c>
      <c r="K100" s="1" t="n">
        <v>67</v>
      </c>
      <c r="L100" s="1" t="n">
        <v>0</v>
      </c>
      <c r="M100" s="1" t="n">
        <v>0</v>
      </c>
      <c r="N100" s="1" t="s">
        <v>166</v>
      </c>
      <c r="O100" s="1"/>
      <c r="P100" s="1"/>
      <c r="Q100" s="1"/>
      <c r="R100" s="1"/>
      <c r="S100" s="1"/>
      <c r="T100" s="1"/>
      <c r="Z100" s="0" t="n">
        <f aca="false">I100-8</f>
        <v>271.1</v>
      </c>
      <c r="AB100" s="0" t="n">
        <f aca="false">IF(Z100&lt;0,Z100+360,Z100+0)</f>
        <v>271.1</v>
      </c>
    </row>
    <row r="101" customFormat="false" ht="15.8" hidden="false" customHeight="false" outlineLevel="0" collapsed="false">
      <c r="A101" s="1" t="n">
        <v>3</v>
      </c>
      <c r="B101" s="1" t="n">
        <v>13</v>
      </c>
      <c r="C101" s="1" t="n">
        <v>0.8</v>
      </c>
      <c r="D101" s="1" t="n">
        <v>1.042</v>
      </c>
      <c r="E101" s="1" t="n">
        <v>0.0286421</v>
      </c>
      <c r="F101" s="1" t="n">
        <v>8.23268E-005</v>
      </c>
      <c r="G101" s="1" t="s">
        <v>27</v>
      </c>
      <c r="H101" s="1" t="n">
        <v>110.7</v>
      </c>
      <c r="I101" s="1" t="n">
        <v>117</v>
      </c>
      <c r="J101" s="1" t="n">
        <v>0</v>
      </c>
      <c r="K101" s="1"/>
      <c r="L101" s="1" t="n">
        <v>0</v>
      </c>
      <c r="M101" s="1" t="n">
        <v>0</v>
      </c>
      <c r="N101" s="1" t="s">
        <v>167</v>
      </c>
      <c r="O101" s="1"/>
      <c r="P101" s="1"/>
      <c r="Q101" s="1"/>
      <c r="R101" s="1"/>
      <c r="S101" s="1"/>
      <c r="T101" s="1"/>
      <c r="Z101" s="0" t="n">
        <f aca="false">I101-8</f>
        <v>109</v>
      </c>
      <c r="AB101" s="0" t="n">
        <f aca="false">IF(Z101&lt;0,Z101+360,Z101+0)</f>
        <v>109</v>
      </c>
    </row>
    <row r="102" customFormat="false" ht="15.8" hidden="false" customHeight="false" outlineLevel="0" collapsed="false">
      <c r="A102" s="1" t="n">
        <v>3</v>
      </c>
      <c r="B102" s="1" t="n">
        <v>13</v>
      </c>
      <c r="C102" s="1" t="n">
        <v>0.7</v>
      </c>
      <c r="D102" s="1" t="n">
        <v>1.0042</v>
      </c>
      <c r="E102" s="1" t="n">
        <v>0.0247805</v>
      </c>
      <c r="F102" s="1" t="n">
        <v>7.12274E-005</v>
      </c>
      <c r="G102" s="1" t="s">
        <v>27</v>
      </c>
      <c r="H102" s="1" t="n">
        <v>46.5</v>
      </c>
      <c r="I102" s="1" t="n">
        <v>319.8</v>
      </c>
      <c r="J102" s="1" t="n">
        <v>0</v>
      </c>
      <c r="K102" s="1"/>
      <c r="L102" s="1" t="n">
        <v>0</v>
      </c>
      <c r="M102" s="1" t="n">
        <v>0</v>
      </c>
      <c r="N102" s="1" t="s">
        <v>167</v>
      </c>
      <c r="O102" s="1"/>
      <c r="P102" s="1"/>
      <c r="Q102" s="1"/>
      <c r="R102" s="1"/>
      <c r="S102" s="1"/>
      <c r="T102" s="1"/>
      <c r="Z102" s="0" t="n">
        <f aca="false">I102-8</f>
        <v>311.8</v>
      </c>
      <c r="AB102" s="0" t="n">
        <f aca="false">IF(Z102&lt;0,Z102+360,Z102+0)</f>
        <v>311.8</v>
      </c>
    </row>
    <row r="103" customFormat="false" ht="15.8" hidden="false" customHeight="false" outlineLevel="0" collapsed="false">
      <c r="A103" s="1" t="n">
        <v>3</v>
      </c>
      <c r="B103" s="1" t="n">
        <v>12</v>
      </c>
      <c r="C103" s="1" t="n">
        <v>1.4</v>
      </c>
      <c r="D103" s="1" t="n">
        <v>1.0256</v>
      </c>
      <c r="E103" s="1" t="n">
        <v>0.0521212</v>
      </c>
      <c r="F103" s="1" t="n">
        <v>0.000149814</v>
      </c>
      <c r="G103" s="1" t="s">
        <v>42</v>
      </c>
      <c r="H103" s="1" t="n">
        <v>34.5</v>
      </c>
      <c r="I103" s="1" t="n">
        <v>6.3</v>
      </c>
      <c r="J103" s="1" t="n">
        <v>0</v>
      </c>
      <c r="K103" s="1" t="n">
        <v>110.7</v>
      </c>
      <c r="L103" s="1" t="n">
        <v>0</v>
      </c>
      <c r="M103" s="1" t="n">
        <v>0</v>
      </c>
      <c r="N103" s="1" t="s">
        <v>168</v>
      </c>
      <c r="O103" s="1"/>
      <c r="P103" s="1"/>
      <c r="Q103" s="1"/>
      <c r="R103" s="1"/>
      <c r="S103" s="1"/>
      <c r="T103" s="1"/>
      <c r="Z103" s="0" t="n">
        <f aca="false">I103-8</f>
        <v>-1.7</v>
      </c>
      <c r="AB103" s="0" t="n">
        <f aca="false">IF(Z103&lt;0,Z103+360,Z103+0)</f>
        <v>358.3</v>
      </c>
    </row>
    <row r="104" customFormat="false" ht="15.8" hidden="false" customHeight="false" outlineLevel="0" collapsed="false">
      <c r="A104" s="1" t="n">
        <v>3</v>
      </c>
      <c r="B104" s="1" t="n">
        <v>12</v>
      </c>
      <c r="C104" s="1" t="n">
        <v>1.1</v>
      </c>
      <c r="D104" s="1" t="n">
        <v>1.086</v>
      </c>
      <c r="E104" s="1" t="n">
        <v>0.0402484</v>
      </c>
      <c r="F104" s="1" t="n">
        <v>0.000115687</v>
      </c>
      <c r="G104" s="1" t="s">
        <v>27</v>
      </c>
      <c r="H104" s="1" t="n">
        <v>35.3</v>
      </c>
      <c r="I104" s="1" t="n">
        <v>315</v>
      </c>
      <c r="J104" s="1" t="n">
        <v>-49.5</v>
      </c>
      <c r="K104" s="1"/>
      <c r="L104" s="1" t="n">
        <v>0</v>
      </c>
      <c r="M104" s="1" t="n">
        <v>0</v>
      </c>
      <c r="N104" s="1" t="s">
        <v>168</v>
      </c>
      <c r="O104" s="1"/>
      <c r="P104" s="1"/>
      <c r="Q104" s="1"/>
      <c r="R104" s="1"/>
      <c r="S104" s="1"/>
      <c r="T104" s="1"/>
      <c r="Z104" s="0" t="n">
        <f aca="false">I104-8</f>
        <v>307</v>
      </c>
      <c r="AB104" s="0" t="n">
        <f aca="false">IF(Z104&lt;0,Z104+360,Z104+0)</f>
        <v>307</v>
      </c>
    </row>
    <row r="105" customFormat="false" ht="15.8" hidden="false" customHeight="false" outlineLevel="0" collapsed="false">
      <c r="A105" s="1" t="n">
        <v>3</v>
      </c>
      <c r="B105" s="1" t="n">
        <v>11</v>
      </c>
      <c r="C105" s="1" t="n">
        <v>2.5</v>
      </c>
      <c r="D105" s="1" t="n">
        <v>1.1902</v>
      </c>
      <c r="E105" s="1" t="n">
        <v>0.0908545</v>
      </c>
      <c r="F105" s="1" t="n">
        <v>0.000261146</v>
      </c>
      <c r="G105" s="1" t="s">
        <v>42</v>
      </c>
      <c r="H105" s="1" t="n">
        <v>86.2</v>
      </c>
      <c r="I105" s="1" t="n">
        <v>358.1</v>
      </c>
      <c r="J105" s="1" t="n">
        <v>-33.6</v>
      </c>
      <c r="K105" s="1" t="n">
        <v>35.3</v>
      </c>
      <c r="L105" s="1" t="n">
        <v>0</v>
      </c>
      <c r="M105" s="1" t="n">
        <v>0</v>
      </c>
      <c r="N105" s="1" t="s">
        <v>166</v>
      </c>
      <c r="O105" s="1"/>
      <c r="P105" s="1"/>
      <c r="Q105" s="1"/>
      <c r="R105" s="1"/>
      <c r="S105" s="1"/>
      <c r="T105" s="1"/>
      <c r="Z105" s="0" t="n">
        <f aca="false">I105-8</f>
        <v>350.1</v>
      </c>
      <c r="AB105" s="0" t="n">
        <f aca="false">IF(Z105&lt;0,Z105+360,Z105+0)</f>
        <v>350.1</v>
      </c>
    </row>
    <row r="106" customFormat="false" ht="15.8" hidden="false" customHeight="false" outlineLevel="0" collapsed="false">
      <c r="A106" s="1" t="n">
        <v>3</v>
      </c>
      <c r="B106" s="1" t="n">
        <v>11</v>
      </c>
      <c r="C106" s="1" t="n">
        <v>1.5</v>
      </c>
      <c r="D106" s="1" t="n">
        <v>1.0963</v>
      </c>
      <c r="E106" s="1" t="n">
        <v>0.0526248</v>
      </c>
      <c r="F106" s="1" t="n">
        <v>0.000151261</v>
      </c>
      <c r="G106" s="1" t="s">
        <v>27</v>
      </c>
      <c r="H106" s="1" t="n">
        <v>65.9</v>
      </c>
      <c r="I106" s="1" t="n">
        <v>154.8</v>
      </c>
      <c r="J106" s="1" t="n">
        <v>-17.1</v>
      </c>
      <c r="K106" s="1"/>
      <c r="L106" s="1" t="n">
        <v>0</v>
      </c>
      <c r="M106" s="1" t="n">
        <v>0</v>
      </c>
      <c r="N106" s="1" t="s">
        <v>166</v>
      </c>
      <c r="O106" s="1"/>
      <c r="P106" s="1"/>
      <c r="Q106" s="1"/>
      <c r="R106" s="1"/>
      <c r="S106" s="1"/>
      <c r="T106" s="1"/>
      <c r="Z106" s="0" t="n">
        <f aca="false">I106-8</f>
        <v>146.8</v>
      </c>
      <c r="AB106" s="0" t="n">
        <f aca="false">IF(Z106&lt;0,Z106+360,Z106+0)</f>
        <v>146.8</v>
      </c>
    </row>
    <row r="107" customFormat="false" ht="15.8" hidden="false" customHeight="false" outlineLevel="0" collapsed="false">
      <c r="A107" s="1" t="n">
        <v>3</v>
      </c>
      <c r="B107" s="1" t="n">
        <v>10</v>
      </c>
      <c r="C107" s="1" t="n">
        <v>3.9</v>
      </c>
      <c r="D107" s="1" t="n">
        <v>1.2631</v>
      </c>
      <c r="E107" s="1" t="n">
        <v>0.140972</v>
      </c>
      <c r="F107" s="1" t="n">
        <v>0.0004052</v>
      </c>
      <c r="G107" s="1" t="s">
        <v>42</v>
      </c>
      <c r="H107" s="1" t="n">
        <v>34.1</v>
      </c>
      <c r="I107" s="1" t="n">
        <v>227.6</v>
      </c>
      <c r="J107" s="1" t="n">
        <v>-49.2</v>
      </c>
      <c r="K107" s="1" t="n">
        <v>86.2</v>
      </c>
      <c r="L107" s="1" t="n">
        <v>0</v>
      </c>
      <c r="M107" s="1" t="n">
        <v>0</v>
      </c>
      <c r="N107" s="1" t="s">
        <v>169</v>
      </c>
      <c r="O107" s="1"/>
      <c r="P107" s="1"/>
      <c r="Q107" s="1"/>
      <c r="R107" s="1"/>
      <c r="S107" s="1"/>
      <c r="T107" s="1"/>
      <c r="Z107" s="0" t="n">
        <f aca="false">I107-8</f>
        <v>219.6</v>
      </c>
      <c r="AB107" s="0" t="n">
        <f aca="false">IF(Z107&lt;0,Z107+360,Z107+0)</f>
        <v>219.6</v>
      </c>
    </row>
    <row r="108" customFormat="false" ht="15.8" hidden="false" customHeight="false" outlineLevel="0" collapsed="false">
      <c r="A108" s="1" t="n">
        <v>3</v>
      </c>
      <c r="B108" s="1" t="n">
        <v>10</v>
      </c>
      <c r="C108" s="1" t="n">
        <v>3.6</v>
      </c>
      <c r="D108" s="1" t="n">
        <v>1.0518</v>
      </c>
      <c r="E108" s="1" t="n">
        <v>0.130075</v>
      </c>
      <c r="F108" s="1" t="n">
        <v>0.000373878</v>
      </c>
      <c r="G108" s="1" t="s">
        <v>27</v>
      </c>
      <c r="H108" s="1" t="n">
        <v>51.6</v>
      </c>
      <c r="I108" s="1" t="n">
        <v>163.8</v>
      </c>
      <c r="J108" s="1" t="n">
        <v>0</v>
      </c>
      <c r="K108" s="1"/>
      <c r="L108" s="1" t="n">
        <v>0</v>
      </c>
      <c r="M108" s="1" t="n">
        <v>0</v>
      </c>
      <c r="N108" s="1" t="s">
        <v>169</v>
      </c>
      <c r="O108" s="1"/>
      <c r="P108" s="1"/>
      <c r="Q108" s="1"/>
      <c r="R108" s="1"/>
      <c r="S108" s="1"/>
      <c r="T108" s="1"/>
      <c r="Z108" s="0" t="n">
        <f aca="false">I108-8</f>
        <v>155.8</v>
      </c>
      <c r="AB108" s="0" t="n">
        <f aca="false">IF(Z108&lt;0,Z108+360,Z108+0)</f>
        <v>155.8</v>
      </c>
    </row>
    <row r="109" customFormat="false" ht="15.8" hidden="false" customHeight="false" outlineLevel="0" collapsed="false">
      <c r="A109" s="1" t="n">
        <v>3</v>
      </c>
      <c r="B109" s="1" t="n">
        <v>9</v>
      </c>
      <c r="C109" s="1" t="n">
        <v>1.2</v>
      </c>
      <c r="D109" s="1" t="n">
        <v>1.2185</v>
      </c>
      <c r="E109" s="1" t="n">
        <v>0.0441723</v>
      </c>
      <c r="F109" s="1" t="n">
        <v>0.000126966</v>
      </c>
      <c r="G109" s="1" t="s">
        <v>42</v>
      </c>
      <c r="H109" s="1" t="n">
        <v>66.9</v>
      </c>
      <c r="I109" s="1" t="n">
        <v>173.2</v>
      </c>
      <c r="J109" s="1" t="n">
        <v>-51</v>
      </c>
      <c r="K109" s="1" t="n">
        <v>51.6</v>
      </c>
      <c r="L109" s="1" t="n">
        <v>0</v>
      </c>
      <c r="M109" s="1" t="n">
        <v>0</v>
      </c>
      <c r="N109" s="1" t="s">
        <v>170</v>
      </c>
      <c r="O109" s="1"/>
      <c r="P109" s="1"/>
      <c r="Q109" s="1"/>
      <c r="R109" s="1"/>
      <c r="S109" s="1"/>
      <c r="T109" s="1"/>
      <c r="Z109" s="0" t="n">
        <f aca="false">I109-8</f>
        <v>165.2</v>
      </c>
      <c r="AB109" s="0" t="n">
        <f aca="false">IF(Z109&lt;0,Z109+360,Z109+0)</f>
        <v>165.2</v>
      </c>
    </row>
    <row r="110" customFormat="false" ht="15.8" hidden="false" customHeight="false" outlineLevel="0" collapsed="false">
      <c r="A110" s="1" t="n">
        <v>3</v>
      </c>
      <c r="B110" s="1" t="n">
        <v>9</v>
      </c>
      <c r="C110" s="1" t="n">
        <v>1.8</v>
      </c>
      <c r="D110" s="1" t="n">
        <v>1.2882</v>
      </c>
      <c r="E110" s="1" t="n">
        <v>0.0666079</v>
      </c>
      <c r="F110" s="1" t="n">
        <v>0.000191453</v>
      </c>
      <c r="G110" s="1" t="s">
        <v>27</v>
      </c>
      <c r="H110" s="1" t="n">
        <v>29.8</v>
      </c>
      <c r="I110" s="1" t="n">
        <v>323.6</v>
      </c>
      <c r="J110" s="1" t="n">
        <v>-33</v>
      </c>
      <c r="K110" s="1"/>
      <c r="L110" s="1" t="n">
        <v>0</v>
      </c>
      <c r="M110" s="1" t="n">
        <v>0</v>
      </c>
      <c r="N110" s="1" t="s">
        <v>170</v>
      </c>
      <c r="O110" s="1"/>
      <c r="P110" s="1"/>
      <c r="Q110" s="1"/>
      <c r="R110" s="1"/>
      <c r="S110" s="1"/>
      <c r="T110" s="1"/>
      <c r="Z110" s="0" t="n">
        <f aca="false">I110-8</f>
        <v>315.6</v>
      </c>
      <c r="AB110" s="0" t="n">
        <f aca="false">IF(Z110&lt;0,Z110+360,Z110+0)</f>
        <v>315.6</v>
      </c>
    </row>
    <row r="111" customFormat="false" ht="15.8" hidden="false" customHeight="false" outlineLevel="0" collapsed="false">
      <c r="A111" s="1" t="n">
        <v>3</v>
      </c>
      <c r="B111" s="1" t="n">
        <v>8</v>
      </c>
      <c r="C111" s="1" t="n">
        <v>0.6</v>
      </c>
      <c r="D111" s="1" t="n">
        <v>1.1211</v>
      </c>
      <c r="E111" s="1" t="n">
        <v>0.0212918</v>
      </c>
      <c r="F111" s="1" t="n">
        <v>6.11999E-005</v>
      </c>
      <c r="G111" s="1" t="s">
        <v>42</v>
      </c>
      <c r="H111" s="1" t="n">
        <v>99.1</v>
      </c>
      <c r="I111" s="1" t="n">
        <v>289</v>
      </c>
      <c r="J111" s="1" t="n">
        <v>-47.9</v>
      </c>
      <c r="K111" s="1" t="n">
        <v>66.9</v>
      </c>
      <c r="L111" s="1" t="n">
        <v>0</v>
      </c>
      <c r="M111" s="1" t="n">
        <v>0</v>
      </c>
      <c r="N111" s="1" t="s">
        <v>171</v>
      </c>
      <c r="O111" s="1"/>
      <c r="P111" s="1"/>
      <c r="Q111" s="1"/>
      <c r="R111" s="1"/>
      <c r="S111" s="1"/>
      <c r="T111" s="1"/>
      <c r="Z111" s="0" t="n">
        <f aca="false">I111-8</f>
        <v>281</v>
      </c>
      <c r="AB111" s="0" t="n">
        <f aca="false">IF(Z111&lt;0,Z111+360,Z111+0)</f>
        <v>281</v>
      </c>
    </row>
    <row r="112" customFormat="false" ht="15.8" hidden="false" customHeight="false" outlineLevel="0" collapsed="false">
      <c r="A112" s="1" t="n">
        <v>3</v>
      </c>
      <c r="B112" s="1" t="n">
        <v>11</v>
      </c>
      <c r="C112" s="1" t="n">
        <v>1.6</v>
      </c>
      <c r="D112" s="1" t="n">
        <v>1.0409</v>
      </c>
      <c r="E112" s="1" t="n">
        <v>0.0573228</v>
      </c>
      <c r="F112" s="1" t="n">
        <v>0.000164765</v>
      </c>
      <c r="G112" s="1" t="s">
        <v>27</v>
      </c>
      <c r="H112" s="1" t="n">
        <v>80.5</v>
      </c>
      <c r="I112" s="1" t="n">
        <v>290.8</v>
      </c>
      <c r="J112" s="1" t="n">
        <v>0</v>
      </c>
      <c r="K112" s="1"/>
      <c r="L112" s="1" t="n">
        <v>0</v>
      </c>
      <c r="M112" s="1" t="n">
        <v>0</v>
      </c>
      <c r="N112" s="1" t="s">
        <v>172</v>
      </c>
      <c r="O112" s="1"/>
      <c r="P112" s="1"/>
      <c r="Q112" s="1"/>
      <c r="R112" s="1"/>
      <c r="S112" s="1"/>
      <c r="T112" s="1"/>
      <c r="Z112" s="0" t="n">
        <f aca="false">I112-8</f>
        <v>282.8</v>
      </c>
      <c r="AB112" s="0" t="n">
        <f aca="false">IF(Z112&lt;0,Z112+360,Z112+0)</f>
        <v>282.8</v>
      </c>
    </row>
    <row r="113" customFormat="false" ht="15.8" hidden="false" customHeight="false" outlineLevel="0" collapsed="false">
      <c r="A113" s="1" t="n">
        <v>3</v>
      </c>
      <c r="B113" s="1" t="n">
        <v>11</v>
      </c>
      <c r="C113" s="1" t="n">
        <v>6.5</v>
      </c>
      <c r="D113" s="1" t="n">
        <v>1.2698</v>
      </c>
      <c r="E113" s="1" t="n">
        <v>0.235761</v>
      </c>
      <c r="F113" s="1" t="n">
        <v>0.000677655</v>
      </c>
      <c r="G113" s="1" t="s">
        <v>27</v>
      </c>
      <c r="H113" s="1" t="n">
        <v>4.6</v>
      </c>
      <c r="I113" s="1" t="n">
        <v>211.2</v>
      </c>
      <c r="J113" s="1" t="n">
        <v>22.3</v>
      </c>
      <c r="K113" s="1"/>
      <c r="L113" s="1" t="n">
        <v>0</v>
      </c>
      <c r="M113" s="1" t="n">
        <v>0</v>
      </c>
      <c r="N113" s="1" t="s">
        <v>172</v>
      </c>
      <c r="O113" s="1"/>
      <c r="P113" s="1"/>
      <c r="Q113" s="1"/>
      <c r="R113" s="1"/>
      <c r="S113" s="1"/>
      <c r="T113" s="1"/>
      <c r="Z113" s="0" t="n">
        <f aca="false">I113-8</f>
        <v>203.2</v>
      </c>
      <c r="AB113" s="0" t="n">
        <f aca="false">IF(Z113&lt;0,Z113+360,Z113+0)</f>
        <v>203.2</v>
      </c>
    </row>
    <row r="114" customFormat="false" ht="15.8" hidden="false" customHeight="false" outlineLevel="0" collapsed="false">
      <c r="A114" s="1" t="n">
        <v>3</v>
      </c>
      <c r="B114" s="1" t="n">
        <v>11</v>
      </c>
      <c r="C114" s="1" t="n">
        <v>7</v>
      </c>
      <c r="D114" s="1" t="n">
        <v>1.2577</v>
      </c>
      <c r="E114" s="1" t="n">
        <v>0.251471</v>
      </c>
      <c r="F114" s="1" t="n">
        <v>0.00072281</v>
      </c>
      <c r="G114" s="1" t="s">
        <v>27</v>
      </c>
      <c r="H114" s="1" t="n">
        <v>56.9</v>
      </c>
      <c r="I114" s="1" t="n">
        <v>150.2</v>
      </c>
      <c r="J114" s="1" t="n">
        <v>20.6</v>
      </c>
      <c r="K114" s="1"/>
      <c r="L114" s="1" t="n">
        <v>0</v>
      </c>
      <c r="M114" s="1" t="n">
        <v>0</v>
      </c>
      <c r="N114" s="1" t="s">
        <v>172</v>
      </c>
      <c r="O114" s="1"/>
      <c r="P114" s="1"/>
      <c r="Q114" s="1"/>
      <c r="R114" s="1"/>
      <c r="S114" s="1"/>
      <c r="T114" s="1"/>
      <c r="Z114" s="0" t="n">
        <f aca="false">I114-8</f>
        <v>142.2</v>
      </c>
      <c r="AB114" s="0" t="n">
        <f aca="false">IF(Z114&lt;0,Z114+360,Z114+0)</f>
        <v>142.2</v>
      </c>
    </row>
    <row r="115" customFormat="false" ht="15.8" hidden="false" customHeight="false" outlineLevel="0" collapsed="false">
      <c r="A115" s="1" t="n">
        <v>3</v>
      </c>
      <c r="B115" s="1" t="n">
        <v>10</v>
      </c>
      <c r="C115" s="1" t="n">
        <v>4.6</v>
      </c>
      <c r="D115" s="1" t="n">
        <v>1.1888</v>
      </c>
      <c r="E115" s="1" t="n">
        <v>0.16522</v>
      </c>
      <c r="F115" s="1" t="n">
        <v>0.000474898</v>
      </c>
      <c r="G115" s="1" t="s">
        <v>42</v>
      </c>
      <c r="H115" s="1" t="n">
        <v>30.3</v>
      </c>
      <c r="I115" s="1" t="n">
        <v>210.7</v>
      </c>
      <c r="J115" s="1" t="n">
        <v>17.7</v>
      </c>
      <c r="K115" s="1" t="n">
        <v>80.5</v>
      </c>
      <c r="L115" s="1" t="n">
        <v>0</v>
      </c>
      <c r="M115" s="1" t="n">
        <v>0</v>
      </c>
      <c r="N115" s="1" t="s">
        <v>173</v>
      </c>
      <c r="O115" s="1"/>
      <c r="P115" s="1"/>
      <c r="Q115" s="1"/>
      <c r="R115" s="1"/>
      <c r="S115" s="1"/>
      <c r="T115" s="1"/>
      <c r="Z115" s="0" t="n">
        <f aca="false">I115-8</f>
        <v>202.7</v>
      </c>
      <c r="AB115" s="0" t="n">
        <f aca="false">IF(Z115&lt;0,Z115+360,Z115+0)</f>
        <v>202.7</v>
      </c>
    </row>
    <row r="116" customFormat="false" ht="15.8" hidden="false" customHeight="false" outlineLevel="0" collapsed="false">
      <c r="A116" s="1" t="n">
        <v>3</v>
      </c>
      <c r="B116" s="1" t="n">
        <v>10</v>
      </c>
      <c r="C116" s="1" t="n">
        <v>1.2</v>
      </c>
      <c r="D116" s="1" t="n">
        <v>1.3163</v>
      </c>
      <c r="E116" s="1" t="n">
        <v>0.044664</v>
      </c>
      <c r="F116" s="1" t="n">
        <v>0.000128379</v>
      </c>
      <c r="G116" s="1" t="s">
        <v>27</v>
      </c>
      <c r="H116" s="1" t="n">
        <v>57.2</v>
      </c>
      <c r="I116" s="1" t="n">
        <v>132.3</v>
      </c>
      <c r="J116" s="1" t="n">
        <v>-24.5</v>
      </c>
      <c r="K116" s="1"/>
      <c r="L116" s="1" t="n">
        <v>0</v>
      </c>
      <c r="M116" s="1" t="n">
        <v>0</v>
      </c>
      <c r="N116" s="1" t="s">
        <v>173</v>
      </c>
      <c r="O116" s="1"/>
      <c r="P116" s="1"/>
      <c r="Q116" s="1"/>
      <c r="R116" s="1"/>
      <c r="S116" s="1"/>
      <c r="T116" s="1"/>
      <c r="Z116" s="0" t="n">
        <f aca="false">I116-8</f>
        <v>124.3</v>
      </c>
      <c r="AB116" s="0" t="n">
        <f aca="false">IF(Z116&lt;0,Z116+360,Z116+0)</f>
        <v>124.3</v>
      </c>
    </row>
    <row r="117" customFormat="false" ht="15.8" hidden="false" customHeight="false" outlineLevel="0" collapsed="false">
      <c r="A117" s="1" t="n">
        <v>3</v>
      </c>
      <c r="B117" s="1" t="n">
        <v>9</v>
      </c>
      <c r="C117" s="1" t="n">
        <v>1.5</v>
      </c>
      <c r="D117" s="1" t="n">
        <v>1.0811</v>
      </c>
      <c r="E117" s="1" t="n">
        <v>0.0545609</v>
      </c>
      <c r="F117" s="1" t="n">
        <v>0.000156826</v>
      </c>
      <c r="G117" s="1" t="s">
        <v>42</v>
      </c>
      <c r="H117" s="1" t="n">
        <v>41.5</v>
      </c>
      <c r="I117" s="1" t="n">
        <v>185.8</v>
      </c>
      <c r="J117" s="1" t="n">
        <v>0</v>
      </c>
      <c r="K117" s="1" t="n">
        <v>57.2</v>
      </c>
      <c r="L117" s="1" t="n">
        <v>0</v>
      </c>
      <c r="M117" s="1" t="n">
        <v>0</v>
      </c>
      <c r="N117" s="1" t="s">
        <v>174</v>
      </c>
      <c r="O117" s="1"/>
      <c r="P117" s="1"/>
      <c r="Q117" s="1"/>
      <c r="R117" s="1"/>
      <c r="S117" s="1"/>
      <c r="T117" s="1"/>
      <c r="Z117" s="0" t="n">
        <f aca="false">I117-8</f>
        <v>177.8</v>
      </c>
      <c r="AB117" s="0" t="n">
        <f aca="false">IF(Z117&lt;0,Z117+360,Z117+0)</f>
        <v>177.8</v>
      </c>
    </row>
    <row r="118" customFormat="false" ht="15.8" hidden="false" customHeight="false" outlineLevel="0" collapsed="false">
      <c r="A118" s="1" t="n">
        <v>3</v>
      </c>
      <c r="B118" s="1" t="n">
        <v>10</v>
      </c>
      <c r="C118" s="1" t="n">
        <v>1.6</v>
      </c>
      <c r="D118" s="1" t="n">
        <v>2.4056</v>
      </c>
      <c r="E118" s="1" t="n">
        <v>0.0578055</v>
      </c>
      <c r="F118" s="1" t="n">
        <v>0.000166152</v>
      </c>
      <c r="G118" s="1" t="s">
        <v>27</v>
      </c>
      <c r="H118" s="1" t="n">
        <v>37.8</v>
      </c>
      <c r="I118" s="1" t="n">
        <v>187.6</v>
      </c>
      <c r="J118" s="1" t="n">
        <v>0</v>
      </c>
      <c r="K118" s="1"/>
      <c r="L118" s="1" t="n">
        <v>0</v>
      </c>
      <c r="M118" s="1" t="n">
        <v>0</v>
      </c>
      <c r="N118" s="1" t="s">
        <v>175</v>
      </c>
      <c r="O118" s="1"/>
      <c r="P118" s="1"/>
      <c r="Q118" s="1"/>
      <c r="R118" s="1"/>
      <c r="S118" s="1"/>
      <c r="T118" s="1"/>
      <c r="Z118" s="0" t="n">
        <f aca="false">I118-8</f>
        <v>179.6</v>
      </c>
      <c r="AB118" s="0" t="n">
        <f aca="false">IF(Z118&lt;0,Z118+360,Z118+0)</f>
        <v>179.6</v>
      </c>
    </row>
    <row r="119" customFormat="false" ht="15.8" hidden="false" customHeight="false" outlineLevel="0" collapsed="false">
      <c r="A119" s="1" t="n">
        <v>3</v>
      </c>
      <c r="B119" s="1" t="n">
        <v>10</v>
      </c>
      <c r="C119" s="1" t="n">
        <v>2.1</v>
      </c>
      <c r="D119" s="1" t="n">
        <v>1.3607</v>
      </c>
      <c r="E119" s="1" t="n">
        <v>0.074097</v>
      </c>
      <c r="F119" s="1" t="n">
        <v>0.00021298</v>
      </c>
      <c r="G119" s="1" t="s">
        <v>27</v>
      </c>
      <c r="H119" s="1" t="n">
        <v>56.2</v>
      </c>
      <c r="I119" s="1" t="n">
        <v>93.6</v>
      </c>
      <c r="J119" s="1" t="n">
        <v>31.2</v>
      </c>
      <c r="K119" s="1"/>
      <c r="L119" s="1" t="n">
        <v>0</v>
      </c>
      <c r="M119" s="1" t="n">
        <v>0</v>
      </c>
      <c r="N119" s="1" t="s">
        <v>175</v>
      </c>
      <c r="O119" s="1"/>
      <c r="P119" s="1"/>
      <c r="Q119" s="1"/>
      <c r="R119" s="1"/>
      <c r="S119" s="1"/>
      <c r="T119" s="1"/>
      <c r="Z119" s="0" t="n">
        <f aca="false">I119-8</f>
        <v>85.6</v>
      </c>
      <c r="AB119" s="0" t="n">
        <f aca="false">IF(Z119&lt;0,Z119+360,Z119+0)</f>
        <v>85.6</v>
      </c>
    </row>
    <row r="120" customFormat="false" ht="15.8" hidden="false" customHeight="false" outlineLevel="0" collapsed="false">
      <c r="A120" s="1" t="n">
        <v>3</v>
      </c>
      <c r="B120" s="1" t="n">
        <v>10</v>
      </c>
      <c r="C120" s="1" t="n">
        <v>4.6</v>
      </c>
      <c r="D120" s="1" t="n">
        <v>1.1279</v>
      </c>
      <c r="E120" s="1" t="n">
        <v>0.166845</v>
      </c>
      <c r="F120" s="1" t="n">
        <v>0.000479567</v>
      </c>
      <c r="G120" s="1" t="s">
        <v>27</v>
      </c>
      <c r="H120" s="1" t="n">
        <v>24.2</v>
      </c>
      <c r="I120" s="1" t="n">
        <v>176.4</v>
      </c>
      <c r="J120" s="1" t="n">
        <v>11</v>
      </c>
      <c r="K120" s="1"/>
      <c r="L120" s="1" t="n">
        <v>0</v>
      </c>
      <c r="M120" s="1" t="n">
        <v>0</v>
      </c>
      <c r="N120" s="1" t="s">
        <v>175</v>
      </c>
      <c r="O120" s="1"/>
      <c r="P120" s="1"/>
      <c r="Q120" s="1"/>
      <c r="R120" s="1"/>
      <c r="S120" s="1"/>
      <c r="T120" s="1"/>
      <c r="Z120" s="0" t="n">
        <f aca="false">I120-8</f>
        <v>168.4</v>
      </c>
      <c r="AB120" s="0" t="n">
        <f aca="false">IF(Z120&lt;0,Z120+360,Z120+0)</f>
        <v>168.4</v>
      </c>
    </row>
    <row r="121" customFormat="false" ht="15.8" hidden="false" customHeight="false" outlineLevel="0" collapsed="false">
      <c r="A121" s="1" t="n">
        <v>3</v>
      </c>
      <c r="B121" s="1" t="n">
        <v>9</v>
      </c>
      <c r="C121" s="1" t="n">
        <v>6.1</v>
      </c>
      <c r="D121" s="1" t="n">
        <v>1.1654</v>
      </c>
      <c r="E121" s="1" t="n">
        <v>0.221017</v>
      </c>
      <c r="F121" s="1" t="n">
        <v>0.000635278</v>
      </c>
      <c r="G121" s="1" t="s">
        <v>42</v>
      </c>
      <c r="H121" s="1" t="n">
        <v>13.6</v>
      </c>
      <c r="I121" s="1" t="n">
        <v>151.7</v>
      </c>
      <c r="J121" s="1" t="n">
        <v>12.9</v>
      </c>
      <c r="K121" s="1" t="n">
        <v>56.2</v>
      </c>
      <c r="L121" s="1" t="n">
        <v>0</v>
      </c>
      <c r="M121" s="1" t="n">
        <v>0</v>
      </c>
      <c r="N121" s="1" t="s">
        <v>174</v>
      </c>
      <c r="O121" s="1"/>
      <c r="P121" s="1"/>
      <c r="Q121" s="1"/>
      <c r="R121" s="1"/>
      <c r="S121" s="1"/>
      <c r="T121" s="1"/>
      <c r="Z121" s="0" t="n">
        <f aca="false">I121-8</f>
        <v>143.7</v>
      </c>
      <c r="AB121" s="0" t="n">
        <f aca="false">IF(Z121&lt;0,Z121+360,Z121+0)</f>
        <v>143.7</v>
      </c>
    </row>
    <row r="122" customFormat="false" ht="15.8" hidden="false" customHeight="false" outlineLevel="0" collapsed="false">
      <c r="A122" s="1" t="n">
        <v>3</v>
      </c>
      <c r="B122" s="1" t="n">
        <v>8</v>
      </c>
      <c r="C122" s="1" t="n">
        <v>2</v>
      </c>
      <c r="D122" s="1" t="n">
        <v>1.1534</v>
      </c>
      <c r="E122" s="1" t="n">
        <v>0.0729739</v>
      </c>
      <c r="F122" s="1" t="n">
        <v>0.000209751</v>
      </c>
      <c r="G122" s="1" t="s">
        <v>42</v>
      </c>
      <c r="H122" s="1" t="n">
        <v>41.3</v>
      </c>
      <c r="I122" s="1" t="n">
        <v>152.5</v>
      </c>
      <c r="J122" s="1" t="n">
        <v>26.4</v>
      </c>
      <c r="K122" s="1" t="n">
        <v>41.5</v>
      </c>
      <c r="L122" s="1" t="n">
        <v>0</v>
      </c>
      <c r="M122" s="1" t="n">
        <v>0</v>
      </c>
      <c r="N122" s="1" t="s">
        <v>171</v>
      </c>
      <c r="O122" s="1"/>
      <c r="P122" s="1"/>
      <c r="Q122" s="1"/>
      <c r="R122" s="1"/>
      <c r="S122" s="1"/>
      <c r="T122" s="1"/>
      <c r="Z122" s="0" t="n">
        <f aca="false">I122-8</f>
        <v>144.5</v>
      </c>
      <c r="AB122" s="0" t="n">
        <f aca="false">IF(Z122&lt;0,Z122+360,Z122+0)</f>
        <v>144.5</v>
      </c>
    </row>
    <row r="123" customFormat="false" ht="15.8" hidden="false" customHeight="false" outlineLevel="0" collapsed="false">
      <c r="A123" s="1" t="n">
        <v>3</v>
      </c>
      <c r="B123" s="1" t="n">
        <v>7</v>
      </c>
      <c r="C123" s="1" t="n">
        <v>1.8</v>
      </c>
      <c r="D123" s="1" t="n">
        <v>1.3635</v>
      </c>
      <c r="E123" s="1" t="n">
        <v>0.0654167</v>
      </c>
      <c r="F123" s="1" t="n">
        <v>0.000188029</v>
      </c>
      <c r="G123" s="1" t="s">
        <v>42</v>
      </c>
      <c r="H123" s="1" t="n">
        <v>38.1</v>
      </c>
      <c r="I123" s="1" t="n">
        <v>185.5</v>
      </c>
      <c r="J123" s="1" t="n">
        <v>0</v>
      </c>
      <c r="K123" s="1" t="n">
        <v>99.1</v>
      </c>
      <c r="L123" s="1" t="n">
        <v>0</v>
      </c>
      <c r="M123" s="1" t="n">
        <v>0</v>
      </c>
      <c r="N123" s="1" t="s">
        <v>163</v>
      </c>
      <c r="O123" s="1"/>
      <c r="P123" s="1"/>
      <c r="Q123" s="1"/>
      <c r="R123" s="1"/>
      <c r="S123" s="1"/>
      <c r="T123" s="1"/>
      <c r="Z123" s="0" t="n">
        <f aca="false">I123-8</f>
        <v>177.5</v>
      </c>
      <c r="AB123" s="0" t="n">
        <f aca="false">IF(Z123&lt;0,Z123+360,Z123+0)</f>
        <v>177.5</v>
      </c>
    </row>
    <row r="124" customFormat="false" ht="15.8" hidden="false" customHeight="false" outlineLevel="0" collapsed="false">
      <c r="A124" s="1" t="n">
        <v>3</v>
      </c>
      <c r="B124" s="1" t="n">
        <v>6</v>
      </c>
      <c r="C124" s="1" t="n">
        <v>2.2</v>
      </c>
      <c r="D124" s="1" t="n">
        <v>1.061</v>
      </c>
      <c r="E124" s="1" t="n">
        <v>0.07874</v>
      </c>
      <c r="F124" s="1" t="n">
        <v>0.000226325</v>
      </c>
      <c r="G124" s="1" t="s">
        <v>42</v>
      </c>
      <c r="H124" s="1" t="n">
        <v>21.5</v>
      </c>
      <c r="I124" s="1" t="n">
        <v>148.8</v>
      </c>
      <c r="J124" s="1" t="n">
        <v>-10.9</v>
      </c>
      <c r="K124" s="1" t="n">
        <v>38.1</v>
      </c>
      <c r="L124" s="1" t="n">
        <v>0</v>
      </c>
      <c r="M124" s="1" t="n">
        <v>0</v>
      </c>
      <c r="N124" s="1" t="s">
        <v>162</v>
      </c>
      <c r="O124" s="1"/>
      <c r="P124" s="1"/>
      <c r="Q124" s="1"/>
      <c r="R124" s="1"/>
      <c r="S124" s="1"/>
      <c r="T124" s="1"/>
      <c r="Z124" s="0" t="n">
        <f aca="false">I124-8</f>
        <v>140.8</v>
      </c>
      <c r="AB124" s="0" t="n">
        <f aca="false">IF(Z124&lt;0,Z124+360,Z124+0)</f>
        <v>140.8</v>
      </c>
    </row>
    <row r="125" customFormat="false" ht="15.8" hidden="false" customHeight="false" outlineLevel="0" collapsed="false">
      <c r="A125" s="1" t="n">
        <v>3</v>
      </c>
      <c r="B125" s="1" t="n">
        <v>5</v>
      </c>
      <c r="C125" s="1" t="n">
        <v>1.2</v>
      </c>
      <c r="D125" s="1" t="n">
        <v>1.0041</v>
      </c>
      <c r="E125" s="1" t="n">
        <v>0.0440068</v>
      </c>
      <c r="F125" s="1" t="n">
        <v>0.00012649</v>
      </c>
      <c r="G125" s="1" t="s">
        <v>42</v>
      </c>
      <c r="H125" s="1" t="n">
        <v>12.4</v>
      </c>
      <c r="I125" s="1" t="n">
        <v>167.4</v>
      </c>
      <c r="J125" s="1" t="n">
        <v>0</v>
      </c>
      <c r="K125" s="1" t="n">
        <v>85.5</v>
      </c>
      <c r="L125" s="1" t="n">
        <v>0</v>
      </c>
      <c r="M125" s="1" t="n">
        <v>0</v>
      </c>
      <c r="N125" s="1" t="s">
        <v>161</v>
      </c>
      <c r="O125" s="1"/>
      <c r="P125" s="1"/>
      <c r="Q125" s="1"/>
      <c r="R125" s="1"/>
      <c r="S125" s="1"/>
      <c r="T125" s="1"/>
      <c r="Z125" s="0" t="n">
        <f aca="false">I125-8</f>
        <v>159.4</v>
      </c>
      <c r="AB125" s="0" t="n">
        <f aca="false">IF(Z125&lt;0,Z125+360,Z125+0)</f>
        <v>159.4</v>
      </c>
    </row>
    <row r="126" customFormat="false" ht="15.8" hidden="false" customHeight="false" outlineLevel="0" collapsed="false">
      <c r="A126" s="1" t="n">
        <v>3</v>
      </c>
      <c r="B126" s="1" t="n">
        <v>4</v>
      </c>
      <c r="C126" s="1" t="n">
        <v>4.4</v>
      </c>
      <c r="D126" s="1" t="n">
        <v>1.0149</v>
      </c>
      <c r="E126" s="1" t="n">
        <v>0.160161</v>
      </c>
      <c r="F126" s="1" t="n">
        <v>0.000460356</v>
      </c>
      <c r="G126" s="1" t="s">
        <v>42</v>
      </c>
      <c r="H126" s="1" t="n">
        <v>16.3</v>
      </c>
      <c r="I126" s="1" t="n">
        <v>179.8</v>
      </c>
      <c r="J126" s="1" t="n">
        <v>0</v>
      </c>
      <c r="K126" s="1" t="n">
        <v>69</v>
      </c>
      <c r="L126" s="1" t="n">
        <v>0</v>
      </c>
      <c r="M126" s="1" t="n">
        <v>0</v>
      </c>
      <c r="N126" s="1" t="s">
        <v>158</v>
      </c>
      <c r="O126" s="1"/>
      <c r="P126" s="1"/>
      <c r="Q126" s="1"/>
      <c r="R126" s="1"/>
      <c r="S126" s="1"/>
      <c r="T126" s="1"/>
      <c r="Z126" s="0" t="n">
        <f aca="false">I126-8</f>
        <v>171.8</v>
      </c>
      <c r="AB126" s="0" t="n">
        <f aca="false">IF(Z126&lt;0,Z126+360,Z126+0)</f>
        <v>171.8</v>
      </c>
    </row>
    <row r="127" customFormat="false" ht="15.8" hidden="false" customHeight="false" outlineLevel="0" collapsed="false">
      <c r="A127" s="1" t="n">
        <v>3</v>
      </c>
      <c r="B127" s="1" t="n">
        <v>3</v>
      </c>
      <c r="C127" s="1" t="n">
        <v>3.9</v>
      </c>
      <c r="D127" s="1" t="n">
        <v>1.2139</v>
      </c>
      <c r="E127" s="1" t="n">
        <v>0.139725</v>
      </c>
      <c r="F127" s="1" t="n">
        <v>0.000401616</v>
      </c>
      <c r="G127" s="1" t="s">
        <v>42</v>
      </c>
      <c r="H127" s="1" t="n">
        <v>10.9</v>
      </c>
      <c r="I127" s="1" t="n">
        <v>163.6</v>
      </c>
      <c r="J127" s="1" t="n">
        <v>0</v>
      </c>
      <c r="K127" s="1" t="n">
        <v>35</v>
      </c>
      <c r="L127" s="1" t="n">
        <v>0</v>
      </c>
      <c r="M127" s="1" t="n">
        <v>0</v>
      </c>
      <c r="N127" s="1" t="s">
        <v>140</v>
      </c>
      <c r="O127" s="1"/>
      <c r="P127" s="1"/>
      <c r="Q127" s="1"/>
      <c r="R127" s="1"/>
      <c r="S127" s="1"/>
      <c r="T127" s="1"/>
      <c r="Z127" s="0" t="n">
        <f aca="false">I127-8</f>
        <v>155.6</v>
      </c>
      <c r="AB127" s="0" t="n">
        <f aca="false">IF(Z127&lt;0,Z127+360,Z127+0)</f>
        <v>155.6</v>
      </c>
    </row>
    <row r="128" customFormat="false" ht="15.8" hidden="false" customHeight="false" outlineLevel="0" collapsed="false">
      <c r="A128" s="1" t="n">
        <v>3</v>
      </c>
      <c r="B128" s="1" t="n">
        <v>2</v>
      </c>
      <c r="C128" s="1" t="n">
        <v>5</v>
      </c>
      <c r="D128" s="1" t="n">
        <v>1.1038</v>
      </c>
      <c r="E128" s="1" t="n">
        <v>0.178953</v>
      </c>
      <c r="F128" s="1" t="n">
        <v>0.00051437</v>
      </c>
      <c r="G128" s="1" t="s">
        <v>42</v>
      </c>
      <c r="H128" s="1" t="n">
        <v>43.3</v>
      </c>
      <c r="I128" s="1" t="n">
        <v>167.8</v>
      </c>
      <c r="J128" s="1" t="n">
        <v>-10</v>
      </c>
      <c r="K128" s="1" t="n">
        <v>60.3</v>
      </c>
      <c r="L128" s="1" t="n">
        <v>0</v>
      </c>
      <c r="M128" s="1" t="n">
        <v>0</v>
      </c>
      <c r="N128" s="1" t="s">
        <v>133</v>
      </c>
      <c r="O128" s="1"/>
      <c r="P128" s="1"/>
      <c r="Q128" s="1"/>
      <c r="R128" s="1"/>
      <c r="S128" s="1"/>
      <c r="T128" s="1"/>
      <c r="Z128" s="0" t="n">
        <f aca="false">I128-8</f>
        <v>159.8</v>
      </c>
      <c r="AB128" s="0" t="n">
        <f aca="false">IF(Z128&lt;0,Z128+360,Z128+0)</f>
        <v>159.8</v>
      </c>
    </row>
    <row r="129" customFormat="false" ht="15.8" hidden="false" customHeight="false" outlineLevel="0" collapsed="false">
      <c r="A129" s="1" t="n">
        <v>3</v>
      </c>
      <c r="B129" s="1" t="n">
        <v>1</v>
      </c>
      <c r="C129" s="1" t="n">
        <v>0.8</v>
      </c>
      <c r="D129" s="1" t="n">
        <v>1.0002</v>
      </c>
      <c r="E129" s="1" t="n">
        <v>0.0304093</v>
      </c>
      <c r="F129" s="1" t="n">
        <v>8.74065E-005</v>
      </c>
      <c r="G129" s="1" t="s">
        <v>42</v>
      </c>
      <c r="H129" s="1"/>
      <c r="I129" s="1" t="n">
        <v>210.1</v>
      </c>
      <c r="J129" s="1" t="n">
        <v>0</v>
      </c>
      <c r="K129" s="1" t="n">
        <v>46.7</v>
      </c>
      <c r="L129" s="1" t="n">
        <v>0</v>
      </c>
      <c r="M129" s="1" t="n">
        <v>0</v>
      </c>
      <c r="N129" s="1" t="s">
        <v>176</v>
      </c>
      <c r="O129" s="1"/>
      <c r="P129" s="1"/>
      <c r="Q129" s="1"/>
      <c r="R129" s="1"/>
      <c r="S129" s="1"/>
      <c r="T129" s="1"/>
      <c r="Z129" s="0" t="n">
        <f aca="false">I129-8</f>
        <v>202.1</v>
      </c>
      <c r="AB129" s="0" t="n">
        <f aca="false">IF(Z129&lt;0,Z129+360,Z129+0)</f>
        <v>202.1</v>
      </c>
    </row>
    <row r="130" customFormat="false" ht="15.8" hidden="false" customHeight="false" outlineLevel="0" collapsed="false">
      <c r="A130" s="1" t="n">
        <v>4</v>
      </c>
      <c r="B130" s="1" t="n">
        <v>2</v>
      </c>
      <c r="C130" s="1" t="n">
        <v>3.8</v>
      </c>
      <c r="D130" s="1" t="n">
        <v>1.1768</v>
      </c>
      <c r="E130" s="1" t="n">
        <v>0.135612</v>
      </c>
      <c r="F130" s="1" t="n">
        <v>0.000389794</v>
      </c>
      <c r="G130" s="1" t="s">
        <v>27</v>
      </c>
      <c r="H130" s="1" t="n">
        <v>13.3</v>
      </c>
      <c r="I130" s="1" t="n">
        <v>324.5</v>
      </c>
      <c r="J130" s="1" t="n">
        <v>0</v>
      </c>
      <c r="K130" s="1"/>
      <c r="L130" s="1" t="n">
        <v>0</v>
      </c>
      <c r="M130" s="1" t="n">
        <v>0</v>
      </c>
      <c r="N130" s="1" t="s">
        <v>177</v>
      </c>
      <c r="O130" s="1"/>
      <c r="P130" s="1"/>
      <c r="Q130" s="1"/>
      <c r="R130" s="1"/>
      <c r="S130" s="1"/>
      <c r="T130" s="1"/>
      <c r="Z130" s="0" t="n">
        <f aca="false">I130-8</f>
        <v>316.5</v>
      </c>
      <c r="AB130" s="0" t="n">
        <f aca="false">IF(Z130&lt;0,Z130+360,Z130+0)</f>
        <v>316.5</v>
      </c>
    </row>
    <row r="131" customFormat="false" ht="15.8" hidden="false" customHeight="false" outlineLevel="0" collapsed="false">
      <c r="A131" s="1" t="n">
        <v>4</v>
      </c>
      <c r="B131" s="1" t="n">
        <v>2</v>
      </c>
      <c r="C131" s="1" t="n">
        <v>2.2</v>
      </c>
      <c r="D131" s="1" t="n">
        <v>1.2941</v>
      </c>
      <c r="E131" s="1" t="n">
        <v>0.0786127</v>
      </c>
      <c r="F131" s="1" t="n">
        <v>0.000225959</v>
      </c>
      <c r="G131" s="1" t="s">
        <v>27</v>
      </c>
      <c r="H131" s="1" t="n">
        <v>67.1</v>
      </c>
      <c r="I131" s="1" t="n">
        <v>254</v>
      </c>
      <c r="J131" s="1" t="n">
        <v>44.1</v>
      </c>
      <c r="K131" s="1"/>
      <c r="L131" s="1" t="n">
        <v>0</v>
      </c>
      <c r="M131" s="1" t="n">
        <v>0</v>
      </c>
      <c r="N131" s="1" t="s">
        <v>177</v>
      </c>
      <c r="O131" s="1"/>
      <c r="P131" s="1"/>
      <c r="Q131" s="1"/>
      <c r="R131" s="1"/>
      <c r="S131" s="1"/>
      <c r="T131" s="1"/>
      <c r="Z131" s="0" t="n">
        <f aca="false">I131-8</f>
        <v>246</v>
      </c>
      <c r="AB131" s="0" t="n">
        <f aca="false">IF(Z131&lt;0,Z131+360,Z131+0)</f>
        <v>246</v>
      </c>
    </row>
    <row r="132" customFormat="false" ht="15.8" hidden="false" customHeight="false" outlineLevel="0" collapsed="false">
      <c r="A132" s="1" t="n">
        <v>4</v>
      </c>
      <c r="B132" s="1" t="n">
        <v>1</v>
      </c>
      <c r="C132" s="1" t="n">
        <v>2.1</v>
      </c>
      <c r="D132" s="1" t="n">
        <v>1.1554</v>
      </c>
      <c r="E132" s="1" t="n">
        <v>0.077188</v>
      </c>
      <c r="F132" s="1" t="n">
        <v>0.000221864</v>
      </c>
      <c r="G132" s="1" t="s">
        <v>42</v>
      </c>
      <c r="H132" s="1"/>
      <c r="I132" s="1" t="n">
        <v>311.2</v>
      </c>
      <c r="J132" s="1" t="n">
        <v>0</v>
      </c>
      <c r="K132" s="1" t="n">
        <v>67.1</v>
      </c>
      <c r="L132" s="1" t="n">
        <v>0</v>
      </c>
      <c r="M132" s="1" t="n">
        <v>0</v>
      </c>
      <c r="N132" s="1" t="s">
        <v>178</v>
      </c>
      <c r="O132" s="1"/>
      <c r="P132" s="1"/>
      <c r="Q132" s="1"/>
      <c r="R132" s="1"/>
      <c r="S132" s="1"/>
      <c r="T132" s="1"/>
      <c r="Z132" s="0" t="n">
        <f aca="false">I132-8</f>
        <v>303.2</v>
      </c>
      <c r="AB132" s="0" t="n">
        <f aca="false">IF(Z132&lt;0,Z132+360,Z132+0)</f>
        <v>303.2</v>
      </c>
    </row>
    <row r="133" customFormat="false" ht="15.8" hidden="false" customHeight="false" outlineLevel="0" collapsed="false">
      <c r="A133" s="1" t="n">
        <v>5</v>
      </c>
      <c r="B133" s="1" t="n">
        <v>3</v>
      </c>
      <c r="C133" s="1" t="n">
        <v>6.2</v>
      </c>
      <c r="D133" s="1" t="n">
        <v>1.2187</v>
      </c>
      <c r="E133" s="1" t="n">
        <v>0.222841</v>
      </c>
      <c r="F133" s="1" t="n">
        <v>0.000640518</v>
      </c>
      <c r="G133" s="1" t="s">
        <v>27</v>
      </c>
      <c r="H133" s="1" t="n">
        <v>11.6</v>
      </c>
      <c r="I133" s="1" t="n">
        <v>354.5</v>
      </c>
      <c r="J133" s="1" t="n">
        <v>4.4</v>
      </c>
      <c r="K133" s="1"/>
      <c r="L133" s="1" t="n">
        <v>0</v>
      </c>
      <c r="M133" s="1" t="n">
        <v>0</v>
      </c>
      <c r="N133" s="1" t="s">
        <v>179</v>
      </c>
      <c r="O133" s="1"/>
      <c r="P133" s="1"/>
      <c r="Q133" s="1"/>
      <c r="R133" s="1"/>
      <c r="S133" s="1"/>
      <c r="T133" s="1"/>
      <c r="Z133" s="0" t="n">
        <f aca="false">I133-8</f>
        <v>346.5</v>
      </c>
      <c r="AB133" s="0" t="n">
        <f aca="false">IF(Z133&lt;0,Z133+360,Z133+0)</f>
        <v>346.5</v>
      </c>
    </row>
    <row r="134" customFormat="false" ht="15.8" hidden="false" customHeight="false" outlineLevel="0" collapsed="false">
      <c r="A134" s="1" t="n">
        <v>5</v>
      </c>
      <c r="B134" s="1" t="n">
        <v>3</v>
      </c>
      <c r="C134" s="1" t="n">
        <v>1.6</v>
      </c>
      <c r="D134" s="1" t="n">
        <v>1.0344</v>
      </c>
      <c r="E134" s="1" t="n">
        <v>0.0590806</v>
      </c>
      <c r="F134" s="1" t="n">
        <v>0.000169817</v>
      </c>
      <c r="G134" s="1" t="s">
        <v>27</v>
      </c>
      <c r="H134" s="1" t="n">
        <v>59.3</v>
      </c>
      <c r="I134" s="1" t="n">
        <v>284.7</v>
      </c>
      <c r="J134" s="1" t="n">
        <v>0</v>
      </c>
      <c r="K134" s="1"/>
      <c r="L134" s="1" t="n">
        <v>0</v>
      </c>
      <c r="M134" s="1" t="n">
        <v>0</v>
      </c>
      <c r="N134" s="1" t="s">
        <v>179</v>
      </c>
      <c r="O134" s="1"/>
      <c r="P134" s="1"/>
      <c r="Q134" s="1"/>
      <c r="R134" s="1"/>
      <c r="S134" s="1"/>
      <c r="T134" s="1"/>
      <c r="Z134" s="0" t="n">
        <f aca="false">I134-8</f>
        <v>276.7</v>
      </c>
      <c r="AB134" s="0" t="n">
        <f aca="false">IF(Z134&lt;0,Z134+360,Z134+0)</f>
        <v>276.7</v>
      </c>
    </row>
    <row r="135" customFormat="false" ht="15.8" hidden="false" customHeight="false" outlineLevel="0" collapsed="false">
      <c r="A135" s="1" t="n">
        <v>5</v>
      </c>
      <c r="B135" s="1" t="n">
        <v>2</v>
      </c>
      <c r="C135" s="1" t="n">
        <v>9</v>
      </c>
      <c r="D135" s="1" t="n">
        <v>1.1567</v>
      </c>
      <c r="E135" s="1" t="n">
        <v>0.323545</v>
      </c>
      <c r="F135" s="1" t="n">
        <v>0.000929978</v>
      </c>
      <c r="G135" s="1" t="s">
        <v>42</v>
      </c>
      <c r="H135" s="1" t="n">
        <v>26</v>
      </c>
      <c r="I135" s="1" t="n">
        <v>343.7</v>
      </c>
      <c r="J135" s="1" t="n">
        <v>8.7</v>
      </c>
      <c r="K135" s="1" t="n">
        <v>59.3</v>
      </c>
      <c r="L135" s="1" t="n">
        <v>0</v>
      </c>
      <c r="M135" s="1" t="n">
        <v>0</v>
      </c>
      <c r="N135" s="1" t="s">
        <v>180</v>
      </c>
      <c r="O135" s="1"/>
      <c r="P135" s="1"/>
      <c r="Q135" s="1"/>
      <c r="R135" s="1"/>
      <c r="S135" s="1"/>
      <c r="T135" s="1"/>
      <c r="Z135" s="0" t="n">
        <f aca="false">I135-8</f>
        <v>335.7</v>
      </c>
      <c r="AB135" s="0" t="n">
        <f aca="false">IF(Z135&lt;0,Z135+360,Z135+0)</f>
        <v>335.7</v>
      </c>
    </row>
    <row r="136" customFormat="false" ht="15.8" hidden="false" customHeight="false" outlineLevel="0" collapsed="false">
      <c r="A136" s="1" t="n">
        <v>5</v>
      </c>
      <c r="B136" s="1" t="n">
        <v>2</v>
      </c>
      <c r="C136" s="1" t="n">
        <v>4.6</v>
      </c>
      <c r="D136" s="1" t="n">
        <v>1.1358</v>
      </c>
      <c r="E136" s="1" t="n">
        <v>0.166038</v>
      </c>
      <c r="F136" s="1" t="n">
        <v>0.000477248</v>
      </c>
      <c r="G136" s="1" t="s">
        <v>27</v>
      </c>
      <c r="H136" s="1" t="n">
        <v>122</v>
      </c>
      <c r="I136" s="1" t="n">
        <v>189.2</v>
      </c>
      <c r="J136" s="1" t="n">
        <v>11.1</v>
      </c>
      <c r="K136" s="1"/>
      <c r="L136" s="1" t="n">
        <v>0</v>
      </c>
      <c r="M136" s="1" t="n">
        <v>0</v>
      </c>
      <c r="N136" s="1" t="s">
        <v>180</v>
      </c>
      <c r="O136" s="1"/>
      <c r="P136" s="1"/>
      <c r="Q136" s="1"/>
      <c r="R136" s="1"/>
      <c r="S136" s="1"/>
      <c r="T136" s="1"/>
      <c r="Z136" s="0" t="n">
        <f aca="false">I136-8</f>
        <v>181.2</v>
      </c>
      <c r="AB136" s="0" t="n">
        <f aca="false">IF(Z136&lt;0,Z136+360,Z136+0)</f>
        <v>181.2</v>
      </c>
    </row>
    <row r="137" customFormat="false" ht="15.8" hidden="false" customHeight="false" outlineLevel="0" collapsed="false">
      <c r="A137" s="1" t="n">
        <v>5</v>
      </c>
      <c r="B137" s="1" t="n">
        <v>2</v>
      </c>
      <c r="C137" s="1" t="n">
        <v>1.4</v>
      </c>
      <c r="D137" s="1" t="n">
        <v>1.1306</v>
      </c>
      <c r="E137" s="1" t="n">
        <v>0.0493518</v>
      </c>
      <c r="F137" s="1" t="n">
        <v>0.000141853</v>
      </c>
      <c r="G137" s="1" t="s">
        <v>27</v>
      </c>
      <c r="H137" s="1" t="n">
        <v>102.9</v>
      </c>
      <c r="I137" s="1" t="n">
        <v>56.7</v>
      </c>
      <c r="J137" s="1" t="n">
        <v>-18.8</v>
      </c>
      <c r="K137" s="1"/>
      <c r="L137" s="1" t="n">
        <v>0</v>
      </c>
      <c r="M137" s="1" t="n">
        <v>0</v>
      </c>
      <c r="N137" s="1" t="s">
        <v>180</v>
      </c>
      <c r="O137" s="1"/>
      <c r="P137" s="1"/>
      <c r="Q137" s="1"/>
      <c r="R137" s="1"/>
      <c r="S137" s="1"/>
      <c r="T137" s="1"/>
      <c r="Z137" s="0" t="n">
        <f aca="false">I137-8</f>
        <v>48.7</v>
      </c>
      <c r="AB137" s="0" t="n">
        <f aca="false">IF(Z137&lt;0,Z137+360,Z137+0)</f>
        <v>48.7</v>
      </c>
    </row>
    <row r="138" customFormat="false" ht="15.8" hidden="false" customHeight="false" outlineLevel="0" collapsed="false">
      <c r="A138" s="1" t="n">
        <v>5</v>
      </c>
      <c r="B138" s="1" t="n">
        <v>1</v>
      </c>
      <c r="C138" s="1" t="n">
        <v>1.4</v>
      </c>
      <c r="D138" s="1" t="n">
        <v>1.2164</v>
      </c>
      <c r="E138" s="1" t="n">
        <v>0.0509642</v>
      </c>
      <c r="F138" s="1" t="n">
        <v>0.000146488</v>
      </c>
      <c r="G138" s="1" t="s">
        <v>42</v>
      </c>
      <c r="H138" s="1"/>
      <c r="I138" s="1" t="n">
        <v>319.3</v>
      </c>
      <c r="J138" s="1" t="n">
        <v>19.6</v>
      </c>
      <c r="K138" s="1" t="n">
        <v>122</v>
      </c>
      <c r="L138" s="1" t="n">
        <v>0</v>
      </c>
      <c r="M138" s="1" t="n">
        <v>0</v>
      </c>
      <c r="N138" s="1" t="s">
        <v>181</v>
      </c>
      <c r="O138" s="1"/>
      <c r="P138" s="1"/>
      <c r="Q138" s="1"/>
      <c r="R138" s="1"/>
      <c r="S138" s="1"/>
      <c r="T138" s="1"/>
      <c r="Z138" s="0" t="n">
        <f aca="false">I138-8</f>
        <v>311.3</v>
      </c>
      <c r="AB138" s="0" t="n">
        <f aca="false">IF(Z138&lt;0,Z138+360,Z138+0)</f>
        <v>311.3</v>
      </c>
    </row>
    <row r="139" customFormat="false" ht="15.8" hidden="false" customHeight="false" outlineLevel="0" collapsed="false">
      <c r="A139" s="1" t="n">
        <v>6</v>
      </c>
      <c r="B139" s="1" t="n">
        <v>8</v>
      </c>
      <c r="C139" s="1" t="n">
        <v>1.6</v>
      </c>
      <c r="D139" s="1" t="n">
        <v>1.3367</v>
      </c>
      <c r="E139" s="1" t="n">
        <v>0.0593526</v>
      </c>
      <c r="F139" s="1" t="n">
        <v>0.000170599</v>
      </c>
      <c r="G139" s="1" t="s">
        <v>27</v>
      </c>
      <c r="H139" s="1" t="n">
        <v>61.7</v>
      </c>
      <c r="I139" s="1" t="n">
        <v>307</v>
      </c>
      <c r="J139" s="1" t="n">
        <v>18.5</v>
      </c>
      <c r="K139" s="1"/>
      <c r="L139" s="1" t="n">
        <v>0</v>
      </c>
      <c r="M139" s="1" t="n">
        <v>0</v>
      </c>
      <c r="N139" s="1" t="s">
        <v>182</v>
      </c>
      <c r="O139" s="1"/>
      <c r="P139" s="1"/>
      <c r="Q139" s="1"/>
      <c r="R139" s="1"/>
      <c r="S139" s="1"/>
      <c r="T139" s="1"/>
      <c r="Z139" s="0" t="n">
        <f aca="false">I139-8</f>
        <v>299</v>
      </c>
      <c r="AB139" s="0" t="n">
        <f aca="false">IF(Z139&lt;0,Z139+360,Z139+0)</f>
        <v>299</v>
      </c>
    </row>
    <row r="140" customFormat="false" ht="15.8" hidden="false" customHeight="false" outlineLevel="0" collapsed="false">
      <c r="A140" s="1" t="n">
        <v>6</v>
      </c>
      <c r="B140" s="1" t="n">
        <v>9</v>
      </c>
      <c r="C140" s="1" t="n">
        <v>1.4</v>
      </c>
      <c r="D140" s="1" t="n">
        <v>1.2018</v>
      </c>
      <c r="E140" s="1" t="n">
        <v>0.0523261</v>
      </c>
      <c r="F140" s="1" t="n">
        <v>0.000150403</v>
      </c>
      <c r="G140" s="1" t="s">
        <v>27</v>
      </c>
      <c r="H140" s="1" t="n">
        <v>91.3</v>
      </c>
      <c r="I140" s="1" t="n">
        <v>75.4</v>
      </c>
      <c r="J140" s="1" t="n">
        <v>-18.9</v>
      </c>
      <c r="K140" s="1"/>
      <c r="L140" s="1" t="n">
        <v>0</v>
      </c>
      <c r="M140" s="1" t="n">
        <v>0</v>
      </c>
      <c r="N140" s="1" t="s">
        <v>183</v>
      </c>
      <c r="O140" s="1"/>
      <c r="P140" s="1"/>
      <c r="Q140" s="1"/>
      <c r="R140" s="1"/>
      <c r="S140" s="1"/>
      <c r="T140" s="1"/>
      <c r="Z140" s="0" t="n">
        <f aca="false">I140-8</f>
        <v>67.4</v>
      </c>
      <c r="AB140" s="0" t="n">
        <f aca="false">IF(Z140&lt;0,Z140+360,Z140+0)</f>
        <v>67.4</v>
      </c>
    </row>
    <row r="141" customFormat="false" ht="15.8" hidden="false" customHeight="false" outlineLevel="0" collapsed="false">
      <c r="A141" s="1" t="n">
        <v>6</v>
      </c>
      <c r="B141" s="1" t="n">
        <v>9</v>
      </c>
      <c r="C141" s="1" t="n">
        <v>1.1</v>
      </c>
      <c r="D141" s="1" t="n">
        <v>1.1554</v>
      </c>
      <c r="E141" s="1" t="n">
        <v>0.0407574</v>
      </c>
      <c r="F141" s="1" t="n">
        <v>0.00011715</v>
      </c>
      <c r="G141" s="1" t="s">
        <v>27</v>
      </c>
      <c r="H141" s="1" t="n">
        <v>95.7</v>
      </c>
      <c r="I141" s="1" t="n">
        <v>245.7</v>
      </c>
      <c r="J141" s="1" t="n">
        <v>23.5</v>
      </c>
      <c r="K141" s="1"/>
      <c r="L141" s="1" t="n">
        <v>0</v>
      </c>
      <c r="M141" s="1" t="n">
        <v>0</v>
      </c>
      <c r="N141" s="1" t="s">
        <v>183</v>
      </c>
      <c r="O141" s="1"/>
      <c r="P141" s="1"/>
      <c r="Q141" s="1"/>
      <c r="R141" s="1"/>
      <c r="S141" s="1"/>
      <c r="T141" s="1"/>
      <c r="Z141" s="0" t="n">
        <f aca="false">I141-8</f>
        <v>237.7</v>
      </c>
      <c r="AB141" s="0" t="n">
        <f aca="false">IF(Z141&lt;0,Z141+360,Z141+0)</f>
        <v>237.7</v>
      </c>
    </row>
    <row r="142" customFormat="false" ht="15.8" hidden="false" customHeight="false" outlineLevel="0" collapsed="false">
      <c r="A142" s="1" t="n">
        <v>6</v>
      </c>
      <c r="B142" s="1" t="n">
        <v>8</v>
      </c>
      <c r="C142" s="1" t="n">
        <v>3.3</v>
      </c>
      <c r="D142" s="1" t="n">
        <v>1.1935</v>
      </c>
      <c r="E142" s="1" t="n">
        <v>0.118701</v>
      </c>
      <c r="F142" s="1" t="n">
        <v>0.000341187</v>
      </c>
      <c r="G142" s="1" t="s">
        <v>42</v>
      </c>
      <c r="H142" s="1" t="n">
        <v>21.4</v>
      </c>
      <c r="I142" s="1" t="n">
        <v>349.7</v>
      </c>
      <c r="J142" s="1" t="n">
        <v>16.5</v>
      </c>
      <c r="K142" s="1" t="n">
        <v>95.7</v>
      </c>
      <c r="L142" s="1" t="n">
        <v>0</v>
      </c>
      <c r="M142" s="1" t="n">
        <v>0</v>
      </c>
      <c r="N142" s="1" t="s">
        <v>182</v>
      </c>
      <c r="O142" s="1"/>
      <c r="P142" s="1"/>
      <c r="Q142" s="1"/>
      <c r="R142" s="1"/>
      <c r="S142" s="1"/>
      <c r="T142" s="1"/>
      <c r="Z142" s="0" t="n">
        <f aca="false">I142-8</f>
        <v>341.7</v>
      </c>
      <c r="AB142" s="0" t="n">
        <f aca="false">IF(Z142&lt;0,Z142+360,Z142+0)</f>
        <v>341.7</v>
      </c>
    </row>
    <row r="143" customFormat="false" ht="15.8" hidden="false" customHeight="false" outlineLevel="0" collapsed="false">
      <c r="A143" s="1" t="n">
        <v>6</v>
      </c>
      <c r="B143" s="1" t="n">
        <v>7</v>
      </c>
      <c r="C143" s="1" t="n">
        <v>1.9</v>
      </c>
      <c r="D143" s="1" t="n">
        <v>1.3955</v>
      </c>
      <c r="E143" s="1" t="n">
        <v>0.0697766</v>
      </c>
      <c r="F143" s="1" t="n">
        <v>0.000200561</v>
      </c>
      <c r="G143" s="1" t="s">
        <v>42</v>
      </c>
      <c r="H143" s="1" t="n">
        <v>36</v>
      </c>
      <c r="I143" s="1" t="n">
        <v>12</v>
      </c>
      <c r="J143" s="1" t="n">
        <v>16.4</v>
      </c>
      <c r="K143" s="1" t="n">
        <v>61.7</v>
      </c>
      <c r="L143" s="1" t="n">
        <v>0</v>
      </c>
      <c r="M143" s="1" t="n">
        <v>0</v>
      </c>
      <c r="N143" s="1" t="s">
        <v>184</v>
      </c>
      <c r="O143" s="1"/>
      <c r="P143" s="1"/>
      <c r="Q143" s="1"/>
      <c r="R143" s="1"/>
      <c r="S143" s="1"/>
      <c r="T143" s="1"/>
      <c r="Z143" s="0" t="n">
        <f aca="false">I143-8</f>
        <v>4</v>
      </c>
      <c r="AB143" s="0" t="n">
        <f aca="false">IF(Z143&lt;0,Z143+360,Z143+0)</f>
        <v>4</v>
      </c>
    </row>
    <row r="144" customFormat="false" ht="15.8" hidden="false" customHeight="false" outlineLevel="0" collapsed="false">
      <c r="A144" s="1" t="n">
        <v>6</v>
      </c>
      <c r="B144" s="1" t="n">
        <v>7</v>
      </c>
      <c r="C144" s="1" t="n">
        <v>0.7</v>
      </c>
      <c r="D144" s="1" t="n">
        <v>1.0012</v>
      </c>
      <c r="E144" s="1" t="n">
        <v>0.0252804</v>
      </c>
      <c r="F144" s="1" t="n">
        <v>7.26642E-005</v>
      </c>
      <c r="G144" s="1" t="s">
        <v>27</v>
      </c>
      <c r="H144" s="1" t="n">
        <v>80.8</v>
      </c>
      <c r="I144" s="1" t="n">
        <v>323.7</v>
      </c>
      <c r="J144" s="1" t="n">
        <v>0</v>
      </c>
      <c r="K144" s="1"/>
      <c r="L144" s="1" t="n">
        <v>0</v>
      </c>
      <c r="M144" s="1" t="n">
        <v>0</v>
      </c>
      <c r="N144" s="1" t="s">
        <v>184</v>
      </c>
      <c r="O144" s="1"/>
      <c r="P144" s="1"/>
      <c r="Q144" s="1"/>
      <c r="R144" s="1"/>
      <c r="S144" s="1"/>
      <c r="T144" s="1"/>
      <c r="Z144" s="0" t="n">
        <f aca="false">I144-8</f>
        <v>315.7</v>
      </c>
      <c r="AB144" s="0" t="n">
        <f aca="false">IF(Z144&lt;0,Z144+360,Z144+0)</f>
        <v>315.7</v>
      </c>
    </row>
    <row r="145" customFormat="false" ht="15.8" hidden="false" customHeight="false" outlineLevel="0" collapsed="false">
      <c r="A145" s="1" t="n">
        <v>6</v>
      </c>
      <c r="B145" s="1" t="n">
        <v>6</v>
      </c>
      <c r="C145" s="1" t="n">
        <v>0.9</v>
      </c>
      <c r="D145" s="1" t="n">
        <v>1.0047</v>
      </c>
      <c r="E145" s="1" t="n">
        <v>0.0321593</v>
      </c>
      <c r="F145" s="1" t="n">
        <v>9.24366E-005</v>
      </c>
      <c r="G145" s="1" t="s">
        <v>42</v>
      </c>
      <c r="H145" s="1" t="n">
        <v>56.7</v>
      </c>
      <c r="I145" s="1" t="n">
        <v>44.5</v>
      </c>
      <c r="J145" s="1" t="n">
        <v>0</v>
      </c>
      <c r="K145" s="1" t="n">
        <v>80.8</v>
      </c>
      <c r="L145" s="1" t="n">
        <v>0</v>
      </c>
      <c r="M145" s="1" t="n">
        <v>0</v>
      </c>
      <c r="N145" s="1" t="s">
        <v>185</v>
      </c>
      <c r="O145" s="1"/>
      <c r="P145" s="1"/>
      <c r="Q145" s="1"/>
      <c r="R145" s="1"/>
      <c r="S145" s="1"/>
      <c r="T145" s="1"/>
      <c r="Z145" s="0" t="n">
        <f aca="false">I145-8</f>
        <v>36.5</v>
      </c>
      <c r="AB145" s="0" t="n">
        <f aca="false">IF(Z145&lt;0,Z145+360,Z145+0)</f>
        <v>36.5</v>
      </c>
    </row>
    <row r="146" customFormat="false" ht="15.8" hidden="false" customHeight="false" outlineLevel="0" collapsed="false">
      <c r="A146" s="1" t="n">
        <v>6</v>
      </c>
      <c r="B146" s="1" t="n">
        <v>6</v>
      </c>
      <c r="C146" s="1" t="n">
        <v>1.9</v>
      </c>
      <c r="D146" s="1" t="n">
        <v>1.0843</v>
      </c>
      <c r="E146" s="1" t="n">
        <v>0.0703992</v>
      </c>
      <c r="F146" s="1" t="n">
        <v>0.000202351</v>
      </c>
      <c r="G146" s="1" t="s">
        <v>27</v>
      </c>
      <c r="H146" s="1" t="n">
        <v>44.9</v>
      </c>
      <c r="I146" s="1" t="n">
        <v>310</v>
      </c>
      <c r="J146" s="1" t="n">
        <v>-12.5</v>
      </c>
      <c r="K146" s="1"/>
      <c r="L146" s="1" t="n">
        <v>0</v>
      </c>
      <c r="M146" s="1" t="n">
        <v>0</v>
      </c>
      <c r="N146" s="1" t="s">
        <v>185</v>
      </c>
      <c r="O146" s="1"/>
      <c r="P146" s="1"/>
      <c r="Q146" s="1"/>
      <c r="R146" s="1"/>
      <c r="S146" s="1"/>
      <c r="T146" s="1"/>
      <c r="Z146" s="0" t="n">
        <f aca="false">I146-8</f>
        <v>302</v>
      </c>
      <c r="AB146" s="0" t="n">
        <f aca="false">IF(Z146&lt;0,Z146+360,Z146+0)</f>
        <v>302</v>
      </c>
    </row>
    <row r="147" customFormat="false" ht="15.8" hidden="false" customHeight="false" outlineLevel="0" collapsed="false">
      <c r="A147" s="1" t="n">
        <v>6</v>
      </c>
      <c r="B147" s="1" t="n">
        <v>5</v>
      </c>
      <c r="C147" s="1" t="n">
        <v>6.8</v>
      </c>
      <c r="D147" s="1" t="n">
        <v>1.1021</v>
      </c>
      <c r="E147" s="1" t="n">
        <v>0.244152</v>
      </c>
      <c r="F147" s="1" t="n">
        <v>0.000701773</v>
      </c>
      <c r="G147" s="1" t="s">
        <v>42</v>
      </c>
      <c r="H147" s="1" t="n">
        <v>35.5</v>
      </c>
      <c r="I147" s="1" t="n">
        <v>348.4</v>
      </c>
      <c r="J147" s="1" t="n">
        <v>11</v>
      </c>
      <c r="K147" s="1" t="n">
        <v>56.7</v>
      </c>
      <c r="L147" s="1" t="n">
        <v>0</v>
      </c>
      <c r="M147" s="1" t="n">
        <v>0</v>
      </c>
      <c r="N147" s="1" t="s">
        <v>186</v>
      </c>
      <c r="O147" s="1"/>
      <c r="P147" s="1"/>
      <c r="Q147" s="1"/>
      <c r="R147" s="1"/>
      <c r="S147" s="1"/>
      <c r="T147" s="1"/>
      <c r="Z147" s="0" t="n">
        <f aca="false">I147-8</f>
        <v>340.4</v>
      </c>
      <c r="AB147" s="0" t="n">
        <f aca="false">IF(Z147&lt;0,Z147+360,Z147+0)</f>
        <v>340.4</v>
      </c>
    </row>
    <row r="148" customFormat="false" ht="15.8" hidden="false" customHeight="false" outlineLevel="0" collapsed="false">
      <c r="A148" s="1" t="n">
        <v>6</v>
      </c>
      <c r="B148" s="1" t="n">
        <v>7</v>
      </c>
      <c r="C148" s="1" t="n">
        <v>2.2</v>
      </c>
      <c r="D148" s="1" t="n">
        <v>1.071</v>
      </c>
      <c r="E148" s="1" t="n">
        <v>0.079183</v>
      </c>
      <c r="F148" s="1" t="n">
        <v>0.000227598</v>
      </c>
      <c r="G148" s="1" t="s">
        <v>27</v>
      </c>
      <c r="H148" s="1" t="n">
        <v>49.2</v>
      </c>
      <c r="I148" s="1" t="n">
        <v>6.3</v>
      </c>
      <c r="J148" s="1" t="n">
        <v>11</v>
      </c>
      <c r="K148" s="1"/>
      <c r="L148" s="1" t="n">
        <v>0</v>
      </c>
      <c r="M148" s="1" t="n">
        <v>0</v>
      </c>
      <c r="N148" s="1" t="s">
        <v>187</v>
      </c>
      <c r="O148" s="1"/>
      <c r="P148" s="1"/>
      <c r="Q148" s="1"/>
      <c r="R148" s="1"/>
      <c r="S148" s="1"/>
      <c r="T148" s="1"/>
      <c r="Z148" s="0" t="n">
        <f aca="false">I148-8</f>
        <v>-1.7</v>
      </c>
      <c r="AB148" s="0" t="n">
        <f aca="false">IF(Z148&lt;0,Z148+360,Z148+0)</f>
        <v>358.3</v>
      </c>
    </row>
    <row r="149" customFormat="false" ht="15.8" hidden="false" customHeight="false" outlineLevel="0" collapsed="false">
      <c r="A149" s="1" t="n">
        <v>6</v>
      </c>
      <c r="B149" s="1" t="n">
        <v>7</v>
      </c>
      <c r="C149" s="1" t="n">
        <v>1.1</v>
      </c>
      <c r="D149" s="1" t="n">
        <v>1.037</v>
      </c>
      <c r="E149" s="1" t="n">
        <v>0.0387587</v>
      </c>
      <c r="F149" s="1" t="n">
        <v>0.000111405</v>
      </c>
      <c r="G149" s="1" t="s">
        <v>27</v>
      </c>
      <c r="H149" s="1" t="n">
        <v>18.1</v>
      </c>
      <c r="I149" s="1" t="n">
        <v>306.9</v>
      </c>
      <c r="J149" s="1" t="n">
        <v>0</v>
      </c>
      <c r="K149" s="1"/>
      <c r="L149" s="1" t="n">
        <v>0</v>
      </c>
      <c r="M149" s="1" t="n">
        <v>0</v>
      </c>
      <c r="N149" s="1" t="s">
        <v>187</v>
      </c>
      <c r="O149" s="1"/>
      <c r="P149" s="1"/>
      <c r="Q149" s="1"/>
      <c r="R149" s="1"/>
      <c r="S149" s="1"/>
      <c r="T149" s="1"/>
      <c r="Z149" s="0" t="n">
        <f aca="false">I149-8</f>
        <v>298.9</v>
      </c>
      <c r="AB149" s="0" t="n">
        <f aca="false">IF(Z149&lt;0,Z149+360,Z149+0)</f>
        <v>298.9</v>
      </c>
    </row>
    <row r="150" customFormat="false" ht="15.8" hidden="false" customHeight="false" outlineLevel="0" collapsed="false">
      <c r="A150" s="1" t="n">
        <v>6</v>
      </c>
      <c r="B150" s="1" t="n">
        <v>6</v>
      </c>
      <c r="C150" s="1" t="n">
        <v>7.2</v>
      </c>
      <c r="D150" s="1" t="n">
        <v>1.2476</v>
      </c>
      <c r="E150" s="1" t="n">
        <v>0.258644</v>
      </c>
      <c r="F150" s="1" t="n">
        <v>0.00074343</v>
      </c>
      <c r="G150" s="1" t="s">
        <v>42</v>
      </c>
      <c r="H150" s="1" t="n">
        <v>45.8</v>
      </c>
      <c r="I150" s="1" t="n">
        <v>315.8</v>
      </c>
      <c r="J150" s="1" t="n">
        <v>15.8</v>
      </c>
      <c r="K150" s="1" t="n">
        <v>49.2</v>
      </c>
      <c r="L150" s="1" t="n">
        <v>0</v>
      </c>
      <c r="M150" s="1" t="n">
        <v>0</v>
      </c>
      <c r="N150" s="1" t="s">
        <v>188</v>
      </c>
      <c r="O150" s="1"/>
      <c r="P150" s="1"/>
      <c r="Q150" s="1"/>
      <c r="R150" s="1"/>
      <c r="S150" s="1"/>
      <c r="T150" s="1"/>
      <c r="Z150" s="0" t="n">
        <f aca="false">I150-8</f>
        <v>307.8</v>
      </c>
      <c r="AB150" s="0" t="n">
        <f aca="false">IF(Z150&lt;0,Z150+360,Z150+0)</f>
        <v>307.8</v>
      </c>
    </row>
    <row r="151" customFormat="false" ht="15.8" hidden="false" customHeight="false" outlineLevel="0" collapsed="false">
      <c r="A151" s="1" t="n">
        <v>6</v>
      </c>
      <c r="B151" s="1" t="n">
        <v>6</v>
      </c>
      <c r="C151" s="1" t="n">
        <v>0.8</v>
      </c>
      <c r="D151" s="1" t="n">
        <v>1.3337</v>
      </c>
      <c r="E151" s="1" t="n">
        <v>0.0297275</v>
      </c>
      <c r="F151" s="1" t="n">
        <v>8.54469E-005</v>
      </c>
      <c r="G151" s="1" t="s">
        <v>27</v>
      </c>
      <c r="H151" s="1" t="n">
        <v>121.5</v>
      </c>
      <c r="I151" s="1" t="n">
        <v>152.8</v>
      </c>
      <c r="J151" s="1" t="n">
        <v>-39.2</v>
      </c>
      <c r="K151" s="1"/>
      <c r="L151" s="1" t="n">
        <v>0</v>
      </c>
      <c r="M151" s="1" t="n">
        <v>0</v>
      </c>
      <c r="N151" s="1" t="s">
        <v>188</v>
      </c>
      <c r="O151" s="1"/>
      <c r="P151" s="1"/>
      <c r="Q151" s="1"/>
      <c r="R151" s="1"/>
      <c r="S151" s="1"/>
      <c r="T151" s="1"/>
      <c r="Z151" s="0" t="n">
        <f aca="false">I151-8</f>
        <v>144.8</v>
      </c>
      <c r="AB151" s="0" t="n">
        <f aca="false">IF(Z151&lt;0,Z151+360,Z151+0)</f>
        <v>144.8</v>
      </c>
    </row>
    <row r="152" customFormat="false" ht="15.8" hidden="false" customHeight="false" outlineLevel="0" collapsed="false">
      <c r="A152" s="1" t="n">
        <v>6</v>
      </c>
      <c r="B152" s="1" t="n">
        <v>5</v>
      </c>
      <c r="C152" s="1" t="n">
        <v>4.5</v>
      </c>
      <c r="D152" s="1" t="n">
        <v>1.3121</v>
      </c>
      <c r="E152" s="1" t="n">
        <v>0.162437</v>
      </c>
      <c r="F152" s="1" t="n">
        <v>0.000466899</v>
      </c>
      <c r="G152" s="1" t="s">
        <v>42</v>
      </c>
      <c r="H152" s="1" t="n">
        <v>49.8</v>
      </c>
      <c r="I152" s="1" t="n">
        <v>267.8</v>
      </c>
      <c r="J152" s="1" t="n">
        <v>20</v>
      </c>
      <c r="K152" s="1" t="n">
        <v>121.5</v>
      </c>
      <c r="L152" s="1" t="n">
        <v>0</v>
      </c>
      <c r="M152" s="1" t="n">
        <v>0</v>
      </c>
      <c r="N152" s="1" t="s">
        <v>186</v>
      </c>
      <c r="O152" s="1"/>
      <c r="P152" s="1"/>
      <c r="Q152" s="1"/>
      <c r="R152" s="1"/>
      <c r="S152" s="1"/>
      <c r="T152" s="1"/>
      <c r="Z152" s="0" t="n">
        <f aca="false">I152-8</f>
        <v>259.8</v>
      </c>
      <c r="AB152" s="0" t="n">
        <f aca="false">IF(Z152&lt;0,Z152+360,Z152+0)</f>
        <v>259.8</v>
      </c>
    </row>
    <row r="153" customFormat="false" ht="15.8" hidden="false" customHeight="false" outlineLevel="0" collapsed="false">
      <c r="A153" s="1" t="n">
        <v>6</v>
      </c>
      <c r="B153" s="1" t="n">
        <v>4</v>
      </c>
      <c r="C153" s="1" t="n">
        <v>1.9</v>
      </c>
      <c r="D153" s="1" t="n">
        <v>1.0211</v>
      </c>
      <c r="E153" s="1" t="n">
        <v>0.0688118</v>
      </c>
      <c r="F153" s="1" t="n">
        <v>0.000197788</v>
      </c>
      <c r="G153" s="1" t="s">
        <v>42</v>
      </c>
      <c r="H153" s="1" t="n">
        <v>48.5</v>
      </c>
      <c r="I153" s="1" t="n">
        <v>314.4</v>
      </c>
      <c r="J153" s="1" t="n">
        <v>0</v>
      </c>
      <c r="K153" s="1" t="n">
        <v>49.8</v>
      </c>
      <c r="L153" s="1" t="n">
        <v>0</v>
      </c>
      <c r="M153" s="1" t="n">
        <v>0</v>
      </c>
      <c r="N153" s="1" t="s">
        <v>189</v>
      </c>
      <c r="O153" s="1"/>
      <c r="P153" s="1"/>
      <c r="Q153" s="1"/>
      <c r="R153" s="1"/>
      <c r="S153" s="1"/>
      <c r="T153" s="1"/>
      <c r="Z153" s="0" t="n">
        <f aca="false">I153-8</f>
        <v>306.4</v>
      </c>
      <c r="AB153" s="0" t="n">
        <f aca="false">IF(Z153&lt;0,Z153+360,Z153+0)</f>
        <v>306.4</v>
      </c>
    </row>
    <row r="154" customFormat="false" ht="15.8" hidden="false" customHeight="false" outlineLevel="0" collapsed="false">
      <c r="A154" s="1" t="n">
        <v>6</v>
      </c>
      <c r="B154" s="1" t="n">
        <v>4</v>
      </c>
      <c r="C154" s="1" t="n">
        <v>0.9</v>
      </c>
      <c r="D154" s="1" t="n">
        <v>1.0278</v>
      </c>
      <c r="E154" s="1" t="n">
        <v>0.0311936</v>
      </c>
      <c r="F154" s="1" t="n">
        <v>8.96607E-005</v>
      </c>
      <c r="G154" s="1" t="s">
        <v>27</v>
      </c>
      <c r="H154" s="1" t="n">
        <v>71.1</v>
      </c>
      <c r="I154" s="1" t="n">
        <v>196.7</v>
      </c>
      <c r="J154" s="1" t="n">
        <v>0</v>
      </c>
      <c r="K154" s="1"/>
      <c r="L154" s="1" t="n">
        <v>0</v>
      </c>
      <c r="M154" s="1" t="n">
        <v>0</v>
      </c>
      <c r="N154" s="1" t="s">
        <v>189</v>
      </c>
      <c r="O154" s="1"/>
      <c r="P154" s="1"/>
      <c r="Q154" s="1"/>
      <c r="R154" s="1"/>
      <c r="S154" s="1"/>
      <c r="T154" s="1"/>
      <c r="Z154" s="0" t="n">
        <f aca="false">I154-8</f>
        <v>188.7</v>
      </c>
      <c r="AB154" s="0" t="n">
        <f aca="false">IF(Z154&lt;0,Z154+360,Z154+0)</f>
        <v>188.7</v>
      </c>
    </row>
    <row r="155" customFormat="false" ht="15.8" hidden="false" customHeight="false" outlineLevel="0" collapsed="false">
      <c r="A155" s="1" t="n">
        <v>6</v>
      </c>
      <c r="B155" s="1" t="n">
        <v>3</v>
      </c>
      <c r="C155" s="1" t="n">
        <v>2.2</v>
      </c>
      <c r="D155" s="1" t="n">
        <v>1.2398</v>
      </c>
      <c r="E155" s="1" t="n">
        <v>0.0777599</v>
      </c>
      <c r="F155" s="1" t="n">
        <v>0.000223508</v>
      </c>
      <c r="G155" s="1" t="s">
        <v>42</v>
      </c>
      <c r="H155" s="1" t="n">
        <v>31.6</v>
      </c>
      <c r="I155" s="1" t="n">
        <v>267.3</v>
      </c>
      <c r="J155" s="1" t="n">
        <v>13</v>
      </c>
      <c r="K155" s="1" t="n">
        <v>71.1</v>
      </c>
      <c r="L155" s="1" t="n">
        <v>0</v>
      </c>
      <c r="M155" s="1" t="n">
        <v>0</v>
      </c>
      <c r="N155" s="1" t="s">
        <v>190</v>
      </c>
      <c r="O155" s="1"/>
      <c r="P155" s="1"/>
      <c r="Q155" s="1"/>
      <c r="R155" s="1"/>
      <c r="S155" s="1"/>
      <c r="T155" s="1"/>
      <c r="Z155" s="0" t="n">
        <f aca="false">I155-8</f>
        <v>259.3</v>
      </c>
      <c r="AB155" s="0" t="n">
        <f aca="false">IF(Z155&lt;0,Z155+360,Z155+0)</f>
        <v>259.3</v>
      </c>
    </row>
    <row r="156" customFormat="false" ht="15.8" hidden="false" customHeight="false" outlineLevel="0" collapsed="false">
      <c r="A156" s="1" t="n">
        <v>6</v>
      </c>
      <c r="B156" s="1" t="n">
        <v>3</v>
      </c>
      <c r="C156" s="1" t="n">
        <v>2</v>
      </c>
      <c r="D156" s="1" t="n">
        <v>1.0291</v>
      </c>
      <c r="E156" s="1" t="n">
        <v>0.0712143</v>
      </c>
      <c r="F156" s="1" t="n">
        <v>0.000204694</v>
      </c>
      <c r="G156" s="1" t="s">
        <v>27</v>
      </c>
      <c r="H156" s="1" t="n">
        <v>108.2</v>
      </c>
      <c r="I156" s="1" t="n">
        <v>346.5</v>
      </c>
      <c r="J156" s="1" t="n">
        <v>0</v>
      </c>
      <c r="K156" s="1"/>
      <c r="L156" s="1" t="n">
        <v>0</v>
      </c>
      <c r="M156" s="1" t="n">
        <v>0</v>
      </c>
      <c r="N156" s="1" t="s">
        <v>190</v>
      </c>
      <c r="O156" s="1"/>
      <c r="P156" s="1"/>
      <c r="Q156" s="1"/>
      <c r="R156" s="1"/>
      <c r="S156" s="1"/>
      <c r="T156" s="1"/>
      <c r="Z156" s="0" t="n">
        <f aca="false">I156-8</f>
        <v>338.5</v>
      </c>
      <c r="AB156" s="0" t="n">
        <f aca="false">IF(Z156&lt;0,Z156+360,Z156+0)</f>
        <v>338.5</v>
      </c>
    </row>
    <row r="157" customFormat="false" ht="15.8" hidden="false" customHeight="false" outlineLevel="0" collapsed="false">
      <c r="A157" s="1" t="n">
        <v>6</v>
      </c>
      <c r="B157" s="1" t="n">
        <v>3</v>
      </c>
      <c r="C157" s="1" t="n">
        <v>3.9</v>
      </c>
      <c r="D157" s="1" t="n">
        <v>1.2553</v>
      </c>
      <c r="E157" s="1" t="n">
        <v>0.139863</v>
      </c>
      <c r="F157" s="1" t="n">
        <v>0.000402013</v>
      </c>
      <c r="G157" s="1" t="s">
        <v>27</v>
      </c>
      <c r="H157" s="1" t="n">
        <v>77.4</v>
      </c>
      <c r="I157" s="1" t="n">
        <v>161.9</v>
      </c>
      <c r="J157" s="1" t="n">
        <v>22.3</v>
      </c>
      <c r="K157" s="1"/>
      <c r="L157" s="1" t="n">
        <v>0</v>
      </c>
      <c r="M157" s="1" t="n">
        <v>0</v>
      </c>
      <c r="N157" s="1" t="s">
        <v>190</v>
      </c>
      <c r="O157" s="1"/>
      <c r="P157" s="1"/>
      <c r="Q157" s="1"/>
      <c r="R157" s="1"/>
      <c r="S157" s="1"/>
      <c r="T157" s="1"/>
      <c r="Z157" s="0" t="n">
        <f aca="false">I157-8</f>
        <v>153.9</v>
      </c>
      <c r="AB157" s="0" t="n">
        <f aca="false">IF(Z157&lt;0,Z157+360,Z157+0)</f>
        <v>153.9</v>
      </c>
    </row>
    <row r="158" customFormat="false" ht="15.8" hidden="false" customHeight="false" outlineLevel="0" collapsed="false">
      <c r="A158" s="1" t="n">
        <v>6</v>
      </c>
      <c r="B158" s="1" t="n">
        <v>3</v>
      </c>
      <c r="C158" s="1" t="n">
        <v>1.4</v>
      </c>
      <c r="D158" s="1" t="n">
        <v>1.6128</v>
      </c>
      <c r="E158" s="1" t="n">
        <v>0.0521831</v>
      </c>
      <c r="F158" s="1" t="n">
        <v>0.000149992</v>
      </c>
      <c r="G158" s="1" t="s">
        <v>27</v>
      </c>
      <c r="H158" s="1" t="n">
        <v>54.3</v>
      </c>
      <c r="I158" s="1" t="n">
        <v>292.6</v>
      </c>
      <c r="J158" s="1" t="n">
        <v>0</v>
      </c>
      <c r="K158" s="1"/>
      <c r="L158" s="1" t="n">
        <v>0</v>
      </c>
      <c r="M158" s="1" t="n">
        <v>0</v>
      </c>
      <c r="N158" s="1" t="s">
        <v>190</v>
      </c>
      <c r="O158" s="1"/>
      <c r="P158" s="1"/>
      <c r="Q158" s="1"/>
      <c r="R158" s="1"/>
      <c r="S158" s="1"/>
      <c r="T158" s="1"/>
      <c r="Z158" s="0" t="n">
        <f aca="false">I158-8</f>
        <v>284.6</v>
      </c>
      <c r="AB158" s="0" t="n">
        <f aca="false">IF(Z158&lt;0,Z158+360,Z158+0)</f>
        <v>284.6</v>
      </c>
    </row>
    <row r="159" customFormat="false" ht="15.8" hidden="false" customHeight="false" outlineLevel="0" collapsed="false">
      <c r="A159" s="1" t="n">
        <v>6</v>
      </c>
      <c r="B159" s="1" t="n">
        <v>2</v>
      </c>
      <c r="C159" s="1" t="n">
        <v>1.1</v>
      </c>
      <c r="D159" s="1" t="n">
        <v>1.0019</v>
      </c>
      <c r="E159" s="1" t="n">
        <v>0.041107</v>
      </c>
      <c r="F159" s="1" t="n">
        <v>0.000118155</v>
      </c>
      <c r="G159" s="1" t="s">
        <v>42</v>
      </c>
      <c r="H159" s="1" t="n">
        <v>19.5</v>
      </c>
      <c r="I159" s="1" t="n">
        <v>238.2</v>
      </c>
      <c r="J159" s="1" t="n">
        <v>0</v>
      </c>
      <c r="K159" s="1" t="n">
        <v>108.2</v>
      </c>
      <c r="L159" s="1" t="n">
        <v>0</v>
      </c>
      <c r="M159" s="1" t="n">
        <v>0</v>
      </c>
      <c r="N159" s="1" t="s">
        <v>191</v>
      </c>
      <c r="O159" s="1"/>
      <c r="P159" s="1"/>
      <c r="Q159" s="1"/>
      <c r="R159" s="1"/>
      <c r="S159" s="1"/>
      <c r="T159" s="1"/>
      <c r="Z159" s="0" t="n">
        <f aca="false">I159-8</f>
        <v>230.2</v>
      </c>
      <c r="AB159" s="0" t="n">
        <f aca="false">IF(Z159&lt;0,Z159+360,Z159+0)</f>
        <v>230.2</v>
      </c>
    </row>
    <row r="160" customFormat="false" ht="15.8" hidden="false" customHeight="false" outlineLevel="0" collapsed="false">
      <c r="A160" s="1" t="n">
        <v>6</v>
      </c>
      <c r="B160" s="1" t="n">
        <v>2</v>
      </c>
      <c r="C160" s="1" t="n">
        <v>3.8</v>
      </c>
      <c r="D160" s="1" t="n">
        <v>1.2483</v>
      </c>
      <c r="E160" s="1" t="n">
        <v>0.137523</v>
      </c>
      <c r="F160" s="1" t="n">
        <v>0.000395286</v>
      </c>
      <c r="G160" s="1" t="s">
        <v>27</v>
      </c>
      <c r="H160" s="1" t="n">
        <v>85.9</v>
      </c>
      <c r="I160" s="1" t="n">
        <v>170.6</v>
      </c>
      <c r="J160" s="1" t="n">
        <v>-14.8</v>
      </c>
      <c r="K160" s="1"/>
      <c r="L160" s="1" t="n">
        <v>0</v>
      </c>
      <c r="M160" s="1" t="n">
        <v>0</v>
      </c>
      <c r="N160" s="1" t="s">
        <v>191</v>
      </c>
      <c r="O160" s="1"/>
      <c r="P160" s="1"/>
      <c r="Q160" s="1"/>
      <c r="R160" s="1"/>
      <c r="S160" s="1"/>
      <c r="T160" s="1"/>
      <c r="Z160" s="0" t="n">
        <f aca="false">I160-8</f>
        <v>162.6</v>
      </c>
      <c r="AB160" s="0" t="n">
        <f aca="false">IF(Z160&lt;0,Z160+360,Z160+0)</f>
        <v>162.6</v>
      </c>
    </row>
    <row r="161" customFormat="false" ht="15.8" hidden="false" customHeight="false" outlineLevel="0" collapsed="false">
      <c r="A161" s="1" t="n">
        <v>6</v>
      </c>
      <c r="B161" s="1" t="n">
        <v>2</v>
      </c>
      <c r="C161" s="1" t="n">
        <v>2.2</v>
      </c>
      <c r="D161" s="1" t="n">
        <v>1.2729</v>
      </c>
      <c r="E161" s="1" t="n">
        <v>0.0782517</v>
      </c>
      <c r="F161" s="1" t="n">
        <v>0.000224922</v>
      </c>
      <c r="G161" s="1" t="s">
        <v>27</v>
      </c>
      <c r="H161" s="1" t="n">
        <v>105.8</v>
      </c>
      <c r="I161" s="1" t="n">
        <v>358.8</v>
      </c>
      <c r="J161" s="1" t="n">
        <v>0</v>
      </c>
      <c r="K161" s="1"/>
      <c r="L161" s="1" t="n">
        <v>0</v>
      </c>
      <c r="M161" s="1" t="n">
        <v>0</v>
      </c>
      <c r="N161" s="1" t="s">
        <v>191</v>
      </c>
      <c r="O161" s="1"/>
      <c r="P161" s="1"/>
      <c r="Q161" s="1"/>
      <c r="R161" s="1"/>
      <c r="S161" s="1"/>
      <c r="T161" s="1"/>
      <c r="Z161" s="0" t="n">
        <f aca="false">I161-8</f>
        <v>350.8</v>
      </c>
      <c r="AB161" s="0" t="n">
        <f aca="false">IF(Z161&lt;0,Z161+360,Z161+0)</f>
        <v>350.8</v>
      </c>
    </row>
    <row r="162" customFormat="false" ht="15.8" hidden="false" customHeight="false" outlineLevel="0" collapsed="false">
      <c r="A162" s="1" t="n">
        <v>6</v>
      </c>
      <c r="B162" s="1" t="n">
        <v>1</v>
      </c>
      <c r="C162" s="1" t="n">
        <v>1.9</v>
      </c>
      <c r="D162" s="1" t="n">
        <v>1.1135</v>
      </c>
      <c r="E162" s="1" t="n">
        <v>0.0682235</v>
      </c>
      <c r="F162" s="1" t="n">
        <v>0.000196097</v>
      </c>
      <c r="G162" s="1" t="s">
        <v>42</v>
      </c>
      <c r="H162" s="1"/>
      <c r="I162" s="1" t="n">
        <v>252.6</v>
      </c>
      <c r="J162" s="1" t="n">
        <v>13.3</v>
      </c>
      <c r="K162" s="1" t="n">
        <v>105.8</v>
      </c>
      <c r="L162" s="1" t="n">
        <v>0</v>
      </c>
      <c r="M162" s="1" t="n">
        <v>0</v>
      </c>
      <c r="N162" s="1" t="s">
        <v>192</v>
      </c>
      <c r="O162" s="1"/>
      <c r="P162" s="1"/>
      <c r="Q162" s="1"/>
      <c r="R162" s="1"/>
      <c r="S162" s="1"/>
      <c r="T162" s="1"/>
      <c r="Z162" s="0" t="n">
        <f aca="false">I162-8</f>
        <v>244.6</v>
      </c>
      <c r="AB162" s="0" t="n">
        <f aca="false">IF(Z162&lt;0,Z162+360,Z162+0)</f>
        <v>244.6</v>
      </c>
    </row>
    <row r="163" customFormat="false" ht="15.8" hidden="false" customHeight="false" outlineLevel="0" collapsed="false">
      <c r="A163" s="1" t="n">
        <v>7</v>
      </c>
      <c r="B163" s="1" t="n">
        <v>6</v>
      </c>
      <c r="C163" s="1" t="n">
        <v>5.8</v>
      </c>
      <c r="D163" s="1" t="n">
        <v>1.12</v>
      </c>
      <c r="E163" s="1" t="n">
        <v>0.208154</v>
      </c>
      <c r="F163" s="1" t="n">
        <v>0.000598304</v>
      </c>
      <c r="G163" s="1" t="s">
        <v>27</v>
      </c>
      <c r="H163" s="1" t="n">
        <v>14.6</v>
      </c>
      <c r="I163" s="1" t="n">
        <v>160.6</v>
      </c>
      <c r="J163" s="1" t="n">
        <v>-4.3</v>
      </c>
      <c r="K163" s="1"/>
      <c r="L163" s="1" t="n">
        <v>0</v>
      </c>
      <c r="M163" s="1" t="n">
        <v>0</v>
      </c>
      <c r="N163" s="1" t="s">
        <v>193</v>
      </c>
      <c r="O163" s="1"/>
      <c r="P163" s="1"/>
      <c r="Q163" s="1"/>
      <c r="R163" s="1"/>
      <c r="S163" s="1"/>
      <c r="T163" s="1"/>
      <c r="Z163" s="0" t="n">
        <f aca="false">I163-8</f>
        <v>152.6</v>
      </c>
      <c r="AB163" s="0" t="n">
        <f aca="false">IF(Z163&lt;0,Z163+360,Z163+0)</f>
        <v>152.6</v>
      </c>
    </row>
    <row r="164" customFormat="false" ht="15.8" hidden="false" customHeight="false" outlineLevel="0" collapsed="false">
      <c r="A164" s="1" t="n">
        <v>7</v>
      </c>
      <c r="B164" s="1" t="n">
        <v>6</v>
      </c>
      <c r="C164" s="1" t="n">
        <v>1.2</v>
      </c>
      <c r="D164" s="1" t="n">
        <v>1.0641</v>
      </c>
      <c r="E164" s="1" t="n">
        <v>0.0427661</v>
      </c>
      <c r="F164" s="1" t="n">
        <v>0.000122924</v>
      </c>
      <c r="G164" s="1" t="s">
        <v>27</v>
      </c>
      <c r="H164" s="1" t="n">
        <v>111.2</v>
      </c>
      <c r="I164" s="1" t="n">
        <v>283.7</v>
      </c>
      <c r="J164" s="1" t="n">
        <v>0</v>
      </c>
      <c r="K164" s="1"/>
      <c r="L164" s="1" t="n">
        <v>0</v>
      </c>
      <c r="M164" s="1" t="n">
        <v>0</v>
      </c>
      <c r="N164" s="1" t="s">
        <v>193</v>
      </c>
      <c r="O164" s="1"/>
      <c r="P164" s="1"/>
      <c r="Q164" s="1"/>
      <c r="R164" s="1"/>
      <c r="S164" s="1"/>
      <c r="T164" s="1"/>
      <c r="Z164" s="0" t="n">
        <f aca="false">I164-8</f>
        <v>275.7</v>
      </c>
      <c r="AB164" s="0" t="n">
        <f aca="false">IF(Z164&lt;0,Z164+360,Z164+0)</f>
        <v>275.7</v>
      </c>
    </row>
    <row r="165" customFormat="false" ht="15.8" hidden="false" customHeight="false" outlineLevel="0" collapsed="false">
      <c r="A165" s="1" t="n">
        <v>7</v>
      </c>
      <c r="B165" s="1" t="n">
        <v>5</v>
      </c>
      <c r="C165" s="1" t="n">
        <v>6.7</v>
      </c>
      <c r="D165" s="1" t="n">
        <v>1.2583</v>
      </c>
      <c r="E165" s="1" t="n">
        <v>0.24099</v>
      </c>
      <c r="F165" s="1" t="n">
        <v>0.000692685</v>
      </c>
      <c r="G165" s="1" t="s">
        <v>42</v>
      </c>
      <c r="H165" s="1" t="n">
        <v>16.1</v>
      </c>
      <c r="I165" s="1" t="n">
        <v>172.5</v>
      </c>
      <c r="J165" s="1" t="n">
        <v>4.2</v>
      </c>
      <c r="K165" s="1" t="n">
        <v>111.2</v>
      </c>
      <c r="L165" s="1" t="n">
        <v>0</v>
      </c>
      <c r="M165" s="1" t="n">
        <v>0</v>
      </c>
      <c r="N165" s="1" t="s">
        <v>194</v>
      </c>
      <c r="O165" s="1"/>
      <c r="P165" s="1"/>
      <c r="Q165" s="1"/>
      <c r="R165" s="1"/>
      <c r="S165" s="1"/>
      <c r="T165" s="1"/>
      <c r="Z165" s="0" t="n">
        <f aca="false">I165-8</f>
        <v>164.5</v>
      </c>
      <c r="AB165" s="0" t="n">
        <f aca="false">IF(Z165&lt;0,Z165+360,Z165+0)</f>
        <v>164.5</v>
      </c>
    </row>
    <row r="166" customFormat="false" ht="15.8" hidden="false" customHeight="false" outlineLevel="0" collapsed="false">
      <c r="A166" s="1" t="n">
        <v>7</v>
      </c>
      <c r="B166" s="1" t="n">
        <v>5</v>
      </c>
      <c r="C166" s="1" t="n">
        <v>1.4</v>
      </c>
      <c r="D166" s="1" t="n">
        <v>1.1597</v>
      </c>
      <c r="E166" s="1" t="n">
        <v>0.0499819</v>
      </c>
      <c r="F166" s="1" t="n">
        <v>0.000143665</v>
      </c>
      <c r="G166" s="1" t="s">
        <v>27</v>
      </c>
      <c r="H166" s="1" t="n">
        <v>12.6</v>
      </c>
      <c r="I166" s="1" t="n">
        <v>159.7</v>
      </c>
      <c r="J166" s="1" t="n">
        <v>-19.1</v>
      </c>
      <c r="K166" s="1"/>
      <c r="L166" s="1" t="n">
        <v>0</v>
      </c>
      <c r="M166" s="1" t="n">
        <v>0</v>
      </c>
      <c r="N166" s="1" t="s">
        <v>194</v>
      </c>
      <c r="O166" s="1"/>
      <c r="P166" s="1"/>
      <c r="Q166" s="1"/>
      <c r="R166" s="1"/>
      <c r="S166" s="1"/>
      <c r="T166" s="1"/>
      <c r="Z166" s="0" t="n">
        <f aca="false">I166-8</f>
        <v>151.7</v>
      </c>
      <c r="AB166" s="0" t="n">
        <f aca="false">IF(Z166&lt;0,Z166+360,Z166+0)</f>
        <v>151.7</v>
      </c>
    </row>
    <row r="167" customFormat="false" ht="15.8" hidden="false" customHeight="false" outlineLevel="0" collapsed="false">
      <c r="A167" s="1" t="n">
        <v>7</v>
      </c>
      <c r="B167" s="1" t="n">
        <v>4</v>
      </c>
      <c r="C167" s="1" t="n">
        <v>4.2</v>
      </c>
      <c r="D167" s="1" t="n">
        <v>1.2123</v>
      </c>
      <c r="E167" s="1" t="n">
        <v>0.150015</v>
      </c>
      <c r="F167" s="1" t="n">
        <v>0.000431193</v>
      </c>
      <c r="G167" s="1" t="s">
        <v>42</v>
      </c>
      <c r="H167" s="1" t="n">
        <v>34.5</v>
      </c>
      <c r="I167" s="1" t="n">
        <v>160.5</v>
      </c>
      <c r="J167" s="1" t="n">
        <v>-6.5</v>
      </c>
      <c r="K167" s="1" t="n">
        <v>16.1</v>
      </c>
      <c r="L167" s="1" t="n">
        <v>0</v>
      </c>
      <c r="M167" s="1" t="n">
        <v>0</v>
      </c>
      <c r="N167" s="1" t="s">
        <v>195</v>
      </c>
      <c r="O167" s="1"/>
      <c r="P167" s="1"/>
      <c r="Q167" s="1"/>
      <c r="R167" s="1"/>
      <c r="S167" s="1"/>
      <c r="T167" s="1"/>
      <c r="Z167" s="0" t="n">
        <f aca="false">I167-8</f>
        <v>152.5</v>
      </c>
      <c r="AB167" s="0" t="n">
        <f aca="false">IF(Z167&lt;0,Z167+360,Z167+0)</f>
        <v>152.5</v>
      </c>
    </row>
    <row r="168" customFormat="false" ht="15.8" hidden="false" customHeight="false" outlineLevel="0" collapsed="false">
      <c r="A168" s="1" t="n">
        <v>7</v>
      </c>
      <c r="B168" s="1" t="n">
        <v>4</v>
      </c>
      <c r="C168" s="1" t="n">
        <v>1.1</v>
      </c>
      <c r="D168" s="1" t="n">
        <v>1.0173</v>
      </c>
      <c r="E168" s="1" t="n">
        <v>0.0402768</v>
      </c>
      <c r="F168" s="1" t="n">
        <v>0.000115769</v>
      </c>
      <c r="G168" s="1" t="s">
        <v>27</v>
      </c>
      <c r="H168" s="1" t="n">
        <v>84.4</v>
      </c>
      <c r="I168" s="1" t="n">
        <v>274.8</v>
      </c>
      <c r="J168" s="1" t="n">
        <v>0</v>
      </c>
      <c r="K168" s="1"/>
      <c r="L168" s="1" t="n">
        <v>0</v>
      </c>
      <c r="M168" s="1" t="n">
        <v>0</v>
      </c>
      <c r="N168" s="1" t="s">
        <v>195</v>
      </c>
      <c r="O168" s="1"/>
      <c r="P168" s="1"/>
      <c r="Q168" s="1"/>
      <c r="R168" s="1"/>
      <c r="S168" s="1"/>
      <c r="T168" s="1"/>
      <c r="Z168" s="0" t="n">
        <f aca="false">I168-8</f>
        <v>266.8</v>
      </c>
      <c r="AB168" s="0" t="n">
        <f aca="false">IF(Z168&lt;0,Z168+360,Z168+0)</f>
        <v>266.8</v>
      </c>
    </row>
    <row r="169" customFormat="false" ht="15.8" hidden="false" customHeight="false" outlineLevel="0" collapsed="false">
      <c r="A169" s="1" t="n">
        <v>7</v>
      </c>
      <c r="B169" s="1" t="n">
        <v>3</v>
      </c>
      <c r="C169" s="1" t="n">
        <v>3.3</v>
      </c>
      <c r="D169" s="1" t="n">
        <v>1.1788</v>
      </c>
      <c r="E169" s="1" t="n">
        <v>0.11868</v>
      </c>
      <c r="F169" s="1" t="n">
        <v>0.000341127</v>
      </c>
      <c r="G169" s="1" t="s">
        <v>42</v>
      </c>
      <c r="H169" s="1" t="n">
        <v>46.4</v>
      </c>
      <c r="I169" s="1" t="n">
        <v>191</v>
      </c>
      <c r="J169" s="1" t="n">
        <v>-24.8</v>
      </c>
      <c r="K169" s="1" t="n">
        <v>84.4</v>
      </c>
      <c r="L169" s="1" t="n">
        <v>0</v>
      </c>
      <c r="M169" s="1" t="n">
        <v>0</v>
      </c>
      <c r="N169" s="1" t="s">
        <v>196</v>
      </c>
      <c r="O169" s="1"/>
      <c r="P169" s="1"/>
      <c r="Q169" s="1"/>
      <c r="R169" s="1"/>
      <c r="S169" s="1"/>
      <c r="T169" s="1"/>
      <c r="Z169" s="0" t="n">
        <f aca="false">I169-8</f>
        <v>183</v>
      </c>
      <c r="AB169" s="0" t="n">
        <f aca="false">IF(Z169&lt;0,Z169+360,Z169+0)</f>
        <v>183</v>
      </c>
    </row>
    <row r="170" customFormat="false" ht="15.8" hidden="false" customHeight="false" outlineLevel="0" collapsed="false">
      <c r="A170" s="1" t="n">
        <v>7</v>
      </c>
      <c r="B170" s="1" t="n">
        <v>18</v>
      </c>
      <c r="C170" s="1" t="n">
        <v>5.8</v>
      </c>
      <c r="D170" s="1" t="n">
        <v>1.568</v>
      </c>
      <c r="E170" s="1" t="n">
        <v>0.210939</v>
      </c>
      <c r="F170" s="1" t="n">
        <v>0.000606308</v>
      </c>
      <c r="G170" s="1" t="s">
        <v>27</v>
      </c>
      <c r="H170" s="1" t="n">
        <v>72.9</v>
      </c>
      <c r="I170" s="1" t="n">
        <v>111.3</v>
      </c>
      <c r="J170" s="1" t="n">
        <v>24.8</v>
      </c>
      <c r="K170" s="1"/>
      <c r="L170" s="1" t="n">
        <v>0</v>
      </c>
      <c r="M170" s="1" t="n">
        <v>0</v>
      </c>
      <c r="N170" s="1" t="s">
        <v>197</v>
      </c>
      <c r="O170" s="1"/>
      <c r="P170" s="1"/>
      <c r="Q170" s="1"/>
      <c r="R170" s="1"/>
      <c r="S170" s="1"/>
      <c r="T170" s="1"/>
      <c r="Z170" s="0" t="n">
        <f aca="false">I170-8</f>
        <v>103.3</v>
      </c>
      <c r="AB170" s="0" t="n">
        <f aca="false">IF(Z170&lt;0,Z170+360,Z170+0)</f>
        <v>103.3</v>
      </c>
    </row>
    <row r="171" customFormat="false" ht="15.8" hidden="false" customHeight="false" outlineLevel="0" collapsed="false">
      <c r="A171" s="1" t="n">
        <v>7</v>
      </c>
      <c r="B171" s="1" t="n">
        <v>18</v>
      </c>
      <c r="C171" s="1" t="n">
        <v>5.4</v>
      </c>
      <c r="D171" s="1" t="n">
        <v>1.124</v>
      </c>
      <c r="E171" s="1" t="n">
        <v>0.194046</v>
      </c>
      <c r="F171" s="1" t="n">
        <v>0.000557754</v>
      </c>
      <c r="G171" s="1" t="s">
        <v>27</v>
      </c>
      <c r="H171" s="1" t="n">
        <v>19</v>
      </c>
      <c r="I171" s="1" t="n">
        <v>200.9</v>
      </c>
      <c r="J171" s="1" t="n">
        <v>4.7</v>
      </c>
      <c r="K171" s="1"/>
      <c r="L171" s="1" t="n">
        <v>0</v>
      </c>
      <c r="M171" s="1" t="n">
        <v>0</v>
      </c>
      <c r="N171" s="1" t="s">
        <v>197</v>
      </c>
      <c r="O171" s="1"/>
      <c r="P171" s="1"/>
      <c r="Q171" s="1"/>
      <c r="R171" s="1"/>
      <c r="S171" s="1"/>
      <c r="T171" s="1"/>
      <c r="Z171" s="0" t="n">
        <f aca="false">I171-8</f>
        <v>192.9</v>
      </c>
      <c r="AB171" s="0" t="n">
        <f aca="false">IF(Z171&lt;0,Z171+360,Z171+0)</f>
        <v>192.9</v>
      </c>
    </row>
    <row r="172" customFormat="false" ht="15.8" hidden="false" customHeight="false" outlineLevel="0" collapsed="false">
      <c r="A172" s="1" t="n">
        <v>7</v>
      </c>
      <c r="B172" s="1" t="n">
        <v>18</v>
      </c>
      <c r="C172" s="1" t="n">
        <v>1.8</v>
      </c>
      <c r="D172" s="1" t="n">
        <v>1.1831</v>
      </c>
      <c r="E172" s="1" t="n">
        <v>0.0640291</v>
      </c>
      <c r="F172" s="1" t="n">
        <v>0.000184041</v>
      </c>
      <c r="G172" s="1" t="s">
        <v>27</v>
      </c>
      <c r="H172" s="1" t="n">
        <v>71.6</v>
      </c>
      <c r="I172" s="1" t="n">
        <v>242.2</v>
      </c>
      <c r="J172" s="1" t="n">
        <v>-51.3</v>
      </c>
      <c r="K172" s="1"/>
      <c r="L172" s="1" t="n">
        <v>0</v>
      </c>
      <c r="M172" s="1" t="n">
        <v>0</v>
      </c>
      <c r="N172" s="1" t="s">
        <v>197</v>
      </c>
      <c r="O172" s="1"/>
      <c r="P172" s="1"/>
      <c r="Q172" s="1"/>
      <c r="R172" s="1"/>
      <c r="S172" s="1"/>
      <c r="T172" s="1"/>
      <c r="Z172" s="0" t="n">
        <f aca="false">I172-8</f>
        <v>234.2</v>
      </c>
      <c r="AB172" s="0" t="n">
        <f aca="false">IF(Z172&lt;0,Z172+360,Z172+0)</f>
        <v>234.2</v>
      </c>
    </row>
    <row r="173" customFormat="false" ht="15.8" hidden="false" customHeight="false" outlineLevel="0" collapsed="false">
      <c r="A173" s="1" t="n">
        <v>7</v>
      </c>
      <c r="B173" s="1" t="n">
        <v>17</v>
      </c>
      <c r="C173" s="1" t="n">
        <v>4.5</v>
      </c>
      <c r="D173" s="1" t="n">
        <v>1.1321</v>
      </c>
      <c r="E173" s="1" t="n">
        <v>0.163761</v>
      </c>
      <c r="F173" s="1" t="n">
        <v>0.000470703</v>
      </c>
      <c r="G173" s="1" t="s">
        <v>42</v>
      </c>
      <c r="H173" s="1" t="n">
        <v>16.8</v>
      </c>
      <c r="I173" s="1" t="n">
        <v>182.5</v>
      </c>
      <c r="J173" s="1" t="n">
        <v>0</v>
      </c>
      <c r="K173" s="1" t="n">
        <v>72.9</v>
      </c>
      <c r="L173" s="1" t="n">
        <v>0</v>
      </c>
      <c r="M173" s="1" t="n">
        <v>0</v>
      </c>
      <c r="N173" s="1" t="s">
        <v>198</v>
      </c>
      <c r="O173" s="1"/>
      <c r="P173" s="1"/>
      <c r="Q173" s="1"/>
      <c r="R173" s="1"/>
      <c r="S173" s="1"/>
      <c r="T173" s="1"/>
      <c r="Z173" s="0" t="n">
        <f aca="false">I173-8</f>
        <v>174.5</v>
      </c>
      <c r="AB173" s="0" t="n">
        <f aca="false">IF(Z173&lt;0,Z173+360,Z173+0)</f>
        <v>174.5</v>
      </c>
    </row>
    <row r="174" customFormat="false" ht="15.8" hidden="false" customHeight="false" outlineLevel="0" collapsed="false">
      <c r="A174" s="1" t="n">
        <v>7</v>
      </c>
      <c r="B174" s="1" t="n">
        <v>17</v>
      </c>
      <c r="C174" s="1" t="n">
        <v>3.3</v>
      </c>
      <c r="D174" s="1" t="n">
        <v>1.1688</v>
      </c>
      <c r="E174" s="1" t="n">
        <v>0.119942</v>
      </c>
      <c r="F174" s="1" t="n">
        <v>0.000344754</v>
      </c>
      <c r="G174" s="1" t="s">
        <v>27</v>
      </c>
      <c r="H174" s="1" t="n">
        <v>25.3</v>
      </c>
      <c r="I174" s="1" t="n">
        <v>155.4</v>
      </c>
      <c r="J174" s="1" t="n">
        <v>15.9</v>
      </c>
      <c r="K174" s="1"/>
      <c r="L174" s="1" t="n">
        <v>0</v>
      </c>
      <c r="M174" s="1" t="n">
        <v>0</v>
      </c>
      <c r="N174" s="1" t="s">
        <v>198</v>
      </c>
      <c r="O174" s="1"/>
      <c r="P174" s="1"/>
      <c r="Q174" s="1"/>
      <c r="R174" s="1"/>
      <c r="S174" s="1"/>
      <c r="T174" s="1"/>
      <c r="Z174" s="0" t="n">
        <f aca="false">I174-8</f>
        <v>147.4</v>
      </c>
      <c r="AB174" s="0" t="n">
        <f aca="false">IF(Z174&lt;0,Z174+360,Z174+0)</f>
        <v>147.4</v>
      </c>
    </row>
    <row r="175" customFormat="false" ht="15.8" hidden="false" customHeight="false" outlineLevel="0" collapsed="false">
      <c r="A175" s="1" t="n">
        <v>7</v>
      </c>
      <c r="B175" s="1" t="n">
        <v>16</v>
      </c>
      <c r="C175" s="1" t="n">
        <v>3.6</v>
      </c>
      <c r="D175" s="1" t="n">
        <v>1.0677</v>
      </c>
      <c r="E175" s="1" t="n">
        <v>0.130584</v>
      </c>
      <c r="F175" s="1" t="n">
        <v>0.000375341</v>
      </c>
      <c r="G175" s="1" t="s">
        <v>42</v>
      </c>
      <c r="H175" s="1" t="n">
        <v>126.2</v>
      </c>
      <c r="I175" s="1" t="n">
        <v>167</v>
      </c>
      <c r="J175" s="1" t="n">
        <v>-6.6</v>
      </c>
      <c r="K175" s="1" t="n">
        <v>25.3</v>
      </c>
      <c r="L175" s="1" t="n">
        <v>0</v>
      </c>
      <c r="M175" s="1" t="n">
        <v>0</v>
      </c>
      <c r="N175" s="1" t="s">
        <v>199</v>
      </c>
      <c r="O175" s="1"/>
      <c r="P175" s="1"/>
      <c r="Q175" s="1"/>
      <c r="R175" s="1"/>
      <c r="S175" s="1"/>
      <c r="T175" s="1"/>
      <c r="Z175" s="0" t="n">
        <f aca="false">I175-8</f>
        <v>159</v>
      </c>
      <c r="AB175" s="0" t="n">
        <f aca="false">IF(Z175&lt;0,Z175+360,Z175+0)</f>
        <v>159</v>
      </c>
    </row>
    <row r="176" customFormat="false" ht="15.8" hidden="false" customHeight="false" outlineLevel="0" collapsed="false">
      <c r="A176" s="1" t="n">
        <v>7</v>
      </c>
      <c r="B176" s="1" t="n">
        <v>16</v>
      </c>
      <c r="C176" s="1" t="n">
        <v>2.6</v>
      </c>
      <c r="D176" s="1" t="n">
        <v>1.1507</v>
      </c>
      <c r="E176" s="1" t="n">
        <v>0.0921156</v>
      </c>
      <c r="F176" s="1" t="n">
        <v>0.000264771</v>
      </c>
      <c r="G176" s="1" t="s">
        <v>27</v>
      </c>
      <c r="H176" s="1" t="n">
        <v>71</v>
      </c>
      <c r="I176" s="1" t="n">
        <v>336.1</v>
      </c>
      <c r="J176" s="1" t="n">
        <v>20.6</v>
      </c>
      <c r="K176" s="1"/>
      <c r="L176" s="1" t="n">
        <v>0</v>
      </c>
      <c r="M176" s="1" t="n">
        <v>0</v>
      </c>
      <c r="N176" s="1" t="s">
        <v>199</v>
      </c>
      <c r="O176" s="1"/>
      <c r="P176" s="1"/>
      <c r="Q176" s="1"/>
      <c r="R176" s="1"/>
      <c r="S176" s="1"/>
      <c r="T176" s="1"/>
      <c r="Z176" s="0" t="n">
        <f aca="false">I176-8</f>
        <v>328.1</v>
      </c>
      <c r="AB176" s="0" t="n">
        <f aca="false">IF(Z176&lt;0,Z176+360,Z176+0)</f>
        <v>328.1</v>
      </c>
    </row>
    <row r="177" customFormat="false" ht="15.8" hidden="false" customHeight="false" outlineLevel="0" collapsed="false">
      <c r="A177" s="1" t="n">
        <v>7</v>
      </c>
      <c r="B177" s="1" t="n">
        <v>16</v>
      </c>
      <c r="C177" s="1" t="n">
        <v>3.8</v>
      </c>
      <c r="D177" s="1" t="n">
        <v>1.2547</v>
      </c>
      <c r="E177" s="1" t="n">
        <v>0.136293</v>
      </c>
      <c r="F177" s="1" t="n">
        <v>0.000391751</v>
      </c>
      <c r="G177" s="1" t="s">
        <v>27</v>
      </c>
      <c r="H177" s="1" t="n">
        <v>31.8</v>
      </c>
      <c r="I177" s="1" t="n">
        <v>354.5</v>
      </c>
      <c r="J177" s="1" t="n">
        <v>-22.9</v>
      </c>
      <c r="K177" s="1"/>
      <c r="L177" s="1" t="n">
        <v>0</v>
      </c>
      <c r="M177" s="1" t="n">
        <v>0</v>
      </c>
      <c r="N177" s="1" t="s">
        <v>199</v>
      </c>
      <c r="O177" s="1"/>
      <c r="P177" s="1"/>
      <c r="Q177" s="1"/>
      <c r="R177" s="1"/>
      <c r="S177" s="1"/>
      <c r="T177" s="1"/>
      <c r="Z177" s="0" t="n">
        <f aca="false">I177-8</f>
        <v>346.5</v>
      </c>
      <c r="AB177" s="0" t="n">
        <f aca="false">IF(Z177&lt;0,Z177+360,Z177+0)</f>
        <v>346.5</v>
      </c>
    </row>
    <row r="178" customFormat="false" ht="15.8" hidden="false" customHeight="false" outlineLevel="0" collapsed="false">
      <c r="A178" s="1" t="n">
        <v>7</v>
      </c>
      <c r="B178" s="1" t="n">
        <v>15</v>
      </c>
      <c r="C178" s="1" t="n">
        <v>1.9</v>
      </c>
      <c r="D178" s="1" t="n">
        <v>1.1439</v>
      </c>
      <c r="E178" s="1" t="n">
        <v>0.067646</v>
      </c>
      <c r="F178" s="1" t="n">
        <v>0.000194437</v>
      </c>
      <c r="G178" s="1" t="s">
        <v>42</v>
      </c>
      <c r="H178" s="1" t="n">
        <v>63</v>
      </c>
      <c r="I178" s="1" t="n">
        <v>29.3</v>
      </c>
      <c r="J178" s="1" t="n">
        <v>-28.5</v>
      </c>
      <c r="K178" s="1" t="n">
        <v>126.2</v>
      </c>
      <c r="L178" s="1" t="n">
        <v>0</v>
      </c>
      <c r="M178" s="1" t="n">
        <v>0</v>
      </c>
      <c r="N178" s="1" t="s">
        <v>200</v>
      </c>
      <c r="O178" s="1"/>
      <c r="P178" s="1"/>
      <c r="Q178" s="1"/>
      <c r="R178" s="1"/>
      <c r="S178" s="1"/>
      <c r="T178" s="1"/>
      <c r="Z178" s="0" t="n">
        <f aca="false">I178-8</f>
        <v>21.3</v>
      </c>
      <c r="AB178" s="0" t="n">
        <f aca="false">IF(Z178&lt;0,Z178+360,Z178+0)</f>
        <v>21.3</v>
      </c>
    </row>
    <row r="179" customFormat="false" ht="15.8" hidden="false" customHeight="false" outlineLevel="0" collapsed="false">
      <c r="A179" s="1" t="n">
        <v>7</v>
      </c>
      <c r="B179" s="1" t="n">
        <v>15</v>
      </c>
      <c r="C179" s="1" t="n">
        <v>8.9</v>
      </c>
      <c r="D179" s="1" t="n">
        <v>1.8454</v>
      </c>
      <c r="E179" s="1" t="n">
        <v>0.322379</v>
      </c>
      <c r="F179" s="1" t="n">
        <v>0.000926626</v>
      </c>
      <c r="G179" s="1" t="s">
        <v>27</v>
      </c>
      <c r="H179" s="1" t="n">
        <v>90.9</v>
      </c>
      <c r="I179" s="1" t="n">
        <v>184.3</v>
      </c>
      <c r="J179" s="1" t="n">
        <v>9.3</v>
      </c>
      <c r="K179" s="1"/>
      <c r="L179" s="1" t="n">
        <v>0</v>
      </c>
      <c r="M179" s="1" t="n">
        <v>0</v>
      </c>
      <c r="N179" s="1" t="s">
        <v>200</v>
      </c>
      <c r="O179" s="1"/>
      <c r="P179" s="1"/>
      <c r="Q179" s="1"/>
      <c r="R179" s="1"/>
      <c r="S179" s="1"/>
      <c r="T179" s="1"/>
      <c r="Z179" s="0" t="n">
        <f aca="false">I179-8</f>
        <v>176.3</v>
      </c>
      <c r="AB179" s="0" t="n">
        <f aca="false">IF(Z179&lt;0,Z179+360,Z179+0)</f>
        <v>176.3</v>
      </c>
    </row>
    <row r="180" customFormat="false" ht="15.8" hidden="false" customHeight="false" outlineLevel="0" collapsed="false">
      <c r="A180" s="1" t="n">
        <v>7</v>
      </c>
      <c r="B180" s="1" t="n">
        <v>14</v>
      </c>
      <c r="C180" s="1" t="n">
        <v>2.6</v>
      </c>
      <c r="D180" s="1" t="n">
        <v>1.5095</v>
      </c>
      <c r="E180" s="1" t="n">
        <v>0.0943697</v>
      </c>
      <c r="F180" s="1" t="n">
        <v>0.00027125</v>
      </c>
      <c r="G180" s="1" t="s">
        <v>42</v>
      </c>
      <c r="H180" s="1" t="n">
        <v>14.2</v>
      </c>
      <c r="I180" s="1" t="n">
        <v>95.5</v>
      </c>
      <c r="J180" s="1" t="n">
        <v>-13</v>
      </c>
      <c r="K180" s="1" t="n">
        <v>90.9</v>
      </c>
      <c r="L180" s="1" t="n">
        <v>0</v>
      </c>
      <c r="M180" s="1" t="n">
        <v>0</v>
      </c>
      <c r="N180" s="1" t="s">
        <v>201</v>
      </c>
      <c r="O180" s="1"/>
      <c r="P180" s="1"/>
      <c r="Q180" s="1"/>
      <c r="R180" s="1"/>
      <c r="S180" s="1"/>
      <c r="T180" s="1"/>
      <c r="Z180" s="0" t="n">
        <f aca="false">I180-8</f>
        <v>87.5</v>
      </c>
      <c r="AB180" s="0" t="n">
        <f aca="false">IF(Z180&lt;0,Z180+360,Z180+0)</f>
        <v>87.5</v>
      </c>
    </row>
    <row r="181" customFormat="false" ht="15.8" hidden="false" customHeight="false" outlineLevel="0" collapsed="false">
      <c r="A181" s="1" t="n">
        <v>7</v>
      </c>
      <c r="B181" s="1" t="n">
        <v>14</v>
      </c>
      <c r="C181" s="1" t="n">
        <v>1.9</v>
      </c>
      <c r="D181" s="1" t="n">
        <v>1.1437</v>
      </c>
      <c r="E181" s="1" t="n">
        <v>0.0703118</v>
      </c>
      <c r="F181" s="1" t="n">
        <v>0.000202099</v>
      </c>
      <c r="G181" s="1" t="s">
        <v>27</v>
      </c>
      <c r="H181" s="1" t="n">
        <v>86.1</v>
      </c>
      <c r="I181" s="1" t="n">
        <v>15.3</v>
      </c>
      <c r="J181" s="1" t="n">
        <v>-13.2</v>
      </c>
      <c r="K181" s="1"/>
      <c r="L181" s="1" t="n">
        <v>0</v>
      </c>
      <c r="M181" s="1" t="n">
        <v>0</v>
      </c>
      <c r="N181" s="1" t="s">
        <v>201</v>
      </c>
      <c r="O181" s="1"/>
      <c r="P181" s="1"/>
      <c r="Q181" s="1"/>
      <c r="R181" s="1"/>
      <c r="S181" s="1"/>
      <c r="T181" s="1"/>
      <c r="Z181" s="0" t="n">
        <f aca="false">I181-8</f>
        <v>7.3</v>
      </c>
      <c r="AB181" s="0" t="n">
        <f aca="false">IF(Z181&lt;0,Z181+360,Z181+0)</f>
        <v>7.3</v>
      </c>
    </row>
    <row r="182" customFormat="false" ht="15.8" hidden="false" customHeight="false" outlineLevel="0" collapsed="false">
      <c r="A182" s="1" t="n">
        <v>7</v>
      </c>
      <c r="B182" s="1" t="n">
        <v>13</v>
      </c>
      <c r="C182" s="1" t="n">
        <v>1.1</v>
      </c>
      <c r="D182" s="1" t="n">
        <v>1.0132</v>
      </c>
      <c r="E182" s="1" t="n">
        <v>0.0407661</v>
      </c>
      <c r="F182" s="1" t="n">
        <v>0.000117175</v>
      </c>
      <c r="G182" s="1" t="s">
        <v>42</v>
      </c>
      <c r="H182" s="1" t="n">
        <v>42</v>
      </c>
      <c r="I182" s="1" t="n">
        <v>101.3</v>
      </c>
      <c r="J182" s="1" t="n">
        <v>0</v>
      </c>
      <c r="K182" s="1" t="n">
        <v>86.1</v>
      </c>
      <c r="L182" s="1" t="n">
        <v>0</v>
      </c>
      <c r="M182" s="1" t="n">
        <v>0</v>
      </c>
      <c r="N182" s="1" t="s">
        <v>202</v>
      </c>
      <c r="O182" s="1"/>
      <c r="P182" s="1"/>
      <c r="Q182" s="1"/>
      <c r="R182" s="1"/>
      <c r="S182" s="1"/>
      <c r="T182" s="1"/>
      <c r="Z182" s="0" t="n">
        <f aca="false">I182-8</f>
        <v>93.3</v>
      </c>
      <c r="AB182" s="0" t="n">
        <f aca="false">IF(Z182&lt;0,Z182+360,Z182+0)</f>
        <v>93.3</v>
      </c>
    </row>
    <row r="183" customFormat="false" ht="15.8" hidden="false" customHeight="false" outlineLevel="0" collapsed="false">
      <c r="A183" s="1" t="n">
        <v>7</v>
      </c>
      <c r="B183" s="1" t="n">
        <v>14</v>
      </c>
      <c r="C183" s="1" t="n">
        <v>1.9</v>
      </c>
      <c r="D183" s="1" t="n">
        <v>1.2799</v>
      </c>
      <c r="E183" s="1" t="n">
        <v>0.0669284</v>
      </c>
      <c r="F183" s="1" t="n">
        <v>0.000192375</v>
      </c>
      <c r="G183" s="1" t="s">
        <v>27</v>
      </c>
      <c r="H183" s="1" t="n">
        <v>42.5</v>
      </c>
      <c r="I183" s="1" t="n">
        <v>315.8</v>
      </c>
      <c r="J183" s="1" t="n">
        <v>32.6</v>
      </c>
      <c r="K183" s="1"/>
      <c r="L183" s="1" t="n">
        <v>0</v>
      </c>
      <c r="M183" s="1" t="n">
        <v>0</v>
      </c>
      <c r="N183" s="1" t="s">
        <v>203</v>
      </c>
      <c r="O183" s="1"/>
      <c r="P183" s="1"/>
      <c r="Q183" s="1"/>
      <c r="R183" s="1"/>
      <c r="S183" s="1"/>
      <c r="T183" s="1"/>
      <c r="Z183" s="0" t="n">
        <f aca="false">I183-8</f>
        <v>307.8</v>
      </c>
      <c r="AB183" s="0" t="n">
        <f aca="false">IF(Z183&lt;0,Z183+360,Z183+0)</f>
        <v>307.8</v>
      </c>
    </row>
    <row r="184" customFormat="false" ht="15.8" hidden="false" customHeight="false" outlineLevel="0" collapsed="false">
      <c r="A184" s="1" t="n">
        <v>7</v>
      </c>
      <c r="B184" s="1" t="n">
        <v>15</v>
      </c>
      <c r="C184" s="1" t="n">
        <v>0.9</v>
      </c>
      <c r="D184" s="1" t="n">
        <v>1.2853</v>
      </c>
      <c r="E184" s="1" t="n">
        <v>0.0322502</v>
      </c>
      <c r="F184" s="1" t="n">
        <v>9.26978E-005</v>
      </c>
      <c r="G184" s="1" t="s">
        <v>27</v>
      </c>
      <c r="H184" s="1" t="n">
        <v>39.6</v>
      </c>
      <c r="I184" s="1" t="n">
        <v>323.1</v>
      </c>
      <c r="J184" s="1" t="n">
        <v>-34.2</v>
      </c>
      <c r="K184" s="1"/>
      <c r="L184" s="1" t="n">
        <v>0</v>
      </c>
      <c r="M184" s="1" t="n">
        <v>0</v>
      </c>
      <c r="N184" s="1" t="s">
        <v>204</v>
      </c>
      <c r="O184" s="1"/>
      <c r="P184" s="1"/>
      <c r="Q184" s="1"/>
      <c r="R184" s="1"/>
      <c r="S184" s="1"/>
      <c r="T184" s="1"/>
      <c r="Z184" s="0" t="n">
        <f aca="false">I184-8</f>
        <v>315.1</v>
      </c>
      <c r="AB184" s="0" t="n">
        <f aca="false">IF(Z184&lt;0,Z184+360,Z184+0)</f>
        <v>315.1</v>
      </c>
    </row>
    <row r="185" customFormat="false" ht="15.8" hidden="false" customHeight="false" outlineLevel="0" collapsed="false">
      <c r="A185" s="1" t="n">
        <v>7</v>
      </c>
      <c r="B185" s="1" t="n">
        <v>15</v>
      </c>
      <c r="C185" s="1" t="n">
        <v>0.6</v>
      </c>
      <c r="D185" s="1" t="n">
        <v>1.0288</v>
      </c>
      <c r="E185" s="1" t="n">
        <v>0.0222209</v>
      </c>
      <c r="F185" s="1" t="n">
        <v>6.38704E-005</v>
      </c>
      <c r="G185" s="1" t="s">
        <v>27</v>
      </c>
      <c r="H185" s="1" t="n">
        <v>67.6</v>
      </c>
      <c r="I185" s="1" t="n">
        <v>52</v>
      </c>
      <c r="J185" s="1" t="n">
        <v>0</v>
      </c>
      <c r="K185" s="1"/>
      <c r="L185" s="1" t="n">
        <v>0</v>
      </c>
      <c r="M185" s="1" t="n">
        <v>0</v>
      </c>
      <c r="N185" s="1" t="s">
        <v>204</v>
      </c>
      <c r="O185" s="1"/>
      <c r="P185" s="1"/>
      <c r="Q185" s="1"/>
      <c r="R185" s="1"/>
      <c r="S185" s="1"/>
      <c r="T185" s="1"/>
      <c r="Z185" s="0" t="n">
        <f aca="false">I185-8</f>
        <v>44</v>
      </c>
      <c r="AB185" s="0" t="n">
        <f aca="false">IF(Z185&lt;0,Z185+360,Z185+0)</f>
        <v>44</v>
      </c>
    </row>
    <row r="186" customFormat="false" ht="15.8" hidden="false" customHeight="false" outlineLevel="0" collapsed="false">
      <c r="A186" s="1" t="n">
        <v>7</v>
      </c>
      <c r="B186" s="1" t="n">
        <v>14</v>
      </c>
      <c r="C186" s="1" t="n">
        <v>1</v>
      </c>
      <c r="D186" s="1" t="n">
        <v>1.0124</v>
      </c>
      <c r="E186" s="1" t="n">
        <v>0.0344772</v>
      </c>
      <c r="F186" s="1" t="n">
        <v>9.9099E-005</v>
      </c>
      <c r="G186" s="1" t="s">
        <v>42</v>
      </c>
      <c r="H186" s="1" t="n">
        <v>0.2</v>
      </c>
      <c r="I186" s="1" t="n">
        <v>344.4</v>
      </c>
      <c r="J186" s="1" t="n">
        <v>0</v>
      </c>
      <c r="K186" s="1" t="n">
        <v>67.6</v>
      </c>
      <c r="L186" s="1" t="n">
        <v>0</v>
      </c>
      <c r="M186" s="1" t="n">
        <v>0</v>
      </c>
      <c r="N186" s="1" t="s">
        <v>203</v>
      </c>
      <c r="O186" s="1"/>
      <c r="P186" s="1"/>
      <c r="Q186" s="1"/>
      <c r="R186" s="1"/>
      <c r="S186" s="1"/>
      <c r="T186" s="1"/>
      <c r="Z186" s="0" t="n">
        <f aca="false">I186-8</f>
        <v>336.4</v>
      </c>
      <c r="AB186" s="0" t="n">
        <f aca="false">IF(Z186&lt;0,Z186+360,Z186+0)</f>
        <v>336.4</v>
      </c>
    </row>
    <row r="187" customFormat="false" ht="15.8" hidden="false" customHeight="false" outlineLevel="0" collapsed="false">
      <c r="A187" s="1" t="n">
        <v>7</v>
      </c>
      <c r="B187" s="1" t="n">
        <v>13</v>
      </c>
      <c r="C187" s="1" t="n">
        <v>0.9</v>
      </c>
      <c r="D187" s="1" t="n">
        <v>1.008</v>
      </c>
      <c r="E187" s="1" t="n">
        <v>0.0316829</v>
      </c>
      <c r="F187" s="1" t="n">
        <v>9.10671E-005</v>
      </c>
      <c r="G187" s="1" t="s">
        <v>42</v>
      </c>
      <c r="H187" s="1" t="n">
        <v>74.7</v>
      </c>
      <c r="I187" s="1" t="n">
        <v>344.7</v>
      </c>
      <c r="J187" s="1" t="n">
        <v>0</v>
      </c>
      <c r="K187" s="1" t="n">
        <v>42.5</v>
      </c>
      <c r="L187" s="1" t="n">
        <v>0</v>
      </c>
      <c r="M187" s="1" t="n">
        <v>0</v>
      </c>
      <c r="N187" s="1" t="s">
        <v>202</v>
      </c>
      <c r="O187" s="1"/>
      <c r="P187" s="1"/>
      <c r="Q187" s="1"/>
      <c r="R187" s="1"/>
      <c r="S187" s="1"/>
      <c r="T187" s="1"/>
      <c r="Z187" s="0" t="n">
        <f aca="false">I187-8</f>
        <v>336.7</v>
      </c>
      <c r="AB187" s="0" t="n">
        <f aca="false">IF(Z187&lt;0,Z187+360,Z187+0)</f>
        <v>336.7</v>
      </c>
    </row>
    <row r="188" customFormat="false" ht="15.8" hidden="false" customHeight="false" outlineLevel="0" collapsed="false">
      <c r="A188" s="1" t="n">
        <v>7</v>
      </c>
      <c r="B188" s="1" t="n">
        <v>12</v>
      </c>
      <c r="C188" s="1" t="n">
        <v>1.1</v>
      </c>
      <c r="D188" s="1" t="n">
        <v>1.0058</v>
      </c>
      <c r="E188" s="1" t="n">
        <v>0.0393272</v>
      </c>
      <c r="F188" s="1" t="n">
        <v>0.00011304</v>
      </c>
      <c r="G188" s="1" t="s">
        <v>42</v>
      </c>
      <c r="H188" s="1" t="n">
        <v>67.2</v>
      </c>
      <c r="I188" s="1" t="n">
        <v>59.3</v>
      </c>
      <c r="J188" s="1" t="n">
        <v>0</v>
      </c>
      <c r="K188" s="1" t="n">
        <v>74.7</v>
      </c>
      <c r="L188" s="1" t="n">
        <v>0</v>
      </c>
      <c r="M188" s="1" t="n">
        <v>0</v>
      </c>
      <c r="N188" s="1" t="s">
        <v>205</v>
      </c>
      <c r="O188" s="1"/>
      <c r="P188" s="1"/>
      <c r="Q188" s="1"/>
      <c r="R188" s="1"/>
      <c r="S188" s="1"/>
      <c r="T188" s="1"/>
      <c r="Z188" s="0" t="n">
        <f aca="false">I188-8</f>
        <v>51.3</v>
      </c>
      <c r="AB188" s="0" t="n">
        <f aca="false">IF(Z188&lt;0,Z188+360,Z188+0)</f>
        <v>51.3</v>
      </c>
    </row>
    <row r="189" customFormat="false" ht="15.8" hidden="false" customHeight="false" outlineLevel="0" collapsed="false">
      <c r="A189" s="1" t="n">
        <v>7</v>
      </c>
      <c r="B189" s="1" t="n">
        <v>12</v>
      </c>
      <c r="C189" s="1" t="n">
        <v>2.1</v>
      </c>
      <c r="D189" s="1" t="n">
        <v>1.0416</v>
      </c>
      <c r="E189" s="1" t="n">
        <v>0.0750214</v>
      </c>
      <c r="F189" s="1" t="n">
        <v>0.000215637</v>
      </c>
      <c r="G189" s="1" t="s">
        <v>27</v>
      </c>
      <c r="H189" s="1" t="n">
        <v>44.5</v>
      </c>
      <c r="I189" s="1" t="n">
        <v>170.4</v>
      </c>
      <c r="J189" s="1" t="n">
        <v>0</v>
      </c>
      <c r="K189" s="1"/>
      <c r="L189" s="1" t="n">
        <v>0</v>
      </c>
      <c r="M189" s="1" t="n">
        <v>0</v>
      </c>
      <c r="N189" s="1" t="s">
        <v>205</v>
      </c>
      <c r="O189" s="1"/>
      <c r="P189" s="1"/>
      <c r="Q189" s="1"/>
      <c r="R189" s="1"/>
      <c r="S189" s="1"/>
      <c r="T189" s="1"/>
      <c r="Z189" s="0" t="n">
        <f aca="false">I189-8</f>
        <v>162.4</v>
      </c>
      <c r="AB189" s="0" t="n">
        <f aca="false">IF(Z189&lt;0,Z189+360,Z189+0)</f>
        <v>162.4</v>
      </c>
    </row>
    <row r="190" customFormat="false" ht="15.8" hidden="false" customHeight="false" outlineLevel="0" collapsed="false">
      <c r="A190" s="1" t="n">
        <v>7</v>
      </c>
      <c r="B190" s="1" t="n">
        <v>11</v>
      </c>
      <c r="C190" s="1" t="n">
        <v>3.3</v>
      </c>
      <c r="D190" s="1" t="n">
        <v>1.0774</v>
      </c>
      <c r="E190" s="1" t="n">
        <v>0.118745</v>
      </c>
      <c r="F190" s="1" t="n">
        <v>0.000341312</v>
      </c>
      <c r="G190" s="1" t="s">
        <v>42</v>
      </c>
      <c r="H190" s="1" t="n">
        <v>36.9</v>
      </c>
      <c r="I190" s="1" t="n">
        <v>126.3</v>
      </c>
      <c r="J190" s="1" t="n">
        <v>7.3</v>
      </c>
      <c r="K190" s="1" t="n">
        <v>67.2</v>
      </c>
      <c r="L190" s="1" t="n">
        <v>0</v>
      </c>
      <c r="M190" s="1" t="n">
        <v>0</v>
      </c>
      <c r="N190" s="1" t="s">
        <v>206</v>
      </c>
      <c r="O190" s="1"/>
      <c r="P190" s="1"/>
      <c r="Q190" s="1"/>
      <c r="R190" s="1"/>
      <c r="S190" s="1"/>
      <c r="T190" s="1"/>
      <c r="Z190" s="0" t="n">
        <f aca="false">I190-8</f>
        <v>118.3</v>
      </c>
      <c r="AB190" s="0" t="n">
        <f aca="false">IF(Z190&lt;0,Z190+360,Z190+0)</f>
        <v>118.3</v>
      </c>
    </row>
    <row r="191" customFormat="false" ht="15.8" hidden="false" customHeight="false" outlineLevel="0" collapsed="false">
      <c r="A191" s="1" t="n">
        <v>7</v>
      </c>
      <c r="B191" s="1" t="n">
        <v>11</v>
      </c>
      <c r="C191" s="1" t="n">
        <v>1.8</v>
      </c>
      <c r="D191" s="1" t="n">
        <v>1.2664</v>
      </c>
      <c r="E191" s="1" t="n">
        <v>0.0666087</v>
      </c>
      <c r="F191" s="1" t="n">
        <v>0.000191456</v>
      </c>
      <c r="G191" s="1" t="s">
        <v>27</v>
      </c>
      <c r="H191" s="1" t="n">
        <v>47.9</v>
      </c>
      <c r="I191" s="1" t="n">
        <v>40.3</v>
      </c>
      <c r="J191" s="1" t="n">
        <v>15.5</v>
      </c>
      <c r="K191" s="1"/>
      <c r="L191" s="1" t="n">
        <v>0</v>
      </c>
      <c r="M191" s="1" t="n">
        <v>0</v>
      </c>
      <c r="N191" s="1" t="s">
        <v>206</v>
      </c>
      <c r="O191" s="1"/>
      <c r="P191" s="1"/>
      <c r="Q191" s="1"/>
      <c r="R191" s="1"/>
      <c r="S191" s="1"/>
      <c r="T191" s="1"/>
      <c r="Z191" s="0" t="n">
        <f aca="false">I191-8</f>
        <v>32.3</v>
      </c>
      <c r="AB191" s="0" t="n">
        <f aca="false">IF(Z191&lt;0,Z191+360,Z191+0)</f>
        <v>32.3</v>
      </c>
    </row>
    <row r="192" customFormat="false" ht="15.8" hidden="false" customHeight="false" outlineLevel="0" collapsed="false">
      <c r="A192" s="1" t="n">
        <v>7</v>
      </c>
      <c r="B192" s="1" t="n">
        <v>10</v>
      </c>
      <c r="C192" s="1" t="n">
        <v>2.7</v>
      </c>
      <c r="D192" s="1" t="n">
        <v>1.2045</v>
      </c>
      <c r="E192" s="1" t="n">
        <v>0.098569</v>
      </c>
      <c r="F192" s="1" t="n">
        <v>0.00028332</v>
      </c>
      <c r="G192" s="1" t="s">
        <v>42</v>
      </c>
      <c r="H192" s="1" t="n">
        <v>63.6</v>
      </c>
      <c r="I192" s="1" t="n">
        <v>90.6</v>
      </c>
      <c r="J192" s="1" t="n">
        <v>20.1</v>
      </c>
      <c r="K192" s="1" t="n">
        <v>47.9</v>
      </c>
      <c r="L192" s="1" t="n">
        <v>0</v>
      </c>
      <c r="M192" s="1" t="n">
        <v>0</v>
      </c>
      <c r="N192" s="1" t="s">
        <v>207</v>
      </c>
      <c r="O192" s="1"/>
      <c r="P192" s="1"/>
      <c r="Q192" s="1"/>
      <c r="R192" s="1"/>
      <c r="S192" s="1"/>
      <c r="T192" s="1"/>
      <c r="Z192" s="0" t="n">
        <f aca="false">I192-8</f>
        <v>82.6</v>
      </c>
      <c r="AB192" s="0" t="n">
        <f aca="false">IF(Z192&lt;0,Z192+360,Z192+0)</f>
        <v>82.6</v>
      </c>
    </row>
    <row r="193" customFormat="false" ht="15.8" hidden="false" customHeight="false" outlineLevel="0" collapsed="false">
      <c r="A193" s="1" t="n">
        <v>7</v>
      </c>
      <c r="B193" s="1" t="n">
        <v>10</v>
      </c>
      <c r="C193" s="1" t="n">
        <v>2.3</v>
      </c>
      <c r="D193" s="1" t="n">
        <v>1.1629</v>
      </c>
      <c r="E193" s="1" t="n">
        <v>0.0848176</v>
      </c>
      <c r="F193" s="1" t="n">
        <v>0.000243794</v>
      </c>
      <c r="G193" s="1" t="s">
        <v>27</v>
      </c>
      <c r="H193" s="1" t="n">
        <v>102.9</v>
      </c>
      <c r="I193" s="1" t="n">
        <v>158.2</v>
      </c>
      <c r="J193" s="1" t="n">
        <v>11.1</v>
      </c>
      <c r="K193" s="1"/>
      <c r="L193" s="1" t="n">
        <v>0</v>
      </c>
      <c r="M193" s="1" t="n">
        <v>0</v>
      </c>
      <c r="N193" s="1" t="s">
        <v>207</v>
      </c>
      <c r="O193" s="1"/>
      <c r="P193" s="1"/>
      <c r="Q193" s="1"/>
      <c r="R193" s="1"/>
      <c r="S193" s="1"/>
      <c r="T193" s="1"/>
      <c r="Z193" s="0" t="n">
        <f aca="false">I193-8</f>
        <v>150.2</v>
      </c>
      <c r="AB193" s="0" t="n">
        <f aca="false">IF(Z193&lt;0,Z193+360,Z193+0)</f>
        <v>150.2</v>
      </c>
    </row>
    <row r="194" customFormat="false" ht="15.8" hidden="false" customHeight="false" outlineLevel="0" collapsed="false">
      <c r="A194" s="1" t="n">
        <v>7</v>
      </c>
      <c r="B194" s="1" t="n">
        <v>10</v>
      </c>
      <c r="C194" s="1" t="n">
        <v>2.9</v>
      </c>
      <c r="D194" s="1" t="n">
        <v>1.1889</v>
      </c>
      <c r="E194" s="1" t="n">
        <v>0.10449</v>
      </c>
      <c r="F194" s="1" t="n">
        <v>0.000300339</v>
      </c>
      <c r="G194" s="1" t="s">
        <v>27</v>
      </c>
      <c r="H194" s="1" t="n">
        <v>96.2</v>
      </c>
      <c r="I194" s="1" t="n">
        <v>329.5</v>
      </c>
      <c r="J194" s="1" t="n">
        <v>9.2</v>
      </c>
      <c r="K194" s="1"/>
      <c r="L194" s="1" t="n">
        <v>0</v>
      </c>
      <c r="M194" s="1" t="n">
        <v>0</v>
      </c>
      <c r="N194" s="1" t="s">
        <v>207</v>
      </c>
      <c r="O194" s="1"/>
      <c r="P194" s="1"/>
      <c r="Q194" s="1"/>
      <c r="R194" s="1"/>
      <c r="S194" s="1"/>
      <c r="T194" s="1"/>
      <c r="Z194" s="0" t="n">
        <f aca="false">I194-8</f>
        <v>321.5</v>
      </c>
      <c r="AB194" s="0" t="n">
        <f aca="false">IF(Z194&lt;0,Z194+360,Z194+0)</f>
        <v>321.5</v>
      </c>
    </row>
    <row r="195" customFormat="false" ht="15.8" hidden="false" customHeight="false" outlineLevel="0" collapsed="false">
      <c r="A195" s="1" t="n">
        <v>7</v>
      </c>
      <c r="B195" s="1" t="n">
        <v>9</v>
      </c>
      <c r="C195" s="1" t="n">
        <v>1.5</v>
      </c>
      <c r="D195" s="1" t="n">
        <v>1.1754</v>
      </c>
      <c r="E195" s="1" t="n">
        <v>0.055375</v>
      </c>
      <c r="F195" s="1" t="n">
        <v>0.000159166</v>
      </c>
      <c r="G195" s="1" t="s">
        <v>42</v>
      </c>
      <c r="H195" s="1" t="n">
        <v>54.7</v>
      </c>
      <c r="I195" s="1" t="n">
        <v>60.3</v>
      </c>
      <c r="J195" s="1" t="n">
        <v>-36.7</v>
      </c>
      <c r="K195" s="1" t="n">
        <v>102.9</v>
      </c>
      <c r="L195" s="1" t="n">
        <v>0</v>
      </c>
      <c r="M195" s="1" t="n">
        <v>0</v>
      </c>
      <c r="N195" s="1" t="s">
        <v>208</v>
      </c>
      <c r="O195" s="1"/>
      <c r="P195" s="1"/>
      <c r="Q195" s="1"/>
      <c r="R195" s="1"/>
      <c r="S195" s="1"/>
      <c r="T195" s="1"/>
      <c r="Z195" s="0" t="n">
        <f aca="false">I195-8</f>
        <v>52.3</v>
      </c>
      <c r="AB195" s="0" t="n">
        <f aca="false">IF(Z195&lt;0,Z195+360,Z195+0)</f>
        <v>52.3</v>
      </c>
    </row>
    <row r="196" customFormat="false" ht="15.8" hidden="false" customHeight="false" outlineLevel="0" collapsed="false">
      <c r="A196" s="1" t="n">
        <v>7</v>
      </c>
      <c r="B196" s="1" t="n">
        <v>9</v>
      </c>
      <c r="C196" s="1" t="n">
        <v>4.9</v>
      </c>
      <c r="D196" s="1" t="n">
        <v>1.122</v>
      </c>
      <c r="E196" s="1" t="n">
        <v>0.175567</v>
      </c>
      <c r="F196" s="1" t="n">
        <v>0.000504637</v>
      </c>
      <c r="G196" s="1" t="s">
        <v>27</v>
      </c>
      <c r="H196" s="1" t="n">
        <v>33</v>
      </c>
      <c r="I196" s="1" t="n">
        <v>345</v>
      </c>
      <c r="J196" s="1" t="n">
        <v>-10.4</v>
      </c>
      <c r="K196" s="1"/>
      <c r="L196" s="1" t="n">
        <v>0</v>
      </c>
      <c r="M196" s="1" t="n">
        <v>0</v>
      </c>
      <c r="N196" s="1" t="s">
        <v>208</v>
      </c>
      <c r="O196" s="1"/>
      <c r="P196" s="1"/>
      <c r="Q196" s="1"/>
      <c r="R196" s="1"/>
      <c r="S196" s="1"/>
      <c r="T196" s="1"/>
      <c r="Z196" s="0" t="n">
        <f aca="false">I196-8</f>
        <v>337</v>
      </c>
      <c r="AB196" s="0" t="n">
        <f aca="false">IF(Z196&lt;0,Z196+360,Z196+0)</f>
        <v>337</v>
      </c>
    </row>
    <row r="197" customFormat="false" ht="15.8" hidden="false" customHeight="false" outlineLevel="0" collapsed="false">
      <c r="A197" s="1" t="n">
        <v>7</v>
      </c>
      <c r="B197" s="1" t="n">
        <v>9</v>
      </c>
      <c r="C197" s="1" t="n">
        <v>2.4</v>
      </c>
      <c r="D197" s="1" t="n">
        <v>1.2227</v>
      </c>
      <c r="E197" s="1" t="n">
        <v>0.0878466</v>
      </c>
      <c r="F197" s="1" t="n">
        <v>0.0002525</v>
      </c>
      <c r="G197" s="1" t="s">
        <v>27</v>
      </c>
      <c r="H197" s="1" t="n">
        <v>132.3</v>
      </c>
      <c r="I197" s="1" t="n">
        <v>239.4</v>
      </c>
      <c r="J197" s="1" t="n">
        <v>23.1</v>
      </c>
      <c r="K197" s="1"/>
      <c r="L197" s="1" t="n">
        <v>0</v>
      </c>
      <c r="M197" s="1" t="n">
        <v>0</v>
      </c>
      <c r="N197" s="1" t="s">
        <v>208</v>
      </c>
      <c r="O197" s="1"/>
      <c r="P197" s="1"/>
      <c r="Q197" s="1"/>
      <c r="R197" s="1"/>
      <c r="S197" s="1"/>
      <c r="T197" s="1"/>
      <c r="Z197" s="0" t="n">
        <f aca="false">I197-8</f>
        <v>231.4</v>
      </c>
      <c r="AB197" s="0" t="n">
        <f aca="false">IF(Z197&lt;0,Z197+360,Z197+0)</f>
        <v>231.4</v>
      </c>
    </row>
    <row r="198" customFormat="false" ht="15.8" hidden="false" customHeight="false" outlineLevel="0" collapsed="false">
      <c r="A198" s="1" t="n">
        <v>7</v>
      </c>
      <c r="B198" s="1" t="n">
        <v>8</v>
      </c>
      <c r="C198" s="1" t="n">
        <v>1.2</v>
      </c>
      <c r="D198" s="1" t="n">
        <v>1.0196</v>
      </c>
      <c r="E198" s="1" t="n">
        <v>0.0432741</v>
      </c>
      <c r="F198" s="1" t="n">
        <v>0.000124384</v>
      </c>
      <c r="G198" s="1" t="s">
        <v>42</v>
      </c>
      <c r="H198" s="1" t="n">
        <v>99.9</v>
      </c>
      <c r="I198" s="1" t="n">
        <v>16.5</v>
      </c>
      <c r="J198" s="1" t="n">
        <v>0</v>
      </c>
      <c r="K198" s="1" t="n">
        <v>132.3</v>
      </c>
      <c r="L198" s="1" t="n">
        <v>0</v>
      </c>
      <c r="M198" s="1" t="n">
        <v>0</v>
      </c>
      <c r="N198" s="1" t="s">
        <v>209</v>
      </c>
      <c r="O198" s="1"/>
      <c r="P198" s="1"/>
      <c r="Q198" s="1"/>
      <c r="R198" s="1"/>
      <c r="S198" s="1"/>
      <c r="T198" s="1"/>
      <c r="Z198" s="0" t="n">
        <f aca="false">I198-8</f>
        <v>8.5</v>
      </c>
      <c r="AB198" s="0" t="n">
        <f aca="false">IF(Z198&lt;0,Z198+360,Z198+0)</f>
        <v>8.5</v>
      </c>
    </row>
    <row r="199" customFormat="false" ht="15.8" hidden="false" customHeight="false" outlineLevel="0" collapsed="false">
      <c r="A199" s="1" t="n">
        <v>7</v>
      </c>
      <c r="B199" s="1" t="n">
        <v>8</v>
      </c>
      <c r="C199" s="1" t="n">
        <v>1.9</v>
      </c>
      <c r="D199" s="1" t="n">
        <v>1.5749</v>
      </c>
      <c r="E199" s="1" t="n">
        <v>0.0693516</v>
      </c>
      <c r="F199" s="1" t="n">
        <v>0.00019934</v>
      </c>
      <c r="G199" s="1" t="s">
        <v>27</v>
      </c>
      <c r="H199" s="1" t="n">
        <v>48.3</v>
      </c>
      <c r="I199" s="1" t="n">
        <v>186.3</v>
      </c>
      <c r="J199" s="1" t="n">
        <v>39.8</v>
      </c>
      <c r="K199" s="1"/>
      <c r="L199" s="1" t="n">
        <v>0</v>
      </c>
      <c r="M199" s="1" t="n">
        <v>0</v>
      </c>
      <c r="N199" s="1" t="s">
        <v>209</v>
      </c>
      <c r="O199" s="1"/>
      <c r="P199" s="1"/>
      <c r="Q199" s="1"/>
      <c r="R199" s="1"/>
      <c r="S199" s="1"/>
      <c r="T199" s="1"/>
      <c r="Z199" s="0" t="n">
        <f aca="false">I199-8</f>
        <v>178.3</v>
      </c>
      <c r="AB199" s="0" t="n">
        <f aca="false">IF(Z199&lt;0,Z199+360,Z199+0)</f>
        <v>178.3</v>
      </c>
    </row>
    <row r="200" customFormat="false" ht="15.8" hidden="false" customHeight="false" outlineLevel="0" collapsed="false">
      <c r="A200" s="1" t="n">
        <v>7</v>
      </c>
      <c r="B200" s="1" t="n">
        <v>7</v>
      </c>
      <c r="C200" s="1" t="n">
        <v>4.4</v>
      </c>
      <c r="D200" s="1" t="n">
        <v>1.5417</v>
      </c>
      <c r="E200" s="1" t="n">
        <v>0.157982</v>
      </c>
      <c r="F200" s="1" t="n">
        <v>0.000454093</v>
      </c>
      <c r="G200" s="1" t="s">
        <v>42</v>
      </c>
      <c r="H200" s="1" t="n">
        <v>43.3</v>
      </c>
      <c r="I200" s="1" t="n">
        <v>120.1</v>
      </c>
      <c r="J200" s="1" t="n">
        <v>43.4</v>
      </c>
      <c r="K200" s="1" t="n">
        <v>99.9</v>
      </c>
      <c r="L200" s="1" t="n">
        <v>0</v>
      </c>
      <c r="M200" s="1" t="n">
        <v>0</v>
      </c>
      <c r="N200" s="1" t="s">
        <v>210</v>
      </c>
      <c r="O200" s="1"/>
      <c r="P200" s="1"/>
      <c r="Q200" s="1"/>
      <c r="R200" s="1"/>
      <c r="S200" s="1"/>
      <c r="T200" s="1"/>
      <c r="Z200" s="0" t="n">
        <f aca="false">I200-8</f>
        <v>112.1</v>
      </c>
      <c r="AB200" s="0" t="n">
        <f aca="false">IF(Z200&lt;0,Z200+360,Z200+0)</f>
        <v>112.1</v>
      </c>
    </row>
    <row r="201" customFormat="false" ht="15.8" hidden="false" customHeight="false" outlineLevel="0" collapsed="false">
      <c r="A201" s="1" t="n">
        <v>7</v>
      </c>
      <c r="B201" s="1" t="n">
        <v>7</v>
      </c>
      <c r="C201" s="1" t="n">
        <v>1.7</v>
      </c>
      <c r="D201" s="1" t="n">
        <v>1.289</v>
      </c>
      <c r="E201" s="1" t="n">
        <v>0.0620921</v>
      </c>
      <c r="F201" s="1" t="n">
        <v>0.000178473</v>
      </c>
      <c r="G201" s="1" t="s">
        <v>27</v>
      </c>
      <c r="H201" s="1" t="n">
        <v>55.2</v>
      </c>
      <c r="I201" s="1" t="n">
        <v>205.6</v>
      </c>
      <c r="J201" s="1" t="n">
        <v>-17</v>
      </c>
      <c r="K201" s="1"/>
      <c r="L201" s="1" t="n">
        <v>0</v>
      </c>
      <c r="M201" s="1" t="n">
        <v>0</v>
      </c>
      <c r="N201" s="1" t="s">
        <v>210</v>
      </c>
      <c r="O201" s="1"/>
      <c r="P201" s="1"/>
      <c r="Q201" s="1"/>
      <c r="R201" s="1"/>
      <c r="S201" s="1"/>
      <c r="T201" s="1"/>
      <c r="Z201" s="0" t="n">
        <f aca="false">I201-8</f>
        <v>197.6</v>
      </c>
      <c r="AB201" s="0" t="n">
        <f aca="false">IF(Z201&lt;0,Z201+360,Z201+0)</f>
        <v>197.6</v>
      </c>
    </row>
    <row r="202" customFormat="false" ht="15.8" hidden="false" customHeight="false" outlineLevel="0" collapsed="false">
      <c r="A202" s="1" t="n">
        <v>7</v>
      </c>
      <c r="B202" s="1" t="n">
        <v>6</v>
      </c>
      <c r="C202" s="1" t="n">
        <v>1.4</v>
      </c>
      <c r="D202" s="1" t="n">
        <v>1.1577</v>
      </c>
      <c r="E202" s="1" t="n">
        <v>0.0494618</v>
      </c>
      <c r="F202" s="1" t="n">
        <v>0.00014217</v>
      </c>
      <c r="G202" s="1" t="s">
        <v>42</v>
      </c>
      <c r="H202" s="1" t="n">
        <v>32.6</v>
      </c>
      <c r="I202" s="1" t="n">
        <v>163.2</v>
      </c>
      <c r="J202" s="1" t="n">
        <v>19.3</v>
      </c>
      <c r="K202" s="1" t="n">
        <v>55.2</v>
      </c>
      <c r="L202" s="1" t="n">
        <v>0</v>
      </c>
      <c r="M202" s="1" t="n">
        <v>0</v>
      </c>
      <c r="N202" s="1" t="s">
        <v>211</v>
      </c>
      <c r="O202" s="1"/>
      <c r="P202" s="1"/>
      <c r="Q202" s="1"/>
      <c r="R202" s="1"/>
      <c r="S202" s="1"/>
      <c r="T202" s="1"/>
      <c r="Z202" s="0" t="n">
        <f aca="false">I202-8</f>
        <v>155.2</v>
      </c>
      <c r="AB202" s="0" t="n">
        <f aca="false">IF(Z202&lt;0,Z202+360,Z202+0)</f>
        <v>155.2</v>
      </c>
    </row>
    <row r="203" customFormat="false" ht="15.8" hidden="false" customHeight="false" outlineLevel="0" collapsed="false">
      <c r="A203" s="1" t="n">
        <v>7</v>
      </c>
      <c r="B203" s="1" t="n">
        <v>6</v>
      </c>
      <c r="C203" s="1" t="n">
        <v>1.7</v>
      </c>
      <c r="D203" s="1" t="n">
        <v>1.3017</v>
      </c>
      <c r="E203" s="1" t="n">
        <v>0.0609082</v>
      </c>
      <c r="F203" s="1" t="n">
        <v>0.00017507</v>
      </c>
      <c r="G203" s="1" t="s">
        <v>27</v>
      </c>
      <c r="H203" s="1" t="n">
        <v>117.1</v>
      </c>
      <c r="I203" s="1" t="n">
        <v>308.6</v>
      </c>
      <c r="J203" s="1" t="n">
        <v>-17.5</v>
      </c>
      <c r="K203" s="1"/>
      <c r="L203" s="1" t="n">
        <v>0</v>
      </c>
      <c r="M203" s="1" t="n">
        <v>0</v>
      </c>
      <c r="N203" s="1" t="s">
        <v>211</v>
      </c>
      <c r="O203" s="1"/>
      <c r="P203" s="1"/>
      <c r="Q203" s="1"/>
      <c r="R203" s="1"/>
      <c r="S203" s="1"/>
      <c r="T203" s="1"/>
      <c r="Z203" s="0" t="n">
        <f aca="false">I203-8</f>
        <v>300.6</v>
      </c>
      <c r="AB203" s="0" t="n">
        <f aca="false">IF(Z203&lt;0,Z203+360,Z203+0)</f>
        <v>300.6</v>
      </c>
    </row>
    <row r="204" customFormat="false" ht="15.8" hidden="false" customHeight="false" outlineLevel="0" collapsed="false">
      <c r="A204" s="1" t="n">
        <v>7</v>
      </c>
      <c r="B204" s="1" t="n">
        <v>5</v>
      </c>
      <c r="C204" s="1" t="n">
        <v>1.3</v>
      </c>
      <c r="D204" s="1" t="n">
        <v>1.0139</v>
      </c>
      <c r="E204" s="1" t="n">
        <v>0.0483187</v>
      </c>
      <c r="F204" s="1" t="n">
        <v>0.000138884</v>
      </c>
      <c r="G204" s="1" t="s">
        <v>42</v>
      </c>
      <c r="H204" s="1" t="n">
        <v>38.1</v>
      </c>
      <c r="I204" s="1" t="n">
        <v>190</v>
      </c>
      <c r="J204" s="1" t="n">
        <v>0</v>
      </c>
      <c r="K204" s="1" t="n">
        <v>117.1</v>
      </c>
      <c r="L204" s="1" t="n">
        <v>0</v>
      </c>
      <c r="M204" s="1" t="n">
        <v>0</v>
      </c>
      <c r="N204" s="1" t="s">
        <v>212</v>
      </c>
      <c r="O204" s="1"/>
      <c r="P204" s="1"/>
      <c r="Q204" s="1"/>
      <c r="R204" s="1"/>
      <c r="S204" s="1"/>
      <c r="T204" s="1"/>
      <c r="Z204" s="0" t="n">
        <f aca="false">I204-8</f>
        <v>182</v>
      </c>
      <c r="AB204" s="0" t="n">
        <f aca="false">IF(Z204&lt;0,Z204+360,Z204+0)</f>
        <v>182</v>
      </c>
    </row>
    <row r="205" customFormat="false" ht="15.8" hidden="false" customHeight="false" outlineLevel="0" collapsed="false">
      <c r="A205" s="1" t="n">
        <v>7</v>
      </c>
      <c r="B205" s="1" t="n">
        <v>5</v>
      </c>
      <c r="C205" s="1" t="n">
        <v>10.4</v>
      </c>
      <c r="D205" s="1" t="n">
        <v>1.2719</v>
      </c>
      <c r="E205" s="1" t="n">
        <v>0.374173</v>
      </c>
      <c r="F205" s="1" t="n">
        <v>0.0010755</v>
      </c>
      <c r="G205" s="1" t="s">
        <v>27</v>
      </c>
      <c r="H205" s="1" t="n">
        <v>22.7</v>
      </c>
      <c r="I205" s="1" t="n">
        <v>151.9</v>
      </c>
      <c r="J205" s="1" t="n">
        <v>-31.8</v>
      </c>
      <c r="K205" s="1"/>
      <c r="L205" s="1" t="n">
        <v>0</v>
      </c>
      <c r="M205" s="1" t="n">
        <v>0</v>
      </c>
      <c r="N205" s="1" t="s">
        <v>212</v>
      </c>
      <c r="O205" s="1"/>
      <c r="P205" s="1"/>
      <c r="Q205" s="1"/>
      <c r="R205" s="1"/>
      <c r="S205" s="1"/>
      <c r="T205" s="1"/>
      <c r="Z205" s="0" t="n">
        <f aca="false">I205-8</f>
        <v>143.9</v>
      </c>
      <c r="AB205" s="0" t="n">
        <f aca="false">IF(Z205&lt;0,Z205+360,Z205+0)</f>
        <v>143.9</v>
      </c>
    </row>
    <row r="206" customFormat="false" ht="15.8" hidden="false" customHeight="false" outlineLevel="0" collapsed="false">
      <c r="A206" s="1" t="n">
        <v>7</v>
      </c>
      <c r="B206" s="1" t="n">
        <v>4</v>
      </c>
      <c r="C206" s="1" t="n">
        <v>2.7</v>
      </c>
      <c r="D206" s="1" t="n">
        <v>1.1207</v>
      </c>
      <c r="E206" s="1" t="n">
        <v>0.0993179</v>
      </c>
      <c r="F206" s="1" t="n">
        <v>0.000285473</v>
      </c>
      <c r="G206" s="1" t="s">
        <v>42</v>
      </c>
      <c r="H206" s="1" t="n">
        <v>46</v>
      </c>
      <c r="I206" s="1" t="n">
        <v>152.9</v>
      </c>
      <c r="J206" s="1" t="n">
        <v>-9.1</v>
      </c>
      <c r="K206" s="1" t="n">
        <v>38.1</v>
      </c>
      <c r="L206" s="1" t="n">
        <v>0</v>
      </c>
      <c r="M206" s="1" t="n">
        <v>0</v>
      </c>
      <c r="N206" s="1" t="s">
        <v>213</v>
      </c>
      <c r="O206" s="1"/>
      <c r="P206" s="1"/>
      <c r="Q206" s="1"/>
      <c r="R206" s="1"/>
      <c r="S206" s="1"/>
      <c r="T206" s="1"/>
      <c r="Z206" s="0" t="n">
        <f aca="false">I206-8</f>
        <v>144.9</v>
      </c>
      <c r="AB206" s="0" t="n">
        <f aca="false">IF(Z206&lt;0,Z206+360,Z206+0)</f>
        <v>144.9</v>
      </c>
    </row>
    <row r="207" customFormat="false" ht="15.8" hidden="false" customHeight="false" outlineLevel="0" collapsed="false">
      <c r="A207" s="1" t="n">
        <v>7</v>
      </c>
      <c r="B207" s="1" t="n">
        <v>7</v>
      </c>
      <c r="C207" s="1" t="n">
        <v>9.8</v>
      </c>
      <c r="D207" s="1" t="n">
        <v>1.2728</v>
      </c>
      <c r="E207" s="1" t="n">
        <v>0.353398</v>
      </c>
      <c r="F207" s="1" t="n">
        <v>0.00101578</v>
      </c>
      <c r="G207" s="1" t="s">
        <v>27</v>
      </c>
      <c r="H207" s="1" t="n">
        <v>39.9</v>
      </c>
      <c r="I207" s="1" t="n">
        <v>2.4</v>
      </c>
      <c r="J207" s="1" t="n">
        <v>11.7</v>
      </c>
      <c r="K207" s="1"/>
      <c r="L207" s="1" t="n">
        <v>0</v>
      </c>
      <c r="M207" s="1" t="n">
        <v>0</v>
      </c>
      <c r="N207" s="1" t="s">
        <v>214</v>
      </c>
      <c r="O207" s="1"/>
      <c r="P207" s="1"/>
      <c r="Q207" s="1"/>
      <c r="R207" s="1"/>
      <c r="S207" s="1"/>
      <c r="T207" s="1"/>
      <c r="Z207" s="0" t="n">
        <f aca="false">I207-8</f>
        <v>-5.6</v>
      </c>
      <c r="AB207" s="0" t="n">
        <f aca="false">IF(Z207&lt;0,Z207+360,Z207+0)</f>
        <v>354.4</v>
      </c>
    </row>
    <row r="208" customFormat="false" ht="15.8" hidden="false" customHeight="false" outlineLevel="0" collapsed="false">
      <c r="A208" s="1" t="n">
        <v>7</v>
      </c>
      <c r="B208" s="1" t="n">
        <v>7</v>
      </c>
      <c r="C208" s="1" t="n">
        <v>1.2</v>
      </c>
      <c r="D208" s="1" t="n">
        <v>1.1739</v>
      </c>
      <c r="E208" s="1" t="n">
        <v>0.0429115</v>
      </c>
      <c r="F208" s="1" t="n">
        <v>0.000123342</v>
      </c>
      <c r="G208" s="1" t="s">
        <v>27</v>
      </c>
      <c r="H208" s="1" t="n">
        <v>98.2</v>
      </c>
      <c r="I208" s="1" t="n">
        <v>121.1</v>
      </c>
      <c r="J208" s="1" t="n">
        <v>-50.4</v>
      </c>
      <c r="K208" s="1"/>
      <c r="L208" s="1" t="n">
        <v>0</v>
      </c>
      <c r="M208" s="1" t="n">
        <v>0</v>
      </c>
      <c r="N208" s="1" t="s">
        <v>214</v>
      </c>
      <c r="O208" s="1"/>
      <c r="P208" s="1"/>
      <c r="Q208" s="1"/>
      <c r="R208" s="1"/>
      <c r="S208" s="1"/>
      <c r="T208" s="1"/>
      <c r="Z208" s="0" t="n">
        <f aca="false">I208-8</f>
        <v>113.1</v>
      </c>
      <c r="AB208" s="0" t="n">
        <f aca="false">IF(Z208&lt;0,Z208+360,Z208+0)</f>
        <v>113.1</v>
      </c>
    </row>
    <row r="209" customFormat="false" ht="15.8" hidden="false" customHeight="false" outlineLevel="0" collapsed="false">
      <c r="A209" s="1" t="n">
        <v>7</v>
      </c>
      <c r="B209" s="1" t="n">
        <v>6</v>
      </c>
      <c r="C209" s="1" t="n">
        <v>2.8</v>
      </c>
      <c r="D209" s="1" t="n">
        <v>1.2436</v>
      </c>
      <c r="E209" s="1" t="n">
        <v>0.101574</v>
      </c>
      <c r="F209" s="1" t="n">
        <v>0.000291957</v>
      </c>
      <c r="G209" s="1" t="s">
        <v>42</v>
      </c>
      <c r="H209" s="1" t="n">
        <v>45.8</v>
      </c>
      <c r="I209" s="1" t="n">
        <v>43.1</v>
      </c>
      <c r="J209" s="1" t="n">
        <v>20.2</v>
      </c>
      <c r="K209" s="1" t="n">
        <v>98.2</v>
      </c>
      <c r="L209" s="1" t="n">
        <v>0</v>
      </c>
      <c r="M209" s="1" t="n">
        <v>0</v>
      </c>
      <c r="N209" s="1" t="s">
        <v>215</v>
      </c>
      <c r="O209" s="1"/>
      <c r="P209" s="1"/>
      <c r="Q209" s="1"/>
      <c r="R209" s="1"/>
      <c r="S209" s="1"/>
      <c r="T209" s="1"/>
      <c r="Z209" s="0" t="n">
        <f aca="false">I209-8</f>
        <v>35.1</v>
      </c>
      <c r="AB209" s="0" t="n">
        <f aca="false">IF(Z209&lt;0,Z209+360,Z209+0)</f>
        <v>35.1</v>
      </c>
    </row>
    <row r="210" customFormat="false" ht="15.8" hidden="false" customHeight="false" outlineLevel="0" collapsed="false">
      <c r="A210" s="1" t="n">
        <v>7</v>
      </c>
      <c r="B210" s="1" t="n">
        <v>8</v>
      </c>
      <c r="C210" s="1" t="n">
        <v>1.3</v>
      </c>
      <c r="D210" s="1" t="n">
        <v>1.1116</v>
      </c>
      <c r="E210" s="1" t="n">
        <v>0.0455866</v>
      </c>
      <c r="F210" s="1" t="n">
        <v>0.000131031</v>
      </c>
      <c r="G210" s="1" t="s">
        <v>27</v>
      </c>
      <c r="H210" s="1" t="n">
        <v>52.4</v>
      </c>
      <c r="I210" s="1" t="n">
        <v>335.1</v>
      </c>
      <c r="J210" s="1" t="n">
        <v>-20.1</v>
      </c>
      <c r="K210" s="1"/>
      <c r="L210" s="1" t="n">
        <v>0</v>
      </c>
      <c r="M210" s="1" t="n">
        <v>0</v>
      </c>
      <c r="N210" s="1" t="s">
        <v>216</v>
      </c>
      <c r="O210" s="1"/>
      <c r="P210" s="1"/>
      <c r="Q210" s="1"/>
      <c r="R210" s="1"/>
      <c r="S210" s="1"/>
      <c r="T210" s="1"/>
      <c r="Z210" s="0" t="n">
        <f aca="false">I210-8</f>
        <v>327.1</v>
      </c>
      <c r="AB210" s="0" t="n">
        <f aca="false">IF(Z210&lt;0,Z210+360,Z210+0)</f>
        <v>327.1</v>
      </c>
    </row>
    <row r="211" customFormat="false" ht="15.8" hidden="false" customHeight="false" outlineLevel="0" collapsed="false">
      <c r="A211" s="1" t="n">
        <v>7</v>
      </c>
      <c r="B211" s="1" t="n">
        <v>8</v>
      </c>
      <c r="C211" s="1" t="n">
        <v>0.9</v>
      </c>
      <c r="D211" s="1" t="n">
        <v>1.0225</v>
      </c>
      <c r="E211" s="1" t="n">
        <v>0.0312306</v>
      </c>
      <c r="F211" s="1" t="n">
        <v>8.97673E-005</v>
      </c>
      <c r="G211" s="1" t="s">
        <v>27</v>
      </c>
      <c r="H211" s="1" t="n">
        <v>87</v>
      </c>
      <c r="I211" s="1" t="n">
        <v>191.8</v>
      </c>
      <c r="J211" s="1" t="n">
        <v>0</v>
      </c>
      <c r="K211" s="1"/>
      <c r="L211" s="1" t="n">
        <v>0</v>
      </c>
      <c r="M211" s="1" t="n">
        <v>0</v>
      </c>
      <c r="N211" s="1" t="s">
        <v>216</v>
      </c>
      <c r="O211" s="1"/>
      <c r="P211" s="1"/>
      <c r="Q211" s="1"/>
      <c r="R211" s="1"/>
      <c r="S211" s="1"/>
      <c r="T211" s="1"/>
      <c r="Z211" s="0" t="n">
        <f aca="false">I211-8</f>
        <v>183.8</v>
      </c>
      <c r="AB211" s="0" t="n">
        <f aca="false">IF(Z211&lt;0,Z211+360,Z211+0)</f>
        <v>183.8</v>
      </c>
    </row>
    <row r="212" customFormat="false" ht="15.8" hidden="false" customHeight="false" outlineLevel="0" collapsed="false">
      <c r="A212" s="1" t="n">
        <v>7</v>
      </c>
      <c r="B212" s="1" t="n">
        <v>7</v>
      </c>
      <c r="C212" s="1" t="n">
        <v>1.3</v>
      </c>
      <c r="D212" s="1" t="n">
        <v>1.3122</v>
      </c>
      <c r="E212" s="1" t="n">
        <v>0.0477999</v>
      </c>
      <c r="F212" s="1" t="n">
        <v>0.000137393</v>
      </c>
      <c r="G212" s="1" t="s">
        <v>42</v>
      </c>
      <c r="H212" s="1" t="n">
        <v>23.5</v>
      </c>
      <c r="I212" s="1" t="n">
        <v>278.5</v>
      </c>
      <c r="J212" s="1" t="n">
        <v>-22.7</v>
      </c>
      <c r="K212" s="1" t="n">
        <v>87</v>
      </c>
      <c r="L212" s="1" t="n">
        <v>0</v>
      </c>
      <c r="M212" s="1" t="n">
        <v>0</v>
      </c>
      <c r="N212" s="1" t="s">
        <v>217</v>
      </c>
      <c r="O212" s="1"/>
      <c r="P212" s="1"/>
      <c r="Q212" s="1"/>
      <c r="R212" s="1"/>
      <c r="S212" s="1"/>
      <c r="T212" s="1"/>
      <c r="Z212" s="0" t="n">
        <f aca="false">I212-8</f>
        <v>270.5</v>
      </c>
      <c r="AB212" s="0" t="n">
        <f aca="false">IF(Z212&lt;0,Z212+360,Z212+0)</f>
        <v>270.5</v>
      </c>
    </row>
    <row r="213" customFormat="false" ht="15.8" hidden="false" customHeight="false" outlineLevel="0" collapsed="false">
      <c r="A213" s="1" t="n">
        <v>7</v>
      </c>
      <c r="B213" s="1" t="n">
        <v>7</v>
      </c>
      <c r="C213" s="1" t="n">
        <v>2.4</v>
      </c>
      <c r="D213" s="1" t="n">
        <v>1.1313</v>
      </c>
      <c r="E213" s="1" t="n">
        <v>0.0880763</v>
      </c>
      <c r="F213" s="1" t="n">
        <v>0.000253161</v>
      </c>
      <c r="G213" s="1" t="s">
        <v>27</v>
      </c>
      <c r="H213" s="1" t="n">
        <v>97.7</v>
      </c>
      <c r="I213" s="1" t="n">
        <v>22.9</v>
      </c>
      <c r="J213" s="1" t="n">
        <v>-21.2</v>
      </c>
      <c r="K213" s="1"/>
      <c r="L213" s="1" t="n">
        <v>0</v>
      </c>
      <c r="M213" s="1" t="n">
        <v>0</v>
      </c>
      <c r="N213" s="1" t="s">
        <v>217</v>
      </c>
      <c r="O213" s="1"/>
      <c r="P213" s="1"/>
      <c r="Q213" s="1"/>
      <c r="R213" s="1"/>
      <c r="S213" s="1"/>
      <c r="T213" s="1"/>
      <c r="Z213" s="0" t="n">
        <f aca="false">I213-8</f>
        <v>14.9</v>
      </c>
      <c r="AB213" s="0" t="n">
        <f aca="false">IF(Z213&lt;0,Z213+360,Z213+0)</f>
        <v>14.9</v>
      </c>
    </row>
    <row r="214" customFormat="false" ht="15.8" hidden="false" customHeight="false" outlineLevel="0" collapsed="false">
      <c r="A214" s="1" t="n">
        <v>7</v>
      </c>
      <c r="B214" s="1" t="n">
        <v>6</v>
      </c>
      <c r="C214" s="1" t="n">
        <v>0.5</v>
      </c>
      <c r="D214" s="1" t="n">
        <v>1.0853</v>
      </c>
      <c r="E214" s="1" t="n">
        <v>0.017676</v>
      </c>
      <c r="F214" s="1" t="n">
        <v>5.08068E-005</v>
      </c>
      <c r="G214" s="1" t="s">
        <v>42</v>
      </c>
      <c r="H214" s="1" t="n">
        <v>84.1</v>
      </c>
      <c r="I214" s="1" t="n">
        <v>284.6</v>
      </c>
      <c r="J214" s="1" t="n">
        <v>0</v>
      </c>
      <c r="K214" s="1" t="n">
        <v>97.7</v>
      </c>
      <c r="L214" s="1" t="n">
        <v>0</v>
      </c>
      <c r="M214" s="1" t="n">
        <v>0</v>
      </c>
      <c r="N214" s="1" t="s">
        <v>215</v>
      </c>
      <c r="O214" s="1"/>
      <c r="P214" s="1"/>
      <c r="Q214" s="1"/>
      <c r="R214" s="1"/>
      <c r="S214" s="1"/>
      <c r="T214" s="1"/>
      <c r="Z214" s="0" t="n">
        <f aca="false">I214-8</f>
        <v>276.6</v>
      </c>
      <c r="AB214" s="0" t="n">
        <f aca="false">IF(Z214&lt;0,Z214+360,Z214+0)</f>
        <v>276.6</v>
      </c>
    </row>
    <row r="215" customFormat="false" ht="15.8" hidden="false" customHeight="false" outlineLevel="0" collapsed="false">
      <c r="A215" s="1" t="n">
        <v>7</v>
      </c>
      <c r="B215" s="1" t="n">
        <v>5</v>
      </c>
      <c r="C215" s="1" t="n">
        <v>2.5</v>
      </c>
      <c r="D215" s="1" t="n">
        <v>1.1913</v>
      </c>
      <c r="E215" s="1" t="n">
        <v>0.090638</v>
      </c>
      <c r="F215" s="1" t="n">
        <v>0.000260524</v>
      </c>
      <c r="G215" s="1" t="s">
        <v>42</v>
      </c>
      <c r="H215" s="1" t="n">
        <v>2.1</v>
      </c>
      <c r="I215" s="1" t="n">
        <v>8.6</v>
      </c>
      <c r="J215" s="1" t="n">
        <v>-10.7</v>
      </c>
      <c r="K215" s="1" t="n">
        <v>84.1</v>
      </c>
      <c r="L215" s="1" t="n">
        <v>0</v>
      </c>
      <c r="M215" s="1" t="n">
        <v>0</v>
      </c>
      <c r="N215" s="1" t="s">
        <v>218</v>
      </c>
      <c r="O215" s="1"/>
      <c r="P215" s="1"/>
      <c r="Q215" s="1"/>
      <c r="R215" s="1"/>
      <c r="S215" s="1"/>
      <c r="T215" s="1"/>
      <c r="Z215" s="0" t="n">
        <f aca="false">I215-8</f>
        <v>0.6</v>
      </c>
      <c r="AB215" s="0" t="n">
        <f aca="false">IF(Z215&lt;0,Z215+360,Z215+0)</f>
        <v>0.6</v>
      </c>
    </row>
    <row r="216" customFormat="false" ht="15.8" hidden="false" customHeight="false" outlineLevel="0" collapsed="false">
      <c r="A216" s="1" t="n">
        <v>7</v>
      </c>
      <c r="B216" s="1" t="n">
        <v>6</v>
      </c>
      <c r="C216" s="1" t="n">
        <v>1.6</v>
      </c>
      <c r="D216" s="1" t="n">
        <v>1.1132</v>
      </c>
      <c r="E216" s="1" t="n">
        <v>0.0579473</v>
      </c>
      <c r="F216" s="1" t="n">
        <v>0.00016656</v>
      </c>
      <c r="G216" s="1" t="s">
        <v>27</v>
      </c>
      <c r="H216" s="1" t="n">
        <v>14</v>
      </c>
      <c r="I216" s="1" t="n">
        <v>304.9</v>
      </c>
      <c r="J216" s="1" t="n">
        <v>15.7</v>
      </c>
      <c r="K216" s="1"/>
      <c r="L216" s="1" t="n">
        <v>0</v>
      </c>
      <c r="M216" s="1" t="n">
        <v>0</v>
      </c>
      <c r="N216" s="1" t="s">
        <v>219</v>
      </c>
      <c r="O216" s="1"/>
      <c r="P216" s="1"/>
      <c r="Q216" s="1"/>
      <c r="R216" s="1"/>
      <c r="S216" s="1"/>
      <c r="T216" s="1"/>
      <c r="Z216" s="0" t="n">
        <f aca="false">I216-8</f>
        <v>296.9</v>
      </c>
      <c r="AB216" s="0" t="n">
        <f aca="false">IF(Z216&lt;0,Z216+360,Z216+0)</f>
        <v>296.9</v>
      </c>
    </row>
    <row r="217" customFormat="false" ht="15.8" hidden="false" customHeight="false" outlineLevel="0" collapsed="false">
      <c r="A217" s="1" t="n">
        <v>7</v>
      </c>
      <c r="B217" s="1" t="n">
        <v>6</v>
      </c>
      <c r="C217" s="1" t="n">
        <v>3.8</v>
      </c>
      <c r="D217" s="1" t="n">
        <v>1.0618</v>
      </c>
      <c r="E217" s="1" t="n">
        <v>0.138468</v>
      </c>
      <c r="F217" s="1" t="n">
        <v>0.000398004</v>
      </c>
      <c r="G217" s="1" t="s">
        <v>27</v>
      </c>
      <c r="H217" s="1" t="n">
        <v>100.3</v>
      </c>
      <c r="I217" s="1" t="n">
        <v>193.1</v>
      </c>
      <c r="J217" s="1" t="n">
        <v>-6.2</v>
      </c>
      <c r="K217" s="1"/>
      <c r="L217" s="1" t="n">
        <v>0</v>
      </c>
      <c r="M217" s="1" t="n">
        <v>0</v>
      </c>
      <c r="N217" s="1" t="s">
        <v>219</v>
      </c>
      <c r="O217" s="1"/>
      <c r="P217" s="1"/>
      <c r="Q217" s="1"/>
      <c r="R217" s="1"/>
      <c r="S217" s="1"/>
      <c r="T217" s="1"/>
      <c r="Z217" s="0" t="n">
        <f aca="false">I217-8</f>
        <v>185.1</v>
      </c>
      <c r="AB217" s="0" t="n">
        <f aca="false">IF(Z217&lt;0,Z217+360,Z217+0)</f>
        <v>185.1</v>
      </c>
    </row>
    <row r="218" customFormat="false" ht="15.8" hidden="false" customHeight="false" outlineLevel="0" collapsed="false">
      <c r="A218" s="1" t="n">
        <v>7</v>
      </c>
      <c r="B218" s="1" t="n">
        <v>5</v>
      </c>
      <c r="C218" s="1" t="n">
        <v>3.1</v>
      </c>
      <c r="D218" s="1" t="n">
        <v>1.1503</v>
      </c>
      <c r="E218" s="1" t="n">
        <v>0.112512</v>
      </c>
      <c r="F218" s="1" t="n">
        <v>0.000323397</v>
      </c>
      <c r="G218" s="1" t="s">
        <v>42</v>
      </c>
      <c r="H218" s="1" t="n">
        <v>79.9</v>
      </c>
      <c r="I218" s="1" t="n">
        <v>292.7</v>
      </c>
      <c r="J218" s="1" t="n">
        <v>8.3</v>
      </c>
      <c r="K218" s="1" t="n">
        <v>100.3</v>
      </c>
      <c r="L218" s="1" t="n">
        <v>0</v>
      </c>
      <c r="M218" s="1" t="n">
        <v>0</v>
      </c>
      <c r="N218" s="1" t="s">
        <v>218</v>
      </c>
      <c r="O218" s="1"/>
      <c r="P218" s="1"/>
      <c r="Q218" s="1"/>
      <c r="R218" s="1"/>
      <c r="S218" s="1"/>
      <c r="T218" s="1"/>
      <c r="Z218" s="0" t="n">
        <f aca="false">I218-8</f>
        <v>284.7</v>
      </c>
      <c r="AB218" s="0" t="n">
        <f aca="false">IF(Z218&lt;0,Z218+360,Z218+0)</f>
        <v>284.7</v>
      </c>
    </row>
    <row r="219" customFormat="false" ht="15.8" hidden="false" customHeight="false" outlineLevel="0" collapsed="false">
      <c r="A219" s="1" t="n">
        <v>7</v>
      </c>
      <c r="B219" s="1" t="n">
        <v>4</v>
      </c>
      <c r="C219" s="1" t="n">
        <v>6.4</v>
      </c>
      <c r="D219" s="1" t="n">
        <v>1.1109</v>
      </c>
      <c r="E219" s="1" t="n">
        <v>0.230505</v>
      </c>
      <c r="F219" s="1" t="n">
        <v>0.000662549</v>
      </c>
      <c r="G219" s="1" t="s">
        <v>42</v>
      </c>
      <c r="H219" s="1" t="n">
        <v>95.2</v>
      </c>
      <c r="I219" s="1" t="n">
        <v>10.5</v>
      </c>
      <c r="J219" s="1" t="n">
        <v>-11.8</v>
      </c>
      <c r="K219" s="1" t="n">
        <v>79.9</v>
      </c>
      <c r="L219" s="1" t="n">
        <v>0</v>
      </c>
      <c r="M219" s="1" t="n">
        <v>0</v>
      </c>
      <c r="N219" s="1" t="s">
        <v>213</v>
      </c>
      <c r="O219" s="1"/>
      <c r="P219" s="1"/>
      <c r="Q219" s="1"/>
      <c r="R219" s="1"/>
      <c r="S219" s="1"/>
      <c r="T219" s="1"/>
      <c r="Z219" s="0" t="n">
        <f aca="false">I219-8</f>
        <v>2.5</v>
      </c>
      <c r="AB219" s="0" t="n">
        <f aca="false">IF(Z219&lt;0,Z219+360,Z219+0)</f>
        <v>2.5</v>
      </c>
    </row>
    <row r="220" customFormat="false" ht="15.8" hidden="false" customHeight="false" outlineLevel="0" collapsed="false">
      <c r="A220" s="1" t="n">
        <v>7</v>
      </c>
      <c r="B220" s="1" t="n">
        <v>3</v>
      </c>
      <c r="C220" s="1" t="n">
        <v>5.7</v>
      </c>
      <c r="D220" s="1" t="n">
        <v>1.1494</v>
      </c>
      <c r="E220" s="1" t="n">
        <v>0.207066</v>
      </c>
      <c r="F220" s="1" t="n">
        <v>0.000595178</v>
      </c>
      <c r="G220" s="1" t="s">
        <v>42</v>
      </c>
      <c r="H220" s="1" t="n">
        <v>43.9</v>
      </c>
      <c r="I220" s="1" t="n">
        <v>106.8</v>
      </c>
      <c r="J220" s="1" t="n">
        <v>-4.5</v>
      </c>
      <c r="K220" s="1" t="n">
        <v>95.2</v>
      </c>
      <c r="L220" s="1" t="n">
        <v>0</v>
      </c>
      <c r="M220" s="1" t="n">
        <v>0</v>
      </c>
      <c r="N220" s="1" t="s">
        <v>196</v>
      </c>
      <c r="O220" s="1"/>
      <c r="P220" s="1"/>
      <c r="Q220" s="1"/>
      <c r="R220" s="1"/>
      <c r="S220" s="1"/>
      <c r="T220" s="1"/>
      <c r="Z220" s="0" t="n">
        <f aca="false">I220-8</f>
        <v>98.8</v>
      </c>
      <c r="AB220" s="0" t="n">
        <f aca="false">IF(Z220&lt;0,Z220+360,Z220+0)</f>
        <v>98.8</v>
      </c>
    </row>
    <row r="221" customFormat="false" ht="15.8" hidden="false" customHeight="false" outlineLevel="0" collapsed="false">
      <c r="A221" s="1" t="n">
        <v>7</v>
      </c>
      <c r="B221" s="1" t="n">
        <v>2</v>
      </c>
      <c r="C221" s="1" t="n">
        <v>2.1</v>
      </c>
      <c r="D221" s="1" t="n">
        <v>1.0167</v>
      </c>
      <c r="E221" s="1" t="n">
        <v>0.0763712</v>
      </c>
      <c r="F221" s="1" t="n">
        <v>0.000219516</v>
      </c>
      <c r="G221" s="1" t="s">
        <v>42</v>
      </c>
      <c r="H221" s="1" t="n">
        <v>11.1</v>
      </c>
      <c r="I221" s="1" t="n">
        <v>150.5</v>
      </c>
      <c r="J221" s="1" t="n">
        <v>0</v>
      </c>
      <c r="K221" s="1" t="n">
        <v>46.4</v>
      </c>
      <c r="L221" s="1" t="n">
        <v>0</v>
      </c>
      <c r="M221" s="1" t="n">
        <v>0</v>
      </c>
      <c r="N221" s="1" t="s">
        <v>220</v>
      </c>
      <c r="O221" s="1"/>
      <c r="P221" s="1"/>
      <c r="Q221" s="1"/>
      <c r="R221" s="1"/>
      <c r="S221" s="1"/>
      <c r="T221" s="1"/>
      <c r="Z221" s="0" t="n">
        <f aca="false">I221-8</f>
        <v>142.5</v>
      </c>
      <c r="AB221" s="0" t="n">
        <f aca="false">IF(Z221&lt;0,Z221+360,Z221+0)</f>
        <v>142.5</v>
      </c>
    </row>
    <row r="222" customFormat="false" ht="15.8" hidden="false" customHeight="false" outlineLevel="0" collapsed="false">
      <c r="A222" s="1" t="n">
        <v>7</v>
      </c>
      <c r="B222" s="1" t="n">
        <v>2</v>
      </c>
      <c r="C222" s="1" t="n">
        <v>5.8</v>
      </c>
      <c r="D222" s="1" t="n">
        <v>1.1067</v>
      </c>
      <c r="E222" s="1" t="n">
        <v>0.209551</v>
      </c>
      <c r="F222" s="1" t="n">
        <v>0.00060232</v>
      </c>
      <c r="G222" s="1" t="s">
        <v>27</v>
      </c>
      <c r="H222" s="1" t="n">
        <v>44.7</v>
      </c>
      <c r="I222" s="1" t="n">
        <v>202</v>
      </c>
      <c r="J222" s="1" t="n">
        <v>-8.6</v>
      </c>
      <c r="K222" s="1"/>
      <c r="L222" s="1" t="n">
        <v>0</v>
      </c>
      <c r="M222" s="1" t="n">
        <v>0</v>
      </c>
      <c r="N222" s="1" t="s">
        <v>220</v>
      </c>
      <c r="O222" s="1"/>
      <c r="P222" s="1"/>
      <c r="Q222" s="1"/>
      <c r="R222" s="1"/>
      <c r="S222" s="1"/>
      <c r="T222" s="1"/>
      <c r="Z222" s="0" t="n">
        <f aca="false">I222-8</f>
        <v>194</v>
      </c>
      <c r="AB222" s="0" t="n">
        <f aca="false">IF(Z222&lt;0,Z222+360,Z222+0)</f>
        <v>194</v>
      </c>
    </row>
    <row r="223" customFormat="false" ht="15.8" hidden="false" customHeight="false" outlineLevel="0" collapsed="false">
      <c r="A223" s="1" t="n">
        <v>7</v>
      </c>
      <c r="B223" s="1" t="n">
        <v>1</v>
      </c>
      <c r="C223" s="1" t="n">
        <v>2.8</v>
      </c>
      <c r="D223" s="1" t="n">
        <v>1.128</v>
      </c>
      <c r="E223" s="1" t="n">
        <v>0.099692</v>
      </c>
      <c r="F223" s="1" t="n">
        <v>0.000286548</v>
      </c>
      <c r="G223" s="1" t="s">
        <v>42</v>
      </c>
      <c r="H223" s="1"/>
      <c r="I223" s="1" t="n">
        <v>156.7</v>
      </c>
      <c r="J223" s="1" t="n">
        <v>-9.2</v>
      </c>
      <c r="K223" s="1" t="n">
        <v>44.7</v>
      </c>
      <c r="L223" s="1" t="n">
        <v>0</v>
      </c>
      <c r="M223" s="1" t="n">
        <v>0</v>
      </c>
      <c r="N223" s="1" t="s">
        <v>221</v>
      </c>
      <c r="O223" s="1"/>
      <c r="P223" s="1"/>
      <c r="Q223" s="1"/>
      <c r="R223" s="1"/>
      <c r="S223" s="1"/>
      <c r="T223" s="1"/>
      <c r="Z223" s="0" t="n">
        <f aca="false">I223-8</f>
        <v>148.7</v>
      </c>
      <c r="AB223" s="0" t="n">
        <f aca="false">IF(Z223&lt;0,Z223+360,Z223+0)</f>
        <v>148.7</v>
      </c>
    </row>
    <row r="224" customFormat="false" ht="15.8" hidden="false" customHeight="false" outlineLevel="0" collapsed="false">
      <c r="A224" s="1" t="n">
        <v>8</v>
      </c>
      <c r="B224" s="1" t="n">
        <v>3</v>
      </c>
      <c r="C224" s="1" t="n">
        <v>4.5</v>
      </c>
      <c r="D224" s="1" t="n">
        <v>2.1074</v>
      </c>
      <c r="E224" s="1" t="n">
        <v>0.16276</v>
      </c>
      <c r="F224" s="1" t="n">
        <v>0.000467828</v>
      </c>
      <c r="G224" s="1" t="s">
        <v>27</v>
      </c>
      <c r="H224" s="1" t="n">
        <v>49.9</v>
      </c>
      <c r="I224" s="1" t="n">
        <v>69.7</v>
      </c>
      <c r="J224" s="1" t="n">
        <v>33.2</v>
      </c>
      <c r="K224" s="1"/>
      <c r="L224" s="1" t="n">
        <v>0</v>
      </c>
      <c r="M224" s="1" t="n">
        <v>0</v>
      </c>
      <c r="N224" s="1" t="s">
        <v>222</v>
      </c>
      <c r="O224" s="1"/>
      <c r="P224" s="1"/>
      <c r="Q224" s="1"/>
      <c r="R224" s="1"/>
      <c r="S224" s="1"/>
      <c r="T224" s="1"/>
      <c r="Z224" s="0" t="n">
        <f aca="false">I224-8</f>
        <v>61.7</v>
      </c>
      <c r="AB224" s="0" t="n">
        <f aca="false">IF(Z224&lt;0,Z224+360,Z224+0)</f>
        <v>61.7</v>
      </c>
    </row>
    <row r="225" customFormat="false" ht="15.8" hidden="false" customHeight="false" outlineLevel="0" collapsed="false">
      <c r="A225" s="1" t="n">
        <v>8</v>
      </c>
      <c r="B225" s="1" t="n">
        <v>5</v>
      </c>
      <c r="C225" s="1" t="n">
        <v>1</v>
      </c>
      <c r="D225" s="1" t="n">
        <v>1.0148</v>
      </c>
      <c r="E225" s="1" t="n">
        <v>0.0377342</v>
      </c>
      <c r="F225" s="1" t="n">
        <v>0.000108461</v>
      </c>
      <c r="G225" s="1" t="s">
        <v>27</v>
      </c>
      <c r="H225" s="1" t="n">
        <v>21.7</v>
      </c>
      <c r="I225" s="1" t="n">
        <v>20.3</v>
      </c>
      <c r="J225" s="1" t="n">
        <v>0</v>
      </c>
      <c r="K225" s="1"/>
      <c r="L225" s="1" t="n">
        <v>0</v>
      </c>
      <c r="M225" s="1" t="n">
        <v>0</v>
      </c>
      <c r="N225" s="1" t="s">
        <v>223</v>
      </c>
      <c r="O225" s="1"/>
      <c r="P225" s="1"/>
      <c r="Q225" s="1"/>
      <c r="R225" s="1"/>
      <c r="S225" s="1"/>
      <c r="T225" s="1"/>
      <c r="Z225" s="0" t="n">
        <f aca="false">I225-8</f>
        <v>12.3</v>
      </c>
      <c r="AB225" s="0" t="n">
        <f aca="false">IF(Z225&lt;0,Z225+360,Z225+0)</f>
        <v>12.3</v>
      </c>
    </row>
    <row r="226" customFormat="false" ht="15.8" hidden="false" customHeight="false" outlineLevel="0" collapsed="false">
      <c r="A226" s="1" t="n">
        <v>8</v>
      </c>
      <c r="B226" s="1" t="n">
        <v>5</v>
      </c>
      <c r="C226" s="1" t="n">
        <v>1</v>
      </c>
      <c r="D226" s="1" t="n">
        <v>1.1603</v>
      </c>
      <c r="E226" s="1" t="n">
        <v>0.0353302</v>
      </c>
      <c r="F226" s="1" t="n">
        <v>0.000101551</v>
      </c>
      <c r="G226" s="1" t="s">
        <v>27</v>
      </c>
      <c r="H226" s="1" t="n">
        <v>97.6</v>
      </c>
      <c r="I226" s="1" t="n">
        <v>270</v>
      </c>
      <c r="J226" s="1" t="n">
        <v>27.6</v>
      </c>
      <c r="K226" s="1"/>
      <c r="L226" s="1" t="n">
        <v>0</v>
      </c>
      <c r="M226" s="1" t="n">
        <v>0</v>
      </c>
      <c r="N226" s="1" t="s">
        <v>223</v>
      </c>
      <c r="O226" s="1"/>
      <c r="P226" s="1"/>
      <c r="Q226" s="1"/>
      <c r="R226" s="1"/>
      <c r="S226" s="1"/>
      <c r="T226" s="1"/>
      <c r="Z226" s="0" t="n">
        <f aca="false">I226-8</f>
        <v>262</v>
      </c>
      <c r="AB226" s="0" t="n">
        <f aca="false">IF(Z226&lt;0,Z226+360,Z226+0)</f>
        <v>262</v>
      </c>
    </row>
    <row r="227" customFormat="false" ht="15.8" hidden="false" customHeight="false" outlineLevel="0" collapsed="false">
      <c r="A227" s="1" t="n">
        <v>8</v>
      </c>
      <c r="B227" s="1" t="n">
        <v>4</v>
      </c>
      <c r="C227" s="1" t="n">
        <v>2.1</v>
      </c>
      <c r="D227" s="1" t="n">
        <v>1.1457</v>
      </c>
      <c r="E227" s="1" t="n">
        <v>0.0760107</v>
      </c>
      <c r="F227" s="1" t="n">
        <v>0.00021848</v>
      </c>
      <c r="G227" s="1" t="s">
        <v>42</v>
      </c>
      <c r="H227" s="1" t="n">
        <v>26.6</v>
      </c>
      <c r="I227" s="1" t="n">
        <v>2.2</v>
      </c>
      <c r="J227" s="1" t="n">
        <v>-12.3</v>
      </c>
      <c r="K227" s="1" t="n">
        <v>97.6</v>
      </c>
      <c r="L227" s="1" t="n">
        <v>0</v>
      </c>
      <c r="M227" s="1" t="n">
        <v>0</v>
      </c>
      <c r="N227" s="1" t="s">
        <v>224</v>
      </c>
      <c r="O227" s="1"/>
      <c r="P227" s="1"/>
      <c r="Q227" s="1"/>
      <c r="R227" s="1"/>
      <c r="S227" s="1"/>
      <c r="T227" s="1"/>
      <c r="Z227" s="0" t="n">
        <f aca="false">I227-8</f>
        <v>-5.8</v>
      </c>
      <c r="AB227" s="0" t="n">
        <f aca="false">IF(Z227&lt;0,Z227+360,Z227+0)</f>
        <v>354.2</v>
      </c>
    </row>
    <row r="228" customFormat="false" ht="15.8" hidden="false" customHeight="false" outlineLevel="0" collapsed="false">
      <c r="A228" s="1" t="n">
        <v>8</v>
      </c>
      <c r="B228" s="1" t="n">
        <v>4</v>
      </c>
      <c r="C228" s="1" t="n">
        <v>0.8</v>
      </c>
      <c r="D228" s="1" t="n">
        <v>1.2076</v>
      </c>
      <c r="E228" s="1" t="n">
        <v>0.0290169</v>
      </c>
      <c r="F228" s="1" t="n">
        <v>8.34042E-005</v>
      </c>
      <c r="G228" s="1" t="s">
        <v>27</v>
      </c>
      <c r="H228" s="1" t="n">
        <v>54.6</v>
      </c>
      <c r="I228" s="1" t="n">
        <v>303.7</v>
      </c>
      <c r="J228" s="1" t="n">
        <v>35.9</v>
      </c>
      <c r="K228" s="1"/>
      <c r="L228" s="1" t="n">
        <v>0</v>
      </c>
      <c r="M228" s="1" t="n">
        <v>0</v>
      </c>
      <c r="N228" s="1" t="s">
        <v>224</v>
      </c>
      <c r="O228" s="1"/>
      <c r="P228" s="1"/>
      <c r="Q228" s="1"/>
      <c r="R228" s="1"/>
      <c r="S228" s="1"/>
      <c r="T228" s="1"/>
      <c r="Z228" s="0" t="n">
        <f aca="false">I228-8</f>
        <v>295.7</v>
      </c>
      <c r="AB228" s="0" t="n">
        <f aca="false">IF(Z228&lt;0,Z228+360,Z228+0)</f>
        <v>295.7</v>
      </c>
    </row>
    <row r="229" customFormat="false" ht="15.8" hidden="false" customHeight="false" outlineLevel="0" collapsed="false">
      <c r="A229" s="1" t="n">
        <v>8</v>
      </c>
      <c r="B229" s="1" t="n">
        <v>3</v>
      </c>
      <c r="C229" s="1" t="n">
        <v>1.9</v>
      </c>
      <c r="D229" s="1" t="n">
        <v>1.1687</v>
      </c>
      <c r="E229" s="1" t="n">
        <v>0.0670903</v>
      </c>
      <c r="F229" s="1" t="n">
        <v>0.00019284</v>
      </c>
      <c r="G229" s="1" t="s">
        <v>42</v>
      </c>
      <c r="H229" s="1" t="n">
        <v>23.4</v>
      </c>
      <c r="I229" s="1" t="n">
        <v>0</v>
      </c>
      <c r="J229" s="1" t="n">
        <v>14.2</v>
      </c>
      <c r="K229" s="1" t="n">
        <v>54.6</v>
      </c>
      <c r="L229" s="1" t="n">
        <v>0</v>
      </c>
      <c r="M229" s="1" t="n">
        <v>0</v>
      </c>
      <c r="N229" s="1" t="s">
        <v>222</v>
      </c>
      <c r="O229" s="1"/>
      <c r="P229" s="1"/>
      <c r="Q229" s="1"/>
      <c r="R229" s="1"/>
      <c r="S229" s="1"/>
      <c r="T229" s="1"/>
      <c r="Z229" s="0" t="n">
        <f aca="false">I229-8</f>
        <v>-8</v>
      </c>
      <c r="AB229" s="0" t="n">
        <f aca="false">IF(Z229&lt;0,Z229+360,Z229+0)</f>
        <v>352</v>
      </c>
    </row>
    <row r="230" customFormat="false" ht="15.8" hidden="false" customHeight="false" outlineLevel="0" collapsed="false">
      <c r="A230" s="1" t="n">
        <v>8</v>
      </c>
      <c r="B230" s="1" t="n">
        <v>2</v>
      </c>
      <c r="C230" s="1" t="n">
        <v>2.4</v>
      </c>
      <c r="D230" s="1" t="n">
        <v>1.2301</v>
      </c>
      <c r="E230" s="1" t="n">
        <v>0.0873127</v>
      </c>
      <c r="F230" s="1" t="n">
        <v>0.000250966</v>
      </c>
      <c r="G230" s="1" t="s">
        <v>42</v>
      </c>
      <c r="H230" s="1" t="n">
        <v>19.2</v>
      </c>
      <c r="I230" s="1" t="n">
        <v>8</v>
      </c>
      <c r="J230" s="1" t="n">
        <v>36.5</v>
      </c>
      <c r="K230" s="1" t="n">
        <v>49.9</v>
      </c>
      <c r="L230" s="1" t="n">
        <v>0</v>
      </c>
      <c r="M230" s="1" t="n">
        <v>0</v>
      </c>
      <c r="N230" s="1" t="s">
        <v>225</v>
      </c>
      <c r="O230" s="1"/>
      <c r="P230" s="1"/>
      <c r="Q230" s="1"/>
      <c r="R230" s="1"/>
      <c r="S230" s="1"/>
      <c r="T230" s="1"/>
      <c r="Z230" s="0" t="n">
        <f aca="false">I230-8</f>
        <v>0</v>
      </c>
      <c r="AB230" s="0" t="n">
        <f aca="false">IF(Z230&lt;0,Z230+360,Z230+0)</f>
        <v>0</v>
      </c>
    </row>
    <row r="231" customFormat="false" ht="15.8" hidden="false" customHeight="false" outlineLevel="0" collapsed="false">
      <c r="A231" s="1" t="n">
        <v>8</v>
      </c>
      <c r="B231" s="1" t="n">
        <v>2</v>
      </c>
      <c r="C231" s="1" t="n">
        <v>1.6</v>
      </c>
      <c r="D231" s="1" t="n">
        <v>1.1536</v>
      </c>
      <c r="E231" s="1" t="n">
        <v>0.0564707</v>
      </c>
      <c r="F231" s="1" t="n">
        <v>0.000162316</v>
      </c>
      <c r="G231" s="1" t="s">
        <v>27</v>
      </c>
      <c r="H231" s="1" t="n">
        <v>86.1</v>
      </c>
      <c r="I231" s="1" t="n">
        <v>288.6</v>
      </c>
      <c r="J231" s="1" t="n">
        <v>16.7</v>
      </c>
      <c r="K231" s="1"/>
      <c r="L231" s="1" t="n">
        <v>0</v>
      </c>
      <c r="M231" s="1" t="n">
        <v>0</v>
      </c>
      <c r="N231" s="1" t="s">
        <v>225</v>
      </c>
      <c r="O231" s="1"/>
      <c r="P231" s="1"/>
      <c r="Q231" s="1"/>
      <c r="R231" s="1"/>
      <c r="S231" s="1"/>
      <c r="T231" s="1"/>
      <c r="Z231" s="0" t="n">
        <f aca="false">I231-8</f>
        <v>280.6</v>
      </c>
      <c r="AB231" s="0" t="n">
        <f aca="false">IF(Z231&lt;0,Z231+360,Z231+0)</f>
        <v>280.6</v>
      </c>
    </row>
    <row r="232" customFormat="false" ht="15.8" hidden="false" customHeight="false" outlineLevel="0" collapsed="false">
      <c r="A232" s="1" t="n">
        <v>8</v>
      </c>
      <c r="B232" s="1" t="n">
        <v>1</v>
      </c>
      <c r="C232" s="1" t="n">
        <v>2.8</v>
      </c>
      <c r="D232" s="1" t="n">
        <v>1.2706</v>
      </c>
      <c r="E232" s="1" t="n">
        <v>0.0998342</v>
      </c>
      <c r="F232" s="1" t="n">
        <v>0.000286957</v>
      </c>
      <c r="G232" s="1" t="s">
        <v>42</v>
      </c>
      <c r="H232" s="1"/>
      <c r="I232" s="1" t="n">
        <v>20.9</v>
      </c>
      <c r="J232" s="1" t="n">
        <v>21</v>
      </c>
      <c r="K232" s="1" t="n">
        <v>86.1</v>
      </c>
      <c r="L232" s="1" t="n">
        <v>0</v>
      </c>
      <c r="M232" s="1" t="n">
        <v>0</v>
      </c>
      <c r="N232" s="1" t="s">
        <v>226</v>
      </c>
      <c r="O232" s="1"/>
      <c r="P232" s="1"/>
      <c r="Q232" s="1"/>
      <c r="R232" s="1"/>
      <c r="S232" s="1"/>
      <c r="T232" s="1"/>
      <c r="Z232" s="0" t="n">
        <f aca="false">I232-8</f>
        <v>12.9</v>
      </c>
      <c r="AB232" s="0" t="n">
        <f aca="false">IF(Z232&lt;0,Z232+360,Z232+0)</f>
        <v>12.9</v>
      </c>
    </row>
    <row r="233" customFormat="false" ht="15.8" hidden="false" customHeight="false" outlineLevel="0" collapsed="false">
      <c r="A233" s="1" t="n">
        <v>9</v>
      </c>
      <c r="B233" s="1" t="n">
        <v>1</v>
      </c>
      <c r="C233" s="1" t="n">
        <v>2.6</v>
      </c>
      <c r="D233" s="1" t="n">
        <v>1.2798</v>
      </c>
      <c r="E233" s="1" t="n">
        <v>0.0931818</v>
      </c>
      <c r="F233" s="1" t="n">
        <v>0.000267836</v>
      </c>
      <c r="G233" s="1" t="s">
        <v>27</v>
      </c>
      <c r="H233" s="1"/>
      <c r="I233" s="1" t="n">
        <v>334.3</v>
      </c>
      <c r="J233" s="1" t="n">
        <v>0</v>
      </c>
      <c r="K233" s="1"/>
      <c r="L233" s="1" t="n">
        <v>0</v>
      </c>
      <c r="M233" s="1" t="n">
        <v>0</v>
      </c>
      <c r="N233" s="1" t="s">
        <v>227</v>
      </c>
      <c r="O233" s="1"/>
      <c r="P233" s="1"/>
      <c r="Q233" s="1"/>
      <c r="R233" s="1"/>
      <c r="S233" s="1"/>
      <c r="T233" s="1"/>
      <c r="Z233" s="0" t="n">
        <f aca="false">I233-8</f>
        <v>326.3</v>
      </c>
      <c r="AB233" s="0" t="n">
        <f aca="false">IF(Z233&lt;0,Z233+360,Z233+0)</f>
        <v>326.3</v>
      </c>
    </row>
    <row r="234" customFormat="false" ht="15.8" hidden="false" customHeight="false" outlineLevel="0" collapsed="false">
      <c r="A234" s="1" t="n">
        <v>10</v>
      </c>
      <c r="B234" s="1" t="n">
        <v>1</v>
      </c>
      <c r="C234" s="1" t="n">
        <v>1.7</v>
      </c>
      <c r="D234" s="1" t="n">
        <v>1.3012</v>
      </c>
      <c r="E234" s="1" t="n">
        <v>0.0610538</v>
      </c>
      <c r="F234" s="1" t="n">
        <v>0.000175489</v>
      </c>
      <c r="G234" s="1" t="s">
        <v>27</v>
      </c>
      <c r="H234" s="1"/>
      <c r="I234" s="1" t="n">
        <v>95.1</v>
      </c>
      <c r="J234" s="1" t="n">
        <v>-36.9</v>
      </c>
      <c r="K234" s="1"/>
      <c r="L234" s="1" t="n">
        <v>0</v>
      </c>
      <c r="M234" s="1" t="n">
        <v>0</v>
      </c>
      <c r="N234" s="1" t="s">
        <v>228</v>
      </c>
      <c r="O234" s="1"/>
      <c r="P234" s="1"/>
      <c r="Q234" s="1"/>
      <c r="R234" s="1"/>
      <c r="S234" s="1"/>
      <c r="T234" s="1"/>
      <c r="Z234" s="0" t="n">
        <f aca="false">I234-8</f>
        <v>87.1</v>
      </c>
      <c r="AB234" s="0" t="n">
        <f aca="false">IF(Z234&lt;0,Z234+360,Z234+0)</f>
        <v>87.1</v>
      </c>
    </row>
    <row r="235" customFormat="false" ht="15.8" hidden="false" customHeight="false" outlineLevel="0" collapsed="false">
      <c r="A235" s="1" t="n">
        <v>11</v>
      </c>
      <c r="B235" s="1" t="n">
        <v>7</v>
      </c>
      <c r="C235" s="1" t="n">
        <v>3.1</v>
      </c>
      <c r="D235" s="1" t="n">
        <v>1.4321</v>
      </c>
      <c r="E235" s="1" t="n">
        <v>0.112788</v>
      </c>
      <c r="F235" s="1" t="n">
        <v>0.000324191</v>
      </c>
      <c r="G235" s="1" t="s">
        <v>27</v>
      </c>
      <c r="H235" s="1" t="n">
        <v>37.4</v>
      </c>
      <c r="I235" s="1" t="n">
        <v>153.1</v>
      </c>
      <c r="J235" s="1" t="n">
        <v>-21</v>
      </c>
      <c r="K235" s="1"/>
      <c r="L235" s="1" t="n">
        <v>0</v>
      </c>
      <c r="M235" s="1" t="n">
        <v>0</v>
      </c>
      <c r="N235" s="1" t="s">
        <v>229</v>
      </c>
      <c r="O235" s="1"/>
      <c r="P235" s="1"/>
      <c r="Q235" s="1"/>
      <c r="R235" s="1"/>
      <c r="S235" s="1"/>
      <c r="T235" s="1"/>
      <c r="Z235" s="0" t="n">
        <f aca="false">I235-8</f>
        <v>145.1</v>
      </c>
      <c r="AB235" s="0" t="n">
        <f aca="false">IF(Z235&lt;0,Z235+360,Z235+0)</f>
        <v>145.1</v>
      </c>
    </row>
    <row r="236" customFormat="false" ht="15.8" hidden="false" customHeight="false" outlineLevel="0" collapsed="false">
      <c r="A236" s="1" t="n">
        <v>11</v>
      </c>
      <c r="B236" s="1" t="n">
        <v>7</v>
      </c>
      <c r="C236" s="1" t="n">
        <v>1.8</v>
      </c>
      <c r="D236" s="1" t="n">
        <v>1.2292</v>
      </c>
      <c r="E236" s="1" t="n">
        <v>0.0661952</v>
      </c>
      <c r="F236" s="1" t="n">
        <v>0.000190267</v>
      </c>
      <c r="G236" s="1" t="s">
        <v>27</v>
      </c>
      <c r="H236" s="1" t="n">
        <v>77.8</v>
      </c>
      <c r="I236" s="1" t="n">
        <v>262.2</v>
      </c>
      <c r="J236" s="1" t="n">
        <v>15.2</v>
      </c>
      <c r="K236" s="1"/>
      <c r="L236" s="1" t="n">
        <v>0</v>
      </c>
      <c r="M236" s="1" t="n">
        <v>0</v>
      </c>
      <c r="N236" s="1" t="s">
        <v>229</v>
      </c>
      <c r="O236" s="1"/>
      <c r="P236" s="1"/>
      <c r="Q236" s="1"/>
      <c r="R236" s="1"/>
      <c r="S236" s="1"/>
      <c r="T236" s="1"/>
      <c r="Z236" s="0" t="n">
        <f aca="false">I236-8</f>
        <v>254.2</v>
      </c>
      <c r="AB236" s="0" t="n">
        <f aca="false">IF(Z236&lt;0,Z236+360,Z236+0)</f>
        <v>254.2</v>
      </c>
    </row>
    <row r="237" customFormat="false" ht="15.8" hidden="false" customHeight="false" outlineLevel="0" collapsed="false">
      <c r="A237" s="1" t="n">
        <v>11</v>
      </c>
      <c r="B237" s="1" t="n">
        <v>6</v>
      </c>
      <c r="C237" s="1" t="n">
        <v>1</v>
      </c>
      <c r="D237" s="1" t="n">
        <v>1.0046</v>
      </c>
      <c r="E237" s="1" t="n">
        <v>0.0347514</v>
      </c>
      <c r="F237" s="1" t="n">
        <v>9.98871E-005</v>
      </c>
      <c r="G237" s="1" t="s">
        <v>42</v>
      </c>
      <c r="H237" s="1" t="n">
        <v>71.1</v>
      </c>
      <c r="I237" s="1" t="n">
        <v>184.8</v>
      </c>
      <c r="J237" s="1" t="n">
        <v>0</v>
      </c>
      <c r="K237" s="1" t="n">
        <v>77.8</v>
      </c>
      <c r="L237" s="1" t="n">
        <v>0</v>
      </c>
      <c r="M237" s="1" t="n">
        <v>0</v>
      </c>
      <c r="N237" s="1" t="s">
        <v>230</v>
      </c>
      <c r="O237" s="1"/>
      <c r="P237" s="1"/>
      <c r="Q237" s="1"/>
      <c r="R237" s="1"/>
      <c r="S237" s="1"/>
      <c r="T237" s="1"/>
      <c r="Z237" s="0" t="n">
        <f aca="false">I237-8</f>
        <v>176.8</v>
      </c>
      <c r="AB237" s="0" t="n">
        <f aca="false">IF(Z237&lt;0,Z237+360,Z237+0)</f>
        <v>176.8</v>
      </c>
    </row>
    <row r="238" customFormat="false" ht="15.8" hidden="false" customHeight="false" outlineLevel="0" collapsed="false">
      <c r="A238" s="1" t="n">
        <v>11</v>
      </c>
      <c r="B238" s="1" t="n">
        <v>6</v>
      </c>
      <c r="C238" s="1" t="n">
        <v>2.2</v>
      </c>
      <c r="D238" s="1" t="n">
        <v>1.1835</v>
      </c>
      <c r="E238" s="1" t="n">
        <v>0.0786554</v>
      </c>
      <c r="F238" s="1" t="n">
        <v>0.000226082</v>
      </c>
      <c r="G238" s="1" t="s">
        <v>27</v>
      </c>
      <c r="H238" s="1" t="n">
        <v>81.1</v>
      </c>
      <c r="I238" s="1" t="n">
        <v>28</v>
      </c>
      <c r="J238" s="1" t="n">
        <v>-25.1</v>
      </c>
      <c r="K238" s="1"/>
      <c r="L238" s="1" t="n">
        <v>0</v>
      </c>
      <c r="M238" s="1" t="n">
        <v>0</v>
      </c>
      <c r="N238" s="1" t="s">
        <v>230</v>
      </c>
      <c r="O238" s="1"/>
      <c r="P238" s="1"/>
      <c r="Q238" s="1"/>
      <c r="R238" s="1"/>
      <c r="S238" s="1"/>
      <c r="T238" s="1"/>
      <c r="Z238" s="0" t="n">
        <f aca="false">I238-8</f>
        <v>20</v>
      </c>
      <c r="AB238" s="0" t="n">
        <f aca="false">IF(Z238&lt;0,Z238+360,Z238+0)</f>
        <v>20</v>
      </c>
    </row>
    <row r="239" customFormat="false" ht="15.8" hidden="false" customHeight="false" outlineLevel="0" collapsed="false">
      <c r="A239" s="1" t="n">
        <v>11</v>
      </c>
      <c r="B239" s="1" t="n">
        <v>5</v>
      </c>
      <c r="C239" s="1" t="n">
        <v>2.1</v>
      </c>
      <c r="D239" s="1" t="n">
        <v>1.2281</v>
      </c>
      <c r="E239" s="1" t="n">
        <v>0.075287</v>
      </c>
      <c r="F239" s="1" t="n">
        <v>0.0002164</v>
      </c>
      <c r="G239" s="1" t="s">
        <v>42</v>
      </c>
      <c r="H239" s="1" t="n">
        <v>20.4</v>
      </c>
      <c r="I239" s="1" t="n">
        <v>114.2</v>
      </c>
      <c r="J239" s="1" t="n">
        <v>-13.3</v>
      </c>
      <c r="K239" s="1" t="n">
        <v>81.1</v>
      </c>
      <c r="L239" s="1" t="n">
        <v>0</v>
      </c>
      <c r="M239" s="1" t="n">
        <v>0</v>
      </c>
      <c r="N239" s="1" t="s">
        <v>231</v>
      </c>
      <c r="O239" s="1"/>
      <c r="P239" s="1"/>
      <c r="Q239" s="1"/>
      <c r="R239" s="1"/>
      <c r="S239" s="1"/>
      <c r="T239" s="1"/>
      <c r="Z239" s="0" t="n">
        <f aca="false">I239-8</f>
        <v>106.2</v>
      </c>
      <c r="AB239" s="0" t="n">
        <f aca="false">IF(Z239&lt;0,Z239+360,Z239+0)</f>
        <v>106.2</v>
      </c>
    </row>
    <row r="240" customFormat="false" ht="15.8" hidden="false" customHeight="false" outlineLevel="0" collapsed="false">
      <c r="A240" s="1" t="n">
        <v>11</v>
      </c>
      <c r="B240" s="1" t="n">
        <v>5</v>
      </c>
      <c r="C240" s="1" t="n">
        <v>1</v>
      </c>
      <c r="D240" s="1" t="n">
        <v>1.31</v>
      </c>
      <c r="E240" s="1" t="n">
        <v>0.0376012</v>
      </c>
      <c r="F240" s="1" t="n">
        <v>0.000108079</v>
      </c>
      <c r="G240" s="1" t="s">
        <v>27</v>
      </c>
      <c r="H240" s="1" t="n">
        <v>130</v>
      </c>
      <c r="I240" s="1" t="n">
        <v>266.7</v>
      </c>
      <c r="J240" s="1" t="n">
        <v>0</v>
      </c>
      <c r="K240" s="1"/>
      <c r="L240" s="1" t="n">
        <v>0</v>
      </c>
      <c r="M240" s="1" t="n">
        <v>0</v>
      </c>
      <c r="N240" s="1" t="s">
        <v>231</v>
      </c>
      <c r="O240" s="1"/>
      <c r="P240" s="1"/>
      <c r="Q240" s="1"/>
      <c r="R240" s="1"/>
      <c r="S240" s="1"/>
      <c r="T240" s="1"/>
      <c r="Z240" s="0" t="n">
        <f aca="false">I240-8</f>
        <v>258.7</v>
      </c>
      <c r="AB240" s="0" t="n">
        <f aca="false">IF(Z240&lt;0,Z240+360,Z240+0)</f>
        <v>258.7</v>
      </c>
    </row>
    <row r="241" customFormat="false" ht="15.8" hidden="false" customHeight="false" outlineLevel="0" collapsed="false">
      <c r="A241" s="1" t="n">
        <v>11</v>
      </c>
      <c r="B241" s="1" t="n">
        <v>4</v>
      </c>
      <c r="C241" s="1" t="n">
        <v>2.3</v>
      </c>
      <c r="D241" s="1" t="n">
        <v>1.2888</v>
      </c>
      <c r="E241" s="1" t="n">
        <v>0.0814007</v>
      </c>
      <c r="F241" s="1" t="n">
        <v>0.000233973</v>
      </c>
      <c r="G241" s="1" t="s">
        <v>42</v>
      </c>
      <c r="H241" s="1" t="n">
        <v>54.6</v>
      </c>
      <c r="I241" s="1" t="n">
        <v>130.8</v>
      </c>
      <c r="J241" s="1" t="n">
        <v>-26.5</v>
      </c>
      <c r="K241" s="1" t="n">
        <v>130</v>
      </c>
      <c r="L241" s="1" t="n">
        <v>0</v>
      </c>
      <c r="M241" s="1" t="n">
        <v>0</v>
      </c>
      <c r="N241" s="1" t="s">
        <v>232</v>
      </c>
      <c r="O241" s="1"/>
      <c r="P241" s="1"/>
      <c r="Q241" s="1"/>
      <c r="R241" s="1"/>
      <c r="S241" s="1"/>
      <c r="T241" s="1"/>
      <c r="Z241" s="0" t="n">
        <f aca="false">I241-8</f>
        <v>122.8</v>
      </c>
      <c r="AB241" s="0" t="n">
        <f aca="false">IF(Z241&lt;0,Z241+360,Z241+0)</f>
        <v>122.8</v>
      </c>
    </row>
    <row r="242" customFormat="false" ht="15.8" hidden="false" customHeight="false" outlineLevel="0" collapsed="false">
      <c r="A242" s="1" t="n">
        <v>11</v>
      </c>
      <c r="B242" s="1" t="n">
        <v>5</v>
      </c>
      <c r="C242" s="1" t="n">
        <v>1.6</v>
      </c>
      <c r="D242" s="1" t="n">
        <v>1.4463</v>
      </c>
      <c r="E242" s="1" t="n">
        <v>0.0581575</v>
      </c>
      <c r="F242" s="1" t="n">
        <v>0.000167164</v>
      </c>
      <c r="G242" s="1" t="s">
        <v>27</v>
      </c>
      <c r="H242" s="1" t="n">
        <v>21.9</v>
      </c>
      <c r="I242" s="1" t="n">
        <v>38.3</v>
      </c>
      <c r="J242" s="1" t="n">
        <v>0</v>
      </c>
      <c r="K242" s="1"/>
      <c r="L242" s="1" t="n">
        <v>0</v>
      </c>
      <c r="M242" s="1" t="n">
        <v>0</v>
      </c>
      <c r="N242" s="1" t="s">
        <v>233</v>
      </c>
      <c r="O242" s="1"/>
      <c r="P242" s="1"/>
      <c r="Q242" s="1"/>
      <c r="R242" s="1"/>
      <c r="S242" s="1"/>
      <c r="T242" s="1"/>
      <c r="Z242" s="0" t="n">
        <f aca="false">I242-8</f>
        <v>30.3</v>
      </c>
      <c r="AB242" s="0" t="n">
        <f aca="false">IF(Z242&lt;0,Z242+360,Z242+0)</f>
        <v>30.3</v>
      </c>
    </row>
    <row r="243" customFormat="false" ht="15.8" hidden="false" customHeight="false" outlineLevel="0" collapsed="false">
      <c r="A243" s="1" t="n">
        <v>11</v>
      </c>
      <c r="B243" s="1" t="n">
        <v>5</v>
      </c>
      <c r="C243" s="1" t="n">
        <v>0.6</v>
      </c>
      <c r="D243" s="1" t="n">
        <v>1.0106</v>
      </c>
      <c r="E243" s="1" t="n">
        <v>0.022869</v>
      </c>
      <c r="F243" s="1" t="n">
        <v>6.57331E-005</v>
      </c>
      <c r="G243" s="1" t="s">
        <v>27</v>
      </c>
      <c r="H243" s="1" t="n">
        <v>82.8</v>
      </c>
      <c r="I243" s="1" t="n">
        <v>312.8</v>
      </c>
      <c r="J243" s="1" t="n">
        <v>0</v>
      </c>
      <c r="K243" s="1"/>
      <c r="L243" s="1" t="n">
        <v>0</v>
      </c>
      <c r="M243" s="1" t="n">
        <v>0</v>
      </c>
      <c r="N243" s="1" t="s">
        <v>233</v>
      </c>
      <c r="O243" s="1"/>
      <c r="P243" s="1"/>
      <c r="Q243" s="1"/>
      <c r="R243" s="1"/>
      <c r="S243" s="1"/>
      <c r="T243" s="1"/>
      <c r="Z243" s="0" t="n">
        <f aca="false">I243-8</f>
        <v>304.8</v>
      </c>
      <c r="AB243" s="0" t="n">
        <f aca="false">IF(Z243&lt;0,Z243+360,Z243+0)</f>
        <v>304.8</v>
      </c>
    </row>
    <row r="244" customFormat="false" ht="15.8" hidden="false" customHeight="false" outlineLevel="0" collapsed="false">
      <c r="A244" s="1" t="n">
        <v>11</v>
      </c>
      <c r="B244" s="1" t="n">
        <v>4</v>
      </c>
      <c r="C244" s="1" t="n">
        <v>1.2</v>
      </c>
      <c r="D244" s="1" t="n">
        <v>1.1711</v>
      </c>
      <c r="E244" s="1" t="n">
        <v>0.0447084</v>
      </c>
      <c r="F244" s="1" t="n">
        <v>0.000128507</v>
      </c>
      <c r="G244" s="1" t="s">
        <v>42</v>
      </c>
      <c r="H244" s="1" t="n">
        <v>51.5</v>
      </c>
      <c r="I244" s="1" t="n">
        <v>35</v>
      </c>
      <c r="J244" s="1" t="n">
        <v>21.7</v>
      </c>
      <c r="K244" s="1" t="n">
        <v>82.8</v>
      </c>
      <c r="L244" s="1" t="n">
        <v>0</v>
      </c>
      <c r="M244" s="1" t="n">
        <v>0</v>
      </c>
      <c r="N244" s="1" t="s">
        <v>232</v>
      </c>
      <c r="O244" s="1"/>
      <c r="P244" s="1"/>
      <c r="Q244" s="1"/>
      <c r="R244" s="1"/>
      <c r="S244" s="1"/>
      <c r="T244" s="1"/>
      <c r="Z244" s="0" t="n">
        <f aca="false">I244-8</f>
        <v>27</v>
      </c>
      <c r="AB244" s="0" t="n">
        <f aca="false">IF(Z244&lt;0,Z244+360,Z244+0)</f>
        <v>27</v>
      </c>
    </row>
    <row r="245" customFormat="false" ht="15.8" hidden="false" customHeight="false" outlineLevel="0" collapsed="false">
      <c r="A245" s="1" t="n">
        <v>11</v>
      </c>
      <c r="B245" s="1" t="n">
        <v>5</v>
      </c>
      <c r="C245" s="1" t="n">
        <v>0.7</v>
      </c>
      <c r="D245" s="1" t="n">
        <v>1.0482</v>
      </c>
      <c r="E245" s="1" t="n">
        <v>0.0260894</v>
      </c>
      <c r="F245" s="1" t="n">
        <v>7.49896E-005</v>
      </c>
      <c r="G245" s="1" t="s">
        <v>27</v>
      </c>
      <c r="H245" s="1" t="n">
        <v>63.4</v>
      </c>
      <c r="I245" s="1" t="n">
        <v>115.7</v>
      </c>
      <c r="J245" s="1" t="n">
        <v>0</v>
      </c>
      <c r="K245" s="1"/>
      <c r="L245" s="1" t="n">
        <v>0</v>
      </c>
      <c r="M245" s="1" t="n">
        <v>0</v>
      </c>
      <c r="N245" s="1" t="s">
        <v>234</v>
      </c>
      <c r="O245" s="1"/>
      <c r="P245" s="1"/>
      <c r="Q245" s="1"/>
      <c r="R245" s="1"/>
      <c r="S245" s="1"/>
      <c r="T245" s="1"/>
      <c r="Z245" s="0" t="n">
        <f aca="false">I245-8</f>
        <v>107.7</v>
      </c>
      <c r="AB245" s="0" t="n">
        <f aca="false">IF(Z245&lt;0,Z245+360,Z245+0)</f>
        <v>107.7</v>
      </c>
    </row>
    <row r="246" customFormat="false" ht="15.8" hidden="false" customHeight="false" outlineLevel="0" collapsed="false">
      <c r="A246" s="1" t="n">
        <v>11</v>
      </c>
      <c r="B246" s="1" t="n">
        <v>6</v>
      </c>
      <c r="C246" s="1" t="n">
        <v>1</v>
      </c>
      <c r="D246" s="1" t="n">
        <v>1.2005</v>
      </c>
      <c r="E246" s="1" t="n">
        <v>0.0374915</v>
      </c>
      <c r="F246" s="1" t="n">
        <v>0.000107763</v>
      </c>
      <c r="G246" s="1" t="s">
        <v>27</v>
      </c>
      <c r="H246" s="1" t="n">
        <v>116.7</v>
      </c>
      <c r="I246" s="1" t="n">
        <v>213.5</v>
      </c>
      <c r="J246" s="1" t="n">
        <v>-26.8</v>
      </c>
      <c r="K246" s="1"/>
      <c r="L246" s="1" t="n">
        <v>0</v>
      </c>
      <c r="M246" s="1" t="n">
        <v>0</v>
      </c>
      <c r="N246" s="1" t="s">
        <v>235</v>
      </c>
      <c r="O246" s="1"/>
      <c r="P246" s="1"/>
      <c r="Q246" s="1"/>
      <c r="R246" s="1"/>
      <c r="S246" s="1"/>
      <c r="T246" s="1"/>
      <c r="Z246" s="0" t="n">
        <f aca="false">I246-8</f>
        <v>205.5</v>
      </c>
      <c r="AB246" s="0" t="n">
        <f aca="false">IF(Z246&lt;0,Z246+360,Z246+0)</f>
        <v>205.5</v>
      </c>
    </row>
    <row r="247" customFormat="false" ht="15.8" hidden="false" customHeight="false" outlineLevel="0" collapsed="false">
      <c r="A247" s="1" t="n">
        <v>11</v>
      </c>
      <c r="B247" s="1" t="n">
        <v>6</v>
      </c>
      <c r="C247" s="1" t="n">
        <v>1.1</v>
      </c>
      <c r="D247" s="1" t="n">
        <v>1.1673</v>
      </c>
      <c r="E247" s="1" t="n">
        <v>0.03984</v>
      </c>
      <c r="F247" s="1" t="n">
        <v>0.000114513</v>
      </c>
      <c r="G247" s="1" t="s">
        <v>27</v>
      </c>
      <c r="H247" s="1" t="n">
        <v>29.2</v>
      </c>
      <c r="I247" s="1" t="n">
        <v>82.6</v>
      </c>
      <c r="J247" s="1" t="n">
        <v>-55.6</v>
      </c>
      <c r="K247" s="1"/>
      <c r="L247" s="1" t="n">
        <v>0</v>
      </c>
      <c r="M247" s="1" t="n">
        <v>0</v>
      </c>
      <c r="N247" s="1" t="s">
        <v>235</v>
      </c>
      <c r="O247" s="1"/>
      <c r="P247" s="1"/>
      <c r="Q247" s="1"/>
      <c r="R247" s="1"/>
      <c r="S247" s="1"/>
      <c r="T247" s="1"/>
      <c r="Z247" s="0" t="n">
        <f aca="false">I247-8</f>
        <v>74.6</v>
      </c>
      <c r="AB247" s="0" t="n">
        <f aca="false">IF(Z247&lt;0,Z247+360,Z247+0)</f>
        <v>74.6</v>
      </c>
    </row>
    <row r="248" customFormat="false" ht="15.8" hidden="false" customHeight="false" outlineLevel="0" collapsed="false">
      <c r="A248" s="1" t="n">
        <v>11</v>
      </c>
      <c r="B248" s="1" t="n">
        <v>5</v>
      </c>
      <c r="C248" s="1" t="n">
        <v>2.1</v>
      </c>
      <c r="D248" s="1" t="n">
        <v>1.4124</v>
      </c>
      <c r="E248" s="1" t="n">
        <v>0.0743468</v>
      </c>
      <c r="F248" s="1" t="n">
        <v>0.000213697</v>
      </c>
      <c r="G248" s="1" t="s">
        <v>42</v>
      </c>
      <c r="H248" s="1" t="n">
        <v>15.6</v>
      </c>
      <c r="I248" s="1" t="n">
        <v>57.2</v>
      </c>
      <c r="J248" s="1" t="n">
        <v>-32.4</v>
      </c>
      <c r="K248" s="1" t="n">
        <v>116.7</v>
      </c>
      <c r="L248" s="1" t="n">
        <v>0</v>
      </c>
      <c r="M248" s="1" t="n">
        <v>0</v>
      </c>
      <c r="N248" s="1" t="s">
        <v>234</v>
      </c>
      <c r="O248" s="1"/>
      <c r="P248" s="1"/>
      <c r="Q248" s="1"/>
      <c r="R248" s="1"/>
      <c r="S248" s="1"/>
      <c r="T248" s="1"/>
      <c r="Z248" s="0" t="n">
        <f aca="false">I248-8</f>
        <v>49.2</v>
      </c>
      <c r="AB248" s="0" t="n">
        <f aca="false">IF(Z248&lt;0,Z248+360,Z248+0)</f>
        <v>49.2</v>
      </c>
    </row>
    <row r="249" customFormat="false" ht="15.8" hidden="false" customHeight="false" outlineLevel="0" collapsed="false">
      <c r="A249" s="1" t="n">
        <v>11</v>
      </c>
      <c r="B249" s="1" t="n">
        <v>4</v>
      </c>
      <c r="C249" s="1" t="n">
        <v>1.2</v>
      </c>
      <c r="D249" s="1" t="n">
        <v>1.136</v>
      </c>
      <c r="E249" s="1" t="n">
        <v>0.0711463</v>
      </c>
      <c r="F249" s="1" t="n">
        <v>0.000342838</v>
      </c>
      <c r="G249" s="1" t="s">
        <v>42</v>
      </c>
      <c r="H249" s="1" t="n">
        <v>34.8</v>
      </c>
      <c r="I249" s="1" t="n">
        <v>66.2</v>
      </c>
      <c r="J249" s="1" t="n">
        <v>-46.4</v>
      </c>
      <c r="K249" s="1" t="n">
        <v>63.4</v>
      </c>
      <c r="L249" s="1" t="n">
        <v>0</v>
      </c>
      <c r="M249" s="1" t="n">
        <v>0</v>
      </c>
      <c r="N249" s="1" t="s">
        <v>232</v>
      </c>
      <c r="O249" s="1"/>
      <c r="P249" s="1"/>
      <c r="Q249" s="1"/>
      <c r="R249" s="1"/>
      <c r="S249" s="1"/>
      <c r="T249" s="1"/>
      <c r="Z249" s="0" t="n">
        <f aca="false">I249-8</f>
        <v>58.2</v>
      </c>
      <c r="AB249" s="0" t="n">
        <f aca="false">IF(Z249&lt;0,Z249+360,Z249+0)</f>
        <v>58.2</v>
      </c>
    </row>
    <row r="250" customFormat="false" ht="15.8" hidden="false" customHeight="false" outlineLevel="0" collapsed="false">
      <c r="A250" s="1" t="n">
        <v>11</v>
      </c>
      <c r="B250" s="1" t="n">
        <v>3</v>
      </c>
      <c r="C250" s="1" t="n">
        <v>7.4</v>
      </c>
      <c r="D250" s="1" t="n">
        <v>1.351</v>
      </c>
      <c r="E250" s="1" t="n">
        <v>0.267649</v>
      </c>
      <c r="F250" s="1" t="n">
        <v>0.000769313</v>
      </c>
      <c r="G250" s="1" t="s">
        <v>42</v>
      </c>
      <c r="H250" s="1" t="n">
        <v>18.8</v>
      </c>
      <c r="I250" s="1" t="n">
        <v>74.4</v>
      </c>
      <c r="J250" s="1" t="n">
        <v>-12.3</v>
      </c>
      <c r="K250" s="1" t="n">
        <v>54.6</v>
      </c>
      <c r="L250" s="1" t="n">
        <v>0</v>
      </c>
      <c r="M250" s="1" t="n">
        <v>0</v>
      </c>
      <c r="N250" s="1" t="s">
        <v>236</v>
      </c>
      <c r="O250" s="1"/>
      <c r="P250" s="1"/>
      <c r="Q250" s="1"/>
      <c r="R250" s="1"/>
      <c r="S250" s="1"/>
      <c r="T250" s="1"/>
      <c r="Z250" s="0" t="n">
        <f aca="false">I250-8</f>
        <v>66.4</v>
      </c>
      <c r="AB250" s="0" t="n">
        <f aca="false">IF(Z250&lt;0,Z250+360,Z250+0)</f>
        <v>66.4</v>
      </c>
    </row>
    <row r="251" customFormat="false" ht="15.8" hidden="false" customHeight="false" outlineLevel="0" collapsed="false">
      <c r="A251" s="1" t="n">
        <v>11</v>
      </c>
      <c r="B251" s="1" t="n">
        <v>3</v>
      </c>
      <c r="C251" s="1" t="n">
        <v>1.4</v>
      </c>
      <c r="D251" s="1" t="n">
        <v>1.2005</v>
      </c>
      <c r="E251" s="1" t="n">
        <v>0.0520967</v>
      </c>
      <c r="F251" s="1" t="n">
        <v>0.000149743</v>
      </c>
      <c r="G251" s="1" t="s">
        <v>27</v>
      </c>
      <c r="H251" s="1" t="n">
        <v>59</v>
      </c>
      <c r="I251" s="1" t="n">
        <v>158.6</v>
      </c>
      <c r="J251" s="1" t="n">
        <v>-40.5</v>
      </c>
      <c r="K251" s="1"/>
      <c r="L251" s="1" t="n">
        <v>0</v>
      </c>
      <c r="M251" s="1" t="n">
        <v>0</v>
      </c>
      <c r="N251" s="1" t="s">
        <v>236</v>
      </c>
      <c r="O251" s="1"/>
      <c r="P251" s="1"/>
      <c r="Q251" s="1"/>
      <c r="R251" s="1"/>
      <c r="S251" s="1"/>
      <c r="T251" s="1"/>
      <c r="Z251" s="0" t="n">
        <f aca="false">I251-8</f>
        <v>150.6</v>
      </c>
      <c r="AB251" s="0" t="n">
        <f aca="false">IF(Z251&lt;0,Z251+360,Z251+0)</f>
        <v>150.6</v>
      </c>
    </row>
    <row r="252" customFormat="false" ht="15.8" hidden="false" customHeight="false" outlineLevel="0" collapsed="false">
      <c r="A252" s="1" t="n">
        <v>11</v>
      </c>
      <c r="B252" s="1" t="n">
        <v>2</v>
      </c>
      <c r="C252" s="1" t="n">
        <v>1.1</v>
      </c>
      <c r="D252" s="1" t="n">
        <v>1.1737</v>
      </c>
      <c r="E252" s="1" t="n">
        <v>0.0379265</v>
      </c>
      <c r="F252" s="1" t="n">
        <v>0.000109013</v>
      </c>
      <c r="G252" s="1" t="s">
        <v>42</v>
      </c>
      <c r="H252" s="1" t="n">
        <v>40.7</v>
      </c>
      <c r="I252" s="1" t="n">
        <v>88.4</v>
      </c>
      <c r="J252" s="1" t="n">
        <v>-25.8</v>
      </c>
      <c r="K252" s="1" t="n">
        <v>59</v>
      </c>
      <c r="L252" s="1" t="n">
        <v>0</v>
      </c>
      <c r="M252" s="1" t="n">
        <v>0</v>
      </c>
      <c r="N252" s="1" t="s">
        <v>237</v>
      </c>
      <c r="O252" s="1"/>
      <c r="P252" s="1"/>
      <c r="Q252" s="1"/>
      <c r="R252" s="1"/>
      <c r="S252" s="1"/>
      <c r="T252" s="1"/>
      <c r="Z252" s="0" t="n">
        <f aca="false">I252-8</f>
        <v>80.4</v>
      </c>
      <c r="AB252" s="0" t="n">
        <f aca="false">IF(Z252&lt;0,Z252+360,Z252+0)</f>
        <v>80.4</v>
      </c>
    </row>
    <row r="253" customFormat="false" ht="15.8" hidden="false" customHeight="false" outlineLevel="0" collapsed="false">
      <c r="A253" s="1" t="n">
        <v>11</v>
      </c>
      <c r="B253" s="1" t="n">
        <v>2</v>
      </c>
      <c r="C253" s="1" t="n">
        <v>1.4</v>
      </c>
      <c r="D253" s="1" t="n">
        <v>1.0124</v>
      </c>
      <c r="E253" s="1" t="n">
        <v>0.0516306</v>
      </c>
      <c r="F253" s="1" t="n">
        <v>0.000148404</v>
      </c>
      <c r="G253" s="1" t="s">
        <v>27</v>
      </c>
      <c r="H253" s="1" t="n">
        <v>62.3</v>
      </c>
      <c r="I253" s="1" t="n">
        <v>343.9</v>
      </c>
      <c r="J253" s="1" t="n">
        <v>0</v>
      </c>
      <c r="K253" s="1"/>
      <c r="L253" s="1" t="n">
        <v>0</v>
      </c>
      <c r="M253" s="1" t="n">
        <v>0</v>
      </c>
      <c r="N253" s="1" t="s">
        <v>237</v>
      </c>
      <c r="O253" s="1"/>
      <c r="P253" s="1"/>
      <c r="Q253" s="1"/>
      <c r="R253" s="1"/>
      <c r="S253" s="1"/>
      <c r="T253" s="1"/>
      <c r="Z253" s="0" t="n">
        <f aca="false">I253-8</f>
        <v>335.9</v>
      </c>
      <c r="AB253" s="0" t="n">
        <f aca="false">IF(Z253&lt;0,Z253+360,Z253+0)</f>
        <v>335.9</v>
      </c>
    </row>
    <row r="254" customFormat="false" ht="15.8" hidden="false" customHeight="false" outlineLevel="0" collapsed="false">
      <c r="A254" s="1" t="n">
        <v>11</v>
      </c>
      <c r="B254" s="1" t="n">
        <v>1</v>
      </c>
      <c r="C254" s="1" t="n">
        <v>1.3</v>
      </c>
      <c r="D254" s="1" t="n">
        <v>1.1638</v>
      </c>
      <c r="E254" s="1" t="n">
        <v>0.0454442</v>
      </c>
      <c r="F254" s="1" t="n">
        <v>0.000130622</v>
      </c>
      <c r="G254" s="1" t="s">
        <v>42</v>
      </c>
      <c r="H254" s="1"/>
      <c r="I254" s="1" t="n">
        <v>44.1</v>
      </c>
      <c r="J254" s="1" t="n">
        <v>-21.1</v>
      </c>
      <c r="K254" s="1" t="n">
        <v>62.3</v>
      </c>
      <c r="L254" s="1" t="n">
        <v>0</v>
      </c>
      <c r="M254" s="1" t="n">
        <v>0</v>
      </c>
      <c r="N254" s="1" t="s">
        <v>238</v>
      </c>
      <c r="O254" s="1"/>
      <c r="P254" s="1"/>
      <c r="Q254" s="1"/>
      <c r="R254" s="1"/>
      <c r="S254" s="1"/>
      <c r="T254" s="1"/>
      <c r="Z254" s="0" t="n">
        <f aca="false">I254-8</f>
        <v>36.1</v>
      </c>
      <c r="AB254" s="0" t="n">
        <f aca="false">IF(Z254&lt;0,Z254+360,Z254+0)</f>
        <v>36.1</v>
      </c>
    </row>
    <row r="255" customFormat="false" ht="15.8" hidden="false" customHeight="false" outlineLevel="0" collapsed="false">
      <c r="A255" s="1" t="n">
        <v>12</v>
      </c>
      <c r="B255" s="1" t="n">
        <v>5</v>
      </c>
      <c r="C255" s="1" t="n">
        <v>2.4</v>
      </c>
      <c r="D255" s="1" t="n">
        <v>1.2018</v>
      </c>
      <c r="E255" s="1" t="n">
        <v>0.0882767</v>
      </c>
      <c r="F255" s="1" t="n">
        <v>0.000253737</v>
      </c>
      <c r="G255" s="1" t="s">
        <v>27</v>
      </c>
      <c r="H255" s="1" t="n">
        <v>42.6</v>
      </c>
      <c r="I255" s="1" t="n">
        <v>323.2</v>
      </c>
      <c r="J255" s="1" t="n">
        <v>11.1</v>
      </c>
      <c r="K255" s="1"/>
      <c r="L255" s="1" t="n">
        <v>0</v>
      </c>
      <c r="M255" s="1" t="n">
        <v>0</v>
      </c>
      <c r="N255" s="1" t="s">
        <v>239</v>
      </c>
      <c r="O255" s="1"/>
      <c r="P255" s="1"/>
      <c r="Q255" s="1"/>
      <c r="R255" s="1"/>
      <c r="S255" s="1"/>
      <c r="T255" s="1"/>
      <c r="Z255" s="0" t="n">
        <f aca="false">I255-8</f>
        <v>315.2</v>
      </c>
      <c r="AB255" s="0" t="n">
        <f aca="false">IF(Z255&lt;0,Z255+360,Z255+0)</f>
        <v>315.2</v>
      </c>
    </row>
    <row r="256" customFormat="false" ht="15.8" hidden="false" customHeight="false" outlineLevel="0" collapsed="false">
      <c r="A256" s="1" t="n">
        <v>12</v>
      </c>
      <c r="B256" s="1" t="n">
        <v>5</v>
      </c>
      <c r="C256" s="1" t="n">
        <v>2.2</v>
      </c>
      <c r="D256" s="1" t="n">
        <v>1.2632</v>
      </c>
      <c r="E256" s="1" t="n">
        <v>0.078268</v>
      </c>
      <c r="F256" s="1" t="n">
        <v>0.000224969</v>
      </c>
      <c r="G256" s="1" t="s">
        <v>27</v>
      </c>
      <c r="H256" s="1" t="n">
        <v>87.4</v>
      </c>
      <c r="I256" s="1" t="n">
        <v>2.6</v>
      </c>
      <c r="J256" s="1" t="n">
        <v>43</v>
      </c>
      <c r="K256" s="1"/>
      <c r="L256" s="1" t="n">
        <v>0</v>
      </c>
      <c r="M256" s="1" t="n">
        <v>0</v>
      </c>
      <c r="N256" s="1" t="s">
        <v>239</v>
      </c>
      <c r="O256" s="1"/>
      <c r="P256" s="1"/>
      <c r="Q256" s="1"/>
      <c r="R256" s="1"/>
      <c r="S256" s="1"/>
      <c r="T256" s="1"/>
      <c r="Z256" s="0" t="n">
        <f aca="false">I256-8</f>
        <v>-5.4</v>
      </c>
      <c r="AB256" s="0" t="n">
        <f aca="false">IF(Z256&lt;0,Z256+360,Z256+0)</f>
        <v>354.6</v>
      </c>
    </row>
    <row r="257" customFormat="false" ht="15.8" hidden="false" customHeight="false" outlineLevel="0" collapsed="false">
      <c r="A257" s="1" t="n">
        <v>12</v>
      </c>
      <c r="B257" s="1" t="n">
        <v>4</v>
      </c>
      <c r="C257" s="1" t="n">
        <v>1</v>
      </c>
      <c r="D257" s="1" t="n">
        <v>1.2364</v>
      </c>
      <c r="E257" s="1" t="n">
        <v>0.0356052</v>
      </c>
      <c r="F257" s="1" t="n">
        <v>0.000102341</v>
      </c>
      <c r="G257" s="1" t="s">
        <v>42</v>
      </c>
      <c r="H257" s="1" t="n">
        <v>49.4</v>
      </c>
      <c r="I257" s="1" t="n">
        <v>309.1</v>
      </c>
      <c r="J257" s="1" t="n">
        <v>-29.3</v>
      </c>
      <c r="K257" s="1" t="n">
        <v>87.4</v>
      </c>
      <c r="L257" s="1" t="n">
        <v>0</v>
      </c>
      <c r="M257" s="1" t="n">
        <v>0</v>
      </c>
      <c r="N257" s="1" t="s">
        <v>240</v>
      </c>
      <c r="O257" s="1"/>
      <c r="P257" s="1"/>
      <c r="Q257" s="1"/>
      <c r="R257" s="1"/>
      <c r="S257" s="1"/>
      <c r="T257" s="1"/>
      <c r="Z257" s="0" t="n">
        <f aca="false">I257-8</f>
        <v>301.1</v>
      </c>
      <c r="AB257" s="0" t="n">
        <f aca="false">IF(Z257&lt;0,Z257+360,Z257+0)</f>
        <v>301.1</v>
      </c>
    </row>
    <row r="258" customFormat="false" ht="15.8" hidden="false" customHeight="false" outlineLevel="0" collapsed="false">
      <c r="A258" s="1" t="n">
        <v>12</v>
      </c>
      <c r="B258" s="1" t="n">
        <v>4</v>
      </c>
      <c r="C258" s="1" t="n">
        <v>0.7</v>
      </c>
      <c r="D258" s="1" t="n">
        <v>1.1018</v>
      </c>
      <c r="E258" s="1" t="n">
        <v>0.0246043</v>
      </c>
      <c r="F258" s="1" t="n">
        <v>7.07211E-005</v>
      </c>
      <c r="G258" s="1" t="s">
        <v>27</v>
      </c>
      <c r="H258" s="1" t="n">
        <v>124.4</v>
      </c>
      <c r="I258" s="1" t="n">
        <v>44</v>
      </c>
      <c r="J258" s="1" t="n">
        <v>39.1</v>
      </c>
      <c r="K258" s="1"/>
      <c r="L258" s="1" t="n">
        <v>0</v>
      </c>
      <c r="M258" s="1" t="n">
        <v>0</v>
      </c>
      <c r="N258" s="1" t="s">
        <v>240</v>
      </c>
      <c r="O258" s="1"/>
      <c r="P258" s="1"/>
      <c r="Q258" s="1"/>
      <c r="R258" s="1"/>
      <c r="S258" s="1"/>
      <c r="T258" s="1"/>
      <c r="Z258" s="0" t="n">
        <f aca="false">I258-8</f>
        <v>36</v>
      </c>
      <c r="AB258" s="0" t="n">
        <f aca="false">IF(Z258&lt;0,Z258+360,Z258+0)</f>
        <v>36</v>
      </c>
    </row>
    <row r="259" customFormat="false" ht="15.8" hidden="false" customHeight="false" outlineLevel="0" collapsed="false">
      <c r="A259" s="1" t="n">
        <v>12</v>
      </c>
      <c r="B259" s="1" t="n">
        <v>3</v>
      </c>
      <c r="C259" s="1" t="n">
        <v>2.5</v>
      </c>
      <c r="D259" s="1" t="n">
        <v>1.9903</v>
      </c>
      <c r="E259" s="1" t="n">
        <v>0.091908</v>
      </c>
      <c r="F259" s="1" t="n">
        <v>0.000264174</v>
      </c>
      <c r="G259" s="1" t="s">
        <v>42</v>
      </c>
      <c r="H259" s="1" t="n">
        <v>112.5</v>
      </c>
      <c r="I259" s="1" t="n">
        <v>267.3</v>
      </c>
      <c r="J259" s="1" t="n">
        <v>0</v>
      </c>
      <c r="K259" s="1" t="n">
        <v>124.4</v>
      </c>
      <c r="L259" s="1" t="n">
        <v>0</v>
      </c>
      <c r="M259" s="1" t="n">
        <v>0</v>
      </c>
      <c r="N259" s="1" t="s">
        <v>241</v>
      </c>
      <c r="O259" s="1"/>
      <c r="P259" s="1"/>
      <c r="Q259" s="1"/>
      <c r="R259" s="1"/>
      <c r="S259" s="1"/>
      <c r="T259" s="1"/>
      <c r="Z259" s="0" t="n">
        <f aca="false">I259-8</f>
        <v>259.3</v>
      </c>
      <c r="AB259" s="0" t="n">
        <f aca="false">IF(Z259&lt;0,Z259+360,Z259+0)</f>
        <v>259.3</v>
      </c>
    </row>
    <row r="260" customFormat="false" ht="15.8" hidden="false" customHeight="false" outlineLevel="0" collapsed="false">
      <c r="A260" s="1" t="n">
        <v>12</v>
      </c>
      <c r="B260" s="1" t="n">
        <v>4</v>
      </c>
      <c r="C260" s="1" t="n">
        <v>4</v>
      </c>
      <c r="D260" s="1" t="n">
        <v>1.1259</v>
      </c>
      <c r="E260" s="1" t="n">
        <v>0.143487</v>
      </c>
      <c r="F260" s="1" t="n">
        <v>0.000412429</v>
      </c>
      <c r="G260" s="1" t="s">
        <v>27</v>
      </c>
      <c r="H260" s="1" t="n">
        <v>13</v>
      </c>
      <c r="I260" s="1" t="n">
        <v>28.1</v>
      </c>
      <c r="J260" s="1" t="n">
        <v>-12.8</v>
      </c>
      <c r="K260" s="1"/>
      <c r="L260" s="1" t="n">
        <v>0</v>
      </c>
      <c r="M260" s="1" t="n">
        <v>0</v>
      </c>
      <c r="N260" s="1" t="s">
        <v>242</v>
      </c>
      <c r="O260" s="1"/>
      <c r="P260" s="1"/>
      <c r="Q260" s="1"/>
      <c r="R260" s="1"/>
      <c r="S260" s="1"/>
      <c r="T260" s="1"/>
      <c r="Z260" s="0" t="n">
        <f aca="false">I260-8</f>
        <v>20.1</v>
      </c>
      <c r="AB260" s="0" t="n">
        <f aca="false">IF(Z260&lt;0,Z260+360,Z260+0)</f>
        <v>20.1</v>
      </c>
    </row>
    <row r="261" customFormat="false" ht="15.8" hidden="false" customHeight="false" outlineLevel="0" collapsed="false">
      <c r="A261" s="1" t="n">
        <v>12</v>
      </c>
      <c r="B261" s="1" t="n">
        <v>4</v>
      </c>
      <c r="C261" s="1" t="n">
        <v>1.2</v>
      </c>
      <c r="D261" s="1" t="n">
        <v>1.1697</v>
      </c>
      <c r="E261" s="1" t="n">
        <v>0.042817</v>
      </c>
      <c r="F261" s="1" t="n">
        <v>0.00012307</v>
      </c>
      <c r="G261" s="1" t="s">
        <v>27</v>
      </c>
      <c r="H261" s="1" t="n">
        <v>67.5</v>
      </c>
      <c r="I261" s="1" t="n">
        <v>93.3</v>
      </c>
      <c r="J261" s="1" t="n">
        <v>0</v>
      </c>
      <c r="K261" s="1"/>
      <c r="L261" s="1" t="n">
        <v>0</v>
      </c>
      <c r="M261" s="1" t="n">
        <v>0</v>
      </c>
      <c r="N261" s="1" t="s">
        <v>242</v>
      </c>
      <c r="O261" s="1"/>
      <c r="P261" s="1"/>
      <c r="Q261" s="1"/>
      <c r="R261" s="1"/>
      <c r="S261" s="1"/>
      <c r="T261" s="1"/>
      <c r="Z261" s="0" t="n">
        <f aca="false">I261-8</f>
        <v>85.3</v>
      </c>
      <c r="AB261" s="0" t="n">
        <f aca="false">IF(Z261&lt;0,Z261+360,Z261+0)</f>
        <v>85.3</v>
      </c>
    </row>
    <row r="262" customFormat="false" ht="15.8" hidden="false" customHeight="false" outlineLevel="0" collapsed="false">
      <c r="A262" s="1" t="n">
        <v>12</v>
      </c>
      <c r="B262" s="1" t="n">
        <v>3</v>
      </c>
      <c r="C262" s="1" t="n">
        <v>1.4</v>
      </c>
      <c r="D262" s="1" t="n">
        <v>1.0068</v>
      </c>
      <c r="E262" s="1" t="n">
        <v>0.0519874</v>
      </c>
      <c r="F262" s="1" t="n">
        <v>0.000149429</v>
      </c>
      <c r="G262" s="1" t="s">
        <v>42</v>
      </c>
      <c r="H262" s="1" t="n">
        <v>14.8</v>
      </c>
      <c r="I262" s="1" t="n">
        <v>25.7</v>
      </c>
      <c r="J262" s="1" t="n">
        <v>0</v>
      </c>
      <c r="K262" s="1" t="n">
        <v>67.5</v>
      </c>
      <c r="L262" s="1" t="n">
        <v>0</v>
      </c>
      <c r="M262" s="1" t="n">
        <v>0</v>
      </c>
      <c r="N262" s="1" t="s">
        <v>241</v>
      </c>
      <c r="O262" s="1"/>
      <c r="P262" s="1"/>
      <c r="Q262" s="1"/>
      <c r="R262" s="1"/>
      <c r="S262" s="1"/>
      <c r="T262" s="1"/>
      <c r="Z262" s="0" t="n">
        <f aca="false">I262-8</f>
        <v>17.7</v>
      </c>
      <c r="AB262" s="0" t="n">
        <f aca="false">IF(Z262&lt;0,Z262+360,Z262+0)</f>
        <v>17.7</v>
      </c>
    </row>
    <row r="263" customFormat="false" ht="15.8" hidden="false" customHeight="false" outlineLevel="0" collapsed="false">
      <c r="A263" s="1" t="n">
        <v>12</v>
      </c>
      <c r="B263" s="1" t="n">
        <v>3</v>
      </c>
      <c r="C263" s="1" t="n">
        <v>3.3</v>
      </c>
      <c r="D263" s="1" t="n">
        <v>1.0192</v>
      </c>
      <c r="E263" s="1" t="n">
        <v>0.11953</v>
      </c>
      <c r="F263" s="1" t="n">
        <v>0.00034357</v>
      </c>
      <c r="G263" s="1" t="s">
        <v>27</v>
      </c>
      <c r="H263" s="1" t="n">
        <v>40.4</v>
      </c>
      <c r="I263" s="1" t="n">
        <v>342.3</v>
      </c>
      <c r="J263" s="1" t="n">
        <v>0</v>
      </c>
      <c r="K263" s="1"/>
      <c r="L263" s="1" t="n">
        <v>0</v>
      </c>
      <c r="M263" s="1" t="n">
        <v>0</v>
      </c>
      <c r="N263" s="1" t="s">
        <v>241</v>
      </c>
      <c r="O263" s="1"/>
      <c r="P263" s="1"/>
      <c r="Q263" s="1"/>
      <c r="R263" s="1"/>
      <c r="S263" s="1"/>
      <c r="T263" s="1"/>
      <c r="Z263" s="0" t="n">
        <f aca="false">I263-8</f>
        <v>334.3</v>
      </c>
      <c r="AB263" s="0" t="n">
        <f aca="false">IF(Z263&lt;0,Z263+360,Z263+0)</f>
        <v>334.3</v>
      </c>
    </row>
    <row r="264" customFormat="false" ht="15.8" hidden="false" customHeight="false" outlineLevel="0" collapsed="false">
      <c r="A264" s="1" t="n">
        <v>12</v>
      </c>
      <c r="B264" s="1" t="n">
        <v>3</v>
      </c>
      <c r="C264" s="1" t="n">
        <v>2</v>
      </c>
      <c r="D264" s="1" t="n">
        <v>1.1012</v>
      </c>
      <c r="E264" s="1" t="n">
        <v>0.0723223</v>
      </c>
      <c r="F264" s="1" t="n">
        <v>0.000207878</v>
      </c>
      <c r="G264" s="1" t="s">
        <v>27</v>
      </c>
      <c r="H264" s="1" t="n">
        <v>112.8</v>
      </c>
      <c r="I264" s="1" t="n">
        <v>131.3</v>
      </c>
      <c r="J264" s="1" t="n">
        <v>-12.4</v>
      </c>
      <c r="K264" s="1"/>
      <c r="L264" s="1" t="n">
        <v>0</v>
      </c>
      <c r="M264" s="1" t="n">
        <v>0</v>
      </c>
      <c r="N264" s="1" t="s">
        <v>241</v>
      </c>
      <c r="O264" s="1"/>
      <c r="P264" s="1"/>
      <c r="Q264" s="1"/>
      <c r="R264" s="1"/>
      <c r="S264" s="1"/>
      <c r="T264" s="1"/>
      <c r="Z264" s="0" t="n">
        <f aca="false">I264-8</f>
        <v>123.3</v>
      </c>
      <c r="AB264" s="0" t="n">
        <f aca="false">IF(Z264&lt;0,Z264+360,Z264+0)</f>
        <v>123.3</v>
      </c>
    </row>
    <row r="265" customFormat="false" ht="15.8" hidden="false" customHeight="false" outlineLevel="0" collapsed="false">
      <c r="A265" s="1" t="n">
        <v>12</v>
      </c>
      <c r="B265" s="1" t="n">
        <v>3</v>
      </c>
      <c r="C265" s="1" t="n">
        <v>2.4</v>
      </c>
      <c r="D265" s="1" t="n">
        <v>1.3019</v>
      </c>
      <c r="E265" s="1" t="n">
        <v>0.0865685</v>
      </c>
      <c r="F265" s="1" t="n">
        <v>0.000248827</v>
      </c>
      <c r="G265" s="1" t="s">
        <v>27</v>
      </c>
      <c r="H265" s="1" t="n">
        <v>46.3</v>
      </c>
      <c r="I265" s="1" t="n">
        <v>1.3</v>
      </c>
      <c r="J265" s="1" t="n">
        <v>57.9</v>
      </c>
      <c r="K265" s="1"/>
      <c r="L265" s="1" t="n">
        <v>0</v>
      </c>
      <c r="M265" s="1" t="n">
        <v>0</v>
      </c>
      <c r="N265" s="1" t="s">
        <v>241</v>
      </c>
      <c r="O265" s="1"/>
      <c r="P265" s="1"/>
      <c r="Q265" s="1"/>
      <c r="R265" s="1"/>
      <c r="S265" s="1"/>
      <c r="T265" s="1"/>
      <c r="Z265" s="0" t="n">
        <f aca="false">I265-8</f>
        <v>-6.7</v>
      </c>
      <c r="AB265" s="0" t="n">
        <f aca="false">IF(Z265&lt;0,Z265+360,Z265+0)</f>
        <v>353.3</v>
      </c>
    </row>
    <row r="266" customFormat="false" ht="15.8" hidden="false" customHeight="false" outlineLevel="0" collapsed="false">
      <c r="A266" s="1" t="n">
        <v>12</v>
      </c>
      <c r="B266" s="1" t="n">
        <v>2</v>
      </c>
      <c r="C266" s="1" t="n">
        <v>5.5</v>
      </c>
      <c r="D266" s="1" t="n">
        <v>1.1317</v>
      </c>
      <c r="E266" s="1" t="n">
        <v>0.198431</v>
      </c>
      <c r="F266" s="1" t="n">
        <v>0.000570357</v>
      </c>
      <c r="G266" s="1" t="s">
        <v>42</v>
      </c>
      <c r="H266" s="1" t="n">
        <v>27.1</v>
      </c>
      <c r="I266" s="1" t="n">
        <v>20.6</v>
      </c>
      <c r="J266" s="1" t="n">
        <v>13.9</v>
      </c>
      <c r="K266" s="1" t="n">
        <v>112.8</v>
      </c>
      <c r="L266" s="1" t="n">
        <v>0</v>
      </c>
      <c r="M266" s="1" t="n">
        <v>0</v>
      </c>
      <c r="N266" s="1" t="s">
        <v>243</v>
      </c>
      <c r="O266" s="1"/>
      <c r="P266" s="1"/>
      <c r="Q266" s="1"/>
      <c r="R266" s="1"/>
      <c r="S266" s="1"/>
      <c r="T266" s="1"/>
      <c r="Z266" s="0" t="n">
        <f aca="false">I266-8</f>
        <v>12.6</v>
      </c>
      <c r="AB266" s="0" t="n">
        <f aca="false">IF(Z266&lt;0,Z266+360,Z266+0)</f>
        <v>12.6</v>
      </c>
    </row>
    <row r="267" customFormat="false" ht="15.8" hidden="false" customHeight="false" outlineLevel="0" collapsed="false">
      <c r="A267" s="1" t="n">
        <v>12</v>
      </c>
      <c r="B267" s="1" t="n">
        <v>3</v>
      </c>
      <c r="C267" s="1" t="n">
        <v>1.3</v>
      </c>
      <c r="D267" s="1" t="n">
        <v>1.026</v>
      </c>
      <c r="E267" s="1" t="n">
        <v>0.0472355</v>
      </c>
      <c r="F267" s="1" t="n">
        <v>0.000135771</v>
      </c>
      <c r="G267" s="1" t="s">
        <v>27</v>
      </c>
      <c r="H267" s="1" t="n">
        <v>41.4</v>
      </c>
      <c r="I267" s="1" t="n">
        <v>291.7</v>
      </c>
      <c r="J267" s="1" t="n">
        <v>0</v>
      </c>
      <c r="K267" s="1"/>
      <c r="L267" s="1" t="n">
        <v>0</v>
      </c>
      <c r="M267" s="1" t="n">
        <v>0</v>
      </c>
      <c r="N267" s="1" t="s">
        <v>244</v>
      </c>
      <c r="O267" s="1"/>
      <c r="P267" s="1"/>
      <c r="Q267" s="1"/>
      <c r="R267" s="1"/>
      <c r="S267" s="1"/>
      <c r="T267" s="1"/>
      <c r="Z267" s="0" t="n">
        <f aca="false">I267-8</f>
        <v>283.7</v>
      </c>
      <c r="AB267" s="0" t="n">
        <f aca="false">IF(Z267&lt;0,Z267+360,Z267+0)</f>
        <v>283.7</v>
      </c>
    </row>
    <row r="268" customFormat="false" ht="15.8" hidden="false" customHeight="false" outlineLevel="0" collapsed="false">
      <c r="A268" s="1" t="n">
        <v>12</v>
      </c>
      <c r="B268" s="1" t="n">
        <v>4</v>
      </c>
      <c r="C268" s="1" t="n">
        <v>2.7</v>
      </c>
      <c r="D268" s="1" t="n">
        <v>1.4309</v>
      </c>
      <c r="E268" s="1" t="n">
        <v>0.0962107</v>
      </c>
      <c r="F268" s="1" t="n">
        <v>0.000276542</v>
      </c>
      <c r="G268" s="1" t="s">
        <v>27</v>
      </c>
      <c r="H268" s="1" t="n">
        <v>14.5</v>
      </c>
      <c r="I268" s="1" t="n">
        <v>18</v>
      </c>
      <c r="J268" s="1" t="n">
        <v>0</v>
      </c>
      <c r="K268" s="1"/>
      <c r="L268" s="1" t="n">
        <v>0</v>
      </c>
      <c r="M268" s="1" t="n">
        <v>0</v>
      </c>
      <c r="N268" s="1" t="s">
        <v>245</v>
      </c>
      <c r="O268" s="1"/>
      <c r="P268" s="1"/>
      <c r="Q268" s="1"/>
      <c r="R268" s="1"/>
      <c r="S268" s="1"/>
      <c r="T268" s="1"/>
      <c r="Z268" s="0" t="n">
        <f aca="false">I268-8</f>
        <v>10</v>
      </c>
      <c r="AB268" s="0" t="n">
        <f aca="false">IF(Z268&lt;0,Z268+360,Z268+0)</f>
        <v>10</v>
      </c>
    </row>
    <row r="269" customFormat="false" ht="15.8" hidden="false" customHeight="false" outlineLevel="0" collapsed="false">
      <c r="A269" s="1" t="n">
        <v>12</v>
      </c>
      <c r="B269" s="1" t="n">
        <v>5</v>
      </c>
      <c r="C269" s="1" t="n">
        <v>2.1</v>
      </c>
      <c r="D269" s="1" t="n">
        <v>1.2635</v>
      </c>
      <c r="E269" s="1" t="n">
        <v>0.0746645</v>
      </c>
      <c r="F269" s="1" t="n">
        <v>0.000214611</v>
      </c>
      <c r="G269" s="1" t="s">
        <v>27</v>
      </c>
      <c r="H269" s="1" t="n">
        <v>74.1</v>
      </c>
      <c r="I269" s="1" t="n">
        <v>221.2</v>
      </c>
      <c r="J269" s="1" t="n">
        <v>13.8</v>
      </c>
      <c r="K269" s="1"/>
      <c r="L269" s="1" t="n">
        <v>0</v>
      </c>
      <c r="M269" s="1" t="n">
        <v>0</v>
      </c>
      <c r="N269" s="1" t="s">
        <v>246</v>
      </c>
      <c r="O269" s="1"/>
      <c r="P269" s="1"/>
      <c r="Q269" s="1"/>
      <c r="R269" s="1"/>
      <c r="S269" s="1"/>
      <c r="T269" s="1"/>
      <c r="Z269" s="0" t="n">
        <f aca="false">I269-8</f>
        <v>213.2</v>
      </c>
      <c r="AB269" s="0" t="n">
        <f aca="false">IF(Z269&lt;0,Z269+360,Z269+0)</f>
        <v>213.2</v>
      </c>
    </row>
    <row r="270" customFormat="false" ht="15.8" hidden="false" customHeight="false" outlineLevel="0" collapsed="false">
      <c r="A270" s="1" t="n">
        <v>12</v>
      </c>
      <c r="B270" s="1" t="n">
        <v>5</v>
      </c>
      <c r="C270" s="1" t="n">
        <v>4.6</v>
      </c>
      <c r="D270" s="1" t="n">
        <v>1.105</v>
      </c>
      <c r="E270" s="1" t="n">
        <v>0.166735</v>
      </c>
      <c r="F270" s="1" t="n">
        <v>0.000479252</v>
      </c>
      <c r="G270" s="1" t="s">
        <v>27</v>
      </c>
      <c r="H270" s="1" t="n">
        <v>46.6</v>
      </c>
      <c r="I270" s="1" t="n">
        <v>341.5</v>
      </c>
      <c r="J270" s="1" t="n">
        <v>5.4</v>
      </c>
      <c r="K270" s="1"/>
      <c r="L270" s="1" t="n">
        <v>0</v>
      </c>
      <c r="M270" s="1" t="n">
        <v>0</v>
      </c>
      <c r="N270" s="1" t="s">
        <v>246</v>
      </c>
      <c r="O270" s="1"/>
      <c r="P270" s="1"/>
      <c r="Q270" s="1"/>
      <c r="R270" s="1"/>
      <c r="S270" s="1"/>
      <c r="T270" s="1"/>
      <c r="Z270" s="0" t="n">
        <f aca="false">I270-8</f>
        <v>333.5</v>
      </c>
      <c r="AB270" s="0" t="n">
        <f aca="false">IF(Z270&lt;0,Z270+360,Z270+0)</f>
        <v>333.5</v>
      </c>
    </row>
    <row r="271" customFormat="false" ht="15.8" hidden="false" customHeight="false" outlineLevel="0" collapsed="false">
      <c r="A271" s="1" t="n">
        <v>12</v>
      </c>
      <c r="B271" s="1" t="n">
        <v>4</v>
      </c>
      <c r="C271" s="1" t="n">
        <v>0.9</v>
      </c>
      <c r="D271" s="1" t="n">
        <v>1.1888</v>
      </c>
      <c r="E271" s="1" t="n">
        <v>0.0308491</v>
      </c>
      <c r="F271" s="1" t="n">
        <v>8.86707E-005</v>
      </c>
      <c r="G271" s="1" t="s">
        <v>42</v>
      </c>
      <c r="H271" s="1" t="n">
        <v>67.2</v>
      </c>
      <c r="I271" s="1" t="n">
        <v>301</v>
      </c>
      <c r="J271" s="1" t="n">
        <v>32.9</v>
      </c>
      <c r="K271" s="1" t="n">
        <v>74.1</v>
      </c>
      <c r="L271" s="1" t="n">
        <v>0</v>
      </c>
      <c r="M271" s="1" t="n">
        <v>0</v>
      </c>
      <c r="N271" s="1" t="s">
        <v>245</v>
      </c>
      <c r="O271" s="1"/>
      <c r="P271" s="1"/>
      <c r="Q271" s="1"/>
      <c r="R271" s="1"/>
      <c r="S271" s="1"/>
      <c r="T271" s="1"/>
      <c r="Z271" s="0" t="n">
        <f aca="false">I271-8</f>
        <v>293</v>
      </c>
      <c r="AB271" s="0" t="n">
        <f aca="false">IF(Z271&lt;0,Z271+360,Z271+0)</f>
        <v>293</v>
      </c>
    </row>
    <row r="272" customFormat="false" ht="15.8" hidden="false" customHeight="false" outlineLevel="0" collapsed="false">
      <c r="A272" s="1" t="n">
        <v>12</v>
      </c>
      <c r="B272" s="1" t="n">
        <v>3</v>
      </c>
      <c r="C272" s="1" t="n">
        <v>3.6</v>
      </c>
      <c r="D272" s="1" t="n">
        <v>1.0184</v>
      </c>
      <c r="E272" s="1" t="n">
        <v>0.130503</v>
      </c>
      <c r="F272" s="1" t="n">
        <v>0.000375108</v>
      </c>
      <c r="G272" s="1" t="s">
        <v>42</v>
      </c>
      <c r="H272" s="1" t="n">
        <v>31.2</v>
      </c>
      <c r="I272" s="1" t="n">
        <v>3.5</v>
      </c>
      <c r="J272" s="1" t="n">
        <v>0</v>
      </c>
      <c r="K272" s="1" t="n">
        <v>67.2</v>
      </c>
      <c r="L272" s="1" t="n">
        <v>0</v>
      </c>
      <c r="M272" s="1" t="n">
        <v>0</v>
      </c>
      <c r="N272" s="1" t="s">
        <v>244</v>
      </c>
      <c r="O272" s="1"/>
      <c r="P272" s="1"/>
      <c r="Q272" s="1"/>
      <c r="R272" s="1"/>
      <c r="S272" s="1"/>
      <c r="T272" s="1"/>
      <c r="Z272" s="0" t="n">
        <f aca="false">I272-8</f>
        <v>-4.5</v>
      </c>
      <c r="AB272" s="0" t="n">
        <f aca="false">IF(Z272&lt;0,Z272+360,Z272+0)</f>
        <v>355.5</v>
      </c>
    </row>
    <row r="273" customFormat="false" ht="15.8" hidden="false" customHeight="false" outlineLevel="0" collapsed="false">
      <c r="A273" s="1" t="n">
        <v>12</v>
      </c>
      <c r="B273" s="1" t="n">
        <v>2</v>
      </c>
      <c r="C273" s="1" t="n">
        <v>4.3</v>
      </c>
      <c r="D273" s="1" t="n">
        <v>1.0661</v>
      </c>
      <c r="E273" s="1" t="n">
        <v>0.154775</v>
      </c>
      <c r="F273" s="1" t="n">
        <v>0.000444874</v>
      </c>
      <c r="G273" s="1" t="s">
        <v>42</v>
      </c>
      <c r="H273" s="1" t="n">
        <v>25.3</v>
      </c>
      <c r="I273" s="1" t="n">
        <v>332.8</v>
      </c>
      <c r="J273" s="1" t="n">
        <v>-5.6</v>
      </c>
      <c r="K273" s="1" t="n">
        <v>41.4</v>
      </c>
      <c r="L273" s="1" t="n">
        <v>0</v>
      </c>
      <c r="M273" s="1" t="n">
        <v>0</v>
      </c>
      <c r="N273" s="1" t="s">
        <v>243</v>
      </c>
      <c r="O273" s="1"/>
      <c r="P273" s="1"/>
      <c r="Q273" s="1"/>
      <c r="R273" s="1"/>
      <c r="S273" s="1"/>
      <c r="T273" s="1"/>
      <c r="Z273" s="0" t="n">
        <f aca="false">I273-8</f>
        <v>324.8</v>
      </c>
      <c r="AB273" s="0" t="n">
        <f aca="false">IF(Z273&lt;0,Z273+360,Z273+0)</f>
        <v>324.8</v>
      </c>
    </row>
    <row r="274" customFormat="false" ht="15.8" hidden="false" customHeight="false" outlineLevel="0" collapsed="false">
      <c r="A274" s="1" t="n">
        <v>12</v>
      </c>
      <c r="B274" s="1" t="n">
        <v>1</v>
      </c>
      <c r="C274" s="1" t="n">
        <v>2.6</v>
      </c>
      <c r="D274" s="1" t="n">
        <v>1.0943</v>
      </c>
      <c r="E274" s="1" t="n">
        <v>0.0946141</v>
      </c>
      <c r="F274" s="1" t="n">
        <v>0.000271952</v>
      </c>
      <c r="G274" s="1" t="s">
        <v>42</v>
      </c>
      <c r="H274" s="1"/>
      <c r="I274" s="1" t="n">
        <v>353.3</v>
      </c>
      <c r="J274" s="1" t="n">
        <v>9.4</v>
      </c>
      <c r="K274" s="1" t="n">
        <v>27.1</v>
      </c>
      <c r="L274" s="1" t="n">
        <v>0</v>
      </c>
      <c r="M274" s="1" t="n">
        <v>0</v>
      </c>
      <c r="N274" s="1" t="s">
        <v>247</v>
      </c>
      <c r="O274" s="1"/>
      <c r="P274" s="1"/>
      <c r="Q274" s="1"/>
      <c r="R274" s="1"/>
      <c r="S274" s="1"/>
      <c r="T274" s="1"/>
      <c r="Z274" s="0" t="n">
        <f aca="false">I274-8</f>
        <v>345.3</v>
      </c>
      <c r="AB274" s="0" t="n">
        <f aca="false">IF(Z274&lt;0,Z274+360,Z274+0)</f>
        <v>345.3</v>
      </c>
    </row>
    <row r="275" customFormat="false" ht="15.8" hidden="false" customHeight="false" outlineLevel="0" collapsed="false">
      <c r="A275" s="1" t="n">
        <v>13</v>
      </c>
      <c r="B275" s="1" t="n">
        <v>2</v>
      </c>
      <c r="C275" s="1" t="n">
        <v>2.3</v>
      </c>
      <c r="D275" s="1" t="n">
        <v>1.231</v>
      </c>
      <c r="E275" s="1" t="n">
        <v>0.0816861</v>
      </c>
      <c r="F275" s="1" t="n">
        <v>0.000234793</v>
      </c>
      <c r="G275" s="1" t="s">
        <v>27</v>
      </c>
      <c r="H275" s="1" t="n">
        <v>83.6</v>
      </c>
      <c r="I275" s="1" t="n">
        <v>275.6</v>
      </c>
      <c r="J275" s="1" t="n">
        <v>25.1</v>
      </c>
      <c r="K275" s="1"/>
      <c r="L275" s="1" t="n">
        <v>0</v>
      </c>
      <c r="M275" s="1" t="n">
        <v>0</v>
      </c>
      <c r="N275" s="1" t="s">
        <v>248</v>
      </c>
      <c r="O275" s="1"/>
      <c r="P275" s="1"/>
      <c r="Q275" s="1"/>
      <c r="R275" s="1"/>
      <c r="S275" s="1"/>
      <c r="T275" s="1"/>
      <c r="Z275" s="0" t="n">
        <f aca="false">I275-8</f>
        <v>267.6</v>
      </c>
      <c r="AB275" s="0" t="n">
        <f aca="false">IF(Z275&lt;0,Z275+360,Z275+0)</f>
        <v>267.6</v>
      </c>
    </row>
    <row r="276" customFormat="false" ht="15.8" hidden="false" customHeight="false" outlineLevel="0" collapsed="false">
      <c r="A276" s="1" t="n">
        <v>13</v>
      </c>
      <c r="B276" s="1" t="n">
        <v>8</v>
      </c>
      <c r="C276" s="1" t="n">
        <v>6.2</v>
      </c>
      <c r="D276" s="1" t="n">
        <v>1.1756</v>
      </c>
      <c r="E276" s="1" t="n">
        <v>0.222458</v>
      </c>
      <c r="F276" s="1" t="n">
        <v>0.00063942</v>
      </c>
      <c r="G276" s="1" t="s">
        <v>27</v>
      </c>
      <c r="H276" s="1" t="n">
        <v>20.2</v>
      </c>
      <c r="I276" s="1" t="n">
        <v>358.5</v>
      </c>
      <c r="J276" s="1" t="n">
        <v>-12.9</v>
      </c>
      <c r="K276" s="1"/>
      <c r="L276" s="1" t="n">
        <v>0</v>
      </c>
      <c r="M276" s="1" t="n">
        <v>0</v>
      </c>
      <c r="N276" s="1" t="s">
        <v>249</v>
      </c>
      <c r="O276" s="1"/>
      <c r="P276" s="1"/>
      <c r="Q276" s="1"/>
      <c r="R276" s="1"/>
      <c r="S276" s="1"/>
      <c r="T276" s="1"/>
      <c r="Z276" s="0" t="n">
        <f aca="false">I276-8</f>
        <v>350.5</v>
      </c>
      <c r="AB276" s="0" t="n">
        <f aca="false">IF(Z276&lt;0,Z276+360,Z276+0)</f>
        <v>350.5</v>
      </c>
    </row>
    <row r="277" customFormat="false" ht="15.8" hidden="false" customHeight="false" outlineLevel="0" collapsed="false">
      <c r="A277" s="1" t="n">
        <v>13</v>
      </c>
      <c r="B277" s="1" t="n">
        <v>9</v>
      </c>
      <c r="C277" s="1" t="n">
        <v>0.9</v>
      </c>
      <c r="D277" s="1" t="n">
        <v>1.1612</v>
      </c>
      <c r="E277" s="1" t="n">
        <v>0.0335509</v>
      </c>
      <c r="F277" s="1" t="n">
        <v>9.64365E-005</v>
      </c>
      <c r="G277" s="1" t="s">
        <v>27</v>
      </c>
      <c r="H277" s="1" t="n">
        <v>75.6</v>
      </c>
      <c r="I277" s="1" t="n">
        <v>20.2</v>
      </c>
      <c r="J277" s="1" t="n">
        <v>-29.2</v>
      </c>
      <c r="K277" s="1"/>
      <c r="L277" s="1" t="n">
        <v>0</v>
      </c>
      <c r="M277" s="1" t="n">
        <v>0</v>
      </c>
      <c r="N277" s="1" t="s">
        <v>250</v>
      </c>
      <c r="O277" s="1"/>
      <c r="P277" s="1"/>
      <c r="Q277" s="1"/>
      <c r="R277" s="1"/>
      <c r="S277" s="1"/>
      <c r="T277" s="1"/>
      <c r="Z277" s="0" t="n">
        <f aca="false">I277-8</f>
        <v>12.2</v>
      </c>
      <c r="AB277" s="0" t="n">
        <f aca="false">IF(Z277&lt;0,Z277+360,Z277+0)</f>
        <v>12.2</v>
      </c>
    </row>
    <row r="278" customFormat="false" ht="15.8" hidden="false" customHeight="false" outlineLevel="0" collapsed="false">
      <c r="A278" s="1" t="n">
        <v>13</v>
      </c>
      <c r="B278" s="1" t="n">
        <v>11</v>
      </c>
      <c r="C278" s="1" t="n">
        <v>1.2</v>
      </c>
      <c r="D278" s="1" t="n">
        <v>1.1989</v>
      </c>
      <c r="E278" s="1" t="n">
        <v>0.041689</v>
      </c>
      <c r="F278" s="1" t="n">
        <v>0.000119828</v>
      </c>
      <c r="G278" s="1" t="s">
        <v>27</v>
      </c>
      <c r="H278" s="1" t="n">
        <v>42.5</v>
      </c>
      <c r="I278" s="1" t="n">
        <v>113.9</v>
      </c>
      <c r="J278" s="1" t="n">
        <v>23.9</v>
      </c>
      <c r="K278" s="1"/>
      <c r="L278" s="1" t="n">
        <v>0</v>
      </c>
      <c r="M278" s="1" t="n">
        <v>0</v>
      </c>
      <c r="N278" s="1" t="s">
        <v>251</v>
      </c>
      <c r="O278" s="1"/>
      <c r="P278" s="1"/>
      <c r="Q278" s="1"/>
      <c r="R278" s="1"/>
      <c r="S278" s="1"/>
      <c r="T278" s="1"/>
      <c r="Z278" s="0" t="n">
        <f aca="false">I278-8</f>
        <v>105.9</v>
      </c>
      <c r="AB278" s="0" t="n">
        <f aca="false">IF(Z278&lt;0,Z278+360,Z278+0)</f>
        <v>105.9</v>
      </c>
    </row>
    <row r="279" customFormat="false" ht="15.8" hidden="false" customHeight="false" outlineLevel="0" collapsed="false">
      <c r="A279" s="1" t="n">
        <v>13</v>
      </c>
      <c r="B279" s="1" t="n">
        <v>11</v>
      </c>
      <c r="C279" s="1" t="n">
        <v>1</v>
      </c>
      <c r="D279" s="1" t="n">
        <v>1.0369</v>
      </c>
      <c r="E279" s="1" t="n">
        <v>0.0348889</v>
      </c>
      <c r="F279" s="1" t="n">
        <v>0.000100282</v>
      </c>
      <c r="G279" s="1" t="s">
        <v>27</v>
      </c>
      <c r="H279" s="1" t="n">
        <v>101.8</v>
      </c>
      <c r="I279" s="1" t="n">
        <v>324.5</v>
      </c>
      <c r="J279" s="1" t="n">
        <v>0</v>
      </c>
      <c r="K279" s="1"/>
      <c r="L279" s="1" t="n">
        <v>0</v>
      </c>
      <c r="M279" s="1" t="n">
        <v>0</v>
      </c>
      <c r="N279" s="1" t="s">
        <v>251</v>
      </c>
      <c r="O279" s="1"/>
      <c r="P279" s="1"/>
      <c r="Q279" s="1"/>
      <c r="R279" s="1"/>
      <c r="S279" s="1"/>
      <c r="T279" s="1"/>
      <c r="Z279" s="0" t="n">
        <f aca="false">I279-8</f>
        <v>316.5</v>
      </c>
      <c r="AB279" s="0" t="n">
        <f aca="false">IF(Z279&lt;0,Z279+360,Z279+0)</f>
        <v>316.5</v>
      </c>
    </row>
    <row r="280" customFormat="false" ht="15.8" hidden="false" customHeight="false" outlineLevel="0" collapsed="false">
      <c r="A280" s="1" t="n">
        <v>13</v>
      </c>
      <c r="B280" s="1" t="n">
        <v>10</v>
      </c>
      <c r="C280" s="1" t="n">
        <v>2.4</v>
      </c>
      <c r="D280" s="1" t="n">
        <v>1.2114</v>
      </c>
      <c r="E280" s="1" t="n">
        <v>0.0880693</v>
      </c>
      <c r="F280" s="1" t="n">
        <v>0.00025314</v>
      </c>
      <c r="G280" s="1" t="s">
        <v>42</v>
      </c>
      <c r="H280" s="1" t="n">
        <v>75.1</v>
      </c>
      <c r="I280" s="1" t="n">
        <v>67.4</v>
      </c>
      <c r="J280" s="1" t="n">
        <v>22.8</v>
      </c>
      <c r="K280" s="1" t="n">
        <v>101.8</v>
      </c>
      <c r="L280" s="1" t="n">
        <v>0</v>
      </c>
      <c r="M280" s="1" t="n">
        <v>0</v>
      </c>
      <c r="N280" s="1" t="s">
        <v>252</v>
      </c>
      <c r="O280" s="1"/>
      <c r="P280" s="1"/>
      <c r="Q280" s="1"/>
      <c r="R280" s="1"/>
      <c r="S280" s="1"/>
      <c r="T280" s="1"/>
      <c r="Z280" s="0" t="n">
        <f aca="false">I280-8</f>
        <v>59.4</v>
      </c>
      <c r="AB280" s="0" t="n">
        <f aca="false">IF(Z280&lt;0,Z280+360,Z280+0)</f>
        <v>59.4</v>
      </c>
    </row>
    <row r="281" customFormat="false" ht="15.8" hidden="false" customHeight="false" outlineLevel="0" collapsed="false">
      <c r="A281" s="1" t="n">
        <v>13</v>
      </c>
      <c r="B281" s="1" t="n">
        <v>11</v>
      </c>
      <c r="C281" s="1" t="n">
        <v>2.2</v>
      </c>
      <c r="D281" s="1" t="n">
        <v>1.0284</v>
      </c>
      <c r="E281" s="1" t="n">
        <v>0.0803624</v>
      </c>
      <c r="F281" s="1" t="n">
        <v>0.000230988</v>
      </c>
      <c r="G281" s="1" t="s">
        <v>27</v>
      </c>
      <c r="H281" s="1" t="n">
        <v>75.9</v>
      </c>
      <c r="I281" s="1" t="n">
        <v>6.4</v>
      </c>
      <c r="J281" s="1" t="n">
        <v>0</v>
      </c>
      <c r="K281" s="1"/>
      <c r="L281" s="1" t="n">
        <v>0</v>
      </c>
      <c r="M281" s="1" t="n">
        <v>0</v>
      </c>
      <c r="N281" s="1" t="s">
        <v>253</v>
      </c>
      <c r="O281" s="1"/>
      <c r="P281" s="1"/>
      <c r="Q281" s="1"/>
      <c r="R281" s="1"/>
      <c r="S281" s="1"/>
      <c r="T281" s="1"/>
      <c r="Z281" s="0" t="n">
        <f aca="false">I281-8</f>
        <v>-1.6</v>
      </c>
      <c r="AB281" s="0" t="n">
        <f aca="false">IF(Z281&lt;0,Z281+360,Z281+0)</f>
        <v>358.4</v>
      </c>
    </row>
    <row r="282" customFormat="false" ht="15.8" hidden="false" customHeight="false" outlineLevel="0" collapsed="false">
      <c r="A282" s="1" t="n">
        <v>13</v>
      </c>
      <c r="B282" s="1" t="n">
        <v>11</v>
      </c>
      <c r="C282" s="1" t="n">
        <v>2.3</v>
      </c>
      <c r="D282" s="1" t="n">
        <v>1.0115</v>
      </c>
      <c r="E282" s="1" t="n">
        <v>0.0814915</v>
      </c>
      <c r="F282" s="1" t="n">
        <v>0.000234234</v>
      </c>
      <c r="G282" s="1" t="s">
        <v>27</v>
      </c>
      <c r="H282" s="1" t="n">
        <v>105.8</v>
      </c>
      <c r="I282" s="1" t="n">
        <v>190.1</v>
      </c>
      <c r="J282" s="1" t="n">
        <v>0</v>
      </c>
      <c r="K282" s="1"/>
      <c r="L282" s="1" t="n">
        <v>0</v>
      </c>
      <c r="M282" s="1" t="n">
        <v>0</v>
      </c>
      <c r="N282" s="1" t="s">
        <v>253</v>
      </c>
      <c r="O282" s="1"/>
      <c r="P282" s="1"/>
      <c r="Q282" s="1"/>
      <c r="R282" s="1"/>
      <c r="S282" s="1"/>
      <c r="T282" s="1"/>
      <c r="Z282" s="0" t="n">
        <f aca="false">I282-8</f>
        <v>182.1</v>
      </c>
      <c r="AB282" s="0" t="n">
        <f aca="false">IF(Z282&lt;0,Z282+360,Z282+0)</f>
        <v>182.1</v>
      </c>
    </row>
    <row r="283" customFormat="false" ht="15.8" hidden="false" customHeight="false" outlineLevel="0" collapsed="false">
      <c r="A283" s="1" t="n">
        <v>13</v>
      </c>
      <c r="B283" s="1" t="n">
        <v>11</v>
      </c>
      <c r="C283" s="1" t="n">
        <v>1.2</v>
      </c>
      <c r="D283" s="1" t="n">
        <v>1.084</v>
      </c>
      <c r="E283" s="1" t="n">
        <v>0.0442137</v>
      </c>
      <c r="F283" s="1" t="n">
        <v>0.000127085</v>
      </c>
      <c r="G283" s="1" t="s">
        <v>27</v>
      </c>
      <c r="H283" s="1" t="n">
        <v>15.9</v>
      </c>
      <c r="I283" s="1" t="n">
        <v>80.3</v>
      </c>
      <c r="J283" s="1" t="n">
        <v>-43.7</v>
      </c>
      <c r="K283" s="1"/>
      <c r="L283" s="1" t="n">
        <v>0</v>
      </c>
      <c r="M283" s="1" t="n">
        <v>0</v>
      </c>
      <c r="N283" s="1" t="s">
        <v>253</v>
      </c>
      <c r="O283" s="1"/>
      <c r="P283" s="1"/>
      <c r="Q283" s="1"/>
      <c r="R283" s="1"/>
      <c r="S283" s="1"/>
      <c r="T283" s="1"/>
      <c r="Z283" s="0" t="n">
        <f aca="false">I283-8</f>
        <v>72.3</v>
      </c>
      <c r="AB283" s="0" t="n">
        <f aca="false">IF(Z283&lt;0,Z283+360,Z283+0)</f>
        <v>72.3</v>
      </c>
    </row>
    <row r="284" customFormat="false" ht="15.8" hidden="false" customHeight="false" outlineLevel="0" collapsed="false">
      <c r="A284" s="1" t="n">
        <v>13</v>
      </c>
      <c r="B284" s="1" t="n">
        <v>10</v>
      </c>
      <c r="C284" s="1" t="n">
        <v>3.3</v>
      </c>
      <c r="D284" s="1" t="n">
        <v>1.1808</v>
      </c>
      <c r="E284" s="1" t="n">
        <v>0.117663</v>
      </c>
      <c r="F284" s="1" t="n">
        <v>0.000338204</v>
      </c>
      <c r="G284" s="1" t="s">
        <v>42</v>
      </c>
      <c r="H284" s="1" t="n">
        <v>50.4</v>
      </c>
      <c r="I284" s="1" t="n">
        <v>69.1</v>
      </c>
      <c r="J284" s="1" t="n">
        <v>-58</v>
      </c>
      <c r="K284" s="1" t="n">
        <v>105.8</v>
      </c>
      <c r="L284" s="1" t="n">
        <v>0</v>
      </c>
      <c r="M284" s="1" t="n">
        <v>0</v>
      </c>
      <c r="N284" s="1" t="s">
        <v>252</v>
      </c>
      <c r="O284" s="1"/>
      <c r="P284" s="1"/>
      <c r="Q284" s="1"/>
      <c r="R284" s="1"/>
      <c r="S284" s="1"/>
      <c r="T284" s="1"/>
      <c r="Z284" s="0" t="n">
        <f aca="false">I284-8</f>
        <v>61.1</v>
      </c>
      <c r="AB284" s="0" t="n">
        <f aca="false">IF(Z284&lt;0,Z284+360,Z284+0)</f>
        <v>61.1</v>
      </c>
    </row>
    <row r="285" customFormat="false" ht="15.8" hidden="false" customHeight="false" outlineLevel="0" collapsed="false">
      <c r="A285" s="1" t="n">
        <v>13</v>
      </c>
      <c r="B285" s="1" t="n">
        <v>9</v>
      </c>
      <c r="C285" s="1" t="n">
        <v>1.1</v>
      </c>
      <c r="D285" s="1" t="n">
        <v>1.2174</v>
      </c>
      <c r="E285" s="1" t="n">
        <v>0.0384205</v>
      </c>
      <c r="F285" s="1" t="n">
        <v>0.000110433</v>
      </c>
      <c r="G285" s="1" t="s">
        <v>42</v>
      </c>
      <c r="H285" s="1" t="n">
        <v>21.2</v>
      </c>
      <c r="I285" s="1" t="n">
        <v>126</v>
      </c>
      <c r="J285" s="1" t="n">
        <v>-26.5</v>
      </c>
      <c r="K285" s="1" t="n">
        <v>75.1</v>
      </c>
      <c r="L285" s="1" t="n">
        <v>0</v>
      </c>
      <c r="M285" s="1" t="n">
        <v>0</v>
      </c>
      <c r="N285" s="1" t="s">
        <v>250</v>
      </c>
      <c r="O285" s="1"/>
      <c r="P285" s="1"/>
      <c r="Q285" s="1"/>
      <c r="R285" s="1"/>
      <c r="S285" s="1"/>
      <c r="T285" s="1"/>
      <c r="Z285" s="0" t="n">
        <f aca="false">I285-8</f>
        <v>118</v>
      </c>
      <c r="AB285" s="0" t="n">
        <f aca="false">IF(Z285&lt;0,Z285+360,Z285+0)</f>
        <v>118</v>
      </c>
    </row>
    <row r="286" customFormat="false" ht="15.8" hidden="false" customHeight="false" outlineLevel="0" collapsed="false">
      <c r="A286" s="1" t="n">
        <v>13</v>
      </c>
      <c r="B286" s="1" t="n">
        <v>8</v>
      </c>
      <c r="C286" s="1" t="n">
        <v>2.7</v>
      </c>
      <c r="D286" s="1" t="n">
        <v>1.1689</v>
      </c>
      <c r="E286" s="1" t="n">
        <v>0.0983775</v>
      </c>
      <c r="F286" s="1" t="n">
        <v>0.00028277</v>
      </c>
      <c r="G286" s="1" t="s">
        <v>42</v>
      </c>
      <c r="H286" s="1" t="n">
        <v>90</v>
      </c>
      <c r="I286" s="1" t="n">
        <v>104.2</v>
      </c>
      <c r="J286" s="1" t="n">
        <v>-19.6</v>
      </c>
      <c r="K286" s="1" t="n">
        <v>75.6</v>
      </c>
      <c r="L286" s="1" t="n">
        <v>0</v>
      </c>
      <c r="M286" s="1" t="n">
        <v>0</v>
      </c>
      <c r="N286" s="1" t="s">
        <v>249</v>
      </c>
      <c r="O286" s="1"/>
      <c r="P286" s="1"/>
      <c r="Q286" s="1"/>
      <c r="R286" s="1"/>
      <c r="S286" s="1"/>
      <c r="T286" s="1"/>
      <c r="Z286" s="0" t="n">
        <f aca="false">I286-8</f>
        <v>96.2</v>
      </c>
      <c r="AB286" s="0" t="n">
        <f aca="false">IF(Z286&lt;0,Z286+360,Z286+0)</f>
        <v>96.2</v>
      </c>
    </row>
    <row r="287" customFormat="false" ht="15.8" hidden="false" customHeight="false" outlineLevel="0" collapsed="false">
      <c r="A287" s="1" t="n">
        <v>13</v>
      </c>
      <c r="B287" s="1" t="n">
        <v>7</v>
      </c>
      <c r="C287" s="1" t="n">
        <v>2.1</v>
      </c>
      <c r="D287" s="1" t="n">
        <v>1.015</v>
      </c>
      <c r="E287" s="1" t="n">
        <v>0.0756524</v>
      </c>
      <c r="F287" s="1" t="n">
        <v>0.00021745</v>
      </c>
      <c r="G287" s="1" t="s">
        <v>42</v>
      </c>
      <c r="H287" s="1" t="n">
        <v>27.4</v>
      </c>
      <c r="I287" s="1" t="n">
        <v>14.2</v>
      </c>
      <c r="J287" s="1" t="n">
        <v>0</v>
      </c>
      <c r="K287" s="1" t="n">
        <v>90</v>
      </c>
      <c r="L287" s="1" t="n">
        <v>0</v>
      </c>
      <c r="M287" s="1" t="n">
        <v>0</v>
      </c>
      <c r="N287" s="1" t="s">
        <v>254</v>
      </c>
      <c r="O287" s="1"/>
      <c r="P287" s="1"/>
      <c r="Q287" s="1"/>
      <c r="R287" s="1"/>
      <c r="S287" s="1"/>
      <c r="T287" s="1"/>
      <c r="Z287" s="0" t="n">
        <f aca="false">I287-8</f>
        <v>6.2</v>
      </c>
      <c r="AB287" s="0" t="n">
        <f aca="false">IF(Z287&lt;0,Z287+360,Z287+0)</f>
        <v>6.2</v>
      </c>
    </row>
    <row r="288" customFormat="false" ht="15.8" hidden="false" customHeight="false" outlineLevel="0" collapsed="false">
      <c r="A288" s="1" t="n">
        <v>13</v>
      </c>
      <c r="B288" s="1" t="n">
        <v>7</v>
      </c>
      <c r="C288" s="1" t="n">
        <v>1.9</v>
      </c>
      <c r="D288" s="1" t="n">
        <v>1.306</v>
      </c>
      <c r="E288" s="1" t="n">
        <v>0.0693855</v>
      </c>
      <c r="F288" s="1" t="n">
        <v>0.000199437</v>
      </c>
      <c r="G288" s="1" t="s">
        <v>27</v>
      </c>
      <c r="H288" s="1" t="n">
        <v>62.7</v>
      </c>
      <c r="I288" s="1" t="n">
        <v>96.7</v>
      </c>
      <c r="J288" s="1" t="n">
        <v>-52.7</v>
      </c>
      <c r="K288" s="1"/>
      <c r="L288" s="1" t="n">
        <v>0</v>
      </c>
      <c r="M288" s="1" t="n">
        <v>0</v>
      </c>
      <c r="N288" s="1" t="s">
        <v>254</v>
      </c>
      <c r="O288" s="1"/>
      <c r="P288" s="1"/>
      <c r="Q288" s="1"/>
      <c r="R288" s="1"/>
      <c r="S288" s="1"/>
      <c r="T288" s="1"/>
      <c r="Z288" s="0" t="n">
        <f aca="false">I288-8</f>
        <v>88.7</v>
      </c>
      <c r="AB288" s="0" t="n">
        <f aca="false">IF(Z288&lt;0,Z288+360,Z288+0)</f>
        <v>88.7</v>
      </c>
    </row>
    <row r="289" customFormat="false" ht="15.8" hidden="false" customHeight="false" outlineLevel="0" collapsed="false">
      <c r="A289" s="1" t="n">
        <v>13</v>
      </c>
      <c r="B289" s="1" t="n">
        <v>6</v>
      </c>
      <c r="C289" s="1" t="n">
        <v>1</v>
      </c>
      <c r="D289" s="1" t="n">
        <v>1.1935</v>
      </c>
      <c r="E289" s="1" t="n">
        <v>0.0366919</v>
      </c>
      <c r="F289" s="1" t="n">
        <v>0.000105465</v>
      </c>
      <c r="G289" s="1" t="s">
        <v>42</v>
      </c>
      <c r="H289" s="1" t="n">
        <v>35.5</v>
      </c>
      <c r="I289" s="1" t="n">
        <v>16.8</v>
      </c>
      <c r="J289" s="1" t="n">
        <v>-27.3</v>
      </c>
      <c r="K289" s="1" t="n">
        <v>62.7</v>
      </c>
      <c r="L289" s="1" t="n">
        <v>0</v>
      </c>
      <c r="M289" s="1" t="n">
        <v>0</v>
      </c>
      <c r="N289" s="1" t="s">
        <v>255</v>
      </c>
      <c r="O289" s="1"/>
      <c r="P289" s="1"/>
      <c r="Q289" s="1"/>
      <c r="R289" s="1"/>
      <c r="S289" s="1"/>
      <c r="T289" s="1"/>
      <c r="Z289" s="0" t="n">
        <f aca="false">I289-8</f>
        <v>8.8</v>
      </c>
      <c r="AB289" s="0" t="n">
        <f aca="false">IF(Z289&lt;0,Z289+360,Z289+0)</f>
        <v>8.8</v>
      </c>
    </row>
    <row r="290" customFormat="false" ht="15.8" hidden="false" customHeight="false" outlineLevel="0" collapsed="false">
      <c r="A290" s="1" t="n">
        <v>13</v>
      </c>
      <c r="B290" s="1" t="n">
        <v>6</v>
      </c>
      <c r="C290" s="1" t="n">
        <v>2.9</v>
      </c>
      <c r="D290" s="1" t="n">
        <v>2.4119</v>
      </c>
      <c r="E290" s="1" t="n">
        <v>0.103083</v>
      </c>
      <c r="F290" s="1" t="n">
        <v>0.000296296</v>
      </c>
      <c r="G290" s="1" t="s">
        <v>27</v>
      </c>
      <c r="H290" s="1" t="n">
        <v>86.6</v>
      </c>
      <c r="I290" s="1" t="n">
        <v>261.1</v>
      </c>
      <c r="J290" s="1" t="n">
        <v>19.2</v>
      </c>
      <c r="K290" s="1"/>
      <c r="L290" s="1" t="n">
        <v>0</v>
      </c>
      <c r="M290" s="1" t="n">
        <v>0</v>
      </c>
      <c r="N290" s="1" t="s">
        <v>255</v>
      </c>
      <c r="O290" s="1"/>
      <c r="P290" s="1"/>
      <c r="Q290" s="1"/>
      <c r="R290" s="1"/>
      <c r="S290" s="1"/>
      <c r="T290" s="1"/>
      <c r="Z290" s="0" t="n">
        <f aca="false">I290-8</f>
        <v>253.1</v>
      </c>
      <c r="AB290" s="0" t="n">
        <f aca="false">IF(Z290&lt;0,Z290+360,Z290+0)</f>
        <v>253.1</v>
      </c>
    </row>
    <row r="291" customFormat="false" ht="15.8" hidden="false" customHeight="false" outlineLevel="0" collapsed="false">
      <c r="A291" s="1" t="n">
        <v>13</v>
      </c>
      <c r="B291" s="1" t="n">
        <v>5</v>
      </c>
      <c r="C291" s="1" t="n">
        <v>3.9</v>
      </c>
      <c r="D291" s="1" t="n">
        <v>1.1462</v>
      </c>
      <c r="E291" s="1" t="n">
        <v>0.141983</v>
      </c>
      <c r="F291" s="1" t="n">
        <v>0.000408106</v>
      </c>
      <c r="G291" s="1" t="s">
        <v>42</v>
      </c>
      <c r="H291" s="1" t="n">
        <v>29.1</v>
      </c>
      <c r="I291" s="1" t="n">
        <v>336.7</v>
      </c>
      <c r="J291" s="1" t="n">
        <v>-27.1</v>
      </c>
      <c r="K291" s="1" t="n">
        <v>86.6</v>
      </c>
      <c r="L291" s="1" t="n">
        <v>0</v>
      </c>
      <c r="M291" s="1" t="n">
        <v>0</v>
      </c>
      <c r="N291" s="1" t="s">
        <v>256</v>
      </c>
      <c r="O291" s="1"/>
      <c r="P291" s="1"/>
      <c r="Q291" s="1"/>
      <c r="R291" s="1"/>
      <c r="S291" s="1"/>
      <c r="T291" s="1"/>
      <c r="Z291" s="0" t="n">
        <f aca="false">I291-8</f>
        <v>328.7</v>
      </c>
      <c r="AB291" s="0" t="n">
        <f aca="false">IF(Z291&lt;0,Z291+360,Z291+0)</f>
        <v>328.7</v>
      </c>
    </row>
    <row r="292" customFormat="false" ht="15.8" hidden="false" customHeight="false" outlineLevel="0" collapsed="false">
      <c r="A292" s="1" t="n">
        <v>13</v>
      </c>
      <c r="B292" s="1" t="n">
        <v>7</v>
      </c>
      <c r="C292" s="1" t="n">
        <v>0.8</v>
      </c>
      <c r="D292" s="1" t="n">
        <v>1.0016</v>
      </c>
      <c r="E292" s="1" t="n">
        <v>0.029119</v>
      </c>
      <c r="F292" s="1" t="n">
        <v>8.36977E-005</v>
      </c>
      <c r="G292" s="1" t="s">
        <v>27</v>
      </c>
      <c r="H292" s="1" t="n">
        <v>102.6</v>
      </c>
      <c r="I292" s="1" t="n">
        <v>224.4</v>
      </c>
      <c r="J292" s="1" t="n">
        <v>0</v>
      </c>
      <c r="K292" s="1"/>
      <c r="L292" s="1" t="n">
        <v>0</v>
      </c>
      <c r="M292" s="1" t="n">
        <v>0</v>
      </c>
      <c r="N292" s="1" t="s">
        <v>257</v>
      </c>
      <c r="O292" s="1"/>
      <c r="P292" s="1"/>
      <c r="Q292" s="1"/>
      <c r="R292" s="1"/>
      <c r="S292" s="1"/>
      <c r="T292" s="1"/>
      <c r="Z292" s="0" t="n">
        <f aca="false">I292-8</f>
        <v>216.4</v>
      </c>
      <c r="AB292" s="0" t="n">
        <f aca="false">IF(Z292&lt;0,Z292+360,Z292+0)</f>
        <v>216.4</v>
      </c>
    </row>
    <row r="293" customFormat="false" ht="15.8" hidden="false" customHeight="false" outlineLevel="0" collapsed="false">
      <c r="A293" s="1" t="n">
        <v>13</v>
      </c>
      <c r="B293" s="1" t="n">
        <v>7</v>
      </c>
      <c r="C293" s="1" t="n">
        <v>2.4</v>
      </c>
      <c r="D293" s="1" t="n">
        <v>1.1272</v>
      </c>
      <c r="E293" s="1" t="n">
        <v>0.0852838</v>
      </c>
      <c r="F293" s="1" t="n">
        <v>0.000245134</v>
      </c>
      <c r="G293" s="1" t="s">
        <v>27</v>
      </c>
      <c r="H293" s="1" t="n">
        <v>32.4</v>
      </c>
      <c r="I293" s="1" t="n">
        <v>359.4</v>
      </c>
      <c r="J293" s="1" t="n">
        <v>10.7</v>
      </c>
      <c r="K293" s="1"/>
      <c r="L293" s="1" t="n">
        <v>0</v>
      </c>
      <c r="M293" s="1" t="n">
        <v>0</v>
      </c>
      <c r="N293" s="1" t="s">
        <v>257</v>
      </c>
      <c r="O293" s="1"/>
      <c r="P293" s="1"/>
      <c r="Q293" s="1"/>
      <c r="R293" s="1"/>
      <c r="S293" s="1"/>
      <c r="T293" s="1"/>
      <c r="Z293" s="0" t="n">
        <f aca="false">I293-8</f>
        <v>351.4</v>
      </c>
      <c r="AB293" s="0" t="n">
        <f aca="false">IF(Z293&lt;0,Z293+360,Z293+0)</f>
        <v>351.4</v>
      </c>
    </row>
    <row r="294" customFormat="false" ht="15.8" hidden="false" customHeight="false" outlineLevel="0" collapsed="false">
      <c r="A294" s="1" t="n">
        <v>13</v>
      </c>
      <c r="B294" s="1" t="n">
        <v>6</v>
      </c>
      <c r="C294" s="1" t="n">
        <v>4</v>
      </c>
      <c r="D294" s="1" t="n">
        <v>1.3661</v>
      </c>
      <c r="E294" s="1" t="n">
        <v>0.144296</v>
      </c>
      <c r="F294" s="1" t="n">
        <v>0.000414754</v>
      </c>
      <c r="G294" s="1" t="s">
        <v>42</v>
      </c>
      <c r="H294" s="1" t="n">
        <v>27.4</v>
      </c>
      <c r="I294" s="1" t="n">
        <v>328.2</v>
      </c>
      <c r="J294" s="1" t="n">
        <v>23.6</v>
      </c>
      <c r="K294" s="1" t="n">
        <v>102.6</v>
      </c>
      <c r="L294" s="1" t="n">
        <v>0</v>
      </c>
      <c r="M294" s="1" t="n">
        <v>0</v>
      </c>
      <c r="N294" s="1" t="s">
        <v>258</v>
      </c>
      <c r="O294" s="1"/>
      <c r="P294" s="1"/>
      <c r="Q294" s="1"/>
      <c r="R294" s="1"/>
      <c r="S294" s="1"/>
      <c r="T294" s="1"/>
      <c r="Z294" s="0" t="n">
        <f aca="false">I294-8</f>
        <v>320.2</v>
      </c>
      <c r="AB294" s="0" t="n">
        <f aca="false">IF(Z294&lt;0,Z294+360,Z294+0)</f>
        <v>320.2</v>
      </c>
    </row>
    <row r="295" customFormat="false" ht="15.8" hidden="false" customHeight="false" outlineLevel="0" collapsed="false">
      <c r="A295" s="1" t="n">
        <v>13</v>
      </c>
      <c r="B295" s="1" t="n">
        <v>7</v>
      </c>
      <c r="C295" s="1" t="n">
        <v>4.9</v>
      </c>
      <c r="D295" s="1" t="n">
        <v>1.5693</v>
      </c>
      <c r="E295" s="1" t="n">
        <v>0.178226</v>
      </c>
      <c r="F295" s="1" t="n">
        <v>0.000512282</v>
      </c>
      <c r="G295" s="1" t="s">
        <v>27</v>
      </c>
      <c r="H295" s="1" t="n">
        <v>61.3</v>
      </c>
      <c r="I295" s="1" t="n">
        <v>201.9</v>
      </c>
      <c r="J295" s="1" t="n">
        <v>14.4</v>
      </c>
      <c r="K295" s="1"/>
      <c r="L295" s="1" t="n">
        <v>0</v>
      </c>
      <c r="M295" s="1" t="n">
        <v>0</v>
      </c>
      <c r="N295" s="1" t="s">
        <v>259</v>
      </c>
      <c r="O295" s="1"/>
      <c r="P295" s="1"/>
      <c r="Q295" s="1"/>
      <c r="R295" s="1"/>
      <c r="S295" s="1"/>
      <c r="T295" s="1"/>
      <c r="Z295" s="0" t="n">
        <f aca="false">I295-8</f>
        <v>193.9</v>
      </c>
      <c r="AB295" s="0" t="n">
        <f aca="false">IF(Z295&lt;0,Z295+360,Z295+0)</f>
        <v>193.9</v>
      </c>
    </row>
    <row r="296" customFormat="false" ht="15.8" hidden="false" customHeight="false" outlineLevel="0" collapsed="false">
      <c r="A296" s="1" t="n">
        <v>13</v>
      </c>
      <c r="B296" s="1" t="n">
        <v>9</v>
      </c>
      <c r="C296" s="1" t="n">
        <v>1.6</v>
      </c>
      <c r="D296" s="1" t="n">
        <v>1.1197</v>
      </c>
      <c r="E296" s="1" t="n">
        <v>0.0573551</v>
      </c>
      <c r="F296" s="1" t="n">
        <v>0.000164858</v>
      </c>
      <c r="G296" s="1" t="s">
        <v>27</v>
      </c>
      <c r="H296" s="1" t="n">
        <v>24.9</v>
      </c>
      <c r="I296" s="1" t="n">
        <v>335.6</v>
      </c>
      <c r="J296" s="1" t="n">
        <v>-16</v>
      </c>
      <c r="K296" s="1"/>
      <c r="L296" s="1" t="n">
        <v>0</v>
      </c>
      <c r="M296" s="1" t="n">
        <v>0</v>
      </c>
      <c r="N296" s="1" t="s">
        <v>260</v>
      </c>
      <c r="O296" s="1"/>
      <c r="P296" s="1"/>
      <c r="Q296" s="1"/>
      <c r="R296" s="1"/>
      <c r="S296" s="1"/>
      <c r="T296" s="1"/>
      <c r="Z296" s="0" t="n">
        <f aca="false">I296-8</f>
        <v>327.6</v>
      </c>
      <c r="AB296" s="0" t="n">
        <f aca="false">IF(Z296&lt;0,Z296+360,Z296+0)</f>
        <v>327.6</v>
      </c>
    </row>
    <row r="297" customFormat="false" ht="15.8" hidden="false" customHeight="false" outlineLevel="0" collapsed="false">
      <c r="A297" s="1" t="n">
        <v>13</v>
      </c>
      <c r="B297" s="1" t="n">
        <v>10</v>
      </c>
      <c r="C297" s="1" t="n">
        <v>1.1</v>
      </c>
      <c r="D297" s="1" t="n">
        <v>1.0409</v>
      </c>
      <c r="E297" s="1" t="n">
        <v>0.0394591</v>
      </c>
      <c r="F297" s="1" t="n">
        <v>0.000113419</v>
      </c>
      <c r="G297" s="1" t="s">
        <v>27</v>
      </c>
      <c r="H297" s="1" t="n">
        <v>82.4</v>
      </c>
      <c r="I297" s="1" t="n">
        <v>317.2</v>
      </c>
      <c r="J297" s="1" t="n">
        <v>0</v>
      </c>
      <c r="K297" s="1"/>
      <c r="L297" s="1" t="n">
        <v>0</v>
      </c>
      <c r="M297" s="1" t="n">
        <v>0</v>
      </c>
      <c r="N297" s="1" t="s">
        <v>261</v>
      </c>
      <c r="O297" s="1"/>
      <c r="P297" s="1"/>
      <c r="Q297" s="1"/>
      <c r="R297" s="1"/>
      <c r="S297" s="1"/>
      <c r="T297" s="1"/>
      <c r="Z297" s="0" t="n">
        <f aca="false">I297-8</f>
        <v>309.2</v>
      </c>
      <c r="AB297" s="0" t="n">
        <f aca="false">IF(Z297&lt;0,Z297+360,Z297+0)</f>
        <v>309.2</v>
      </c>
    </row>
    <row r="298" customFormat="false" ht="15.8" hidden="false" customHeight="false" outlineLevel="0" collapsed="false">
      <c r="A298" s="1" t="n">
        <v>13</v>
      </c>
      <c r="B298" s="1" t="n">
        <v>10</v>
      </c>
      <c r="C298" s="1" t="n">
        <v>1.1</v>
      </c>
      <c r="D298" s="1" t="n">
        <v>1.3316</v>
      </c>
      <c r="E298" s="1" t="n">
        <v>0.0405594</v>
      </c>
      <c r="F298" s="1" t="n">
        <v>0.000116581</v>
      </c>
      <c r="G298" s="1" t="s">
        <v>27</v>
      </c>
      <c r="H298" s="1" t="n">
        <v>59.8</v>
      </c>
      <c r="I298" s="1" t="n">
        <v>181.8</v>
      </c>
      <c r="J298" s="1" t="n">
        <v>27.5</v>
      </c>
      <c r="K298" s="1"/>
      <c r="L298" s="1" t="n">
        <v>0</v>
      </c>
      <c r="M298" s="1" t="n">
        <v>0</v>
      </c>
      <c r="N298" s="1" t="s">
        <v>261</v>
      </c>
      <c r="O298" s="1"/>
      <c r="P298" s="1"/>
      <c r="Q298" s="1"/>
      <c r="R298" s="1"/>
      <c r="S298" s="1"/>
      <c r="T298" s="1"/>
      <c r="Z298" s="0" t="n">
        <f aca="false">I298-8</f>
        <v>173.8</v>
      </c>
      <c r="AB298" s="0" t="n">
        <f aca="false">IF(Z298&lt;0,Z298+360,Z298+0)</f>
        <v>173.8</v>
      </c>
    </row>
    <row r="299" customFormat="false" ht="15.8" hidden="false" customHeight="false" outlineLevel="0" collapsed="false">
      <c r="A299" s="1" t="n">
        <v>13</v>
      </c>
      <c r="B299" s="1" t="n">
        <v>9</v>
      </c>
      <c r="C299" s="1" t="n">
        <v>1.2</v>
      </c>
      <c r="D299" s="1" t="n">
        <v>1.005</v>
      </c>
      <c r="E299" s="1" t="n">
        <v>0.044012</v>
      </c>
      <c r="F299" s="1" t="n">
        <v>0.000126505</v>
      </c>
      <c r="G299" s="1" t="s">
        <v>42</v>
      </c>
      <c r="H299" s="1" t="n">
        <v>82.2</v>
      </c>
      <c r="I299" s="1" t="n">
        <v>257.5</v>
      </c>
      <c r="J299" s="1" t="n">
        <v>74.8</v>
      </c>
      <c r="K299" s="1" t="n">
        <v>82.4</v>
      </c>
      <c r="L299" s="1" t="n">
        <v>0</v>
      </c>
      <c r="M299" s="1" t="n">
        <v>0</v>
      </c>
      <c r="N299" s="1" t="s">
        <v>260</v>
      </c>
      <c r="O299" s="1"/>
      <c r="P299" s="1"/>
      <c r="Q299" s="1"/>
      <c r="R299" s="1"/>
      <c r="S299" s="1"/>
      <c r="T299" s="1"/>
      <c r="Z299" s="0" t="n">
        <f aca="false">I299-8</f>
        <v>249.5</v>
      </c>
      <c r="AB299" s="0" t="n">
        <f aca="false">IF(Z299&lt;0,Z299+360,Z299+0)</f>
        <v>249.5</v>
      </c>
    </row>
    <row r="300" customFormat="false" ht="15.8" hidden="false" customHeight="false" outlineLevel="0" collapsed="false">
      <c r="A300" s="1" t="n">
        <v>13</v>
      </c>
      <c r="B300" s="1" t="n">
        <v>8</v>
      </c>
      <c r="C300" s="1" t="n">
        <v>0.9</v>
      </c>
      <c r="D300" s="1" t="n">
        <v>1.0726</v>
      </c>
      <c r="E300" s="1" t="n">
        <v>0.0308731</v>
      </c>
      <c r="F300" s="1" t="n">
        <v>8.87397E-005</v>
      </c>
      <c r="G300" s="1" t="s">
        <v>42</v>
      </c>
      <c r="H300" s="1" t="n">
        <v>71</v>
      </c>
      <c r="I300" s="1" t="n">
        <v>316.2</v>
      </c>
      <c r="J300" s="1" t="n">
        <v>0</v>
      </c>
      <c r="K300" s="1" t="n">
        <v>82.2</v>
      </c>
      <c r="L300" s="1" t="n">
        <v>0</v>
      </c>
      <c r="M300" s="1" t="n">
        <v>0</v>
      </c>
      <c r="N300" s="1" t="s">
        <v>262</v>
      </c>
      <c r="O300" s="1"/>
      <c r="P300" s="1"/>
      <c r="Q300" s="1"/>
      <c r="R300" s="1"/>
      <c r="S300" s="1"/>
      <c r="T300" s="1"/>
      <c r="Z300" s="0" t="n">
        <f aca="false">I300-8</f>
        <v>308.2</v>
      </c>
      <c r="AB300" s="0" t="n">
        <f aca="false">IF(Z300&lt;0,Z300+360,Z300+0)</f>
        <v>308.2</v>
      </c>
    </row>
    <row r="301" customFormat="false" ht="15.8" hidden="false" customHeight="false" outlineLevel="0" collapsed="false">
      <c r="A301" s="1" t="n">
        <v>13</v>
      </c>
      <c r="B301" s="1" t="n">
        <v>9</v>
      </c>
      <c r="C301" s="1" t="n">
        <v>1.5</v>
      </c>
      <c r="D301" s="1" t="n">
        <v>1.2287</v>
      </c>
      <c r="E301" s="1" t="n">
        <v>0.0547732</v>
      </c>
      <c r="F301" s="1" t="n">
        <v>0.000157437</v>
      </c>
      <c r="G301" s="1" t="s">
        <v>27</v>
      </c>
      <c r="H301" s="1" t="n">
        <v>111.2</v>
      </c>
      <c r="I301" s="1" t="n">
        <v>62.8</v>
      </c>
      <c r="J301" s="1" t="n">
        <v>39.2</v>
      </c>
      <c r="K301" s="1"/>
      <c r="L301" s="1" t="n">
        <v>0</v>
      </c>
      <c r="M301" s="1" t="n">
        <v>0</v>
      </c>
      <c r="N301" s="1" t="s">
        <v>263</v>
      </c>
      <c r="O301" s="1"/>
      <c r="P301" s="1"/>
      <c r="Q301" s="1"/>
      <c r="R301" s="1"/>
      <c r="S301" s="1"/>
      <c r="T301" s="1"/>
      <c r="Z301" s="0" t="n">
        <f aca="false">I301-8</f>
        <v>54.8</v>
      </c>
      <c r="AB301" s="0" t="n">
        <f aca="false">IF(Z301&lt;0,Z301+360,Z301+0)</f>
        <v>54.8</v>
      </c>
    </row>
    <row r="302" customFormat="false" ht="15.8" hidden="false" customHeight="false" outlineLevel="0" collapsed="false">
      <c r="A302" s="1" t="n">
        <v>13</v>
      </c>
      <c r="B302" s="1" t="n">
        <v>10</v>
      </c>
      <c r="C302" s="1" t="n">
        <v>1.7</v>
      </c>
      <c r="D302" s="1" t="n">
        <v>1.2645</v>
      </c>
      <c r="E302" s="1" t="n">
        <v>0.0605291</v>
      </c>
      <c r="F302" s="1" t="n">
        <v>0.000173981</v>
      </c>
      <c r="G302" s="1" t="s">
        <v>27</v>
      </c>
      <c r="H302" s="1" t="n">
        <v>69.8</v>
      </c>
      <c r="I302" s="1" t="n">
        <v>74.2</v>
      </c>
      <c r="J302" s="1" t="n">
        <v>17.1</v>
      </c>
      <c r="K302" s="1"/>
      <c r="L302" s="1" t="n">
        <v>0</v>
      </c>
      <c r="M302" s="1" t="n">
        <v>0</v>
      </c>
      <c r="N302" s="1" t="s">
        <v>264</v>
      </c>
      <c r="O302" s="1"/>
      <c r="P302" s="1"/>
      <c r="Q302" s="1"/>
      <c r="R302" s="1"/>
      <c r="S302" s="1"/>
      <c r="T302" s="1"/>
      <c r="Z302" s="0" t="n">
        <f aca="false">I302-8</f>
        <v>66.2</v>
      </c>
      <c r="AB302" s="0" t="n">
        <f aca="false">IF(Z302&lt;0,Z302+360,Z302+0)</f>
        <v>66.2</v>
      </c>
    </row>
    <row r="303" customFormat="false" ht="15.8" hidden="false" customHeight="false" outlineLevel="0" collapsed="false">
      <c r="A303" s="1" t="n">
        <v>13</v>
      </c>
      <c r="B303" s="1" t="n">
        <v>11</v>
      </c>
      <c r="C303" s="1" t="n">
        <v>1.1</v>
      </c>
      <c r="D303" s="1" t="n">
        <v>1.1515</v>
      </c>
      <c r="E303" s="1" t="n">
        <v>0.0396526</v>
      </c>
      <c r="F303" s="1" t="n">
        <v>0.000113975</v>
      </c>
      <c r="G303" s="1" t="s">
        <v>27</v>
      </c>
      <c r="H303" s="1" t="n">
        <v>61.7</v>
      </c>
      <c r="I303" s="1" t="n">
        <v>224.5</v>
      </c>
      <c r="J303" s="1" t="n">
        <v>24.1</v>
      </c>
      <c r="K303" s="1"/>
      <c r="L303" s="1" t="n">
        <v>0</v>
      </c>
      <c r="M303" s="1" t="n">
        <v>0</v>
      </c>
      <c r="N303" s="1" t="s">
        <v>265</v>
      </c>
      <c r="O303" s="1"/>
      <c r="P303" s="1"/>
      <c r="Q303" s="1"/>
      <c r="R303" s="1"/>
      <c r="S303" s="1"/>
      <c r="T303" s="1"/>
      <c r="Z303" s="0" t="n">
        <f aca="false">I303-8</f>
        <v>216.5</v>
      </c>
      <c r="AB303" s="0" t="n">
        <f aca="false">IF(Z303&lt;0,Z303+360,Z303+0)</f>
        <v>216.5</v>
      </c>
    </row>
    <row r="304" customFormat="false" ht="15.8" hidden="false" customHeight="false" outlineLevel="0" collapsed="false">
      <c r="A304" s="1" t="n">
        <v>13</v>
      </c>
      <c r="B304" s="1" t="n">
        <v>11</v>
      </c>
      <c r="C304" s="1" t="n">
        <v>2.2</v>
      </c>
      <c r="D304" s="1" t="n">
        <v>1.1743</v>
      </c>
      <c r="E304" s="1" t="n">
        <v>0.0812035</v>
      </c>
      <c r="F304" s="1" t="n">
        <v>0.000233406</v>
      </c>
      <c r="G304" s="1" t="s">
        <v>27</v>
      </c>
      <c r="H304" s="1" t="n">
        <v>39.3</v>
      </c>
      <c r="I304" s="1" t="n">
        <v>133.7</v>
      </c>
      <c r="J304" s="1" t="n">
        <v>-24</v>
      </c>
      <c r="K304" s="1"/>
      <c r="L304" s="1" t="n">
        <v>0</v>
      </c>
      <c r="M304" s="1" t="n">
        <v>0</v>
      </c>
      <c r="N304" s="1" t="s">
        <v>265</v>
      </c>
      <c r="O304" s="1"/>
      <c r="P304" s="1"/>
      <c r="Q304" s="1"/>
      <c r="R304" s="1"/>
      <c r="S304" s="1"/>
      <c r="T304" s="1"/>
      <c r="Z304" s="0" t="n">
        <f aca="false">I304-8</f>
        <v>125.7</v>
      </c>
      <c r="AB304" s="0" t="n">
        <f aca="false">IF(Z304&lt;0,Z304+360,Z304+0)</f>
        <v>125.7</v>
      </c>
    </row>
    <row r="305" customFormat="false" ht="15.8" hidden="false" customHeight="false" outlineLevel="0" collapsed="false">
      <c r="A305" s="1" t="n">
        <v>13</v>
      </c>
      <c r="B305" s="1" t="n">
        <v>10</v>
      </c>
      <c r="C305" s="1" t="n">
        <v>2</v>
      </c>
      <c r="D305" s="1" t="n">
        <v>1.2872</v>
      </c>
      <c r="E305" s="1" t="n">
        <v>0.0716983</v>
      </c>
      <c r="F305" s="1" t="n">
        <v>0.000206085</v>
      </c>
      <c r="G305" s="1" t="s">
        <v>42</v>
      </c>
      <c r="H305" s="1" t="n">
        <v>32.2</v>
      </c>
      <c r="I305" s="1" t="n">
        <v>165.8</v>
      </c>
      <c r="J305" s="1" t="n">
        <v>0</v>
      </c>
      <c r="K305" s="1" t="n">
        <v>61.7</v>
      </c>
      <c r="L305" s="1" t="n">
        <v>0</v>
      </c>
      <c r="M305" s="1" t="n">
        <v>0</v>
      </c>
      <c r="N305" s="1" t="s">
        <v>264</v>
      </c>
      <c r="O305" s="1"/>
      <c r="P305" s="1"/>
      <c r="Q305" s="1"/>
      <c r="R305" s="1"/>
      <c r="S305" s="1"/>
      <c r="T305" s="1"/>
      <c r="Z305" s="0" t="n">
        <f aca="false">I305-8</f>
        <v>157.8</v>
      </c>
      <c r="AB305" s="0" t="n">
        <f aca="false">IF(Z305&lt;0,Z305+360,Z305+0)</f>
        <v>157.8</v>
      </c>
    </row>
    <row r="306" customFormat="false" ht="15.8" hidden="false" customHeight="false" outlineLevel="0" collapsed="false">
      <c r="A306" s="1" t="n">
        <v>13</v>
      </c>
      <c r="B306" s="1" t="n">
        <v>9</v>
      </c>
      <c r="C306" s="1" t="n">
        <v>1</v>
      </c>
      <c r="D306" s="1" t="n">
        <v>1.1957</v>
      </c>
      <c r="E306" s="1" t="n">
        <v>0.0352091</v>
      </c>
      <c r="F306" s="1" t="n">
        <v>0.000101203</v>
      </c>
      <c r="G306" s="1" t="s">
        <v>42</v>
      </c>
      <c r="H306" s="1" t="n">
        <v>40.8</v>
      </c>
      <c r="I306" s="1" t="n">
        <v>150.1</v>
      </c>
      <c r="J306" s="1" t="n">
        <v>28.6</v>
      </c>
      <c r="K306" s="1" t="n">
        <v>69.8</v>
      </c>
      <c r="L306" s="1" t="n">
        <v>0</v>
      </c>
      <c r="M306" s="1" t="n">
        <v>0</v>
      </c>
      <c r="N306" s="1" t="s">
        <v>263</v>
      </c>
      <c r="O306" s="1"/>
      <c r="P306" s="1"/>
      <c r="Q306" s="1"/>
      <c r="R306" s="1"/>
      <c r="S306" s="1"/>
      <c r="T306" s="1"/>
      <c r="Z306" s="0" t="n">
        <f aca="false">I306-8</f>
        <v>142.1</v>
      </c>
      <c r="AB306" s="0" t="n">
        <f aca="false">IF(Z306&lt;0,Z306+360,Z306+0)</f>
        <v>142.1</v>
      </c>
    </row>
    <row r="307" customFormat="false" ht="15.8" hidden="false" customHeight="false" outlineLevel="0" collapsed="false">
      <c r="A307" s="1" t="n">
        <v>13</v>
      </c>
      <c r="B307" s="1" t="n">
        <v>8</v>
      </c>
      <c r="C307" s="1" t="n">
        <v>2.1</v>
      </c>
      <c r="D307" s="1" t="n">
        <v>1.0063</v>
      </c>
      <c r="E307" s="1" t="n">
        <v>0.0748071</v>
      </c>
      <c r="F307" s="1" t="n">
        <v>0.000215021</v>
      </c>
      <c r="G307" s="1" t="s">
        <v>42</v>
      </c>
      <c r="H307" s="1" t="n">
        <v>110.2</v>
      </c>
      <c r="I307" s="1" t="n">
        <v>180.6</v>
      </c>
      <c r="J307" s="1" t="n">
        <v>0</v>
      </c>
      <c r="K307" s="1" t="n">
        <v>111.2</v>
      </c>
      <c r="L307" s="1" t="n">
        <v>0</v>
      </c>
      <c r="M307" s="1" t="n">
        <v>0</v>
      </c>
      <c r="N307" s="1" t="s">
        <v>262</v>
      </c>
      <c r="O307" s="1"/>
      <c r="P307" s="1"/>
      <c r="Q307" s="1"/>
      <c r="R307" s="1"/>
      <c r="S307" s="1"/>
      <c r="T307" s="1"/>
      <c r="Z307" s="0" t="n">
        <f aca="false">I307-8</f>
        <v>172.6</v>
      </c>
      <c r="AB307" s="0" t="n">
        <f aca="false">IF(Z307&lt;0,Z307+360,Z307+0)</f>
        <v>172.6</v>
      </c>
    </row>
    <row r="308" customFormat="false" ht="15.8" hidden="false" customHeight="false" outlineLevel="0" collapsed="false">
      <c r="A308" s="1" t="n">
        <v>13</v>
      </c>
      <c r="B308" s="1" t="n">
        <v>7</v>
      </c>
      <c r="C308" s="1" t="n">
        <v>2.4</v>
      </c>
      <c r="D308" s="1" t="n">
        <v>1.1383</v>
      </c>
      <c r="E308" s="1" t="n">
        <v>0.0860856</v>
      </c>
      <c r="F308" s="1" t="n">
        <v>0.000247439</v>
      </c>
      <c r="G308" s="1" t="s">
        <v>42</v>
      </c>
      <c r="H308" s="1" t="n">
        <v>59.5</v>
      </c>
      <c r="I308" s="1" t="n">
        <v>342.5</v>
      </c>
      <c r="J308" s="1" t="n">
        <v>68.6</v>
      </c>
      <c r="K308" s="1" t="n">
        <v>110.2</v>
      </c>
      <c r="L308" s="1" t="n">
        <v>0</v>
      </c>
      <c r="M308" s="1" t="n">
        <v>0</v>
      </c>
      <c r="N308" s="1" t="s">
        <v>259</v>
      </c>
      <c r="O308" s="1"/>
      <c r="P308" s="1"/>
      <c r="Q308" s="1"/>
      <c r="R308" s="1"/>
      <c r="S308" s="1"/>
      <c r="T308" s="1"/>
      <c r="Z308" s="0" t="n">
        <f aca="false">I308-8</f>
        <v>334.5</v>
      </c>
      <c r="AB308" s="0" t="n">
        <f aca="false">IF(Z308&lt;0,Z308+360,Z308+0)</f>
        <v>334.5</v>
      </c>
    </row>
    <row r="309" customFormat="false" ht="15.8" hidden="false" customHeight="false" outlineLevel="0" collapsed="false">
      <c r="A309" s="1" t="n">
        <v>13</v>
      </c>
      <c r="B309" s="1" t="n">
        <v>6</v>
      </c>
      <c r="C309" s="1" t="n">
        <v>4</v>
      </c>
      <c r="D309" s="1" t="n">
        <v>1.577</v>
      </c>
      <c r="E309" s="1" t="n">
        <v>0.14479</v>
      </c>
      <c r="F309" s="1" t="n">
        <v>0.000416175</v>
      </c>
      <c r="G309" s="1" t="s">
        <v>42</v>
      </c>
      <c r="H309" s="1" t="n">
        <v>39.3</v>
      </c>
      <c r="I309" s="1" t="n">
        <v>266.8</v>
      </c>
      <c r="J309" s="1" t="n">
        <v>27.4</v>
      </c>
      <c r="K309" s="1" t="n">
        <v>61.3</v>
      </c>
      <c r="L309" s="1" t="n">
        <v>0</v>
      </c>
      <c r="M309" s="1" t="n">
        <v>0</v>
      </c>
      <c r="N309" s="1" t="s">
        <v>258</v>
      </c>
      <c r="O309" s="1"/>
      <c r="P309" s="1"/>
      <c r="Q309" s="1"/>
      <c r="R309" s="1"/>
      <c r="S309" s="1"/>
      <c r="T309" s="1"/>
      <c r="Z309" s="0" t="n">
        <f aca="false">I309-8</f>
        <v>258.8</v>
      </c>
      <c r="AB309" s="0" t="n">
        <f aca="false">IF(Z309&lt;0,Z309+360,Z309+0)</f>
        <v>258.8</v>
      </c>
    </row>
    <row r="310" customFormat="false" ht="15.8" hidden="false" customHeight="false" outlineLevel="0" collapsed="false">
      <c r="A310" s="1" t="n">
        <v>13</v>
      </c>
      <c r="B310" s="1" t="n">
        <v>5</v>
      </c>
      <c r="C310" s="1" t="n">
        <v>1.2</v>
      </c>
      <c r="D310" s="1" t="n">
        <v>1.1553</v>
      </c>
      <c r="E310" s="1" t="n">
        <v>0.0444616</v>
      </c>
      <c r="F310" s="1" t="n">
        <v>0.000127798</v>
      </c>
      <c r="G310" s="1" t="s">
        <v>42</v>
      </c>
      <c r="H310" s="1" t="n">
        <v>57.3</v>
      </c>
      <c r="I310" s="1" t="n">
        <v>310.5</v>
      </c>
      <c r="J310" s="1" t="n">
        <v>47.1</v>
      </c>
      <c r="K310" s="1" t="n">
        <v>39.3</v>
      </c>
      <c r="L310" s="1" t="n">
        <v>0</v>
      </c>
      <c r="M310" s="1" t="n">
        <v>0</v>
      </c>
      <c r="N310" s="1" t="s">
        <v>256</v>
      </c>
      <c r="O310" s="1"/>
      <c r="P310" s="1"/>
      <c r="Q310" s="1"/>
      <c r="R310" s="1"/>
      <c r="S310" s="1"/>
      <c r="T310" s="1"/>
      <c r="Z310" s="0" t="n">
        <f aca="false">I310-8</f>
        <v>302.5</v>
      </c>
      <c r="AB310" s="0" t="n">
        <f aca="false">IF(Z310&lt;0,Z310+360,Z310+0)</f>
        <v>302.5</v>
      </c>
    </row>
    <row r="311" customFormat="false" ht="15.8" hidden="false" customHeight="false" outlineLevel="0" collapsed="false">
      <c r="A311" s="1" t="n">
        <v>13</v>
      </c>
      <c r="B311" s="1" t="n">
        <v>4</v>
      </c>
      <c r="C311" s="1" t="n">
        <v>2.5</v>
      </c>
      <c r="D311" s="1" t="n">
        <v>1.119</v>
      </c>
      <c r="E311" s="1" t="n">
        <v>0.0889856</v>
      </c>
      <c r="F311" s="1" t="n">
        <v>0.000255774</v>
      </c>
      <c r="G311" s="1" t="s">
        <v>42</v>
      </c>
      <c r="H311" s="1" t="n">
        <v>59.8</v>
      </c>
      <c r="I311" s="1" t="n">
        <v>311.5</v>
      </c>
      <c r="J311" s="1" t="n">
        <v>-10.2</v>
      </c>
      <c r="K311" s="1" t="n">
        <v>57.3</v>
      </c>
      <c r="L311" s="1" t="n">
        <v>0</v>
      </c>
      <c r="M311" s="1" t="n">
        <v>0</v>
      </c>
      <c r="N311" s="1" t="s">
        <v>266</v>
      </c>
      <c r="O311" s="1"/>
      <c r="P311" s="1"/>
      <c r="Q311" s="1"/>
      <c r="R311" s="1"/>
      <c r="S311" s="1"/>
      <c r="T311" s="1"/>
      <c r="Z311" s="0" t="n">
        <f aca="false">I311-8</f>
        <v>303.5</v>
      </c>
      <c r="AB311" s="0" t="n">
        <f aca="false">IF(Z311&lt;0,Z311+360,Z311+0)</f>
        <v>303.5</v>
      </c>
    </row>
    <row r="312" customFormat="false" ht="15.8" hidden="false" customHeight="false" outlineLevel="0" collapsed="false">
      <c r="A312" s="1" t="n">
        <v>13</v>
      </c>
      <c r="B312" s="1" t="n">
        <v>5</v>
      </c>
      <c r="C312" s="1" t="n">
        <v>5.8</v>
      </c>
      <c r="D312" s="1" t="n">
        <v>1.281</v>
      </c>
      <c r="E312" s="1" t="n">
        <v>0.209059</v>
      </c>
      <c r="F312" s="1" t="n">
        <v>0.000600907</v>
      </c>
      <c r="G312" s="1" t="s">
        <v>27</v>
      </c>
      <c r="H312" s="1" t="n">
        <v>31.8</v>
      </c>
      <c r="I312" s="1" t="n">
        <v>5.9</v>
      </c>
      <c r="J312" s="1" t="n">
        <v>-9.9</v>
      </c>
      <c r="K312" s="1"/>
      <c r="L312" s="1" t="n">
        <v>0</v>
      </c>
      <c r="M312" s="1" t="n">
        <v>0</v>
      </c>
      <c r="N312" s="1" t="s">
        <v>267</v>
      </c>
      <c r="O312" s="1"/>
      <c r="P312" s="1"/>
      <c r="Q312" s="1"/>
      <c r="R312" s="1"/>
      <c r="S312" s="1"/>
      <c r="T312" s="1"/>
      <c r="Z312" s="0" t="n">
        <f aca="false">I312-8</f>
        <v>-2.1</v>
      </c>
      <c r="AB312" s="0" t="n">
        <f aca="false">IF(Z312&lt;0,Z312+360,Z312+0)</f>
        <v>357.9</v>
      </c>
    </row>
    <row r="313" customFormat="false" ht="15.8" hidden="false" customHeight="false" outlineLevel="0" collapsed="false">
      <c r="A313" s="1" t="n">
        <v>13</v>
      </c>
      <c r="B313" s="1" t="n">
        <v>5</v>
      </c>
      <c r="C313" s="1" t="n">
        <v>3.8</v>
      </c>
      <c r="D313" s="1" t="n">
        <v>1.8973</v>
      </c>
      <c r="E313" s="1" t="n">
        <v>0.138278</v>
      </c>
      <c r="F313" s="1" t="n">
        <v>0.000397457</v>
      </c>
      <c r="G313" s="1" t="s">
        <v>27</v>
      </c>
      <c r="H313" s="1" t="n">
        <v>59.4</v>
      </c>
      <c r="I313" s="1" t="n">
        <v>356.2</v>
      </c>
      <c r="J313" s="1" t="n">
        <v>-75.1</v>
      </c>
      <c r="K313" s="1"/>
      <c r="L313" s="1" t="n">
        <v>0</v>
      </c>
      <c r="M313" s="1" t="n">
        <v>0</v>
      </c>
      <c r="N313" s="1" t="s">
        <v>267</v>
      </c>
      <c r="O313" s="1"/>
      <c r="P313" s="1"/>
      <c r="Q313" s="1"/>
      <c r="R313" s="1"/>
      <c r="S313" s="1"/>
      <c r="T313" s="1"/>
      <c r="Z313" s="0" t="n">
        <f aca="false">I313-8</f>
        <v>348.2</v>
      </c>
      <c r="AB313" s="0" t="n">
        <f aca="false">IF(Z313&lt;0,Z313+360,Z313+0)</f>
        <v>348.2</v>
      </c>
    </row>
    <row r="314" customFormat="false" ht="15.8" hidden="false" customHeight="false" outlineLevel="0" collapsed="false">
      <c r="A314" s="1" t="n">
        <v>13</v>
      </c>
      <c r="B314" s="1" t="n">
        <v>5</v>
      </c>
      <c r="C314" s="1" t="n">
        <v>4.4</v>
      </c>
      <c r="D314" s="1" t="n">
        <v>1.1287</v>
      </c>
      <c r="E314" s="1" t="n">
        <v>0.159485</v>
      </c>
      <c r="F314" s="1" t="n">
        <v>0.000458412</v>
      </c>
      <c r="G314" s="1" t="s">
        <v>27</v>
      </c>
      <c r="H314" s="1" t="n">
        <v>107</v>
      </c>
      <c r="I314" s="1" t="n">
        <v>153.3</v>
      </c>
      <c r="J314" s="1" t="n">
        <v>-17.4</v>
      </c>
      <c r="K314" s="1"/>
      <c r="L314" s="1" t="n">
        <v>0</v>
      </c>
      <c r="M314" s="1" t="n">
        <v>0</v>
      </c>
      <c r="N314" s="1" t="s">
        <v>267</v>
      </c>
      <c r="O314" s="1"/>
      <c r="P314" s="1"/>
      <c r="Q314" s="1"/>
      <c r="R314" s="1"/>
      <c r="S314" s="1"/>
      <c r="T314" s="1"/>
      <c r="Z314" s="0" t="n">
        <f aca="false">I314-8</f>
        <v>145.3</v>
      </c>
      <c r="AB314" s="0" t="n">
        <f aca="false">IF(Z314&lt;0,Z314+360,Z314+0)</f>
        <v>145.3</v>
      </c>
    </row>
    <row r="315" customFormat="false" ht="15.8" hidden="false" customHeight="false" outlineLevel="0" collapsed="false">
      <c r="A315" s="1" t="n">
        <v>13</v>
      </c>
      <c r="B315" s="1" t="n">
        <v>4</v>
      </c>
      <c r="C315" s="1" t="n">
        <v>2.7</v>
      </c>
      <c r="D315" s="1" t="n">
        <v>1.1579</v>
      </c>
      <c r="E315" s="1" t="n">
        <v>0.0895374</v>
      </c>
      <c r="F315" s="1" t="n">
        <v>0.000245379</v>
      </c>
      <c r="G315" s="1" t="s">
        <v>42</v>
      </c>
      <c r="H315" s="1" t="n">
        <v>39.4</v>
      </c>
      <c r="I315" s="1" t="n">
        <v>37.2</v>
      </c>
      <c r="J315" s="1" t="n">
        <v>-19.8</v>
      </c>
      <c r="K315" s="1" t="n">
        <v>107</v>
      </c>
      <c r="L315" s="1" t="n">
        <v>0</v>
      </c>
      <c r="M315" s="1" t="n">
        <v>0</v>
      </c>
      <c r="N315" s="1" t="s">
        <v>266</v>
      </c>
      <c r="O315" s="1"/>
      <c r="P315" s="1"/>
      <c r="Q315" s="1"/>
      <c r="R315" s="1"/>
      <c r="S315" s="1"/>
      <c r="T315" s="1"/>
      <c r="Z315" s="0" t="n">
        <f aca="false">I315-8</f>
        <v>29.2</v>
      </c>
      <c r="AB315" s="0" t="n">
        <f aca="false">IF(Z315&lt;0,Z315+360,Z315+0)</f>
        <v>29.2</v>
      </c>
    </row>
    <row r="316" customFormat="false" ht="15.8" hidden="false" customHeight="false" outlineLevel="0" collapsed="false">
      <c r="A316" s="1" t="n">
        <v>13</v>
      </c>
      <c r="B316" s="1" t="n">
        <v>4</v>
      </c>
      <c r="C316" s="1" t="n">
        <v>5.8</v>
      </c>
      <c r="D316" s="1" t="n">
        <v>1.1536</v>
      </c>
      <c r="E316" s="1" t="n">
        <v>0.211045</v>
      </c>
      <c r="F316" s="1" t="n">
        <v>0.000606615</v>
      </c>
      <c r="G316" s="1" t="s">
        <v>27</v>
      </c>
      <c r="H316" s="1" t="n">
        <v>130.4</v>
      </c>
      <c r="I316" s="1" t="n">
        <v>138.5</v>
      </c>
      <c r="J316" s="1" t="n">
        <v>-13.4</v>
      </c>
      <c r="K316" s="1"/>
      <c r="L316" s="1" t="n">
        <v>0</v>
      </c>
      <c r="M316" s="1" t="n">
        <v>0</v>
      </c>
      <c r="N316" s="1" t="s">
        <v>266</v>
      </c>
      <c r="O316" s="1"/>
      <c r="P316" s="1"/>
      <c r="Q316" s="1"/>
      <c r="R316" s="1"/>
      <c r="S316" s="1"/>
      <c r="T316" s="1"/>
      <c r="Z316" s="0" t="n">
        <f aca="false">I316-8</f>
        <v>130.5</v>
      </c>
      <c r="AB316" s="0" t="n">
        <f aca="false">IF(Z316&lt;0,Z316+360,Z316+0)</f>
        <v>130.5</v>
      </c>
    </row>
    <row r="317" customFormat="false" ht="15.8" hidden="false" customHeight="false" outlineLevel="0" collapsed="false">
      <c r="A317" s="1" t="n">
        <v>13</v>
      </c>
      <c r="B317" s="1" t="n">
        <v>5</v>
      </c>
      <c r="C317" s="1" t="n">
        <v>4.2</v>
      </c>
      <c r="D317" s="1" t="n">
        <v>1.274</v>
      </c>
      <c r="E317" s="1" t="n">
        <v>0.152726</v>
      </c>
      <c r="F317" s="1" t="n">
        <v>0.000438987</v>
      </c>
      <c r="G317" s="1" t="s">
        <v>27</v>
      </c>
      <c r="H317" s="1" t="n">
        <v>77.7</v>
      </c>
      <c r="I317" s="1" t="n">
        <v>293.3</v>
      </c>
      <c r="J317" s="1" t="n">
        <v>44.8</v>
      </c>
      <c r="K317" s="1"/>
      <c r="L317" s="1" t="n">
        <v>0</v>
      </c>
      <c r="M317" s="1" t="n">
        <v>0</v>
      </c>
      <c r="N317" s="1" t="s">
        <v>268</v>
      </c>
      <c r="O317" s="1"/>
      <c r="P317" s="1"/>
      <c r="Q317" s="1"/>
      <c r="R317" s="1"/>
      <c r="S317" s="1"/>
      <c r="T317" s="1"/>
      <c r="Z317" s="0" t="n">
        <f aca="false">I317-8</f>
        <v>285.3</v>
      </c>
      <c r="AB317" s="0" t="n">
        <f aca="false">IF(Z317&lt;0,Z317+360,Z317+0)</f>
        <v>285.3</v>
      </c>
    </row>
    <row r="318" customFormat="false" ht="15.8" hidden="false" customHeight="false" outlineLevel="0" collapsed="false">
      <c r="A318" s="1" t="n">
        <v>13</v>
      </c>
      <c r="B318" s="1" t="n">
        <v>5</v>
      </c>
      <c r="C318" s="1" t="n">
        <v>1.3</v>
      </c>
      <c r="D318" s="1" t="n">
        <v>1.2226</v>
      </c>
      <c r="E318" s="1" t="n">
        <v>0.0459858</v>
      </c>
      <c r="F318" s="1" t="n">
        <v>0.000132178</v>
      </c>
      <c r="G318" s="1" t="s">
        <v>27</v>
      </c>
      <c r="H318" s="1" t="n">
        <v>22.2</v>
      </c>
      <c r="I318" s="1" t="n">
        <v>179</v>
      </c>
      <c r="J318" s="1" t="n">
        <v>48.5</v>
      </c>
      <c r="K318" s="1"/>
      <c r="L318" s="1" t="n">
        <v>0</v>
      </c>
      <c r="M318" s="1" t="n">
        <v>0</v>
      </c>
      <c r="N318" s="1" t="s">
        <v>268</v>
      </c>
      <c r="O318" s="1"/>
      <c r="P318" s="1"/>
      <c r="Q318" s="1"/>
      <c r="R318" s="1"/>
      <c r="S318" s="1"/>
      <c r="T318" s="1"/>
      <c r="Z318" s="0" t="n">
        <f aca="false">I318-8</f>
        <v>171</v>
      </c>
      <c r="AB318" s="0" t="n">
        <f aca="false">IF(Z318&lt;0,Z318+360,Z318+0)</f>
        <v>171</v>
      </c>
    </row>
    <row r="319" customFormat="false" ht="15.8" hidden="false" customHeight="false" outlineLevel="0" collapsed="false">
      <c r="A319" s="1" t="n">
        <v>13</v>
      </c>
      <c r="B319" s="1" t="n">
        <v>4</v>
      </c>
      <c r="C319" s="1" t="n">
        <v>3</v>
      </c>
      <c r="D319" s="1" t="n">
        <v>1.2344</v>
      </c>
      <c r="E319" s="1" t="n">
        <v>0.107468</v>
      </c>
      <c r="F319" s="1" t="n">
        <v>0.000308899</v>
      </c>
      <c r="G319" s="1" t="s">
        <v>42</v>
      </c>
      <c r="H319" s="1" t="n">
        <v>107.7</v>
      </c>
      <c r="I319" s="1" t="n">
        <v>144.2</v>
      </c>
      <c r="J319" s="1" t="n">
        <v>54</v>
      </c>
      <c r="K319" s="1" t="n">
        <v>77.7</v>
      </c>
      <c r="L319" s="1" t="n">
        <v>0</v>
      </c>
      <c r="M319" s="1" t="n">
        <v>0</v>
      </c>
      <c r="N319" s="1" t="s">
        <v>266</v>
      </c>
      <c r="O319" s="1"/>
      <c r="P319" s="1"/>
      <c r="Q319" s="1"/>
      <c r="R319" s="1"/>
      <c r="S319" s="1"/>
      <c r="T319" s="1"/>
      <c r="Z319" s="0" t="n">
        <f aca="false">I319-8</f>
        <v>136.2</v>
      </c>
      <c r="AB319" s="0" t="n">
        <f aca="false">IF(Z319&lt;0,Z319+360,Z319+0)</f>
        <v>136.2</v>
      </c>
    </row>
    <row r="320" customFormat="false" ht="15.8" hidden="false" customHeight="false" outlineLevel="0" collapsed="false">
      <c r="A320" s="1" t="n">
        <v>13</v>
      </c>
      <c r="B320" s="1" t="n">
        <v>3</v>
      </c>
      <c r="C320" s="1" t="n">
        <v>3.2</v>
      </c>
      <c r="D320" s="1" t="n">
        <v>1.1476</v>
      </c>
      <c r="E320" s="1" t="n">
        <v>0.113102</v>
      </c>
      <c r="F320" s="1" t="n">
        <v>0.000317237</v>
      </c>
      <c r="G320" s="1" t="s">
        <v>42</v>
      </c>
      <c r="H320" s="1" t="n">
        <v>142.6</v>
      </c>
      <c r="I320" s="1" t="n">
        <v>8.8</v>
      </c>
      <c r="J320" s="1" t="n">
        <v>7.9</v>
      </c>
      <c r="K320" s="1" t="n">
        <v>130.4</v>
      </c>
      <c r="L320" s="1" t="n">
        <v>0</v>
      </c>
      <c r="M320" s="1" t="n">
        <v>0</v>
      </c>
      <c r="N320" s="1" t="s">
        <v>269</v>
      </c>
      <c r="O320" s="1"/>
      <c r="P320" s="1"/>
      <c r="Q320" s="1"/>
      <c r="R320" s="1"/>
      <c r="S320" s="1"/>
      <c r="T320" s="1"/>
      <c r="Z320" s="0" t="n">
        <f aca="false">I320-8</f>
        <v>0.800000000000001</v>
      </c>
      <c r="AB320" s="0" t="n">
        <f aca="false">IF(Z320&lt;0,Z320+360,Z320+0)</f>
        <v>0.800000000000001</v>
      </c>
    </row>
    <row r="321" customFormat="false" ht="15.8" hidden="false" customHeight="false" outlineLevel="0" collapsed="false">
      <c r="A321" s="1" t="n">
        <v>13</v>
      </c>
      <c r="B321" s="1" t="n">
        <v>8</v>
      </c>
      <c r="C321" s="1" t="n">
        <v>4</v>
      </c>
      <c r="D321" s="1" t="n">
        <v>1.3911</v>
      </c>
      <c r="E321" s="1" t="n">
        <v>0.144666</v>
      </c>
      <c r="F321" s="1" t="n">
        <v>0.000415819</v>
      </c>
      <c r="G321" s="1" t="s">
        <v>27</v>
      </c>
      <c r="H321" s="1" t="n">
        <v>129.1</v>
      </c>
      <c r="I321" s="1" t="n">
        <v>129.3</v>
      </c>
      <c r="J321" s="1" t="n">
        <v>-24</v>
      </c>
      <c r="K321" s="1"/>
      <c r="L321" s="1" t="n">
        <v>0</v>
      </c>
      <c r="M321" s="1" t="n">
        <v>0</v>
      </c>
      <c r="N321" s="1" t="s">
        <v>270</v>
      </c>
      <c r="O321" s="1"/>
      <c r="P321" s="1"/>
      <c r="Q321" s="1"/>
      <c r="R321" s="1"/>
      <c r="S321" s="1"/>
      <c r="T321" s="1"/>
      <c r="Z321" s="0" t="n">
        <f aca="false">I321-8</f>
        <v>121.3</v>
      </c>
      <c r="AB321" s="0" t="n">
        <f aca="false">IF(Z321&lt;0,Z321+360,Z321+0)</f>
        <v>121.3</v>
      </c>
    </row>
    <row r="322" customFormat="false" ht="15.8" hidden="false" customHeight="false" outlineLevel="0" collapsed="false">
      <c r="A322" s="1" t="n">
        <v>13</v>
      </c>
      <c r="B322" s="1" t="n">
        <v>8</v>
      </c>
      <c r="C322" s="1" t="n">
        <v>7.3</v>
      </c>
      <c r="D322" s="1" t="n">
        <v>1.0804</v>
      </c>
      <c r="E322" s="1" t="n">
        <v>0.264799</v>
      </c>
      <c r="F322" s="1" t="n">
        <v>0.000761121</v>
      </c>
      <c r="G322" s="1" t="s">
        <v>27</v>
      </c>
      <c r="H322" s="1" t="n">
        <v>20.3</v>
      </c>
      <c r="I322" s="1" t="n">
        <v>323.6</v>
      </c>
      <c r="J322" s="1" t="n">
        <v>-3.3</v>
      </c>
      <c r="K322" s="1"/>
      <c r="L322" s="1" t="n">
        <v>0</v>
      </c>
      <c r="M322" s="1" t="n">
        <v>0</v>
      </c>
      <c r="N322" s="1" t="s">
        <v>270</v>
      </c>
      <c r="O322" s="1"/>
      <c r="P322" s="1"/>
      <c r="Q322" s="1"/>
      <c r="R322" s="1"/>
      <c r="S322" s="1"/>
      <c r="T322" s="1"/>
      <c r="Z322" s="0" t="n">
        <f aca="false">I322-8</f>
        <v>315.6</v>
      </c>
      <c r="AB322" s="0" t="n">
        <f aca="false">IF(Z322&lt;0,Z322+360,Z322+0)</f>
        <v>315.6</v>
      </c>
    </row>
    <row r="323" customFormat="false" ht="15.8" hidden="false" customHeight="false" outlineLevel="0" collapsed="false">
      <c r="A323" s="1" t="n">
        <v>13</v>
      </c>
      <c r="B323" s="1" t="n">
        <v>7</v>
      </c>
      <c r="C323" s="1" t="n">
        <v>5.3</v>
      </c>
      <c r="D323" s="1" t="n">
        <v>1.2764</v>
      </c>
      <c r="E323" s="1" t="n">
        <v>0.190158</v>
      </c>
      <c r="F323" s="1" t="n">
        <v>0.000546577</v>
      </c>
      <c r="G323" s="1" t="s">
        <v>42</v>
      </c>
      <c r="H323" s="1" t="n">
        <v>26</v>
      </c>
      <c r="I323" s="1" t="n">
        <v>331.2</v>
      </c>
      <c r="J323" s="1" t="n">
        <v>-22.2</v>
      </c>
      <c r="K323" s="1" t="n">
        <v>129.1</v>
      </c>
      <c r="L323" s="1" t="n">
        <v>0</v>
      </c>
      <c r="M323" s="1" t="n">
        <v>0</v>
      </c>
      <c r="N323" s="1" t="s">
        <v>271</v>
      </c>
      <c r="O323" s="1"/>
      <c r="P323" s="1"/>
      <c r="Q323" s="1"/>
      <c r="R323" s="1"/>
      <c r="S323" s="1"/>
      <c r="T323" s="1"/>
      <c r="Z323" s="0" t="n">
        <f aca="false">I323-8</f>
        <v>323.2</v>
      </c>
      <c r="AB323" s="0" t="n">
        <f aca="false">IF(Z323&lt;0,Z323+360,Z323+0)</f>
        <v>323.2</v>
      </c>
    </row>
    <row r="324" customFormat="false" ht="15.8" hidden="false" customHeight="false" outlineLevel="0" collapsed="false">
      <c r="A324" s="1" t="n">
        <v>13</v>
      </c>
      <c r="B324" s="1" t="n">
        <v>8</v>
      </c>
      <c r="C324" s="1" t="n">
        <v>1.5</v>
      </c>
      <c r="D324" s="1" t="n">
        <v>1.1612</v>
      </c>
      <c r="E324" s="1" t="n">
        <v>0.0553523</v>
      </c>
      <c r="F324" s="1" t="n">
        <v>0.000159101</v>
      </c>
      <c r="G324" s="1" t="s">
        <v>27</v>
      </c>
      <c r="H324" s="1" t="n">
        <v>39.8</v>
      </c>
      <c r="I324" s="1" t="n">
        <v>226.8</v>
      </c>
      <c r="J324" s="1" t="n">
        <v>17.2</v>
      </c>
      <c r="K324" s="1"/>
      <c r="L324" s="1" t="n">
        <v>0</v>
      </c>
      <c r="M324" s="1" t="n">
        <v>0</v>
      </c>
      <c r="N324" s="1" t="s">
        <v>272</v>
      </c>
      <c r="O324" s="1"/>
      <c r="P324" s="1"/>
      <c r="Q324" s="1"/>
      <c r="R324" s="1"/>
      <c r="S324" s="1"/>
      <c r="T324" s="1"/>
      <c r="Z324" s="0" t="n">
        <f aca="false">I324-8</f>
        <v>218.8</v>
      </c>
      <c r="AB324" s="0" t="n">
        <f aca="false">IF(Z324&lt;0,Z324+360,Z324+0)</f>
        <v>218.8</v>
      </c>
    </row>
    <row r="325" customFormat="false" ht="15.8" hidden="false" customHeight="false" outlineLevel="0" collapsed="false">
      <c r="A325" s="1" t="n">
        <v>13</v>
      </c>
      <c r="B325" s="1" t="n">
        <v>8</v>
      </c>
      <c r="C325" s="1" t="n">
        <v>7.6</v>
      </c>
      <c r="D325" s="1" t="n">
        <v>1.3111</v>
      </c>
      <c r="E325" s="1" t="n">
        <v>0.273527</v>
      </c>
      <c r="F325" s="1" t="n">
        <v>0.000786208</v>
      </c>
      <c r="G325" s="1" t="s">
        <v>27</v>
      </c>
      <c r="H325" s="1" t="n">
        <v>38.3</v>
      </c>
      <c r="I325" s="1" t="n">
        <v>300</v>
      </c>
      <c r="J325" s="1" t="n">
        <v>-7.8</v>
      </c>
      <c r="K325" s="1"/>
      <c r="L325" s="1" t="n">
        <v>0</v>
      </c>
      <c r="M325" s="1" t="n">
        <v>0</v>
      </c>
      <c r="N325" s="1" t="s">
        <v>272</v>
      </c>
      <c r="O325" s="1"/>
      <c r="P325" s="1"/>
      <c r="Q325" s="1"/>
      <c r="R325" s="1"/>
      <c r="S325" s="1"/>
      <c r="T325" s="1"/>
      <c r="Z325" s="0" t="n">
        <f aca="false">I325-8</f>
        <v>292</v>
      </c>
      <c r="AB325" s="0" t="n">
        <f aca="false">IF(Z325&lt;0,Z325+360,Z325+0)</f>
        <v>292</v>
      </c>
    </row>
    <row r="326" customFormat="false" ht="15.8" hidden="false" customHeight="false" outlineLevel="0" collapsed="false">
      <c r="A326" s="1" t="n">
        <v>13</v>
      </c>
      <c r="B326" s="1" t="n">
        <v>7</v>
      </c>
      <c r="C326" s="1" t="n">
        <v>4.3</v>
      </c>
      <c r="D326" s="1" t="n">
        <v>1.2965</v>
      </c>
      <c r="E326" s="1" t="n">
        <v>0.156262</v>
      </c>
      <c r="F326" s="1" t="n">
        <v>0.000449151</v>
      </c>
      <c r="G326" s="1" t="s">
        <v>42</v>
      </c>
      <c r="H326" s="1" t="n">
        <v>50.5</v>
      </c>
      <c r="I326" s="1" t="n">
        <v>268</v>
      </c>
      <c r="J326" s="1" t="n">
        <v>13.5</v>
      </c>
      <c r="K326" s="1" t="n">
        <v>39.8</v>
      </c>
      <c r="L326" s="1" t="n">
        <v>0</v>
      </c>
      <c r="M326" s="1" t="n">
        <v>0</v>
      </c>
      <c r="N326" s="1" t="s">
        <v>271</v>
      </c>
      <c r="O326" s="1"/>
      <c r="P326" s="1"/>
      <c r="Q326" s="1"/>
      <c r="R326" s="1"/>
      <c r="S326" s="1"/>
      <c r="T326" s="1"/>
      <c r="Z326" s="0" t="n">
        <f aca="false">I326-8</f>
        <v>260</v>
      </c>
      <c r="AB326" s="0" t="n">
        <f aca="false">IF(Z326&lt;0,Z326+360,Z326+0)</f>
        <v>260</v>
      </c>
    </row>
    <row r="327" customFormat="false" ht="15.8" hidden="false" customHeight="false" outlineLevel="0" collapsed="false">
      <c r="A327" s="1" t="n">
        <v>13</v>
      </c>
      <c r="B327" s="1" t="n">
        <v>6</v>
      </c>
      <c r="C327" s="1" t="n">
        <v>3.7</v>
      </c>
      <c r="D327" s="1" t="n">
        <v>1.2744</v>
      </c>
      <c r="E327" s="1" t="n">
        <v>0.134342</v>
      </c>
      <c r="F327" s="1" t="n">
        <v>0.000386143</v>
      </c>
      <c r="G327" s="1" t="s">
        <v>42</v>
      </c>
      <c r="H327" s="1" t="n">
        <v>38.6</v>
      </c>
      <c r="I327" s="1" t="n">
        <v>302.9</v>
      </c>
      <c r="J327" s="1" t="n">
        <v>-23.6</v>
      </c>
      <c r="K327" s="1" t="n">
        <v>50.5</v>
      </c>
      <c r="L327" s="1" t="n">
        <v>0</v>
      </c>
      <c r="M327" s="1" t="n">
        <v>0</v>
      </c>
      <c r="N327" s="1" t="s">
        <v>273</v>
      </c>
      <c r="O327" s="1"/>
      <c r="P327" s="1"/>
      <c r="Q327" s="1"/>
      <c r="R327" s="1"/>
      <c r="S327" s="1"/>
      <c r="T327" s="1"/>
      <c r="Z327" s="0" t="n">
        <f aca="false">I327-8</f>
        <v>294.9</v>
      </c>
      <c r="AB327" s="0" t="n">
        <f aca="false">IF(Z327&lt;0,Z327+360,Z327+0)</f>
        <v>294.9</v>
      </c>
    </row>
    <row r="328" customFormat="false" ht="15.8" hidden="false" customHeight="false" outlineLevel="0" collapsed="false">
      <c r="A328" s="1" t="n">
        <v>13</v>
      </c>
      <c r="B328" s="1" t="n">
        <v>6</v>
      </c>
      <c r="C328" s="1" t="n">
        <v>3.2</v>
      </c>
      <c r="D328" s="1" t="n">
        <v>1.2402</v>
      </c>
      <c r="E328" s="1" t="n">
        <v>0.114684</v>
      </c>
      <c r="F328" s="1" t="n">
        <v>0.00032964</v>
      </c>
      <c r="G328" s="1" t="s">
        <v>27</v>
      </c>
      <c r="H328" s="1" t="n">
        <v>32.8</v>
      </c>
      <c r="I328" s="1" t="n">
        <v>355.5</v>
      </c>
      <c r="J328" s="1" t="n">
        <v>-37.5</v>
      </c>
      <c r="K328" s="1"/>
      <c r="L328" s="1" t="n">
        <v>0</v>
      </c>
      <c r="M328" s="1" t="n">
        <v>0</v>
      </c>
      <c r="N328" s="1" t="s">
        <v>273</v>
      </c>
      <c r="O328" s="1"/>
      <c r="P328" s="1"/>
      <c r="Q328" s="1"/>
      <c r="R328" s="1"/>
      <c r="S328" s="1"/>
      <c r="T328" s="1"/>
      <c r="Z328" s="0" t="n">
        <f aca="false">I328-8</f>
        <v>347.5</v>
      </c>
      <c r="AB328" s="0" t="n">
        <f aca="false">IF(Z328&lt;0,Z328+360,Z328+0)</f>
        <v>347.5</v>
      </c>
    </row>
    <row r="329" customFormat="false" ht="15.8" hidden="false" customHeight="false" outlineLevel="0" collapsed="false">
      <c r="A329" s="1" t="n">
        <v>13</v>
      </c>
      <c r="B329" s="1" t="n">
        <v>5</v>
      </c>
      <c r="C329" s="1" t="n">
        <v>1.5</v>
      </c>
      <c r="D329" s="1" t="n">
        <v>1.128</v>
      </c>
      <c r="E329" s="1" t="n">
        <v>0.0546221</v>
      </c>
      <c r="F329" s="1" t="n">
        <v>0.000157002</v>
      </c>
      <c r="G329" s="1" t="s">
        <v>42</v>
      </c>
      <c r="H329" s="1" t="n">
        <v>50.9</v>
      </c>
      <c r="I329" s="1" t="n">
        <v>318.3</v>
      </c>
      <c r="J329" s="1" t="n">
        <v>-60.8</v>
      </c>
      <c r="K329" s="1" t="n">
        <v>38.6</v>
      </c>
      <c r="L329" s="1" t="n">
        <v>0</v>
      </c>
      <c r="M329" s="1" t="n">
        <v>0</v>
      </c>
      <c r="N329" s="1" t="s">
        <v>274</v>
      </c>
      <c r="O329" s="1"/>
      <c r="P329" s="1"/>
      <c r="Q329" s="1"/>
      <c r="R329" s="1"/>
      <c r="S329" s="1"/>
      <c r="T329" s="1"/>
      <c r="Z329" s="0" t="n">
        <f aca="false">I329-8</f>
        <v>310.3</v>
      </c>
      <c r="AB329" s="0" t="n">
        <f aca="false">IF(Z329&lt;0,Z329+360,Z329+0)</f>
        <v>310.3</v>
      </c>
    </row>
    <row r="330" customFormat="false" ht="15.8" hidden="false" customHeight="false" outlineLevel="0" collapsed="false">
      <c r="A330" s="1" t="n">
        <v>13</v>
      </c>
      <c r="B330" s="1" t="n">
        <v>6</v>
      </c>
      <c r="C330" s="1" t="n">
        <v>1.8</v>
      </c>
      <c r="D330" s="1" t="n">
        <v>1.3774</v>
      </c>
      <c r="E330" s="1" t="n">
        <v>0.0666082</v>
      </c>
      <c r="F330" s="1" t="n">
        <v>0.000191454</v>
      </c>
      <c r="G330" s="1" t="s">
        <v>27</v>
      </c>
      <c r="H330" s="1" t="n">
        <v>59.2</v>
      </c>
      <c r="I330" s="1" t="n">
        <v>155</v>
      </c>
      <c r="J330" s="1" t="n">
        <v>-16.9</v>
      </c>
      <c r="K330" s="1"/>
      <c r="L330" s="1" t="n">
        <v>0</v>
      </c>
      <c r="M330" s="1" t="n">
        <v>0</v>
      </c>
      <c r="N330" s="1" t="s">
        <v>275</v>
      </c>
      <c r="O330" s="1"/>
      <c r="P330" s="1"/>
      <c r="Q330" s="1"/>
      <c r="R330" s="1"/>
      <c r="S330" s="1"/>
      <c r="T330" s="1"/>
      <c r="Z330" s="0" t="n">
        <f aca="false">I330-8</f>
        <v>147</v>
      </c>
      <c r="AB330" s="0" t="n">
        <f aca="false">IF(Z330&lt;0,Z330+360,Z330+0)</f>
        <v>147</v>
      </c>
    </row>
    <row r="331" customFormat="false" ht="15.8" hidden="false" customHeight="false" outlineLevel="0" collapsed="false">
      <c r="A331" s="1" t="n">
        <v>13</v>
      </c>
      <c r="B331" s="1" t="n">
        <v>6</v>
      </c>
      <c r="C331" s="1" t="n">
        <v>1.3</v>
      </c>
      <c r="D331" s="1" t="n">
        <v>1.114</v>
      </c>
      <c r="E331" s="1" t="n">
        <v>0.0461183</v>
      </c>
      <c r="F331" s="1" t="n">
        <v>0.000132559</v>
      </c>
      <c r="G331" s="1" t="s">
        <v>27</v>
      </c>
      <c r="H331" s="1" t="n">
        <v>92.8</v>
      </c>
      <c r="I331" s="1" t="n">
        <v>303.7</v>
      </c>
      <c r="J331" s="1" t="n">
        <v>19.9</v>
      </c>
      <c r="K331" s="1"/>
      <c r="L331" s="1" t="n">
        <v>0</v>
      </c>
      <c r="M331" s="1" t="n">
        <v>0</v>
      </c>
      <c r="N331" s="1" t="s">
        <v>275</v>
      </c>
      <c r="O331" s="1"/>
      <c r="P331" s="1"/>
      <c r="Q331" s="1"/>
      <c r="R331" s="1"/>
      <c r="S331" s="1"/>
      <c r="T331" s="1"/>
      <c r="Z331" s="0" t="n">
        <f aca="false">I331-8</f>
        <v>295.7</v>
      </c>
      <c r="AB331" s="0" t="n">
        <f aca="false">IF(Z331&lt;0,Z331+360,Z331+0)</f>
        <v>295.7</v>
      </c>
    </row>
    <row r="332" customFormat="false" ht="15.8" hidden="false" customHeight="false" outlineLevel="0" collapsed="false">
      <c r="A332" s="1" t="n">
        <v>13</v>
      </c>
      <c r="B332" s="1" t="n">
        <v>7</v>
      </c>
      <c r="C332" s="1" t="n">
        <v>0.7</v>
      </c>
      <c r="D332" s="1" t="n">
        <v>1.0031</v>
      </c>
      <c r="E332" s="1" t="n">
        <v>0.0267191</v>
      </c>
      <c r="F332" s="1" t="n">
        <v>7.67996E-005</v>
      </c>
      <c r="G332" s="1" t="s">
        <v>27</v>
      </c>
      <c r="H332" s="1" t="n">
        <v>90.3</v>
      </c>
      <c r="I332" s="1" t="n">
        <v>301</v>
      </c>
      <c r="J332" s="1" t="n">
        <v>0</v>
      </c>
      <c r="K332" s="1"/>
      <c r="L332" s="1" t="n">
        <v>0</v>
      </c>
      <c r="M332" s="1" t="n">
        <v>0</v>
      </c>
      <c r="N332" s="1" t="s">
        <v>276</v>
      </c>
      <c r="O332" s="1"/>
      <c r="P332" s="1"/>
      <c r="Q332" s="1"/>
      <c r="R332" s="1"/>
      <c r="S332" s="1"/>
      <c r="T332" s="1"/>
      <c r="Z332" s="0" t="n">
        <f aca="false">I332-8</f>
        <v>293</v>
      </c>
      <c r="AB332" s="0" t="n">
        <f aca="false">IF(Z332&lt;0,Z332+360,Z332+0)</f>
        <v>293</v>
      </c>
    </row>
    <row r="333" customFormat="false" ht="15.8" hidden="false" customHeight="false" outlineLevel="0" collapsed="false">
      <c r="A333" s="1" t="n">
        <v>13</v>
      </c>
      <c r="B333" s="1" t="n">
        <v>7</v>
      </c>
      <c r="C333" s="1" t="n">
        <v>1.7</v>
      </c>
      <c r="D333" s="1" t="n">
        <v>1.2164</v>
      </c>
      <c r="E333" s="1" t="n">
        <v>0.0607689</v>
      </c>
      <c r="F333" s="1" t="n">
        <v>0.00017467</v>
      </c>
      <c r="G333" s="1" t="s">
        <v>27</v>
      </c>
      <c r="H333" s="1" t="n">
        <v>52.2</v>
      </c>
      <c r="I333" s="1" t="n">
        <v>171</v>
      </c>
      <c r="J333" s="1" t="n">
        <v>-16.4</v>
      </c>
      <c r="K333" s="1"/>
      <c r="L333" s="1" t="n">
        <v>0</v>
      </c>
      <c r="M333" s="1" t="n">
        <v>0</v>
      </c>
      <c r="N333" s="1" t="s">
        <v>276</v>
      </c>
      <c r="O333" s="1"/>
      <c r="P333" s="1"/>
      <c r="Q333" s="1"/>
      <c r="R333" s="1"/>
      <c r="S333" s="1"/>
      <c r="T333" s="1"/>
      <c r="Z333" s="0" t="n">
        <f aca="false">I333-8</f>
        <v>163</v>
      </c>
      <c r="AB333" s="0" t="n">
        <f aca="false">IF(Z333&lt;0,Z333+360,Z333+0)</f>
        <v>163</v>
      </c>
    </row>
    <row r="334" customFormat="false" ht="15.8" hidden="false" customHeight="false" outlineLevel="0" collapsed="false">
      <c r="A334" s="1" t="n">
        <v>13</v>
      </c>
      <c r="B334" s="1" t="n">
        <v>6</v>
      </c>
      <c r="C334" s="1" t="n">
        <v>2.9</v>
      </c>
      <c r="D334" s="1" t="n">
        <v>1.1585</v>
      </c>
      <c r="E334" s="1" t="n">
        <v>0.104256</v>
      </c>
      <c r="F334" s="1" t="n">
        <v>0.000299668</v>
      </c>
      <c r="G334" s="1" t="s">
        <v>42</v>
      </c>
      <c r="H334" s="1" t="n">
        <v>6.3</v>
      </c>
      <c r="I334" s="1" t="n">
        <v>210.7</v>
      </c>
      <c r="J334" s="1" t="n">
        <v>18.2</v>
      </c>
      <c r="K334" s="1" t="n">
        <v>90.3</v>
      </c>
      <c r="L334" s="1" t="n">
        <v>0</v>
      </c>
      <c r="M334" s="1" t="n">
        <v>0</v>
      </c>
      <c r="N334" s="1" t="s">
        <v>275</v>
      </c>
      <c r="O334" s="1"/>
      <c r="P334" s="1"/>
      <c r="Q334" s="1"/>
      <c r="R334" s="1"/>
      <c r="S334" s="1"/>
      <c r="T334" s="1"/>
      <c r="Z334" s="0" t="n">
        <f aca="false">I334-8</f>
        <v>202.7</v>
      </c>
      <c r="AB334" s="0" t="n">
        <f aca="false">IF(Z334&lt;0,Z334+360,Z334+0)</f>
        <v>202.7</v>
      </c>
    </row>
    <row r="335" customFormat="false" ht="15.8" hidden="false" customHeight="false" outlineLevel="0" collapsed="false">
      <c r="A335" s="1" t="n">
        <v>13</v>
      </c>
      <c r="B335" s="1" t="n">
        <v>5</v>
      </c>
      <c r="C335" s="1" t="n">
        <v>3.1</v>
      </c>
      <c r="D335" s="1" t="n">
        <v>1.1759</v>
      </c>
      <c r="E335" s="1" t="n">
        <v>0.111489</v>
      </c>
      <c r="F335" s="1" t="n">
        <v>0.000320458</v>
      </c>
      <c r="G335" s="1" t="s">
        <v>42</v>
      </c>
      <c r="H335" s="1" t="n">
        <v>82.5</v>
      </c>
      <c r="I335" s="1" t="n">
        <v>204.1</v>
      </c>
      <c r="J335" s="1" t="n">
        <v>17.3</v>
      </c>
      <c r="K335" s="1" t="n">
        <v>92.8</v>
      </c>
      <c r="L335" s="1" t="n">
        <v>0</v>
      </c>
      <c r="M335" s="1" t="n">
        <v>0</v>
      </c>
      <c r="N335" s="1" t="s">
        <v>274</v>
      </c>
      <c r="O335" s="1"/>
      <c r="P335" s="1"/>
      <c r="Q335" s="1"/>
      <c r="R335" s="1"/>
      <c r="S335" s="1"/>
      <c r="T335" s="1"/>
      <c r="Z335" s="0" t="n">
        <f aca="false">I335-8</f>
        <v>196.1</v>
      </c>
      <c r="AB335" s="0" t="n">
        <f aca="false">IF(Z335&lt;0,Z335+360,Z335+0)</f>
        <v>196.1</v>
      </c>
    </row>
    <row r="336" customFormat="false" ht="15.8" hidden="false" customHeight="false" outlineLevel="0" collapsed="false">
      <c r="A336" s="1" t="n">
        <v>13</v>
      </c>
      <c r="B336" s="1" t="n">
        <v>4</v>
      </c>
      <c r="C336" s="1" t="n">
        <v>3.6</v>
      </c>
      <c r="D336" s="1" t="n">
        <v>1.399</v>
      </c>
      <c r="E336" s="1" t="n">
        <v>0.129456</v>
      </c>
      <c r="F336" s="1" t="n">
        <v>0.0003721</v>
      </c>
      <c r="G336" s="1" t="s">
        <v>42</v>
      </c>
      <c r="H336" s="1" t="n">
        <v>108.1</v>
      </c>
      <c r="I336" s="1" t="n">
        <v>280</v>
      </c>
      <c r="J336" s="1" t="n">
        <v>-17.7</v>
      </c>
      <c r="K336" s="1" t="n">
        <v>82.5</v>
      </c>
      <c r="L336" s="1" t="n">
        <v>0</v>
      </c>
      <c r="M336" s="1" t="n">
        <v>0</v>
      </c>
      <c r="N336" s="1" t="s">
        <v>277</v>
      </c>
      <c r="O336" s="1"/>
      <c r="P336" s="1"/>
      <c r="Q336" s="1"/>
      <c r="R336" s="1"/>
      <c r="S336" s="1"/>
      <c r="T336" s="1"/>
      <c r="Z336" s="0" t="n">
        <f aca="false">I336-8</f>
        <v>272</v>
      </c>
      <c r="AB336" s="0" t="n">
        <f aca="false">IF(Z336&lt;0,Z336+360,Z336+0)</f>
        <v>272</v>
      </c>
    </row>
    <row r="337" customFormat="false" ht="15.8" hidden="false" customHeight="false" outlineLevel="0" collapsed="false">
      <c r="A337" s="1" t="n">
        <v>13</v>
      </c>
      <c r="B337" s="1" t="n">
        <v>5</v>
      </c>
      <c r="C337" s="1" t="n">
        <v>2.7</v>
      </c>
      <c r="D337" s="1" t="n">
        <v>1.2397</v>
      </c>
      <c r="E337" s="1" t="n">
        <v>0.0961308</v>
      </c>
      <c r="F337" s="1" t="n">
        <v>0.000276312</v>
      </c>
      <c r="G337" s="1" t="s">
        <v>27</v>
      </c>
      <c r="H337" s="1" t="n">
        <v>24.7</v>
      </c>
      <c r="I337" s="1" t="n">
        <v>153</v>
      </c>
      <c r="J337" s="1" t="n">
        <v>-21.3</v>
      </c>
      <c r="K337" s="1"/>
      <c r="L337" s="1" t="n">
        <v>0</v>
      </c>
      <c r="M337" s="1" t="n">
        <v>0</v>
      </c>
      <c r="N337" s="1" t="s">
        <v>278</v>
      </c>
      <c r="O337" s="1"/>
      <c r="P337" s="1"/>
      <c r="Q337" s="1"/>
      <c r="R337" s="1"/>
      <c r="S337" s="1"/>
      <c r="T337" s="1"/>
      <c r="Z337" s="0" t="n">
        <f aca="false">I337-8</f>
        <v>145</v>
      </c>
      <c r="AB337" s="0" t="n">
        <f aca="false">IF(Z337&lt;0,Z337+360,Z337+0)</f>
        <v>145</v>
      </c>
    </row>
    <row r="338" customFormat="false" ht="15.8" hidden="false" customHeight="false" outlineLevel="0" collapsed="false">
      <c r="A338" s="1" t="n">
        <v>13</v>
      </c>
      <c r="B338" s="1" t="n">
        <v>7</v>
      </c>
      <c r="C338" s="1" t="n">
        <v>1</v>
      </c>
      <c r="D338" s="1" t="n">
        <v>1.0328</v>
      </c>
      <c r="E338" s="1" t="n">
        <v>0.0351844</v>
      </c>
      <c r="F338" s="1" t="n">
        <v>0.000101132</v>
      </c>
      <c r="G338" s="1" t="s">
        <v>279</v>
      </c>
      <c r="H338" s="1" t="n">
        <v>57.9</v>
      </c>
      <c r="I338" s="1" t="n">
        <v>134</v>
      </c>
      <c r="J338" s="1" t="n">
        <v>0</v>
      </c>
      <c r="K338" s="1"/>
      <c r="L338" s="1" t="n">
        <v>0</v>
      </c>
      <c r="M338" s="1" t="n">
        <v>0</v>
      </c>
      <c r="N338" s="1" t="s">
        <v>280</v>
      </c>
      <c r="O338" s="1"/>
      <c r="P338" s="1"/>
      <c r="Q338" s="1"/>
      <c r="R338" s="1"/>
      <c r="S338" s="1"/>
      <c r="T338" s="1"/>
      <c r="Z338" s="0" t="n">
        <f aca="false">I338-8</f>
        <v>126</v>
      </c>
      <c r="AB338" s="0" t="n">
        <f aca="false">IF(Z338&lt;0,Z338+360,Z338+0)</f>
        <v>126</v>
      </c>
    </row>
    <row r="339" customFormat="false" ht="15.8" hidden="false" customHeight="false" outlineLevel="0" collapsed="false">
      <c r="A339" s="1" t="n">
        <v>13</v>
      </c>
      <c r="B339" s="1" t="n">
        <v>7</v>
      </c>
      <c r="C339" s="1" t="n">
        <v>0.9</v>
      </c>
      <c r="D339" s="1" t="n">
        <v>1.0032</v>
      </c>
      <c r="E339" s="1" t="n">
        <v>0.031581</v>
      </c>
      <c r="F339" s="1" t="n">
        <v>9.07743E-005</v>
      </c>
      <c r="G339" s="1" t="s">
        <v>27</v>
      </c>
      <c r="H339" s="1" t="n">
        <v>85.2</v>
      </c>
      <c r="I339" s="1" t="n">
        <v>351.7</v>
      </c>
      <c r="J339" s="1" t="n">
        <v>0</v>
      </c>
      <c r="K339" s="1"/>
      <c r="L339" s="1" t="n">
        <v>0</v>
      </c>
      <c r="M339" s="1" t="n">
        <v>0</v>
      </c>
      <c r="N339" s="1" t="s">
        <v>280</v>
      </c>
      <c r="O339" s="1"/>
      <c r="P339" s="1"/>
      <c r="Q339" s="1"/>
      <c r="R339" s="1"/>
      <c r="S339" s="1"/>
      <c r="T339" s="1"/>
      <c r="Z339" s="0" t="n">
        <f aca="false">I339-8</f>
        <v>343.7</v>
      </c>
      <c r="AB339" s="0" t="n">
        <f aca="false">IF(Z339&lt;0,Z339+360,Z339+0)</f>
        <v>343.7</v>
      </c>
    </row>
    <row r="340" customFormat="false" ht="15.8" hidden="false" customHeight="false" outlineLevel="0" collapsed="false">
      <c r="A340" s="1" t="n">
        <v>13</v>
      </c>
      <c r="B340" s="1" t="n">
        <v>6</v>
      </c>
      <c r="C340" s="1" t="n">
        <v>2.5</v>
      </c>
      <c r="D340" s="1" t="n">
        <v>1.2464</v>
      </c>
      <c r="E340" s="1" t="n">
        <v>0.0899901</v>
      </c>
      <c r="F340" s="1" t="n">
        <v>0.000258662</v>
      </c>
      <c r="G340" s="1" t="s">
        <v>42</v>
      </c>
      <c r="H340" s="1" t="n">
        <v>83.9</v>
      </c>
      <c r="I340" s="1" t="n">
        <v>76.8</v>
      </c>
      <c r="J340" s="1" t="n">
        <v>11.3</v>
      </c>
      <c r="K340" s="1" t="n">
        <v>85.2</v>
      </c>
      <c r="L340" s="1" t="n">
        <v>0</v>
      </c>
      <c r="M340" s="1" t="n">
        <v>0</v>
      </c>
      <c r="N340" s="1" t="s">
        <v>281</v>
      </c>
      <c r="O340" s="1"/>
      <c r="P340" s="1"/>
      <c r="Q340" s="1"/>
      <c r="R340" s="1"/>
      <c r="S340" s="1"/>
      <c r="T340" s="1"/>
      <c r="Z340" s="0" t="n">
        <f aca="false">I340-8</f>
        <v>68.8</v>
      </c>
      <c r="AB340" s="0" t="n">
        <f aca="false">IF(Z340&lt;0,Z340+360,Z340+0)</f>
        <v>68.8</v>
      </c>
    </row>
    <row r="341" customFormat="false" ht="15.8" hidden="false" customHeight="false" outlineLevel="0" collapsed="false">
      <c r="A341" s="1" t="n">
        <v>13</v>
      </c>
      <c r="B341" s="1" t="n">
        <v>6</v>
      </c>
      <c r="C341" s="1" t="n">
        <v>2.1</v>
      </c>
      <c r="D341" s="1" t="n">
        <v>1.9119</v>
      </c>
      <c r="E341" s="1" t="n">
        <v>0.0764964</v>
      </c>
      <c r="F341" s="1" t="n">
        <v>0.000219876</v>
      </c>
      <c r="G341" s="1" t="s">
        <v>27</v>
      </c>
      <c r="H341" s="1" t="n">
        <v>59.1</v>
      </c>
      <c r="I341" s="1" t="n">
        <v>142.1</v>
      </c>
      <c r="J341" s="1" t="n">
        <v>-44.8</v>
      </c>
      <c r="K341" s="1"/>
      <c r="L341" s="1" t="n">
        <v>0</v>
      </c>
      <c r="M341" s="1" t="n">
        <v>0</v>
      </c>
      <c r="N341" s="1" t="s">
        <v>281</v>
      </c>
      <c r="O341" s="1"/>
      <c r="P341" s="1"/>
      <c r="Q341" s="1"/>
      <c r="R341" s="1"/>
      <c r="S341" s="1"/>
      <c r="T341" s="1"/>
      <c r="Z341" s="0" t="n">
        <f aca="false">I341-8</f>
        <v>134.1</v>
      </c>
      <c r="AB341" s="0" t="n">
        <f aca="false">IF(Z341&lt;0,Z341+360,Z341+0)</f>
        <v>134.1</v>
      </c>
    </row>
    <row r="342" customFormat="false" ht="15.8" hidden="false" customHeight="false" outlineLevel="0" collapsed="false">
      <c r="A342" s="1" t="n">
        <v>13</v>
      </c>
      <c r="B342" s="1" t="n">
        <v>5</v>
      </c>
      <c r="C342" s="1" t="n">
        <v>4.8</v>
      </c>
      <c r="D342" s="1" t="n">
        <v>1.2056</v>
      </c>
      <c r="E342" s="1" t="n">
        <v>0.172839</v>
      </c>
      <c r="F342" s="1" t="n">
        <v>0.000496797</v>
      </c>
      <c r="G342" s="1" t="s">
        <v>42</v>
      </c>
      <c r="H342" s="1" t="n">
        <v>25.1</v>
      </c>
      <c r="I342" s="1" t="n">
        <v>162.8</v>
      </c>
      <c r="J342" s="1" t="n">
        <v>11.3</v>
      </c>
      <c r="K342" s="1" t="n">
        <v>83.9</v>
      </c>
      <c r="L342" s="1" t="n">
        <v>0</v>
      </c>
      <c r="M342" s="1" t="n">
        <v>0</v>
      </c>
      <c r="N342" s="1" t="s">
        <v>278</v>
      </c>
      <c r="O342" s="1"/>
      <c r="P342" s="1"/>
      <c r="Q342" s="1"/>
      <c r="R342" s="1"/>
      <c r="S342" s="1"/>
      <c r="T342" s="1"/>
      <c r="Z342" s="0" t="n">
        <f aca="false">I342-8</f>
        <v>154.8</v>
      </c>
      <c r="AB342" s="0" t="n">
        <f aca="false">IF(Z342&lt;0,Z342+360,Z342+0)</f>
        <v>154.8</v>
      </c>
    </row>
    <row r="343" customFormat="false" ht="15.8" hidden="false" customHeight="false" outlineLevel="0" collapsed="false">
      <c r="A343" s="1" t="n">
        <v>13</v>
      </c>
      <c r="B343" s="1" t="n">
        <v>7</v>
      </c>
      <c r="C343" s="1" t="n">
        <v>2.5</v>
      </c>
      <c r="D343" s="1" t="n">
        <v>1.4533</v>
      </c>
      <c r="E343" s="1" t="n">
        <v>0.0886908</v>
      </c>
      <c r="F343" s="1" t="n">
        <v>0.000254927</v>
      </c>
      <c r="G343" s="1" t="s">
        <v>27</v>
      </c>
      <c r="H343" s="1" t="n">
        <v>53.9</v>
      </c>
      <c r="I343" s="1" t="n">
        <v>29.9</v>
      </c>
      <c r="J343" s="1" t="n">
        <v>27.5</v>
      </c>
      <c r="K343" s="1"/>
      <c r="L343" s="1" t="n">
        <v>0</v>
      </c>
      <c r="M343" s="1" t="n">
        <v>0</v>
      </c>
      <c r="N343" s="1" t="s">
        <v>282</v>
      </c>
      <c r="O343" s="1"/>
      <c r="P343" s="1"/>
      <c r="Q343" s="1"/>
      <c r="R343" s="1"/>
      <c r="S343" s="1"/>
      <c r="T343" s="1"/>
      <c r="Z343" s="0" t="n">
        <f aca="false">I343-8</f>
        <v>21.9</v>
      </c>
      <c r="AB343" s="0" t="n">
        <f aca="false">IF(Z343&lt;0,Z343+360,Z343+0)</f>
        <v>21.9</v>
      </c>
    </row>
    <row r="344" customFormat="false" ht="15.8" hidden="false" customHeight="false" outlineLevel="0" collapsed="false">
      <c r="A344" s="1" t="n">
        <v>13</v>
      </c>
      <c r="B344" s="1" t="n">
        <v>7</v>
      </c>
      <c r="C344" s="1" t="n">
        <v>1.3</v>
      </c>
      <c r="D344" s="1" t="n">
        <v>1.1141</v>
      </c>
      <c r="E344" s="1" t="n">
        <v>0.0481566</v>
      </c>
      <c r="F344" s="1" t="n">
        <v>0.000138418</v>
      </c>
      <c r="G344" s="1" t="s">
        <v>27</v>
      </c>
      <c r="H344" s="1" t="n">
        <v>20</v>
      </c>
      <c r="I344" s="1" t="n">
        <v>98.3</v>
      </c>
      <c r="J344" s="1" t="n">
        <v>0</v>
      </c>
      <c r="K344" s="1"/>
      <c r="L344" s="1" t="n">
        <v>0</v>
      </c>
      <c r="M344" s="1" t="n">
        <v>0</v>
      </c>
      <c r="N344" s="1" t="s">
        <v>282</v>
      </c>
      <c r="O344" s="1"/>
      <c r="P344" s="1"/>
      <c r="Q344" s="1"/>
      <c r="R344" s="1"/>
      <c r="S344" s="1"/>
      <c r="T344" s="1"/>
      <c r="Z344" s="0" t="n">
        <f aca="false">I344-8</f>
        <v>90.3</v>
      </c>
      <c r="AB344" s="0" t="n">
        <f aca="false">IF(Z344&lt;0,Z344+360,Z344+0)</f>
        <v>90.3</v>
      </c>
    </row>
    <row r="345" customFormat="false" ht="15.8" hidden="false" customHeight="false" outlineLevel="0" collapsed="false">
      <c r="A345" s="1" t="n">
        <v>13</v>
      </c>
      <c r="B345" s="1" t="n">
        <v>6</v>
      </c>
      <c r="C345" s="1" t="n">
        <v>0.7</v>
      </c>
      <c r="D345" s="1" t="n">
        <v>1.082</v>
      </c>
      <c r="E345" s="1" t="n">
        <v>0.0266128</v>
      </c>
      <c r="F345" s="1" t="n">
        <v>7.64941E-005</v>
      </c>
      <c r="G345" s="1" t="s">
        <v>42</v>
      </c>
      <c r="H345" s="1" t="n">
        <v>43.4</v>
      </c>
      <c r="I345" s="1" t="n">
        <v>78.3</v>
      </c>
      <c r="J345" s="1" t="n">
        <v>0</v>
      </c>
      <c r="K345" s="1" t="n">
        <v>53.9</v>
      </c>
      <c r="L345" s="1" t="n">
        <v>0</v>
      </c>
      <c r="M345" s="1" t="n">
        <v>0</v>
      </c>
      <c r="N345" s="1" t="s">
        <v>283</v>
      </c>
      <c r="O345" s="1"/>
      <c r="P345" s="1"/>
      <c r="Q345" s="1"/>
      <c r="R345" s="1"/>
      <c r="S345" s="1"/>
      <c r="T345" s="1"/>
      <c r="Z345" s="0" t="n">
        <f aca="false">I345-8</f>
        <v>70.3</v>
      </c>
      <c r="AB345" s="0" t="n">
        <f aca="false">IF(Z345&lt;0,Z345+360,Z345+0)</f>
        <v>70.3</v>
      </c>
    </row>
    <row r="346" customFormat="false" ht="15.8" hidden="false" customHeight="false" outlineLevel="0" collapsed="false">
      <c r="A346" s="1" t="n">
        <v>13</v>
      </c>
      <c r="B346" s="1" t="n">
        <v>6</v>
      </c>
      <c r="C346" s="1" t="n">
        <v>1.7</v>
      </c>
      <c r="D346" s="1" t="n">
        <v>1.0725</v>
      </c>
      <c r="E346" s="1" t="n">
        <v>0.0596012</v>
      </c>
      <c r="F346" s="1" t="n">
        <v>0.000171314</v>
      </c>
      <c r="G346" s="1" t="s">
        <v>27</v>
      </c>
      <c r="H346" s="1" t="n">
        <v>56.9</v>
      </c>
      <c r="I346" s="1" t="n">
        <v>155.7</v>
      </c>
      <c r="J346" s="1" t="n">
        <v>0</v>
      </c>
      <c r="K346" s="1"/>
      <c r="L346" s="1" t="n">
        <v>0</v>
      </c>
      <c r="M346" s="1" t="n">
        <v>0</v>
      </c>
      <c r="N346" s="1" t="s">
        <v>283</v>
      </c>
      <c r="O346" s="1"/>
      <c r="P346" s="1"/>
      <c r="Q346" s="1"/>
      <c r="R346" s="1"/>
      <c r="S346" s="1"/>
      <c r="T346" s="1"/>
      <c r="Z346" s="0" t="n">
        <f aca="false">I346-8</f>
        <v>147.7</v>
      </c>
      <c r="AB346" s="0" t="n">
        <f aca="false">IF(Z346&lt;0,Z346+360,Z346+0)</f>
        <v>147.7</v>
      </c>
    </row>
    <row r="347" customFormat="false" ht="15.8" hidden="false" customHeight="false" outlineLevel="0" collapsed="false">
      <c r="A347" s="1" t="n">
        <v>13</v>
      </c>
      <c r="B347" s="1" t="n">
        <v>5</v>
      </c>
      <c r="C347" s="1" t="n">
        <v>2.8</v>
      </c>
      <c r="D347" s="1" t="n">
        <v>1.3386</v>
      </c>
      <c r="E347" s="1" t="n">
        <v>0.101029</v>
      </c>
      <c r="F347" s="1" t="n">
        <v>0.000290391</v>
      </c>
      <c r="G347" s="1" t="s">
        <v>42</v>
      </c>
      <c r="H347" s="1" t="n">
        <v>46.1</v>
      </c>
      <c r="I347" s="1" t="n">
        <v>107</v>
      </c>
      <c r="J347" s="1" t="n">
        <v>34.1</v>
      </c>
      <c r="K347" s="1" t="n">
        <v>56.9</v>
      </c>
      <c r="L347" s="1" t="n">
        <v>0</v>
      </c>
      <c r="M347" s="1" t="n">
        <v>0</v>
      </c>
      <c r="N347" s="1" t="s">
        <v>278</v>
      </c>
      <c r="O347" s="1"/>
      <c r="P347" s="1"/>
      <c r="Q347" s="1"/>
      <c r="R347" s="1"/>
      <c r="S347" s="1"/>
      <c r="T347" s="1"/>
      <c r="Z347" s="0" t="n">
        <f aca="false">I347-8</f>
        <v>99</v>
      </c>
      <c r="AB347" s="0" t="n">
        <f aca="false">IF(Z347&lt;0,Z347+360,Z347+0)</f>
        <v>99</v>
      </c>
    </row>
    <row r="348" customFormat="false" ht="15.8" hidden="false" customHeight="false" outlineLevel="0" collapsed="false">
      <c r="A348" s="1" t="n">
        <v>13</v>
      </c>
      <c r="B348" s="1" t="n">
        <v>4</v>
      </c>
      <c r="C348" s="1" t="n">
        <v>1.3</v>
      </c>
      <c r="D348" s="1" t="n">
        <v>1.0016</v>
      </c>
      <c r="E348" s="1" t="n">
        <v>0.0454814</v>
      </c>
      <c r="F348" s="1" t="n">
        <v>0.000130729</v>
      </c>
      <c r="G348" s="1" t="s">
        <v>42</v>
      </c>
      <c r="H348" s="1" t="n">
        <v>30.8</v>
      </c>
      <c r="I348" s="1" t="n">
        <v>140.2</v>
      </c>
      <c r="J348" s="1" t="n">
        <v>0</v>
      </c>
      <c r="K348" s="1" t="n">
        <v>46.1</v>
      </c>
      <c r="L348" s="1" t="n">
        <v>0</v>
      </c>
      <c r="M348" s="1" t="n">
        <v>0</v>
      </c>
      <c r="N348" s="1" t="s">
        <v>277</v>
      </c>
      <c r="O348" s="1"/>
      <c r="P348" s="1"/>
      <c r="Q348" s="1"/>
      <c r="R348" s="1"/>
      <c r="S348" s="1"/>
      <c r="T348" s="1"/>
      <c r="Z348" s="0" t="n">
        <f aca="false">I348-8</f>
        <v>132.2</v>
      </c>
      <c r="AB348" s="0" t="n">
        <f aca="false">IF(Z348&lt;0,Z348+360,Z348+0)</f>
        <v>132.2</v>
      </c>
    </row>
    <row r="349" customFormat="false" ht="15.8" hidden="false" customHeight="false" outlineLevel="0" collapsed="false">
      <c r="A349" s="1" t="n">
        <v>13</v>
      </c>
      <c r="B349" s="1" t="n">
        <v>3</v>
      </c>
      <c r="C349" s="1" t="n">
        <v>2.6</v>
      </c>
      <c r="D349" s="1" t="n">
        <v>1.0142</v>
      </c>
      <c r="E349" s="1" t="n">
        <v>0.0938224</v>
      </c>
      <c r="F349" s="1" t="n">
        <v>0.000269677</v>
      </c>
      <c r="G349" s="1" t="s">
        <v>42</v>
      </c>
      <c r="H349" s="1" t="n">
        <v>18.9</v>
      </c>
      <c r="I349" s="1" t="n">
        <v>171</v>
      </c>
      <c r="J349" s="1" t="n">
        <v>0</v>
      </c>
      <c r="K349" s="1" t="n">
        <v>108.1</v>
      </c>
      <c r="L349" s="1" t="n">
        <v>0</v>
      </c>
      <c r="M349" s="1" t="n">
        <v>0</v>
      </c>
      <c r="N349" s="1" t="s">
        <v>269</v>
      </c>
      <c r="O349" s="1"/>
      <c r="P349" s="1"/>
      <c r="Q349" s="1"/>
      <c r="R349" s="1"/>
      <c r="S349" s="1"/>
      <c r="T349" s="1"/>
      <c r="Z349" s="0" t="n">
        <f aca="false">I349-8</f>
        <v>163</v>
      </c>
      <c r="AB349" s="0" t="n">
        <f aca="false">IF(Z349&lt;0,Z349+360,Z349+0)</f>
        <v>163</v>
      </c>
    </row>
    <row r="350" customFormat="false" ht="15.8" hidden="false" customHeight="false" outlineLevel="0" collapsed="false">
      <c r="A350" s="1" t="n">
        <v>13</v>
      </c>
      <c r="B350" s="1" t="n">
        <v>2</v>
      </c>
      <c r="C350" s="1" t="n">
        <v>3.6</v>
      </c>
      <c r="D350" s="1" t="n">
        <v>1.1571</v>
      </c>
      <c r="E350" s="1" t="n">
        <v>0.129398</v>
      </c>
      <c r="F350" s="1" t="n">
        <v>0.000371934</v>
      </c>
      <c r="G350" s="1" t="s">
        <v>42</v>
      </c>
      <c r="H350" s="1" t="n">
        <v>38.9</v>
      </c>
      <c r="I350" s="1" t="n">
        <v>152.1</v>
      </c>
      <c r="J350" s="1" t="n">
        <v>0</v>
      </c>
      <c r="K350" s="1" t="n">
        <v>142.6</v>
      </c>
      <c r="L350" s="1" t="n">
        <v>0</v>
      </c>
      <c r="M350" s="1" t="n">
        <v>0</v>
      </c>
      <c r="N350" s="1" t="s">
        <v>248</v>
      </c>
      <c r="O350" s="1"/>
      <c r="P350" s="1"/>
      <c r="Q350" s="1"/>
      <c r="R350" s="1"/>
      <c r="S350" s="1"/>
      <c r="T350" s="1"/>
      <c r="Z350" s="0" t="n">
        <f aca="false">I350-8</f>
        <v>144.1</v>
      </c>
      <c r="AB350" s="0" t="n">
        <f aca="false">IF(Z350&lt;0,Z350+360,Z350+0)</f>
        <v>144.1</v>
      </c>
    </row>
    <row r="351" customFormat="false" ht="15.8" hidden="false" customHeight="false" outlineLevel="0" collapsed="false">
      <c r="A351" s="1" t="n">
        <v>13</v>
      </c>
      <c r="B351" s="1" t="n">
        <v>1</v>
      </c>
      <c r="C351" s="1" t="n">
        <v>7.5</v>
      </c>
      <c r="D351" s="1" t="n">
        <v>1.2512</v>
      </c>
      <c r="E351" s="1" t="n">
        <v>0.270747</v>
      </c>
      <c r="F351" s="1" t="n">
        <v>0.000778219</v>
      </c>
      <c r="G351" s="1" t="s">
        <v>42</v>
      </c>
      <c r="H351" s="1"/>
      <c r="I351" s="1" t="n">
        <v>190.9</v>
      </c>
      <c r="J351" s="1" t="n">
        <v>3.7</v>
      </c>
      <c r="K351" s="1" t="n">
        <v>83.6</v>
      </c>
      <c r="L351" s="1" t="n">
        <v>0</v>
      </c>
      <c r="M351" s="1" t="n">
        <v>0</v>
      </c>
      <c r="N351" s="1" t="s">
        <v>284</v>
      </c>
      <c r="O351" s="1"/>
      <c r="P351" s="1"/>
      <c r="Q351" s="1"/>
      <c r="R351" s="1"/>
      <c r="S351" s="1"/>
      <c r="T351" s="1"/>
      <c r="Z351" s="0" t="n">
        <f aca="false">I351-8</f>
        <v>182.9</v>
      </c>
      <c r="AB351" s="0" t="n">
        <f aca="false">IF(Z351&lt;0,Z351+360,Z351+0)</f>
        <v>182.9</v>
      </c>
    </row>
    <row r="352" customFormat="false" ht="15.8" hidden="false" customHeight="false" outlineLevel="0" collapsed="false">
      <c r="A352" s="1" t="n">
        <v>14</v>
      </c>
      <c r="B352" s="1" t="n">
        <v>1</v>
      </c>
      <c r="C352" s="1" t="n">
        <v>1.8</v>
      </c>
      <c r="D352" s="1" t="n">
        <v>1.2234</v>
      </c>
      <c r="E352" s="1" t="n">
        <v>0.0632103</v>
      </c>
      <c r="F352" s="1" t="n">
        <v>0.000181688</v>
      </c>
      <c r="G352" s="1" t="s">
        <v>27</v>
      </c>
      <c r="H352" s="1"/>
      <c r="I352" s="1" t="n">
        <v>149.4</v>
      </c>
      <c r="J352" s="1" t="n">
        <v>-15.8</v>
      </c>
      <c r="K352" s="1"/>
      <c r="L352" s="1" t="n">
        <v>0</v>
      </c>
      <c r="M352" s="1" t="n">
        <v>0</v>
      </c>
      <c r="N352" s="1" t="s">
        <v>285</v>
      </c>
      <c r="O352" s="1"/>
      <c r="P352" s="1"/>
      <c r="Q352" s="1"/>
      <c r="R352" s="1"/>
      <c r="S352" s="1"/>
      <c r="T352" s="1"/>
      <c r="Z352" s="0" t="n">
        <f aca="false">I352-8</f>
        <v>141.4</v>
      </c>
      <c r="AB352" s="0" t="n">
        <f aca="false">IF(Z352&lt;0,Z352+360,Z352+0)</f>
        <v>141.4</v>
      </c>
    </row>
    <row r="353" customFormat="false" ht="15.8" hidden="false" customHeight="false" outlineLevel="0" collapsed="false">
      <c r="A353" s="1" t="n">
        <v>15</v>
      </c>
      <c r="B353" s="1" t="n">
        <v>1</v>
      </c>
      <c r="C353" s="1" t="n">
        <v>2.7</v>
      </c>
      <c r="D353" s="1" t="n">
        <v>1.01</v>
      </c>
      <c r="E353" s="1" t="n">
        <v>0.0969508</v>
      </c>
      <c r="F353" s="1" t="n">
        <v>0.000278669</v>
      </c>
      <c r="G353" s="1" t="s">
        <v>27</v>
      </c>
      <c r="H353" s="1"/>
      <c r="I353" s="1" t="n">
        <v>5.7</v>
      </c>
      <c r="J353" s="1" t="n">
        <v>0</v>
      </c>
      <c r="K353" s="1"/>
      <c r="L353" s="1" t="n">
        <v>0</v>
      </c>
      <c r="M353" s="1" t="n">
        <v>0</v>
      </c>
      <c r="N353" s="1" t="s">
        <v>286</v>
      </c>
      <c r="O353" s="1"/>
      <c r="P353" s="1"/>
      <c r="Q353" s="1"/>
      <c r="R353" s="1"/>
      <c r="S353" s="1"/>
      <c r="T353" s="1"/>
      <c r="Z353" s="0" t="n">
        <f aca="false">I353-8</f>
        <v>-2.3</v>
      </c>
      <c r="AB353" s="0" t="n">
        <f aca="false">IF(Z353&lt;0,Z353+360,Z353+0)</f>
        <v>357.7</v>
      </c>
    </row>
    <row r="354" customFormat="false" ht="15.8" hidden="false" customHeight="false" outlineLevel="0" collapsed="false">
      <c r="A354" s="1" t="n">
        <v>16</v>
      </c>
      <c r="B354" s="1" t="n">
        <v>1</v>
      </c>
      <c r="C354" s="1" t="n">
        <v>1.6</v>
      </c>
      <c r="D354" s="1" t="n">
        <v>1.2761</v>
      </c>
      <c r="E354" s="1" t="n">
        <v>0.0579122</v>
      </c>
      <c r="F354" s="1" t="n">
        <v>0.000166459</v>
      </c>
      <c r="G354" s="1" t="s">
        <v>27</v>
      </c>
      <c r="H354" s="1"/>
      <c r="I354" s="1" t="n">
        <v>231.1</v>
      </c>
      <c r="J354" s="1" t="n">
        <v>-68.6</v>
      </c>
      <c r="K354" s="1"/>
      <c r="L354" s="1" t="n">
        <v>0</v>
      </c>
      <c r="M354" s="1" t="n">
        <v>0</v>
      </c>
      <c r="N354" s="1" t="s">
        <v>287</v>
      </c>
      <c r="O354" s="1"/>
      <c r="P354" s="1"/>
      <c r="Q354" s="1"/>
      <c r="R354" s="1"/>
      <c r="S354" s="1"/>
      <c r="T354" s="1"/>
      <c r="Z354" s="0" t="n">
        <f aca="false">I354-8</f>
        <v>223.1</v>
      </c>
      <c r="AB354" s="0" t="n">
        <f aca="false">IF(Z354&lt;0,Z354+360,Z354+0)</f>
        <v>223.1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7950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2017-05-19T17:21:56Z</dcterms:created>
  <dc:language>en-US</dc:language>
  <dcterms:modified xsi:type="dcterms:W3CDTF">2017-09-29T16:43:21Z</dcterms:modified>
  <cp:revision>16</cp:revision>
</cp:coreProperties>
</file>