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<sst xmlns="http://schemas.openxmlformats.org/spreadsheetml/2006/main" count="902" uniqueCount="290">
  <si>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</si>
  <si>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</si>
  <si>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</si>
  <si>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</si>
  <si>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</si>
  <si>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</si>
  <si>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</si>
  <si>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</si>
  <si>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</si>
  <si>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</si>
  <si>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</si>
  <si>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</si>
  <si>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</si>
  <si>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</si>
  <si>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</si>
  <si>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</si>
  <si>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</si>
  <si>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</si>
  <si>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</si>
  <si>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</si>
  <si>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</si>
  <si>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</si>
  <si>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</si>
  <si>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</si>
  <si>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</si>
  <si>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</si>
  <si>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</si>
  <si>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</si>
  <si>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(26.70, -24.82, -9.62)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</si>
  <si>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</si>
  <si>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</si>
  <si>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</si>
  <si>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</si>
  <si>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</si>
  <si>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</si>
  <si>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</si>
  <si>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</si>
  <si>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</si>
  <si>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(26.89, -25.95, -9.62)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</si>
  <si>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</si>
  <si>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</si>
  <si>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</si>
  <si>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</si>
  <si>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</si>
  <si>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</si>
  <si>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</si>
  <si>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</si>
  <si>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(27.51, -26.43, -9.25)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</si>
  <si>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</si>
  <si>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</si>
  <si>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</si>
  <si>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</si>
  <si>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</si>
  <si>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</si>
  <si>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</si>
  <si>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</si>
  <si>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(28.32, -26.47, -8.88)</t>
  </si>
  <si>
    <t>[0]</t>
  </si>
  <si>
    <t>&gt;-15 R</t>
  </si>
  <si>
    <t>0,15 R</t>
  </si>
  <si>
    <t>[0:15]</t>
  </si>
  <si>
    <t>&gt;-30 R</t>
  </si>
  <si>
    <t>15,30 R</t>
  </si>
  <si>
    <t>Sum</t>
  </si>
  <si>
    <t>(28.41, -26.82, -8.88)</t>
  </si>
  <si>
    <t>[15:30]</t>
  </si>
  <si>
    <t>&gt;-45 R</t>
  </si>
  <si>
    <t>30,45 R</t>
  </si>
  <si>
    <t>[30:45]</t>
  </si>
  <si>
    <t>&gt;-60 R</t>
  </si>
  <si>
    <t>45,60 R</t>
  </si>
  <si>
    <t>(27.15, -28.16, -8.51)</t>
  </si>
  <si>
    <t>[45:60]</t>
  </si>
  <si>
    <t>&gt;-75 R</t>
  </si>
  <si>
    <t>60,75 R</t>
  </si>
  <si>
    <t>[60:75]</t>
  </si>
  <si>
    <t> &gt;-90 R</t>
  </si>
  <si>
    <t> 75,90 R</t>
  </si>
  <si>
    <t>(26.55, -28.87, -8.51)</t>
  </si>
  <si>
    <t>[75:90]</t>
  </si>
  <si>
    <t>&gt;-90 L</t>
  </si>
  <si>
    <t>90,75 L</t>
  </si>
  <si>
    <t>&gt;-75 L</t>
  </si>
  <si>
    <t>75,60 L</t>
  </si>
  <si>
    <t>(26.35, -31.39, -7.40)</t>
  </si>
  <si>
    <t>&gt;-60 L</t>
  </si>
  <si>
    <t>60,45 L</t>
  </si>
  <si>
    <t>&gt;-45 L</t>
  </si>
  <si>
    <t>45,30 L</t>
  </si>
  <si>
    <t>(27.09, -34.50, -6.29)</t>
  </si>
  <si>
    <t>&gt;-30 L</t>
  </si>
  <si>
    <t>30,15 L</t>
  </si>
  <si>
    <t>&gt;-15 L</t>
  </si>
  <si>
    <t>15,0 L</t>
  </si>
  <si>
    <t>(28.97, -40.54, -5.92)</t>
  </si>
  <si>
    <t>&gt;0 L</t>
  </si>
  <si>
    <t>0,-15 L</t>
  </si>
  <si>
    <t>(18.86, -39.77, -8.51)</t>
  </si>
  <si>
    <t>&gt;15 L</t>
  </si>
  <si>
    <t>-15,-30 L</t>
  </si>
  <si>
    <t>&gt;30 L</t>
  </si>
  <si>
    <t>-30,-45 L</t>
  </si>
  <si>
    <t>(20.34, -39.65, -8.51)</t>
  </si>
  <si>
    <t>&gt;45 L</t>
  </si>
  <si>
    <t>-45,-60 L</t>
  </si>
  <si>
    <t>&gt;60 L</t>
  </si>
  <si>
    <t>-60,-75 L</t>
  </si>
  <si>
    <t>(21.16, -40.02, -8.14)</t>
  </si>
  <si>
    <t>&gt;75 L</t>
  </si>
  <si>
    <t>-75,-90 L</t>
  </si>
  <si>
    <t>Total</t>
  </si>
  <si>
    <t>(21.99, -39.30, -8.14)</t>
  </si>
  <si>
    <t>Count</t>
  </si>
  <si>
    <t>Total L</t>
  </si>
  <si>
    <t>(22.65, -39.60, -8.14)</t>
  </si>
  <si>
    <t>(23.69, -38.80, -8.14)</t>
  </si>
  <si>
    <t>(27.15, -37.67, -7.77)</t>
  </si>
  <si>
    <t>(29.35, -38.67, -7.40)</t>
  </si>
  <si>
    <t>(30.36, -37.73, -7.77)</t>
  </si>
  <si>
    <t>(29.52, -39.45, -5.92)</t>
  </si>
  <si>
    <t>(29.22, -41.38, -5.92)</t>
  </si>
  <si>
    <t>(39.22, -25.69, -4.07)</t>
  </si>
  <si>
    <t>(39.20, -26.76, -4.44)</t>
  </si>
  <si>
    <t>(39.04, -27.26, -5.18)</t>
  </si>
  <si>
    <t>(39.21, -28.26, -5.55)</t>
  </si>
  <si>
    <t>(38.01, -32.24, -5.92)</t>
  </si>
  <si>
    <t>(37.43, -35.06, -6.29)</t>
  </si>
  <si>
    <t>(37.90, -35.18, -6.29)</t>
  </si>
  <si>
    <t>(35.74, -36.16, -6.66)</t>
  </si>
  <si>
    <t>(36.19, -28.52, -8.51)</t>
  </si>
  <si>
    <t>(34.88, -37.84, -6.66)</t>
  </si>
  <si>
    <t>(46.16, -33.93, -7.40)</t>
  </si>
  <si>
    <t>(47.89, -34.59, -7.03)</t>
  </si>
  <si>
    <t>(47.70, -34.32, -7.03)</t>
  </si>
  <si>
    <t>(45.58, -34.71, -7.40)</t>
  </si>
  <si>
    <t>(44.26, -35.03, -5.18)</t>
  </si>
  <si>
    <t>(49.04, -22.51, -9.62)</t>
  </si>
  <si>
    <t>(50.14, -23.85, -8.88)</t>
  </si>
  <si>
    <t>(50.06, -40.69, -5.92)</t>
  </si>
  <si>
    <t>(50.66, -40.69, -5.92)</t>
  </si>
  <si>
    <t>(50.42, -36.01, -6.29)</t>
  </si>
  <si>
    <t>(53.64, -25.91, -8.88)</t>
  </si>
  <si>
    <t>(53.11, -25.32, -9.25)</t>
  </si>
  <si>
    <t>(52.12, -24.91, -9.25)</t>
  </si>
  <si>
    <t>(52.64, -23.42, -9.62)</t>
  </si>
  <si>
    <t>(47.16, -28.77, -6.66)</t>
  </si>
  <si>
    <t>(44.74, -24.72, -8.88)</t>
  </si>
  <si>
    <t>(47.86, -26.13, -7.40)</t>
  </si>
  <si>
    <t>(46.96, -29.64, -6.66)</t>
  </si>
  <si>
    <t>(50.05, -29.21, -7.03)</t>
  </si>
  <si>
    <t>(44.78, -34.98, -4.81)</t>
  </si>
  <si>
    <t>(47.12, -34.78, -4.44)</t>
  </si>
  <si>
    <t>(45.45, -34.85, -4.44)</t>
  </si>
  <si>
    <t>(46.63, -35.34, -2.22)</t>
  </si>
  <si>
    <t>(47.87, -33.62, -4.07)</t>
  </si>
  <si>
    <t>(53.14, -29.51, -6.29)</t>
  </si>
  <si>
    <t>(51.84, -29.13, -6.66)</t>
  </si>
  <si>
    <t>(51.29, -30.69, -6.29)</t>
  </si>
  <si>
    <t>(51.46, -31.20, -5.55)</t>
  </si>
  <si>
    <t>(52.67, -32.35, -4.07)</t>
  </si>
  <si>
    <t>(55.97, -32.25, -3.33)</t>
  </si>
  <si>
    <t>(55.54, -31.02, -4.07)</t>
  </si>
  <si>
    <t>(54.82, -30.78, -4.07)</t>
  </si>
  <si>
    <t>(53.84, -31.47, -4.07)</t>
  </si>
  <si>
    <t>(51.95, -32.60, -4.07)</t>
  </si>
  <si>
    <t>(50.29, -33.47, -3.33)</t>
  </si>
  <si>
    <t>(50.37, -32.47, -4.07)</t>
  </si>
  <si>
    <t>(49.71, -32.71, -4.44)</t>
  </si>
  <si>
    <t>(46.80, -33.91, -4.44)</t>
  </si>
  <si>
    <t>(44.45, -34.93, -4.81)</t>
  </si>
  <si>
    <t>(43.05, -35.46, -5.18)</t>
  </si>
  <si>
    <t>(43.11, -32.37, -4.81)</t>
  </si>
  <si>
    <t>(42.87, -33.30, -5.18)</t>
  </si>
  <si>
    <t>(41.26, -38.17, -4.44)</t>
  </si>
  <si>
    <t>(42.16, -36.75, -7.03)</t>
  </si>
  <si>
    <t>(40.40, -36.31, -8.51)</t>
  </si>
  <si>
    <t>(39.94, -35.78, -8.88)</t>
  </si>
  <si>
    <t>(39.77, -35.14, -8.88)</t>
  </si>
  <si>
    <t>(47.92, -29.58, -9.99)</t>
  </si>
  <si>
    <t>(47.53, -30.91, -10.73)</t>
  </si>
  <si>
    <t>(47.03, -31.51, -10.36)</t>
  </si>
  <si>
    <t>(44.68, -33.50, -9.62)</t>
  </si>
  <si>
    <t>(43.83, -33.37, -9.62)</t>
  </si>
  <si>
    <t>(41.99, -34.00, -9.25)</t>
  </si>
  <si>
    <t>(39.43, -35.90, -7.40)</t>
  </si>
  <si>
    <t>(38.92, -36.49, -7.03)</t>
  </si>
  <si>
    <t>(30.75, -55.79, -4.81)</t>
  </si>
  <si>
    <t>(31.37, -56.01, -4.44)</t>
  </si>
  <si>
    <t>(31.81, -50.78, -4.81)</t>
  </si>
  <si>
    <t>(33.44, -46.74, -5.55)</t>
  </si>
  <si>
    <t>(33.83, -46.47, -5.55)</t>
  </si>
  <si>
    <t>(33.55, -46.06, -5.55)</t>
  </si>
  <si>
    <t>(33.68, -44.82, -5.55)</t>
  </si>
  <si>
    <t>(36.62, -29.81, -3.70)</t>
  </si>
  <si>
    <t>(37.34, -29.97, -2.59)</t>
  </si>
  <si>
    <t>(36.52, -29.25, -3.70)</t>
  </si>
  <si>
    <t>(36.85, -28.86, -3.70)</t>
  </si>
  <si>
    <t>(37.45, -27.63, -3.33)</t>
  </si>
  <si>
    <t>(37.13, -28.50, -3.33)</t>
  </si>
  <si>
    <t>(35.30, -28.99, -2.96)</t>
  </si>
  <si>
    <t>(33.85, -27.91, -1.48)</t>
  </si>
  <si>
    <t>(32.99, -27.68, -1.48)</t>
  </si>
  <si>
    <t>(35.15, -28.96, -2.59)</t>
  </si>
  <si>
    <t>(35.06, -29.58, -2.96)</t>
  </si>
  <si>
    <t>(35.11, -27.70, -4.81)</t>
  </si>
  <si>
    <t>(34.55, -27.23, -5.18)</t>
  </si>
  <si>
    <t>(34.21, -27.05, -5.55)</t>
  </si>
  <si>
    <t>(32.64, -18.49, -11.10)</t>
  </si>
  <si>
    <t>(33.37, -19.93, -9.62)</t>
  </si>
  <si>
    <t>(33.54, -20.67, -9.25)</t>
  </si>
  <si>
    <t>(34.52, -23.48, -7.77)</t>
  </si>
  <si>
    <t>(33.05, -28.76, -4.07)</t>
  </si>
  <si>
    <t>(33.54, -29.64, -3.70)</t>
  </si>
  <si>
    <t>(31.19, -33.30, -2.22)</t>
  </si>
  <si>
    <t>(32.09, -32.72, -2.96)</t>
  </si>
  <si>
    <t>(32.01, -32.17, -2.96)</t>
  </si>
  <si>
    <t>(32.06, -31.59, -2.59)</t>
  </si>
  <si>
    <t>(32.72, -31.15, -2.59)</t>
  </si>
  <si>
    <t>(31.69, -29.69, -2.96)</t>
  </si>
  <si>
    <t>(31.03, -29.87, -3.33)</t>
  </si>
  <si>
    <t>(33.60, -29.99, -2.96)</t>
  </si>
  <si>
    <t>(34.53, -30.77, -2.96)</t>
  </si>
  <si>
    <t>(33.40, -36.47, -2.96)</t>
  </si>
  <si>
    <t>(31.72, -37.66, -2.96)</t>
  </si>
  <si>
    <t>(32.56, -36.26, -3.33)</t>
  </si>
  <si>
    <t>(31.49, -36.29, -4.44)</t>
  </si>
  <si>
    <t>(32.23, -35.89, -4.07)</t>
  </si>
  <si>
    <t>(32.94, -41.42, -4.07)</t>
  </si>
  <si>
    <t>(34.89, -41.91, -4.07)</t>
  </si>
  <si>
    <t>(35.49, -42.29, -4.07)</t>
  </si>
  <si>
    <t>(30.01, -46.24, -5.55)</t>
  </si>
  <si>
    <t>(27.20, -48.58, -5.55)</t>
  </si>
  <si>
    <t>(26.84, -46.14, -5.92)</t>
  </si>
  <si>
    <t>(25.28, -46.31, -5.92)</t>
  </si>
  <si>
    <t>(21.66, -44.13, -5.55)</t>
  </si>
  <si>
    <t>(19.82, -45.86, -6.66)</t>
  </si>
  <si>
    <t>(18.25, -47.75, -5.55)</t>
  </si>
  <si>
    <t>(18.85, -47.75, -5.92)</t>
  </si>
  <si>
    <t>(19.80, -46.80, -6.66)</t>
  </si>
  <si>
    <t>(20.69, -44.55, -5.92)</t>
  </si>
  <si>
    <t>(22.40, -42.91, -5.55)</t>
  </si>
  <si>
    <t>(23.52, -43.33, -5.55)</t>
  </si>
  <si>
    <t>(24.93, -45.86, -5.92)</t>
  </si>
  <si>
    <t>(27.70, -45.52, -5.92)</t>
  </si>
  <si>
    <t>(28.42, -46.42, -6.29)</t>
  </si>
  <si>
    <t>(21.09, -56.31, -5.55)</t>
  </si>
  <si>
    <t>(21.49, -54.57, -5.55)</t>
  </si>
  <si>
    <t>(22.76, -53.34, -5.55)</t>
  </si>
  <si>
    <t>(22.69, -51.32, -5.92)</t>
  </si>
  <si>
    <t>(27.54, -49.90, -5.55)</t>
  </si>
  <si>
    <t>(24.34, -55.08, -5.92)</t>
  </si>
  <si>
    <t>(26.51, -52.38, -5.18)</t>
  </si>
  <si>
    <t>(28.20, -49.54, -5.55)</t>
  </si>
  <si>
    <t>(26.67, -58.45, -5.18)</t>
  </si>
  <si>
    <t>(26.29, -56.61, -4.81)</t>
  </si>
  <si>
    <t>(27.03, -56.68, -4.81)</t>
  </si>
  <si>
    <t>(27.35, -56.69, -4.44)</t>
  </si>
  <si>
    <t>(27.99, -56.14, -4.81)</t>
  </si>
  <si>
    <t>(29.27, -54.84, -4.81)</t>
  </si>
  <si>
    <t>(28.62, -48.72, -5.55)</t>
  </si>
  <si>
    <t>(28.90, -46.65, -5.55)</t>
  </si>
  <si>
    <t>(28.60, -43.47, -4.81)</t>
  </si>
  <si>
    <t>(27.39, -42.59, -5.92)</t>
  </si>
  <si>
    <t>(26.83, -39.74, -6.29)</t>
  </si>
  <si>
    <t>(26.57, -39.76, -7.03)</t>
  </si>
  <si>
    <t>(25.77, -40.68, -7.40)</t>
  </si>
  <si>
    <t>(26.05, -39.74, -7.40)</t>
  </si>
  <si>
    <t>(25.12, -44.20, -7.03)</t>
  </si>
  <si>
    <t>(25.19, -43.67, -7.03)</t>
  </si>
  <si>
    <t>(25.18, -43.15, -7.03)</t>
  </si>
  <si>
    <t>(25.43, -42.38, -9.25)</t>
  </si>
  <si>
    <t>(28.03, -42.81, -5.92)</t>
  </si>
  <si>
    <t>(32.56, -45.16, -5.92)</t>
  </si>
  <si>
    <t>(39.28, -43.31, -4.81)</t>
  </si>
  <si>
    <t>(39.25, -44.23, -5.18)</t>
  </si>
  <si>
    <t>(39.20, -46.88, -5.55)</t>
  </si>
  <si>
    <t>(38.74, -46.06, -5.55)</t>
  </si>
  <si>
    <t>(41.44, -42.28, -5.18)</t>
  </si>
  <si>
    <t>(41.74, -41.75, -5.18)</t>
  </si>
  <si>
    <t>(41.93, -42.66, -5.18)</t>
  </si>
  <si>
    <t>(40.78, -45.31, -5.55)</t>
  </si>
  <si>
    <t>(42.34, -42.72, -5.18)</t>
  </si>
  <si>
    <t>(43.63, -39.73, -5.92)</t>
  </si>
  <si>
    <t>(44.07, -36.32, -6.66)</t>
  </si>
  <si>
    <t>(44.23, -37.06, -6.66)</t>
  </si>
  <si>
    <t>(45.23, -36.75, -6.66)</t>
  </si>
  <si>
    <t>(44.17, -39.09, -5.92)</t>
  </si>
  <si>
    <t>(45.03, -38.86, -6.29)</t>
  </si>
  <si>
    <t>(44.15, -40.07, -5.92)</t>
  </si>
  <si>
    <t>(42.68, -39.59, -5.92)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</si>
</sst>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38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2.8"/>
  <cols>
    <col collapsed="false" hidden="false" max="13" min="1" style="0" width="11.5204081632653"/>
    <col collapsed="false" hidden="false" max="14" min="14" style="0" width="18.4744897959184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11</v>
      </c>
      <c r="C2" s="1" t="n">
        <v>1.1</v>
      </c>
      <c r="D2" s="1" t="n">
        <v>1.0149</v>
      </c>
      <c r="E2" s="1" t="n">
        <v>0.0313671</v>
      </c>
      <c r="F2" s="1" t="n">
        <v>6.8257E-005</v>
      </c>
      <c r="G2" s="1" t="s">
        <v>27</v>
      </c>
      <c r="H2" s="1" t="n">
        <v>45</v>
      </c>
      <c r="I2" s="1" t="n">
        <v>54.7</v>
      </c>
      <c r="J2" s="1" t="n">
        <v>0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13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0</v>
      </c>
      <c r="U2" s="1" t="n">
        <v>0</v>
      </c>
      <c r="V2" s="0" t="n">
        <f aca="false">SUMIFS(C$2:C$1500,C$2:C$1500, "&gt;=0",I$2:I$1500, "&lt;15")</f>
        <v>20.3</v>
      </c>
      <c r="W2" s="2" t="s">
        <v>31</v>
      </c>
      <c r="X2" s="0" t="n">
        <f aca="false">SUMIFS(C$2:C$1500,C$2:C$1500, "&gt;=0",J$2:J$1500, "&lt;-75",I$2:I$1500,"&lt;180")</f>
        <v>2.6</v>
      </c>
      <c r="Z2" s="0" t="n">
        <f aca="false">I2-23</f>
        <v>31.7</v>
      </c>
      <c r="AB2" s="0" t="n">
        <f aca="false">IF(Z2&lt;0,Z2+360,Z2+0)</f>
        <v>31.7</v>
      </c>
      <c r="AD2" s="1" t="n">
        <v>0</v>
      </c>
      <c r="AE2" s="1" t="n">
        <f aca="false">COUNTIF(AB$2:AB$1500,"&lt;15")</f>
        <v>20</v>
      </c>
      <c r="AF2" s="1"/>
      <c r="AG2" s="1" t="n">
        <v>0</v>
      </c>
      <c r="AH2" s="0" t="n">
        <f aca="false">SUMIFS(C$2:C$1500,C$2:C$1500, "&gt;=0",AB$2:AB$1500, "&lt;15")</f>
        <v>36.8</v>
      </c>
      <c r="AJ2" s="1" t="s">
        <v>29</v>
      </c>
      <c r="AK2" s="0" t="n">
        <f aca="false">SUMIF($J$2:$J$2000,"&lt;-75",$C$2:$C$2000)</f>
        <v>2.6</v>
      </c>
      <c r="AM2" s="1" t="s">
        <v>32</v>
      </c>
      <c r="AN2" s="0" t="n">
        <f aca="false">AE2+AE13+AE14+AE25</f>
        <v>62</v>
      </c>
      <c r="AO2" s="1" t="s">
        <v>32</v>
      </c>
      <c r="AP2" s="0" t="n">
        <f aca="false">R7+R8+R9</f>
        <v>211</v>
      </c>
      <c r="AR2" s="1" t="s">
        <v>32</v>
      </c>
      <c r="AS2" s="0" t="n">
        <f aca="false">AH2+AH13+AH14+AH25</f>
        <v>116.6</v>
      </c>
      <c r="AU2" s="0" t="n">
        <f aca="false">AK7+AK8+AK9</f>
        <v>443.8</v>
      </c>
    </row>
    <row r="3" customFormat="false" ht="15.8" hidden="false" customHeight="false" outlineLevel="0" collapsed="false">
      <c r="A3" s="1" t="n">
        <v>1</v>
      </c>
      <c r="B3" s="1" t="n">
        <v>11</v>
      </c>
      <c r="C3" s="1" t="n">
        <v>1.2</v>
      </c>
      <c r="D3" s="1" t="n">
        <v>1.2202</v>
      </c>
      <c r="E3" s="1" t="n">
        <v>0.0338998</v>
      </c>
      <c r="F3" s="1" t="n">
        <v>7.37683E-005</v>
      </c>
      <c r="G3" s="1" t="s">
        <v>27</v>
      </c>
      <c r="H3" s="1" t="n">
        <v>36</v>
      </c>
      <c r="I3" s="1" t="n">
        <v>129.4</v>
      </c>
      <c r="J3" s="1" t="n">
        <v>-21.4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16</v>
      </c>
      <c r="Q3" s="1" t="s">
        <v>33</v>
      </c>
      <c r="R3" s="1" t="n">
        <f aca="false">COUNTIF(J$2:J$1500,"&lt;-60")-R2</f>
        <v>7</v>
      </c>
      <c r="S3" s="2" t="s">
        <v>34</v>
      </c>
      <c r="T3" s="1" t="n">
        <f aca="false">COUNTIFS(J$2:J$1500, "&gt;60",I$2:I$1500, "&lt;180")-T2</f>
        <v>4</v>
      </c>
      <c r="U3" s="1" t="n">
        <v>15</v>
      </c>
      <c r="V3" s="0" t="n">
        <f aca="false">SUMIFS(C$2:C$1500,C$2:C$1500, "&gt;=0",I$2:I$1500, "&lt;30",I$2:I$1500,"&gt;=15")</f>
        <v>29.1</v>
      </c>
      <c r="W3" s="2" t="s">
        <v>35</v>
      </c>
      <c r="X3" s="0" t="n">
        <f aca="false">SUMIFS(C$2:C$1500,C$2:C$1500, "&gt;=0",J$2:J$1500, "&lt;-60",J$2:J$1500,"&gt;=-75",I$2:I$1500,"&lt;180")</f>
        <v>8.9</v>
      </c>
      <c r="Z3" s="0" t="n">
        <f aca="false">I3-23</f>
        <v>106.4</v>
      </c>
      <c r="AB3" s="0" t="n">
        <f aca="false">IF(Z3&lt;0,Z3+360,Z3+0)</f>
        <v>106.4</v>
      </c>
      <c r="AD3" s="1" t="n">
        <v>15</v>
      </c>
      <c r="AE3" s="1" t="n">
        <f aca="false">COUNTIF(AB$2:AB$1500,"&lt;30")-AE2</f>
        <v>20</v>
      </c>
      <c r="AF3" s="1"/>
      <c r="AG3" s="1" t="n">
        <v>15</v>
      </c>
      <c r="AH3" s="0" t="n">
        <f aca="false">SUMIFS(C$2:C$1500,C$2:C$1500, "&gt;=0",AB$2:AB$1500, "&lt;30",AB$2:AB$1500,"&gt;=15")</f>
        <v>28.7</v>
      </c>
      <c r="AJ3" s="1" t="s">
        <v>33</v>
      </c>
      <c r="AK3" s="0" t="n">
        <f aca="false">SUMIF($J$2:$J$2000,"&lt;-60",$C$2:$C$2000)-$AK$2</f>
        <v>10.7</v>
      </c>
      <c r="AM3" s="1" t="s">
        <v>36</v>
      </c>
      <c r="AN3" s="0" t="n">
        <f aca="false">AE3+AE12+AE15+AE24</f>
        <v>62</v>
      </c>
      <c r="AO3" s="1" t="s">
        <v>36</v>
      </c>
      <c r="AP3" s="0" t="n">
        <f aca="false">R10+R6</f>
        <v>105</v>
      </c>
      <c r="AR3" s="1" t="s">
        <v>36</v>
      </c>
      <c r="AS3" s="0" t="n">
        <f aca="false">AH3+AH12+AH15+AH24</f>
        <v>115.9</v>
      </c>
      <c r="AU3" s="0" t="n">
        <f aca="false">AK10+AK6</f>
        <v>229.2</v>
      </c>
    </row>
    <row r="4" customFormat="false" ht="15.8" hidden="false" customHeight="false" outlineLevel="0" collapsed="false">
      <c r="A4" s="1" t="n">
        <v>1</v>
      </c>
      <c r="B4" s="1" t="n">
        <v>10</v>
      </c>
      <c r="C4" s="1" t="n">
        <v>1.2</v>
      </c>
      <c r="D4" s="1" t="n">
        <v>1.0309</v>
      </c>
      <c r="E4" s="1" t="n">
        <v>0.0321111</v>
      </c>
      <c r="F4" s="1" t="n">
        <v>6.9876E-005</v>
      </c>
      <c r="G4" s="1" t="s">
        <v>37</v>
      </c>
      <c r="H4" s="1" t="n">
        <v>47.8</v>
      </c>
      <c r="I4" s="1" t="n">
        <v>99.7</v>
      </c>
      <c r="J4" s="1" t="n">
        <v>0</v>
      </c>
      <c r="K4" s="1" t="n">
        <v>45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22</v>
      </c>
      <c r="Q4" s="4" t="s">
        <v>39</v>
      </c>
      <c r="R4" s="1" t="n">
        <f aca="false">COUNTIF(J$2:J$1500,"&lt;-45")-SUM(R2:R3)</f>
        <v>10</v>
      </c>
      <c r="S4" s="2" t="s">
        <v>40</v>
      </c>
      <c r="T4" s="1" t="n">
        <f aca="false">COUNTIFS(J$2:J$1500, "&gt;45",I$2:I$1500, "&lt;180")-SUM(T2:T3)</f>
        <v>3</v>
      </c>
      <c r="U4" s="1" t="n">
        <v>30</v>
      </c>
      <c r="V4" s="0" t="n">
        <f aca="false">SUMIFS(C$2:C$1500,C$2:C$1500, "&gt;=0",I$2:I$1500, "&lt;45",I$2:I$1500,"&gt;=30")</f>
        <v>34.1</v>
      </c>
      <c r="W4" s="2" t="s">
        <v>41</v>
      </c>
      <c r="X4" s="0" t="n">
        <f aca="false">SUMIFS(C$2:C$1500,C$2:C$1500, "&gt;=0",J$2:J$1500, "&lt;-45",J$2:J$1500,"&gt;=-60",I$2:I$1500,"&lt;180")</f>
        <v>17.1</v>
      </c>
      <c r="Z4" s="0" t="n">
        <f aca="false">I4-23</f>
        <v>76.7</v>
      </c>
      <c r="AB4" s="0" t="n">
        <f aca="false">IF(Z4&lt;0,Z4+360,Z4+0)</f>
        <v>76.7</v>
      </c>
      <c r="AD4" s="1" t="n">
        <v>30</v>
      </c>
      <c r="AE4" s="1" t="n">
        <f aca="false">COUNTIF(AB$2:AB$1500,"&lt;45")-SUM(AE2:AE3)</f>
        <v>17</v>
      </c>
      <c r="AF4" s="1"/>
      <c r="AG4" s="1" t="n">
        <v>30</v>
      </c>
      <c r="AH4" s="0" t="n">
        <f aca="false">SUMIFS(C$2:C$1500,C$2:C$1500, "&gt;=0",AB$2:AB$1500, "&lt;45",AB$2:AB$1500,"&gt;=30")</f>
        <v>39.9</v>
      </c>
      <c r="AJ4" s="4" t="s">
        <v>39</v>
      </c>
      <c r="AK4" s="0" t="n">
        <f aca="false">SUMIF($J$2:$J$2000,"&lt;-45",$C$2:$C$2000)-SUM($AK$2:$AK$3)</f>
        <v>20.5</v>
      </c>
      <c r="AM4" s="1" t="s">
        <v>42</v>
      </c>
      <c r="AN4" s="0" t="n">
        <f aca="false">AE4+AE11+AE16+AE23</f>
        <v>67</v>
      </c>
      <c r="AO4" s="1" t="s">
        <v>42</v>
      </c>
      <c r="AP4" s="0" t="n">
        <f aca="false">R11+R5</f>
        <v>36</v>
      </c>
      <c r="AR4" s="1" t="s">
        <v>42</v>
      </c>
      <c r="AS4" s="0" t="n">
        <f aca="false">AH4+AH11+AH16+AH23</f>
        <v>133.7</v>
      </c>
      <c r="AU4" s="0" t="n">
        <f aca="false">AK11+AK5</f>
        <v>70</v>
      </c>
    </row>
    <row r="5" customFormat="false" ht="15.8" hidden="false" customHeight="false" outlineLevel="0" collapsed="false">
      <c r="A5" s="1" t="n">
        <v>1</v>
      </c>
      <c r="B5" s="1" t="n">
        <v>10</v>
      </c>
      <c r="C5" s="1" t="n">
        <v>0.7</v>
      </c>
      <c r="D5" s="1" t="n">
        <v>1.0095</v>
      </c>
      <c r="E5" s="1" t="n">
        <v>0.0202196</v>
      </c>
      <c r="F5" s="1" t="n">
        <v>4.39993E-005</v>
      </c>
      <c r="G5" s="1" t="s">
        <v>27</v>
      </c>
      <c r="H5" s="1" t="n">
        <v>84.3</v>
      </c>
      <c r="I5" s="1" t="n">
        <v>225.5</v>
      </c>
      <c r="J5" s="1" t="n">
        <v>0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20</v>
      </c>
      <c r="Q5" s="1" t="s">
        <v>43</v>
      </c>
      <c r="R5" s="1" t="n">
        <f aca="false">COUNTIF(J$2:J$1500,"&lt;-30")-SUM(R2:R4)</f>
        <v>16</v>
      </c>
      <c r="S5" s="2" t="s">
        <v>44</v>
      </c>
      <c r="T5" s="1" t="n">
        <f aca="false">COUNTIFS(J$2:J$1500, "&gt;30",I$2:I$1500, "&lt;180")-SUM(T2:T4)</f>
        <v>5</v>
      </c>
      <c r="U5" s="1" t="n">
        <v>45</v>
      </c>
      <c r="V5" s="0" t="n">
        <f aca="false">SUMIFS(C$2:C$1500,C$2:C$1500, "&gt;=0",I$2:I$1500, "&lt;60",I$2:I$1500,"&gt;=45")</f>
        <v>36.7</v>
      </c>
      <c r="W5" s="2" t="s">
        <v>45</v>
      </c>
      <c r="X5" s="0" t="n">
        <f aca="false">SUMIFS(C$2:C$1500,C$2:C$1500, "&gt;=0",J$2:J$1500, "&lt;-30",J$2:J$1500,"&gt;=-45",I$2:I$1500,"&lt;180")</f>
        <v>31.1</v>
      </c>
      <c r="Z5" s="0" t="n">
        <f aca="false">I5-23</f>
        <v>202.5</v>
      </c>
      <c r="AB5" s="0" t="n">
        <f aca="false">IF(Z5&lt;0,Z5+360,Z5+0)</f>
        <v>202.5</v>
      </c>
      <c r="AD5" s="1" t="n">
        <v>45</v>
      </c>
      <c r="AE5" s="1" t="n">
        <f aca="false">COUNTIF(AB$2:AB$1500,"&lt;60")-SUM(AE2:AE4)</f>
        <v>28</v>
      </c>
      <c r="AF5" s="1"/>
      <c r="AG5" s="1" t="n">
        <v>45</v>
      </c>
      <c r="AH5" s="0" t="n">
        <f aca="false">SUMIFS(C$2:C$1500,C$2:C$1500, "&gt;=0",AB$2:AB$1500, "&lt;60",AB$2:AB$1500,"&gt;=45")</f>
        <v>72.9</v>
      </c>
      <c r="AJ5" s="1" t="s">
        <v>43</v>
      </c>
      <c r="AK5" s="0" t="n">
        <f aca="false">SUMIF($J$2:$J$2000,"&lt;-30",$C$2:$C$2000)-SUM($AK$2:$AK$4)</f>
        <v>34.4</v>
      </c>
      <c r="AM5" s="1" t="s">
        <v>46</v>
      </c>
      <c r="AN5" s="0" t="n">
        <f aca="false">AE5+AE10+AE17+AE22</f>
        <v>60</v>
      </c>
      <c r="AO5" s="1" t="s">
        <v>46</v>
      </c>
      <c r="AP5" s="0" t="n">
        <f aca="false">R12+R4</f>
        <v>17</v>
      </c>
      <c r="AR5" s="1" t="s">
        <v>46</v>
      </c>
      <c r="AS5" s="0" t="n">
        <f aca="false">AH5+AH10+AH17+AH22</f>
        <v>171</v>
      </c>
      <c r="AU5" s="0" t="n">
        <f aca="false">AK12+AK4</f>
        <v>32.5999999999999</v>
      </c>
    </row>
    <row r="6" customFormat="false" ht="15.8" hidden="false" customHeight="false" outlineLevel="0" collapsed="false">
      <c r="A6" s="1" t="n">
        <v>1</v>
      </c>
      <c r="B6" s="1" t="n">
        <v>9</v>
      </c>
      <c r="C6" s="1" t="n">
        <v>1</v>
      </c>
      <c r="D6" s="1" t="n">
        <v>1.1809</v>
      </c>
      <c r="E6" s="1" t="n">
        <v>0.0280839</v>
      </c>
      <c r="F6" s="1" t="n">
        <v>6.11125E-005</v>
      </c>
      <c r="G6" s="1" t="s">
        <v>37</v>
      </c>
      <c r="H6" s="1" t="n">
        <v>32.4</v>
      </c>
      <c r="I6" s="1" t="n">
        <v>141.7</v>
      </c>
      <c r="J6" s="1" t="n">
        <v>-25.2</v>
      </c>
      <c r="K6" s="1" t="n">
        <v>84.3</v>
      </c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22</v>
      </c>
      <c r="Q6" s="1" t="s">
        <v>48</v>
      </c>
      <c r="R6" s="1" t="n">
        <f aca="false">COUNTIF(J$2:J$1500,"&lt;-15")-SUM(R2:R5)</f>
        <v>59</v>
      </c>
      <c r="S6" s="2" t="s">
        <v>49</v>
      </c>
      <c r="T6" s="1" t="n">
        <f aca="false">COUNTIFS(J$2:J$1500, "&gt;15",I$2:I$1500, "&lt;180")-SUM(T2:T5)</f>
        <v>16</v>
      </c>
      <c r="U6" s="1" t="n">
        <v>60</v>
      </c>
      <c r="V6" s="0" t="n">
        <f aca="false">SUMIFS(C$2:C$1500,C$2:C$1500, "&gt;=0",I$2:I$1500, "&lt;75",I$2:I$1500,"&gt;=60")</f>
        <v>50.3</v>
      </c>
      <c r="W6" s="2" t="s">
        <v>50</v>
      </c>
      <c r="X6" s="0" t="n">
        <f aca="false">SUMIFS(C$2:C$1500,C$2:C$1500, "&gt;=0",J$2:J$1500, "&lt;-15",J$2:J$1500,"&gt;=-30",I$2:I$1500,"&lt;180")</f>
        <v>106.8</v>
      </c>
      <c r="Z6" s="0" t="n">
        <f aca="false">I6-23</f>
        <v>118.7</v>
      </c>
      <c r="AB6" s="0" t="n">
        <f aca="false">IF(Z6&lt;0,Z6+360,Z6+0)</f>
        <v>118.7</v>
      </c>
      <c r="AD6" s="1" t="n">
        <v>60</v>
      </c>
      <c r="AE6" s="1" t="n">
        <f aca="false">COUNTIF(AB$2:AB$1500,"&lt;75")-SUM(AE2:AE5)</f>
        <v>15</v>
      </c>
      <c r="AF6" s="1"/>
      <c r="AG6" s="1" t="n">
        <v>60</v>
      </c>
      <c r="AH6" s="0" t="n">
        <f aca="false">SUMIFS(C$2:C$1500,C$2:C$1500, "&gt;=0",AB$2:AB$1500, "&lt;75",AB$2:AB$1500,"&gt;=60")</f>
        <v>47.5</v>
      </c>
      <c r="AJ6" s="1" t="s">
        <v>48</v>
      </c>
      <c r="AK6" s="0" t="n">
        <f aca="false">SUMIF($J$2:$J$2000,"&lt;-15",$C$2:$C$2000)-SUM($AK$2:$AK$5)</f>
        <v>142.4</v>
      </c>
      <c r="AM6" s="1" t="s">
        <v>51</v>
      </c>
      <c r="AN6" s="0" t="n">
        <f aca="false">AE6+AE9+AE18+AE21</f>
        <v>67</v>
      </c>
      <c r="AO6" s="1" t="s">
        <v>51</v>
      </c>
      <c r="AP6" s="0" t="n">
        <f aca="false">R13+R3</f>
        <v>13</v>
      </c>
      <c r="AR6" s="1" t="s">
        <v>51</v>
      </c>
      <c r="AS6" s="0" t="n">
        <f aca="false">AH6+AH9+AH18+AH21</f>
        <v>130.2</v>
      </c>
      <c r="AU6" s="0" t="n">
        <f aca="false">AK13+AK3</f>
        <v>20.2</v>
      </c>
    </row>
    <row r="7" customFormat="false" ht="15.8" hidden="false" customHeight="false" outlineLevel="0" collapsed="false">
      <c r="A7" s="1" t="n">
        <v>1</v>
      </c>
      <c r="B7" s="1" t="n">
        <v>9</v>
      </c>
      <c r="C7" s="1" t="n">
        <v>1.3</v>
      </c>
      <c r="D7" s="1" t="n">
        <v>1.2477</v>
      </c>
      <c r="E7" s="1" t="n">
        <v>0.0342908</v>
      </c>
      <c r="F7" s="1" t="n">
        <v>7.46192E-005</v>
      </c>
      <c r="G7" s="1" t="s">
        <v>27</v>
      </c>
      <c r="H7" s="1" t="n">
        <v>79.8</v>
      </c>
      <c r="I7" s="1" t="n">
        <v>244.6</v>
      </c>
      <c r="J7" s="1" t="n">
        <v>21.6</v>
      </c>
      <c r="K7" s="1"/>
      <c r="L7" s="1" t="n">
        <v>0</v>
      </c>
      <c r="M7" s="1" t="n">
        <v>0</v>
      </c>
      <c r="N7" s="1" t="s">
        <v>47</v>
      </c>
      <c r="O7" s="1" t="n">
        <v>75</v>
      </c>
      <c r="P7" s="1" t="n">
        <f aca="false">COUNTIF(I$2:I$1500,"&lt;90")-SUM(P2:P6)</f>
        <v>21</v>
      </c>
      <c r="Q7" s="1" t="s">
        <v>52</v>
      </c>
      <c r="R7" s="1" t="n">
        <f aca="false">COUNTIF(J$2:J$1500,"&lt;0")-SUM(R2:R6)</f>
        <v>33</v>
      </c>
      <c r="S7" s="2" t="s">
        <v>53</v>
      </c>
      <c r="T7" s="1" t="n">
        <f aca="false">COUNTIFS(J$2:J$1500, "&gt;0",I$2:I$1500, "&lt;180")-SUM(T2:T6)</f>
        <v>9</v>
      </c>
      <c r="U7" s="1" t="n">
        <v>75</v>
      </c>
      <c r="V7" s="0" t="n">
        <f aca="false">SUMIFS(C$2:C$1500,C$2:C$1500, "&gt;=0",I$2:I$1500, "&lt;90",I$2:I$1500,"&gt;=75")</f>
        <v>72</v>
      </c>
      <c r="W7" s="2" t="s">
        <v>54</v>
      </c>
      <c r="X7" s="0" t="n">
        <f aca="false">SUMIFS(C$2:C$1500,C$2:C$1500, "&gt;=0",J$2:J$1500, "&lt;0",J$2:J$1500,"&gt;=-15",I$2:I$1500,"&lt;180")</f>
        <v>77.8</v>
      </c>
      <c r="Z7" s="0" t="n">
        <f aca="false">I7-23</f>
        <v>221.6</v>
      </c>
      <c r="AB7" s="0" t="n">
        <f aca="false">IF(Z7&lt;0,Z7+360,Z7+0)</f>
        <v>221.6</v>
      </c>
      <c r="AD7" s="1" t="n">
        <v>75</v>
      </c>
      <c r="AE7" s="1" t="n">
        <f aca="false">COUNTIF(AB$2:AB$1500,"&lt;90")-SUM(AE2:AE6)</f>
        <v>25</v>
      </c>
      <c r="AF7" s="1"/>
      <c r="AG7" s="1" t="n">
        <v>75</v>
      </c>
      <c r="AH7" s="0" t="n">
        <f aca="false">SUMIFS(C$2:C$1500,C$2:C$1500, "&gt;=0",AB$2:AB$1500, "&lt;90",AB$2:AB$1500,"&gt;=75")</f>
        <v>52.1</v>
      </c>
      <c r="AJ7" s="1" t="s">
        <v>52</v>
      </c>
      <c r="AK7" s="0" t="n">
        <f aca="false">SUMIF($J$2:$J$2000,"&lt;0",$C$2:$C$2000)-SUM($AK$2:$AK$6)</f>
        <v>123.4</v>
      </c>
      <c r="AM7" s="1" t="s">
        <v>55</v>
      </c>
      <c r="AN7" s="0" t="n">
        <f aca="false">AE7+AE8+AE19+AE20</f>
        <v>66</v>
      </c>
      <c r="AO7" s="1" t="s">
        <v>55</v>
      </c>
      <c r="AP7" s="0" t="n">
        <f aca="false">R14+R2</f>
        <v>2</v>
      </c>
      <c r="AR7" s="1" t="s">
        <v>55</v>
      </c>
      <c r="AS7" s="0" t="n">
        <f aca="false">AH7+AH8+AH19+AH20</f>
        <v>132.2</v>
      </c>
      <c r="AU7" s="0" t="n">
        <f aca="false">AK14+AK2</f>
        <v>3.80000000000005</v>
      </c>
    </row>
    <row r="8" customFormat="false" ht="15.8" hidden="false" customHeight="false" outlineLevel="0" collapsed="false">
      <c r="A8" s="1" t="n">
        <v>1</v>
      </c>
      <c r="B8" s="1" t="n">
        <v>8</v>
      </c>
      <c r="C8" s="1" t="n">
        <v>1.1</v>
      </c>
      <c r="D8" s="1" t="n">
        <v>1.2333</v>
      </c>
      <c r="E8" s="1" t="n">
        <v>0.0300392</v>
      </c>
      <c r="F8" s="1" t="n">
        <v>6.53675E-005</v>
      </c>
      <c r="G8" s="1" t="s">
        <v>37</v>
      </c>
      <c r="H8" s="1" t="n">
        <v>75</v>
      </c>
      <c r="I8" s="1" t="n">
        <v>177.5</v>
      </c>
      <c r="J8" s="1" t="n">
        <v>-24.5</v>
      </c>
      <c r="K8" s="1" t="n">
        <v>79.8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18</v>
      </c>
      <c r="Q8" s="0" t="s">
        <v>57</v>
      </c>
      <c r="R8" s="1" t="n">
        <f aca="false">COUNTIF(J$2:J$1500,"=0")</f>
        <v>147</v>
      </c>
      <c r="S8" s="2" t="s">
        <v>58</v>
      </c>
      <c r="T8" s="1" t="n">
        <f aca="false">COUNTIFS(J$2:J$1500, "&gt;-15",I$2:I$1500, "&lt;180")-SUM(T2:T7)</f>
        <v>101</v>
      </c>
      <c r="U8" s="1" t="n">
        <v>90</v>
      </c>
      <c r="V8" s="0" t="n">
        <f aca="false">SUMIFS(C$2:C$1500,C$2:C$1500, "&gt;=0",I$2:I$1500, "&lt;105",I$2:I$1500,"&gt;=90")</f>
        <v>38.4</v>
      </c>
      <c r="W8" s="2" t="s">
        <v>59</v>
      </c>
      <c r="X8" s="0" t="n">
        <f aca="false">SUMIFS(C$2:C$1500,C$2:C$1500, "&gt;=0",J$2:J$1500, "&lt;15",J$2:J$1500,"&gt;=0",I$2:I$1500,"&lt;180")</f>
        <v>127.9</v>
      </c>
      <c r="Z8" s="0" t="n">
        <f aca="false">I8-23</f>
        <v>154.5</v>
      </c>
      <c r="AB8" s="0" t="n">
        <f aca="false">IF(Z8&lt;0,Z8+360,Z8+0)</f>
        <v>154.5</v>
      </c>
      <c r="AD8" s="1" t="n">
        <v>90</v>
      </c>
      <c r="AE8" s="1" t="n">
        <f aca="false">COUNTIF(AB$2:AB$1500,"&lt;105")-SUM(AE2:AE7)</f>
        <v>13</v>
      </c>
      <c r="AF8" s="1"/>
      <c r="AG8" s="1" t="n">
        <v>90</v>
      </c>
      <c r="AH8" s="0" t="n">
        <f aca="false">SUMIFS(C$2:C$1500,C$2:C$1500, "&gt;=0",AB$2:AB$1500, "&lt;105",AB$2:AB$1500,"&gt;=90")</f>
        <v>32.7</v>
      </c>
      <c r="AJ8" s="0" t="s">
        <v>57</v>
      </c>
      <c r="AK8" s="0" t="n">
        <f aca="false">SUMIF($J$2:$J$2000,"=0",$C$2:$C$2000)</f>
        <v>193.3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8</v>
      </c>
      <c r="C9" s="1" t="n">
        <v>1</v>
      </c>
      <c r="D9" s="1" t="n">
        <v>1.2017</v>
      </c>
      <c r="E9" s="1" t="n">
        <v>0.0263889</v>
      </c>
      <c r="F9" s="1" t="n">
        <v>5.74241E-005</v>
      </c>
      <c r="G9" s="1" t="s">
        <v>27</v>
      </c>
      <c r="H9" s="1" t="n">
        <v>77.2</v>
      </c>
      <c r="I9" s="1" t="n">
        <v>28.4</v>
      </c>
      <c r="J9" s="1" t="n">
        <v>-27.4</v>
      </c>
      <c r="K9" s="1"/>
      <c r="L9" s="1" t="n">
        <v>0</v>
      </c>
      <c r="M9" s="1" t="n">
        <v>0</v>
      </c>
      <c r="N9" s="1" t="s">
        <v>56</v>
      </c>
      <c r="O9" s="1" t="n">
        <v>105</v>
      </c>
      <c r="P9" s="1" t="n">
        <f aca="false">COUNTIF(I$2:I$1500,"&lt;120")-SUM(P2:P8)</f>
        <v>20</v>
      </c>
      <c r="Q9" s="1" t="s">
        <v>60</v>
      </c>
      <c r="R9" s="1" t="n">
        <f aca="false">COUNTIF(J$2:J$1500,"&lt;15")-SUM(R2:R8)</f>
        <v>31</v>
      </c>
      <c r="S9" s="2" t="s">
        <v>61</v>
      </c>
      <c r="T9" s="1" t="n">
        <f aca="false">COUNTIFS(J$2:J$1500, "&gt;-30",I$2:I$1500, "&lt;180")-SUM(T2:T8)</f>
        <v>40</v>
      </c>
      <c r="U9" s="1" t="n">
        <v>105</v>
      </c>
      <c r="V9" s="0" t="n">
        <f aca="false">SUMIFS(C$2:C$1500,C$2:C$1500, "&gt;=0",I$2:I$1500, "&lt;120",I$2:I$1500,"&gt;=105")</f>
        <v>51.8</v>
      </c>
      <c r="W9" s="2" t="s">
        <v>62</v>
      </c>
      <c r="X9" s="0" t="n">
        <f aca="false">SUMIFS(C$2:C$1500,C$2:C$1500, "&gt;=0",J$2:J$1500, "&lt;30",J$2:J$1500,"&gt;=15",I$2:I$1500,"&lt;180")</f>
        <v>25.6</v>
      </c>
      <c r="Z9" s="0" t="n">
        <f aca="false">I9-23</f>
        <v>5.4</v>
      </c>
      <c r="AB9" s="0" t="n">
        <f aca="false">IF(Z9&lt;0,Z9+360,Z9+0)</f>
        <v>5.4</v>
      </c>
      <c r="AD9" s="1" t="n">
        <v>105</v>
      </c>
      <c r="AE9" s="1" t="n">
        <f aca="false">COUNTIF(AB$2:AB$1500,"&lt;120")-SUM(AE2:AE8)</f>
        <v>13</v>
      </c>
      <c r="AF9" s="1"/>
      <c r="AG9" s="1" t="n">
        <v>105</v>
      </c>
      <c r="AH9" s="0" t="n">
        <f aca="false">SUMIFS(C$2:C$1500,C$2:C$1500, "&gt;=0",AB$2:AB$1500, "&lt;120",AB$2:AB$1500,"&gt;=105")</f>
        <v>21</v>
      </c>
      <c r="AJ9" s="1" t="s">
        <v>60</v>
      </c>
      <c r="AK9" s="0" t="n">
        <f aca="false">SUMIF($J$2:$J$2000,"&lt;15",$C$2:$C$2000)-SUM($AK$2:$AK$8)</f>
        <v>127.1</v>
      </c>
      <c r="AM9" s="1" t="s">
        <v>63</v>
      </c>
      <c r="AN9" s="0" t="n">
        <f aca="false">SUM(AN2:AN7)</f>
        <v>384</v>
      </c>
      <c r="AO9" s="1" t="s">
        <v>63</v>
      </c>
      <c r="AP9" s="0" t="n">
        <f aca="false">SUM(AP2:AP7)</f>
        <v>384</v>
      </c>
      <c r="AR9" s="1" t="s">
        <v>63</v>
      </c>
      <c r="AS9" s="0" t="n">
        <f aca="false">SUM(AS2:AS7)</f>
        <v>799.6</v>
      </c>
      <c r="AT9" s="1" t="s">
        <v>63</v>
      </c>
      <c r="AU9" s="0" t="n">
        <f aca="false">SUM(AU2:AU7)</f>
        <v>799.6</v>
      </c>
    </row>
    <row r="10" customFormat="false" ht="15.8" hidden="false" customHeight="false" outlineLevel="0" collapsed="false">
      <c r="A10" s="1" t="n">
        <v>1</v>
      </c>
      <c r="B10" s="1" t="n">
        <v>7</v>
      </c>
      <c r="C10" s="1" t="n">
        <v>0.4</v>
      </c>
      <c r="D10" s="1" t="n">
        <v>1.0526</v>
      </c>
      <c r="E10" s="1" t="n">
        <v>0.0103304</v>
      </c>
      <c r="F10" s="1" t="n">
        <v>2.24796E-005</v>
      </c>
      <c r="G10" s="1" t="s">
        <v>37</v>
      </c>
      <c r="H10" s="1" t="n">
        <v>58</v>
      </c>
      <c r="I10" s="1" t="n">
        <v>104</v>
      </c>
      <c r="J10" s="1" t="n">
        <v>0</v>
      </c>
      <c r="K10" s="1" t="n">
        <v>77.2</v>
      </c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12</v>
      </c>
      <c r="Q10" s="1" t="s">
        <v>65</v>
      </c>
      <c r="R10" s="1" t="n">
        <f aca="false">COUNTIF(J$2:J$1500,"&lt;30")-SUM(R2:R9)</f>
        <v>46</v>
      </c>
      <c r="S10" s="2" t="s">
        <v>66</v>
      </c>
      <c r="T10" s="1" t="n">
        <f aca="false">COUNTIFS(J$2:J$1500, "&gt;-45",I$2:I$1500, "&lt;180")-SUM(T2:T9)</f>
        <v>13</v>
      </c>
      <c r="U10" s="1" t="n">
        <v>120</v>
      </c>
      <c r="V10" s="0" t="n">
        <f aca="false">SUMIFS(C$2:C$1500,C$2:C$1500, "&gt;=0",I$2:I$1500, "&lt;135",I$2:I$1500,"&gt;=120")</f>
        <v>14.9</v>
      </c>
      <c r="W10" s="2" t="s">
        <v>67</v>
      </c>
      <c r="X10" s="0" t="n">
        <f aca="false">SUMIFS(C$2:C$1500,C$2:C$1500, "&gt;=0",J$2:J$1500, "&lt;45",J$2:J$1500,"&gt;=30",I$2:I$1500,"&lt;180")</f>
        <v>6.4</v>
      </c>
      <c r="Z10" s="0" t="n">
        <f aca="false">I10-23</f>
        <v>81</v>
      </c>
      <c r="AB10" s="0" t="n">
        <f aca="false">IF(Z10&lt;0,Z10+360,Z10+0)</f>
        <v>81</v>
      </c>
      <c r="AD10" s="1" t="n">
        <v>120</v>
      </c>
      <c r="AE10" s="1" t="n">
        <f aca="false">COUNTIF(AB$2:AB$1500,"&lt;135")-SUM(AE2:AE9)</f>
        <v>12</v>
      </c>
      <c r="AF10" s="1"/>
      <c r="AG10" s="1" t="n">
        <v>120</v>
      </c>
      <c r="AH10" s="0" t="n">
        <f aca="false">SUMIFS(C$2:C$1500,C$2:C$1500, "&gt;=0",AB$2:AB$1500, "&lt;135",AB$2:AB$1500,"&gt;=120")</f>
        <v>21</v>
      </c>
      <c r="AJ10" s="1" t="s">
        <v>65</v>
      </c>
      <c r="AK10" s="0" t="n">
        <f aca="false">SUMIF($J$2:$J$2000,"&lt;30",$C$2:$C$2000)-SUM($AK$2:$AK$9)</f>
        <v>86.7999999999998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7</v>
      </c>
      <c r="C11" s="1" t="n">
        <v>1.1</v>
      </c>
      <c r="D11" s="1" t="n">
        <v>1.3629</v>
      </c>
      <c r="E11" s="1" t="n">
        <v>0.0307485</v>
      </c>
      <c r="F11" s="1" t="n">
        <v>6.6911E-005</v>
      </c>
      <c r="G11" s="1" t="s">
        <v>27</v>
      </c>
      <c r="H11" s="1" t="n">
        <v>51.1</v>
      </c>
      <c r="I11" s="1" t="n">
        <v>11.6</v>
      </c>
      <c r="J11" s="1" t="n">
        <v>26.6</v>
      </c>
      <c r="K11" s="1"/>
      <c r="L11" s="1" t="n">
        <v>0</v>
      </c>
      <c r="M11" s="1" t="n">
        <v>0</v>
      </c>
      <c r="N11" s="1" t="s">
        <v>64</v>
      </c>
      <c r="O11" s="1" t="n">
        <v>135</v>
      </c>
      <c r="P11" s="1" t="n">
        <f aca="false">COUNTIF(I$2:I$1500,"&lt;150")-SUM(P2:P10)</f>
        <v>13</v>
      </c>
      <c r="Q11" s="1" t="s">
        <v>68</v>
      </c>
      <c r="R11" s="1" t="n">
        <f aca="false">COUNTIF(J$2:J$1500,"&lt;45")-SUM(R2:R10)</f>
        <v>20</v>
      </c>
      <c r="S11" s="2" t="s">
        <v>69</v>
      </c>
      <c r="T11" s="1" t="n">
        <f aca="false">COUNTIFS(J$2:J$1500, "&gt;-60",I$2:I$1500, "&lt;180")-SUM(T2:T10)</f>
        <v>7</v>
      </c>
      <c r="U11" s="1" t="n">
        <v>135</v>
      </c>
      <c r="V11" s="0" t="n">
        <f aca="false">SUMIFS(C$2:C$1500,C$2:C$1500, "&gt;=0",I$2:I$1500, "&lt;150",I$2:I$1500,"&gt;=135")</f>
        <v>19.8</v>
      </c>
      <c r="W11" s="2" t="s">
        <v>70</v>
      </c>
      <c r="X11" s="0" t="n">
        <f aca="false">SUMIFS(C$2:C$1500,C$2:C$1500, "&gt;=0",J$2:J$1500, "&lt;60",J$2:J$1500,"&gt;=45",I$2:I$1500,"&lt;180")</f>
        <v>3.4</v>
      </c>
      <c r="Z11" s="0" t="n">
        <f aca="false">I11-23</f>
        <v>-11.4</v>
      </c>
      <c r="AB11" s="0" t="n">
        <f aca="false">IF(Z11&lt;0,Z11+360,Z11+0)</f>
        <v>348.6</v>
      </c>
      <c r="AD11" s="1" t="n">
        <v>135</v>
      </c>
      <c r="AE11" s="1" t="n">
        <f aca="false">COUNTIF(AB$2:AB$1500,"&lt;150")-SUM(AE2:AE10)</f>
        <v>14</v>
      </c>
      <c r="AF11" s="1"/>
      <c r="AG11" s="1" t="n">
        <v>135</v>
      </c>
      <c r="AH11" s="0" t="n">
        <f aca="false">SUMIFS(C$2:C$1500,C$2:C$1500, "&gt;=0",AB$2:AB$1500, "&lt;150",AB$2:AB$1500,"&gt;=135")</f>
        <v>23.1</v>
      </c>
      <c r="AJ11" s="1" t="s">
        <v>68</v>
      </c>
      <c r="AK11" s="0" t="n">
        <f aca="false">SUMIF($J$2:$J$2000,"&lt;45",$C$2:$C$2000)-SUM($AK$2:$AK$10)</f>
        <v>35.6</v>
      </c>
    </row>
    <row r="12" customFormat="false" ht="15.8" hidden="false" customHeight="false" outlineLevel="0" collapsed="false">
      <c r="A12" s="1" t="n">
        <v>1</v>
      </c>
      <c r="B12" s="1" t="n">
        <v>6</v>
      </c>
      <c r="C12" s="1" t="n">
        <v>2.1</v>
      </c>
      <c r="D12" s="1" t="n">
        <v>1.1024</v>
      </c>
      <c r="E12" s="1" t="n">
        <v>0.0566115</v>
      </c>
      <c r="F12" s="1" t="n">
        <v>0.000123191</v>
      </c>
      <c r="G12" s="1" t="s">
        <v>37</v>
      </c>
      <c r="H12" s="1" t="n">
        <v>11.9</v>
      </c>
      <c r="I12" s="1" t="n">
        <v>46.7</v>
      </c>
      <c r="J12" s="1" t="n">
        <v>-11.4</v>
      </c>
      <c r="K12" s="1" t="n">
        <v>58</v>
      </c>
      <c r="L12" s="1" t="n">
        <v>0</v>
      </c>
      <c r="M12" s="1" t="n">
        <v>0</v>
      </c>
      <c r="N12" s="1" t="s">
        <v>71</v>
      </c>
      <c r="O12" s="1" t="n">
        <v>150</v>
      </c>
      <c r="P12" s="1" t="n">
        <f aca="false">COUNTIF(I$2:I$1500,"&lt;165")-SUM(P2:P11)</f>
        <v>14</v>
      </c>
      <c r="Q12" s="1" t="s">
        <v>72</v>
      </c>
      <c r="R12" s="1" t="n">
        <f aca="false">COUNTIF(J$2:J$1500,"&lt;60")-SUM(R2:R11)</f>
        <v>7</v>
      </c>
      <c r="S12" s="2" t="s">
        <v>73</v>
      </c>
      <c r="T12" s="1" t="n">
        <f aca="false">COUNTIFS(J$2:J$1500, "&gt;-75",I$2:I$1500, "&lt;180")-SUM(T2:T11)</f>
        <v>5</v>
      </c>
      <c r="U12" s="1" t="n">
        <v>150</v>
      </c>
      <c r="V12" s="0" t="n">
        <f aca="false">SUMIFS(C$2:C$1500,C$2:C$1500, "&gt;=0",I$2:I$1500, "&lt;165",I$2:I$1500,"&gt;=150")</f>
        <v>27.6</v>
      </c>
      <c r="W12" s="2" t="s">
        <v>74</v>
      </c>
      <c r="X12" s="0" t="n">
        <f aca="false">SUMIFS(C$2:C$1500,C$2:C$1500, "&gt;=0",J$2:J$1500, "&lt;75",J$2:J$1500,"&gt;=60",I$2:I$1500,"&lt;180")</f>
        <v>7.7</v>
      </c>
      <c r="Z12" s="0" t="n">
        <f aca="false">I12-23</f>
        <v>23.7</v>
      </c>
      <c r="AB12" s="0" t="n">
        <f aca="false">IF(Z12&lt;0,Z12+360,Z12+0)</f>
        <v>23.7</v>
      </c>
      <c r="AD12" s="1" t="n">
        <v>150</v>
      </c>
      <c r="AE12" s="1" t="n">
        <f aca="false">COUNTIF(AB$2:AB$1500,"&lt;165")-SUM(AE2:AE11)</f>
        <v>16</v>
      </c>
      <c r="AF12" s="1"/>
      <c r="AG12" s="1" t="n">
        <v>150</v>
      </c>
      <c r="AH12" s="0" t="n">
        <f aca="false">SUMIFS(C$2:C$1500,C$2:C$1500, "&gt;=0",AB$2:AB$1500, "&lt;165",AB$2:AB$1500,"&gt;=150")</f>
        <v>24.8</v>
      </c>
      <c r="AJ12" s="1" t="s">
        <v>72</v>
      </c>
      <c r="AK12" s="0" t="n">
        <f aca="false">SUMIF($J$2:$J$2000,"&lt;60",$C$2:$C$2000)-SUM($AK$2:$AK$11)</f>
        <v>12.0999999999999</v>
      </c>
    </row>
    <row r="13" customFormat="false" ht="15.8" hidden="false" customHeight="false" outlineLevel="0" collapsed="false">
      <c r="A13" s="1" t="n">
        <v>1</v>
      </c>
      <c r="B13" s="1" t="n">
        <v>6</v>
      </c>
      <c r="C13" s="1" t="n">
        <v>1.5</v>
      </c>
      <c r="D13" s="1" t="n">
        <v>1.3293</v>
      </c>
      <c r="E13" s="1" t="n">
        <v>0.0418333</v>
      </c>
      <c r="F13" s="1" t="n">
        <v>9.10322E-005</v>
      </c>
      <c r="G13" s="1" t="s">
        <v>27</v>
      </c>
      <c r="H13" s="1" t="n">
        <v>139.6</v>
      </c>
      <c r="I13" s="1" t="n">
        <v>266.8</v>
      </c>
      <c r="J13" s="1" t="n">
        <v>18.8</v>
      </c>
      <c r="K13" s="1"/>
      <c r="L13" s="1" t="n">
        <v>0</v>
      </c>
      <c r="M13" s="1" t="n">
        <v>0</v>
      </c>
      <c r="N13" s="1" t="s">
        <v>71</v>
      </c>
      <c r="O13" s="1" t="n">
        <v>165</v>
      </c>
      <c r="P13" s="1" t="n">
        <f aca="false">COUNTIF(I$2:I$1500,"&lt;180")-SUM(P2:P12)</f>
        <v>13</v>
      </c>
      <c r="Q13" s="1" t="s">
        <v>75</v>
      </c>
      <c r="R13" s="1" t="n">
        <f aca="false">COUNTIF(J$2:J$1500,"&lt;75")-SUM(R2:R12)</f>
        <v>6</v>
      </c>
      <c r="S13" s="2" t="s">
        <v>76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20.3</v>
      </c>
      <c r="W13" s="2" t="s">
        <v>77</v>
      </c>
      <c r="X13" s="0" t="n">
        <f aca="false">SUMIFS(C$2:C$1500,C$2:C$1500, "&gt;=0",J$2:J$1500, "&lt;90",J$2:J$1500,"&gt;=75",I$2:I$1500,"&lt;180")</f>
        <v>0</v>
      </c>
      <c r="Z13" s="0" t="n">
        <f aca="false">I13-23</f>
        <v>243.8</v>
      </c>
      <c r="AB13" s="0" t="n">
        <f aca="false">IF(Z13&lt;0,Z13+360,Z13+0)</f>
        <v>243.8</v>
      </c>
      <c r="AD13" s="1" t="n">
        <v>165</v>
      </c>
      <c r="AE13" s="1" t="n">
        <f aca="false">COUNTIF(AB$2:AB$1500,"&lt;180")-SUM(AE2:AE12)</f>
        <v>9</v>
      </c>
      <c r="AF13" s="1"/>
      <c r="AG13" s="1" t="n">
        <v>165</v>
      </c>
      <c r="AH13" s="0" t="n">
        <f aca="false">SUMIFS(C$2:C$1500,C$2:C$1500, "&gt;=0",AB$2:AB$1500, "&lt;180",AB$2:AB$1500,"&gt;=165")</f>
        <v>15.1</v>
      </c>
      <c r="AJ13" s="1" t="s">
        <v>75</v>
      </c>
      <c r="AK13" s="0" t="n">
        <f aca="false">SUMIF($J$2:$J$2000,"&lt;75",$C$2:$C$2000)-SUM($AK$2:$AK$12)</f>
        <v>9.5</v>
      </c>
    </row>
    <row r="14" customFormat="false" ht="15.8" hidden="false" customHeight="false" outlineLevel="0" collapsed="false">
      <c r="A14" s="1" t="n">
        <v>1</v>
      </c>
      <c r="B14" s="1" t="n">
        <v>5</v>
      </c>
      <c r="C14" s="1" t="n">
        <v>0.9</v>
      </c>
      <c r="D14" s="1" t="n">
        <v>1.019</v>
      </c>
      <c r="E14" s="1" t="n">
        <v>0.0258376</v>
      </c>
      <c r="F14" s="1" t="n">
        <v>5.62244E-005</v>
      </c>
      <c r="G14" s="1" t="s">
        <v>37</v>
      </c>
      <c r="H14" s="1" t="n">
        <v>41.5</v>
      </c>
      <c r="I14" s="1" t="n">
        <v>50.3</v>
      </c>
      <c r="J14" s="1" t="n">
        <v>0</v>
      </c>
      <c r="K14" s="1" t="n">
        <v>139.6</v>
      </c>
      <c r="L14" s="1" t="n">
        <v>0</v>
      </c>
      <c r="M14" s="1" t="n">
        <v>0</v>
      </c>
      <c r="N14" s="1" t="s">
        <v>78</v>
      </c>
      <c r="O14" s="1" t="n">
        <v>180</v>
      </c>
      <c r="P14" s="1" t="n">
        <f aca="false">COUNTIF(I$2:I$1500,"&lt;195")-SUM(P2:P13)</f>
        <v>14</v>
      </c>
      <c r="Q14" s="1" t="s">
        <v>79</v>
      </c>
      <c r="R14" s="1" t="n">
        <f aca="false">COUNTIF(J$2:J$1500,"&lt;=90")-SUM(R2:R13)</f>
        <v>1</v>
      </c>
      <c r="S14" s="2" t="s">
        <v>80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20.4</v>
      </c>
      <c r="W14" s="2" t="s">
        <v>81</v>
      </c>
      <c r="X14" s="0" t="n">
        <f aca="false">SUMIFS(C$2:C$1500,C$2:C$1500, "&gt;=0",J$2:J$1500, "&lt;90",J$2:J$1500,"&gt;=75",I$2:I$1500,"&gt;=180")</f>
        <v>1.2</v>
      </c>
      <c r="Z14" s="0" t="n">
        <f aca="false">I14-23</f>
        <v>27.3</v>
      </c>
      <c r="AB14" s="0" t="n">
        <f aca="false">IF(Z14&lt;0,Z14+360,Z14+0)</f>
        <v>27.3</v>
      </c>
      <c r="AD14" s="1" t="n">
        <v>180</v>
      </c>
      <c r="AE14" s="1" t="n">
        <f aca="false">COUNTIF(AB$2:AB$1500,"&lt;195")-SUM(AE2:AE13)</f>
        <v>20</v>
      </c>
      <c r="AF14" s="1"/>
      <c r="AG14" s="1" t="n">
        <v>180</v>
      </c>
      <c r="AH14" s="0" t="n">
        <f aca="false">SUMIFS(C$2:C$1500,C$2:C$1500, "&gt;=0",AB$2:AB$1500, "&lt;195",AB$2:AB$1500,"&gt;=180")</f>
        <v>44.2</v>
      </c>
      <c r="AJ14" s="1" t="s">
        <v>79</v>
      </c>
      <c r="AK14" s="0" t="n">
        <f aca="false">SUMIF($J$2:$J$2000,"&lt;90",$C$2:$C$2000)-SUM($AK$2:$AK$13)</f>
        <v>1.20000000000005</v>
      </c>
    </row>
    <row r="15" customFormat="false" ht="15.8" hidden="false" customHeight="false" outlineLevel="0" collapsed="false">
      <c r="A15" s="1" t="n">
        <v>1</v>
      </c>
      <c r="B15" s="1" t="n">
        <v>5</v>
      </c>
      <c r="C15" s="1" t="n">
        <v>2.9</v>
      </c>
      <c r="D15" s="1" t="n">
        <v>1.0577</v>
      </c>
      <c r="E15" s="1" t="n">
        <v>0.0784441</v>
      </c>
      <c r="F15" s="1" t="n">
        <v>0.0001707</v>
      </c>
      <c r="G15" s="1" t="s">
        <v>27</v>
      </c>
      <c r="H15" s="1" t="n">
        <v>120.6</v>
      </c>
      <c r="I15" s="1" t="n">
        <v>209.2</v>
      </c>
      <c r="J15" s="1" t="n">
        <v>0</v>
      </c>
      <c r="K15" s="1"/>
      <c r="L15" s="1" t="n">
        <v>0</v>
      </c>
      <c r="M15" s="1" t="n">
        <v>0</v>
      </c>
      <c r="N15" s="1" t="s">
        <v>78</v>
      </c>
      <c r="O15" s="1" t="n">
        <v>195</v>
      </c>
      <c r="P15" s="1" t="n">
        <f aca="false">COUNTIF(I$2:I$1500,"&lt;210")-SUM(P2:P14)</f>
        <v>14</v>
      </c>
      <c r="R15" s="1"/>
      <c r="S15" s="2" t="s">
        <v>82</v>
      </c>
      <c r="T15" s="1" t="n">
        <f aca="false">COUNTIFS(J$2:J$1500, "&gt;-75",I$2:I$1500, "&gt;=180")-SUM(T16:T25)</f>
        <v>2</v>
      </c>
      <c r="U15" s="1" t="n">
        <v>195</v>
      </c>
      <c r="V15" s="0" t="n">
        <f aca="false">SUMIFS(C$2:C$1500,C$2:C$1500, "&gt;=0",I$2:I$1500, "&lt;210",I$2:I$1500,"&gt;=195")</f>
        <v>30.3</v>
      </c>
      <c r="W15" s="2" t="s">
        <v>83</v>
      </c>
      <c r="X15" s="0" t="n">
        <f aca="false">SUMIFS(C$2:C$1500,C$2:C$1500, "&gt;=0",J$2:J$1500, "&lt;75",J$2:J$1500,"&gt;=60",I$2:I$1500,"&gt;=180")</f>
        <v>1.8</v>
      </c>
      <c r="Z15" s="0" t="n">
        <f aca="false">I15-23</f>
        <v>186.2</v>
      </c>
      <c r="AB15" s="0" t="n">
        <f aca="false">IF(Z15&lt;0,Z15+360,Z15+0)</f>
        <v>186.2</v>
      </c>
      <c r="AD15" s="1" t="n">
        <v>195</v>
      </c>
      <c r="AE15" s="1" t="n">
        <f aca="false">COUNTIF(AB$2:AB$1500,"&lt;210")-SUM(AE2:AE14)</f>
        <v>18</v>
      </c>
      <c r="AF15" s="1"/>
      <c r="AG15" s="1" t="n">
        <v>195</v>
      </c>
      <c r="AH15" s="0" t="n">
        <f aca="false">SUMIFS(C$2:C$1500,C$2:C$1500, "&gt;=0",AB$2:AB$1500, "&lt;210",AB$2:AB$1500,"&gt;=195")</f>
        <v>51.9</v>
      </c>
    </row>
    <row r="16" customFormat="false" ht="15.8" hidden="false" customHeight="false" outlineLevel="0" collapsed="false">
      <c r="A16" s="1" t="n">
        <v>1</v>
      </c>
      <c r="B16" s="1" t="n">
        <v>4</v>
      </c>
      <c r="C16" s="1" t="n">
        <v>3.4</v>
      </c>
      <c r="D16" s="1" t="n">
        <v>1.245</v>
      </c>
      <c r="E16" s="1" t="n">
        <v>0.0938557</v>
      </c>
      <c r="F16" s="1" t="n">
        <v>0.000204236</v>
      </c>
      <c r="G16" s="1" t="s">
        <v>37</v>
      </c>
      <c r="H16" s="1" t="n">
        <v>17.3</v>
      </c>
      <c r="I16" s="1" t="n">
        <v>85.4</v>
      </c>
      <c r="J16" s="1" t="n">
        <v>-23.7</v>
      </c>
      <c r="K16" s="1" t="n">
        <v>120.6</v>
      </c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14</v>
      </c>
      <c r="S16" s="2" t="s">
        <v>85</v>
      </c>
      <c r="T16" s="1" t="n">
        <f aca="false">COUNTIFS(J$2:J$1500, "&gt;-60",I$2:I$1500, "&gt;=180")-SUM(T17:T25)</f>
        <v>3</v>
      </c>
      <c r="U16" s="1" t="n">
        <v>210</v>
      </c>
      <c r="V16" s="0" t="n">
        <f aca="false">SUMIFS(C$2:C$1500,C$2:C$1500, "&gt;=0",I$2:I$1500, "&lt;225",I$2:I$1500,"&gt;=210")</f>
        <v>30.6</v>
      </c>
      <c r="W16" s="2" t="s">
        <v>86</v>
      </c>
      <c r="X16" s="0" t="n">
        <f aca="false">SUMIFS(C$2:C$1500,C$2:C$1500, "&gt;=0",J$2:J$1500, "&lt;60",J$2:J$1500,"&gt;=45",I$2:I$1500,"&gt;=180")</f>
        <v>8.7</v>
      </c>
      <c r="Z16" s="0" t="n">
        <f aca="false">I16-23</f>
        <v>62.4</v>
      </c>
      <c r="AB16" s="0" t="n">
        <f aca="false">IF(Z16&lt;0,Z16+360,Z16+0)</f>
        <v>62.4</v>
      </c>
      <c r="AD16" s="1" t="n">
        <v>210</v>
      </c>
      <c r="AE16" s="1" t="n">
        <f aca="false">COUNTIF(AB$2:AB$1500,"&lt;225")-SUM(AE2:AE15)</f>
        <v>18</v>
      </c>
      <c r="AF16" s="1"/>
      <c r="AG16" s="1" t="n">
        <v>210</v>
      </c>
      <c r="AH16" s="0" t="n">
        <f aca="false">SUMIFS(C$2:C$1500,C$2:C$1500, "&gt;=0",AB$2:AB$1500, "&lt;225",AB$2:AB$1500,"&gt;=210")</f>
        <v>46.2</v>
      </c>
    </row>
    <row r="17" customFormat="false" ht="15.8" hidden="false" customHeight="false" outlineLevel="0" collapsed="false">
      <c r="A17" s="1" t="n">
        <v>1</v>
      </c>
      <c r="B17" s="1" t="n">
        <v>4</v>
      </c>
      <c r="C17" s="1" t="n">
        <v>2.1</v>
      </c>
      <c r="D17" s="1" t="n">
        <v>1.566</v>
      </c>
      <c r="E17" s="1" t="n">
        <v>0.0578025</v>
      </c>
      <c r="F17" s="1" t="n">
        <v>0.000125782</v>
      </c>
      <c r="G17" s="1" t="s">
        <v>27</v>
      </c>
      <c r="H17" s="1" t="n">
        <v>98.9</v>
      </c>
      <c r="I17" s="1" t="n">
        <v>202.8</v>
      </c>
      <c r="J17" s="1" t="n">
        <v>0</v>
      </c>
      <c r="K17" s="1"/>
      <c r="L17" s="1" t="n">
        <v>0</v>
      </c>
      <c r="M17" s="1" t="n">
        <v>0</v>
      </c>
      <c r="N17" s="1" t="s">
        <v>84</v>
      </c>
      <c r="O17" s="1" t="n">
        <v>225</v>
      </c>
      <c r="P17" s="1" t="n">
        <f aca="false">COUNTIF(I$2:I$1500,"&lt;240")-SUM(P2:P16)</f>
        <v>21</v>
      </c>
      <c r="S17" s="2" t="s">
        <v>87</v>
      </c>
      <c r="T17" s="1" t="n">
        <f aca="false">COUNTIFS(J$2:J$1500, "&gt;-45",I$2:I$1500, "&gt;=180")-SUM(T18:T25)</f>
        <v>3</v>
      </c>
      <c r="U17" s="1" t="n">
        <v>225</v>
      </c>
      <c r="V17" s="0" t="n">
        <f aca="false">SUMIFS(C$2:C$1500,C$2:C$1500, "&gt;=0",I$2:I$1500, "&lt;240",I$2:I$1500,"&gt;=225")</f>
        <v>61</v>
      </c>
      <c r="W17" s="2" t="s">
        <v>88</v>
      </c>
      <c r="X17" s="0" t="n">
        <f aca="false">SUMIFS(C$2:C$1500,C$2:C$1500, "&gt;=0",J$2:J$1500, "&lt;45",J$2:J$1500,"&gt;=30",I$2:I$1500,"&gt;=180")</f>
        <v>29.2</v>
      </c>
      <c r="Z17" s="0" t="n">
        <f aca="false">I17-23</f>
        <v>179.8</v>
      </c>
      <c r="AB17" s="0" t="n">
        <f aca="false">IF(Z17&lt;0,Z17+360,Z17+0)</f>
        <v>179.8</v>
      </c>
      <c r="AD17" s="1" t="n">
        <v>225</v>
      </c>
      <c r="AE17" s="1" t="n">
        <f aca="false">COUNTIF(AB$11:AB$1500,"&lt;240")-SUM(AE2:AE16)</f>
        <v>7</v>
      </c>
      <c r="AF17" s="1"/>
      <c r="AG17" s="1" t="n">
        <v>225</v>
      </c>
      <c r="AH17" s="0" t="n">
        <f aca="false">SUMIFS(C$2:C$1500,C$2:C$1500, "&gt;=0",AB$2:AB$1500, "&lt;240",AB$2:AB$1500,"&gt;=225")</f>
        <v>55.7</v>
      </c>
    </row>
    <row r="18" customFormat="false" ht="15.8" hidden="false" customHeight="false" outlineLevel="0" collapsed="false">
      <c r="A18" s="1" t="n">
        <v>1</v>
      </c>
      <c r="B18" s="1" t="n">
        <v>3</v>
      </c>
      <c r="C18" s="1" t="n">
        <v>4.1</v>
      </c>
      <c r="D18" s="1" t="n">
        <v>1.223</v>
      </c>
      <c r="E18" s="1" t="n">
        <v>0.113358</v>
      </c>
      <c r="F18" s="1" t="n">
        <v>0.000246676</v>
      </c>
      <c r="G18" s="1" t="s">
        <v>37</v>
      </c>
      <c r="H18" s="1" t="n">
        <v>16.2</v>
      </c>
      <c r="I18" s="1" t="n">
        <v>103.4</v>
      </c>
      <c r="J18" s="1" t="n">
        <v>-19.1</v>
      </c>
      <c r="K18" s="1" t="n">
        <v>98.9</v>
      </c>
      <c r="L18" s="1" t="n">
        <v>0</v>
      </c>
      <c r="M18" s="1" t="n">
        <v>0</v>
      </c>
      <c r="N18" s="1" t="s">
        <v>89</v>
      </c>
      <c r="O18" s="1" t="n">
        <v>240</v>
      </c>
      <c r="P18" s="1" t="n">
        <f aca="false">COUNTIF(I$2:I$1500,"&lt;255")-SUM(P2:P17)</f>
        <v>19</v>
      </c>
      <c r="S18" s="2" t="s">
        <v>90</v>
      </c>
      <c r="T18" s="1" t="n">
        <f aca="false">COUNTIFS(J$2:J$1500, "&gt;-30",I$2:I$1500, "&gt;=180")-SUM(T19:T25)</f>
        <v>20</v>
      </c>
      <c r="U18" s="1" t="n">
        <v>240</v>
      </c>
      <c r="V18" s="0" t="n">
        <f aca="false">SUMIFS(C$2:C$1500,C$2:C$1500, "&gt;=0",I$2:I$1500, "&lt;255",I$2:I$1500,"&gt;=240")</f>
        <v>64.1</v>
      </c>
      <c r="W18" s="2" t="s">
        <v>91</v>
      </c>
      <c r="X18" s="0" t="n">
        <f aca="false">SUMIFS(C$2:C$1500,C$2:C$1500, "&gt;=0",J$2:J$1500, "&lt;30",J$2:J$1500,"&gt;=15",I$2:I$1500,"&gt;=180")</f>
        <v>61.2</v>
      </c>
      <c r="Z18" s="0" t="n">
        <f aca="false">I18-23</f>
        <v>80.4</v>
      </c>
      <c r="AB18" s="0" t="n">
        <f aca="false">IF(Z18&lt;0,Z18+360,Z18+0)</f>
        <v>80.4</v>
      </c>
      <c r="AD18" s="1" t="n">
        <v>240</v>
      </c>
      <c r="AE18" s="1" t="n">
        <f aca="false">COUNTIF(AB$2:AB$1500,"&lt;255")-SUM(AE2:AE17)</f>
        <v>29</v>
      </c>
      <c r="AF18" s="1"/>
      <c r="AG18" s="1" t="n">
        <v>240</v>
      </c>
      <c r="AH18" s="0" t="n">
        <f aca="false">SUMIFS(C$2:C$1500,C$2:C$1500, "&gt;=0",AB$2:AB$1500, "&lt;255",AB$2:AB$1500,"&gt;=240")</f>
        <v>42.6</v>
      </c>
    </row>
    <row r="19" customFormat="false" ht="15.8" hidden="false" customHeight="false" outlineLevel="0" collapsed="false">
      <c r="A19" s="1" t="n">
        <v>1</v>
      </c>
      <c r="B19" s="1" t="n">
        <v>3</v>
      </c>
      <c r="C19" s="1" t="n">
        <v>1</v>
      </c>
      <c r="D19" s="1" t="n">
        <v>1.0828</v>
      </c>
      <c r="E19" s="1" t="n">
        <v>0.0283494</v>
      </c>
      <c r="F19" s="1" t="n">
        <v>6.16902E-005</v>
      </c>
      <c r="G19" s="1" t="s">
        <v>27</v>
      </c>
      <c r="H19" s="1" t="n">
        <v>70.4</v>
      </c>
      <c r="I19" s="1" t="n">
        <v>36.9</v>
      </c>
      <c r="J19" s="1" t="n">
        <v>0</v>
      </c>
      <c r="K19" s="1"/>
      <c r="L19" s="1" t="n">
        <v>0</v>
      </c>
      <c r="M19" s="1" t="n">
        <v>0</v>
      </c>
      <c r="N19" s="1" t="s">
        <v>89</v>
      </c>
      <c r="O19" s="1" t="n">
        <v>255</v>
      </c>
      <c r="P19" s="1" t="n">
        <f aca="false">COUNTIF(I$2:I$1500,"&lt;270")-SUM(P2:P18)</f>
        <v>23</v>
      </c>
      <c r="S19" s="2" t="s">
        <v>92</v>
      </c>
      <c r="T19" s="1" t="n">
        <f aca="false">COUNTIFS(J$2:J$1500, "&gt;-15",I$2:I$1500, "&gt;=180")-SUM(T20:T25)</f>
        <v>78</v>
      </c>
      <c r="U19" s="1" t="n">
        <v>255</v>
      </c>
      <c r="V19" s="0" t="n">
        <f aca="false">SUMIFS(C$2:C$1500,C$2:C$1500, "&gt;=0",I$2:I$1500, "&lt;270",I$2:I$1500,"&gt;=255")</f>
        <v>51.8</v>
      </c>
      <c r="W19" s="2" t="s">
        <v>93</v>
      </c>
      <c r="X19" s="0" t="n">
        <f aca="false">SUMIFS(C$2:C$1500,C$2:C$1500, "&gt;=0",J$2:J$1500, "&lt;15",J$2:J$1500,"&gt;=0",I$2:I$1500,"&gt;=180")</f>
        <v>192.5</v>
      </c>
      <c r="Z19" s="0" t="n">
        <f aca="false">I19-23</f>
        <v>13.9</v>
      </c>
      <c r="AB19" s="0" t="n">
        <f aca="false">IF(Z19&lt;0,Z19+360,Z19+0)</f>
        <v>13.9</v>
      </c>
      <c r="AD19" s="1" t="n">
        <v>255</v>
      </c>
      <c r="AE19" s="1" t="n">
        <f aca="false">COUNTIF(AB$2:AB$1500,"&lt;270")-SUM(AE2:AE18)</f>
        <v>16</v>
      </c>
      <c r="AF19" s="1"/>
      <c r="AG19" s="1" t="n">
        <v>255</v>
      </c>
      <c r="AH19" s="0" t="n">
        <f aca="false">SUMIFS(C$2:C$1500,C$2:C$1500, "&gt;=0",AB$2:AB$1500, "&lt;270",AB$2:AB$1500,"&gt;=255")</f>
        <v>34.6</v>
      </c>
    </row>
    <row r="20" customFormat="false" ht="15.8" hidden="false" customHeight="false" outlineLevel="0" collapsed="false">
      <c r="A20" s="1" t="n">
        <v>1</v>
      </c>
      <c r="B20" s="1" t="n">
        <v>2</v>
      </c>
      <c r="C20" s="1" t="n">
        <v>7</v>
      </c>
      <c r="D20" s="1" t="n">
        <v>1.0976</v>
      </c>
      <c r="E20" s="1" t="n">
        <v>0.194227</v>
      </c>
      <c r="F20" s="1" t="n">
        <v>0.000435445</v>
      </c>
      <c r="G20" s="1" t="s">
        <v>37</v>
      </c>
      <c r="H20" s="1" t="n">
        <v>3.5</v>
      </c>
      <c r="I20" s="1" t="n">
        <v>107.3</v>
      </c>
      <c r="J20" s="1" t="n">
        <v>-3.3</v>
      </c>
      <c r="K20" s="1" t="n">
        <v>70.4</v>
      </c>
      <c r="L20" s="1" t="n">
        <v>0</v>
      </c>
      <c r="M20" s="1" t="n">
        <v>0</v>
      </c>
      <c r="N20" s="1" t="s">
        <v>94</v>
      </c>
      <c r="O20" s="1" t="n">
        <v>270</v>
      </c>
      <c r="P20" s="1" t="n">
        <f aca="false">COUNTIF(I$2:I$1500,"&lt;285")-SUM(P2:P19)</f>
        <v>17</v>
      </c>
      <c r="S20" s="2" t="s">
        <v>95</v>
      </c>
      <c r="T20" s="1" t="n">
        <f aca="false">COUNTIFS(J$2:J$1500, "&gt;0",I$2:I$1500, "&gt;=180")-SUM(T21:T25)</f>
        <v>22</v>
      </c>
      <c r="U20" s="1" t="n">
        <v>270</v>
      </c>
      <c r="V20" s="0" t="n">
        <f aca="false">SUMIFS(C$2:C$1500,C$2:C$1500, "&gt;=0",I$2:I$1500, "&lt;285",I$2:I$1500,"&gt;=270")</f>
        <v>39.9</v>
      </c>
      <c r="W20" s="2" t="s">
        <v>96</v>
      </c>
      <c r="X20" s="0" t="n">
        <f aca="false">SUMIFS(C$2:C$1500,C$2:C$1500, "&gt;=0",J$2:J$1500, "&lt;0",J$2:J$1500,"&gt;=-15",I$2:I$1500,"&gt;=180")</f>
        <v>45.6</v>
      </c>
      <c r="Z20" s="0" t="n">
        <f aca="false">I20-23</f>
        <v>84.3</v>
      </c>
      <c r="AB20" s="0" t="n">
        <f aca="false">IF(Z20&lt;0,Z20+360,Z20+0)</f>
        <v>84.3</v>
      </c>
      <c r="AD20" s="1" t="n">
        <v>270</v>
      </c>
      <c r="AE20" s="1" t="n">
        <f aca="false">COUNTIF(AB$2:AB$1500,"&lt;285")-SUM(AE2:AE19)</f>
        <v>12</v>
      </c>
      <c r="AF20" s="1"/>
      <c r="AG20" s="1" t="n">
        <v>270</v>
      </c>
      <c r="AH20" s="0" t="n">
        <f aca="false">SUMIFS(C$2:C$1500,C$2:C$1500, "&gt;=0",AB$2:AB$1500, "&lt;285",AB$2:AB$1500,"&gt;=270")</f>
        <v>12.8</v>
      </c>
    </row>
    <row r="21" customFormat="false" ht="15.8" hidden="false" customHeight="false" outlineLevel="0" collapsed="false">
      <c r="A21" s="1" t="n">
        <v>1</v>
      </c>
      <c r="B21" s="1" t="n">
        <v>11</v>
      </c>
      <c r="C21" s="1" t="n">
        <v>0.9</v>
      </c>
      <c r="D21" s="1" t="n">
        <v>1.0665</v>
      </c>
      <c r="E21" s="1" t="n">
        <v>0.0239256</v>
      </c>
      <c r="F21" s="1" t="n">
        <v>5.20638E-005</v>
      </c>
      <c r="G21" s="1" t="s">
        <v>27</v>
      </c>
      <c r="H21" s="1" t="n">
        <v>77.4</v>
      </c>
      <c r="I21" s="1" t="n">
        <v>107.3</v>
      </c>
      <c r="J21" s="1" t="n">
        <v>0</v>
      </c>
      <c r="K21" s="1"/>
      <c r="L21" s="1" t="n">
        <v>0</v>
      </c>
      <c r="M21" s="1" t="n">
        <v>0</v>
      </c>
      <c r="N21" s="1" t="s">
        <v>97</v>
      </c>
      <c r="O21" s="1" t="n">
        <v>285</v>
      </c>
      <c r="P21" s="1" t="n">
        <f aca="false">COUNTIF(I$2:I$1500,"&lt;300")-SUM(P2:P20)</f>
        <v>8</v>
      </c>
      <c r="S21" s="2" t="s">
        <v>98</v>
      </c>
      <c r="T21" s="1" t="n">
        <f aca="false">COUNTIFS(J$2:J$1500, "&gt;15",I$2:I$1500, "&gt;=180")-SUM(T22:T25)</f>
        <v>30</v>
      </c>
      <c r="U21" s="1" t="n">
        <v>285</v>
      </c>
      <c r="V21" s="0" t="n">
        <f aca="false">SUMIFS(C$2:C$1500,C$2:C$1500, "&gt;=0",I$2:I$1500, "&lt;300",I$2:I$1500,"&gt;=285")</f>
        <v>11.5</v>
      </c>
      <c r="W21" s="2" t="s">
        <v>99</v>
      </c>
      <c r="X21" s="0" t="n">
        <f aca="false">SUMIFS(C$2:C$1500,C$2:C$1500, "&gt;=0",J$2:J$1500, "&lt;-15",J$2:J$1500,"&gt;=-30",I$2:I$1500,"&gt;=180")</f>
        <v>35.6</v>
      </c>
      <c r="Z21" s="0" t="n">
        <f aca="false">I21-23</f>
        <v>84.3</v>
      </c>
      <c r="AB21" s="0" t="n">
        <f aca="false">IF(Z21&lt;0,Z21+360,Z21+0)</f>
        <v>84.3</v>
      </c>
      <c r="AD21" s="1" t="n">
        <v>285</v>
      </c>
      <c r="AE21" s="1" t="n">
        <f aca="false">COUNTIF(AB$2:AB$1500,"&lt;300")-SUM(AE2:AE20)</f>
        <v>10</v>
      </c>
      <c r="AF21" s="1"/>
      <c r="AG21" s="1" t="n">
        <v>285</v>
      </c>
      <c r="AH21" s="0" t="n">
        <f aca="false">SUMIFS(C$2:C$1500,C$2:C$1500, "&gt;=0",AB$2:AB$1500, "&lt;300",AB$2:AB$1500,"&gt;=285")</f>
        <v>19.1</v>
      </c>
    </row>
    <row r="22" customFormat="false" ht="15.8" hidden="false" customHeight="false" outlineLevel="0" collapsed="false">
      <c r="A22" s="1" t="n">
        <v>1</v>
      </c>
      <c r="B22" s="1" t="n">
        <v>11</v>
      </c>
      <c r="C22" s="1" t="n">
        <v>0.8</v>
      </c>
      <c r="D22" s="1" t="n">
        <v>1.0144</v>
      </c>
      <c r="E22" s="1" t="n">
        <v>0.0212382</v>
      </c>
      <c r="F22" s="1" t="n">
        <v>4.62157E-005</v>
      </c>
      <c r="G22" s="1" t="s">
        <v>27</v>
      </c>
      <c r="H22" s="1" t="n">
        <v>3.8</v>
      </c>
      <c r="I22" s="1" t="n">
        <v>188.5</v>
      </c>
      <c r="J22" s="1" t="n">
        <v>0</v>
      </c>
      <c r="K22" s="1"/>
      <c r="L22" s="1" t="n">
        <v>0</v>
      </c>
      <c r="M22" s="1" t="n">
        <v>0</v>
      </c>
      <c r="N22" s="1" t="s">
        <v>97</v>
      </c>
      <c r="O22" s="1" t="n">
        <v>300</v>
      </c>
      <c r="P22" s="1" t="n">
        <f aca="false">COUNTIF(I$2:I$1500,"&lt;315")-SUM(P2:P21)</f>
        <v>14</v>
      </c>
      <c r="S22" s="2" t="s">
        <v>100</v>
      </c>
      <c r="T22" s="1" t="n">
        <f aca="false">COUNTIFS(J$2:J$1500, "&gt;30",I$2:I$1500, "&gt;=180")-SUM(T23:T25)</f>
        <v>15</v>
      </c>
      <c r="U22" s="1" t="n">
        <v>300</v>
      </c>
      <c r="V22" s="0" t="n">
        <f aca="false">SUMIFS(C$2:C$1500,C$2:C$1500, "&gt;=0",I$2:I$1500, "&lt;315",I$2:I$1500,"&gt;=300")</f>
        <v>22.8</v>
      </c>
      <c r="W22" s="2" t="s">
        <v>101</v>
      </c>
      <c r="X22" s="0" t="n">
        <f aca="false">SUMIFS(C$2:C$1500,C$2:C$1500, "&gt;=0",J$2:J$1500, "&lt;-30",J$2:J$1500,"&gt;=-45",I$2:I$1500,"&gt;=180")</f>
        <v>3.3</v>
      </c>
      <c r="Z22" s="0" t="n">
        <f aca="false">I22-23</f>
        <v>165.5</v>
      </c>
      <c r="AB22" s="0" t="n">
        <f aca="false">IF(Z22&lt;0,Z22+360,Z22+0)</f>
        <v>165.5</v>
      </c>
      <c r="AD22" s="1" t="n">
        <v>300</v>
      </c>
      <c r="AE22" s="1" t="n">
        <f aca="false">COUNTIF(AB$2:AB$1500,"&lt;315")-SUM(AE2:AE21)</f>
        <v>13</v>
      </c>
      <c r="AF22" s="1"/>
      <c r="AG22" s="1" t="n">
        <v>300</v>
      </c>
      <c r="AH22" s="0" t="n">
        <f aca="false">SUMIFS(C$2:C$1500,C$2:C$1500, "&gt;=0",AB$2:AB$1500, "&lt;315",AB$2:AB$1500,"&gt;=300")</f>
        <v>21.4</v>
      </c>
    </row>
    <row r="23" customFormat="false" ht="15.8" hidden="false" customHeight="false" outlineLevel="0" collapsed="false">
      <c r="A23" s="1" t="n">
        <v>1</v>
      </c>
      <c r="B23" s="1" t="n">
        <v>10</v>
      </c>
      <c r="C23" s="1" t="n">
        <v>1.6</v>
      </c>
      <c r="D23" s="1" t="n">
        <v>1.101</v>
      </c>
      <c r="E23" s="1" t="n">
        <v>0.0446993</v>
      </c>
      <c r="F23" s="1" t="n">
        <v>9.72687E-005</v>
      </c>
      <c r="G23" s="1" t="s">
        <v>37</v>
      </c>
      <c r="H23" s="1" t="n">
        <v>36.2</v>
      </c>
      <c r="I23" s="1" t="n">
        <v>184.7</v>
      </c>
      <c r="J23" s="1" t="n">
        <v>0</v>
      </c>
      <c r="K23" s="1" t="n">
        <v>77.4</v>
      </c>
      <c r="L23" s="1" t="n">
        <v>0</v>
      </c>
      <c r="M23" s="1" t="n">
        <v>0</v>
      </c>
      <c r="N23" s="1" t="s">
        <v>102</v>
      </c>
      <c r="O23" s="1" t="n">
        <v>315</v>
      </c>
      <c r="P23" s="1" t="n">
        <f aca="false">COUNTIF(I$2:I$1500,"&lt;330")-SUM(P2:P22)</f>
        <v>10</v>
      </c>
      <c r="S23" s="2" t="s">
        <v>103</v>
      </c>
      <c r="T23" s="1" t="n">
        <f aca="false">COUNTIFS(J$2:J$1500, "&gt;45",I$2:I$1500, "&gt;=180")-SUM(T24:T25)</f>
        <v>4</v>
      </c>
      <c r="U23" s="1" t="n">
        <v>315</v>
      </c>
      <c r="V23" s="0" t="n">
        <f aca="false">SUMIFS(C$2:C$1500,C$2:C$1500, "&gt;=0",I$2:I$1500, "&lt;330",I$2:I$1500,"&gt;=315")</f>
        <v>9</v>
      </c>
      <c r="W23" s="2" t="s">
        <v>104</v>
      </c>
      <c r="X23" s="0" t="n">
        <f aca="false">SUMIFS(C$2:C$1500,C$2:C$1500, "&gt;=0",J$2:J$1500, "&lt;-45",J$2:J$1500,"&gt;=-60",I$2:I$1500,"&gt;=180")</f>
        <v>3.4</v>
      </c>
      <c r="Z23" s="0" t="n">
        <f aca="false">I23-23</f>
        <v>161.7</v>
      </c>
      <c r="AB23" s="0" t="n">
        <f aca="false">IF(Z23&lt;0,Z23+360,Z23+0)</f>
        <v>161.7</v>
      </c>
      <c r="AD23" s="1" t="n">
        <v>315</v>
      </c>
      <c r="AE23" s="1" t="n">
        <f aca="false">COUNTIF(AB$2:AB$1500,"&lt;330")-SUM(AE2:AE22)</f>
        <v>18</v>
      </c>
      <c r="AF23" s="1"/>
      <c r="AG23" s="1" t="n">
        <v>315</v>
      </c>
      <c r="AH23" s="0" t="n">
        <f aca="false">SUMIFS(C$2:C$1500,C$2:C$1500, "&gt;=0",AB$2:AB$1500, "&lt;330",AB$2:AB$1500,"&gt;=315")</f>
        <v>24.5</v>
      </c>
    </row>
    <row r="24" customFormat="false" ht="15.8" hidden="false" customHeight="false" outlineLevel="0" collapsed="false">
      <c r="A24" s="1" t="n">
        <v>1</v>
      </c>
      <c r="B24" s="1" t="n">
        <v>10</v>
      </c>
      <c r="C24" s="1" t="n">
        <v>0.9</v>
      </c>
      <c r="D24" s="1" t="n">
        <v>1.0104</v>
      </c>
      <c r="E24" s="1" t="n">
        <v>0.0250681</v>
      </c>
      <c r="F24" s="1" t="n">
        <v>5.45499E-005</v>
      </c>
      <c r="G24" s="1" t="s">
        <v>27</v>
      </c>
      <c r="H24" s="1" t="n">
        <v>112.7</v>
      </c>
      <c r="I24" s="1" t="n">
        <v>40.7</v>
      </c>
      <c r="J24" s="1" t="n">
        <v>0</v>
      </c>
      <c r="K24" s="1"/>
      <c r="L24" s="1" t="n">
        <v>0</v>
      </c>
      <c r="M24" s="1" t="n">
        <v>0</v>
      </c>
      <c r="N24" s="1" t="s">
        <v>102</v>
      </c>
      <c r="O24" s="1" t="n">
        <v>330</v>
      </c>
      <c r="P24" s="1" t="n">
        <f aca="false">COUNTIF(I$2:I$1500,"&lt;345")-SUM(P2:P23)</f>
        <v>16</v>
      </c>
      <c r="S24" s="2" t="s">
        <v>105</v>
      </c>
      <c r="T24" s="1" t="n">
        <f aca="false">COUNTIFS(J$2:J$1500, "&gt;60",I$2:I$1500, "&gt;=180")-T25</f>
        <v>2</v>
      </c>
      <c r="U24" s="1" t="n">
        <v>330</v>
      </c>
      <c r="V24" s="0" t="n">
        <f aca="false">SUMIFS(C$2:C$1500,C$2:C$1500, "&gt;=0",I$2:I$1500, "&lt;345",I$2:I$1500,"&gt;=330")</f>
        <v>30</v>
      </c>
      <c r="W24" s="2" t="s">
        <v>106</v>
      </c>
      <c r="X24" s="0" t="n">
        <f aca="false">SUMIFS(C$2:C$1500,C$2:C$1500, "&gt;=0",J$2:J$1500, "&lt;-60",J$2:J$1500,"&gt;=-75",I$2:I$1500,"&gt;=180")</f>
        <v>1.8</v>
      </c>
      <c r="Z24" s="0" t="n">
        <f aca="false">I24-23</f>
        <v>17.7</v>
      </c>
      <c r="AB24" s="0" t="n">
        <f aca="false">IF(Z24&lt;0,Z24+360,Z24+0)</f>
        <v>17.7</v>
      </c>
      <c r="AD24" s="1" t="n">
        <v>330</v>
      </c>
      <c r="AE24" s="1" t="n">
        <f aca="false">COUNTIF(AB$2:AB$1500,"&lt;345")-SUM(AE2:AE23)</f>
        <v>8</v>
      </c>
      <c r="AF24" s="1"/>
      <c r="AG24" s="1" t="n">
        <v>330</v>
      </c>
      <c r="AH24" s="0" t="n">
        <f aca="false">SUMIFS(C$2:C$1500,C$2:C$1500, "&gt;=0",AB$2:AB$1500, "&lt;345",AB$2:AB$1500,"&gt;=330")</f>
        <v>10.5</v>
      </c>
    </row>
    <row r="25" customFormat="false" ht="15.8" hidden="false" customHeight="false" outlineLevel="0" collapsed="false">
      <c r="A25" s="1" t="n">
        <v>1</v>
      </c>
      <c r="B25" s="1" t="n">
        <v>9</v>
      </c>
      <c r="C25" s="1" t="n">
        <v>1.2</v>
      </c>
      <c r="D25" s="1" t="n">
        <v>1.2399</v>
      </c>
      <c r="E25" s="1" t="n">
        <v>0.0329856</v>
      </c>
      <c r="F25" s="1" t="n">
        <v>7.17789E-005</v>
      </c>
      <c r="G25" s="1" t="s">
        <v>37</v>
      </c>
      <c r="H25" s="1" t="n">
        <v>67.7</v>
      </c>
      <c r="I25" s="1" t="n">
        <v>155.4</v>
      </c>
      <c r="J25" s="1" t="n">
        <v>-22.4</v>
      </c>
      <c r="K25" s="1" t="n">
        <v>112.7</v>
      </c>
      <c r="L25" s="1" t="n">
        <v>0</v>
      </c>
      <c r="M25" s="1" t="n">
        <v>0</v>
      </c>
      <c r="N25" s="1" t="s">
        <v>107</v>
      </c>
      <c r="O25" s="1" t="n">
        <v>345</v>
      </c>
      <c r="P25" s="1" t="n">
        <f aca="false">COUNTIF(I$2:I$1500,"&lt;=360")-SUM(P2:P24)</f>
        <v>10</v>
      </c>
      <c r="S25" s="2" t="s">
        <v>108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12.9</v>
      </c>
      <c r="W25" s="2" t="s">
        <v>109</v>
      </c>
      <c r="X25" s="0" t="n">
        <f aca="false">SUMIFS(C$2:C$1500,C$2:C$1500, "&gt;=0",J$2:J$1500, "&lt;-75",J$2:J$1500,"&gt;=-90",I$2:I$1500,"&gt;=180")</f>
        <v>0</v>
      </c>
      <c r="Z25" s="0" t="n">
        <f aca="false">I25-23</f>
        <v>132.4</v>
      </c>
      <c r="AB25" s="0" t="n">
        <f aca="false">IF(Z25&lt;0,Z25+360,Z25+0)</f>
        <v>132.4</v>
      </c>
      <c r="AD25" s="1" t="n">
        <v>345</v>
      </c>
      <c r="AE25" s="1" t="n">
        <f aca="false">COUNTIF(AB$2:AB$1500,"&lt;=360")-SUM(AE2:AE24)</f>
        <v>13</v>
      </c>
      <c r="AF25" s="1"/>
      <c r="AG25" s="1" t="n">
        <v>345</v>
      </c>
      <c r="AH25" s="0" t="n">
        <f aca="false">SUMIFS(C$2:C$1500,C$2:C$1500, "&gt;=0",AB$2:AB$1500, "&lt;=360",AB$2:AB$1500,"&gt;=345")</f>
        <v>20.5</v>
      </c>
    </row>
    <row r="26" customFormat="false" ht="15.8" hidden="false" customHeight="false" outlineLevel="0" collapsed="false">
      <c r="A26" s="1" t="n">
        <v>1</v>
      </c>
      <c r="B26" s="1" t="n">
        <v>9</v>
      </c>
      <c r="C26" s="1" t="n">
        <v>1.6</v>
      </c>
      <c r="D26" s="1" t="n">
        <v>1.087</v>
      </c>
      <c r="E26" s="1" t="n">
        <v>0.0424718</v>
      </c>
      <c r="F26" s="1" t="n">
        <v>9.24215E-005</v>
      </c>
      <c r="G26" s="1" t="s">
        <v>27</v>
      </c>
      <c r="H26" s="1" t="n">
        <v>46.4</v>
      </c>
      <c r="I26" s="1" t="n">
        <v>267.6</v>
      </c>
      <c r="J26" s="1" t="n">
        <v>0</v>
      </c>
      <c r="K26" s="1"/>
      <c r="L26" s="1" t="n">
        <v>0</v>
      </c>
      <c r="M26" s="1" t="n">
        <v>0</v>
      </c>
      <c r="N26" s="1" t="s">
        <v>107</v>
      </c>
      <c r="O26" s="1" t="s">
        <v>110</v>
      </c>
      <c r="P26" s="1" t="n">
        <f aca="false">SUM(P2:P25)</f>
        <v>384</v>
      </c>
      <c r="R26" s="1" t="n">
        <f aca="false">SUM(R2:R14)</f>
        <v>384</v>
      </c>
      <c r="S26" s="2"/>
      <c r="T26" s="1" t="n">
        <f aca="false">SUM(T2:T25)</f>
        <v>384</v>
      </c>
      <c r="U26" s="1" t="s">
        <v>110</v>
      </c>
      <c r="V26" s="0" t="n">
        <f aca="false">SUM(V2:V25)</f>
        <v>799.6</v>
      </c>
      <c r="X26" s="0" t="n">
        <f aca="false">SUM(X2:X25)</f>
        <v>799.6</v>
      </c>
      <c r="Z26" s="0" t="n">
        <f aca="false">I26-23</f>
        <v>244.6</v>
      </c>
      <c r="AB26" s="0" t="n">
        <f aca="false">IF(Z26&lt;0,Z26+360,Z26+0)</f>
        <v>244.6</v>
      </c>
      <c r="AD26" s="1" t="s">
        <v>110</v>
      </c>
      <c r="AE26" s="1" t="n">
        <f aca="false">SUM(AE2:AE25)</f>
        <v>384</v>
      </c>
      <c r="AF26" s="1"/>
      <c r="AG26" s="1" t="s">
        <v>110</v>
      </c>
      <c r="AH26" s="0" t="n">
        <f aca="false">SUM(AH2:AH25)</f>
        <v>799.6</v>
      </c>
      <c r="AJ26" s="0" t="s">
        <v>63</v>
      </c>
      <c r="AK26" s="0" t="n">
        <f aca="false">SUM(AK2:AK14)</f>
        <v>799.6</v>
      </c>
    </row>
    <row r="27" customFormat="false" ht="15.8" hidden="false" customHeight="false" outlineLevel="0" collapsed="false">
      <c r="A27" s="1" t="n">
        <v>1</v>
      </c>
      <c r="B27" s="1" t="n">
        <v>8</v>
      </c>
      <c r="C27" s="1" t="n">
        <v>1.1</v>
      </c>
      <c r="D27" s="1" t="n">
        <v>1.0121</v>
      </c>
      <c r="E27" s="1" t="n">
        <v>0.030389</v>
      </c>
      <c r="F27" s="1" t="n">
        <v>6.61286E-005</v>
      </c>
      <c r="G27" s="1" t="s">
        <v>37</v>
      </c>
      <c r="H27" s="1" t="n">
        <v>65.4</v>
      </c>
      <c r="I27" s="1" t="n">
        <v>221.1</v>
      </c>
      <c r="J27" s="1" t="n">
        <v>0</v>
      </c>
      <c r="K27" s="1" t="n">
        <v>67.7</v>
      </c>
      <c r="L27" s="1" t="n">
        <v>0</v>
      </c>
      <c r="M27" s="1" t="n">
        <v>0</v>
      </c>
      <c r="N27" s="1" t="s">
        <v>111</v>
      </c>
      <c r="O27" s="1" t="s">
        <v>112</v>
      </c>
      <c r="P27" s="1" t="n">
        <f aca="false">COUNT(I2:I1500)</f>
        <v>384</v>
      </c>
      <c r="R27" s="1" t="n">
        <f aca="false">COUNT(J2:J1500)</f>
        <v>384</v>
      </c>
      <c r="S27" s="2"/>
      <c r="U27" s="1" t="s">
        <v>113</v>
      </c>
      <c r="V27" s="0" t="n">
        <f aca="false">SUM(C2:C1000)</f>
        <v>799.6</v>
      </c>
      <c r="Z27" s="0" t="n">
        <f aca="false">I27-23</f>
        <v>198.1</v>
      </c>
      <c r="AB27" s="0" t="n">
        <f aca="false">IF(Z27&lt;0,Z27+360,Z27+0)</f>
        <v>198.1</v>
      </c>
      <c r="AD27" s="1" t="s">
        <v>112</v>
      </c>
      <c r="AE27" s="1" t="n">
        <f aca="false">COUNT(Z2:Z1500)</f>
        <v>384</v>
      </c>
      <c r="AF27" s="1"/>
      <c r="AG27" s="1" t="s">
        <v>113</v>
      </c>
      <c r="AH27" s="0" t="n">
        <f aca="false">SUM(C2:C1200)</f>
        <v>799.6</v>
      </c>
    </row>
    <row r="28" customFormat="false" ht="15.8" hidden="false" customHeight="false" outlineLevel="0" collapsed="false">
      <c r="A28" s="1" t="n">
        <v>1</v>
      </c>
      <c r="B28" s="1" t="n">
        <v>8</v>
      </c>
      <c r="C28" s="1" t="n">
        <v>0.8</v>
      </c>
      <c r="D28" s="1" t="n">
        <v>1.0375</v>
      </c>
      <c r="E28" s="1" t="n">
        <v>0.0232408</v>
      </c>
      <c r="F28" s="1" t="n">
        <v>5.05736E-005</v>
      </c>
      <c r="G28" s="1" t="s">
        <v>27</v>
      </c>
      <c r="H28" s="1" t="n">
        <v>22.9</v>
      </c>
      <c r="I28" s="1" t="n">
        <v>132.8</v>
      </c>
      <c r="J28" s="1" t="n">
        <v>0</v>
      </c>
      <c r="K28" s="1"/>
      <c r="L28" s="1" t="n">
        <v>0</v>
      </c>
      <c r="M28" s="1" t="n">
        <v>0</v>
      </c>
      <c r="N28" s="1" t="s">
        <v>111</v>
      </c>
      <c r="Z28" s="0" t="n">
        <f aca="false">I28-23</f>
        <v>109.8</v>
      </c>
      <c r="AB28" s="0" t="n">
        <f aca="false">IF(Z28&lt;0,Z28+360,Z28+0)</f>
        <v>109.8</v>
      </c>
    </row>
    <row r="29" customFormat="false" ht="15.8" hidden="false" customHeight="false" outlineLevel="0" collapsed="false">
      <c r="A29" s="1" t="n">
        <v>1</v>
      </c>
      <c r="B29" s="1" t="n">
        <v>7</v>
      </c>
      <c r="C29" s="1" t="n">
        <v>0.8</v>
      </c>
      <c r="D29" s="1" t="n">
        <v>1.0612</v>
      </c>
      <c r="E29" s="1" t="n">
        <v>0.0210618</v>
      </c>
      <c r="F29" s="1" t="n">
        <v>4.59758E-005</v>
      </c>
      <c r="G29" s="1" t="s">
        <v>37</v>
      </c>
      <c r="H29" s="1" t="n">
        <v>61.5</v>
      </c>
      <c r="I29" s="1" t="n">
        <v>155.8</v>
      </c>
      <c r="J29" s="1" t="n">
        <v>0</v>
      </c>
      <c r="K29" s="1" t="n">
        <v>65.4</v>
      </c>
      <c r="L29" s="1" t="n">
        <v>0</v>
      </c>
      <c r="M29" s="1" t="n">
        <v>0</v>
      </c>
      <c r="N29" s="1" t="s">
        <v>114</v>
      </c>
      <c r="Z29" s="0" t="n">
        <f aca="false">I29-23</f>
        <v>132.8</v>
      </c>
      <c r="AB29" s="0" t="n">
        <f aca="false">IF(Z29&lt;0,Z29+360,Z29+0)</f>
        <v>132.8</v>
      </c>
    </row>
    <row r="30" customFormat="false" ht="15.8" hidden="false" customHeight="false" outlineLevel="0" collapsed="false">
      <c r="A30" s="1" t="n">
        <v>1</v>
      </c>
      <c r="B30" s="1" t="n">
        <v>7</v>
      </c>
      <c r="C30" s="1" t="n">
        <v>2.9</v>
      </c>
      <c r="D30" s="1" t="n">
        <v>1.768</v>
      </c>
      <c r="E30" s="1" t="n">
        <v>0.0816829</v>
      </c>
      <c r="F30" s="1" t="n">
        <v>0.000182087</v>
      </c>
      <c r="G30" s="1" t="s">
        <v>27</v>
      </c>
      <c r="H30" s="1" t="n">
        <v>27.1</v>
      </c>
      <c r="I30" s="1" t="n">
        <v>241.3</v>
      </c>
      <c r="J30" s="1" t="n">
        <v>13</v>
      </c>
      <c r="K30" s="1"/>
      <c r="L30" s="1" t="n">
        <v>0</v>
      </c>
      <c r="M30" s="1" t="n">
        <v>0</v>
      </c>
      <c r="N30" s="1" t="s">
        <v>114</v>
      </c>
      <c r="Z30" s="0" t="n">
        <f aca="false">I30-23</f>
        <v>218.3</v>
      </c>
      <c r="AB30" s="0" t="n">
        <f aca="false">IF(Z30&lt;0,Z30+360,Z30+0)</f>
        <v>218.3</v>
      </c>
    </row>
    <row r="31" customFormat="false" ht="15.8" hidden="false" customHeight="false" outlineLevel="0" collapsed="false">
      <c r="A31" s="1" t="n">
        <v>1</v>
      </c>
      <c r="B31" s="1" t="n">
        <v>6</v>
      </c>
      <c r="C31" s="1" t="n">
        <v>1.3</v>
      </c>
      <c r="D31" s="1" t="n">
        <v>1.0084</v>
      </c>
      <c r="E31" s="1" t="n">
        <v>0.037117</v>
      </c>
      <c r="F31" s="1" t="n">
        <v>8.28402E-005</v>
      </c>
      <c r="G31" s="1" t="s">
        <v>37</v>
      </c>
      <c r="H31" s="1" t="n">
        <v>19.9</v>
      </c>
      <c r="I31" s="1" t="n">
        <v>217.3</v>
      </c>
      <c r="J31" s="1" t="n">
        <v>0</v>
      </c>
      <c r="K31" s="1" t="n">
        <v>61.5</v>
      </c>
      <c r="L31" s="1" t="n">
        <v>0</v>
      </c>
      <c r="M31" s="1" t="n">
        <v>0</v>
      </c>
      <c r="N31" s="1" t="s">
        <v>115</v>
      </c>
      <c r="Z31" s="0" t="n">
        <f aca="false">I31-23</f>
        <v>194.3</v>
      </c>
      <c r="AB31" s="0" t="n">
        <f aca="false">IF(Z31&lt;0,Z31+360,Z31+0)</f>
        <v>194.3</v>
      </c>
    </row>
    <row r="32" customFormat="false" ht="15.8" hidden="false" customHeight="false" outlineLevel="0" collapsed="false">
      <c r="A32" s="1" t="n">
        <v>1</v>
      </c>
      <c r="B32" s="1" t="n">
        <v>6</v>
      </c>
      <c r="C32" s="1" t="n">
        <v>3.8</v>
      </c>
      <c r="D32" s="1" t="n">
        <v>1.236</v>
      </c>
      <c r="E32" s="1" t="n">
        <v>0.105571</v>
      </c>
      <c r="F32" s="1" t="n">
        <v>0.000235621</v>
      </c>
      <c r="G32" s="1" t="s">
        <v>27</v>
      </c>
      <c r="H32" s="1" t="n">
        <v>83.2</v>
      </c>
      <c r="I32" s="1" t="n">
        <v>113.7</v>
      </c>
      <c r="J32" s="1" t="n">
        <v>-14.1</v>
      </c>
      <c r="K32" s="1"/>
      <c r="L32" s="1" t="n">
        <v>0</v>
      </c>
      <c r="M32" s="1" t="n">
        <v>0</v>
      </c>
      <c r="N32" s="1" t="s">
        <v>115</v>
      </c>
      <c r="Z32" s="0" t="n">
        <f aca="false">I32-23</f>
        <v>90.7</v>
      </c>
      <c r="AB32" s="0" t="n">
        <f aca="false">IF(Z32&lt;0,Z32+360,Z32+0)</f>
        <v>90.7</v>
      </c>
    </row>
    <row r="33" customFormat="false" ht="15.8" hidden="false" customHeight="false" outlineLevel="0" collapsed="false">
      <c r="A33" s="1" t="n">
        <v>1</v>
      </c>
      <c r="B33" s="1" t="n">
        <v>5</v>
      </c>
      <c r="C33" s="1" t="n">
        <v>4.6</v>
      </c>
      <c r="D33" s="1" t="n">
        <v>1.2593</v>
      </c>
      <c r="E33" s="1" t="n">
        <v>0.13275</v>
      </c>
      <c r="F33" s="1" t="n">
        <v>0.000307523</v>
      </c>
      <c r="G33" s="1" t="s">
        <v>37</v>
      </c>
      <c r="H33" s="1" t="n">
        <v>42.3</v>
      </c>
      <c r="I33" s="1" t="n">
        <v>198.1</v>
      </c>
      <c r="J33" s="1" t="n">
        <v>-5.8</v>
      </c>
      <c r="K33" s="1" t="n">
        <v>83.2</v>
      </c>
      <c r="L33" s="1" t="n">
        <v>0</v>
      </c>
      <c r="M33" s="1" t="n">
        <v>0</v>
      </c>
      <c r="N33" s="1" t="s">
        <v>116</v>
      </c>
      <c r="Z33" s="0" t="n">
        <f aca="false">I33-23</f>
        <v>175.1</v>
      </c>
      <c r="AB33" s="0" t="n">
        <f aca="false">IF(Z33&lt;0,Z33+360,Z33+0)</f>
        <v>175.1</v>
      </c>
    </row>
    <row r="34" customFormat="false" ht="15.8" hidden="false" customHeight="false" outlineLevel="0" collapsed="false">
      <c r="A34" s="1" t="n">
        <v>1</v>
      </c>
      <c r="B34" s="1" t="n">
        <v>5</v>
      </c>
      <c r="C34" s="1" t="n">
        <v>7.8</v>
      </c>
      <c r="D34" s="1" t="n">
        <v>1.326</v>
      </c>
      <c r="E34" s="1" t="n">
        <v>0.304833</v>
      </c>
      <c r="F34" s="1" t="n">
        <v>0.00099357</v>
      </c>
      <c r="G34" s="1" t="s">
        <v>27</v>
      </c>
      <c r="H34" s="1" t="n">
        <v>42</v>
      </c>
      <c r="I34" s="1" t="n">
        <v>113.3</v>
      </c>
      <c r="J34" s="1" t="n">
        <v>-18.4</v>
      </c>
      <c r="K34" s="1"/>
      <c r="L34" s="1" t="n">
        <v>0</v>
      </c>
      <c r="M34" s="1" t="n">
        <v>0</v>
      </c>
      <c r="N34" s="1" t="s">
        <v>116</v>
      </c>
      <c r="Z34" s="0" t="n">
        <f aca="false">I34-23</f>
        <v>90.3</v>
      </c>
      <c r="AB34" s="0" t="n">
        <f aca="false">IF(Z34&lt;0,Z34+360,Z34+0)</f>
        <v>90.3</v>
      </c>
    </row>
    <row r="35" customFormat="false" ht="15.8" hidden="false" customHeight="false" outlineLevel="0" collapsed="false">
      <c r="A35" s="1" t="n">
        <v>1</v>
      </c>
      <c r="B35" s="1" t="n">
        <v>4</v>
      </c>
      <c r="C35" s="1" t="n">
        <v>3.2</v>
      </c>
      <c r="D35" s="1" t="n">
        <v>1.3262</v>
      </c>
      <c r="E35" s="1" t="n">
        <v>0.143386</v>
      </c>
      <c r="F35" s="1" t="n">
        <v>0.000509184</v>
      </c>
      <c r="G35" s="1" t="s">
        <v>37</v>
      </c>
      <c r="H35" s="1" t="n">
        <v>65.6</v>
      </c>
      <c r="I35" s="1" t="n">
        <v>155.5</v>
      </c>
      <c r="J35" s="1" t="n">
        <v>-8.7</v>
      </c>
      <c r="K35" s="1" t="n">
        <v>42.3</v>
      </c>
      <c r="L35" s="1" t="n">
        <v>0</v>
      </c>
      <c r="M35" s="1" t="n">
        <v>0</v>
      </c>
      <c r="N35" s="1" t="s">
        <v>117</v>
      </c>
      <c r="Z35" s="0" t="n">
        <f aca="false">I35-23</f>
        <v>132.5</v>
      </c>
      <c r="AB35" s="0" t="n">
        <f aca="false">IF(Z35&lt;0,Z35+360,Z35+0)</f>
        <v>132.5</v>
      </c>
    </row>
    <row r="36" customFormat="false" ht="15.8" hidden="false" customHeight="false" outlineLevel="0" collapsed="false">
      <c r="A36" s="1" t="n">
        <v>1</v>
      </c>
      <c r="B36" s="1" t="n">
        <v>5</v>
      </c>
      <c r="C36" s="1" t="n">
        <v>0.9</v>
      </c>
      <c r="D36" s="1" t="n">
        <v>1.0155</v>
      </c>
      <c r="E36" s="1" t="n">
        <v>0.0418269</v>
      </c>
      <c r="F36" s="1" t="n">
        <v>0.000151697</v>
      </c>
      <c r="G36" s="1" t="s">
        <v>27</v>
      </c>
      <c r="H36" s="1" t="n">
        <v>31.6</v>
      </c>
      <c r="I36" s="1" t="n">
        <v>71.3</v>
      </c>
      <c r="J36" s="1" t="n">
        <v>0</v>
      </c>
      <c r="K36" s="1"/>
      <c r="L36" s="1" t="n">
        <v>0</v>
      </c>
      <c r="M36" s="1" t="n">
        <v>0</v>
      </c>
      <c r="N36" s="1" t="s">
        <v>118</v>
      </c>
      <c r="Z36" s="0" t="n">
        <f aca="false">I36-23</f>
        <v>48.3</v>
      </c>
      <c r="AB36" s="0" t="n">
        <f aca="false">IF(Z36&lt;0,Z36+360,Z36+0)</f>
        <v>48.3</v>
      </c>
    </row>
    <row r="37" customFormat="false" ht="15.8" hidden="false" customHeight="false" outlineLevel="0" collapsed="false">
      <c r="A37" s="1" t="n">
        <v>1</v>
      </c>
      <c r="B37" s="1" t="n">
        <v>5</v>
      </c>
      <c r="C37" s="1" t="n">
        <v>1</v>
      </c>
      <c r="D37" s="1" t="n">
        <v>1.0405</v>
      </c>
      <c r="E37" s="1" t="n">
        <v>0.0454706</v>
      </c>
      <c r="F37" s="1" t="n">
        <v>0.000164912</v>
      </c>
      <c r="G37" s="1" t="s">
        <v>27</v>
      </c>
      <c r="H37" s="1" t="n">
        <v>61.9</v>
      </c>
      <c r="I37" s="1" t="n">
        <v>342.4</v>
      </c>
      <c r="J37" s="1" t="n">
        <v>0</v>
      </c>
      <c r="K37" s="1"/>
      <c r="L37" s="1" t="n">
        <v>0</v>
      </c>
      <c r="M37" s="1" t="n">
        <v>0</v>
      </c>
      <c r="N37" s="1" t="s">
        <v>118</v>
      </c>
      <c r="Z37" s="0" t="n">
        <f aca="false">I37-23</f>
        <v>319.4</v>
      </c>
      <c r="AB37" s="0" t="n">
        <f aca="false">IF(Z37&lt;0,Z37+360,Z37+0)</f>
        <v>319.4</v>
      </c>
    </row>
    <row r="38" customFormat="false" ht="15.8" hidden="false" customHeight="false" outlineLevel="0" collapsed="false">
      <c r="A38" s="1" t="n">
        <v>1</v>
      </c>
      <c r="B38" s="1" t="n">
        <v>4</v>
      </c>
      <c r="C38" s="1" t="n">
        <v>1.7</v>
      </c>
      <c r="D38" s="1" t="n">
        <v>1.1972</v>
      </c>
      <c r="E38" s="1" t="n">
        <v>0.0750575</v>
      </c>
      <c r="F38" s="1" t="n">
        <v>0.000265478</v>
      </c>
      <c r="G38" s="1" t="s">
        <v>37</v>
      </c>
      <c r="H38" s="1" t="n">
        <v>62.2</v>
      </c>
      <c r="I38" s="1" t="n">
        <v>43.2</v>
      </c>
      <c r="J38" s="1" t="n">
        <v>-15</v>
      </c>
      <c r="K38" s="1" t="n">
        <v>61.9</v>
      </c>
      <c r="L38" s="1" t="n">
        <v>0</v>
      </c>
      <c r="M38" s="1" t="n">
        <v>0</v>
      </c>
      <c r="N38" s="1" t="s">
        <v>117</v>
      </c>
      <c r="Z38" s="0" t="n">
        <f aca="false">I38-23</f>
        <v>20.2</v>
      </c>
      <c r="AB38" s="0" t="n">
        <f aca="false">IF(Z38&lt;0,Z38+360,Z38+0)</f>
        <v>20.2</v>
      </c>
    </row>
    <row r="39" customFormat="false" ht="15.8" hidden="false" customHeight="false" outlineLevel="0" collapsed="false">
      <c r="A39" s="1" t="n">
        <v>1</v>
      </c>
      <c r="B39" s="1" t="n">
        <v>3</v>
      </c>
      <c r="C39" s="1" t="n">
        <v>2</v>
      </c>
      <c r="D39" s="1" t="n">
        <v>1.1843</v>
      </c>
      <c r="E39" s="1" t="n">
        <v>0.0454135</v>
      </c>
      <c r="F39" s="1" t="n">
        <v>8.23525E-005</v>
      </c>
      <c r="G39" s="1" t="s">
        <v>37</v>
      </c>
      <c r="H39" s="1" t="n">
        <v>68.2</v>
      </c>
      <c r="I39" s="1" t="n">
        <v>102</v>
      </c>
      <c r="J39" s="1" t="n">
        <v>-61.6</v>
      </c>
      <c r="K39" s="1" t="n">
        <v>65.6</v>
      </c>
      <c r="L39" s="1" t="n">
        <v>0</v>
      </c>
      <c r="M39" s="1" t="n">
        <v>0</v>
      </c>
      <c r="N39" s="1" t="s">
        <v>119</v>
      </c>
      <c r="Z39" s="0" t="n">
        <f aca="false">I39-23</f>
        <v>79</v>
      </c>
      <c r="AB39" s="0" t="n">
        <f aca="false">IF(Z39&lt;0,Z39+360,Z39+0)</f>
        <v>79</v>
      </c>
    </row>
    <row r="40" customFormat="false" ht="15.8" hidden="false" customHeight="false" outlineLevel="0" collapsed="false">
      <c r="A40" s="1" t="n">
        <v>1</v>
      </c>
      <c r="B40" s="1" t="n">
        <v>3</v>
      </c>
      <c r="C40" s="1" t="n">
        <v>2.3</v>
      </c>
      <c r="D40" s="1" t="n">
        <v>1.102</v>
      </c>
      <c r="E40" s="1" t="n">
        <v>0.0513546</v>
      </c>
      <c r="F40" s="1" t="n">
        <v>9.31259E-005</v>
      </c>
      <c r="G40" s="1" t="s">
        <v>27</v>
      </c>
      <c r="H40" s="1" t="n">
        <v>23.6</v>
      </c>
      <c r="I40" s="1" t="n">
        <v>39.7</v>
      </c>
      <c r="J40" s="1" t="n">
        <v>0</v>
      </c>
      <c r="K40" s="1"/>
      <c r="L40" s="1" t="n">
        <v>0</v>
      </c>
      <c r="M40" s="1" t="n">
        <v>0</v>
      </c>
      <c r="N40" s="1" t="s">
        <v>119</v>
      </c>
      <c r="Z40" s="0" t="n">
        <f aca="false">I40-23</f>
        <v>16.7</v>
      </c>
      <c r="AB40" s="0" t="n">
        <f aca="false">IF(Z40&lt;0,Z40+360,Z40+0)</f>
        <v>16.7</v>
      </c>
    </row>
    <row r="41" customFormat="false" ht="15.8" hidden="false" customHeight="false" outlineLevel="0" collapsed="false">
      <c r="A41" s="1" t="n">
        <v>1</v>
      </c>
      <c r="B41" s="1" t="n">
        <v>2</v>
      </c>
      <c r="C41" s="1" t="n">
        <v>1.4</v>
      </c>
      <c r="D41" s="1" t="n">
        <v>1.1154</v>
      </c>
      <c r="E41" s="1" t="n">
        <v>0.0612013</v>
      </c>
      <c r="F41" s="1" t="n">
        <v>0.000220206</v>
      </c>
      <c r="G41" s="1" t="s">
        <v>37</v>
      </c>
      <c r="H41" s="1" t="n">
        <v>43.1</v>
      </c>
      <c r="I41" s="1" t="n">
        <v>63.3</v>
      </c>
      <c r="J41" s="1" t="n">
        <v>0</v>
      </c>
      <c r="K41" s="1" t="n">
        <v>68.2</v>
      </c>
      <c r="L41" s="1" t="n">
        <v>0</v>
      </c>
      <c r="M41" s="1" t="n">
        <v>0</v>
      </c>
      <c r="N41" s="1" t="s">
        <v>94</v>
      </c>
      <c r="Z41" s="0" t="n">
        <f aca="false">I41-23</f>
        <v>40.3</v>
      </c>
      <c r="AB41" s="0" t="n">
        <f aca="false">IF(Z41&lt;0,Z41+360,Z41+0)</f>
        <v>40.3</v>
      </c>
    </row>
    <row r="42" customFormat="false" ht="15.8" hidden="false" customHeight="false" outlineLevel="0" collapsed="false">
      <c r="A42" s="1" t="n">
        <v>1</v>
      </c>
      <c r="B42" s="1" t="n">
        <v>1</v>
      </c>
      <c r="C42" s="1" t="n">
        <v>0.9</v>
      </c>
      <c r="D42" s="1" t="n">
        <v>1.0748</v>
      </c>
      <c r="E42" s="1" t="n">
        <v>0.0429497</v>
      </c>
      <c r="F42" s="1" t="n">
        <v>0.000155769</v>
      </c>
      <c r="G42" s="1" t="s">
        <v>37</v>
      </c>
      <c r="H42" s="1"/>
      <c r="I42" s="1" t="n">
        <v>106.3</v>
      </c>
      <c r="J42" s="1" t="n">
        <v>0</v>
      </c>
      <c r="K42" s="1" t="n">
        <v>43.1</v>
      </c>
      <c r="L42" s="1" t="n">
        <v>0</v>
      </c>
      <c r="M42" s="1" t="n">
        <v>0</v>
      </c>
      <c r="N42" s="1" t="s">
        <v>120</v>
      </c>
      <c r="Z42" s="0" t="n">
        <f aca="false">I42-23</f>
        <v>83.3</v>
      </c>
      <c r="AB42" s="0" t="n">
        <f aca="false">IF(Z42&lt;0,Z42+360,Z42+0)</f>
        <v>83.3</v>
      </c>
    </row>
    <row r="43" customFormat="false" ht="15.8" hidden="false" customHeight="false" outlineLevel="0" collapsed="false">
      <c r="A43" s="1" t="n">
        <v>2</v>
      </c>
      <c r="B43" s="1" t="n">
        <v>8</v>
      </c>
      <c r="C43" s="1" t="n">
        <v>2.1</v>
      </c>
      <c r="D43" s="1" t="n">
        <v>2.059</v>
      </c>
      <c r="E43" s="1" t="n">
        <v>0.0560771</v>
      </c>
      <c r="F43" s="1" t="n">
        <v>0.000122028</v>
      </c>
      <c r="G43" s="1" t="s">
        <v>27</v>
      </c>
      <c r="H43" s="1" t="n">
        <v>52.7</v>
      </c>
      <c r="I43" s="1" t="n">
        <v>123.1</v>
      </c>
      <c r="J43" s="1" t="n">
        <v>-21.8</v>
      </c>
      <c r="K43" s="1"/>
      <c r="L43" s="1" t="n">
        <v>0</v>
      </c>
      <c r="M43" s="1" t="n">
        <v>0</v>
      </c>
      <c r="N43" s="1" t="s">
        <v>121</v>
      </c>
      <c r="Z43" s="0" t="n">
        <f aca="false">I43-23</f>
        <v>100.1</v>
      </c>
      <c r="AB43" s="0" t="n">
        <f aca="false">IF(Z43&lt;0,Z43+360,Z43+0)</f>
        <v>100.1</v>
      </c>
    </row>
    <row r="44" customFormat="false" ht="15.8" hidden="false" customHeight="false" outlineLevel="0" collapsed="false">
      <c r="A44" s="1" t="n">
        <v>2</v>
      </c>
      <c r="B44" s="1" t="n">
        <v>8</v>
      </c>
      <c r="C44" s="1" t="n">
        <v>1.4</v>
      </c>
      <c r="D44" s="1" t="n">
        <v>1.198</v>
      </c>
      <c r="E44" s="1" t="n">
        <v>0.037865</v>
      </c>
      <c r="F44" s="1" t="n">
        <v>8.23969E-005</v>
      </c>
      <c r="G44" s="1" t="s">
        <v>27</v>
      </c>
      <c r="H44" s="1" t="n">
        <v>63.8</v>
      </c>
      <c r="I44" s="1" t="n">
        <v>36.6</v>
      </c>
      <c r="J44" s="1" t="n">
        <v>-18.7</v>
      </c>
      <c r="K44" s="1"/>
      <c r="L44" s="1" t="n">
        <v>0</v>
      </c>
      <c r="M44" s="1" t="n">
        <v>0</v>
      </c>
      <c r="N44" s="1" t="s">
        <v>121</v>
      </c>
      <c r="Z44" s="0" t="n">
        <f aca="false">I44-23</f>
        <v>13.6</v>
      </c>
      <c r="AB44" s="0" t="n">
        <f aca="false">IF(Z44&lt;0,Z44+360,Z44+0)</f>
        <v>13.6</v>
      </c>
    </row>
    <row r="45" customFormat="false" ht="15.8" hidden="false" customHeight="false" outlineLevel="0" collapsed="false">
      <c r="A45" s="1" t="n">
        <v>2</v>
      </c>
      <c r="B45" s="1" t="n">
        <v>7</v>
      </c>
      <c r="C45" s="1" t="n">
        <v>1.8</v>
      </c>
      <c r="D45" s="1" t="n">
        <v>1.5706</v>
      </c>
      <c r="E45" s="1" t="n">
        <v>0.0486549</v>
      </c>
      <c r="F45" s="1" t="n">
        <v>0.000105876</v>
      </c>
      <c r="G45" s="1" t="s">
        <v>37</v>
      </c>
      <c r="H45" s="1" t="n">
        <v>37.6</v>
      </c>
      <c r="I45" s="1" t="n">
        <v>89.1</v>
      </c>
      <c r="J45" s="1" t="n">
        <v>19.1</v>
      </c>
      <c r="K45" s="1" t="n">
        <v>63.8</v>
      </c>
      <c r="L45" s="1" t="n">
        <v>0</v>
      </c>
      <c r="M45" s="1" t="n">
        <v>0</v>
      </c>
      <c r="N45" s="1" t="s">
        <v>122</v>
      </c>
      <c r="Z45" s="0" t="n">
        <f aca="false">I45-23</f>
        <v>66.1</v>
      </c>
      <c r="AB45" s="0" t="n">
        <f aca="false">IF(Z45&lt;0,Z45+360,Z45+0)</f>
        <v>66.1</v>
      </c>
    </row>
    <row r="46" customFormat="false" ht="15.8" hidden="false" customHeight="false" outlineLevel="0" collapsed="false">
      <c r="A46" s="1" t="n">
        <v>2</v>
      </c>
      <c r="B46" s="1" t="n">
        <v>7</v>
      </c>
      <c r="C46" s="1" t="n">
        <v>1.2</v>
      </c>
      <c r="D46" s="1" t="n">
        <v>1.2414</v>
      </c>
      <c r="E46" s="1" t="n">
        <v>0.0336444</v>
      </c>
      <c r="F46" s="1" t="n">
        <v>7.32125E-005</v>
      </c>
      <c r="G46" s="1" t="s">
        <v>27</v>
      </c>
      <c r="H46" s="1" t="n">
        <v>37.1</v>
      </c>
      <c r="I46" s="1" t="n">
        <v>132.3</v>
      </c>
      <c r="J46" s="1" t="n">
        <v>48.3</v>
      </c>
      <c r="K46" s="1"/>
      <c r="L46" s="1" t="n">
        <v>0</v>
      </c>
      <c r="M46" s="1" t="n">
        <v>0</v>
      </c>
      <c r="N46" s="1" t="s">
        <v>122</v>
      </c>
      <c r="Z46" s="0" t="n">
        <f aca="false">I46-23</f>
        <v>109.3</v>
      </c>
      <c r="AB46" s="0" t="n">
        <f aca="false">IF(Z46&lt;0,Z46+360,Z46+0)</f>
        <v>109.3</v>
      </c>
    </row>
    <row r="47" customFormat="false" ht="15.8" hidden="false" customHeight="false" outlineLevel="0" collapsed="false">
      <c r="A47" s="1" t="n">
        <v>2</v>
      </c>
      <c r="B47" s="1" t="n">
        <v>6</v>
      </c>
      <c r="C47" s="1" t="n">
        <v>1.2</v>
      </c>
      <c r="D47" s="1" t="n">
        <v>1.3142</v>
      </c>
      <c r="E47" s="1" t="n">
        <v>0.032736</v>
      </c>
      <c r="F47" s="1" t="n">
        <v>7.12358E-005</v>
      </c>
      <c r="G47" s="1" t="s">
        <v>37</v>
      </c>
      <c r="H47" s="1" t="n">
        <v>40.3</v>
      </c>
      <c r="I47" s="1" t="n">
        <v>71.9</v>
      </c>
      <c r="J47" s="1" t="n">
        <v>54.3</v>
      </c>
      <c r="K47" s="1" t="n">
        <v>37.6</v>
      </c>
      <c r="L47" s="1" t="n">
        <v>0</v>
      </c>
      <c r="M47" s="1" t="n">
        <v>0</v>
      </c>
      <c r="N47" s="1" t="s">
        <v>123</v>
      </c>
      <c r="Z47" s="0" t="n">
        <f aca="false">I47-23</f>
        <v>48.9</v>
      </c>
      <c r="AB47" s="0" t="n">
        <f aca="false">IF(Z47&lt;0,Z47+360,Z47+0)</f>
        <v>48.9</v>
      </c>
    </row>
    <row r="48" customFormat="false" ht="15.8" hidden="false" customHeight="false" outlineLevel="0" collapsed="false">
      <c r="A48" s="1" t="n">
        <v>2</v>
      </c>
      <c r="B48" s="1" t="n">
        <v>6</v>
      </c>
      <c r="C48" s="1" t="n">
        <v>3.1</v>
      </c>
      <c r="D48" s="1" t="n">
        <v>1.2832</v>
      </c>
      <c r="E48" s="1" t="n">
        <v>0.0839983</v>
      </c>
      <c r="F48" s="1" t="n">
        <v>0.000182786</v>
      </c>
      <c r="G48" s="1" t="s">
        <v>27</v>
      </c>
      <c r="H48" s="1" t="n">
        <v>49.7</v>
      </c>
      <c r="I48" s="1" t="n">
        <v>85.8</v>
      </c>
      <c r="J48" s="1" t="n">
        <v>-27.6</v>
      </c>
      <c r="K48" s="1"/>
      <c r="L48" s="1" t="n">
        <v>0</v>
      </c>
      <c r="M48" s="1" t="n">
        <v>0</v>
      </c>
      <c r="N48" s="1" t="s">
        <v>123</v>
      </c>
      <c r="Z48" s="0" t="n">
        <f aca="false">I48-23</f>
        <v>62.8</v>
      </c>
      <c r="AB48" s="0" t="n">
        <f aca="false">IF(Z48&lt;0,Z48+360,Z48+0)</f>
        <v>62.8</v>
      </c>
    </row>
    <row r="49" customFormat="false" ht="15.8" hidden="false" customHeight="false" outlineLevel="0" collapsed="false">
      <c r="A49" s="1" t="n">
        <v>2</v>
      </c>
      <c r="B49" s="1" t="n">
        <v>5</v>
      </c>
      <c r="C49" s="1" t="n">
        <v>1.3</v>
      </c>
      <c r="D49" s="1" t="n">
        <v>1.232</v>
      </c>
      <c r="E49" s="1" t="n">
        <v>0.0361571</v>
      </c>
      <c r="F49" s="1" t="n">
        <v>7.86803E-005</v>
      </c>
      <c r="G49" s="1" t="s">
        <v>37</v>
      </c>
      <c r="H49" s="1" t="n">
        <v>30</v>
      </c>
      <c r="I49" s="1" t="n">
        <v>100</v>
      </c>
      <c r="J49" s="1" t="n">
        <v>20.2</v>
      </c>
      <c r="K49" s="1" t="n">
        <v>49.7</v>
      </c>
      <c r="L49" s="1" t="n">
        <v>0</v>
      </c>
      <c r="M49" s="1" t="n">
        <v>0</v>
      </c>
      <c r="N49" s="1" t="s">
        <v>124</v>
      </c>
      <c r="Z49" s="0" t="n">
        <f aca="false">I49-23</f>
        <v>77</v>
      </c>
      <c r="AB49" s="0" t="n">
        <f aca="false">IF(Z49&lt;0,Z49+360,Z49+0)</f>
        <v>77</v>
      </c>
    </row>
    <row r="50" customFormat="false" ht="15.8" hidden="false" customHeight="false" outlineLevel="0" collapsed="false">
      <c r="A50" s="1" t="n">
        <v>2</v>
      </c>
      <c r="B50" s="1" t="n">
        <v>5</v>
      </c>
      <c r="C50" s="1" t="n">
        <v>1.9</v>
      </c>
      <c r="D50" s="1" t="n">
        <v>1.4144</v>
      </c>
      <c r="E50" s="1" t="n">
        <v>0.0525579</v>
      </c>
      <c r="F50" s="1" t="n">
        <v>0.00011437</v>
      </c>
      <c r="G50" s="1" t="s">
        <v>27</v>
      </c>
      <c r="H50" s="1" t="n">
        <v>87.7</v>
      </c>
      <c r="I50" s="1" t="n">
        <v>342.7</v>
      </c>
      <c r="J50" s="1" t="n">
        <v>33</v>
      </c>
      <c r="K50" s="1"/>
      <c r="L50" s="1" t="n">
        <v>0</v>
      </c>
      <c r="M50" s="1" t="n">
        <v>0</v>
      </c>
      <c r="N50" s="1" t="s">
        <v>124</v>
      </c>
      <c r="Z50" s="0" t="n">
        <f aca="false">I50-23</f>
        <v>319.7</v>
      </c>
      <c r="AB50" s="0" t="n">
        <f aca="false">IF(Z50&lt;0,Z50+360,Z50+0)</f>
        <v>319.7</v>
      </c>
    </row>
    <row r="51" customFormat="false" ht="15.8" hidden="false" customHeight="false" outlineLevel="0" collapsed="false">
      <c r="A51" s="1" t="n">
        <v>2</v>
      </c>
      <c r="B51" s="1" t="n">
        <v>4</v>
      </c>
      <c r="C51" s="1" t="n">
        <v>4.5</v>
      </c>
      <c r="D51" s="1" t="n">
        <v>1.0679</v>
      </c>
      <c r="E51" s="1" t="n">
        <v>0.122068</v>
      </c>
      <c r="F51" s="1" t="n">
        <v>0.000265629</v>
      </c>
      <c r="G51" s="1" t="s">
        <v>37</v>
      </c>
      <c r="H51" s="1" t="n">
        <v>5.5</v>
      </c>
      <c r="I51" s="1" t="n">
        <v>73.2</v>
      </c>
      <c r="J51" s="1" t="n">
        <v>5.1</v>
      </c>
      <c r="K51" s="1" t="n">
        <v>87.7</v>
      </c>
      <c r="L51" s="1" t="n">
        <v>0</v>
      </c>
      <c r="M51" s="1" t="n">
        <v>0</v>
      </c>
      <c r="N51" s="1" t="s">
        <v>125</v>
      </c>
      <c r="Z51" s="0" t="n">
        <f aca="false">I51-23</f>
        <v>50.2</v>
      </c>
      <c r="AB51" s="0" t="n">
        <f aca="false">IF(Z51&lt;0,Z51+360,Z51+0)</f>
        <v>50.2</v>
      </c>
    </row>
    <row r="52" customFormat="false" ht="15.8" hidden="false" customHeight="false" outlineLevel="0" collapsed="false">
      <c r="A52" s="1" t="n">
        <v>2</v>
      </c>
      <c r="B52" s="1" t="n">
        <v>4</v>
      </c>
      <c r="C52" s="1" t="n">
        <v>2.2</v>
      </c>
      <c r="D52" s="1" t="n">
        <v>1.1336</v>
      </c>
      <c r="E52" s="1" t="n">
        <v>0.0599928</v>
      </c>
      <c r="F52" s="1" t="n">
        <v>0.000130549</v>
      </c>
      <c r="G52" s="1" t="s">
        <v>27</v>
      </c>
      <c r="H52" s="1" t="n">
        <v>55.1</v>
      </c>
      <c r="I52" s="1" t="n">
        <v>26.1</v>
      </c>
      <c r="J52" s="1" t="n">
        <v>-11</v>
      </c>
      <c r="K52" s="1"/>
      <c r="L52" s="1" t="n">
        <v>0</v>
      </c>
      <c r="M52" s="1" t="n">
        <v>0</v>
      </c>
      <c r="N52" s="1" t="s">
        <v>125</v>
      </c>
      <c r="Z52" s="0" t="n">
        <f aca="false">I52-23</f>
        <v>3.1</v>
      </c>
      <c r="AB52" s="0" t="n">
        <f aca="false">IF(Z52&lt;0,Z52+360,Z52+0)</f>
        <v>3.1</v>
      </c>
    </row>
    <row r="53" customFormat="false" ht="15.8" hidden="false" customHeight="false" outlineLevel="0" collapsed="false">
      <c r="A53" s="1" t="n">
        <v>2</v>
      </c>
      <c r="B53" s="1" t="n">
        <v>3</v>
      </c>
      <c r="C53" s="1" t="n">
        <v>3.3</v>
      </c>
      <c r="D53" s="1" t="n">
        <v>1.1375</v>
      </c>
      <c r="E53" s="1" t="n">
        <v>0.0903131</v>
      </c>
      <c r="F53" s="1" t="n">
        <v>0.000196528</v>
      </c>
      <c r="G53" s="1" t="s">
        <v>37</v>
      </c>
      <c r="H53" s="1" t="n">
        <v>44.8</v>
      </c>
      <c r="I53" s="1" t="n">
        <v>78.3</v>
      </c>
      <c r="J53" s="1" t="n">
        <v>7.3</v>
      </c>
      <c r="K53" s="1" t="n">
        <v>55.1</v>
      </c>
      <c r="L53" s="1" t="n">
        <v>0</v>
      </c>
      <c r="M53" s="1" t="n">
        <v>0</v>
      </c>
      <c r="N53" s="1" t="s">
        <v>126</v>
      </c>
      <c r="Z53" s="0" t="n">
        <f aca="false">I53-23</f>
        <v>55.3</v>
      </c>
      <c r="AB53" s="0" t="n">
        <f aca="false">IF(Z53&lt;0,Z53+360,Z53+0)</f>
        <v>55.3</v>
      </c>
    </row>
    <row r="54" customFormat="false" ht="15.8" hidden="false" customHeight="false" outlineLevel="0" collapsed="false">
      <c r="A54" s="1" t="n">
        <v>2</v>
      </c>
      <c r="B54" s="1" t="n">
        <v>4</v>
      </c>
      <c r="C54" s="1" t="n">
        <v>2.6</v>
      </c>
      <c r="D54" s="1" t="n">
        <v>1.1768</v>
      </c>
      <c r="E54" s="1" t="n">
        <v>0.0714412</v>
      </c>
      <c r="F54" s="1" t="n">
        <v>0.000155461</v>
      </c>
      <c r="G54" s="1" t="s">
        <v>27</v>
      </c>
      <c r="H54" s="1" t="n">
        <v>70.6</v>
      </c>
      <c r="I54" s="1" t="n">
        <v>55.8</v>
      </c>
      <c r="J54" s="1" t="n">
        <v>-19.5</v>
      </c>
      <c r="K54" s="1"/>
      <c r="L54" s="1" t="n">
        <v>0</v>
      </c>
      <c r="M54" s="1" t="n">
        <v>0</v>
      </c>
      <c r="N54" s="1" t="s">
        <v>127</v>
      </c>
      <c r="Z54" s="0" t="n">
        <f aca="false">I54-23</f>
        <v>32.8</v>
      </c>
      <c r="AB54" s="0" t="n">
        <f aca="false">IF(Z54&lt;0,Z54+360,Z54+0)</f>
        <v>32.8</v>
      </c>
    </row>
    <row r="55" customFormat="false" ht="15.8" hidden="false" customHeight="false" outlineLevel="0" collapsed="false">
      <c r="A55" s="1" t="n">
        <v>2</v>
      </c>
      <c r="B55" s="1" t="n">
        <v>4</v>
      </c>
      <c r="C55" s="1" t="n">
        <v>1.6</v>
      </c>
      <c r="D55" s="1" t="n">
        <v>1.287</v>
      </c>
      <c r="E55" s="1" t="n">
        <v>0.0441205</v>
      </c>
      <c r="F55" s="1" t="n">
        <v>9.60093E-005</v>
      </c>
      <c r="G55" s="1" t="s">
        <v>27</v>
      </c>
      <c r="H55" s="1" t="n">
        <v>82.2</v>
      </c>
      <c r="I55" s="1" t="n">
        <v>264.6</v>
      </c>
      <c r="J55" s="1" t="n">
        <v>-17.2</v>
      </c>
      <c r="K55" s="1"/>
      <c r="L55" s="1" t="n">
        <v>0</v>
      </c>
      <c r="M55" s="1" t="n">
        <v>0</v>
      </c>
      <c r="N55" s="1" t="s">
        <v>127</v>
      </c>
      <c r="Z55" s="0" t="n">
        <f aca="false">I55-23</f>
        <v>241.6</v>
      </c>
      <c r="AB55" s="0" t="n">
        <f aca="false">IF(Z55&lt;0,Z55+360,Z55+0)</f>
        <v>241.6</v>
      </c>
    </row>
    <row r="56" customFormat="false" ht="15.8" hidden="false" customHeight="false" outlineLevel="0" collapsed="false">
      <c r="A56" s="1" t="n">
        <v>2</v>
      </c>
      <c r="B56" s="1" t="n">
        <v>3</v>
      </c>
      <c r="C56" s="1" t="n">
        <v>0.5</v>
      </c>
      <c r="D56" s="1" t="n">
        <v>1.0144</v>
      </c>
      <c r="E56" s="1" t="n">
        <v>0.013411</v>
      </c>
      <c r="F56" s="1" t="n">
        <v>2.91833E-005</v>
      </c>
      <c r="G56" s="1" t="s">
        <v>37</v>
      </c>
      <c r="H56" s="1" t="n">
        <v>47.5</v>
      </c>
      <c r="I56" s="1" t="n">
        <v>346.5</v>
      </c>
      <c r="J56" s="1" t="n">
        <v>0</v>
      </c>
      <c r="K56" s="1" t="n">
        <v>82.2</v>
      </c>
      <c r="L56" s="1" t="n">
        <v>0</v>
      </c>
      <c r="M56" s="1" t="n">
        <v>0</v>
      </c>
      <c r="N56" s="1" t="s">
        <v>126</v>
      </c>
      <c r="Z56" s="0" t="n">
        <f aca="false">I56-23</f>
        <v>323.5</v>
      </c>
      <c r="AB56" s="0" t="n">
        <f aca="false">IF(Z56&lt;0,Z56+360,Z56+0)</f>
        <v>323.5</v>
      </c>
    </row>
    <row r="57" customFormat="false" ht="15.8" hidden="false" customHeight="false" outlineLevel="0" collapsed="false">
      <c r="A57" s="1" t="n">
        <v>2</v>
      </c>
      <c r="B57" s="1" t="n">
        <v>2</v>
      </c>
      <c r="C57" s="1" t="n">
        <v>2.5</v>
      </c>
      <c r="D57" s="1" t="n">
        <v>1.2069</v>
      </c>
      <c r="E57" s="1" t="n">
        <v>0.067401</v>
      </c>
      <c r="F57" s="1" t="n">
        <v>0.000146669</v>
      </c>
      <c r="G57" s="1" t="s">
        <v>37</v>
      </c>
      <c r="H57" s="1" t="n">
        <v>31.4</v>
      </c>
      <c r="I57" s="1" t="n">
        <v>33.1</v>
      </c>
      <c r="J57" s="1" t="n">
        <v>10.4</v>
      </c>
      <c r="K57" s="1" t="n">
        <v>47.5</v>
      </c>
      <c r="L57" s="1" t="n">
        <v>0</v>
      </c>
      <c r="M57" s="1" t="n">
        <v>0</v>
      </c>
      <c r="N57" s="1" t="s">
        <v>128</v>
      </c>
      <c r="Z57" s="0" t="n">
        <f aca="false">I57-23</f>
        <v>10.1</v>
      </c>
      <c r="AB57" s="0" t="n">
        <f aca="false">IF(Z57&lt;0,Z57+360,Z57+0)</f>
        <v>10.1</v>
      </c>
    </row>
    <row r="58" customFormat="false" ht="15.8" hidden="false" customHeight="false" outlineLevel="0" collapsed="false">
      <c r="A58" s="1" t="n">
        <v>2</v>
      </c>
      <c r="B58" s="1" t="n">
        <v>3</v>
      </c>
      <c r="C58" s="1" t="n">
        <v>2.5</v>
      </c>
      <c r="D58" s="1" t="n">
        <v>1.4232</v>
      </c>
      <c r="E58" s="1" t="n">
        <v>0.068549</v>
      </c>
      <c r="F58" s="1" t="n">
        <v>0.000149168</v>
      </c>
      <c r="G58" s="1" t="s">
        <v>27</v>
      </c>
      <c r="H58" s="1" t="n">
        <v>116.4</v>
      </c>
      <c r="I58" s="1" t="n">
        <v>203.9</v>
      </c>
      <c r="J58" s="1" t="n">
        <v>0</v>
      </c>
      <c r="K58" s="1"/>
      <c r="L58" s="1" t="n">
        <v>0</v>
      </c>
      <c r="M58" s="1" t="n">
        <v>0</v>
      </c>
      <c r="N58" s="1" t="s">
        <v>129</v>
      </c>
      <c r="Z58" s="0" t="n">
        <f aca="false">I58-23</f>
        <v>180.9</v>
      </c>
      <c r="AB58" s="0" t="n">
        <f aca="false">IF(Z58&lt;0,Z58+360,Z58+0)</f>
        <v>180.9</v>
      </c>
    </row>
    <row r="59" customFormat="false" ht="15.8" hidden="false" customHeight="false" outlineLevel="0" collapsed="false">
      <c r="A59" s="1" t="n">
        <v>2</v>
      </c>
      <c r="B59" s="1" t="n">
        <v>3</v>
      </c>
      <c r="C59" s="1" t="n">
        <v>2.4</v>
      </c>
      <c r="D59" s="1" t="n">
        <v>1.2516</v>
      </c>
      <c r="E59" s="1" t="n">
        <v>0.0669629</v>
      </c>
      <c r="F59" s="1" t="n">
        <v>0.000145716</v>
      </c>
      <c r="G59" s="1" t="s">
        <v>27</v>
      </c>
      <c r="H59" s="1" t="n">
        <v>21.9</v>
      </c>
      <c r="I59" s="1" t="n">
        <v>107.9</v>
      </c>
      <c r="J59" s="1" t="n">
        <v>-22.2</v>
      </c>
      <c r="K59" s="1"/>
      <c r="L59" s="1" t="n">
        <v>0</v>
      </c>
      <c r="M59" s="1" t="n">
        <v>0</v>
      </c>
      <c r="N59" s="1" t="s">
        <v>129</v>
      </c>
      <c r="Z59" s="0" t="n">
        <f aca="false">I59-23</f>
        <v>84.9</v>
      </c>
      <c r="AB59" s="0" t="n">
        <f aca="false">IF(Z59&lt;0,Z59+360,Z59+0)</f>
        <v>84.9</v>
      </c>
    </row>
    <row r="60" customFormat="false" ht="15.8" hidden="false" customHeight="false" outlineLevel="0" collapsed="false">
      <c r="A60" s="1" t="n">
        <v>2</v>
      </c>
      <c r="B60" s="1" t="n">
        <v>3</v>
      </c>
      <c r="C60" s="1" t="n">
        <v>7.4</v>
      </c>
      <c r="D60" s="1" t="n">
        <v>1.7354</v>
      </c>
      <c r="E60" s="1" t="n">
        <v>0.202236</v>
      </c>
      <c r="F60" s="1" t="n">
        <v>0.00044008</v>
      </c>
      <c r="G60" s="1" t="s">
        <v>27</v>
      </c>
      <c r="H60" s="1" t="n">
        <v>40</v>
      </c>
      <c r="I60" s="1" t="n">
        <v>70.5</v>
      </c>
      <c r="J60" s="1" t="n">
        <v>-51.4</v>
      </c>
      <c r="K60" s="1"/>
      <c r="L60" s="1" t="n">
        <v>0</v>
      </c>
      <c r="M60" s="1" t="n">
        <v>0</v>
      </c>
      <c r="N60" s="1" t="s">
        <v>129</v>
      </c>
      <c r="Z60" s="0" t="n">
        <f aca="false">I60-23</f>
        <v>47.5</v>
      </c>
      <c r="AB60" s="0" t="n">
        <f aca="false">IF(Z60&lt;0,Z60+360,Z60+0)</f>
        <v>47.5</v>
      </c>
    </row>
    <row r="61" customFormat="false" ht="15.8" hidden="false" customHeight="false" outlineLevel="0" collapsed="false">
      <c r="A61" s="1" t="n">
        <v>2</v>
      </c>
      <c r="B61" s="1" t="n">
        <v>2</v>
      </c>
      <c r="C61" s="1" t="n">
        <v>9.3</v>
      </c>
      <c r="D61" s="1" t="n">
        <v>1.1797</v>
      </c>
      <c r="E61" s="1" t="n">
        <v>0.254066</v>
      </c>
      <c r="F61" s="1" t="n">
        <v>0.000552866</v>
      </c>
      <c r="G61" s="1" t="s">
        <v>37</v>
      </c>
      <c r="H61" s="1" t="n">
        <v>27.2</v>
      </c>
      <c r="I61" s="1" t="n">
        <v>86.7</v>
      </c>
      <c r="J61" s="1" t="n">
        <v>-13.6</v>
      </c>
      <c r="K61" s="1" t="n">
        <v>116.4</v>
      </c>
      <c r="L61" s="1" t="n">
        <v>0</v>
      </c>
      <c r="M61" s="1" t="n">
        <v>0</v>
      </c>
      <c r="N61" s="1" t="s">
        <v>128</v>
      </c>
      <c r="Z61" s="0" t="n">
        <f aca="false">I61-23</f>
        <v>63.7</v>
      </c>
      <c r="AB61" s="0" t="n">
        <f aca="false">IF(Z61&lt;0,Z61+360,Z61+0)</f>
        <v>63.7</v>
      </c>
    </row>
    <row r="62" customFormat="false" ht="15.8" hidden="false" customHeight="false" outlineLevel="0" collapsed="false">
      <c r="A62" s="1" t="n">
        <v>2</v>
      </c>
      <c r="B62" s="1" t="n">
        <v>1</v>
      </c>
      <c r="C62" s="1" t="n">
        <v>2.1</v>
      </c>
      <c r="D62" s="1" t="n">
        <v>1.0933</v>
      </c>
      <c r="E62" s="1" t="n">
        <v>0.0564435</v>
      </c>
      <c r="F62" s="1" t="n">
        <v>0.000122825</v>
      </c>
      <c r="G62" s="1" t="s">
        <v>37</v>
      </c>
      <c r="H62" s="1"/>
      <c r="I62" s="1" t="n">
        <v>62.8</v>
      </c>
      <c r="J62" s="1" t="n">
        <v>0</v>
      </c>
      <c r="K62" s="1" t="n">
        <v>31.4</v>
      </c>
      <c r="L62" s="1" t="n">
        <v>0</v>
      </c>
      <c r="M62" s="1" t="n">
        <v>0</v>
      </c>
      <c r="N62" s="1" t="s">
        <v>130</v>
      </c>
      <c r="Z62" s="0" t="n">
        <f aca="false">I62-23</f>
        <v>39.8</v>
      </c>
      <c r="AB62" s="0" t="n">
        <f aca="false">IF(Z62&lt;0,Z62+360,Z62+0)</f>
        <v>39.8</v>
      </c>
    </row>
    <row r="63" customFormat="false" ht="15.8" hidden="false" customHeight="false" outlineLevel="0" collapsed="false">
      <c r="A63" s="1" t="n">
        <v>3</v>
      </c>
      <c r="B63" s="1" t="n">
        <v>5</v>
      </c>
      <c r="C63" s="1" t="n">
        <v>1.6</v>
      </c>
      <c r="D63" s="1" t="n">
        <v>1.2207</v>
      </c>
      <c r="E63" s="1" t="n">
        <v>0.0435445</v>
      </c>
      <c r="F63" s="1" t="n">
        <v>9.71856E-005</v>
      </c>
      <c r="G63" s="1" t="s">
        <v>27</v>
      </c>
      <c r="H63" s="1" t="n">
        <v>60.7</v>
      </c>
      <c r="I63" s="1" t="n">
        <v>112.4</v>
      </c>
      <c r="J63" s="1" t="n">
        <v>16.9</v>
      </c>
      <c r="K63" s="1"/>
      <c r="L63" s="1" t="n">
        <v>0</v>
      </c>
      <c r="M63" s="1" t="n">
        <v>0</v>
      </c>
      <c r="N63" s="1" t="s">
        <v>131</v>
      </c>
      <c r="Z63" s="0" t="n">
        <f aca="false">I63-23</f>
        <v>89.4</v>
      </c>
      <c r="AB63" s="0" t="n">
        <f aca="false">IF(Z63&lt;0,Z63+360,Z63+0)</f>
        <v>89.4</v>
      </c>
    </row>
    <row r="64" customFormat="false" ht="15.8" hidden="false" customHeight="false" outlineLevel="0" collapsed="false">
      <c r="A64" s="1" t="n">
        <v>3</v>
      </c>
      <c r="B64" s="1" t="n">
        <v>7</v>
      </c>
      <c r="C64" s="1" t="n">
        <v>3.2</v>
      </c>
      <c r="D64" s="1" t="n">
        <v>1.8695</v>
      </c>
      <c r="E64" s="1" t="n">
        <v>0.0550962</v>
      </c>
      <c r="F64" s="1" t="n">
        <v>7.49332E-005</v>
      </c>
      <c r="G64" s="1" t="s">
        <v>27</v>
      </c>
      <c r="H64" s="1" t="n">
        <v>90.7</v>
      </c>
      <c r="I64" s="1" t="n">
        <v>214.9</v>
      </c>
      <c r="J64" s="1" t="n">
        <v>12.4</v>
      </c>
      <c r="K64" s="1"/>
      <c r="L64" s="1" t="n">
        <v>0</v>
      </c>
      <c r="M64" s="1" t="n">
        <v>0</v>
      </c>
      <c r="N64" s="1" t="s">
        <v>132</v>
      </c>
      <c r="Z64" s="0" t="n">
        <f aca="false">I64-23</f>
        <v>191.9</v>
      </c>
      <c r="AB64" s="0" t="n">
        <f aca="false">IF(Z64&lt;0,Z64+360,Z64+0)</f>
        <v>191.9</v>
      </c>
    </row>
    <row r="65" customFormat="false" ht="15.8" hidden="false" customHeight="false" outlineLevel="0" collapsed="false">
      <c r="A65" s="1" t="n">
        <v>3</v>
      </c>
      <c r="B65" s="1" t="n">
        <v>7</v>
      </c>
      <c r="C65" s="1" t="n">
        <v>0.9</v>
      </c>
      <c r="D65" s="1" t="n">
        <v>1.0713</v>
      </c>
      <c r="E65" s="1" t="n">
        <v>0.015425</v>
      </c>
      <c r="F65" s="1" t="n">
        <v>2.09786E-005</v>
      </c>
      <c r="G65" s="1" t="s">
        <v>27</v>
      </c>
      <c r="H65" s="1" t="n">
        <v>91.4</v>
      </c>
      <c r="I65" s="1" t="n">
        <v>38.4</v>
      </c>
      <c r="J65" s="1" t="n">
        <v>-61.4</v>
      </c>
      <c r="K65" s="1"/>
      <c r="L65" s="1" t="n">
        <v>0</v>
      </c>
      <c r="M65" s="1" t="n">
        <v>0</v>
      </c>
      <c r="N65" s="1" t="s">
        <v>132</v>
      </c>
      <c r="Z65" s="0" t="n">
        <f aca="false">I65-23</f>
        <v>15.4</v>
      </c>
      <c r="AB65" s="0" t="n">
        <f aca="false">IF(Z65&lt;0,Z65+360,Z65+0)</f>
        <v>15.4</v>
      </c>
    </row>
    <row r="66" customFormat="false" ht="15.8" hidden="false" customHeight="false" outlineLevel="0" collapsed="false">
      <c r="A66" s="1" t="n">
        <v>3</v>
      </c>
      <c r="B66" s="1" t="n">
        <v>6</v>
      </c>
      <c r="C66" s="1" t="n">
        <v>0.3</v>
      </c>
      <c r="D66" s="1" t="n">
        <v>1.0681</v>
      </c>
      <c r="E66" s="1" t="n">
        <v>0.00598003</v>
      </c>
      <c r="F66" s="1" t="n">
        <v>8.1331E-006</v>
      </c>
      <c r="G66" s="1" t="s">
        <v>37</v>
      </c>
      <c r="H66" s="1" t="n">
        <v>41.9</v>
      </c>
      <c r="I66" s="1" t="n">
        <v>305.5</v>
      </c>
      <c r="J66" s="1" t="n">
        <v>0</v>
      </c>
      <c r="K66" s="1" t="n">
        <v>91.4</v>
      </c>
      <c r="L66" s="1" t="n">
        <v>0</v>
      </c>
      <c r="M66" s="1" t="n">
        <v>0</v>
      </c>
      <c r="N66" s="1" t="s">
        <v>133</v>
      </c>
      <c r="Z66" s="0" t="n">
        <f aca="false">I66-23</f>
        <v>282.5</v>
      </c>
      <c r="AB66" s="0" t="n">
        <f aca="false">IF(Z66&lt;0,Z66+360,Z66+0)</f>
        <v>282.5</v>
      </c>
    </row>
    <row r="67" customFormat="false" ht="15.8" hidden="false" customHeight="false" outlineLevel="0" collapsed="false">
      <c r="A67" s="1" t="n">
        <v>3</v>
      </c>
      <c r="B67" s="1" t="n">
        <v>6</v>
      </c>
      <c r="C67" s="1" t="n">
        <v>1.1</v>
      </c>
      <c r="D67" s="1" t="n">
        <v>1.0796</v>
      </c>
      <c r="E67" s="1" t="n">
        <v>0.0190989</v>
      </c>
      <c r="F67" s="1" t="n">
        <v>2.59753E-005</v>
      </c>
      <c r="G67" s="1" t="s">
        <v>27</v>
      </c>
      <c r="H67" s="1" t="n">
        <v>145.5</v>
      </c>
      <c r="I67" s="1" t="n">
        <v>133.5</v>
      </c>
      <c r="J67" s="1" t="n">
        <v>0</v>
      </c>
      <c r="K67" s="1"/>
      <c r="L67" s="1" t="n">
        <v>0</v>
      </c>
      <c r="M67" s="1" t="n">
        <v>0</v>
      </c>
      <c r="N67" s="1" t="s">
        <v>133</v>
      </c>
      <c r="Z67" s="0" t="n">
        <f aca="false">I67-23</f>
        <v>110.5</v>
      </c>
      <c r="AB67" s="0" t="n">
        <f aca="false">IF(Z67&lt;0,Z67+360,Z67+0)</f>
        <v>110.5</v>
      </c>
    </row>
    <row r="68" customFormat="false" ht="15.8" hidden="false" customHeight="false" outlineLevel="0" collapsed="false">
      <c r="A68" s="1" t="n">
        <v>3</v>
      </c>
      <c r="B68" s="1" t="n">
        <v>5</v>
      </c>
      <c r="C68" s="1" t="n">
        <v>2</v>
      </c>
      <c r="D68" s="1" t="n">
        <v>1.2208</v>
      </c>
      <c r="E68" s="1" t="n">
        <v>0.0554362</v>
      </c>
      <c r="F68" s="1" t="n">
        <v>0.000123268</v>
      </c>
      <c r="G68" s="1" t="s">
        <v>37</v>
      </c>
      <c r="H68" s="1" t="n">
        <v>68.2</v>
      </c>
      <c r="I68" s="1" t="n">
        <v>345.7</v>
      </c>
      <c r="J68" s="1" t="n">
        <v>13.1</v>
      </c>
      <c r="K68" s="1" t="n">
        <v>145.5</v>
      </c>
      <c r="L68" s="1" t="n">
        <v>0</v>
      </c>
      <c r="M68" s="1" t="n">
        <v>0</v>
      </c>
      <c r="N68" s="1" t="s">
        <v>131</v>
      </c>
      <c r="Z68" s="0" t="n">
        <f aca="false">I68-23</f>
        <v>322.7</v>
      </c>
      <c r="AB68" s="0" t="n">
        <f aca="false">IF(Z68&lt;0,Z68+360,Z68+0)</f>
        <v>322.7</v>
      </c>
    </row>
    <row r="69" customFormat="false" ht="15.8" hidden="false" customHeight="false" outlineLevel="0" collapsed="false">
      <c r="A69" s="1" t="n">
        <v>3</v>
      </c>
      <c r="B69" s="1" t="n">
        <v>4</v>
      </c>
      <c r="C69" s="1" t="n">
        <v>1</v>
      </c>
      <c r="D69" s="1" t="n">
        <v>1.0363</v>
      </c>
      <c r="E69" s="1" t="n">
        <v>0.028179</v>
      </c>
      <c r="F69" s="1" t="n">
        <v>6.28918E-005</v>
      </c>
      <c r="G69" s="1" t="s">
        <v>37</v>
      </c>
      <c r="H69" s="1" t="n">
        <v>66.3</v>
      </c>
      <c r="I69" s="1" t="n">
        <v>53.2</v>
      </c>
      <c r="J69" s="1" t="n">
        <v>0</v>
      </c>
      <c r="K69" s="1" t="n">
        <v>68.2</v>
      </c>
      <c r="L69" s="1" t="n">
        <v>0</v>
      </c>
      <c r="M69" s="1" t="n">
        <v>0</v>
      </c>
      <c r="N69" s="1" t="s">
        <v>134</v>
      </c>
      <c r="Z69" s="0" t="n">
        <f aca="false">I69-23</f>
        <v>30.2</v>
      </c>
      <c r="AB69" s="0" t="n">
        <f aca="false">IF(Z69&lt;0,Z69+360,Z69+0)</f>
        <v>30.2</v>
      </c>
    </row>
    <row r="70" customFormat="false" ht="15.8" hidden="false" customHeight="false" outlineLevel="0" collapsed="false">
      <c r="A70" s="1" t="n">
        <v>3</v>
      </c>
      <c r="B70" s="1" t="n">
        <v>4</v>
      </c>
      <c r="C70" s="1" t="n">
        <v>1.4</v>
      </c>
      <c r="D70" s="1" t="n">
        <v>1.1555</v>
      </c>
      <c r="E70" s="1" t="n">
        <v>0.0379588</v>
      </c>
      <c r="F70" s="1" t="n">
        <v>8.4719E-005</v>
      </c>
      <c r="G70" s="1" t="s">
        <v>27</v>
      </c>
      <c r="H70" s="1" t="n">
        <v>110</v>
      </c>
      <c r="I70" s="1" t="n">
        <v>275.1</v>
      </c>
      <c r="J70" s="1" t="n">
        <v>18.4</v>
      </c>
      <c r="K70" s="1"/>
      <c r="L70" s="1" t="n">
        <v>0</v>
      </c>
      <c r="M70" s="1" t="n">
        <v>0</v>
      </c>
      <c r="N70" s="1" t="s">
        <v>134</v>
      </c>
      <c r="Z70" s="0" t="n">
        <f aca="false">I70-23</f>
        <v>252.1</v>
      </c>
      <c r="AB70" s="0" t="n">
        <f aca="false">IF(Z70&lt;0,Z70+360,Z70+0)</f>
        <v>252.1</v>
      </c>
    </row>
    <row r="71" customFormat="false" ht="15.8" hidden="false" customHeight="false" outlineLevel="0" collapsed="false">
      <c r="A71" s="1" t="n">
        <v>3</v>
      </c>
      <c r="B71" s="1" t="n">
        <v>3</v>
      </c>
      <c r="C71" s="1" t="n">
        <v>3.4</v>
      </c>
      <c r="D71" s="1" t="n">
        <v>1.321</v>
      </c>
      <c r="E71" s="1" t="n">
        <v>0.0964349</v>
      </c>
      <c r="F71" s="1" t="n">
        <v>0.000215165</v>
      </c>
      <c r="G71" s="1" t="s">
        <v>37</v>
      </c>
      <c r="H71" s="1" t="n">
        <v>58.7</v>
      </c>
      <c r="I71" s="1" t="n">
        <v>13.5</v>
      </c>
      <c r="J71" s="1" t="n">
        <v>-58.5</v>
      </c>
      <c r="K71" s="1" t="n">
        <v>110</v>
      </c>
      <c r="L71" s="1" t="n">
        <v>0</v>
      </c>
      <c r="M71" s="1" t="n">
        <v>0</v>
      </c>
      <c r="N71" s="1" t="s">
        <v>135</v>
      </c>
      <c r="Z71" s="0" t="n">
        <f aca="false">I71-23</f>
        <v>-9.5</v>
      </c>
      <c r="AB71" s="0" t="n">
        <f aca="false">IF(Z71&lt;0,Z71+360,Z71+0)</f>
        <v>350.5</v>
      </c>
    </row>
    <row r="72" customFormat="false" ht="15.8" hidden="false" customHeight="false" outlineLevel="0" collapsed="false">
      <c r="A72" s="1" t="n">
        <v>3</v>
      </c>
      <c r="B72" s="1" t="n">
        <v>9</v>
      </c>
      <c r="C72" s="1" t="n">
        <v>7.6</v>
      </c>
      <c r="D72" s="1" t="n">
        <v>2.2302</v>
      </c>
      <c r="E72" s="1" t="n">
        <v>0.208328</v>
      </c>
      <c r="F72" s="1" t="n">
        <v>0.000453335</v>
      </c>
      <c r="G72" s="1" t="s">
        <v>27</v>
      </c>
      <c r="H72" s="1" t="n">
        <v>43.2</v>
      </c>
      <c r="I72" s="1" t="n">
        <v>81.7</v>
      </c>
      <c r="J72" s="1" t="n">
        <v>-25.7</v>
      </c>
      <c r="K72" s="1"/>
      <c r="L72" s="1" t="n">
        <v>0</v>
      </c>
      <c r="M72" s="1" t="n">
        <v>0</v>
      </c>
      <c r="N72" s="1" t="s">
        <v>136</v>
      </c>
      <c r="Z72" s="0" t="n">
        <f aca="false">I72-23</f>
        <v>58.7</v>
      </c>
      <c r="AB72" s="0" t="n">
        <f aca="false">IF(Z72&lt;0,Z72+360,Z72+0)</f>
        <v>58.7</v>
      </c>
    </row>
    <row r="73" customFormat="false" ht="15.8" hidden="false" customHeight="false" outlineLevel="0" collapsed="false">
      <c r="A73" s="1" t="n">
        <v>3</v>
      </c>
      <c r="B73" s="1" t="n">
        <v>9</v>
      </c>
      <c r="C73" s="1" t="n">
        <v>0.8</v>
      </c>
      <c r="D73" s="1" t="n">
        <v>1.0223</v>
      </c>
      <c r="E73" s="1" t="n">
        <v>0.0210068</v>
      </c>
      <c r="F73" s="1" t="n">
        <v>4.57122E-005</v>
      </c>
      <c r="G73" s="1" t="s">
        <v>27</v>
      </c>
      <c r="H73" s="1" t="n">
        <v>70.7</v>
      </c>
      <c r="I73" s="1" t="n">
        <v>198.2</v>
      </c>
      <c r="J73" s="1" t="n">
        <v>0</v>
      </c>
      <c r="K73" s="1"/>
      <c r="L73" s="1" t="n">
        <v>0</v>
      </c>
      <c r="M73" s="1" t="n">
        <v>0</v>
      </c>
      <c r="N73" s="1" t="s">
        <v>136</v>
      </c>
      <c r="Z73" s="0" t="n">
        <f aca="false">I73-23</f>
        <v>175.2</v>
      </c>
      <c r="AB73" s="0" t="n">
        <f aca="false">IF(Z73&lt;0,Z73+360,Z73+0)</f>
        <v>175.2</v>
      </c>
    </row>
    <row r="74" customFormat="false" ht="15.8" hidden="false" customHeight="false" outlineLevel="0" collapsed="false">
      <c r="A74" s="1" t="n">
        <v>3</v>
      </c>
      <c r="B74" s="1" t="n">
        <v>8</v>
      </c>
      <c r="C74" s="1" t="n">
        <v>2.3</v>
      </c>
      <c r="D74" s="1" t="n">
        <v>1.2192</v>
      </c>
      <c r="E74" s="1" t="n">
        <v>0.0627937</v>
      </c>
      <c r="F74" s="1" t="n">
        <v>0.000136644</v>
      </c>
      <c r="G74" s="1" t="s">
        <v>37</v>
      </c>
      <c r="H74" s="1" t="n">
        <v>64.7</v>
      </c>
      <c r="I74" s="1" t="n">
        <v>129.3</v>
      </c>
      <c r="J74" s="1" t="n">
        <v>-23.1</v>
      </c>
      <c r="K74" s="1" t="n">
        <v>70.7</v>
      </c>
      <c r="L74" s="1" t="n">
        <v>0</v>
      </c>
      <c r="M74" s="1" t="n">
        <v>0</v>
      </c>
      <c r="N74" s="1" t="s">
        <v>137</v>
      </c>
      <c r="Z74" s="0" t="n">
        <f aca="false">I74-23</f>
        <v>106.3</v>
      </c>
      <c r="AB74" s="0" t="n">
        <f aca="false">IF(Z74&lt;0,Z74+360,Z74+0)</f>
        <v>106.3</v>
      </c>
    </row>
    <row r="75" customFormat="false" ht="15.8" hidden="false" customHeight="false" outlineLevel="0" collapsed="false">
      <c r="A75" s="1" t="n">
        <v>3</v>
      </c>
      <c r="B75" s="1" t="n">
        <v>13</v>
      </c>
      <c r="C75" s="1" t="n">
        <v>1.9</v>
      </c>
      <c r="D75" s="1" t="n">
        <v>1.0368</v>
      </c>
      <c r="E75" s="1" t="n">
        <v>0.0511898</v>
      </c>
      <c r="F75" s="1" t="n">
        <v>0.000111393</v>
      </c>
      <c r="G75" s="1" t="s">
        <v>27</v>
      </c>
      <c r="H75" s="1" t="n">
        <v>17.6</v>
      </c>
      <c r="I75" s="1" t="n">
        <v>248.5</v>
      </c>
      <c r="J75" s="1" t="n">
        <v>0</v>
      </c>
      <c r="K75" s="1"/>
      <c r="L75" s="1" t="n">
        <v>0</v>
      </c>
      <c r="M75" s="1" t="n">
        <v>0</v>
      </c>
      <c r="N75" s="1" t="s">
        <v>138</v>
      </c>
      <c r="Z75" s="0" t="n">
        <f aca="false">I75-23</f>
        <v>225.5</v>
      </c>
      <c r="AB75" s="0" t="n">
        <f aca="false">IF(Z75&lt;0,Z75+360,Z75+0)</f>
        <v>225.5</v>
      </c>
    </row>
    <row r="76" customFormat="false" ht="15.8" hidden="false" customHeight="false" outlineLevel="0" collapsed="false">
      <c r="A76" s="1" t="n">
        <v>3</v>
      </c>
      <c r="B76" s="1" t="n">
        <v>14</v>
      </c>
      <c r="C76" s="1" t="n">
        <v>1.4</v>
      </c>
      <c r="D76" s="1" t="n">
        <v>1.0771</v>
      </c>
      <c r="E76" s="1" t="n">
        <v>0.0379237</v>
      </c>
      <c r="F76" s="1" t="n">
        <v>8.25246E-005</v>
      </c>
      <c r="G76" s="1" t="s">
        <v>27</v>
      </c>
      <c r="H76" s="1" t="n">
        <v>110.6</v>
      </c>
      <c r="I76" s="1" t="n">
        <v>226.1</v>
      </c>
      <c r="J76" s="1" t="n">
        <v>59.6</v>
      </c>
      <c r="K76" s="1"/>
      <c r="L76" s="1" t="n">
        <v>0</v>
      </c>
      <c r="M76" s="1" t="n">
        <v>0</v>
      </c>
      <c r="N76" s="1" t="s">
        <v>139</v>
      </c>
      <c r="Z76" s="0" t="n">
        <f aca="false">I76-23</f>
        <v>203.1</v>
      </c>
      <c r="AB76" s="0" t="n">
        <f aca="false">IF(Z76&lt;0,Z76+360,Z76+0)</f>
        <v>203.1</v>
      </c>
    </row>
    <row r="77" customFormat="false" ht="15.8" hidden="false" customHeight="false" outlineLevel="0" collapsed="false">
      <c r="A77" s="1" t="n">
        <v>3</v>
      </c>
      <c r="B77" s="1" t="n">
        <v>14</v>
      </c>
      <c r="C77" s="1" t="n">
        <v>0.7</v>
      </c>
      <c r="D77" s="1" t="n">
        <v>1.0158</v>
      </c>
      <c r="E77" s="1" t="n">
        <v>0.0198785</v>
      </c>
      <c r="F77" s="1" t="n">
        <v>4.3257E-005</v>
      </c>
      <c r="G77" s="1" t="s">
        <v>27</v>
      </c>
      <c r="H77" s="1" t="n">
        <v>71.6</v>
      </c>
      <c r="I77" s="1" t="n">
        <v>71.6</v>
      </c>
      <c r="J77" s="1" t="n">
        <v>0</v>
      </c>
      <c r="K77" s="1"/>
      <c r="L77" s="1" t="n">
        <v>0</v>
      </c>
      <c r="M77" s="1" t="n">
        <v>0</v>
      </c>
      <c r="N77" s="1" t="s">
        <v>139</v>
      </c>
      <c r="Z77" s="0" t="n">
        <f aca="false">I77-23</f>
        <v>48.6</v>
      </c>
      <c r="AB77" s="0" t="n">
        <f aca="false">IF(Z77&lt;0,Z77+360,Z77+0)</f>
        <v>48.6</v>
      </c>
    </row>
    <row r="78" customFormat="false" ht="15.8" hidden="false" customHeight="false" outlineLevel="0" collapsed="false">
      <c r="A78" s="1" t="n">
        <v>3</v>
      </c>
      <c r="B78" s="1" t="n">
        <v>13</v>
      </c>
      <c r="C78" s="1" t="n">
        <v>0.6</v>
      </c>
      <c r="D78" s="1" t="n">
        <v>1.0106</v>
      </c>
      <c r="E78" s="1" t="n">
        <v>0.0165968</v>
      </c>
      <c r="F78" s="1" t="n">
        <v>3.61159E-005</v>
      </c>
      <c r="G78" s="1" t="s">
        <v>37</v>
      </c>
      <c r="H78" s="1" t="n">
        <v>94.5</v>
      </c>
      <c r="I78" s="1" t="n">
        <v>0</v>
      </c>
      <c r="J78" s="1" t="n">
        <v>0</v>
      </c>
      <c r="K78" s="1" t="n">
        <v>110.6</v>
      </c>
      <c r="L78" s="1" t="n">
        <v>0</v>
      </c>
      <c r="M78" s="1" t="n">
        <v>0</v>
      </c>
      <c r="N78" s="1" t="s">
        <v>138</v>
      </c>
      <c r="Z78" s="0" t="n">
        <f aca="false">I78-23</f>
        <v>-23</v>
      </c>
      <c r="AB78" s="0" t="n">
        <f aca="false">IF(Z78&lt;0,Z78+360,Z78+0)</f>
        <v>337</v>
      </c>
    </row>
    <row r="79" customFormat="false" ht="15.8" hidden="false" customHeight="false" outlineLevel="0" collapsed="false">
      <c r="A79" s="1" t="n">
        <v>3</v>
      </c>
      <c r="B79" s="1" t="n">
        <v>12</v>
      </c>
      <c r="C79" s="1" t="n">
        <v>6.3</v>
      </c>
      <c r="D79" s="1" t="n">
        <v>1.3485</v>
      </c>
      <c r="E79" s="1" t="n">
        <v>0.173418</v>
      </c>
      <c r="F79" s="1" t="n">
        <v>0.00037737</v>
      </c>
      <c r="G79" s="1" t="s">
        <v>37</v>
      </c>
      <c r="H79" s="1" t="n">
        <v>15.9</v>
      </c>
      <c r="I79" s="1" t="n">
        <v>265.5</v>
      </c>
      <c r="J79" s="1" t="n">
        <v>4.5</v>
      </c>
      <c r="K79" s="1" t="n">
        <v>94.5</v>
      </c>
      <c r="L79" s="1" t="n">
        <v>0</v>
      </c>
      <c r="M79" s="1" t="n">
        <v>0</v>
      </c>
      <c r="N79" s="1" t="s">
        <v>140</v>
      </c>
      <c r="Z79" s="0" t="n">
        <f aca="false">I79-23</f>
        <v>242.5</v>
      </c>
      <c r="AB79" s="0" t="n">
        <f aca="false">IF(Z79&lt;0,Z79+360,Z79+0)</f>
        <v>242.5</v>
      </c>
    </row>
    <row r="80" customFormat="false" ht="15.8" hidden="false" customHeight="false" outlineLevel="0" collapsed="false">
      <c r="A80" s="1" t="n">
        <v>3</v>
      </c>
      <c r="B80" s="1" t="n">
        <v>12</v>
      </c>
      <c r="C80" s="1" t="n">
        <v>1.9</v>
      </c>
      <c r="D80" s="1" t="n">
        <v>1.2203</v>
      </c>
      <c r="E80" s="1" t="n">
        <v>0.0519573</v>
      </c>
      <c r="F80" s="1" t="n">
        <v>0.000113063</v>
      </c>
      <c r="G80" s="1" t="s">
        <v>27</v>
      </c>
      <c r="H80" s="1" t="n">
        <v>116.7</v>
      </c>
      <c r="I80" s="1" t="n">
        <v>139.1</v>
      </c>
      <c r="J80" s="1" t="n">
        <v>-28.4</v>
      </c>
      <c r="K80" s="1"/>
      <c r="L80" s="1" t="n">
        <v>0</v>
      </c>
      <c r="M80" s="1" t="n">
        <v>0</v>
      </c>
      <c r="N80" s="1" t="s">
        <v>140</v>
      </c>
      <c r="Z80" s="0" t="n">
        <f aca="false">I80-23</f>
        <v>116.1</v>
      </c>
      <c r="AB80" s="0" t="n">
        <f aca="false">IF(Z80&lt;0,Z80+360,Z80+0)</f>
        <v>116.1</v>
      </c>
    </row>
    <row r="81" customFormat="false" ht="15.8" hidden="false" customHeight="false" outlineLevel="0" collapsed="false">
      <c r="A81" s="1" t="n">
        <v>3</v>
      </c>
      <c r="B81" s="1" t="n">
        <v>11</v>
      </c>
      <c r="C81" s="1" t="n">
        <v>14.1</v>
      </c>
      <c r="D81" s="1" t="n">
        <v>1.295</v>
      </c>
      <c r="E81" s="1" t="n">
        <v>0.386551</v>
      </c>
      <c r="F81" s="1" t="n">
        <v>0.000841162</v>
      </c>
      <c r="G81" s="1" t="s">
        <v>37</v>
      </c>
      <c r="H81" s="1" t="n">
        <v>56.8</v>
      </c>
      <c r="I81" s="1" t="n">
        <v>252.3</v>
      </c>
      <c r="J81" s="1" t="n">
        <v>13.7</v>
      </c>
      <c r="K81" s="1" t="n">
        <v>116.7</v>
      </c>
      <c r="L81" s="1" t="n">
        <v>0</v>
      </c>
      <c r="M81" s="1" t="n">
        <v>0</v>
      </c>
      <c r="N81" s="1" t="s">
        <v>141</v>
      </c>
      <c r="Z81" s="0" t="n">
        <f aca="false">I81-23</f>
        <v>229.3</v>
      </c>
      <c r="AB81" s="0" t="n">
        <f aca="false">IF(Z81&lt;0,Z81+360,Z81+0)</f>
        <v>229.3</v>
      </c>
    </row>
    <row r="82" customFormat="false" ht="15.8" hidden="false" customHeight="false" outlineLevel="0" collapsed="false">
      <c r="A82" s="1" t="n">
        <v>3</v>
      </c>
      <c r="B82" s="1" t="n">
        <v>11</v>
      </c>
      <c r="C82" s="1" t="n">
        <v>1.1</v>
      </c>
      <c r="D82" s="1" t="n">
        <v>1.0071</v>
      </c>
      <c r="E82" s="1" t="n">
        <v>0.0293077</v>
      </c>
      <c r="F82" s="1" t="n">
        <v>6.37756E-005</v>
      </c>
      <c r="G82" s="1" t="s">
        <v>27</v>
      </c>
      <c r="H82" s="1" t="n">
        <v>50.8</v>
      </c>
      <c r="I82" s="1" t="n">
        <v>266.2</v>
      </c>
      <c r="J82" s="1" t="n">
        <v>0</v>
      </c>
      <c r="K82" s="1"/>
      <c r="L82" s="1" t="n">
        <v>0</v>
      </c>
      <c r="M82" s="1" t="n">
        <v>0</v>
      </c>
      <c r="N82" s="1" t="s">
        <v>141</v>
      </c>
      <c r="Z82" s="0" t="n">
        <f aca="false">I82-23</f>
        <v>243.2</v>
      </c>
      <c r="AB82" s="0" t="n">
        <f aca="false">IF(Z82&lt;0,Z82+360,Z82+0)</f>
        <v>243.2</v>
      </c>
    </row>
    <row r="83" customFormat="false" ht="15.8" hidden="false" customHeight="false" outlineLevel="0" collapsed="false">
      <c r="A83" s="1" t="n">
        <v>3</v>
      </c>
      <c r="B83" s="1" t="n">
        <v>11</v>
      </c>
      <c r="C83" s="1" t="n">
        <v>3.3</v>
      </c>
      <c r="D83" s="1" t="n">
        <v>1.1754</v>
      </c>
      <c r="E83" s="1" t="n">
        <v>0.0895758</v>
      </c>
      <c r="F83" s="1" t="n">
        <v>0.000194923</v>
      </c>
      <c r="G83" s="1" t="s">
        <v>27</v>
      </c>
      <c r="H83" s="1" t="n">
        <v>117.2</v>
      </c>
      <c r="I83" s="1" t="n">
        <v>68.4</v>
      </c>
      <c r="J83" s="1" t="n">
        <v>-7.6</v>
      </c>
      <c r="K83" s="1"/>
      <c r="L83" s="1" t="n">
        <v>0</v>
      </c>
      <c r="M83" s="1" t="n">
        <v>0</v>
      </c>
      <c r="N83" s="1" t="s">
        <v>141</v>
      </c>
      <c r="Z83" s="0" t="n">
        <f aca="false">I83-23</f>
        <v>45.4</v>
      </c>
      <c r="AB83" s="0" t="n">
        <f aca="false">IF(Z83&lt;0,Z83+360,Z83+0)</f>
        <v>45.4</v>
      </c>
    </row>
    <row r="84" customFormat="false" ht="15.8" hidden="false" customHeight="false" outlineLevel="0" collapsed="false">
      <c r="A84" s="1" t="n">
        <v>3</v>
      </c>
      <c r="B84" s="1" t="n">
        <v>10</v>
      </c>
      <c r="C84" s="1" t="n">
        <v>1</v>
      </c>
      <c r="D84" s="1" t="n">
        <v>1.2093</v>
      </c>
      <c r="E84" s="1" t="n">
        <v>0.0286339</v>
      </c>
      <c r="F84" s="1" t="n">
        <v>6.23093E-005</v>
      </c>
      <c r="G84" s="1" t="s">
        <v>37</v>
      </c>
      <c r="H84" s="1" t="n">
        <v>35.2</v>
      </c>
      <c r="I84" s="1" t="n">
        <v>311.8</v>
      </c>
      <c r="J84" s="1" t="n">
        <v>25.3</v>
      </c>
      <c r="K84" s="1" t="n">
        <v>117.2</v>
      </c>
      <c r="L84" s="1" t="n">
        <v>0</v>
      </c>
      <c r="M84" s="1" t="n">
        <v>0</v>
      </c>
      <c r="N84" s="1" t="s">
        <v>142</v>
      </c>
      <c r="Z84" s="0" t="n">
        <f aca="false">I84-23</f>
        <v>288.8</v>
      </c>
      <c r="AB84" s="0" t="n">
        <f aca="false">IF(Z84&lt;0,Z84+360,Z84+0)</f>
        <v>288.8</v>
      </c>
    </row>
    <row r="85" customFormat="false" ht="15.8" hidden="false" customHeight="false" outlineLevel="0" collapsed="false">
      <c r="A85" s="1" t="n">
        <v>3</v>
      </c>
      <c r="B85" s="1" t="n">
        <v>10</v>
      </c>
      <c r="C85" s="1" t="n">
        <v>0.9</v>
      </c>
      <c r="D85" s="1" t="n">
        <v>1.0759</v>
      </c>
      <c r="E85" s="1" t="n">
        <v>0.0233277</v>
      </c>
      <c r="F85" s="1" t="n">
        <v>5.07627E-005</v>
      </c>
      <c r="G85" s="1" t="s">
        <v>27</v>
      </c>
      <c r="H85" s="1" t="n">
        <v>95.6</v>
      </c>
      <c r="I85" s="1" t="n">
        <v>72.8</v>
      </c>
      <c r="J85" s="1" t="n">
        <v>0</v>
      </c>
      <c r="K85" s="1"/>
      <c r="L85" s="1" t="n">
        <v>0</v>
      </c>
      <c r="M85" s="1" t="n">
        <v>0</v>
      </c>
      <c r="N85" s="1" t="s">
        <v>142</v>
      </c>
      <c r="Z85" s="0" t="n">
        <f aca="false">I85-23</f>
        <v>49.8</v>
      </c>
      <c r="AB85" s="0" t="n">
        <f aca="false">IF(Z85&lt;0,Z85+360,Z85+0)</f>
        <v>49.8</v>
      </c>
    </row>
    <row r="86" customFormat="false" ht="15.8" hidden="false" customHeight="false" outlineLevel="0" collapsed="false">
      <c r="A86" s="1" t="n">
        <v>3</v>
      </c>
      <c r="B86" s="1" t="n">
        <v>9</v>
      </c>
      <c r="C86" s="1" t="n">
        <v>1.3</v>
      </c>
      <c r="D86" s="1" t="n">
        <v>1.1953</v>
      </c>
      <c r="E86" s="1" t="n">
        <v>0.0351918</v>
      </c>
      <c r="F86" s="1" t="n">
        <v>7.65799E-005</v>
      </c>
      <c r="G86" s="1" t="s">
        <v>37</v>
      </c>
      <c r="H86" s="1" t="n">
        <v>10.7</v>
      </c>
      <c r="I86" s="1" t="n">
        <v>337.2</v>
      </c>
      <c r="J86" s="1" t="n">
        <v>0</v>
      </c>
      <c r="K86" s="1" t="n">
        <v>95.6</v>
      </c>
      <c r="L86" s="1" t="n">
        <v>0</v>
      </c>
      <c r="M86" s="1" t="n">
        <v>0</v>
      </c>
      <c r="N86" s="1" t="s">
        <v>143</v>
      </c>
      <c r="Z86" s="0" t="n">
        <f aca="false">I86-23</f>
        <v>314.2</v>
      </c>
      <c r="AB86" s="0" t="n">
        <f aca="false">IF(Z86&lt;0,Z86+360,Z86+0)</f>
        <v>314.2</v>
      </c>
    </row>
    <row r="87" customFormat="false" ht="15.8" hidden="false" customHeight="false" outlineLevel="0" collapsed="false">
      <c r="A87" s="1" t="n">
        <v>3</v>
      </c>
      <c r="B87" s="1" t="n">
        <v>10</v>
      </c>
      <c r="C87" s="1" t="n">
        <v>1.2</v>
      </c>
      <c r="D87" s="1" t="n">
        <v>1.171</v>
      </c>
      <c r="E87" s="1" t="n">
        <v>0.032969</v>
      </c>
      <c r="F87" s="1" t="n">
        <v>7.17429E-005</v>
      </c>
      <c r="G87" s="1" t="s">
        <v>27</v>
      </c>
      <c r="H87" s="1" t="n">
        <v>108</v>
      </c>
      <c r="I87" s="1" t="n">
        <v>326.5</v>
      </c>
      <c r="J87" s="1" t="n">
        <v>21.1</v>
      </c>
      <c r="K87" s="1"/>
      <c r="L87" s="1" t="n">
        <v>0</v>
      </c>
      <c r="M87" s="1" t="n">
        <v>0</v>
      </c>
      <c r="N87" s="1" t="s">
        <v>144</v>
      </c>
      <c r="Z87" s="0" t="n">
        <f aca="false">I87-23</f>
        <v>303.5</v>
      </c>
      <c r="AB87" s="0" t="n">
        <f aca="false">IF(Z87&lt;0,Z87+360,Z87+0)</f>
        <v>303.5</v>
      </c>
    </row>
    <row r="88" customFormat="false" ht="15.8" hidden="false" customHeight="false" outlineLevel="0" collapsed="false">
      <c r="A88" s="1" t="n">
        <v>3</v>
      </c>
      <c r="B88" s="1" t="n">
        <v>10</v>
      </c>
      <c r="C88" s="1" t="n">
        <v>2</v>
      </c>
      <c r="D88" s="1" t="n">
        <v>1.2319</v>
      </c>
      <c r="E88" s="1" t="n">
        <v>0.0533569</v>
      </c>
      <c r="F88" s="1" t="n">
        <v>0.000116108</v>
      </c>
      <c r="G88" s="1" t="s">
        <v>27</v>
      </c>
      <c r="H88" s="1" t="n">
        <v>31.4</v>
      </c>
      <c r="I88" s="1" t="n">
        <v>74.4</v>
      </c>
      <c r="J88" s="1" t="n">
        <v>-44.5</v>
      </c>
      <c r="K88" s="1"/>
      <c r="L88" s="1" t="n">
        <v>0</v>
      </c>
      <c r="M88" s="1" t="n">
        <v>0</v>
      </c>
      <c r="N88" s="1" t="s">
        <v>144</v>
      </c>
      <c r="Z88" s="0" t="n">
        <f aca="false">I88-23</f>
        <v>51.4</v>
      </c>
      <c r="AB88" s="0" t="n">
        <f aca="false">IF(Z88&lt;0,Z88+360,Z88+0)</f>
        <v>51.4</v>
      </c>
    </row>
    <row r="89" customFormat="false" ht="15.8" hidden="false" customHeight="false" outlineLevel="0" collapsed="false">
      <c r="A89" s="1" t="n">
        <v>3</v>
      </c>
      <c r="B89" s="1" t="n">
        <v>9</v>
      </c>
      <c r="C89" s="1" t="n">
        <v>1.9</v>
      </c>
      <c r="D89" s="1" t="n">
        <v>1.1855</v>
      </c>
      <c r="E89" s="1" t="n">
        <v>0.0524332</v>
      </c>
      <c r="F89" s="1" t="n">
        <v>0.000114098</v>
      </c>
      <c r="G89" s="1" t="s">
        <v>37</v>
      </c>
      <c r="H89" s="1" t="n">
        <v>96.4</v>
      </c>
      <c r="I89" s="1" t="n">
        <v>71</v>
      </c>
      <c r="J89" s="1" t="n">
        <v>-13.2</v>
      </c>
      <c r="K89" s="1" t="n">
        <v>108</v>
      </c>
      <c r="L89" s="1" t="n">
        <v>0</v>
      </c>
      <c r="M89" s="1" t="n">
        <v>0</v>
      </c>
      <c r="N89" s="1" t="s">
        <v>143</v>
      </c>
      <c r="Z89" s="0" t="n">
        <f aca="false">I89-23</f>
        <v>48</v>
      </c>
      <c r="AB89" s="0" t="n">
        <f aca="false">IF(Z89&lt;0,Z89+360,Z89+0)</f>
        <v>48</v>
      </c>
    </row>
    <row r="90" customFormat="false" ht="15.8" hidden="false" customHeight="false" outlineLevel="0" collapsed="false">
      <c r="A90" s="1" t="n">
        <v>3</v>
      </c>
      <c r="B90" s="1" t="n">
        <v>9</v>
      </c>
      <c r="C90" s="1" t="n">
        <v>1.4</v>
      </c>
      <c r="D90" s="1" t="n">
        <v>1.134</v>
      </c>
      <c r="E90" s="1" t="n">
        <v>0.0369959</v>
      </c>
      <c r="F90" s="1" t="n">
        <v>8.05056E-005</v>
      </c>
      <c r="G90" s="1" t="s">
        <v>27</v>
      </c>
      <c r="H90" s="1" t="n">
        <v>138.2</v>
      </c>
      <c r="I90" s="1" t="n">
        <v>184</v>
      </c>
      <c r="J90" s="1" t="n">
        <v>-18.1</v>
      </c>
      <c r="K90" s="1"/>
      <c r="L90" s="1" t="n">
        <v>0</v>
      </c>
      <c r="M90" s="1" t="n">
        <v>0</v>
      </c>
      <c r="N90" s="1" t="s">
        <v>143</v>
      </c>
      <c r="Z90" s="0" t="n">
        <f aca="false">I90-23</f>
        <v>161</v>
      </c>
      <c r="AB90" s="0" t="n">
        <f aca="false">IF(Z90&lt;0,Z90+360,Z90+0)</f>
        <v>161</v>
      </c>
    </row>
    <row r="91" customFormat="false" ht="15.8" hidden="false" customHeight="false" outlineLevel="0" collapsed="false">
      <c r="A91" s="1" t="n">
        <v>3</v>
      </c>
      <c r="B91" s="1" t="n">
        <v>8</v>
      </c>
      <c r="C91" s="1" t="n">
        <v>6.2</v>
      </c>
      <c r="D91" s="1" t="n">
        <v>2.7046</v>
      </c>
      <c r="E91" s="1" t="n">
        <v>0.168401</v>
      </c>
      <c r="F91" s="1" t="n">
        <v>0.000366453</v>
      </c>
      <c r="G91" s="1" t="s">
        <v>37</v>
      </c>
      <c r="H91" s="1" t="n">
        <v>83.6</v>
      </c>
      <c r="I91" s="1" t="n">
        <v>332</v>
      </c>
      <c r="J91" s="1" t="n">
        <v>-9.4</v>
      </c>
      <c r="K91" s="1" t="n">
        <v>138.2</v>
      </c>
      <c r="L91" s="1" t="n">
        <v>0</v>
      </c>
      <c r="M91" s="1" t="n">
        <v>0</v>
      </c>
      <c r="N91" s="1" t="s">
        <v>137</v>
      </c>
      <c r="Z91" s="0" t="n">
        <f aca="false">I91-23</f>
        <v>309</v>
      </c>
      <c r="AB91" s="0" t="n">
        <f aca="false">IF(Z91&lt;0,Z91+360,Z91+0)</f>
        <v>309</v>
      </c>
    </row>
    <row r="92" customFormat="false" ht="15.8" hidden="false" customHeight="false" outlineLevel="0" collapsed="false">
      <c r="A92" s="1" t="n">
        <v>3</v>
      </c>
      <c r="B92" s="1" t="n">
        <v>7</v>
      </c>
      <c r="C92" s="1" t="n">
        <v>7.7</v>
      </c>
      <c r="D92" s="1" t="n">
        <v>1.2474</v>
      </c>
      <c r="E92" s="1" t="n">
        <v>0.210321</v>
      </c>
      <c r="F92" s="1" t="n">
        <v>0.000457673</v>
      </c>
      <c r="G92" s="1" t="s">
        <v>37</v>
      </c>
      <c r="H92" s="1" t="n">
        <v>27.6</v>
      </c>
      <c r="I92" s="1" t="n">
        <v>58.8</v>
      </c>
      <c r="J92" s="1" t="n">
        <v>-21.1</v>
      </c>
      <c r="K92" s="1" t="n">
        <v>83.6</v>
      </c>
      <c r="L92" s="1" t="n">
        <v>0</v>
      </c>
      <c r="M92" s="1" t="n">
        <v>0</v>
      </c>
      <c r="N92" s="1" t="s">
        <v>145</v>
      </c>
      <c r="Z92" s="0" t="n">
        <f aca="false">I92-23</f>
        <v>35.8</v>
      </c>
      <c r="AB92" s="0" t="n">
        <f aca="false">IF(Z92&lt;0,Z92+360,Z92+0)</f>
        <v>35.8</v>
      </c>
    </row>
    <row r="93" customFormat="false" ht="15.8" hidden="false" customHeight="false" outlineLevel="0" collapsed="false">
      <c r="A93" s="1" t="n">
        <v>3</v>
      </c>
      <c r="B93" s="1" t="n">
        <v>9</v>
      </c>
      <c r="C93" s="1" t="n">
        <v>1.4</v>
      </c>
      <c r="D93" s="1" t="n">
        <v>1.1915</v>
      </c>
      <c r="E93" s="1" t="n">
        <v>0.0396337</v>
      </c>
      <c r="F93" s="1" t="n">
        <v>8.62458E-005</v>
      </c>
      <c r="G93" s="1" t="s">
        <v>27</v>
      </c>
      <c r="H93" s="1" t="n">
        <v>103.3</v>
      </c>
      <c r="I93" s="1" t="n">
        <v>42</v>
      </c>
      <c r="J93" s="1" t="n">
        <v>-17.7</v>
      </c>
      <c r="K93" s="1"/>
      <c r="L93" s="1" t="n">
        <v>0</v>
      </c>
      <c r="M93" s="1" t="n">
        <v>0</v>
      </c>
      <c r="N93" s="1" t="s">
        <v>146</v>
      </c>
      <c r="Z93" s="0" t="n">
        <f aca="false">I93-23</f>
        <v>19</v>
      </c>
      <c r="AB93" s="0" t="n">
        <f aca="false">IF(Z93&lt;0,Z93+360,Z93+0)</f>
        <v>19</v>
      </c>
    </row>
    <row r="94" customFormat="false" ht="15.8" hidden="false" customHeight="false" outlineLevel="0" collapsed="false">
      <c r="A94" s="1" t="n">
        <v>3</v>
      </c>
      <c r="B94" s="1" t="n">
        <v>9</v>
      </c>
      <c r="C94" s="1" t="n">
        <v>0.6</v>
      </c>
      <c r="D94" s="1" t="n">
        <v>1.0127</v>
      </c>
      <c r="E94" s="1" t="n">
        <v>0.015186</v>
      </c>
      <c r="F94" s="1" t="n">
        <v>3.30459E-005</v>
      </c>
      <c r="G94" s="1" t="s">
        <v>27</v>
      </c>
      <c r="H94" s="1" t="n">
        <v>33.3</v>
      </c>
      <c r="I94" s="1" t="n">
        <v>180</v>
      </c>
      <c r="J94" s="1" t="n">
        <v>0</v>
      </c>
      <c r="K94" s="1"/>
      <c r="L94" s="1" t="n">
        <v>0</v>
      </c>
      <c r="M94" s="1" t="n">
        <v>0</v>
      </c>
      <c r="N94" s="1" t="s">
        <v>146</v>
      </c>
      <c r="Z94" s="0" t="n">
        <f aca="false">I94-23</f>
        <v>157</v>
      </c>
      <c r="AB94" s="0" t="n">
        <f aca="false">IF(Z94&lt;0,Z94+360,Z94+0)</f>
        <v>157</v>
      </c>
    </row>
    <row r="95" customFormat="false" ht="15.8" hidden="false" customHeight="false" outlineLevel="0" collapsed="false">
      <c r="A95" s="1" t="n">
        <v>3</v>
      </c>
      <c r="B95" s="1" t="n">
        <v>8</v>
      </c>
      <c r="C95" s="1" t="n">
        <v>6.8</v>
      </c>
      <c r="D95" s="1" t="n">
        <v>1.8282</v>
      </c>
      <c r="E95" s="1" t="n">
        <v>0.186318</v>
      </c>
      <c r="F95" s="1" t="n">
        <v>0.00040544</v>
      </c>
      <c r="G95" s="1" t="s">
        <v>37</v>
      </c>
      <c r="H95" s="1" t="n">
        <v>75.6</v>
      </c>
      <c r="I95" s="1" t="n">
        <v>155.7</v>
      </c>
      <c r="J95" s="1" t="n">
        <v>-23.4</v>
      </c>
      <c r="K95" s="1" t="n">
        <v>103.3</v>
      </c>
      <c r="L95" s="1" t="n">
        <v>0</v>
      </c>
      <c r="M95" s="1" t="n">
        <v>0</v>
      </c>
      <c r="N95" s="1" t="s">
        <v>147</v>
      </c>
      <c r="Z95" s="0" t="n">
        <f aca="false">I95-23</f>
        <v>132.7</v>
      </c>
      <c r="AB95" s="0" t="n">
        <f aca="false">IF(Z95&lt;0,Z95+360,Z95+0)</f>
        <v>132.7</v>
      </c>
    </row>
    <row r="96" customFormat="false" ht="15.8" hidden="false" customHeight="false" outlineLevel="0" collapsed="false">
      <c r="A96" s="1" t="n">
        <v>3</v>
      </c>
      <c r="B96" s="1" t="n">
        <v>8</v>
      </c>
      <c r="C96" s="1" t="n">
        <v>0.5</v>
      </c>
      <c r="D96" s="1" t="n">
        <v>1.0018</v>
      </c>
      <c r="E96" s="1" t="n">
        <v>0.0143411</v>
      </c>
      <c r="F96" s="1" t="n">
        <v>3.12073E-005</v>
      </c>
      <c r="G96" s="1" t="s">
        <v>27</v>
      </c>
      <c r="H96" s="1" t="n">
        <v>35.1</v>
      </c>
      <c r="I96" s="1" t="n">
        <v>43</v>
      </c>
      <c r="J96" s="1" t="n">
        <v>0</v>
      </c>
      <c r="K96" s="1"/>
      <c r="L96" s="1" t="n">
        <v>0</v>
      </c>
      <c r="M96" s="1" t="n">
        <v>0</v>
      </c>
      <c r="N96" s="1" t="s">
        <v>147</v>
      </c>
      <c r="Z96" s="0" t="n">
        <f aca="false">I96-23</f>
        <v>20</v>
      </c>
      <c r="AB96" s="0" t="n">
        <f aca="false">IF(Z96&lt;0,Z96+360,Z96+0)</f>
        <v>20</v>
      </c>
    </row>
    <row r="97" customFormat="false" ht="15.8" hidden="false" customHeight="false" outlineLevel="0" collapsed="false">
      <c r="A97" s="1" t="n">
        <v>3</v>
      </c>
      <c r="B97" s="1" t="n">
        <v>7</v>
      </c>
      <c r="C97" s="1" t="n">
        <v>3.8</v>
      </c>
      <c r="D97" s="1" t="n">
        <v>1.3471</v>
      </c>
      <c r="E97" s="1" t="n">
        <v>0.104489</v>
      </c>
      <c r="F97" s="1" t="n">
        <v>0.000227376</v>
      </c>
      <c r="G97" s="1" t="s">
        <v>37</v>
      </c>
      <c r="H97" s="1" t="n">
        <v>15.2</v>
      </c>
      <c r="I97" s="1" t="n">
        <v>75.1</v>
      </c>
      <c r="J97" s="1" t="n">
        <v>-15.1</v>
      </c>
      <c r="K97" s="1" t="n">
        <v>75.6</v>
      </c>
      <c r="L97" s="1" t="n">
        <v>0</v>
      </c>
      <c r="M97" s="1" t="n">
        <v>0</v>
      </c>
      <c r="N97" s="1" t="s">
        <v>145</v>
      </c>
      <c r="Z97" s="0" t="n">
        <f aca="false">I97-23</f>
        <v>52.1</v>
      </c>
      <c r="AB97" s="0" t="n">
        <f aca="false">IF(Z97&lt;0,Z97+360,Z97+0)</f>
        <v>52.1</v>
      </c>
    </row>
    <row r="98" customFormat="false" ht="15.8" hidden="false" customHeight="false" outlineLevel="0" collapsed="false">
      <c r="A98" s="1" t="n">
        <v>3</v>
      </c>
      <c r="B98" s="1" t="n">
        <v>6</v>
      </c>
      <c r="C98" s="1" t="n">
        <v>0.9</v>
      </c>
      <c r="D98" s="1" t="n">
        <v>1.014</v>
      </c>
      <c r="E98" s="1" t="n">
        <v>0.0247661</v>
      </c>
      <c r="F98" s="1" t="n">
        <v>5.38928E-005</v>
      </c>
      <c r="G98" s="1" t="s">
        <v>37</v>
      </c>
      <c r="H98" s="1" t="n">
        <v>20</v>
      </c>
      <c r="I98" s="1" t="n">
        <v>77</v>
      </c>
      <c r="J98" s="1" t="n">
        <v>0</v>
      </c>
      <c r="K98" s="1" t="n">
        <v>27.6</v>
      </c>
      <c r="L98" s="1" t="n">
        <v>0</v>
      </c>
      <c r="M98" s="1" t="n">
        <v>0</v>
      </c>
      <c r="N98" s="1" t="s">
        <v>148</v>
      </c>
      <c r="Z98" s="0" t="n">
        <f aca="false">I98-23</f>
        <v>54</v>
      </c>
      <c r="AB98" s="0" t="n">
        <f aca="false">IF(Z98&lt;0,Z98+360,Z98+0)</f>
        <v>54</v>
      </c>
    </row>
    <row r="99" customFormat="false" ht="15.8" hidden="false" customHeight="false" outlineLevel="0" collapsed="false">
      <c r="A99" s="1" t="n">
        <v>3</v>
      </c>
      <c r="B99" s="1" t="n">
        <v>7</v>
      </c>
      <c r="C99" s="1" t="n">
        <v>1.1</v>
      </c>
      <c r="D99" s="1" t="n">
        <v>1.0248</v>
      </c>
      <c r="E99" s="1" t="n">
        <v>0.0293726</v>
      </c>
      <c r="F99" s="1" t="n">
        <v>6.39169E-005</v>
      </c>
      <c r="G99" s="1" t="s">
        <v>27</v>
      </c>
      <c r="H99" s="1" t="n">
        <v>40.6</v>
      </c>
      <c r="I99" s="1" t="n">
        <v>327.9</v>
      </c>
      <c r="J99" s="1" t="n">
        <v>0</v>
      </c>
      <c r="K99" s="1"/>
      <c r="L99" s="1" t="n">
        <v>0</v>
      </c>
      <c r="M99" s="1" t="n">
        <v>0</v>
      </c>
      <c r="N99" s="1" t="s">
        <v>149</v>
      </c>
      <c r="Z99" s="0" t="n">
        <f aca="false">I99-23</f>
        <v>304.9</v>
      </c>
      <c r="AB99" s="0" t="n">
        <f aca="false">IF(Z99&lt;0,Z99+360,Z99+0)</f>
        <v>304.9</v>
      </c>
    </row>
    <row r="100" customFormat="false" ht="15.8" hidden="false" customHeight="false" outlineLevel="0" collapsed="false">
      <c r="A100" s="1" t="n">
        <v>3</v>
      </c>
      <c r="B100" s="1" t="n">
        <v>7</v>
      </c>
      <c r="C100" s="1" t="n">
        <v>1.6</v>
      </c>
      <c r="D100" s="1" t="n">
        <v>1.4739</v>
      </c>
      <c r="E100" s="1" t="n">
        <v>0.0447029</v>
      </c>
      <c r="F100" s="1" t="n">
        <v>9.72767E-005</v>
      </c>
      <c r="G100" s="1" t="s">
        <v>27</v>
      </c>
      <c r="H100" s="1" t="n">
        <v>126.5</v>
      </c>
      <c r="I100" s="1" t="n">
        <v>163.5</v>
      </c>
      <c r="J100" s="1" t="n">
        <v>-41.8</v>
      </c>
      <c r="K100" s="1"/>
      <c r="L100" s="1" t="n">
        <v>0</v>
      </c>
      <c r="M100" s="1" t="n">
        <v>0</v>
      </c>
      <c r="N100" s="1" t="s">
        <v>149</v>
      </c>
      <c r="Z100" s="0" t="n">
        <f aca="false">I100-23</f>
        <v>140.5</v>
      </c>
      <c r="AB100" s="0" t="n">
        <f aca="false">IF(Z100&lt;0,Z100+360,Z100+0)</f>
        <v>140.5</v>
      </c>
    </row>
    <row r="101" customFormat="false" ht="15.8" hidden="false" customHeight="false" outlineLevel="0" collapsed="false">
      <c r="A101" s="1" t="n">
        <v>3</v>
      </c>
      <c r="B101" s="1" t="n">
        <v>6</v>
      </c>
      <c r="C101" s="1" t="n">
        <v>3.4</v>
      </c>
      <c r="D101" s="1" t="n">
        <v>1.0839</v>
      </c>
      <c r="E101" s="1" t="n">
        <v>0.0931368</v>
      </c>
      <c r="F101" s="1" t="n">
        <v>0.000202672</v>
      </c>
      <c r="G101" s="1" t="s">
        <v>37</v>
      </c>
      <c r="H101" s="1" t="n">
        <v>59.2</v>
      </c>
      <c r="I101" s="1" t="n">
        <v>8</v>
      </c>
      <c r="J101" s="1" t="n">
        <v>-6.8</v>
      </c>
      <c r="K101" s="1" t="n">
        <v>126.5</v>
      </c>
      <c r="L101" s="1" t="n">
        <v>0</v>
      </c>
      <c r="M101" s="1" t="n">
        <v>0</v>
      </c>
      <c r="N101" s="1" t="s">
        <v>148</v>
      </c>
      <c r="Z101" s="0" t="n">
        <f aca="false">I101-23</f>
        <v>-15</v>
      </c>
      <c r="AB101" s="0" t="n">
        <f aca="false">IF(Z101&lt;0,Z101+360,Z101+0)</f>
        <v>345</v>
      </c>
    </row>
    <row r="102" customFormat="false" ht="15.8" hidden="false" customHeight="false" outlineLevel="0" collapsed="false">
      <c r="A102" s="1" t="n">
        <v>3</v>
      </c>
      <c r="B102" s="1" t="n">
        <v>5</v>
      </c>
      <c r="C102" s="1" t="n">
        <v>7.4</v>
      </c>
      <c r="D102" s="1" t="n">
        <v>1.2198</v>
      </c>
      <c r="E102" s="1" t="n">
        <v>0.201874</v>
      </c>
      <c r="F102" s="1" t="n">
        <v>0.000439291</v>
      </c>
      <c r="G102" s="1" t="s">
        <v>37</v>
      </c>
      <c r="H102" s="1" t="n">
        <v>76.4</v>
      </c>
      <c r="I102" s="1" t="n">
        <v>67.8</v>
      </c>
      <c r="J102" s="1" t="n">
        <v>-17.8</v>
      </c>
      <c r="K102" s="1" t="n">
        <v>59.2</v>
      </c>
      <c r="L102" s="1" t="n">
        <v>0</v>
      </c>
      <c r="M102" s="1" t="n">
        <v>0</v>
      </c>
      <c r="N102" s="1" t="s">
        <v>150</v>
      </c>
      <c r="Z102" s="0" t="n">
        <f aca="false">I102-23</f>
        <v>44.8</v>
      </c>
      <c r="AB102" s="0" t="n">
        <f aca="false">IF(Z102&lt;0,Z102+360,Z102+0)</f>
        <v>44.8</v>
      </c>
    </row>
    <row r="103" customFormat="false" ht="15.8" hidden="false" customHeight="false" outlineLevel="0" collapsed="false">
      <c r="A103" s="1" t="n">
        <v>3</v>
      </c>
      <c r="B103" s="1" t="n">
        <v>7</v>
      </c>
      <c r="C103" s="1" t="n">
        <v>3.7</v>
      </c>
      <c r="D103" s="1" t="n">
        <v>1.4052</v>
      </c>
      <c r="E103" s="1" t="n">
        <v>0.100067</v>
      </c>
      <c r="F103" s="1" t="n">
        <v>0.000217752</v>
      </c>
      <c r="G103" s="1" t="s">
        <v>27</v>
      </c>
      <c r="H103" s="1" t="n">
        <v>20.1</v>
      </c>
      <c r="I103" s="1" t="n">
        <v>342.3</v>
      </c>
      <c r="J103" s="1" t="n">
        <v>0</v>
      </c>
      <c r="K103" s="1"/>
      <c r="L103" s="1" t="n">
        <v>0</v>
      </c>
      <c r="M103" s="1" t="n">
        <v>0</v>
      </c>
      <c r="N103" s="1" t="s">
        <v>151</v>
      </c>
      <c r="Z103" s="0" t="n">
        <f aca="false">I103-23</f>
        <v>319.3</v>
      </c>
      <c r="AB103" s="0" t="n">
        <f aca="false">IF(Z103&lt;0,Z103+360,Z103+0)</f>
        <v>319.3</v>
      </c>
    </row>
    <row r="104" customFormat="false" ht="15.8" hidden="false" customHeight="false" outlineLevel="0" collapsed="false">
      <c r="A104" s="1" t="n">
        <v>3</v>
      </c>
      <c r="B104" s="1" t="n">
        <v>7</v>
      </c>
      <c r="C104" s="1" t="n">
        <v>2</v>
      </c>
      <c r="D104" s="1" t="n">
        <v>1.2267</v>
      </c>
      <c r="E104" s="1" t="n">
        <v>0.0547815</v>
      </c>
      <c r="F104" s="1" t="n">
        <v>0.000119208</v>
      </c>
      <c r="G104" s="1" t="s">
        <v>27</v>
      </c>
      <c r="H104" s="1" t="n">
        <v>81.9</v>
      </c>
      <c r="I104" s="1" t="n">
        <v>81.2</v>
      </c>
      <c r="J104" s="1" t="n">
        <v>-42.8</v>
      </c>
      <c r="K104" s="1"/>
      <c r="L104" s="1" t="n">
        <v>0</v>
      </c>
      <c r="M104" s="1" t="n">
        <v>0</v>
      </c>
      <c r="N104" s="1" t="s">
        <v>151</v>
      </c>
      <c r="Z104" s="0" t="n">
        <f aca="false">I104-23</f>
        <v>58.2</v>
      </c>
      <c r="AB104" s="0" t="n">
        <f aca="false">IF(Z104&lt;0,Z104+360,Z104+0)</f>
        <v>58.2</v>
      </c>
    </row>
    <row r="105" customFormat="false" ht="15.8" hidden="false" customHeight="false" outlineLevel="0" collapsed="false">
      <c r="A105" s="1" t="n">
        <v>3</v>
      </c>
      <c r="B105" s="1" t="n">
        <v>6</v>
      </c>
      <c r="C105" s="1" t="n">
        <v>1.8</v>
      </c>
      <c r="D105" s="1" t="n">
        <v>1.0636</v>
      </c>
      <c r="E105" s="1" t="n">
        <v>0.0484962</v>
      </c>
      <c r="F105" s="1" t="n">
        <v>0.000105531</v>
      </c>
      <c r="G105" s="1" t="s">
        <v>37</v>
      </c>
      <c r="H105" s="1" t="n">
        <v>29.6</v>
      </c>
      <c r="I105" s="1" t="n">
        <v>2.4</v>
      </c>
      <c r="J105" s="1" t="n">
        <v>0</v>
      </c>
      <c r="K105" s="1" t="n">
        <v>81.9</v>
      </c>
      <c r="L105" s="1" t="n">
        <v>0</v>
      </c>
      <c r="M105" s="1" t="n">
        <v>0</v>
      </c>
      <c r="N105" s="1" t="s">
        <v>152</v>
      </c>
      <c r="Z105" s="0" t="n">
        <f aca="false">I105-23</f>
        <v>-20.6</v>
      </c>
      <c r="AB105" s="0" t="n">
        <f aca="false">IF(Z105&lt;0,Z105+360,Z105+0)</f>
        <v>339.4</v>
      </c>
    </row>
    <row r="106" customFormat="false" ht="15.8" hidden="false" customHeight="false" outlineLevel="0" collapsed="false">
      <c r="A106" s="1" t="n">
        <v>3</v>
      </c>
      <c r="B106" s="1" t="n">
        <v>9</v>
      </c>
      <c r="C106" s="1" t="n">
        <v>1.1</v>
      </c>
      <c r="D106" s="1" t="n">
        <v>1.2546</v>
      </c>
      <c r="E106" s="1" t="n">
        <v>0.0302558</v>
      </c>
      <c r="F106" s="1" t="n">
        <v>6.58388E-005</v>
      </c>
      <c r="G106" s="1" t="s">
        <v>27</v>
      </c>
      <c r="H106" s="1" t="n">
        <v>66.2</v>
      </c>
      <c r="I106" s="1" t="n">
        <v>226.8</v>
      </c>
      <c r="J106" s="1" t="n">
        <v>-24.8</v>
      </c>
      <c r="K106" s="1"/>
      <c r="L106" s="1" t="n">
        <v>0</v>
      </c>
      <c r="M106" s="1" t="n">
        <v>0</v>
      </c>
      <c r="N106" s="1" t="s">
        <v>153</v>
      </c>
      <c r="Z106" s="0" t="n">
        <f aca="false">I106-23</f>
        <v>203.8</v>
      </c>
      <c r="AB106" s="0" t="n">
        <f aca="false">IF(Z106&lt;0,Z106+360,Z106+0)</f>
        <v>203.8</v>
      </c>
    </row>
    <row r="107" customFormat="false" ht="15.8" hidden="false" customHeight="false" outlineLevel="0" collapsed="false">
      <c r="A107" s="1" t="n">
        <v>3</v>
      </c>
      <c r="B107" s="1" t="n">
        <v>9</v>
      </c>
      <c r="C107" s="1" t="n">
        <v>2.1</v>
      </c>
      <c r="D107" s="1" t="n">
        <v>1.481</v>
      </c>
      <c r="E107" s="1" t="n">
        <v>0.0587099</v>
      </c>
      <c r="F107" s="1" t="n">
        <v>0.000127757</v>
      </c>
      <c r="G107" s="1" t="s">
        <v>27</v>
      </c>
      <c r="H107" s="1" t="n">
        <v>10.9</v>
      </c>
      <c r="I107" s="1" t="n">
        <v>238.4</v>
      </c>
      <c r="J107" s="1" t="n">
        <v>30.7</v>
      </c>
      <c r="K107" s="1"/>
      <c r="L107" s="1" t="n">
        <v>0</v>
      </c>
      <c r="M107" s="1" t="n">
        <v>0</v>
      </c>
      <c r="N107" s="1" t="s">
        <v>153</v>
      </c>
      <c r="Z107" s="0" t="n">
        <f aca="false">I107-23</f>
        <v>215.4</v>
      </c>
      <c r="AB107" s="0" t="n">
        <f aca="false">IF(Z107&lt;0,Z107+360,Z107+0)</f>
        <v>215.4</v>
      </c>
    </row>
    <row r="108" customFormat="false" ht="15.8" hidden="false" customHeight="false" outlineLevel="0" collapsed="false">
      <c r="A108" s="1" t="n">
        <v>3</v>
      </c>
      <c r="B108" s="1" t="n">
        <v>8</v>
      </c>
      <c r="C108" s="1" t="n">
        <v>3.8</v>
      </c>
      <c r="D108" s="1" t="n">
        <v>1.3356</v>
      </c>
      <c r="E108" s="1" t="n">
        <v>0.102897</v>
      </c>
      <c r="F108" s="1" t="n">
        <v>0.000223912</v>
      </c>
      <c r="G108" s="1" t="s">
        <v>37</v>
      </c>
      <c r="H108" s="1" t="n">
        <v>110.5</v>
      </c>
      <c r="I108" s="1" t="n">
        <v>234.3</v>
      </c>
      <c r="J108" s="1" t="n">
        <v>41</v>
      </c>
      <c r="K108" s="1" t="n">
        <v>66.2</v>
      </c>
      <c r="L108" s="1" t="n">
        <v>0</v>
      </c>
      <c r="M108" s="1" t="n">
        <v>0</v>
      </c>
      <c r="N108" s="1" t="s">
        <v>154</v>
      </c>
      <c r="Z108" s="0" t="n">
        <f aca="false">I108-23</f>
        <v>211.3</v>
      </c>
      <c r="AB108" s="0" t="n">
        <f aca="false">IF(Z108&lt;0,Z108+360,Z108+0)</f>
        <v>211.3</v>
      </c>
    </row>
    <row r="109" customFormat="false" ht="15.8" hidden="false" customHeight="false" outlineLevel="0" collapsed="false">
      <c r="A109" s="1" t="n">
        <v>3</v>
      </c>
      <c r="B109" s="1" t="n">
        <v>16</v>
      </c>
      <c r="C109" s="1" t="n">
        <v>2.2</v>
      </c>
      <c r="D109" s="1" t="n">
        <v>1.1953</v>
      </c>
      <c r="E109" s="1" t="n">
        <v>0.0606985</v>
      </c>
      <c r="F109" s="1" t="n">
        <v>0.000132084</v>
      </c>
      <c r="G109" s="1" t="s">
        <v>27</v>
      </c>
      <c r="H109" s="1" t="n">
        <v>48.7</v>
      </c>
      <c r="I109" s="1" t="n">
        <v>30.4</v>
      </c>
      <c r="J109" s="1" t="n">
        <v>0</v>
      </c>
      <c r="K109" s="1"/>
      <c r="L109" s="1" t="n">
        <v>0</v>
      </c>
      <c r="M109" s="1" t="n">
        <v>0</v>
      </c>
      <c r="N109" s="1" t="s">
        <v>155</v>
      </c>
      <c r="Z109" s="0" t="n">
        <f aca="false">I109-23</f>
        <v>7.4</v>
      </c>
      <c r="AB109" s="0" t="n">
        <f aca="false">IF(Z109&lt;0,Z109+360,Z109+0)</f>
        <v>7.4</v>
      </c>
    </row>
    <row r="110" customFormat="false" ht="15.8" hidden="false" customHeight="false" outlineLevel="0" collapsed="false">
      <c r="A110" s="1" t="n">
        <v>3</v>
      </c>
      <c r="B110" s="1" t="n">
        <v>16</v>
      </c>
      <c r="C110" s="1" t="n">
        <v>1.7</v>
      </c>
      <c r="D110" s="1" t="n">
        <v>1.2588</v>
      </c>
      <c r="E110" s="1" t="n">
        <v>0.0470454</v>
      </c>
      <c r="F110" s="1" t="n">
        <v>0.000102374</v>
      </c>
      <c r="G110" s="1" t="s">
        <v>27</v>
      </c>
      <c r="H110" s="1" t="n">
        <v>81.3</v>
      </c>
      <c r="I110" s="1" t="n">
        <v>254.2</v>
      </c>
      <c r="J110" s="1" t="n">
        <v>32.8</v>
      </c>
      <c r="K110" s="1"/>
      <c r="L110" s="1" t="n">
        <v>0</v>
      </c>
      <c r="M110" s="1" t="n">
        <v>0</v>
      </c>
      <c r="N110" s="1" t="s">
        <v>155</v>
      </c>
      <c r="Z110" s="0" t="n">
        <f aca="false">I110-23</f>
        <v>231.2</v>
      </c>
      <c r="AB110" s="0" t="n">
        <f aca="false">IF(Z110&lt;0,Z110+360,Z110+0)</f>
        <v>231.2</v>
      </c>
    </row>
    <row r="111" customFormat="false" ht="15.8" hidden="false" customHeight="false" outlineLevel="0" collapsed="false">
      <c r="A111" s="1" t="n">
        <v>3</v>
      </c>
      <c r="B111" s="1" t="n">
        <v>15</v>
      </c>
      <c r="C111" s="1" t="n">
        <v>1.7</v>
      </c>
      <c r="D111" s="1" t="n">
        <v>1.1944</v>
      </c>
      <c r="E111" s="1" t="n">
        <v>0.045793</v>
      </c>
      <c r="F111" s="1" t="n">
        <v>9.96487E-005</v>
      </c>
      <c r="G111" s="1" t="s">
        <v>37</v>
      </c>
      <c r="H111" s="1" t="n">
        <v>90.6</v>
      </c>
      <c r="I111" s="1" t="n">
        <v>343.5</v>
      </c>
      <c r="J111" s="1" t="n">
        <v>15.3</v>
      </c>
      <c r="K111" s="1" t="n">
        <v>81.3</v>
      </c>
      <c r="L111" s="1" t="n">
        <v>0</v>
      </c>
      <c r="M111" s="1" t="n">
        <v>0</v>
      </c>
      <c r="N111" s="1" t="s">
        <v>156</v>
      </c>
      <c r="Z111" s="0" t="n">
        <f aca="false">I111-23</f>
        <v>320.5</v>
      </c>
      <c r="AB111" s="0" t="n">
        <f aca="false">IF(Z111&lt;0,Z111+360,Z111+0)</f>
        <v>320.5</v>
      </c>
    </row>
    <row r="112" customFormat="false" ht="15.8" hidden="false" customHeight="false" outlineLevel="0" collapsed="false">
      <c r="A112" s="1" t="n">
        <v>3</v>
      </c>
      <c r="B112" s="1" t="n">
        <v>15</v>
      </c>
      <c r="C112" s="1" t="n">
        <v>2.2</v>
      </c>
      <c r="D112" s="1" t="n">
        <v>1.3506</v>
      </c>
      <c r="E112" s="1" t="n">
        <v>0.0598065</v>
      </c>
      <c r="F112" s="1" t="n">
        <v>0.000130143</v>
      </c>
      <c r="G112" s="1" t="s">
        <v>27</v>
      </c>
      <c r="H112" s="1" t="n">
        <v>27.4</v>
      </c>
      <c r="I112" s="1" t="n">
        <v>46</v>
      </c>
      <c r="J112" s="1" t="n">
        <v>-27.2</v>
      </c>
      <c r="K112" s="1"/>
      <c r="L112" s="1" t="n">
        <v>0</v>
      </c>
      <c r="M112" s="1" t="n">
        <v>0</v>
      </c>
      <c r="N112" s="1" t="s">
        <v>156</v>
      </c>
      <c r="Z112" s="0" t="n">
        <f aca="false">I112-23</f>
        <v>23</v>
      </c>
      <c r="AB112" s="0" t="n">
        <f aca="false">IF(Z112&lt;0,Z112+360,Z112+0)</f>
        <v>23</v>
      </c>
    </row>
    <row r="113" customFormat="false" ht="15.8" hidden="false" customHeight="false" outlineLevel="0" collapsed="false">
      <c r="A113" s="1" t="n">
        <v>3</v>
      </c>
      <c r="B113" s="1" t="n">
        <v>15</v>
      </c>
      <c r="C113" s="1" t="n">
        <v>0.7</v>
      </c>
      <c r="D113" s="1" t="n">
        <v>1.0448</v>
      </c>
      <c r="E113" s="1" t="n">
        <v>0.0200071</v>
      </c>
      <c r="F113" s="1" t="n">
        <v>4.35368E-005</v>
      </c>
      <c r="G113" s="1" t="s">
        <v>27</v>
      </c>
      <c r="H113" s="1" t="n">
        <v>74.8</v>
      </c>
      <c r="I113" s="1" t="n">
        <v>145.1</v>
      </c>
      <c r="J113" s="1" t="n">
        <v>0</v>
      </c>
      <c r="K113" s="1"/>
      <c r="L113" s="1" t="n">
        <v>0</v>
      </c>
      <c r="M113" s="1" t="n">
        <v>0</v>
      </c>
      <c r="N113" s="1" t="s">
        <v>156</v>
      </c>
      <c r="Z113" s="0" t="n">
        <f aca="false">I113-23</f>
        <v>122.1</v>
      </c>
      <c r="AB113" s="0" t="n">
        <f aca="false">IF(Z113&lt;0,Z113+360,Z113+0)</f>
        <v>122.1</v>
      </c>
    </row>
    <row r="114" customFormat="false" ht="15.8" hidden="false" customHeight="false" outlineLevel="0" collapsed="false">
      <c r="A114" s="1" t="n">
        <v>3</v>
      </c>
      <c r="B114" s="1" t="n">
        <v>14</v>
      </c>
      <c r="C114" s="1" t="n">
        <v>1.9</v>
      </c>
      <c r="D114" s="1" t="n">
        <v>1.1025</v>
      </c>
      <c r="E114" s="1" t="n">
        <v>0.0512731</v>
      </c>
      <c r="F114" s="1" t="n">
        <v>0.000111574</v>
      </c>
      <c r="G114" s="1" t="s">
        <v>37</v>
      </c>
      <c r="H114" s="1" t="n">
        <v>51</v>
      </c>
      <c r="I114" s="1" t="n">
        <v>70.7</v>
      </c>
      <c r="J114" s="1" t="n">
        <v>-12.6</v>
      </c>
      <c r="K114" s="1" t="n">
        <v>90.6</v>
      </c>
      <c r="L114" s="1" t="n">
        <v>0</v>
      </c>
      <c r="M114" s="1" t="n">
        <v>0</v>
      </c>
      <c r="N114" s="1" t="s">
        <v>157</v>
      </c>
      <c r="Z114" s="0" t="n">
        <f aca="false">I114-23</f>
        <v>47.7</v>
      </c>
      <c r="AB114" s="0" t="n">
        <f aca="false">IF(Z114&lt;0,Z114+360,Z114+0)</f>
        <v>47.7</v>
      </c>
    </row>
    <row r="115" customFormat="false" ht="15.8" hidden="false" customHeight="false" outlineLevel="0" collapsed="false">
      <c r="A115" s="1" t="n">
        <v>3</v>
      </c>
      <c r="B115" s="1" t="n">
        <v>14</v>
      </c>
      <c r="C115" s="1" t="n">
        <v>3.7</v>
      </c>
      <c r="D115" s="1" t="n">
        <v>1.2982</v>
      </c>
      <c r="E115" s="1" t="n">
        <v>0.100647</v>
      </c>
      <c r="F115" s="1" t="n">
        <v>0.000219016</v>
      </c>
      <c r="G115" s="1" t="s">
        <v>27</v>
      </c>
      <c r="H115" s="1" t="n">
        <v>136.9</v>
      </c>
      <c r="I115" s="1" t="n">
        <v>265</v>
      </c>
      <c r="J115" s="1" t="n">
        <v>15.1</v>
      </c>
      <c r="K115" s="1"/>
      <c r="L115" s="1" t="n">
        <v>0</v>
      </c>
      <c r="M115" s="1" t="n">
        <v>0</v>
      </c>
      <c r="N115" s="1" t="s">
        <v>157</v>
      </c>
      <c r="Z115" s="0" t="n">
        <f aca="false">I115-23</f>
        <v>242</v>
      </c>
      <c r="AB115" s="0" t="n">
        <f aca="false">IF(Z115&lt;0,Z115+360,Z115+0)</f>
        <v>242</v>
      </c>
    </row>
    <row r="116" customFormat="false" ht="15.8" hidden="false" customHeight="false" outlineLevel="0" collapsed="false">
      <c r="A116" s="1" t="n">
        <v>3</v>
      </c>
      <c r="B116" s="1" t="n">
        <v>13</v>
      </c>
      <c r="C116" s="1" t="n">
        <v>1</v>
      </c>
      <c r="D116" s="1" t="n">
        <v>1.0561</v>
      </c>
      <c r="E116" s="1" t="n">
        <v>0.0263074</v>
      </c>
      <c r="F116" s="1" t="n">
        <v>5.72467E-005</v>
      </c>
      <c r="G116" s="1" t="s">
        <v>37</v>
      </c>
      <c r="H116" s="1" t="n">
        <v>22.6</v>
      </c>
      <c r="I116" s="1" t="n">
        <v>108.1</v>
      </c>
      <c r="J116" s="1" t="n">
        <v>-54.3</v>
      </c>
      <c r="K116" s="1" t="n">
        <v>136.9</v>
      </c>
      <c r="L116" s="1" t="n">
        <v>0</v>
      </c>
      <c r="M116" s="1" t="n">
        <v>0</v>
      </c>
      <c r="N116" s="1" t="s">
        <v>158</v>
      </c>
      <c r="Z116" s="0" t="n">
        <f aca="false">I116-23</f>
        <v>85.1</v>
      </c>
      <c r="AB116" s="0" t="n">
        <f aca="false">IF(Z116&lt;0,Z116+360,Z116+0)</f>
        <v>85.1</v>
      </c>
    </row>
    <row r="117" customFormat="false" ht="15.8" hidden="false" customHeight="false" outlineLevel="0" collapsed="false">
      <c r="A117" s="1" t="n">
        <v>3</v>
      </c>
      <c r="B117" s="1" t="n">
        <v>13</v>
      </c>
      <c r="C117" s="1" t="n">
        <v>1.8</v>
      </c>
      <c r="D117" s="1" t="n">
        <v>1.1628</v>
      </c>
      <c r="E117" s="1" t="n">
        <v>0.0483852</v>
      </c>
      <c r="F117" s="1" t="n">
        <v>0.00010529</v>
      </c>
      <c r="G117" s="1" t="s">
        <v>27</v>
      </c>
      <c r="H117" s="1" t="n">
        <v>128</v>
      </c>
      <c r="I117" s="1" t="n">
        <v>265.3</v>
      </c>
      <c r="J117" s="1" t="n">
        <v>14.1</v>
      </c>
      <c r="K117" s="1"/>
      <c r="L117" s="1" t="n">
        <v>0</v>
      </c>
      <c r="M117" s="1" t="n">
        <v>0</v>
      </c>
      <c r="N117" s="1" t="s">
        <v>158</v>
      </c>
      <c r="Z117" s="0" t="n">
        <f aca="false">I117-23</f>
        <v>242.3</v>
      </c>
      <c r="AB117" s="0" t="n">
        <f aca="false">IF(Z117&lt;0,Z117+360,Z117+0)</f>
        <v>242.3</v>
      </c>
    </row>
    <row r="118" customFormat="false" ht="15.8" hidden="false" customHeight="false" outlineLevel="0" collapsed="false">
      <c r="A118" s="1" t="n">
        <v>3</v>
      </c>
      <c r="B118" s="1" t="n">
        <v>12</v>
      </c>
      <c r="C118" s="1" t="n">
        <v>3.8</v>
      </c>
      <c r="D118" s="1" t="n">
        <v>1.7143</v>
      </c>
      <c r="E118" s="1" t="n">
        <v>0.104557</v>
      </c>
      <c r="F118" s="1" t="n">
        <v>0.000227523</v>
      </c>
      <c r="G118" s="1" t="s">
        <v>37</v>
      </c>
      <c r="H118" s="1" t="n">
        <v>109.9</v>
      </c>
      <c r="I118" s="1" t="n">
        <v>136.5</v>
      </c>
      <c r="J118" s="1" t="n">
        <v>-41.6</v>
      </c>
      <c r="K118" s="1" t="n">
        <v>128</v>
      </c>
      <c r="L118" s="1" t="n">
        <v>0</v>
      </c>
      <c r="M118" s="1" t="n">
        <v>0</v>
      </c>
      <c r="N118" s="1" t="s">
        <v>159</v>
      </c>
      <c r="Z118" s="0" t="n">
        <f aca="false">I118-23</f>
        <v>113.5</v>
      </c>
      <c r="AB118" s="0" t="n">
        <f aca="false">IF(Z118&lt;0,Z118+360,Z118+0)</f>
        <v>113.5</v>
      </c>
    </row>
    <row r="119" customFormat="false" ht="15.8" hidden="false" customHeight="false" outlineLevel="0" collapsed="false">
      <c r="A119" s="1" t="n">
        <v>3</v>
      </c>
      <c r="B119" s="1" t="n">
        <v>16</v>
      </c>
      <c r="C119" s="1" t="n">
        <v>2.3</v>
      </c>
      <c r="D119" s="1" t="n">
        <v>1.4688</v>
      </c>
      <c r="E119" s="1" t="n">
        <v>0.0640667</v>
      </c>
      <c r="F119" s="1" t="n">
        <v>0.000139414</v>
      </c>
      <c r="G119" s="1" t="s">
        <v>27</v>
      </c>
      <c r="H119" s="1" t="n">
        <v>16.4</v>
      </c>
      <c r="I119" s="1" t="n">
        <v>299.1</v>
      </c>
      <c r="J119" s="1" t="n">
        <v>44.1</v>
      </c>
      <c r="K119" s="1"/>
      <c r="L119" s="1" t="n">
        <v>0</v>
      </c>
      <c r="M119" s="1" t="n">
        <v>0</v>
      </c>
      <c r="N119" s="1" t="s">
        <v>160</v>
      </c>
      <c r="Z119" s="0" t="n">
        <f aca="false">I119-23</f>
        <v>276.1</v>
      </c>
      <c r="AB119" s="0" t="n">
        <f aca="false">IF(Z119&lt;0,Z119+360,Z119+0)</f>
        <v>276.1</v>
      </c>
    </row>
    <row r="120" customFormat="false" ht="15.8" hidden="false" customHeight="false" outlineLevel="0" collapsed="false">
      <c r="A120" s="1" t="n">
        <v>3</v>
      </c>
      <c r="B120" s="1" t="n">
        <v>16</v>
      </c>
      <c r="C120" s="1" t="n">
        <v>0.8</v>
      </c>
      <c r="D120" s="1" t="n">
        <v>1.0437</v>
      </c>
      <c r="E120" s="1" t="n">
        <v>0.0221267</v>
      </c>
      <c r="F120" s="1" t="n">
        <v>4.81492E-005</v>
      </c>
      <c r="G120" s="1" t="s">
        <v>27</v>
      </c>
      <c r="H120" s="1" t="n">
        <v>81.9</v>
      </c>
      <c r="I120" s="1" t="n">
        <v>208.9</v>
      </c>
      <c r="J120" s="1" t="n">
        <v>0</v>
      </c>
      <c r="K120" s="1"/>
      <c r="L120" s="1" t="n">
        <v>0</v>
      </c>
      <c r="M120" s="1" t="n">
        <v>0</v>
      </c>
      <c r="N120" s="1" t="s">
        <v>160</v>
      </c>
      <c r="Z120" s="0" t="n">
        <f aca="false">I120-23</f>
        <v>185.9</v>
      </c>
      <c r="AB120" s="0" t="n">
        <f aca="false">IF(Z120&lt;0,Z120+360,Z120+0)</f>
        <v>185.9</v>
      </c>
    </row>
    <row r="121" customFormat="false" ht="15.8" hidden="false" customHeight="false" outlineLevel="0" collapsed="false">
      <c r="A121" s="1" t="n">
        <v>3</v>
      </c>
      <c r="B121" s="1" t="n">
        <v>15</v>
      </c>
      <c r="C121" s="1" t="n">
        <v>1.9</v>
      </c>
      <c r="D121" s="1" t="n">
        <v>1.2972</v>
      </c>
      <c r="E121" s="1" t="n">
        <v>0.0531282</v>
      </c>
      <c r="F121" s="1" t="n">
        <v>0.000115611</v>
      </c>
      <c r="G121" s="1" t="s">
        <v>37</v>
      </c>
      <c r="H121" s="1" t="n">
        <v>57.5</v>
      </c>
      <c r="I121" s="1" t="n">
        <v>289.5</v>
      </c>
      <c r="J121" s="1" t="n">
        <v>29.6</v>
      </c>
      <c r="K121" s="1" t="n">
        <v>81.9</v>
      </c>
      <c r="L121" s="1" t="n">
        <v>0</v>
      </c>
      <c r="M121" s="1" t="n">
        <v>0</v>
      </c>
      <c r="N121" s="1" t="s">
        <v>161</v>
      </c>
      <c r="Z121" s="0" t="n">
        <f aca="false">I121-23</f>
        <v>266.5</v>
      </c>
      <c r="AB121" s="0" t="n">
        <f aca="false">IF(Z121&lt;0,Z121+360,Z121+0)</f>
        <v>266.5</v>
      </c>
    </row>
    <row r="122" customFormat="false" ht="15.8" hidden="false" customHeight="false" outlineLevel="0" collapsed="false">
      <c r="A122" s="1" t="n">
        <v>3</v>
      </c>
      <c r="B122" s="1" t="n">
        <v>15</v>
      </c>
      <c r="C122" s="1" t="n">
        <v>2</v>
      </c>
      <c r="D122" s="1" t="n">
        <v>1.4989</v>
      </c>
      <c r="E122" s="1" t="n">
        <v>0.0543799</v>
      </c>
      <c r="F122" s="1" t="n">
        <v>0.000118335</v>
      </c>
      <c r="G122" s="1" t="s">
        <v>27</v>
      </c>
      <c r="H122" s="1" t="n">
        <v>19.2</v>
      </c>
      <c r="I122" s="1" t="n">
        <v>331</v>
      </c>
      <c r="J122" s="1" t="n">
        <v>-16.2</v>
      </c>
      <c r="K122" s="1"/>
      <c r="L122" s="1" t="n">
        <v>0</v>
      </c>
      <c r="M122" s="1" t="n">
        <v>0</v>
      </c>
      <c r="N122" s="1" t="s">
        <v>161</v>
      </c>
      <c r="Z122" s="0" t="n">
        <f aca="false">I122-23</f>
        <v>308</v>
      </c>
      <c r="AB122" s="0" t="n">
        <f aca="false">IF(Z122&lt;0,Z122+360,Z122+0)</f>
        <v>308</v>
      </c>
    </row>
    <row r="123" customFormat="false" ht="15.8" hidden="false" customHeight="false" outlineLevel="0" collapsed="false">
      <c r="A123" s="1" t="n">
        <v>3</v>
      </c>
      <c r="B123" s="1" t="n">
        <v>14</v>
      </c>
      <c r="C123" s="1" t="n">
        <v>0.8</v>
      </c>
      <c r="D123" s="1" t="n">
        <v>1.0122</v>
      </c>
      <c r="E123" s="1" t="n">
        <v>0.0211034</v>
      </c>
      <c r="F123" s="1" t="n">
        <v>4.59225E-005</v>
      </c>
      <c r="G123" s="1" t="s">
        <v>37</v>
      </c>
      <c r="H123" s="1" t="n">
        <v>53.8</v>
      </c>
      <c r="I123" s="1" t="n">
        <v>341.4</v>
      </c>
      <c r="J123" s="1" t="n">
        <v>0</v>
      </c>
      <c r="K123" s="1" t="n">
        <v>57.5</v>
      </c>
      <c r="L123" s="1" t="n">
        <v>0</v>
      </c>
      <c r="M123" s="1" t="n">
        <v>0</v>
      </c>
      <c r="N123" s="1" t="s">
        <v>162</v>
      </c>
      <c r="Z123" s="0" t="n">
        <f aca="false">I123-23</f>
        <v>318.4</v>
      </c>
      <c r="AB123" s="0" t="n">
        <f aca="false">IF(Z123&lt;0,Z123+360,Z123+0)</f>
        <v>318.4</v>
      </c>
    </row>
    <row r="124" customFormat="false" ht="15.8" hidden="false" customHeight="false" outlineLevel="0" collapsed="false">
      <c r="A124" s="1" t="n">
        <v>3</v>
      </c>
      <c r="B124" s="1" t="n">
        <v>14</v>
      </c>
      <c r="C124" s="1" t="n">
        <v>3.5</v>
      </c>
      <c r="D124" s="1" t="n">
        <v>2.0837</v>
      </c>
      <c r="E124" s="1" t="n">
        <v>0.0968993</v>
      </c>
      <c r="F124" s="1" t="n">
        <v>0.00021086</v>
      </c>
      <c r="G124" s="1" t="s">
        <v>27</v>
      </c>
      <c r="H124" s="1" t="n">
        <v>128.7</v>
      </c>
      <c r="I124" s="1" t="n">
        <v>180.8</v>
      </c>
      <c r="J124" s="1" t="n">
        <v>40.7</v>
      </c>
      <c r="K124" s="1"/>
      <c r="L124" s="1" t="n">
        <v>0</v>
      </c>
      <c r="M124" s="1" t="n">
        <v>0</v>
      </c>
      <c r="N124" s="1" t="s">
        <v>162</v>
      </c>
      <c r="Z124" s="0" t="n">
        <f aca="false">I124-23</f>
        <v>157.8</v>
      </c>
      <c r="AB124" s="0" t="n">
        <f aca="false">IF(Z124&lt;0,Z124+360,Z124+0)</f>
        <v>157.8</v>
      </c>
    </row>
    <row r="125" customFormat="false" ht="15.8" hidden="false" customHeight="false" outlineLevel="0" collapsed="false">
      <c r="A125" s="1" t="n">
        <v>3</v>
      </c>
      <c r="B125" s="1" t="n">
        <v>13</v>
      </c>
      <c r="C125" s="1" t="n">
        <v>1.8</v>
      </c>
      <c r="D125" s="1" t="n">
        <v>1.5022</v>
      </c>
      <c r="E125" s="1" t="n">
        <v>0.0490068</v>
      </c>
      <c r="F125" s="1" t="n">
        <v>0.000106642</v>
      </c>
      <c r="G125" s="1" t="s">
        <v>37</v>
      </c>
      <c r="H125" s="1" t="n">
        <v>1.6</v>
      </c>
      <c r="I125" s="1" t="n">
        <v>35.2</v>
      </c>
      <c r="J125" s="1" t="n">
        <v>0</v>
      </c>
      <c r="K125" s="1" t="n">
        <v>128.7</v>
      </c>
      <c r="L125" s="1" t="n">
        <v>0</v>
      </c>
      <c r="M125" s="1" t="n">
        <v>0</v>
      </c>
      <c r="N125" s="1" t="s">
        <v>163</v>
      </c>
      <c r="Z125" s="0" t="n">
        <f aca="false">I125-23</f>
        <v>12.2</v>
      </c>
      <c r="AB125" s="0" t="n">
        <f aca="false">IF(Z125&lt;0,Z125+360,Z125+0)</f>
        <v>12.2</v>
      </c>
    </row>
    <row r="126" customFormat="false" ht="15.8" hidden="false" customHeight="false" outlineLevel="0" collapsed="false">
      <c r="A126" s="1" t="n">
        <v>3</v>
      </c>
      <c r="B126" s="1" t="n">
        <v>13</v>
      </c>
      <c r="C126" s="1" t="n">
        <v>1.1</v>
      </c>
      <c r="D126" s="1" t="n">
        <v>1.2053</v>
      </c>
      <c r="E126" s="1" t="n">
        <v>0.0311334</v>
      </c>
      <c r="F126" s="1" t="n">
        <v>6.77484E-005</v>
      </c>
      <c r="G126" s="1" t="s">
        <v>27</v>
      </c>
      <c r="H126" s="1" t="n">
        <v>68.2</v>
      </c>
      <c r="I126" s="1" t="n">
        <v>330.6</v>
      </c>
      <c r="J126" s="1" t="n">
        <v>-23.1</v>
      </c>
      <c r="K126" s="1"/>
      <c r="L126" s="1" t="n">
        <v>0</v>
      </c>
      <c r="M126" s="1" t="n">
        <v>0</v>
      </c>
      <c r="N126" s="1" t="s">
        <v>163</v>
      </c>
      <c r="Z126" s="0" t="n">
        <f aca="false">I126-23</f>
        <v>307.6</v>
      </c>
      <c r="AB126" s="0" t="n">
        <f aca="false">IF(Z126&lt;0,Z126+360,Z126+0)</f>
        <v>307.6</v>
      </c>
    </row>
    <row r="127" customFormat="false" ht="15.8" hidden="false" customHeight="false" outlineLevel="0" collapsed="false">
      <c r="A127" s="1" t="n">
        <v>3</v>
      </c>
      <c r="B127" s="1" t="n">
        <v>12</v>
      </c>
      <c r="C127" s="1" t="n">
        <v>1.5</v>
      </c>
      <c r="D127" s="1" t="n">
        <v>1.0237</v>
      </c>
      <c r="E127" s="1" t="n">
        <v>0.0410819</v>
      </c>
      <c r="F127" s="1" t="n">
        <v>8.9397E-005</v>
      </c>
      <c r="G127" s="1" t="s">
        <v>37</v>
      </c>
      <c r="H127" s="1" t="n">
        <v>17.3</v>
      </c>
      <c r="I127" s="1" t="n">
        <v>36.8</v>
      </c>
      <c r="J127" s="1" t="n">
        <v>0</v>
      </c>
      <c r="K127" s="1" t="n">
        <v>68.2</v>
      </c>
      <c r="L127" s="1" t="n">
        <v>0</v>
      </c>
      <c r="M127" s="1" t="n">
        <v>0</v>
      </c>
      <c r="N127" s="1" t="s">
        <v>159</v>
      </c>
      <c r="Z127" s="0" t="n">
        <f aca="false">I127-23</f>
        <v>13.8</v>
      </c>
      <c r="AB127" s="0" t="n">
        <f aca="false">IF(Z127&lt;0,Z127+360,Z127+0)</f>
        <v>13.8</v>
      </c>
    </row>
    <row r="128" customFormat="false" ht="15.8" hidden="false" customHeight="false" outlineLevel="0" collapsed="false">
      <c r="A128" s="1" t="n">
        <v>3</v>
      </c>
      <c r="B128" s="1" t="n">
        <v>11</v>
      </c>
      <c r="C128" s="1" t="n">
        <v>0.8</v>
      </c>
      <c r="D128" s="1" t="n">
        <v>1.0108</v>
      </c>
      <c r="E128" s="1" t="n">
        <v>0.020926</v>
      </c>
      <c r="F128" s="1" t="n">
        <v>4.55365E-005</v>
      </c>
      <c r="G128" s="1" t="s">
        <v>37</v>
      </c>
      <c r="H128" s="1" t="n">
        <v>24.2</v>
      </c>
      <c r="I128" s="1" t="n">
        <v>19.5</v>
      </c>
      <c r="J128" s="1" t="n">
        <v>0</v>
      </c>
      <c r="K128" s="1" t="n">
        <v>109.9</v>
      </c>
      <c r="L128" s="1" t="n">
        <v>0</v>
      </c>
      <c r="M128" s="1" t="n">
        <v>0</v>
      </c>
      <c r="N128" s="1" t="s">
        <v>164</v>
      </c>
      <c r="Z128" s="0" t="n">
        <f aca="false">I128-23</f>
        <v>-3.5</v>
      </c>
      <c r="AB128" s="0" t="n">
        <f aca="false">IF(Z128&lt;0,Z128+360,Z128+0)</f>
        <v>356.5</v>
      </c>
    </row>
    <row r="129" customFormat="false" ht="15.8" hidden="false" customHeight="false" outlineLevel="0" collapsed="false">
      <c r="A129" s="1" t="n">
        <v>3</v>
      </c>
      <c r="B129" s="1" t="n">
        <v>12</v>
      </c>
      <c r="C129" s="1" t="n">
        <v>1.6</v>
      </c>
      <c r="D129" s="1" t="n">
        <v>1.3615</v>
      </c>
      <c r="E129" s="1" t="n">
        <v>0.0432168</v>
      </c>
      <c r="F129" s="1" t="n">
        <v>9.40429E-005</v>
      </c>
      <c r="G129" s="1" t="s">
        <v>27</v>
      </c>
      <c r="H129" s="1" t="n">
        <v>23.9</v>
      </c>
      <c r="I129" s="1" t="n">
        <v>233</v>
      </c>
      <c r="J129" s="1" t="n">
        <v>18.6</v>
      </c>
      <c r="K129" s="1"/>
      <c r="L129" s="1" t="n">
        <v>0</v>
      </c>
      <c r="M129" s="1" t="n">
        <v>0</v>
      </c>
      <c r="N129" s="1" t="s">
        <v>165</v>
      </c>
      <c r="Z129" s="0" t="n">
        <f aca="false">I129-23</f>
        <v>210</v>
      </c>
      <c r="AB129" s="0" t="n">
        <f aca="false">IF(Z129&lt;0,Z129+360,Z129+0)</f>
        <v>210</v>
      </c>
    </row>
    <row r="130" customFormat="false" ht="15.8" hidden="false" customHeight="false" outlineLevel="0" collapsed="false">
      <c r="A130" s="1" t="n">
        <v>3</v>
      </c>
      <c r="B130" s="1" t="n">
        <v>12</v>
      </c>
      <c r="C130" s="1" t="n">
        <v>1.1</v>
      </c>
      <c r="D130" s="1" t="n">
        <v>1.1997</v>
      </c>
      <c r="E130" s="1" t="n">
        <v>0.03077</v>
      </c>
      <c r="F130" s="1" t="n">
        <v>6.69578E-005</v>
      </c>
      <c r="G130" s="1" t="s">
        <v>27</v>
      </c>
      <c r="H130" s="1" t="n">
        <v>86.2</v>
      </c>
      <c r="I130" s="1" t="n">
        <v>303</v>
      </c>
      <c r="J130" s="1" t="n">
        <v>23.2</v>
      </c>
      <c r="K130" s="1"/>
      <c r="L130" s="1" t="n">
        <v>0</v>
      </c>
      <c r="M130" s="1" t="n">
        <v>0</v>
      </c>
      <c r="N130" s="1" t="s">
        <v>165</v>
      </c>
      <c r="Z130" s="0" t="n">
        <f aca="false">I130-23</f>
        <v>280</v>
      </c>
      <c r="AB130" s="0" t="n">
        <f aca="false">IF(Z130&lt;0,Z130+360,Z130+0)</f>
        <v>280</v>
      </c>
    </row>
    <row r="131" customFormat="false" ht="15.8" hidden="false" customHeight="false" outlineLevel="0" collapsed="false">
      <c r="A131" s="1" t="n">
        <v>3</v>
      </c>
      <c r="B131" s="1" t="n">
        <v>12</v>
      </c>
      <c r="C131" s="1" t="n">
        <v>0.8</v>
      </c>
      <c r="D131" s="1" t="n">
        <v>1.0406</v>
      </c>
      <c r="E131" s="1" t="n">
        <v>0.0224171</v>
      </c>
      <c r="F131" s="1" t="n">
        <v>4.87811E-005</v>
      </c>
      <c r="G131" s="1" t="s">
        <v>27</v>
      </c>
      <c r="H131" s="1" t="n">
        <v>74</v>
      </c>
      <c r="I131" s="1" t="n">
        <v>135</v>
      </c>
      <c r="J131" s="1" t="n">
        <v>0</v>
      </c>
      <c r="K131" s="1"/>
      <c r="L131" s="1" t="n">
        <v>0</v>
      </c>
      <c r="M131" s="1" t="n">
        <v>0</v>
      </c>
      <c r="N131" s="1" t="s">
        <v>165</v>
      </c>
      <c r="Z131" s="0" t="n">
        <f aca="false">I131-23</f>
        <v>112</v>
      </c>
      <c r="AB131" s="0" t="n">
        <f aca="false">IF(Z131&lt;0,Z131+360,Z131+0)</f>
        <v>112</v>
      </c>
    </row>
    <row r="132" customFormat="false" ht="15.8" hidden="false" customHeight="false" outlineLevel="0" collapsed="false">
      <c r="A132" s="1" t="n">
        <v>3</v>
      </c>
      <c r="B132" s="1" t="n">
        <v>11</v>
      </c>
      <c r="C132" s="1" t="n">
        <v>3</v>
      </c>
      <c r="D132" s="1" t="n">
        <v>1.5025</v>
      </c>
      <c r="E132" s="1" t="n">
        <v>0.0827815</v>
      </c>
      <c r="F132" s="1" t="n">
        <v>0.000180138</v>
      </c>
      <c r="G132" s="1" t="s">
        <v>37</v>
      </c>
      <c r="H132" s="1" t="n">
        <v>141.7</v>
      </c>
      <c r="I132" s="1" t="n">
        <v>207.7</v>
      </c>
      <c r="J132" s="1" t="n">
        <v>21.5</v>
      </c>
      <c r="K132" s="1" t="n">
        <v>86.2</v>
      </c>
      <c r="L132" s="1" t="n">
        <v>0</v>
      </c>
      <c r="M132" s="1" t="n">
        <v>0</v>
      </c>
      <c r="N132" s="1" t="s">
        <v>164</v>
      </c>
      <c r="Z132" s="0" t="n">
        <f aca="false">I132-23</f>
        <v>184.7</v>
      </c>
      <c r="AB132" s="0" t="n">
        <f aca="false">IF(Z132&lt;0,Z132+360,Z132+0)</f>
        <v>184.7</v>
      </c>
    </row>
    <row r="133" customFormat="false" ht="15.8" hidden="false" customHeight="false" outlineLevel="0" collapsed="false">
      <c r="A133" s="1" t="n">
        <v>3</v>
      </c>
      <c r="B133" s="1" t="n">
        <v>10</v>
      </c>
      <c r="C133" s="1" t="n">
        <v>1.7</v>
      </c>
      <c r="D133" s="1" t="n">
        <v>1.0861</v>
      </c>
      <c r="E133" s="1" t="n">
        <v>0.0472093</v>
      </c>
      <c r="F133" s="1" t="n">
        <v>0.000102731</v>
      </c>
      <c r="G133" s="1" t="s">
        <v>37</v>
      </c>
      <c r="H133" s="1" t="n">
        <v>36.6</v>
      </c>
      <c r="I133" s="1" t="n">
        <v>355.3</v>
      </c>
      <c r="J133" s="1" t="n">
        <v>0</v>
      </c>
      <c r="K133" s="1" t="n">
        <v>141.7</v>
      </c>
      <c r="L133" s="1" t="n">
        <v>0</v>
      </c>
      <c r="M133" s="1" t="n">
        <v>0</v>
      </c>
      <c r="N133" s="1" t="s">
        <v>166</v>
      </c>
      <c r="Z133" s="0" t="n">
        <f aca="false">I133-23</f>
        <v>332.3</v>
      </c>
      <c r="AB133" s="0" t="n">
        <f aca="false">IF(Z133&lt;0,Z133+360,Z133+0)</f>
        <v>332.3</v>
      </c>
    </row>
    <row r="134" customFormat="false" ht="15.8" hidden="false" customHeight="false" outlineLevel="0" collapsed="false">
      <c r="A134" s="1" t="n">
        <v>3</v>
      </c>
      <c r="B134" s="1" t="n">
        <v>10</v>
      </c>
      <c r="C134" s="1" t="n">
        <v>3</v>
      </c>
      <c r="D134" s="1" t="n">
        <v>1.2846</v>
      </c>
      <c r="E134" s="1" t="n">
        <v>0.0820972</v>
      </c>
      <c r="F134" s="1" t="n">
        <v>0.000178649</v>
      </c>
      <c r="G134" s="1" t="s">
        <v>27</v>
      </c>
      <c r="H134" s="1" t="n">
        <v>81.4</v>
      </c>
      <c r="I134" s="1" t="n">
        <v>100.5</v>
      </c>
      <c r="J134" s="1" t="n">
        <v>0</v>
      </c>
      <c r="K134" s="1"/>
      <c r="L134" s="1" t="n">
        <v>0</v>
      </c>
      <c r="M134" s="1" t="n">
        <v>0</v>
      </c>
      <c r="N134" s="1" t="s">
        <v>166</v>
      </c>
      <c r="Z134" s="0" t="n">
        <f aca="false">I134-23</f>
        <v>77.5</v>
      </c>
      <c r="AB134" s="0" t="n">
        <f aca="false">IF(Z134&lt;0,Z134+360,Z134+0)</f>
        <v>77.5</v>
      </c>
    </row>
    <row r="135" customFormat="false" ht="15.8" hidden="false" customHeight="false" outlineLevel="0" collapsed="false">
      <c r="A135" s="1" t="n">
        <v>3</v>
      </c>
      <c r="B135" s="1" t="n">
        <v>9</v>
      </c>
      <c r="C135" s="1" t="n">
        <v>0.9</v>
      </c>
      <c r="D135" s="1" t="n">
        <v>1.1775</v>
      </c>
      <c r="E135" s="1" t="n">
        <v>0.0256376</v>
      </c>
      <c r="F135" s="1" t="n">
        <v>5.57893E-005</v>
      </c>
      <c r="G135" s="1" t="s">
        <v>37</v>
      </c>
      <c r="H135" s="1" t="n">
        <v>38.4</v>
      </c>
      <c r="I135" s="1" t="n">
        <v>20.2</v>
      </c>
      <c r="J135" s="1" t="n">
        <v>27.7</v>
      </c>
      <c r="K135" s="1" t="n">
        <v>81.4</v>
      </c>
      <c r="L135" s="1" t="n">
        <v>0</v>
      </c>
      <c r="M135" s="1" t="n">
        <v>0</v>
      </c>
      <c r="N135" s="1" t="s">
        <v>167</v>
      </c>
      <c r="Z135" s="0" t="n">
        <f aca="false">I135-23</f>
        <v>-2.8</v>
      </c>
      <c r="AB135" s="0" t="n">
        <f aca="false">IF(Z135&lt;0,Z135+360,Z135+0)</f>
        <v>357.2</v>
      </c>
    </row>
    <row r="136" customFormat="false" ht="15.8" hidden="false" customHeight="false" outlineLevel="0" collapsed="false">
      <c r="A136" s="1" t="n">
        <v>3</v>
      </c>
      <c r="B136" s="1" t="n">
        <v>9</v>
      </c>
      <c r="C136" s="1" t="n">
        <v>1.5</v>
      </c>
      <c r="D136" s="1" t="n">
        <v>1.4563</v>
      </c>
      <c r="E136" s="1" t="n">
        <v>0.0422447</v>
      </c>
      <c r="F136" s="1" t="n">
        <v>9.19275E-005</v>
      </c>
      <c r="G136" s="1" t="s">
        <v>27</v>
      </c>
      <c r="H136" s="1" t="n">
        <v>55.1</v>
      </c>
      <c r="I136" s="1" t="n">
        <v>76.8</v>
      </c>
      <c r="J136" s="1" t="n">
        <v>-44.2</v>
      </c>
      <c r="K136" s="1"/>
      <c r="L136" s="1" t="n">
        <v>0</v>
      </c>
      <c r="M136" s="1" t="n">
        <v>0</v>
      </c>
      <c r="N136" s="1" t="s">
        <v>167</v>
      </c>
      <c r="Z136" s="0" t="n">
        <f aca="false">I136-23</f>
        <v>53.8</v>
      </c>
      <c r="AB136" s="0" t="n">
        <f aca="false">IF(Z136&lt;0,Z136+360,Z136+0)</f>
        <v>53.8</v>
      </c>
    </row>
    <row r="137" customFormat="false" ht="15.8" hidden="false" customHeight="false" outlineLevel="0" collapsed="false">
      <c r="A137" s="1" t="n">
        <v>3</v>
      </c>
      <c r="B137" s="1" t="n">
        <v>8</v>
      </c>
      <c r="C137" s="1" t="n">
        <v>2.9</v>
      </c>
      <c r="D137" s="1" t="n">
        <v>1.3989</v>
      </c>
      <c r="E137" s="1" t="n">
        <v>0.0795967</v>
      </c>
      <c r="F137" s="1" t="n">
        <v>0.000173208</v>
      </c>
      <c r="G137" s="1" t="s">
        <v>37</v>
      </c>
      <c r="H137" s="1" t="n">
        <v>30.6</v>
      </c>
      <c r="I137" s="1" t="n">
        <v>26.2</v>
      </c>
      <c r="J137" s="1" t="n">
        <v>-10.2</v>
      </c>
      <c r="K137" s="1" t="n">
        <v>55.1</v>
      </c>
      <c r="L137" s="1" t="n">
        <v>0</v>
      </c>
      <c r="M137" s="1" t="n">
        <v>0</v>
      </c>
      <c r="N137" s="1" t="s">
        <v>154</v>
      </c>
      <c r="Z137" s="0" t="n">
        <f aca="false">I137-23</f>
        <v>3.2</v>
      </c>
      <c r="AB137" s="0" t="n">
        <f aca="false">IF(Z137&lt;0,Z137+360,Z137+0)</f>
        <v>3.2</v>
      </c>
    </row>
    <row r="138" customFormat="false" ht="15.8" hidden="false" customHeight="false" outlineLevel="0" collapsed="false">
      <c r="A138" s="1" t="n">
        <v>3</v>
      </c>
      <c r="B138" s="1" t="n">
        <v>7</v>
      </c>
      <c r="C138" s="1" t="n">
        <v>1.6</v>
      </c>
      <c r="D138" s="1" t="n">
        <v>1.394</v>
      </c>
      <c r="E138" s="1" t="n">
        <v>0.0446294</v>
      </c>
      <c r="F138" s="1" t="n">
        <v>9.71166E-005</v>
      </c>
      <c r="G138" s="1" t="s">
        <v>37</v>
      </c>
      <c r="H138" s="1" t="n">
        <v>26.3</v>
      </c>
      <c r="I138" s="1" t="n">
        <v>15.5</v>
      </c>
      <c r="J138" s="1" t="n">
        <v>18.4</v>
      </c>
      <c r="K138" s="1" t="n">
        <v>110.5</v>
      </c>
      <c r="L138" s="1" t="n">
        <v>0</v>
      </c>
      <c r="M138" s="1" t="n">
        <v>0</v>
      </c>
      <c r="N138" s="1" t="s">
        <v>168</v>
      </c>
      <c r="Z138" s="0" t="n">
        <f aca="false">I138-23</f>
        <v>-7.5</v>
      </c>
      <c r="AB138" s="0" t="n">
        <f aca="false">IF(Z138&lt;0,Z138+360,Z138+0)</f>
        <v>352.5</v>
      </c>
    </row>
    <row r="139" customFormat="false" ht="15.8" hidden="false" customHeight="false" outlineLevel="0" collapsed="false">
      <c r="A139" s="1" t="n">
        <v>3</v>
      </c>
      <c r="B139" s="1" t="n">
        <v>7</v>
      </c>
      <c r="C139" s="1" t="n">
        <v>0.7</v>
      </c>
      <c r="D139" s="1" t="n">
        <v>1.2622</v>
      </c>
      <c r="E139" s="1" t="n">
        <v>0.0187042</v>
      </c>
      <c r="F139" s="1" t="n">
        <v>4.07016E-005</v>
      </c>
      <c r="G139" s="1" t="s">
        <v>27</v>
      </c>
      <c r="H139" s="1" t="n">
        <v>90.9</v>
      </c>
      <c r="I139" s="1" t="n">
        <v>303.3</v>
      </c>
      <c r="J139" s="1" t="n">
        <v>43.1</v>
      </c>
      <c r="K139" s="1"/>
      <c r="L139" s="1" t="n">
        <v>0</v>
      </c>
      <c r="M139" s="1" t="n">
        <v>0</v>
      </c>
      <c r="N139" s="1" t="s">
        <v>168</v>
      </c>
      <c r="Z139" s="0" t="n">
        <f aca="false">I139-23</f>
        <v>280.3</v>
      </c>
      <c r="AB139" s="0" t="n">
        <f aca="false">IF(Z139&lt;0,Z139+360,Z139+0)</f>
        <v>280.3</v>
      </c>
    </row>
    <row r="140" customFormat="false" ht="15.8" hidden="false" customHeight="false" outlineLevel="0" collapsed="false">
      <c r="A140" s="1" t="n">
        <v>3</v>
      </c>
      <c r="B140" s="1" t="n">
        <v>6</v>
      </c>
      <c r="C140" s="1" t="n">
        <v>2</v>
      </c>
      <c r="D140" s="1" t="n">
        <v>1.1941</v>
      </c>
      <c r="E140" s="1" t="n">
        <v>0.0535314</v>
      </c>
      <c r="F140" s="1" t="n">
        <v>0.000116488</v>
      </c>
      <c r="G140" s="1" t="s">
        <v>37</v>
      </c>
      <c r="H140" s="1" t="n">
        <v>36.2</v>
      </c>
      <c r="I140" s="1" t="n">
        <v>34.6</v>
      </c>
      <c r="J140" s="1" t="n">
        <v>0</v>
      </c>
      <c r="K140" s="1" t="n">
        <v>90.9</v>
      </c>
      <c r="L140" s="1" t="n">
        <v>0</v>
      </c>
      <c r="M140" s="1" t="n">
        <v>0</v>
      </c>
      <c r="N140" s="1" t="s">
        <v>152</v>
      </c>
      <c r="Z140" s="0" t="n">
        <f aca="false">I140-23</f>
        <v>11.6</v>
      </c>
      <c r="AB140" s="0" t="n">
        <f aca="false">IF(Z140&lt;0,Z140+360,Z140+0)</f>
        <v>11.6</v>
      </c>
    </row>
    <row r="141" customFormat="false" ht="15.8" hidden="false" customHeight="false" outlineLevel="0" collapsed="false">
      <c r="A141" s="1" t="n">
        <v>3</v>
      </c>
      <c r="B141" s="1" t="n">
        <v>5</v>
      </c>
      <c r="C141" s="1" t="n">
        <v>0.9</v>
      </c>
      <c r="D141" s="1" t="n">
        <v>1.1327</v>
      </c>
      <c r="E141" s="1" t="n">
        <v>0.0241161</v>
      </c>
      <c r="F141" s="1" t="n">
        <v>5.24784E-005</v>
      </c>
      <c r="G141" s="1" t="s">
        <v>37</v>
      </c>
      <c r="H141" s="1" t="n">
        <v>33.7</v>
      </c>
      <c r="I141" s="1" t="n">
        <v>11.2</v>
      </c>
      <c r="J141" s="1" t="n">
        <v>28.4</v>
      </c>
      <c r="K141" s="1" t="n">
        <v>36.2</v>
      </c>
      <c r="L141" s="1" t="n">
        <v>0</v>
      </c>
      <c r="M141" s="1" t="n">
        <v>0</v>
      </c>
      <c r="N141" s="1" t="s">
        <v>150</v>
      </c>
      <c r="Z141" s="0" t="n">
        <f aca="false">I141-23</f>
        <v>-11.8</v>
      </c>
      <c r="AB141" s="0" t="n">
        <f aca="false">IF(Z141&lt;0,Z141+360,Z141+0)</f>
        <v>348.2</v>
      </c>
    </row>
    <row r="142" customFormat="false" ht="15.8" hidden="false" customHeight="false" outlineLevel="0" collapsed="false">
      <c r="A142" s="1" t="n">
        <v>3</v>
      </c>
      <c r="B142" s="1" t="n">
        <v>4</v>
      </c>
      <c r="C142" s="1" t="n">
        <v>0.3</v>
      </c>
      <c r="D142" s="1" t="n">
        <v>1.0006</v>
      </c>
      <c r="E142" s="1" t="n">
        <v>0.00908579</v>
      </c>
      <c r="F142" s="1" t="n">
        <v>1.97713E-005</v>
      </c>
      <c r="G142" s="1" t="s">
        <v>37</v>
      </c>
      <c r="H142" s="1" t="n">
        <v>65.6</v>
      </c>
      <c r="I142" s="1" t="n">
        <v>352.1</v>
      </c>
      <c r="J142" s="1" t="n">
        <v>0</v>
      </c>
      <c r="K142" s="1" t="n">
        <v>76.4</v>
      </c>
      <c r="L142" s="1" t="n">
        <v>0</v>
      </c>
      <c r="M142" s="1" t="n">
        <v>0</v>
      </c>
      <c r="N142" s="1" t="s">
        <v>169</v>
      </c>
      <c r="Z142" s="0" t="n">
        <f aca="false">I142-23</f>
        <v>329.1</v>
      </c>
      <c r="AB142" s="0" t="n">
        <f aca="false">IF(Z142&lt;0,Z142+360,Z142+0)</f>
        <v>329.1</v>
      </c>
    </row>
    <row r="143" customFormat="false" ht="15.8" hidden="false" customHeight="false" outlineLevel="0" collapsed="false">
      <c r="A143" s="1" t="n">
        <v>3</v>
      </c>
      <c r="B143" s="1" t="n">
        <v>4</v>
      </c>
      <c r="C143" s="1" t="n">
        <v>1.9</v>
      </c>
      <c r="D143" s="1" t="n">
        <v>1.2638</v>
      </c>
      <c r="E143" s="1" t="n">
        <v>0.0517015</v>
      </c>
      <c r="F143" s="1" t="n">
        <v>0.000112506</v>
      </c>
      <c r="G143" s="1" t="s">
        <v>27</v>
      </c>
      <c r="H143" s="1" t="n">
        <v>39.3</v>
      </c>
      <c r="I143" s="1" t="n">
        <v>62.9</v>
      </c>
      <c r="J143" s="1" t="n">
        <v>29.6</v>
      </c>
      <c r="K143" s="1"/>
      <c r="L143" s="1" t="n">
        <v>0</v>
      </c>
      <c r="M143" s="1" t="n">
        <v>0</v>
      </c>
      <c r="N143" s="1" t="s">
        <v>169</v>
      </c>
      <c r="Z143" s="0" t="n">
        <f aca="false">I143-23</f>
        <v>39.9</v>
      </c>
      <c r="AB143" s="0" t="n">
        <f aca="false">IF(Z143&lt;0,Z143+360,Z143+0)</f>
        <v>39.9</v>
      </c>
    </row>
    <row r="144" customFormat="false" ht="15.8" hidden="false" customHeight="false" outlineLevel="0" collapsed="false">
      <c r="A144" s="1" t="n">
        <v>3</v>
      </c>
      <c r="B144" s="1" t="n">
        <v>4</v>
      </c>
      <c r="C144" s="1" t="n">
        <v>4.1</v>
      </c>
      <c r="D144" s="1" t="n">
        <v>1.3149</v>
      </c>
      <c r="E144" s="1" t="n">
        <v>0.112182</v>
      </c>
      <c r="F144" s="1" t="n">
        <v>0.000244115</v>
      </c>
      <c r="G144" s="1" t="s">
        <v>27</v>
      </c>
      <c r="H144" s="1" t="n">
        <v>68.6</v>
      </c>
      <c r="I144" s="1" t="n">
        <v>273.8</v>
      </c>
      <c r="J144" s="1" t="n">
        <v>36.4</v>
      </c>
      <c r="K144" s="1"/>
      <c r="L144" s="1" t="n">
        <v>0</v>
      </c>
      <c r="M144" s="1" t="n">
        <v>0</v>
      </c>
      <c r="N144" s="1" t="s">
        <v>169</v>
      </c>
      <c r="Z144" s="0" t="n">
        <f aca="false">I144-23</f>
        <v>250.8</v>
      </c>
      <c r="AB144" s="0" t="n">
        <f aca="false">IF(Z144&lt;0,Z144+360,Z144+0)</f>
        <v>250.8</v>
      </c>
    </row>
    <row r="145" customFormat="false" ht="15.8" hidden="false" customHeight="false" outlineLevel="0" collapsed="false">
      <c r="A145" s="1" t="n">
        <v>3</v>
      </c>
      <c r="B145" s="1" t="n">
        <v>3</v>
      </c>
      <c r="C145" s="1" t="n">
        <v>0.5</v>
      </c>
      <c r="D145" s="1" t="n">
        <v>1.1727</v>
      </c>
      <c r="E145" s="1" t="n">
        <v>0.0136692</v>
      </c>
      <c r="F145" s="1" t="n">
        <v>2.97452E-005</v>
      </c>
      <c r="G145" s="1" t="s">
        <v>37</v>
      </c>
      <c r="H145" s="1" t="n">
        <v>60.4</v>
      </c>
      <c r="I145" s="1" t="n">
        <v>25.8</v>
      </c>
      <c r="J145" s="1" t="n">
        <v>60.2</v>
      </c>
      <c r="K145" s="1" t="n">
        <v>68.6</v>
      </c>
      <c r="L145" s="1" t="n">
        <v>0</v>
      </c>
      <c r="M145" s="1" t="n">
        <v>0</v>
      </c>
      <c r="N145" s="1" t="s">
        <v>135</v>
      </c>
      <c r="Z145" s="0" t="n">
        <f aca="false">I145-23</f>
        <v>2.8</v>
      </c>
      <c r="AB145" s="0" t="n">
        <f aca="false">IF(Z145&lt;0,Z145+360,Z145+0)</f>
        <v>2.8</v>
      </c>
    </row>
    <row r="146" customFormat="false" ht="15.8" hidden="false" customHeight="false" outlineLevel="0" collapsed="false">
      <c r="A146" s="1" t="n">
        <v>3</v>
      </c>
      <c r="B146" s="1" t="n">
        <v>2</v>
      </c>
      <c r="C146" s="1" t="n">
        <v>1.7</v>
      </c>
      <c r="D146" s="1" t="n">
        <v>1.3196</v>
      </c>
      <c r="E146" s="1" t="n">
        <v>0.0464749</v>
      </c>
      <c r="F146" s="1" t="n">
        <v>0.000101133</v>
      </c>
      <c r="G146" s="1" t="s">
        <v>37</v>
      </c>
      <c r="H146" s="1" t="n">
        <v>38.5</v>
      </c>
      <c r="I146" s="1" t="n">
        <v>19.9</v>
      </c>
      <c r="J146" s="1" t="n">
        <v>0</v>
      </c>
      <c r="K146" s="1" t="n">
        <v>60.4</v>
      </c>
      <c r="L146" s="1" t="n">
        <v>0</v>
      </c>
      <c r="M146" s="1" t="n">
        <v>0</v>
      </c>
      <c r="N146" s="1" t="s">
        <v>170</v>
      </c>
      <c r="Z146" s="0" t="n">
        <f aca="false">I146-23</f>
        <v>-3.1</v>
      </c>
      <c r="AB146" s="0" t="n">
        <f aca="false">IF(Z146&lt;0,Z146+360,Z146+0)</f>
        <v>356.9</v>
      </c>
    </row>
    <row r="147" customFormat="false" ht="15.8" hidden="false" customHeight="false" outlineLevel="0" collapsed="false">
      <c r="A147" s="1" t="n">
        <v>3</v>
      </c>
      <c r="B147" s="1" t="n">
        <v>4</v>
      </c>
      <c r="C147" s="1" t="n">
        <v>2.2</v>
      </c>
      <c r="D147" s="1" t="n">
        <v>1.2757</v>
      </c>
      <c r="E147" s="1" t="n">
        <v>0.0589445</v>
      </c>
      <c r="F147" s="1" t="n">
        <v>0.000128267</v>
      </c>
      <c r="G147" s="1" t="s">
        <v>27</v>
      </c>
      <c r="H147" s="1" t="n">
        <v>32.2</v>
      </c>
      <c r="I147" s="1" t="n">
        <v>40.4</v>
      </c>
      <c r="J147" s="1" t="n">
        <v>26</v>
      </c>
      <c r="K147" s="1"/>
      <c r="L147" s="1" t="n">
        <v>0</v>
      </c>
      <c r="M147" s="1" t="n">
        <v>0</v>
      </c>
      <c r="N147" s="1" t="s">
        <v>171</v>
      </c>
      <c r="Z147" s="0" t="n">
        <f aca="false">I147-23</f>
        <v>17.4</v>
      </c>
      <c r="AB147" s="0" t="n">
        <f aca="false">IF(Z147&lt;0,Z147+360,Z147+0)</f>
        <v>17.4</v>
      </c>
    </row>
    <row r="148" customFormat="false" ht="15.8" hidden="false" customHeight="false" outlineLevel="0" collapsed="false">
      <c r="A148" s="1" t="n">
        <v>3</v>
      </c>
      <c r="B148" s="1" t="n">
        <v>4</v>
      </c>
      <c r="C148" s="1" t="n">
        <v>0.4</v>
      </c>
      <c r="D148" s="1" t="n">
        <v>1.024</v>
      </c>
      <c r="E148" s="1" t="n">
        <v>0.010484</v>
      </c>
      <c r="F148" s="1" t="n">
        <v>2.2814E-005</v>
      </c>
      <c r="G148" s="1" t="s">
        <v>27</v>
      </c>
      <c r="H148" s="1" t="n">
        <v>92.6</v>
      </c>
      <c r="I148" s="1" t="n">
        <v>342.4</v>
      </c>
      <c r="J148" s="1" t="n">
        <v>0</v>
      </c>
      <c r="K148" s="1"/>
      <c r="L148" s="1" t="n">
        <v>0</v>
      </c>
      <c r="M148" s="1" t="n">
        <v>0</v>
      </c>
      <c r="N148" s="1" t="s">
        <v>171</v>
      </c>
      <c r="Z148" s="0" t="n">
        <f aca="false">I148-23</f>
        <v>319.4</v>
      </c>
      <c r="AB148" s="0" t="n">
        <f aca="false">IF(Z148&lt;0,Z148+360,Z148+0)</f>
        <v>319.4</v>
      </c>
    </row>
    <row r="149" customFormat="false" ht="15.8" hidden="false" customHeight="false" outlineLevel="0" collapsed="false">
      <c r="A149" s="1" t="n">
        <v>3</v>
      </c>
      <c r="B149" s="1" t="n">
        <v>3</v>
      </c>
      <c r="C149" s="1" t="n">
        <v>1.3</v>
      </c>
      <c r="D149" s="1" t="n">
        <v>1.2497</v>
      </c>
      <c r="E149" s="1" t="n">
        <v>0.0349777</v>
      </c>
      <c r="F149" s="1" t="n">
        <v>7.6114E-005</v>
      </c>
      <c r="G149" s="1" t="s">
        <v>37</v>
      </c>
      <c r="H149" s="1" t="n">
        <v>28.6</v>
      </c>
      <c r="I149" s="1" t="n">
        <v>75.2</v>
      </c>
      <c r="J149" s="1" t="n">
        <v>21.2</v>
      </c>
      <c r="K149" s="1" t="n">
        <v>92.6</v>
      </c>
      <c r="L149" s="1" t="n">
        <v>0</v>
      </c>
      <c r="M149" s="1" t="n">
        <v>0</v>
      </c>
      <c r="N149" s="1" t="s">
        <v>172</v>
      </c>
      <c r="Z149" s="0" t="n">
        <f aca="false">I149-23</f>
        <v>52.2</v>
      </c>
      <c r="AB149" s="0" t="n">
        <f aca="false">IF(Z149&lt;0,Z149+360,Z149+0)</f>
        <v>52.2</v>
      </c>
    </row>
    <row r="150" customFormat="false" ht="15.8" hidden="false" customHeight="false" outlineLevel="0" collapsed="false">
      <c r="A150" s="1" t="n">
        <v>3</v>
      </c>
      <c r="B150" s="1" t="n">
        <v>3</v>
      </c>
      <c r="C150" s="1" t="n">
        <v>1.7</v>
      </c>
      <c r="D150" s="1" t="n">
        <v>1.2506</v>
      </c>
      <c r="E150" s="1" t="n">
        <v>0.0466033</v>
      </c>
      <c r="F150" s="1" t="n">
        <v>0.000101412</v>
      </c>
      <c r="G150" s="1" t="s">
        <v>27</v>
      </c>
      <c r="H150" s="1" t="n">
        <v>100.6</v>
      </c>
      <c r="I150" s="1" t="n">
        <v>195.8</v>
      </c>
      <c r="J150" s="1" t="n">
        <v>15.8</v>
      </c>
      <c r="K150" s="1"/>
      <c r="L150" s="1" t="n">
        <v>0</v>
      </c>
      <c r="M150" s="1" t="n">
        <v>0</v>
      </c>
      <c r="N150" s="1" t="s">
        <v>172</v>
      </c>
      <c r="Z150" s="0" t="n">
        <f aca="false">I150-23</f>
        <v>172.8</v>
      </c>
      <c r="AB150" s="0" t="n">
        <f aca="false">IF(Z150&lt;0,Z150+360,Z150+0)</f>
        <v>172.8</v>
      </c>
    </row>
    <row r="151" customFormat="false" ht="15.8" hidden="false" customHeight="false" outlineLevel="0" collapsed="false">
      <c r="A151" s="1" t="n">
        <v>3</v>
      </c>
      <c r="B151" s="1" t="n">
        <v>2</v>
      </c>
      <c r="C151" s="1" t="n">
        <v>2.4</v>
      </c>
      <c r="D151" s="1" t="n">
        <v>1.0988</v>
      </c>
      <c r="E151" s="1" t="n">
        <v>0.0653539</v>
      </c>
      <c r="F151" s="1" t="n">
        <v>0.000142215</v>
      </c>
      <c r="G151" s="1" t="s">
        <v>37</v>
      </c>
      <c r="H151" s="1" t="n">
        <v>40.1</v>
      </c>
      <c r="I151" s="1" t="n">
        <v>94.8</v>
      </c>
      <c r="J151" s="1" t="n">
        <v>0</v>
      </c>
      <c r="K151" s="1" t="n">
        <v>100.6</v>
      </c>
      <c r="L151" s="1" t="n">
        <v>0</v>
      </c>
      <c r="M151" s="1" t="n">
        <v>0</v>
      </c>
      <c r="N151" s="1" t="s">
        <v>170</v>
      </c>
      <c r="Z151" s="0" t="n">
        <f aca="false">I151-23</f>
        <v>71.8</v>
      </c>
      <c r="AB151" s="0" t="n">
        <f aca="false">IF(Z151&lt;0,Z151+360,Z151+0)</f>
        <v>71.8</v>
      </c>
    </row>
    <row r="152" customFormat="false" ht="15.8" hidden="false" customHeight="false" outlineLevel="0" collapsed="false">
      <c r="A152" s="1" t="n">
        <v>3</v>
      </c>
      <c r="B152" s="1" t="n">
        <v>2</v>
      </c>
      <c r="C152" s="1" t="n">
        <v>2.1</v>
      </c>
      <c r="D152" s="1" t="n">
        <v>1.3807</v>
      </c>
      <c r="E152" s="1" t="n">
        <v>0.0576231</v>
      </c>
      <c r="F152" s="1" t="n">
        <v>0.000125392</v>
      </c>
      <c r="G152" s="1" t="s">
        <v>27</v>
      </c>
      <c r="H152" s="1" t="n">
        <v>44.3</v>
      </c>
      <c r="I152" s="1" t="n">
        <v>92</v>
      </c>
      <c r="J152" s="1" t="n">
        <v>14</v>
      </c>
      <c r="K152" s="1"/>
      <c r="L152" s="1" t="n">
        <v>0</v>
      </c>
      <c r="M152" s="1" t="n">
        <v>0</v>
      </c>
      <c r="N152" s="1" t="s">
        <v>170</v>
      </c>
      <c r="Z152" s="0" t="n">
        <f aca="false">I152-23</f>
        <v>69</v>
      </c>
      <c r="AB152" s="0" t="n">
        <f aca="false">IF(Z152&lt;0,Z152+360,Z152+0)</f>
        <v>69</v>
      </c>
    </row>
    <row r="153" customFormat="false" ht="15.8" hidden="false" customHeight="false" outlineLevel="0" collapsed="false">
      <c r="A153" s="1" t="n">
        <v>3</v>
      </c>
      <c r="B153" s="1" t="n">
        <v>1</v>
      </c>
      <c r="C153" s="1" t="n">
        <v>3.8</v>
      </c>
      <c r="D153" s="1" t="n">
        <v>1.1418</v>
      </c>
      <c r="E153" s="1" t="n">
        <v>0.103979</v>
      </c>
      <c r="F153" s="1" t="n">
        <v>0.000226265</v>
      </c>
      <c r="G153" s="1" t="s">
        <v>37</v>
      </c>
      <c r="H153" s="1"/>
      <c r="I153" s="1" t="n">
        <v>56.5</v>
      </c>
      <c r="J153" s="1" t="n">
        <v>-12.8</v>
      </c>
      <c r="K153" s="1" t="n">
        <v>44.3</v>
      </c>
      <c r="L153" s="1" t="n">
        <v>0</v>
      </c>
      <c r="M153" s="1" t="n">
        <v>0</v>
      </c>
      <c r="N153" s="1" t="s">
        <v>173</v>
      </c>
      <c r="Z153" s="0" t="n">
        <f aca="false">I153-23</f>
        <v>33.5</v>
      </c>
      <c r="AB153" s="0" t="n">
        <f aca="false">IF(Z153&lt;0,Z153+360,Z153+0)</f>
        <v>33.5</v>
      </c>
    </row>
    <row r="154" customFormat="false" ht="15.8" hidden="false" customHeight="false" outlineLevel="0" collapsed="false">
      <c r="A154" s="1" t="n">
        <v>4</v>
      </c>
      <c r="B154" s="1" t="n">
        <v>1</v>
      </c>
      <c r="C154" s="1" t="n">
        <v>2.8</v>
      </c>
      <c r="D154" s="1" t="n">
        <v>1.4197</v>
      </c>
      <c r="E154" s="1" t="n">
        <v>0.0770394</v>
      </c>
      <c r="F154" s="1" t="n">
        <v>0.000167643</v>
      </c>
      <c r="G154" s="1" t="s">
        <v>27</v>
      </c>
      <c r="H154" s="1"/>
      <c r="I154" s="1" t="n">
        <v>102.1</v>
      </c>
      <c r="J154" s="1" t="n">
        <v>10.7</v>
      </c>
      <c r="K154" s="1"/>
      <c r="L154" s="1" t="n">
        <v>0</v>
      </c>
      <c r="M154" s="1" t="n">
        <v>0</v>
      </c>
      <c r="N154" s="1" t="s">
        <v>174</v>
      </c>
      <c r="Z154" s="0" t="n">
        <f aca="false">I154-23</f>
        <v>79.1</v>
      </c>
      <c r="AB154" s="0" t="n">
        <f aca="false">IF(Z154&lt;0,Z154+360,Z154+0)</f>
        <v>79.1</v>
      </c>
    </row>
    <row r="155" customFormat="false" ht="15.8" hidden="false" customHeight="false" outlineLevel="0" collapsed="false">
      <c r="A155" s="1" t="n">
        <v>5</v>
      </c>
      <c r="B155" s="1" t="n">
        <v>4</v>
      </c>
      <c r="C155" s="1" t="n">
        <v>3.7</v>
      </c>
      <c r="D155" s="1" t="n">
        <v>1.1656</v>
      </c>
      <c r="E155" s="1" t="n">
        <v>0.101218</v>
      </c>
      <c r="F155" s="1" t="n">
        <v>0.000220258</v>
      </c>
      <c r="G155" s="1" t="s">
        <v>27</v>
      </c>
      <c r="H155" s="1" t="n">
        <v>54.3</v>
      </c>
      <c r="I155" s="1" t="n">
        <v>267.5</v>
      </c>
      <c r="J155" s="1" t="n">
        <v>-6.7</v>
      </c>
      <c r="K155" s="1"/>
      <c r="L155" s="1" t="n">
        <v>0</v>
      </c>
      <c r="M155" s="1" t="n">
        <v>0</v>
      </c>
      <c r="N155" s="1" t="s">
        <v>175</v>
      </c>
      <c r="Z155" s="0" t="n">
        <f aca="false">I155-23</f>
        <v>244.5</v>
      </c>
      <c r="AB155" s="0" t="n">
        <f aca="false">IF(Z155&lt;0,Z155+360,Z155+0)</f>
        <v>244.5</v>
      </c>
    </row>
    <row r="156" customFormat="false" ht="15.8" hidden="false" customHeight="false" outlineLevel="0" collapsed="false">
      <c r="A156" s="1" t="n">
        <v>5</v>
      </c>
      <c r="B156" s="1" t="n">
        <v>4</v>
      </c>
      <c r="C156" s="1" t="n">
        <v>0.8</v>
      </c>
      <c r="D156" s="1" t="n">
        <v>1.0051</v>
      </c>
      <c r="E156" s="1" t="n">
        <v>0.0225692</v>
      </c>
      <c r="F156" s="1" t="n">
        <v>4.91122E-005</v>
      </c>
      <c r="G156" s="1" t="s">
        <v>27</v>
      </c>
      <c r="H156" s="1" t="n">
        <v>58.7</v>
      </c>
      <c r="I156" s="1" t="n">
        <v>4.9</v>
      </c>
      <c r="J156" s="1" t="n">
        <v>0</v>
      </c>
      <c r="K156" s="1"/>
      <c r="L156" s="1" t="n">
        <v>0</v>
      </c>
      <c r="M156" s="1" t="n">
        <v>0</v>
      </c>
      <c r="N156" s="1" t="s">
        <v>175</v>
      </c>
      <c r="Z156" s="0" t="n">
        <f aca="false">I156-23</f>
        <v>-18.1</v>
      </c>
      <c r="AB156" s="0" t="n">
        <f aca="false">IF(Z156&lt;0,Z156+360,Z156+0)</f>
        <v>341.9</v>
      </c>
    </row>
    <row r="157" customFormat="false" ht="15.8" hidden="false" customHeight="false" outlineLevel="0" collapsed="false">
      <c r="A157" s="1" t="n">
        <v>5</v>
      </c>
      <c r="B157" s="1" t="n">
        <v>3</v>
      </c>
      <c r="C157" s="1" t="n">
        <v>1</v>
      </c>
      <c r="D157" s="1" t="n">
        <v>1.2222</v>
      </c>
      <c r="E157" s="1" t="n">
        <v>0.0264705</v>
      </c>
      <c r="F157" s="1" t="n">
        <v>5.76017E-005</v>
      </c>
      <c r="G157" s="1" t="s">
        <v>37</v>
      </c>
      <c r="H157" s="1" t="n">
        <v>107.6</v>
      </c>
      <c r="I157" s="1" t="n">
        <v>310.8</v>
      </c>
      <c r="J157" s="1" t="n">
        <v>27.8</v>
      </c>
      <c r="K157" s="1" t="n">
        <v>58.7</v>
      </c>
      <c r="L157" s="1" t="n">
        <v>0</v>
      </c>
      <c r="M157" s="1" t="n">
        <v>0</v>
      </c>
      <c r="N157" s="1" t="s">
        <v>176</v>
      </c>
      <c r="Z157" s="0" t="n">
        <f aca="false">I157-23</f>
        <v>287.8</v>
      </c>
      <c r="AB157" s="0" t="n">
        <f aca="false">IF(Z157&lt;0,Z157+360,Z157+0)</f>
        <v>287.8</v>
      </c>
    </row>
    <row r="158" customFormat="false" ht="15.8" hidden="false" customHeight="false" outlineLevel="0" collapsed="false">
      <c r="A158" s="1" t="n">
        <v>5</v>
      </c>
      <c r="B158" s="1" t="n">
        <v>4</v>
      </c>
      <c r="C158" s="1" t="n">
        <v>4.4</v>
      </c>
      <c r="D158" s="1" t="n">
        <v>1.213</v>
      </c>
      <c r="E158" s="1" t="n">
        <v>0.121484</v>
      </c>
      <c r="F158" s="1" t="n">
        <v>0.000264359</v>
      </c>
      <c r="G158" s="1" t="s">
        <v>27</v>
      </c>
      <c r="H158" s="1" t="n">
        <v>25.2</v>
      </c>
      <c r="I158" s="1" t="n">
        <v>82.8</v>
      </c>
      <c r="J158" s="1" t="n">
        <v>-11.7</v>
      </c>
      <c r="K158" s="1"/>
      <c r="L158" s="1" t="n">
        <v>0</v>
      </c>
      <c r="M158" s="1" t="n">
        <v>0</v>
      </c>
      <c r="N158" s="1" t="s">
        <v>177</v>
      </c>
      <c r="Z158" s="0" t="n">
        <f aca="false">I158-23</f>
        <v>59.8</v>
      </c>
      <c r="AB158" s="0" t="n">
        <f aca="false">IF(Z158&lt;0,Z158+360,Z158+0)</f>
        <v>59.8</v>
      </c>
    </row>
    <row r="159" customFormat="false" ht="15.8" hidden="false" customHeight="false" outlineLevel="0" collapsed="false">
      <c r="A159" s="1" t="n">
        <v>5</v>
      </c>
      <c r="B159" s="1" t="n">
        <v>10</v>
      </c>
      <c r="C159" s="1" t="n">
        <v>1</v>
      </c>
      <c r="D159" s="1" t="n">
        <v>1.2514</v>
      </c>
      <c r="E159" s="1" t="n">
        <v>0.0274563</v>
      </c>
      <c r="F159" s="1" t="n">
        <v>5.97468E-005</v>
      </c>
      <c r="G159" s="1" t="s">
        <v>27</v>
      </c>
      <c r="H159" s="1" t="n">
        <v>51.3</v>
      </c>
      <c r="I159" s="1" t="n">
        <v>118.5</v>
      </c>
      <c r="J159" s="1" t="n">
        <v>0</v>
      </c>
      <c r="K159" s="1"/>
      <c r="L159" s="1" t="n">
        <v>0</v>
      </c>
      <c r="M159" s="1" t="n">
        <v>0</v>
      </c>
      <c r="N159" s="1" t="s">
        <v>178</v>
      </c>
      <c r="Z159" s="0" t="n">
        <f aca="false">I159-23</f>
        <v>95.5</v>
      </c>
      <c r="AB159" s="0" t="n">
        <f aca="false">IF(Z159&lt;0,Z159+360,Z159+0)</f>
        <v>95.5</v>
      </c>
    </row>
    <row r="160" customFormat="false" ht="15.8" hidden="false" customHeight="false" outlineLevel="0" collapsed="false">
      <c r="A160" s="1" t="n">
        <v>5</v>
      </c>
      <c r="B160" s="1" t="n">
        <v>10</v>
      </c>
      <c r="C160" s="1" t="n">
        <v>1.6</v>
      </c>
      <c r="D160" s="1" t="n">
        <v>1.883</v>
      </c>
      <c r="E160" s="1" t="n">
        <v>0.0424081</v>
      </c>
      <c r="F160" s="1" t="n">
        <v>9.22831E-005</v>
      </c>
      <c r="G160" s="1" t="s">
        <v>27</v>
      </c>
      <c r="H160" s="1" t="n">
        <v>111.3</v>
      </c>
      <c r="I160" s="1" t="n">
        <v>332.5</v>
      </c>
      <c r="J160" s="1" t="n">
        <v>-26.7</v>
      </c>
      <c r="K160" s="1"/>
      <c r="L160" s="1" t="n">
        <v>0</v>
      </c>
      <c r="M160" s="1" t="n">
        <v>0</v>
      </c>
      <c r="N160" s="1" t="s">
        <v>178</v>
      </c>
      <c r="Z160" s="0" t="n">
        <f aca="false">I160-23</f>
        <v>309.5</v>
      </c>
      <c r="AB160" s="0" t="n">
        <f aca="false">IF(Z160&lt;0,Z160+360,Z160+0)</f>
        <v>309.5</v>
      </c>
    </row>
    <row r="161" customFormat="false" ht="15.8" hidden="false" customHeight="false" outlineLevel="0" collapsed="false">
      <c r="A161" s="1" t="n">
        <v>5</v>
      </c>
      <c r="B161" s="1" t="n">
        <v>9</v>
      </c>
      <c r="C161" s="1" t="n">
        <v>2.4</v>
      </c>
      <c r="D161" s="1" t="n">
        <v>1.5356</v>
      </c>
      <c r="E161" s="1" t="n">
        <v>0.0660541</v>
      </c>
      <c r="F161" s="1" t="n">
        <v>0.000143738</v>
      </c>
      <c r="G161" s="1" t="s">
        <v>37</v>
      </c>
      <c r="H161" s="1" t="n">
        <v>57.9</v>
      </c>
      <c r="I161" s="1" t="n">
        <v>73.6</v>
      </c>
      <c r="J161" s="1" t="n">
        <v>28.1</v>
      </c>
      <c r="K161" s="1" t="n">
        <v>111.3</v>
      </c>
      <c r="L161" s="1" t="n">
        <v>0</v>
      </c>
      <c r="M161" s="1" t="n">
        <v>0</v>
      </c>
      <c r="N161" s="1" t="s">
        <v>179</v>
      </c>
      <c r="Z161" s="0" t="n">
        <f aca="false">I161-23</f>
        <v>50.6</v>
      </c>
      <c r="AB161" s="0" t="n">
        <f aca="false">IF(Z161&lt;0,Z161+360,Z161+0)</f>
        <v>50.6</v>
      </c>
    </row>
    <row r="162" customFormat="false" ht="15.8" hidden="false" customHeight="false" outlineLevel="0" collapsed="false">
      <c r="A162" s="1" t="n">
        <v>5</v>
      </c>
      <c r="B162" s="1" t="n">
        <v>9</v>
      </c>
      <c r="C162" s="1" t="n">
        <v>1.7</v>
      </c>
      <c r="D162" s="1" t="n">
        <v>1.2115</v>
      </c>
      <c r="E162" s="1" t="n">
        <v>0.0471329</v>
      </c>
      <c r="F162" s="1" t="n">
        <v>0.000102564</v>
      </c>
      <c r="G162" s="1" t="s">
        <v>27</v>
      </c>
      <c r="H162" s="1" t="n">
        <v>109.3</v>
      </c>
      <c r="I162" s="1" t="n">
        <v>148.5</v>
      </c>
      <c r="J162" s="1" t="n">
        <v>31.3</v>
      </c>
      <c r="K162" s="1"/>
      <c r="L162" s="1" t="n">
        <v>0</v>
      </c>
      <c r="M162" s="1" t="n">
        <v>0</v>
      </c>
      <c r="N162" s="1" t="s">
        <v>179</v>
      </c>
      <c r="Z162" s="0" t="n">
        <f aca="false">I162-23</f>
        <v>125.5</v>
      </c>
      <c r="AB162" s="0" t="n">
        <f aca="false">IF(Z162&lt;0,Z162+360,Z162+0)</f>
        <v>125.5</v>
      </c>
    </row>
    <row r="163" customFormat="false" ht="15.8" hidden="false" customHeight="false" outlineLevel="0" collapsed="false">
      <c r="A163" s="1" t="n">
        <v>5</v>
      </c>
      <c r="B163" s="1" t="n">
        <v>8</v>
      </c>
      <c r="C163" s="1" t="n">
        <v>1</v>
      </c>
      <c r="D163" s="1" t="n">
        <v>1.1785</v>
      </c>
      <c r="E163" s="1" t="n">
        <v>0.0277925</v>
      </c>
      <c r="F163" s="1" t="n">
        <v>6.04784E-005</v>
      </c>
      <c r="G163" s="1" t="s">
        <v>37</v>
      </c>
      <c r="H163" s="1" t="n">
        <v>15.3</v>
      </c>
      <c r="I163" s="1" t="n">
        <v>50.4</v>
      </c>
      <c r="J163" s="1" t="n">
        <v>-25.4</v>
      </c>
      <c r="K163" s="1" t="n">
        <v>109.3</v>
      </c>
      <c r="L163" s="1" t="n">
        <v>0</v>
      </c>
      <c r="M163" s="1" t="n">
        <v>0</v>
      </c>
      <c r="N163" s="1" t="s">
        <v>180</v>
      </c>
      <c r="Z163" s="0" t="n">
        <f aca="false">I163-23</f>
        <v>27.4</v>
      </c>
      <c r="AB163" s="0" t="n">
        <f aca="false">IF(Z163&lt;0,Z163+360,Z163+0)</f>
        <v>27.4</v>
      </c>
    </row>
    <row r="164" customFormat="false" ht="15.8" hidden="false" customHeight="false" outlineLevel="0" collapsed="false">
      <c r="A164" s="1" t="n">
        <v>5</v>
      </c>
      <c r="B164" s="1" t="n">
        <v>8</v>
      </c>
      <c r="C164" s="1" t="n">
        <v>0.8</v>
      </c>
      <c r="D164" s="1" t="n">
        <v>1.0153</v>
      </c>
      <c r="E164" s="1" t="n">
        <v>0.0224235</v>
      </c>
      <c r="F164" s="1" t="n">
        <v>4.87951E-005</v>
      </c>
      <c r="G164" s="1" t="s">
        <v>27</v>
      </c>
      <c r="H164" s="1" t="n">
        <v>99.5</v>
      </c>
      <c r="I164" s="1" t="n">
        <v>300.4</v>
      </c>
      <c r="J164" s="1" t="n">
        <v>0</v>
      </c>
      <c r="K164" s="1"/>
      <c r="L164" s="1" t="n">
        <v>0</v>
      </c>
      <c r="M164" s="1" t="n">
        <v>0</v>
      </c>
      <c r="N164" s="1" t="s">
        <v>180</v>
      </c>
      <c r="Z164" s="0" t="n">
        <f aca="false">I164-23</f>
        <v>277.4</v>
      </c>
      <c r="AB164" s="0" t="n">
        <f aca="false">IF(Z164&lt;0,Z164+360,Z164+0)</f>
        <v>277.4</v>
      </c>
    </row>
    <row r="165" customFormat="false" ht="15.8" hidden="false" customHeight="false" outlineLevel="0" collapsed="false">
      <c r="A165" s="1" t="n">
        <v>5</v>
      </c>
      <c r="B165" s="1" t="n">
        <v>7</v>
      </c>
      <c r="C165" s="1" t="n">
        <v>4</v>
      </c>
      <c r="D165" s="1" t="n">
        <v>1.2533</v>
      </c>
      <c r="E165" s="1" t="n">
        <v>0.108427</v>
      </c>
      <c r="F165" s="1" t="n">
        <v>0.000235946</v>
      </c>
      <c r="G165" s="1" t="s">
        <v>37</v>
      </c>
      <c r="H165" s="1" t="n">
        <v>50.3</v>
      </c>
      <c r="I165" s="1" t="n">
        <v>40.2</v>
      </c>
      <c r="J165" s="1" t="n">
        <v>-13.5</v>
      </c>
      <c r="K165" s="1" t="n">
        <v>99.5</v>
      </c>
      <c r="L165" s="1" t="n">
        <v>0</v>
      </c>
      <c r="M165" s="1" t="n">
        <v>0</v>
      </c>
      <c r="N165" s="1" t="s">
        <v>181</v>
      </c>
      <c r="Z165" s="0" t="n">
        <f aca="false">I165-23</f>
        <v>17.2</v>
      </c>
      <c r="AB165" s="0" t="n">
        <f aca="false">IF(Z165&lt;0,Z165+360,Z165+0)</f>
        <v>17.2</v>
      </c>
    </row>
    <row r="166" customFormat="false" ht="15.8" hidden="false" customHeight="false" outlineLevel="0" collapsed="false">
      <c r="A166" s="1" t="n">
        <v>5</v>
      </c>
      <c r="B166" s="1" t="n">
        <v>7</v>
      </c>
      <c r="C166" s="1" t="n">
        <v>2.1</v>
      </c>
      <c r="D166" s="1" t="n">
        <v>1.3131</v>
      </c>
      <c r="E166" s="1" t="n">
        <v>0.0570337</v>
      </c>
      <c r="F166" s="1" t="n">
        <v>0.000124109</v>
      </c>
      <c r="G166" s="1" t="s">
        <v>27</v>
      </c>
      <c r="H166" s="1" t="n">
        <v>106.7</v>
      </c>
      <c r="I166" s="1" t="n">
        <v>242.3</v>
      </c>
      <c r="J166" s="1" t="n">
        <v>27.8</v>
      </c>
      <c r="K166" s="1"/>
      <c r="L166" s="1" t="n">
        <v>0</v>
      </c>
      <c r="M166" s="1" t="n">
        <v>0</v>
      </c>
      <c r="N166" s="1" t="s">
        <v>181</v>
      </c>
      <c r="Z166" s="0" t="n">
        <f aca="false">I166-23</f>
        <v>219.3</v>
      </c>
      <c r="AB166" s="0" t="n">
        <f aca="false">IF(Z166&lt;0,Z166+360,Z166+0)</f>
        <v>219.3</v>
      </c>
    </row>
    <row r="167" customFormat="false" ht="15.8" hidden="false" customHeight="false" outlineLevel="0" collapsed="false">
      <c r="A167" s="1" t="n">
        <v>5</v>
      </c>
      <c r="B167" s="1" t="n">
        <v>6</v>
      </c>
      <c r="C167" s="1" t="n">
        <v>1</v>
      </c>
      <c r="D167" s="1" t="n">
        <v>1.1014</v>
      </c>
      <c r="E167" s="1" t="n">
        <v>0.0259913</v>
      </c>
      <c r="F167" s="1" t="n">
        <v>5.6559E-005</v>
      </c>
      <c r="G167" s="1" t="s">
        <v>37</v>
      </c>
      <c r="H167" s="1" t="n">
        <v>29.6</v>
      </c>
      <c r="I167" s="1" t="n">
        <v>351.3</v>
      </c>
      <c r="J167" s="1" t="n">
        <v>0</v>
      </c>
      <c r="K167" s="1" t="n">
        <v>106.7</v>
      </c>
      <c r="L167" s="1" t="n">
        <v>0</v>
      </c>
      <c r="M167" s="1" t="n">
        <v>0</v>
      </c>
      <c r="N167" s="1" t="s">
        <v>182</v>
      </c>
      <c r="Z167" s="0" t="n">
        <f aca="false">I167-23</f>
        <v>328.3</v>
      </c>
      <c r="AB167" s="0" t="n">
        <f aca="false">IF(Z167&lt;0,Z167+360,Z167+0)</f>
        <v>328.3</v>
      </c>
    </row>
    <row r="168" customFormat="false" ht="15.8" hidden="false" customHeight="false" outlineLevel="0" collapsed="false">
      <c r="A168" s="1" t="n">
        <v>5</v>
      </c>
      <c r="B168" s="1" t="n">
        <v>6</v>
      </c>
      <c r="C168" s="1" t="n">
        <v>3.8</v>
      </c>
      <c r="D168" s="1" t="n">
        <v>1.6686</v>
      </c>
      <c r="E168" s="1" t="n">
        <v>0.103485</v>
      </c>
      <c r="F168" s="1" t="n">
        <v>0.000225191</v>
      </c>
      <c r="G168" s="1" t="s">
        <v>27</v>
      </c>
      <c r="H168" s="1" t="n">
        <v>124.3</v>
      </c>
      <c r="I168" s="1" t="n">
        <v>176.2</v>
      </c>
      <c r="J168" s="1" t="n">
        <v>-40.7</v>
      </c>
      <c r="K168" s="1"/>
      <c r="L168" s="1" t="n">
        <v>0</v>
      </c>
      <c r="M168" s="1" t="n">
        <v>0</v>
      </c>
      <c r="N168" s="1" t="s">
        <v>182</v>
      </c>
      <c r="Z168" s="0" t="n">
        <f aca="false">I168-23</f>
        <v>153.2</v>
      </c>
      <c r="AB168" s="0" t="n">
        <f aca="false">IF(Z168&lt;0,Z168+360,Z168+0)</f>
        <v>153.2</v>
      </c>
    </row>
    <row r="169" customFormat="false" ht="15.8" hidden="false" customHeight="false" outlineLevel="0" collapsed="false">
      <c r="A169" s="1" t="n">
        <v>5</v>
      </c>
      <c r="B169" s="1" t="n">
        <v>5</v>
      </c>
      <c r="C169" s="1" t="n">
        <v>2.4</v>
      </c>
      <c r="D169" s="1" t="n">
        <v>1.206</v>
      </c>
      <c r="E169" s="1" t="n">
        <v>0.0652422</v>
      </c>
      <c r="F169" s="1" t="n">
        <v>0.000141972</v>
      </c>
      <c r="G169" s="1" t="s">
        <v>37</v>
      </c>
      <c r="H169" s="1" t="n">
        <v>8.1</v>
      </c>
      <c r="I169" s="1" t="n">
        <v>19.1</v>
      </c>
      <c r="J169" s="1" t="n">
        <v>-10.8</v>
      </c>
      <c r="K169" s="1" t="n">
        <v>124.3</v>
      </c>
      <c r="L169" s="1" t="n">
        <v>0</v>
      </c>
      <c r="M169" s="1" t="n">
        <v>0</v>
      </c>
      <c r="N169" s="1" t="s">
        <v>183</v>
      </c>
      <c r="Z169" s="0" t="n">
        <f aca="false">I169-23</f>
        <v>-3.9</v>
      </c>
      <c r="AB169" s="0" t="n">
        <f aca="false">IF(Z169&lt;0,Z169+360,Z169+0)</f>
        <v>356.1</v>
      </c>
    </row>
    <row r="170" customFormat="false" ht="15.8" hidden="false" customHeight="false" outlineLevel="0" collapsed="false">
      <c r="A170" s="1" t="n">
        <v>5</v>
      </c>
      <c r="B170" s="1" t="n">
        <v>5</v>
      </c>
      <c r="C170" s="1" t="n">
        <v>1.3</v>
      </c>
      <c r="D170" s="1" t="n">
        <v>1.3299</v>
      </c>
      <c r="E170" s="1" t="n">
        <v>0.0350752</v>
      </c>
      <c r="F170" s="1" t="n">
        <v>7.6326E-005</v>
      </c>
      <c r="G170" s="1" t="s">
        <v>27</v>
      </c>
      <c r="H170" s="1" t="n">
        <v>101.4</v>
      </c>
      <c r="I170" s="1" t="n">
        <v>267.6</v>
      </c>
      <c r="J170" s="1" t="n">
        <v>-50.1</v>
      </c>
      <c r="K170" s="1"/>
      <c r="L170" s="1" t="n">
        <v>0</v>
      </c>
      <c r="M170" s="1" t="n">
        <v>0</v>
      </c>
      <c r="N170" s="1" t="s">
        <v>183</v>
      </c>
      <c r="Z170" s="0" t="n">
        <f aca="false">I170-23</f>
        <v>244.6</v>
      </c>
      <c r="AB170" s="0" t="n">
        <f aca="false">IF(Z170&lt;0,Z170+360,Z170+0)</f>
        <v>244.6</v>
      </c>
    </row>
    <row r="171" customFormat="false" ht="15.8" hidden="false" customHeight="false" outlineLevel="0" collapsed="false">
      <c r="A171" s="1" t="n">
        <v>5</v>
      </c>
      <c r="B171" s="1" t="n">
        <v>4</v>
      </c>
      <c r="C171" s="1" t="n">
        <v>3</v>
      </c>
      <c r="D171" s="1" t="n">
        <v>1.1853</v>
      </c>
      <c r="E171" s="1" t="n">
        <v>0.0818857</v>
      </c>
      <c r="F171" s="1" t="n">
        <v>0.000178189</v>
      </c>
      <c r="G171" s="1" t="s">
        <v>37</v>
      </c>
      <c r="H171" s="1" t="n">
        <v>78.6</v>
      </c>
      <c r="I171" s="1" t="n">
        <v>26.9</v>
      </c>
      <c r="J171" s="1" t="n">
        <v>-8.4</v>
      </c>
      <c r="K171" s="1" t="n">
        <v>101.4</v>
      </c>
      <c r="L171" s="1" t="n">
        <v>0</v>
      </c>
      <c r="M171" s="1" t="n">
        <v>0</v>
      </c>
      <c r="N171" s="1" t="s">
        <v>177</v>
      </c>
      <c r="Z171" s="0" t="n">
        <f aca="false">I171-23</f>
        <v>3.9</v>
      </c>
      <c r="AB171" s="0" t="n">
        <f aca="false">IF(Z171&lt;0,Z171+360,Z171+0)</f>
        <v>3.9</v>
      </c>
    </row>
    <row r="172" customFormat="false" ht="15.8" hidden="false" customHeight="false" outlineLevel="0" collapsed="false">
      <c r="A172" s="1" t="n">
        <v>5</v>
      </c>
      <c r="B172" s="1" t="n">
        <v>3</v>
      </c>
      <c r="C172" s="1" t="n">
        <v>0.7</v>
      </c>
      <c r="D172" s="1" t="n">
        <v>1.0351</v>
      </c>
      <c r="E172" s="1" t="n">
        <v>0.0189418</v>
      </c>
      <c r="F172" s="1" t="n">
        <v>4.12186E-005</v>
      </c>
      <c r="G172" s="1" t="s">
        <v>37</v>
      </c>
      <c r="H172" s="1" t="n">
        <v>90.7</v>
      </c>
      <c r="I172" s="1" t="n">
        <v>105.4</v>
      </c>
      <c r="J172" s="1" t="n">
        <v>0</v>
      </c>
      <c r="K172" s="1" t="n">
        <v>78.6</v>
      </c>
      <c r="L172" s="1" t="n">
        <v>0</v>
      </c>
      <c r="M172" s="1" t="n">
        <v>0</v>
      </c>
      <c r="N172" s="1" t="s">
        <v>176</v>
      </c>
      <c r="Z172" s="0" t="n">
        <f aca="false">I172-23</f>
        <v>82.4</v>
      </c>
      <c r="AB172" s="0" t="n">
        <f aca="false">IF(Z172&lt;0,Z172+360,Z172+0)</f>
        <v>82.4</v>
      </c>
    </row>
    <row r="173" customFormat="false" ht="15.8" hidden="false" customHeight="false" outlineLevel="0" collapsed="false">
      <c r="A173" s="1" t="n">
        <v>5</v>
      </c>
      <c r="B173" s="1" t="n">
        <v>2</v>
      </c>
      <c r="C173" s="1" t="n">
        <v>1.6</v>
      </c>
      <c r="D173" s="1" t="n">
        <v>1.0105</v>
      </c>
      <c r="E173" s="1" t="n">
        <v>0.0434209</v>
      </c>
      <c r="F173" s="1" t="n">
        <v>9.44869E-005</v>
      </c>
      <c r="G173" s="1" t="s">
        <v>37</v>
      </c>
      <c r="H173" s="1" t="n">
        <v>49.2</v>
      </c>
      <c r="I173" s="1" t="n">
        <v>13.3</v>
      </c>
      <c r="J173" s="1" t="n">
        <v>-70.4</v>
      </c>
      <c r="K173" s="1" t="n">
        <v>107.6</v>
      </c>
      <c r="L173" s="1" t="n">
        <v>0</v>
      </c>
      <c r="M173" s="1" t="n">
        <v>0</v>
      </c>
      <c r="N173" s="1" t="s">
        <v>184</v>
      </c>
      <c r="Z173" s="0" t="n">
        <f aca="false">I173-23</f>
        <v>-9.7</v>
      </c>
      <c r="AB173" s="0" t="n">
        <f aca="false">IF(Z173&lt;0,Z173+360,Z173+0)</f>
        <v>350.3</v>
      </c>
    </row>
    <row r="174" customFormat="false" ht="15.8" hidden="false" customHeight="false" outlineLevel="0" collapsed="false">
      <c r="A174" s="1" t="n">
        <v>5</v>
      </c>
      <c r="B174" s="1" t="n">
        <v>2</v>
      </c>
      <c r="C174" s="1" t="n">
        <v>0.7</v>
      </c>
      <c r="D174" s="1" t="n">
        <v>1.0083</v>
      </c>
      <c r="E174" s="1" t="n">
        <v>0.0188983</v>
      </c>
      <c r="F174" s="1" t="n">
        <v>4.1124E-005</v>
      </c>
      <c r="G174" s="1" t="s">
        <v>27</v>
      </c>
      <c r="H174" s="1" t="n">
        <v>62</v>
      </c>
      <c r="I174" s="1" t="n">
        <v>107.7</v>
      </c>
      <c r="J174" s="1" t="n">
        <v>0</v>
      </c>
      <c r="K174" s="1"/>
      <c r="L174" s="1" t="n">
        <v>0</v>
      </c>
      <c r="M174" s="1" t="n">
        <v>0</v>
      </c>
      <c r="N174" s="1" t="s">
        <v>184</v>
      </c>
      <c r="Z174" s="0" t="n">
        <f aca="false">I174-23</f>
        <v>84.7</v>
      </c>
      <c r="AB174" s="0" t="n">
        <f aca="false">IF(Z174&lt;0,Z174+360,Z174+0)</f>
        <v>84.7</v>
      </c>
    </row>
    <row r="175" customFormat="false" ht="15.8" hidden="false" customHeight="false" outlineLevel="0" collapsed="false">
      <c r="A175" s="1" t="n">
        <v>5</v>
      </c>
      <c r="B175" s="1" t="n">
        <v>1</v>
      </c>
      <c r="C175" s="1" t="n">
        <v>1</v>
      </c>
      <c r="D175" s="1" t="n">
        <v>1.1633</v>
      </c>
      <c r="E175" s="1" t="n">
        <v>0.0272139</v>
      </c>
      <c r="F175" s="1" t="n">
        <v>5.92194E-005</v>
      </c>
      <c r="G175" s="1" t="s">
        <v>37</v>
      </c>
      <c r="H175" s="1"/>
      <c r="I175" s="1" t="n">
        <v>49.1</v>
      </c>
      <c r="J175" s="1" t="n">
        <v>-25.6</v>
      </c>
      <c r="K175" s="1" t="n">
        <v>62</v>
      </c>
      <c r="L175" s="1" t="n">
        <v>0</v>
      </c>
      <c r="M175" s="1" t="n">
        <v>0</v>
      </c>
      <c r="N175" s="1" t="s">
        <v>185</v>
      </c>
      <c r="Z175" s="0" t="n">
        <f aca="false">I175-23</f>
        <v>26.1</v>
      </c>
      <c r="AB175" s="0" t="n">
        <f aca="false">IF(Z175&lt;0,Z175+360,Z175+0)</f>
        <v>26.1</v>
      </c>
    </row>
    <row r="176" customFormat="false" ht="15.8" hidden="false" customHeight="false" outlineLevel="0" collapsed="false">
      <c r="A176" s="1" t="n">
        <v>6</v>
      </c>
      <c r="B176" s="1" t="n">
        <v>6</v>
      </c>
      <c r="C176" s="1" t="n">
        <v>4</v>
      </c>
      <c r="D176" s="1" t="n">
        <v>1.335</v>
      </c>
      <c r="E176" s="1" t="n">
        <v>0.112256</v>
      </c>
      <c r="F176" s="1" t="n">
        <v>0.00025054</v>
      </c>
      <c r="G176" s="1" t="s">
        <v>27</v>
      </c>
      <c r="H176" s="1" t="n">
        <v>50.2</v>
      </c>
      <c r="I176" s="1" t="n">
        <v>211.5</v>
      </c>
      <c r="J176" s="1" t="n">
        <v>21.7</v>
      </c>
      <c r="K176" s="1"/>
      <c r="L176" s="1" t="n">
        <v>0</v>
      </c>
      <c r="M176" s="1" t="n">
        <v>0</v>
      </c>
      <c r="N176" s="1" t="s">
        <v>186</v>
      </c>
      <c r="Z176" s="0" t="n">
        <f aca="false">I176-23</f>
        <v>188.5</v>
      </c>
      <c r="AB176" s="0" t="n">
        <f aca="false">IF(Z176&lt;0,Z176+360,Z176+0)</f>
        <v>188.5</v>
      </c>
    </row>
    <row r="177" customFormat="false" ht="15.8" hidden="false" customHeight="false" outlineLevel="0" collapsed="false">
      <c r="A177" s="1" t="n">
        <v>6</v>
      </c>
      <c r="B177" s="1" t="n">
        <v>7</v>
      </c>
      <c r="C177" s="1" t="n">
        <v>2.4</v>
      </c>
      <c r="D177" s="1" t="n">
        <v>1.1576</v>
      </c>
      <c r="E177" s="1" t="n">
        <v>0.0679759</v>
      </c>
      <c r="F177" s="1" t="n">
        <v>0.000151713</v>
      </c>
      <c r="G177" s="1" t="s">
        <v>27</v>
      </c>
      <c r="H177" s="1" t="n">
        <v>68</v>
      </c>
      <c r="I177" s="1" t="n">
        <v>38</v>
      </c>
      <c r="J177" s="1" t="n">
        <v>-10.2</v>
      </c>
      <c r="K177" s="1"/>
      <c r="L177" s="1" t="n">
        <v>0</v>
      </c>
      <c r="M177" s="1" t="n">
        <v>0</v>
      </c>
      <c r="N177" s="1" t="s">
        <v>187</v>
      </c>
      <c r="Z177" s="0" t="n">
        <f aca="false">I177-23</f>
        <v>15</v>
      </c>
      <c r="AB177" s="0" t="n">
        <f aca="false">IF(Z177&lt;0,Z177+360,Z177+0)</f>
        <v>15</v>
      </c>
    </row>
    <row r="178" customFormat="false" ht="15.8" hidden="false" customHeight="false" outlineLevel="0" collapsed="false">
      <c r="A178" s="1" t="n">
        <v>6</v>
      </c>
      <c r="B178" s="1" t="n">
        <v>7</v>
      </c>
      <c r="C178" s="1" t="n">
        <v>0.9</v>
      </c>
      <c r="D178" s="1" t="n">
        <v>1.0819</v>
      </c>
      <c r="E178" s="1" t="n">
        <v>0.0256932</v>
      </c>
      <c r="F178" s="1" t="n">
        <v>5.73437E-005</v>
      </c>
      <c r="G178" s="1" t="s">
        <v>27</v>
      </c>
      <c r="H178" s="1" t="n">
        <v>61.4</v>
      </c>
      <c r="I178" s="1" t="n">
        <v>257.5</v>
      </c>
      <c r="J178" s="1" t="n">
        <v>60.9</v>
      </c>
      <c r="K178" s="1"/>
      <c r="L178" s="1" t="n">
        <v>0</v>
      </c>
      <c r="M178" s="1" t="n">
        <v>0</v>
      </c>
      <c r="N178" s="1" t="s">
        <v>187</v>
      </c>
      <c r="Z178" s="0" t="n">
        <f aca="false">I178-23</f>
        <v>234.5</v>
      </c>
      <c r="AB178" s="0" t="n">
        <f aca="false">IF(Z178&lt;0,Z178+360,Z178+0)</f>
        <v>234.5</v>
      </c>
    </row>
    <row r="179" customFormat="false" ht="15.8" hidden="false" customHeight="false" outlineLevel="0" collapsed="false">
      <c r="A179" s="1" t="n">
        <v>6</v>
      </c>
      <c r="B179" s="1" t="n">
        <v>6</v>
      </c>
      <c r="C179" s="1" t="n">
        <v>0.9</v>
      </c>
      <c r="D179" s="1" t="n">
        <v>1.1908</v>
      </c>
      <c r="E179" s="1" t="n">
        <v>0.0253747</v>
      </c>
      <c r="F179" s="1" t="n">
        <v>5.66329E-005</v>
      </c>
      <c r="G179" s="1" t="s">
        <v>37</v>
      </c>
      <c r="H179" s="1" t="n">
        <v>83.3</v>
      </c>
      <c r="I179" s="1" t="n">
        <v>340.3</v>
      </c>
      <c r="J179" s="1" t="n">
        <v>29.1</v>
      </c>
      <c r="K179" s="1" t="n">
        <v>68</v>
      </c>
      <c r="L179" s="1" t="n">
        <v>0</v>
      </c>
      <c r="M179" s="1" t="n">
        <v>0</v>
      </c>
      <c r="N179" s="1" t="s">
        <v>186</v>
      </c>
      <c r="Z179" s="0" t="n">
        <f aca="false">I179-23</f>
        <v>317.3</v>
      </c>
      <c r="AB179" s="0" t="n">
        <f aca="false">IF(Z179&lt;0,Z179+360,Z179+0)</f>
        <v>317.3</v>
      </c>
    </row>
    <row r="180" customFormat="false" ht="15.8" hidden="false" customHeight="false" outlineLevel="0" collapsed="false">
      <c r="A180" s="1" t="n">
        <v>6</v>
      </c>
      <c r="B180" s="1" t="n">
        <v>6</v>
      </c>
      <c r="C180" s="1" t="n">
        <v>3.6</v>
      </c>
      <c r="D180" s="1" t="n">
        <v>1.4407</v>
      </c>
      <c r="E180" s="1" t="n">
        <v>0.0996732</v>
      </c>
      <c r="F180" s="1" t="n">
        <v>0.000222457</v>
      </c>
      <c r="G180" s="1" t="s">
        <v>27</v>
      </c>
      <c r="H180" s="1" t="n">
        <v>21.3</v>
      </c>
      <c r="I180" s="1" t="n">
        <v>245.6</v>
      </c>
      <c r="J180" s="1" t="n">
        <v>17.5</v>
      </c>
      <c r="K180" s="1"/>
      <c r="L180" s="1" t="n">
        <v>0</v>
      </c>
      <c r="M180" s="1" t="n">
        <v>0</v>
      </c>
      <c r="N180" s="1" t="s">
        <v>186</v>
      </c>
      <c r="Z180" s="0" t="n">
        <f aca="false">I180-23</f>
        <v>222.6</v>
      </c>
      <c r="AB180" s="0" t="n">
        <f aca="false">IF(Z180&lt;0,Z180+360,Z180+0)</f>
        <v>222.6</v>
      </c>
    </row>
    <row r="181" customFormat="false" ht="15.8" hidden="false" customHeight="false" outlineLevel="0" collapsed="false">
      <c r="A181" s="1" t="n">
        <v>6</v>
      </c>
      <c r="B181" s="1" t="n">
        <v>5</v>
      </c>
      <c r="C181" s="1" t="n">
        <v>5.8</v>
      </c>
      <c r="D181" s="1" t="n">
        <v>1.1406</v>
      </c>
      <c r="E181" s="1" t="n">
        <v>0.160556</v>
      </c>
      <c r="F181" s="1" t="n">
        <v>0.000350919</v>
      </c>
      <c r="G181" s="1" t="s">
        <v>37</v>
      </c>
      <c r="H181" s="1" t="n">
        <v>13.8</v>
      </c>
      <c r="I181" s="1" t="n">
        <v>258</v>
      </c>
      <c r="J181" s="1" t="n">
        <v>0</v>
      </c>
      <c r="K181" s="1" t="n">
        <v>83.3</v>
      </c>
      <c r="L181" s="1" t="n">
        <v>0</v>
      </c>
      <c r="M181" s="1" t="n">
        <v>0</v>
      </c>
      <c r="N181" s="1" t="s">
        <v>188</v>
      </c>
      <c r="Z181" s="0" t="n">
        <f aca="false">I181-23</f>
        <v>235</v>
      </c>
      <c r="AB181" s="0" t="n">
        <f aca="false">IF(Z181&lt;0,Z181+360,Z181+0)</f>
        <v>235</v>
      </c>
    </row>
    <row r="182" customFormat="false" ht="15.8" hidden="false" customHeight="false" outlineLevel="0" collapsed="false">
      <c r="A182" s="1" t="n">
        <v>6</v>
      </c>
      <c r="B182" s="1" t="n">
        <v>5</v>
      </c>
      <c r="C182" s="1" t="n">
        <v>2.6</v>
      </c>
      <c r="D182" s="1" t="n">
        <v>1.2414</v>
      </c>
      <c r="E182" s="1" t="n">
        <v>0.0749813</v>
      </c>
      <c r="F182" s="1" t="n">
        <v>0.000174282</v>
      </c>
      <c r="G182" s="1" t="s">
        <v>27</v>
      </c>
      <c r="H182" s="1" t="n">
        <v>88</v>
      </c>
      <c r="I182" s="1" t="n">
        <v>164</v>
      </c>
      <c r="J182" s="1" t="n">
        <v>-20.8</v>
      </c>
      <c r="K182" s="1"/>
      <c r="L182" s="1" t="n">
        <v>0</v>
      </c>
      <c r="M182" s="1" t="n">
        <v>0</v>
      </c>
      <c r="N182" s="1" t="s">
        <v>188</v>
      </c>
      <c r="Z182" s="0" t="n">
        <f aca="false">I182-23</f>
        <v>141</v>
      </c>
      <c r="AB182" s="0" t="n">
        <f aca="false">IF(Z182&lt;0,Z182+360,Z182+0)</f>
        <v>141</v>
      </c>
    </row>
    <row r="183" customFormat="false" ht="15.8" hidden="false" customHeight="false" outlineLevel="0" collapsed="false">
      <c r="A183" s="1" t="n">
        <v>6</v>
      </c>
      <c r="B183" s="1" t="n">
        <v>4</v>
      </c>
      <c r="C183" s="1" t="n">
        <v>5.2</v>
      </c>
      <c r="D183" s="1" t="n">
        <v>1.1768</v>
      </c>
      <c r="E183" s="1" t="n">
        <v>0.142175</v>
      </c>
      <c r="F183" s="1" t="n">
        <v>0.000309382</v>
      </c>
      <c r="G183" s="1" t="s">
        <v>37</v>
      </c>
      <c r="H183" s="1" t="n">
        <v>35.4</v>
      </c>
      <c r="I183" s="1" t="n">
        <v>248.1</v>
      </c>
      <c r="J183" s="1" t="n">
        <v>9.6</v>
      </c>
      <c r="K183" s="1" t="n">
        <v>88</v>
      </c>
      <c r="L183" s="1" t="n">
        <v>0</v>
      </c>
      <c r="M183" s="1" t="n">
        <v>0</v>
      </c>
      <c r="N183" s="1" t="s">
        <v>189</v>
      </c>
      <c r="Z183" s="0" t="n">
        <f aca="false">I183-23</f>
        <v>225.1</v>
      </c>
      <c r="AB183" s="0" t="n">
        <f aca="false">IF(Z183&lt;0,Z183+360,Z183+0)</f>
        <v>225.1</v>
      </c>
    </row>
    <row r="184" customFormat="false" ht="15.8" hidden="false" customHeight="false" outlineLevel="0" collapsed="false">
      <c r="A184" s="1" t="n">
        <v>6</v>
      </c>
      <c r="B184" s="1" t="n">
        <v>4</v>
      </c>
      <c r="C184" s="1" t="n">
        <v>0.9</v>
      </c>
      <c r="D184" s="1" t="n">
        <v>1.0751</v>
      </c>
      <c r="E184" s="1" t="n">
        <v>0.0378447</v>
      </c>
      <c r="F184" s="1" t="n">
        <v>0.000127683</v>
      </c>
      <c r="G184" s="1" t="s">
        <v>27</v>
      </c>
      <c r="H184" s="1" t="n">
        <v>66.1</v>
      </c>
      <c r="I184" s="1" t="n">
        <v>247.1</v>
      </c>
      <c r="J184" s="1" t="n">
        <v>-61</v>
      </c>
      <c r="K184" s="1"/>
      <c r="L184" s="1" t="n">
        <v>0</v>
      </c>
      <c r="M184" s="1" t="n">
        <v>0</v>
      </c>
      <c r="N184" s="1" t="s">
        <v>189</v>
      </c>
      <c r="Z184" s="0" t="n">
        <f aca="false">I184-23</f>
        <v>224.1</v>
      </c>
      <c r="AB184" s="0" t="n">
        <f aca="false">IF(Z184&lt;0,Z184+360,Z184+0)</f>
        <v>224.1</v>
      </c>
    </row>
    <row r="185" customFormat="false" ht="15.8" hidden="false" customHeight="false" outlineLevel="0" collapsed="false">
      <c r="A185" s="1" t="n">
        <v>6</v>
      </c>
      <c r="B185" s="1" t="n">
        <v>3</v>
      </c>
      <c r="C185" s="1" t="n">
        <v>0.5</v>
      </c>
      <c r="D185" s="1" t="n">
        <v>1.0179</v>
      </c>
      <c r="E185" s="1" t="n">
        <v>0.0132964</v>
      </c>
      <c r="F185" s="1" t="n">
        <v>2.8934E-005</v>
      </c>
      <c r="G185" s="1" t="s">
        <v>37</v>
      </c>
      <c r="H185" s="1" t="n">
        <v>90.4</v>
      </c>
      <c r="I185" s="1" t="n">
        <v>213.9</v>
      </c>
      <c r="J185" s="1" t="n">
        <v>0</v>
      </c>
      <c r="K185" s="1" t="n">
        <v>66.1</v>
      </c>
      <c r="L185" s="1" t="n">
        <v>0</v>
      </c>
      <c r="M185" s="1" t="n">
        <v>0</v>
      </c>
      <c r="N185" s="1" t="s">
        <v>190</v>
      </c>
      <c r="Z185" s="0" t="n">
        <f aca="false">I185-23</f>
        <v>190.9</v>
      </c>
      <c r="AB185" s="0" t="n">
        <f aca="false">IF(Z185&lt;0,Z185+360,Z185+0)</f>
        <v>190.9</v>
      </c>
    </row>
    <row r="186" customFormat="false" ht="15.8" hidden="false" customHeight="false" outlineLevel="0" collapsed="false">
      <c r="A186" s="1" t="n">
        <v>6</v>
      </c>
      <c r="B186" s="1" t="n">
        <v>3</v>
      </c>
      <c r="C186" s="1" t="n">
        <v>3.4</v>
      </c>
      <c r="D186" s="1" t="n">
        <v>1.2994</v>
      </c>
      <c r="E186" s="1" t="n">
        <v>0.0930442</v>
      </c>
      <c r="F186" s="1" t="n">
        <v>0.000202471</v>
      </c>
      <c r="G186" s="1" t="s">
        <v>27</v>
      </c>
      <c r="H186" s="1" t="n">
        <v>44.4</v>
      </c>
      <c r="I186" s="1" t="n">
        <v>348.7</v>
      </c>
      <c r="J186" s="1" t="n">
        <v>0</v>
      </c>
      <c r="K186" s="1"/>
      <c r="L186" s="1" t="n">
        <v>0</v>
      </c>
      <c r="M186" s="1" t="n">
        <v>0</v>
      </c>
      <c r="N186" s="1" t="s">
        <v>190</v>
      </c>
      <c r="Z186" s="0" t="n">
        <f aca="false">I186-23</f>
        <v>325.7</v>
      </c>
      <c r="AB186" s="0" t="n">
        <f aca="false">IF(Z186&lt;0,Z186+360,Z186+0)</f>
        <v>325.7</v>
      </c>
    </row>
    <row r="187" customFormat="false" ht="15.8" hidden="false" customHeight="false" outlineLevel="0" collapsed="false">
      <c r="A187" s="1" t="n">
        <v>6</v>
      </c>
      <c r="B187" s="1" t="n">
        <v>2</v>
      </c>
      <c r="C187" s="1" t="n">
        <v>0.5</v>
      </c>
      <c r="D187" s="1" t="n">
        <v>1.0097</v>
      </c>
      <c r="E187" s="1" t="n">
        <v>0.0136654</v>
      </c>
      <c r="F187" s="1" t="n">
        <v>2.97368E-005</v>
      </c>
      <c r="G187" s="1" t="s">
        <v>37</v>
      </c>
      <c r="H187" s="1" t="n">
        <v>40.3</v>
      </c>
      <c r="I187" s="1" t="n">
        <v>304.2</v>
      </c>
      <c r="J187" s="1" t="n">
        <v>0</v>
      </c>
      <c r="K187" s="1" t="n">
        <v>90.4</v>
      </c>
      <c r="L187" s="1" t="n">
        <v>0</v>
      </c>
      <c r="M187" s="1" t="n">
        <v>0</v>
      </c>
      <c r="N187" s="1" t="s">
        <v>191</v>
      </c>
      <c r="Z187" s="0" t="n">
        <f aca="false">I187-23</f>
        <v>281.2</v>
      </c>
      <c r="AB187" s="0" t="n">
        <f aca="false">IF(Z187&lt;0,Z187+360,Z187+0)</f>
        <v>281.2</v>
      </c>
    </row>
    <row r="188" customFormat="false" ht="15.8" hidden="false" customHeight="false" outlineLevel="0" collapsed="false">
      <c r="A188" s="1" t="n">
        <v>6</v>
      </c>
      <c r="B188" s="1" t="n">
        <v>2</v>
      </c>
      <c r="C188" s="1" t="n">
        <v>0.5</v>
      </c>
      <c r="D188" s="1" t="n">
        <v>1.0298</v>
      </c>
      <c r="E188" s="1" t="n">
        <v>0.014448</v>
      </c>
      <c r="F188" s="1" t="n">
        <v>3.14399E-005</v>
      </c>
      <c r="G188" s="1" t="s">
        <v>27</v>
      </c>
      <c r="H188" s="1" t="n">
        <v>69.2</v>
      </c>
      <c r="I188" s="1" t="n">
        <v>194.7</v>
      </c>
      <c r="J188" s="1" t="n">
        <v>0</v>
      </c>
      <c r="K188" s="1"/>
      <c r="L188" s="1" t="n">
        <v>0</v>
      </c>
      <c r="M188" s="1" t="n">
        <v>0</v>
      </c>
      <c r="N188" s="1" t="s">
        <v>191</v>
      </c>
      <c r="Z188" s="0" t="n">
        <f aca="false">I188-23</f>
        <v>171.7</v>
      </c>
      <c r="AB188" s="0" t="n">
        <f aca="false">IF(Z188&lt;0,Z188+360,Z188+0)</f>
        <v>171.7</v>
      </c>
    </row>
    <row r="189" customFormat="false" ht="15.8" hidden="false" customHeight="false" outlineLevel="0" collapsed="false">
      <c r="A189" s="1" t="n">
        <v>6</v>
      </c>
      <c r="B189" s="1" t="n">
        <v>1</v>
      </c>
      <c r="C189" s="1" t="n">
        <v>1.3</v>
      </c>
      <c r="D189" s="1" t="n">
        <v>1.0158</v>
      </c>
      <c r="E189" s="1" t="n">
        <v>0.0345242</v>
      </c>
      <c r="F189" s="1" t="n">
        <v>7.51271E-005</v>
      </c>
      <c r="G189" s="1" t="s">
        <v>37</v>
      </c>
      <c r="H189" s="1"/>
      <c r="I189" s="1" t="n">
        <v>264</v>
      </c>
      <c r="J189" s="1" t="n">
        <v>0</v>
      </c>
      <c r="K189" s="1" t="n">
        <v>69.2</v>
      </c>
      <c r="L189" s="1" t="n">
        <v>0</v>
      </c>
      <c r="M189" s="1" t="n">
        <v>0</v>
      </c>
      <c r="N189" s="1" t="s">
        <v>192</v>
      </c>
      <c r="Z189" s="0" t="n">
        <f aca="false">I189-23</f>
        <v>241</v>
      </c>
      <c r="AB189" s="0" t="n">
        <f aca="false">IF(Z189&lt;0,Z189+360,Z189+0)</f>
        <v>241</v>
      </c>
    </row>
    <row r="190" customFormat="false" ht="15.8" hidden="false" customHeight="false" outlineLevel="0" collapsed="false">
      <c r="A190" s="1" t="n">
        <v>7</v>
      </c>
      <c r="B190" s="1" t="n">
        <v>9</v>
      </c>
      <c r="C190" s="1" t="n">
        <v>2.2</v>
      </c>
      <c r="D190" s="1" t="n">
        <v>1.4428</v>
      </c>
      <c r="E190" s="1" t="n">
        <v>0.0495552</v>
      </c>
      <c r="F190" s="1" t="n">
        <v>8.9863E-005</v>
      </c>
      <c r="G190" s="1" t="s">
        <v>27</v>
      </c>
      <c r="H190" s="1" t="n">
        <v>25</v>
      </c>
      <c r="I190" s="1" t="n">
        <v>259.4</v>
      </c>
      <c r="J190" s="1" t="n">
        <v>14.2</v>
      </c>
      <c r="K190" s="1"/>
      <c r="L190" s="1" t="n">
        <v>0</v>
      </c>
      <c r="M190" s="1" t="n">
        <v>0</v>
      </c>
      <c r="N190" s="1" t="s">
        <v>193</v>
      </c>
      <c r="Z190" s="0" t="n">
        <f aca="false">I190-23</f>
        <v>236.4</v>
      </c>
      <c r="AB190" s="0" t="n">
        <f aca="false">IF(Z190&lt;0,Z190+360,Z190+0)</f>
        <v>236.4</v>
      </c>
    </row>
    <row r="191" customFormat="false" ht="15.8" hidden="false" customHeight="false" outlineLevel="0" collapsed="false">
      <c r="A191" s="1" t="n">
        <v>7</v>
      </c>
      <c r="B191" s="1" t="n">
        <v>10</v>
      </c>
      <c r="C191" s="1" t="n">
        <v>1</v>
      </c>
      <c r="D191" s="1" t="n">
        <v>1.2886</v>
      </c>
      <c r="E191" s="1" t="n">
        <v>0.022148</v>
      </c>
      <c r="F191" s="1" t="n">
        <v>4.01629E-005</v>
      </c>
      <c r="G191" s="1" t="s">
        <v>27</v>
      </c>
      <c r="H191" s="1" t="n">
        <v>36.6</v>
      </c>
      <c r="I191" s="1" t="n">
        <v>312.3</v>
      </c>
      <c r="J191" s="1" t="n">
        <v>29.4</v>
      </c>
      <c r="K191" s="1"/>
      <c r="L191" s="1" t="n">
        <v>0</v>
      </c>
      <c r="M191" s="1" t="n">
        <v>0</v>
      </c>
      <c r="N191" s="1" t="s">
        <v>194</v>
      </c>
      <c r="Z191" s="0" t="n">
        <f aca="false">I191-23</f>
        <v>289.3</v>
      </c>
      <c r="AB191" s="0" t="n">
        <f aca="false">IF(Z191&lt;0,Z191+360,Z191+0)</f>
        <v>289.3</v>
      </c>
    </row>
    <row r="192" customFormat="false" ht="15.8" hidden="false" customHeight="false" outlineLevel="0" collapsed="false">
      <c r="A192" s="1" t="n">
        <v>7</v>
      </c>
      <c r="B192" s="1" t="n">
        <v>10</v>
      </c>
      <c r="C192" s="1" t="n">
        <v>1.1</v>
      </c>
      <c r="D192" s="1" t="n">
        <v>1.2303</v>
      </c>
      <c r="E192" s="1" t="n">
        <v>0.024046</v>
      </c>
      <c r="F192" s="1" t="n">
        <v>4.36048E-005</v>
      </c>
      <c r="G192" s="1" t="s">
        <v>27</v>
      </c>
      <c r="H192" s="1" t="n">
        <v>89.5</v>
      </c>
      <c r="I192" s="1" t="n">
        <v>30.4</v>
      </c>
      <c r="J192" s="1" t="n">
        <v>-25.6</v>
      </c>
      <c r="K192" s="1"/>
      <c r="L192" s="1" t="n">
        <v>0</v>
      </c>
      <c r="M192" s="1" t="n">
        <v>0</v>
      </c>
      <c r="N192" s="1" t="s">
        <v>194</v>
      </c>
      <c r="Z192" s="0" t="n">
        <f aca="false">I192-23</f>
        <v>7.4</v>
      </c>
      <c r="AB192" s="0" t="n">
        <f aca="false">IF(Z192&lt;0,Z192+360,Z192+0)</f>
        <v>7.4</v>
      </c>
    </row>
    <row r="193" customFormat="false" ht="15.8" hidden="false" customHeight="false" outlineLevel="0" collapsed="false">
      <c r="A193" s="1" t="n">
        <v>7</v>
      </c>
      <c r="B193" s="1" t="n">
        <v>9</v>
      </c>
      <c r="C193" s="1" t="n">
        <v>1.5</v>
      </c>
      <c r="D193" s="1" t="n">
        <v>1.1403</v>
      </c>
      <c r="E193" s="1" t="n">
        <v>0.034705</v>
      </c>
      <c r="F193" s="1" t="n">
        <v>6.29337E-005</v>
      </c>
      <c r="G193" s="1" t="s">
        <v>37</v>
      </c>
      <c r="H193" s="1" t="n">
        <v>77.7</v>
      </c>
      <c r="I193" s="1" t="n">
        <v>347.6</v>
      </c>
      <c r="J193" s="1" t="n">
        <v>56.2</v>
      </c>
      <c r="K193" s="1" t="n">
        <v>89.5</v>
      </c>
      <c r="L193" s="1" t="n">
        <v>0</v>
      </c>
      <c r="M193" s="1" t="n">
        <v>0</v>
      </c>
      <c r="N193" s="1" t="s">
        <v>193</v>
      </c>
      <c r="Z193" s="0" t="n">
        <f aca="false">I193-23</f>
        <v>324.6</v>
      </c>
      <c r="AB193" s="0" t="n">
        <f aca="false">IF(Z193&lt;0,Z193+360,Z193+0)</f>
        <v>324.6</v>
      </c>
    </row>
    <row r="194" customFormat="false" ht="15.8" hidden="false" customHeight="false" outlineLevel="0" collapsed="false">
      <c r="A194" s="1" t="n">
        <v>7</v>
      </c>
      <c r="B194" s="1" t="n">
        <v>9</v>
      </c>
      <c r="C194" s="1" t="n">
        <v>1.9</v>
      </c>
      <c r="D194" s="1" t="n">
        <v>1.2921</v>
      </c>
      <c r="E194" s="1" t="n">
        <v>0.0441618</v>
      </c>
      <c r="F194" s="1" t="n">
        <v>8.00826E-005</v>
      </c>
      <c r="G194" s="1" t="s">
        <v>27</v>
      </c>
      <c r="H194" s="1" t="n">
        <v>88.7</v>
      </c>
      <c r="I194" s="1" t="n">
        <v>192</v>
      </c>
      <c r="J194" s="1" t="n">
        <v>47.7</v>
      </c>
      <c r="K194" s="1"/>
      <c r="L194" s="1" t="n">
        <v>0</v>
      </c>
      <c r="M194" s="1" t="n">
        <v>0</v>
      </c>
      <c r="N194" s="1" t="s">
        <v>193</v>
      </c>
      <c r="Z194" s="0" t="n">
        <f aca="false">I194-23</f>
        <v>169</v>
      </c>
      <c r="AB194" s="0" t="n">
        <f aca="false">IF(Z194&lt;0,Z194+360,Z194+0)</f>
        <v>169</v>
      </c>
    </row>
    <row r="195" customFormat="false" ht="15.8" hidden="false" customHeight="false" outlineLevel="0" collapsed="false">
      <c r="A195" s="1" t="n">
        <v>7</v>
      </c>
      <c r="B195" s="1" t="n">
        <v>8</v>
      </c>
      <c r="C195" s="1" t="n">
        <v>0.6</v>
      </c>
      <c r="D195" s="1" t="n">
        <v>1.0213</v>
      </c>
      <c r="E195" s="1" t="n">
        <v>0.0133785</v>
      </c>
      <c r="F195" s="1" t="n">
        <v>2.42605E-005</v>
      </c>
      <c r="G195" s="1" t="s">
        <v>37</v>
      </c>
      <c r="H195" s="1" t="n">
        <v>51.1</v>
      </c>
      <c r="I195" s="1" t="n">
        <v>280.2</v>
      </c>
      <c r="J195" s="1" t="n">
        <v>0</v>
      </c>
      <c r="K195" s="1" t="n">
        <v>88.7</v>
      </c>
      <c r="L195" s="1" t="n">
        <v>0</v>
      </c>
      <c r="M195" s="1" t="n">
        <v>0</v>
      </c>
      <c r="N195" s="1" t="s">
        <v>195</v>
      </c>
      <c r="Z195" s="0" t="n">
        <f aca="false">I195-23</f>
        <v>257.2</v>
      </c>
      <c r="AB195" s="0" t="n">
        <f aca="false">IF(Z195&lt;0,Z195+360,Z195+0)</f>
        <v>257.2</v>
      </c>
    </row>
    <row r="196" customFormat="false" ht="15.8" hidden="false" customHeight="false" outlineLevel="0" collapsed="false">
      <c r="A196" s="1" t="n">
        <v>7</v>
      </c>
      <c r="B196" s="1" t="n">
        <v>8</v>
      </c>
      <c r="C196" s="1" t="n">
        <v>1.7</v>
      </c>
      <c r="D196" s="1" t="n">
        <v>1.2574</v>
      </c>
      <c r="E196" s="1" t="n">
        <v>0.0397079</v>
      </c>
      <c r="F196" s="1" t="n">
        <v>7.20061E-005</v>
      </c>
      <c r="G196" s="1" t="s">
        <v>27</v>
      </c>
      <c r="H196" s="1" t="n">
        <v>46.5</v>
      </c>
      <c r="I196" s="1" t="n">
        <v>193.6</v>
      </c>
      <c r="J196" s="1" t="n">
        <v>-32.3</v>
      </c>
      <c r="K196" s="1"/>
      <c r="L196" s="1" t="n">
        <v>0</v>
      </c>
      <c r="M196" s="1" t="n">
        <v>0</v>
      </c>
      <c r="N196" s="1" t="s">
        <v>195</v>
      </c>
      <c r="Z196" s="0" t="n">
        <f aca="false">I196-23</f>
        <v>170.6</v>
      </c>
      <c r="AB196" s="0" t="n">
        <f aca="false">IF(Z196&lt;0,Z196+360,Z196+0)</f>
        <v>170.6</v>
      </c>
    </row>
    <row r="197" customFormat="false" ht="15.8" hidden="false" customHeight="false" outlineLevel="0" collapsed="false">
      <c r="A197" s="1" t="n">
        <v>7</v>
      </c>
      <c r="B197" s="1" t="n">
        <v>7</v>
      </c>
      <c r="C197" s="1" t="n">
        <v>0.5</v>
      </c>
      <c r="D197" s="1" t="n">
        <v>1.0374</v>
      </c>
      <c r="E197" s="1" t="n">
        <v>0.0120343</v>
      </c>
      <c r="F197" s="1" t="n">
        <v>2.18229E-005</v>
      </c>
      <c r="G197" s="1" t="s">
        <v>37</v>
      </c>
      <c r="H197" s="1" t="n">
        <v>130.3</v>
      </c>
      <c r="I197" s="1" t="n">
        <v>229</v>
      </c>
      <c r="J197" s="1" t="n">
        <v>0</v>
      </c>
      <c r="K197" s="1" t="n">
        <v>51.1</v>
      </c>
      <c r="L197" s="1" t="n">
        <v>0</v>
      </c>
      <c r="M197" s="1" t="n">
        <v>0</v>
      </c>
      <c r="N197" s="1" t="s">
        <v>196</v>
      </c>
      <c r="Z197" s="0" t="n">
        <f aca="false">I197-23</f>
        <v>206</v>
      </c>
      <c r="AB197" s="0" t="n">
        <f aca="false">IF(Z197&lt;0,Z197+360,Z197+0)</f>
        <v>206</v>
      </c>
    </row>
    <row r="198" customFormat="false" ht="15.8" hidden="false" customHeight="false" outlineLevel="0" collapsed="false">
      <c r="A198" s="1" t="n">
        <v>7</v>
      </c>
      <c r="B198" s="1" t="n">
        <v>9</v>
      </c>
      <c r="C198" s="1" t="n">
        <v>1.6</v>
      </c>
      <c r="D198" s="1" t="n">
        <v>1.3363</v>
      </c>
      <c r="E198" s="1" t="n">
        <v>0.035418</v>
      </c>
      <c r="F198" s="1" t="n">
        <v>6.42266E-005</v>
      </c>
      <c r="G198" s="1" t="s">
        <v>27</v>
      </c>
      <c r="H198" s="1" t="n">
        <v>54.1</v>
      </c>
      <c r="I198" s="1" t="n">
        <v>110.3</v>
      </c>
      <c r="J198" s="1" t="n">
        <v>-39.5</v>
      </c>
      <c r="K198" s="1"/>
      <c r="L198" s="1" t="n">
        <v>0</v>
      </c>
      <c r="M198" s="1" t="n">
        <v>0</v>
      </c>
      <c r="N198" s="1" t="s">
        <v>197</v>
      </c>
      <c r="Z198" s="0" t="n">
        <f aca="false">I198-23</f>
        <v>87.3</v>
      </c>
      <c r="AB198" s="0" t="n">
        <f aca="false">IF(Z198&lt;0,Z198+360,Z198+0)</f>
        <v>87.3</v>
      </c>
    </row>
    <row r="199" customFormat="false" ht="15.8" hidden="false" customHeight="false" outlineLevel="0" collapsed="false">
      <c r="A199" s="1" t="n">
        <v>7</v>
      </c>
      <c r="B199" s="1" t="n">
        <v>9</v>
      </c>
      <c r="C199" s="1" t="n">
        <v>0.5</v>
      </c>
      <c r="D199" s="1" t="n">
        <v>1.0088</v>
      </c>
      <c r="E199" s="1" t="n">
        <v>0.0113397</v>
      </c>
      <c r="F199" s="1" t="n">
        <v>2.05633E-005</v>
      </c>
      <c r="G199" s="1" t="s">
        <v>27</v>
      </c>
      <c r="H199" s="1" t="n">
        <v>50.1</v>
      </c>
      <c r="I199" s="1" t="n">
        <v>19.8</v>
      </c>
      <c r="J199" s="1" t="n">
        <v>0</v>
      </c>
      <c r="K199" s="1"/>
      <c r="L199" s="1" t="n">
        <v>0</v>
      </c>
      <c r="M199" s="1" t="n">
        <v>0</v>
      </c>
      <c r="N199" s="1" t="s">
        <v>197</v>
      </c>
      <c r="Z199" s="0" t="n">
        <f aca="false">I199-23</f>
        <v>-3.2</v>
      </c>
      <c r="AB199" s="0" t="n">
        <f aca="false">IF(Z199&lt;0,Z199+360,Z199+0)</f>
        <v>356.8</v>
      </c>
    </row>
    <row r="200" customFormat="false" ht="15.8" hidden="false" customHeight="false" outlineLevel="0" collapsed="false">
      <c r="A200" s="1" t="n">
        <v>7</v>
      </c>
      <c r="B200" s="1" t="n">
        <v>8</v>
      </c>
      <c r="C200" s="1" t="n">
        <v>1.5</v>
      </c>
      <c r="D200" s="1" t="n">
        <v>1.5925</v>
      </c>
      <c r="E200" s="1" t="n">
        <v>0.0336432</v>
      </c>
      <c r="F200" s="1" t="n">
        <v>6.10083E-005</v>
      </c>
      <c r="G200" s="1" t="s">
        <v>37</v>
      </c>
      <c r="H200" s="1" t="n">
        <v>42.1</v>
      </c>
      <c r="I200" s="1" t="n">
        <v>69.9</v>
      </c>
      <c r="J200" s="1" t="n">
        <v>0</v>
      </c>
      <c r="K200" s="1" t="n">
        <v>54.1</v>
      </c>
      <c r="L200" s="1" t="n">
        <v>0</v>
      </c>
      <c r="M200" s="1" t="n">
        <v>0</v>
      </c>
      <c r="N200" s="1" t="s">
        <v>198</v>
      </c>
      <c r="Z200" s="0" t="n">
        <f aca="false">I200-23</f>
        <v>46.9</v>
      </c>
      <c r="AB200" s="0" t="n">
        <f aca="false">IF(Z200&lt;0,Z200+360,Z200+0)</f>
        <v>46.9</v>
      </c>
    </row>
    <row r="201" customFormat="false" ht="15.8" hidden="false" customHeight="false" outlineLevel="0" collapsed="false">
      <c r="A201" s="1" t="n">
        <v>7</v>
      </c>
      <c r="B201" s="1" t="n">
        <v>8</v>
      </c>
      <c r="C201" s="1" t="n">
        <v>1</v>
      </c>
      <c r="D201" s="1" t="n">
        <v>1.2286</v>
      </c>
      <c r="E201" s="1" t="n">
        <v>0.0234458</v>
      </c>
      <c r="F201" s="1" t="n">
        <v>4.25164E-005</v>
      </c>
      <c r="G201" s="1" t="s">
        <v>27</v>
      </c>
      <c r="H201" s="1" t="n">
        <v>87.7</v>
      </c>
      <c r="I201" s="1" t="n">
        <v>350</v>
      </c>
      <c r="J201" s="1" t="n">
        <v>-26.2</v>
      </c>
      <c r="K201" s="1"/>
      <c r="L201" s="1" t="n">
        <v>0</v>
      </c>
      <c r="M201" s="1" t="n">
        <v>0</v>
      </c>
      <c r="N201" s="1" t="s">
        <v>198</v>
      </c>
      <c r="Z201" s="0" t="n">
        <f aca="false">I201-23</f>
        <v>327</v>
      </c>
      <c r="AB201" s="0" t="n">
        <f aca="false">IF(Z201&lt;0,Z201+360,Z201+0)</f>
        <v>327</v>
      </c>
    </row>
    <row r="202" customFormat="false" ht="15.8" hidden="false" customHeight="false" outlineLevel="0" collapsed="false">
      <c r="A202" s="1" t="n">
        <v>7</v>
      </c>
      <c r="B202" s="1" t="n">
        <v>7</v>
      </c>
      <c r="C202" s="1" t="n">
        <v>0.8</v>
      </c>
      <c r="D202" s="1" t="n">
        <v>1.2902</v>
      </c>
      <c r="E202" s="1" t="n">
        <v>0.0172537</v>
      </c>
      <c r="F202" s="1" t="n">
        <v>3.12877E-005</v>
      </c>
      <c r="G202" s="1" t="s">
        <v>37</v>
      </c>
      <c r="H202" s="1" t="n">
        <v>78.5</v>
      </c>
      <c r="I202" s="1" t="n">
        <v>52.8</v>
      </c>
      <c r="J202" s="1" t="n">
        <v>39.1</v>
      </c>
      <c r="K202" s="1" t="n">
        <v>87.7</v>
      </c>
      <c r="L202" s="1" t="n">
        <v>0</v>
      </c>
      <c r="M202" s="1" t="n">
        <v>0</v>
      </c>
      <c r="N202" s="1" t="s">
        <v>196</v>
      </c>
      <c r="Z202" s="0" t="n">
        <f aca="false">I202-23</f>
        <v>29.8</v>
      </c>
      <c r="AB202" s="0" t="n">
        <f aca="false">IF(Z202&lt;0,Z202+360,Z202+0)</f>
        <v>29.8</v>
      </c>
    </row>
    <row r="203" customFormat="false" ht="15.8" hidden="false" customHeight="false" outlineLevel="0" collapsed="false">
      <c r="A203" s="1" t="n">
        <v>7</v>
      </c>
      <c r="B203" s="1" t="n">
        <v>6</v>
      </c>
      <c r="C203" s="1" t="n">
        <v>2.8</v>
      </c>
      <c r="D203" s="1" t="n">
        <v>1.6485</v>
      </c>
      <c r="E203" s="1" t="n">
        <v>0.064783</v>
      </c>
      <c r="F203" s="1" t="n">
        <v>0.000117477</v>
      </c>
      <c r="G203" s="1" t="s">
        <v>37</v>
      </c>
      <c r="H203" s="1" t="n">
        <v>66.4</v>
      </c>
      <c r="I203" s="1" t="n">
        <v>4.8</v>
      </c>
      <c r="J203" s="1" t="n">
        <v>-25.4</v>
      </c>
      <c r="K203" s="1" t="n">
        <v>130.3</v>
      </c>
      <c r="L203" s="1" t="n">
        <v>0</v>
      </c>
      <c r="M203" s="1" t="n">
        <v>0</v>
      </c>
      <c r="N203" s="1" t="s">
        <v>199</v>
      </c>
      <c r="Z203" s="0" t="n">
        <f aca="false">I203-23</f>
        <v>-18.2</v>
      </c>
      <c r="AB203" s="0" t="n">
        <f aca="false">IF(Z203&lt;0,Z203+360,Z203+0)</f>
        <v>341.8</v>
      </c>
    </row>
    <row r="204" customFormat="false" ht="15.8" hidden="false" customHeight="false" outlineLevel="0" collapsed="false">
      <c r="A204" s="1" t="n">
        <v>7</v>
      </c>
      <c r="B204" s="1" t="n">
        <v>8</v>
      </c>
      <c r="C204" s="1" t="n">
        <v>5.5</v>
      </c>
      <c r="D204" s="1" t="n">
        <v>2.3248</v>
      </c>
      <c r="E204" s="1" t="n">
        <v>0.124721</v>
      </c>
      <c r="F204" s="1" t="n">
        <v>0.000226167</v>
      </c>
      <c r="G204" s="1" t="s">
        <v>27</v>
      </c>
      <c r="H204" s="1" t="n">
        <v>31.9</v>
      </c>
      <c r="I204" s="1" t="n">
        <v>119.1</v>
      </c>
      <c r="J204" s="1" t="n">
        <v>9</v>
      </c>
      <c r="K204" s="1"/>
      <c r="L204" s="1" t="n">
        <v>0</v>
      </c>
      <c r="M204" s="1" t="n">
        <v>0</v>
      </c>
      <c r="N204" s="1" t="s">
        <v>200</v>
      </c>
      <c r="Z204" s="0" t="n">
        <f aca="false">I204-23</f>
        <v>96.1</v>
      </c>
      <c r="AB204" s="0" t="n">
        <f aca="false">IF(Z204&lt;0,Z204+360,Z204+0)</f>
        <v>96.1</v>
      </c>
    </row>
    <row r="205" customFormat="false" ht="15.8" hidden="false" customHeight="false" outlineLevel="0" collapsed="false">
      <c r="A205" s="1" t="n">
        <v>7</v>
      </c>
      <c r="B205" s="1" t="n">
        <v>9</v>
      </c>
      <c r="C205" s="1" t="n">
        <v>1</v>
      </c>
      <c r="D205" s="1" t="n">
        <v>1.0329</v>
      </c>
      <c r="E205" s="1" t="n">
        <v>0.0217306</v>
      </c>
      <c r="F205" s="1" t="n">
        <v>3.9406E-005</v>
      </c>
      <c r="G205" s="1" t="s">
        <v>27</v>
      </c>
      <c r="H205" s="1" t="n">
        <v>113.2</v>
      </c>
      <c r="I205" s="1" t="n">
        <v>278.1</v>
      </c>
      <c r="J205" s="1" t="n">
        <v>0</v>
      </c>
      <c r="K205" s="1"/>
      <c r="L205" s="1" t="n">
        <v>0</v>
      </c>
      <c r="M205" s="1" t="n">
        <v>0</v>
      </c>
      <c r="N205" s="1" t="s">
        <v>201</v>
      </c>
      <c r="Z205" s="0" t="n">
        <f aca="false">I205-23</f>
        <v>255.1</v>
      </c>
      <c r="AB205" s="0" t="n">
        <f aca="false">IF(Z205&lt;0,Z205+360,Z205+0)</f>
        <v>255.1</v>
      </c>
    </row>
    <row r="206" customFormat="false" ht="15.8" hidden="false" customHeight="false" outlineLevel="0" collapsed="false">
      <c r="A206" s="1" t="n">
        <v>7</v>
      </c>
      <c r="B206" s="1" t="n">
        <v>9</v>
      </c>
      <c r="C206" s="1" t="n">
        <v>0.7</v>
      </c>
      <c r="D206" s="1" t="n">
        <v>1.0221</v>
      </c>
      <c r="E206" s="1" t="n">
        <v>0.0160713</v>
      </c>
      <c r="F206" s="1" t="n">
        <v>2.91436E-005</v>
      </c>
      <c r="G206" s="1" t="s">
        <v>27</v>
      </c>
      <c r="H206" s="1" t="n">
        <v>71.9</v>
      </c>
      <c r="I206" s="1" t="n">
        <v>93</v>
      </c>
      <c r="J206" s="1" t="n">
        <v>0</v>
      </c>
      <c r="K206" s="1"/>
      <c r="L206" s="1" t="n">
        <v>0</v>
      </c>
      <c r="M206" s="1" t="n">
        <v>0</v>
      </c>
      <c r="N206" s="1" t="s">
        <v>201</v>
      </c>
      <c r="Z206" s="0" t="n">
        <f aca="false">I206-23</f>
        <v>70</v>
      </c>
      <c r="AB206" s="0" t="n">
        <f aca="false">IF(Z206&lt;0,Z206+360,Z206+0)</f>
        <v>70</v>
      </c>
    </row>
    <row r="207" customFormat="false" ht="15.8" hidden="false" customHeight="false" outlineLevel="0" collapsed="false">
      <c r="A207" s="1" t="n">
        <v>7</v>
      </c>
      <c r="B207" s="1" t="n">
        <v>8</v>
      </c>
      <c r="C207" s="1" t="n">
        <v>0.9</v>
      </c>
      <c r="D207" s="1" t="n">
        <v>1.046</v>
      </c>
      <c r="E207" s="1" t="n">
        <v>0.0213063</v>
      </c>
      <c r="F207" s="1" t="n">
        <v>3.86366E-005</v>
      </c>
      <c r="G207" s="1" t="s">
        <v>37</v>
      </c>
      <c r="H207" s="1" t="n">
        <v>40.5</v>
      </c>
      <c r="I207" s="1" t="n">
        <v>164.9</v>
      </c>
      <c r="J207" s="1" t="n">
        <v>0</v>
      </c>
      <c r="K207" s="1" t="n">
        <v>113.2</v>
      </c>
      <c r="L207" s="1" t="n">
        <v>0</v>
      </c>
      <c r="M207" s="1" t="n">
        <v>0</v>
      </c>
      <c r="N207" s="1" t="s">
        <v>200</v>
      </c>
      <c r="Z207" s="0" t="n">
        <f aca="false">I207-23</f>
        <v>141.9</v>
      </c>
      <c r="AB207" s="0" t="n">
        <f aca="false">IF(Z207&lt;0,Z207+360,Z207+0)</f>
        <v>141.9</v>
      </c>
    </row>
    <row r="208" customFormat="false" ht="15.8" hidden="false" customHeight="false" outlineLevel="0" collapsed="false">
      <c r="A208" s="1" t="n">
        <v>7</v>
      </c>
      <c r="B208" s="1" t="n">
        <v>7</v>
      </c>
      <c r="C208" s="1" t="n">
        <v>2.6</v>
      </c>
      <c r="D208" s="1" t="n">
        <v>1.283</v>
      </c>
      <c r="E208" s="1" t="n">
        <v>0.0584032</v>
      </c>
      <c r="F208" s="1" t="n">
        <v>0.000105908</v>
      </c>
      <c r="G208" s="1" t="s">
        <v>37</v>
      </c>
      <c r="H208" s="1" t="n">
        <v>36.5</v>
      </c>
      <c r="I208" s="1" t="n">
        <v>141</v>
      </c>
      <c r="J208" s="1" t="n">
        <v>33.8</v>
      </c>
      <c r="K208" s="1" t="n">
        <v>40.5</v>
      </c>
      <c r="L208" s="1" t="n">
        <v>0</v>
      </c>
      <c r="M208" s="1" t="n">
        <v>0</v>
      </c>
      <c r="N208" s="1" t="s">
        <v>202</v>
      </c>
      <c r="Z208" s="0" t="n">
        <f aca="false">I208-23</f>
        <v>118</v>
      </c>
      <c r="AB208" s="0" t="n">
        <f aca="false">IF(Z208&lt;0,Z208+360,Z208+0)</f>
        <v>118</v>
      </c>
    </row>
    <row r="209" customFormat="false" ht="15.8" hidden="false" customHeight="false" outlineLevel="0" collapsed="false">
      <c r="A209" s="1" t="n">
        <v>7</v>
      </c>
      <c r="B209" s="1" t="n">
        <v>7</v>
      </c>
      <c r="C209" s="1" t="n">
        <v>1.8</v>
      </c>
      <c r="D209" s="1" t="n">
        <v>1.627</v>
      </c>
      <c r="E209" s="1" t="n">
        <v>0.0421302</v>
      </c>
      <c r="F209" s="1" t="n">
        <v>7.63985E-005</v>
      </c>
      <c r="G209" s="1" t="s">
        <v>27</v>
      </c>
      <c r="H209" s="1" t="n">
        <v>101.5</v>
      </c>
      <c r="I209" s="1" t="n">
        <v>92.3</v>
      </c>
      <c r="J209" s="1" t="n">
        <v>-19</v>
      </c>
      <c r="K209" s="1"/>
      <c r="L209" s="1" t="n">
        <v>0</v>
      </c>
      <c r="M209" s="1" t="n">
        <v>0</v>
      </c>
      <c r="N209" s="1" t="s">
        <v>202</v>
      </c>
      <c r="Z209" s="0" t="n">
        <f aca="false">I209-23</f>
        <v>69.3</v>
      </c>
      <c r="AB209" s="0" t="n">
        <f aca="false">IF(Z209&lt;0,Z209+360,Z209+0)</f>
        <v>69.3</v>
      </c>
    </row>
    <row r="210" customFormat="false" ht="15.8" hidden="false" customHeight="false" outlineLevel="0" collapsed="false">
      <c r="A210" s="1" t="n">
        <v>7</v>
      </c>
      <c r="B210" s="1" t="n">
        <v>6</v>
      </c>
      <c r="C210" s="1" t="n">
        <v>0.4</v>
      </c>
      <c r="D210" s="1" t="n">
        <v>1.1128</v>
      </c>
      <c r="E210" s="1" t="n">
        <v>0.0101886</v>
      </c>
      <c r="F210" s="1" t="n">
        <v>1.84759E-005</v>
      </c>
      <c r="G210" s="1" t="s">
        <v>37</v>
      </c>
      <c r="H210" s="1" t="n">
        <v>93.2</v>
      </c>
      <c r="I210" s="1" t="n">
        <v>166.6</v>
      </c>
      <c r="J210" s="1" t="n">
        <v>67.1</v>
      </c>
      <c r="K210" s="1" t="n">
        <v>101.5</v>
      </c>
      <c r="L210" s="1" t="n">
        <v>0</v>
      </c>
      <c r="M210" s="1" t="n">
        <v>0</v>
      </c>
      <c r="N210" s="1" t="s">
        <v>199</v>
      </c>
      <c r="Z210" s="0" t="n">
        <f aca="false">I210-23</f>
        <v>143.6</v>
      </c>
      <c r="AB210" s="0" t="n">
        <f aca="false">IF(Z210&lt;0,Z210+360,Z210+0)</f>
        <v>143.6</v>
      </c>
    </row>
    <row r="211" customFormat="false" ht="15.8" hidden="false" customHeight="false" outlineLevel="0" collapsed="false">
      <c r="A211" s="1" t="n">
        <v>7</v>
      </c>
      <c r="B211" s="1" t="n">
        <v>5</v>
      </c>
      <c r="C211" s="1" t="n">
        <v>1.2</v>
      </c>
      <c r="D211" s="1" t="n">
        <v>1.9187</v>
      </c>
      <c r="E211" s="1" t="n">
        <v>0.0300147</v>
      </c>
      <c r="F211" s="1" t="n">
        <v>6.08855E-005</v>
      </c>
      <c r="G211" s="1" t="s">
        <v>37</v>
      </c>
      <c r="H211" s="1" t="n">
        <v>8</v>
      </c>
      <c r="I211" s="1" t="n">
        <v>68.4</v>
      </c>
      <c r="J211" s="1" t="n">
        <v>0</v>
      </c>
      <c r="K211" s="1" t="n">
        <v>93.2</v>
      </c>
      <c r="L211" s="1" t="n">
        <v>0</v>
      </c>
      <c r="M211" s="1" t="n">
        <v>0</v>
      </c>
      <c r="N211" s="1" t="s">
        <v>203</v>
      </c>
      <c r="Z211" s="0" t="n">
        <f aca="false">I211-23</f>
        <v>45.4</v>
      </c>
      <c r="AB211" s="0" t="n">
        <f aca="false">IF(Z211&lt;0,Z211+360,Z211+0)</f>
        <v>45.4</v>
      </c>
    </row>
    <row r="212" customFormat="false" ht="15.8" hidden="false" customHeight="false" outlineLevel="0" collapsed="false">
      <c r="A212" s="1" t="n">
        <v>7</v>
      </c>
      <c r="B212" s="1" t="n">
        <v>10</v>
      </c>
      <c r="C212" s="1" t="n">
        <v>2.2</v>
      </c>
      <c r="D212" s="1" t="n">
        <v>1.2444</v>
      </c>
      <c r="E212" s="1" t="n">
        <v>0.0494671</v>
      </c>
      <c r="F212" s="1" t="n">
        <v>8.97033E-005</v>
      </c>
      <c r="G212" s="1" t="s">
        <v>27</v>
      </c>
      <c r="H212" s="1" t="n">
        <v>36.6</v>
      </c>
      <c r="I212" s="1" t="n">
        <v>284</v>
      </c>
      <c r="J212" s="1" t="n">
        <v>12.2</v>
      </c>
      <c r="K212" s="1"/>
      <c r="L212" s="1" t="n">
        <v>0</v>
      </c>
      <c r="M212" s="1" t="n">
        <v>0</v>
      </c>
      <c r="N212" s="1" t="s">
        <v>204</v>
      </c>
      <c r="Z212" s="0" t="n">
        <f aca="false">I212-23</f>
        <v>261</v>
      </c>
      <c r="AB212" s="0" t="n">
        <f aca="false">IF(Z212&lt;0,Z212+360,Z212+0)</f>
        <v>261</v>
      </c>
    </row>
    <row r="213" customFormat="false" ht="15.8" hidden="false" customHeight="false" outlineLevel="0" collapsed="false">
      <c r="A213" s="1" t="n">
        <v>7</v>
      </c>
      <c r="B213" s="1" t="n">
        <v>10</v>
      </c>
      <c r="C213" s="1" t="n">
        <v>0.5</v>
      </c>
      <c r="D213" s="1" t="n">
        <v>1.0044</v>
      </c>
      <c r="E213" s="1" t="n">
        <v>0.0122953</v>
      </c>
      <c r="F213" s="1" t="n">
        <v>2.22962E-005</v>
      </c>
      <c r="G213" s="1" t="s">
        <v>27</v>
      </c>
      <c r="H213" s="1" t="n">
        <v>95</v>
      </c>
      <c r="I213" s="1" t="n">
        <v>55.5</v>
      </c>
      <c r="J213" s="1" t="n">
        <v>0</v>
      </c>
      <c r="K213" s="1"/>
      <c r="L213" s="1" t="n">
        <v>0</v>
      </c>
      <c r="M213" s="1" t="n">
        <v>0</v>
      </c>
      <c r="N213" s="1" t="s">
        <v>204</v>
      </c>
      <c r="Z213" s="0" t="n">
        <f aca="false">I213-23</f>
        <v>32.5</v>
      </c>
      <c r="AB213" s="0" t="n">
        <f aca="false">IF(Z213&lt;0,Z213+360,Z213+0)</f>
        <v>32.5</v>
      </c>
    </row>
    <row r="214" customFormat="false" ht="15.8" hidden="false" customHeight="false" outlineLevel="0" collapsed="false">
      <c r="A214" s="1" t="n">
        <v>7</v>
      </c>
      <c r="B214" s="1" t="n">
        <v>9</v>
      </c>
      <c r="C214" s="1" t="n">
        <v>1.1</v>
      </c>
      <c r="D214" s="1" t="n">
        <v>1.3035</v>
      </c>
      <c r="E214" s="1" t="n">
        <v>0.0243339</v>
      </c>
      <c r="F214" s="1" t="n">
        <v>4.41269E-005</v>
      </c>
      <c r="G214" s="1" t="s">
        <v>37</v>
      </c>
      <c r="H214" s="1" t="n">
        <v>20</v>
      </c>
      <c r="I214" s="1" t="n">
        <v>319.8</v>
      </c>
      <c r="J214" s="1" t="n">
        <v>26.8</v>
      </c>
      <c r="K214" s="1" t="n">
        <v>95</v>
      </c>
      <c r="L214" s="1" t="n">
        <v>0</v>
      </c>
      <c r="M214" s="1" t="n">
        <v>0</v>
      </c>
      <c r="N214" s="1" t="s">
        <v>205</v>
      </c>
      <c r="Z214" s="0" t="n">
        <f aca="false">I214-23</f>
        <v>296.8</v>
      </c>
      <c r="AB214" s="0" t="n">
        <f aca="false">IF(Z214&lt;0,Z214+360,Z214+0)</f>
        <v>296.8</v>
      </c>
    </row>
    <row r="215" customFormat="false" ht="15.8" hidden="false" customHeight="false" outlineLevel="0" collapsed="false">
      <c r="A215" s="1" t="n">
        <v>7</v>
      </c>
      <c r="B215" s="1" t="n">
        <v>9</v>
      </c>
      <c r="C215" s="1" t="n">
        <v>0.8</v>
      </c>
      <c r="D215" s="1" t="n">
        <v>1.1976</v>
      </c>
      <c r="E215" s="1" t="n">
        <v>0.018354</v>
      </c>
      <c r="F215" s="1" t="n">
        <v>3.3283E-005</v>
      </c>
      <c r="G215" s="1" t="s">
        <v>27</v>
      </c>
      <c r="H215" s="1" t="n">
        <v>106.9</v>
      </c>
      <c r="I215" s="1" t="n">
        <v>54.5</v>
      </c>
      <c r="J215" s="1" t="n">
        <v>-33.4</v>
      </c>
      <c r="K215" s="1"/>
      <c r="L215" s="1" t="n">
        <v>0</v>
      </c>
      <c r="M215" s="1" t="n">
        <v>0</v>
      </c>
      <c r="N215" s="1" t="s">
        <v>205</v>
      </c>
      <c r="Z215" s="0" t="n">
        <f aca="false">I215-23</f>
        <v>31.5</v>
      </c>
      <c r="AB215" s="0" t="n">
        <f aca="false">IF(Z215&lt;0,Z215+360,Z215+0)</f>
        <v>31.5</v>
      </c>
    </row>
    <row r="216" customFormat="false" ht="15.8" hidden="false" customHeight="false" outlineLevel="0" collapsed="false">
      <c r="A216" s="1" t="n">
        <v>7</v>
      </c>
      <c r="B216" s="1" t="n">
        <v>8</v>
      </c>
      <c r="C216" s="1" t="n">
        <v>0.7</v>
      </c>
      <c r="D216" s="1" t="n">
        <v>1.2339</v>
      </c>
      <c r="E216" s="1" t="n">
        <v>0.0150289</v>
      </c>
      <c r="F216" s="1" t="n">
        <v>2.72533E-005</v>
      </c>
      <c r="G216" s="1" t="s">
        <v>37</v>
      </c>
      <c r="H216" s="1" t="n">
        <v>109.4</v>
      </c>
      <c r="I216" s="1" t="n">
        <v>333</v>
      </c>
      <c r="J216" s="1" t="n">
        <v>43.8</v>
      </c>
      <c r="K216" s="1" t="n">
        <v>106.9</v>
      </c>
      <c r="L216" s="1" t="n">
        <v>0</v>
      </c>
      <c r="M216" s="1" t="n">
        <v>0</v>
      </c>
      <c r="N216" s="1" t="s">
        <v>206</v>
      </c>
      <c r="Z216" s="0" t="n">
        <f aca="false">I216-23</f>
        <v>310</v>
      </c>
      <c r="AB216" s="0" t="n">
        <f aca="false">IF(Z216&lt;0,Z216+360,Z216+0)</f>
        <v>310</v>
      </c>
    </row>
    <row r="217" customFormat="false" ht="15.8" hidden="false" customHeight="false" outlineLevel="0" collapsed="false">
      <c r="A217" s="1" t="n">
        <v>7</v>
      </c>
      <c r="B217" s="1" t="n">
        <v>12</v>
      </c>
      <c r="C217" s="1" t="n">
        <v>3.1</v>
      </c>
      <c r="D217" s="1" t="n">
        <v>1.2176</v>
      </c>
      <c r="E217" s="1" t="n">
        <v>0.0705761</v>
      </c>
      <c r="F217" s="1" t="n">
        <v>0.000127982</v>
      </c>
      <c r="G217" s="1" t="s">
        <v>27</v>
      </c>
      <c r="H217" s="1" t="n">
        <v>24.2</v>
      </c>
      <c r="I217" s="1" t="n">
        <v>95.6</v>
      </c>
      <c r="J217" s="1" t="n">
        <v>-25.9</v>
      </c>
      <c r="K217" s="1"/>
      <c r="L217" s="1" t="n">
        <v>0</v>
      </c>
      <c r="M217" s="1" t="n">
        <v>0</v>
      </c>
      <c r="N217" s="1" t="s">
        <v>207</v>
      </c>
      <c r="Z217" s="0" t="n">
        <f aca="false">I217-23</f>
        <v>72.6</v>
      </c>
      <c r="AB217" s="0" t="n">
        <f aca="false">IF(Z217&lt;0,Z217+360,Z217+0)</f>
        <v>72.6</v>
      </c>
    </row>
    <row r="218" customFormat="false" ht="15.8" hidden="false" customHeight="false" outlineLevel="0" collapsed="false">
      <c r="A218" s="1" t="n">
        <v>7</v>
      </c>
      <c r="B218" s="1" t="n">
        <v>12</v>
      </c>
      <c r="C218" s="1" t="n">
        <v>0.6</v>
      </c>
      <c r="D218" s="1" t="n">
        <v>1.1301</v>
      </c>
      <c r="E218" s="1" t="n">
        <v>0.0137762</v>
      </c>
      <c r="F218" s="1" t="n">
        <v>2.49816E-005</v>
      </c>
      <c r="G218" s="1" t="s">
        <v>27</v>
      </c>
      <c r="H218" s="1" t="n">
        <v>110.6</v>
      </c>
      <c r="I218" s="1" t="n">
        <v>39.7</v>
      </c>
      <c r="J218" s="1" t="n">
        <v>43.8</v>
      </c>
      <c r="K218" s="1"/>
      <c r="L218" s="1" t="n">
        <v>0</v>
      </c>
      <c r="M218" s="1" t="n">
        <v>0</v>
      </c>
      <c r="N218" s="1" t="s">
        <v>207</v>
      </c>
      <c r="Z218" s="0" t="n">
        <f aca="false">I218-23</f>
        <v>16.7</v>
      </c>
      <c r="AB218" s="0" t="n">
        <f aca="false">IF(Z218&lt;0,Z218+360,Z218+0)</f>
        <v>16.7</v>
      </c>
    </row>
    <row r="219" customFormat="false" ht="15.8" hidden="false" customHeight="false" outlineLevel="0" collapsed="false">
      <c r="A219" s="1" t="n">
        <v>7</v>
      </c>
      <c r="B219" s="1" t="n">
        <v>11</v>
      </c>
      <c r="C219" s="1" t="n">
        <v>2.8</v>
      </c>
      <c r="D219" s="1" t="n">
        <v>1.2571</v>
      </c>
      <c r="E219" s="1" t="n">
        <v>0.0626943</v>
      </c>
      <c r="F219" s="1" t="n">
        <v>0.000113689</v>
      </c>
      <c r="G219" s="1" t="s">
        <v>37</v>
      </c>
      <c r="H219" s="1" t="n">
        <v>20.3</v>
      </c>
      <c r="I219" s="1" t="n">
        <v>117</v>
      </c>
      <c r="J219" s="1" t="n">
        <v>-42.6</v>
      </c>
      <c r="K219" s="1" t="n">
        <v>110.6</v>
      </c>
      <c r="L219" s="1" t="n">
        <v>0</v>
      </c>
      <c r="M219" s="1" t="n">
        <v>0</v>
      </c>
      <c r="N219" s="1" t="s">
        <v>208</v>
      </c>
      <c r="Z219" s="0" t="n">
        <f aca="false">I219-23</f>
        <v>94</v>
      </c>
      <c r="AB219" s="0" t="n">
        <f aca="false">IF(Z219&lt;0,Z219+360,Z219+0)</f>
        <v>94</v>
      </c>
    </row>
    <row r="220" customFormat="false" ht="15.8" hidden="false" customHeight="false" outlineLevel="0" collapsed="false">
      <c r="A220" s="1" t="n">
        <v>7</v>
      </c>
      <c r="B220" s="1" t="n">
        <v>11</v>
      </c>
      <c r="C220" s="1" t="n">
        <v>1.8</v>
      </c>
      <c r="D220" s="1" t="n">
        <v>1.1691</v>
      </c>
      <c r="E220" s="1" t="n">
        <v>0.0410045</v>
      </c>
      <c r="F220" s="1" t="n">
        <v>7.43573E-005</v>
      </c>
      <c r="G220" s="1" t="s">
        <v>27</v>
      </c>
      <c r="H220" s="1" t="n">
        <v>26.6</v>
      </c>
      <c r="I220" s="1" t="n">
        <v>77.4</v>
      </c>
      <c r="J220" s="1" t="n">
        <v>-13.9</v>
      </c>
      <c r="K220" s="1"/>
      <c r="L220" s="1" t="n">
        <v>0</v>
      </c>
      <c r="M220" s="1" t="n">
        <v>0</v>
      </c>
      <c r="N220" s="1" t="s">
        <v>208</v>
      </c>
      <c r="Z220" s="0" t="n">
        <f aca="false">I220-23</f>
        <v>54.4</v>
      </c>
      <c r="AB220" s="0" t="n">
        <f aca="false">IF(Z220&lt;0,Z220+360,Z220+0)</f>
        <v>54.4</v>
      </c>
    </row>
    <row r="221" customFormat="false" ht="15.8" hidden="false" customHeight="false" outlineLevel="0" collapsed="false">
      <c r="A221" s="1" t="n">
        <v>7</v>
      </c>
      <c r="B221" s="1" t="n">
        <v>11</v>
      </c>
      <c r="C221" s="1" t="n">
        <v>0.8</v>
      </c>
      <c r="D221" s="1" t="n">
        <v>1.0076</v>
      </c>
      <c r="E221" s="1" t="n">
        <v>0.0190333</v>
      </c>
      <c r="F221" s="1" t="n">
        <v>3.45148E-005</v>
      </c>
      <c r="G221" s="1" t="s">
        <v>27</v>
      </c>
      <c r="H221" s="1" t="n">
        <v>97.8</v>
      </c>
      <c r="I221" s="1" t="n">
        <v>4</v>
      </c>
      <c r="J221" s="1" t="n">
        <v>0</v>
      </c>
      <c r="K221" s="1"/>
      <c r="L221" s="1" t="n">
        <v>0</v>
      </c>
      <c r="M221" s="1" t="n">
        <v>0</v>
      </c>
      <c r="N221" s="1" t="s">
        <v>208</v>
      </c>
      <c r="Z221" s="0" t="n">
        <f aca="false">I221-23</f>
        <v>-19</v>
      </c>
      <c r="AB221" s="0" t="n">
        <f aca="false">IF(Z221&lt;0,Z221+360,Z221+0)</f>
        <v>341</v>
      </c>
    </row>
    <row r="222" customFormat="false" ht="15.8" hidden="false" customHeight="false" outlineLevel="0" collapsed="false">
      <c r="A222" s="1" t="n">
        <v>7</v>
      </c>
      <c r="B222" s="1" t="n">
        <v>10</v>
      </c>
      <c r="C222" s="1" t="n">
        <v>1.1</v>
      </c>
      <c r="D222" s="1" t="n">
        <v>1.2781</v>
      </c>
      <c r="E222" s="1" t="n">
        <v>0.0245781</v>
      </c>
      <c r="F222" s="1" t="n">
        <v>4.45696E-005</v>
      </c>
      <c r="G222" s="1" t="s">
        <v>37</v>
      </c>
      <c r="H222" s="1" t="n">
        <v>5.9</v>
      </c>
      <c r="I222" s="1" t="n">
        <v>102.7</v>
      </c>
      <c r="J222" s="1" t="n">
        <v>-26</v>
      </c>
      <c r="K222" s="1" t="n">
        <v>97.8</v>
      </c>
      <c r="L222" s="1" t="n">
        <v>0</v>
      </c>
      <c r="M222" s="1" t="n">
        <v>0</v>
      </c>
      <c r="N222" s="1" t="s">
        <v>209</v>
      </c>
      <c r="Z222" s="0" t="n">
        <f aca="false">I222-23</f>
        <v>79.7</v>
      </c>
      <c r="AB222" s="0" t="n">
        <f aca="false">IF(Z222&lt;0,Z222+360,Z222+0)</f>
        <v>79.7</v>
      </c>
    </row>
    <row r="223" customFormat="false" ht="15.8" hidden="false" customHeight="false" outlineLevel="0" collapsed="false">
      <c r="A223" s="1" t="n">
        <v>7</v>
      </c>
      <c r="B223" s="1" t="n">
        <v>10</v>
      </c>
      <c r="C223" s="1" t="n">
        <v>1</v>
      </c>
      <c r="D223" s="1" t="n">
        <v>1.15</v>
      </c>
      <c r="E223" s="1" t="n">
        <v>0.0218479</v>
      </c>
      <c r="F223" s="1" t="n">
        <v>3.96189E-005</v>
      </c>
      <c r="G223" s="1" t="s">
        <v>27</v>
      </c>
      <c r="H223" s="1" t="n">
        <v>62.5</v>
      </c>
      <c r="I223" s="1" t="n">
        <v>180</v>
      </c>
      <c r="J223" s="1" t="n">
        <v>-26.3</v>
      </c>
      <c r="K223" s="1"/>
      <c r="L223" s="1" t="n">
        <v>0</v>
      </c>
      <c r="M223" s="1" t="n">
        <v>0</v>
      </c>
      <c r="N223" s="1" t="s">
        <v>209</v>
      </c>
      <c r="Z223" s="0" t="n">
        <f aca="false">I223-23</f>
        <v>157</v>
      </c>
      <c r="AB223" s="0" t="n">
        <f aca="false">IF(Z223&lt;0,Z223+360,Z223+0)</f>
        <v>157</v>
      </c>
    </row>
    <row r="224" customFormat="false" ht="15.8" hidden="false" customHeight="false" outlineLevel="0" collapsed="false">
      <c r="A224" s="1" t="n">
        <v>7</v>
      </c>
      <c r="B224" s="1" t="n">
        <v>9</v>
      </c>
      <c r="C224" s="1" t="n">
        <v>4.4</v>
      </c>
      <c r="D224" s="1" t="n">
        <v>1.319</v>
      </c>
      <c r="E224" s="1" t="n">
        <v>0.0998181</v>
      </c>
      <c r="F224" s="1" t="n">
        <v>0.000181009</v>
      </c>
      <c r="G224" s="1" t="s">
        <v>37</v>
      </c>
      <c r="H224" s="1" t="n">
        <v>21.8</v>
      </c>
      <c r="I224" s="1" t="n">
        <v>109.2</v>
      </c>
      <c r="J224" s="1" t="n">
        <v>-26.5</v>
      </c>
      <c r="K224" s="1" t="n">
        <v>62.5</v>
      </c>
      <c r="L224" s="1" t="n">
        <v>0</v>
      </c>
      <c r="M224" s="1" t="n">
        <v>0</v>
      </c>
      <c r="N224" s="1" t="s">
        <v>210</v>
      </c>
      <c r="Z224" s="0" t="n">
        <f aca="false">I224-23</f>
        <v>86.2</v>
      </c>
      <c r="AB224" s="0" t="n">
        <f aca="false">IF(Z224&lt;0,Z224+360,Z224+0)</f>
        <v>86.2</v>
      </c>
    </row>
    <row r="225" customFormat="false" ht="15.8" hidden="false" customHeight="false" outlineLevel="0" collapsed="false">
      <c r="A225" s="1" t="n">
        <v>7</v>
      </c>
      <c r="B225" s="1" t="n">
        <v>9</v>
      </c>
      <c r="C225" s="1" t="n">
        <v>1</v>
      </c>
      <c r="D225" s="1" t="n">
        <v>1.2828</v>
      </c>
      <c r="E225" s="1" t="n">
        <v>0.0236158</v>
      </c>
      <c r="F225" s="1" t="n">
        <v>4.28246E-005</v>
      </c>
      <c r="G225" s="1" t="s">
        <v>27</v>
      </c>
      <c r="H225" s="1" t="n">
        <v>126.7</v>
      </c>
      <c r="I225" s="1" t="n">
        <v>203.2</v>
      </c>
      <c r="J225" s="1" t="n">
        <v>27.3</v>
      </c>
      <c r="K225" s="1"/>
      <c r="L225" s="1" t="n">
        <v>0</v>
      </c>
      <c r="M225" s="1" t="n">
        <v>0</v>
      </c>
      <c r="N225" s="1" t="s">
        <v>210</v>
      </c>
      <c r="Z225" s="0" t="n">
        <f aca="false">I225-23</f>
        <v>180.2</v>
      </c>
      <c r="AB225" s="0" t="n">
        <f aca="false">IF(Z225&lt;0,Z225+360,Z225+0)</f>
        <v>180.2</v>
      </c>
    </row>
    <row r="226" customFormat="false" ht="15.8" hidden="false" customHeight="false" outlineLevel="0" collapsed="false">
      <c r="A226" s="1" t="n">
        <v>7</v>
      </c>
      <c r="B226" s="1" t="n">
        <v>8</v>
      </c>
      <c r="C226" s="1" t="n">
        <v>5.7</v>
      </c>
      <c r="D226" s="1" t="n">
        <v>1.3429</v>
      </c>
      <c r="E226" s="1" t="n">
        <v>0.129161</v>
      </c>
      <c r="F226" s="1" t="n">
        <v>0.000234219</v>
      </c>
      <c r="G226" s="1" t="s">
        <v>37</v>
      </c>
      <c r="H226" s="1" t="n">
        <v>24.4</v>
      </c>
      <c r="I226" s="1" t="n">
        <v>85</v>
      </c>
      <c r="J226" s="1" t="n">
        <v>-31.7</v>
      </c>
      <c r="K226" s="1" t="n">
        <v>126.7</v>
      </c>
      <c r="L226" s="1" t="n">
        <v>0</v>
      </c>
      <c r="M226" s="1" t="n">
        <v>0</v>
      </c>
      <c r="N226" s="1" t="s">
        <v>206</v>
      </c>
      <c r="Z226" s="0" t="n">
        <f aca="false">I226-23</f>
        <v>62</v>
      </c>
      <c r="AB226" s="0" t="n">
        <f aca="false">IF(Z226&lt;0,Z226+360,Z226+0)</f>
        <v>62</v>
      </c>
    </row>
    <row r="227" customFormat="false" ht="15.8" hidden="false" customHeight="false" outlineLevel="0" collapsed="false">
      <c r="A227" s="1" t="n">
        <v>7</v>
      </c>
      <c r="B227" s="1" t="n">
        <v>8</v>
      </c>
      <c r="C227" s="1" t="n">
        <v>1.1</v>
      </c>
      <c r="D227" s="1" t="n">
        <v>1.1898</v>
      </c>
      <c r="E227" s="1" t="n">
        <v>0.0255347</v>
      </c>
      <c r="F227" s="1" t="n">
        <v>4.63044E-005</v>
      </c>
      <c r="G227" s="1" t="s">
        <v>27</v>
      </c>
      <c r="H227" s="1" t="n">
        <v>124.3</v>
      </c>
      <c r="I227" s="1" t="n">
        <v>282</v>
      </c>
      <c r="J227" s="1" t="n">
        <v>0</v>
      </c>
      <c r="K227" s="1"/>
      <c r="L227" s="1" t="n">
        <v>0</v>
      </c>
      <c r="M227" s="1" t="n">
        <v>0</v>
      </c>
      <c r="N227" s="1" t="s">
        <v>206</v>
      </c>
      <c r="Z227" s="0" t="n">
        <f aca="false">I227-23</f>
        <v>259</v>
      </c>
      <c r="AB227" s="0" t="n">
        <f aca="false">IF(Z227&lt;0,Z227+360,Z227+0)</f>
        <v>259</v>
      </c>
    </row>
    <row r="228" customFormat="false" ht="15.8" hidden="false" customHeight="false" outlineLevel="0" collapsed="false">
      <c r="A228" s="1" t="n">
        <v>7</v>
      </c>
      <c r="B228" s="1" t="n">
        <v>7</v>
      </c>
      <c r="C228" s="1" t="n">
        <v>3.3</v>
      </c>
      <c r="D228" s="1" t="n">
        <v>1.2974</v>
      </c>
      <c r="E228" s="1" t="n">
        <v>0.0749463</v>
      </c>
      <c r="F228" s="1" t="n">
        <v>0.000135907</v>
      </c>
      <c r="G228" s="1" t="s">
        <v>37</v>
      </c>
      <c r="H228" s="1" t="n">
        <v>56.7</v>
      </c>
      <c r="I228" s="1" t="n">
        <v>55.9</v>
      </c>
      <c r="J228" s="1" t="n">
        <v>-35.7</v>
      </c>
      <c r="K228" s="1" t="n">
        <v>124.3</v>
      </c>
      <c r="L228" s="1" t="n">
        <v>0</v>
      </c>
      <c r="M228" s="1" t="n">
        <v>0</v>
      </c>
      <c r="N228" s="1" t="s">
        <v>211</v>
      </c>
      <c r="Z228" s="0" t="n">
        <f aca="false">I228-23</f>
        <v>32.9</v>
      </c>
      <c r="AB228" s="0" t="n">
        <f aca="false">IF(Z228&lt;0,Z228+360,Z228+0)</f>
        <v>32.9</v>
      </c>
    </row>
    <row r="229" customFormat="false" ht="15.8" hidden="false" customHeight="false" outlineLevel="0" collapsed="false">
      <c r="A229" s="1" t="n">
        <v>7</v>
      </c>
      <c r="B229" s="1" t="n">
        <v>7</v>
      </c>
      <c r="C229" s="1" t="n">
        <v>2.6</v>
      </c>
      <c r="D229" s="1" t="n">
        <v>1.307</v>
      </c>
      <c r="E229" s="1" t="n">
        <v>0.0583004</v>
      </c>
      <c r="F229" s="1" t="n">
        <v>0.000105721</v>
      </c>
      <c r="G229" s="1" t="s">
        <v>27</v>
      </c>
      <c r="H229" s="1" t="n">
        <v>9.8</v>
      </c>
      <c r="I229" s="1" t="n">
        <v>121.9</v>
      </c>
      <c r="J229" s="1" t="n">
        <v>-10.9</v>
      </c>
      <c r="K229" s="1"/>
      <c r="L229" s="1" t="n">
        <v>0</v>
      </c>
      <c r="M229" s="1" t="n">
        <v>0</v>
      </c>
      <c r="N229" s="1" t="s">
        <v>211</v>
      </c>
      <c r="Z229" s="0" t="n">
        <f aca="false">I229-23</f>
        <v>98.9</v>
      </c>
      <c r="AB229" s="0" t="n">
        <f aca="false">IF(Z229&lt;0,Z229+360,Z229+0)</f>
        <v>98.9</v>
      </c>
    </row>
    <row r="230" customFormat="false" ht="15.8" hidden="false" customHeight="false" outlineLevel="0" collapsed="false">
      <c r="A230" s="1" t="n">
        <v>7</v>
      </c>
      <c r="B230" s="1" t="n">
        <v>6</v>
      </c>
      <c r="C230" s="1" t="n">
        <v>1.3</v>
      </c>
      <c r="D230" s="1" t="n">
        <v>1.1818</v>
      </c>
      <c r="E230" s="1" t="n">
        <v>0.0287428</v>
      </c>
      <c r="F230" s="1" t="n">
        <v>5.21219E-005</v>
      </c>
      <c r="G230" s="1" t="s">
        <v>37</v>
      </c>
      <c r="H230" s="1" t="n">
        <v>57.7</v>
      </c>
      <c r="I230" s="1" t="n">
        <v>118.9</v>
      </c>
      <c r="J230" s="1" t="n">
        <v>-20.3</v>
      </c>
      <c r="K230" s="1" t="n">
        <v>56.7</v>
      </c>
      <c r="L230" s="1" t="n">
        <v>0</v>
      </c>
      <c r="M230" s="1" t="n">
        <v>0</v>
      </c>
      <c r="N230" s="1" t="s">
        <v>212</v>
      </c>
      <c r="Z230" s="0" t="n">
        <f aca="false">I230-23</f>
        <v>95.9</v>
      </c>
      <c r="AB230" s="0" t="n">
        <f aca="false">IF(Z230&lt;0,Z230+360,Z230+0)</f>
        <v>95.9</v>
      </c>
    </row>
    <row r="231" customFormat="false" ht="15.8" hidden="false" customHeight="false" outlineLevel="0" collapsed="false">
      <c r="A231" s="1" t="n">
        <v>7</v>
      </c>
      <c r="B231" s="1" t="n">
        <v>12</v>
      </c>
      <c r="C231" s="1" t="n">
        <v>6.5</v>
      </c>
      <c r="D231" s="1" t="n">
        <v>1.2536</v>
      </c>
      <c r="E231" s="1" t="n">
        <v>0.14891</v>
      </c>
      <c r="F231" s="1" t="n">
        <v>0.000270033</v>
      </c>
      <c r="G231" s="1" t="s">
        <v>27</v>
      </c>
      <c r="H231" s="1" t="n">
        <v>46.1</v>
      </c>
      <c r="I231" s="1" t="n">
        <v>250.1</v>
      </c>
      <c r="J231" s="1" t="n">
        <v>4.1</v>
      </c>
      <c r="K231" s="1"/>
      <c r="L231" s="1" t="n">
        <v>0</v>
      </c>
      <c r="M231" s="1" t="n">
        <v>0</v>
      </c>
      <c r="N231" s="1" t="s">
        <v>213</v>
      </c>
      <c r="Z231" s="0" t="n">
        <f aca="false">I231-23</f>
        <v>227.1</v>
      </c>
      <c r="AB231" s="0" t="n">
        <f aca="false">IF(Z231&lt;0,Z231+360,Z231+0)</f>
        <v>227.1</v>
      </c>
    </row>
    <row r="232" customFormat="false" ht="15.8" hidden="false" customHeight="false" outlineLevel="0" collapsed="false">
      <c r="A232" s="1" t="n">
        <v>7</v>
      </c>
      <c r="B232" s="1" t="n">
        <v>12</v>
      </c>
      <c r="C232" s="1" t="n">
        <v>0.7</v>
      </c>
      <c r="D232" s="1" t="n">
        <v>1.0041</v>
      </c>
      <c r="E232" s="1" t="n">
        <v>0.0169007</v>
      </c>
      <c r="F232" s="1" t="n">
        <v>3.06476E-005</v>
      </c>
      <c r="G232" s="1" t="s">
        <v>27</v>
      </c>
      <c r="H232" s="1" t="n">
        <v>87.9</v>
      </c>
      <c r="I232" s="1" t="n">
        <v>125.4</v>
      </c>
      <c r="J232" s="1" t="n">
        <v>0</v>
      </c>
      <c r="K232" s="1"/>
      <c r="L232" s="1" t="n">
        <v>0</v>
      </c>
      <c r="M232" s="1" t="n">
        <v>0</v>
      </c>
      <c r="N232" s="1" t="s">
        <v>213</v>
      </c>
      <c r="Z232" s="0" t="n">
        <f aca="false">I232-23</f>
        <v>102.4</v>
      </c>
      <c r="AB232" s="0" t="n">
        <f aca="false">IF(Z232&lt;0,Z232+360,Z232+0)</f>
        <v>102.4</v>
      </c>
    </row>
    <row r="233" customFormat="false" ht="15.8" hidden="false" customHeight="false" outlineLevel="0" collapsed="false">
      <c r="A233" s="1" t="n">
        <v>7</v>
      </c>
      <c r="B233" s="1" t="n">
        <v>11</v>
      </c>
      <c r="C233" s="1" t="n">
        <v>1.6</v>
      </c>
      <c r="D233" s="1" t="n">
        <v>1.1944</v>
      </c>
      <c r="E233" s="1" t="n">
        <v>0.0354182</v>
      </c>
      <c r="F233" s="1" t="n">
        <v>6.4227E-005</v>
      </c>
      <c r="G233" s="1" t="s">
        <v>37</v>
      </c>
      <c r="H233" s="1" t="n">
        <v>70.6</v>
      </c>
      <c r="I233" s="1" t="n">
        <v>212.8</v>
      </c>
      <c r="J233" s="1" t="n">
        <v>34.7</v>
      </c>
      <c r="K233" s="1" t="n">
        <v>87.9</v>
      </c>
      <c r="L233" s="1" t="n">
        <v>0</v>
      </c>
      <c r="M233" s="1" t="n">
        <v>0</v>
      </c>
      <c r="N233" s="1" t="s">
        <v>214</v>
      </c>
      <c r="Z233" s="0" t="n">
        <f aca="false">I233-23</f>
        <v>189.8</v>
      </c>
      <c r="AB233" s="0" t="n">
        <f aca="false">IF(Z233&lt;0,Z233+360,Z233+0)</f>
        <v>189.8</v>
      </c>
    </row>
    <row r="234" customFormat="false" ht="15.8" hidden="false" customHeight="false" outlineLevel="0" collapsed="false">
      <c r="A234" s="1" t="n">
        <v>7</v>
      </c>
      <c r="B234" s="1" t="n">
        <v>11</v>
      </c>
      <c r="C234" s="1" t="n">
        <v>2.1</v>
      </c>
      <c r="D234" s="1" t="n">
        <v>1.1543</v>
      </c>
      <c r="E234" s="1" t="n">
        <v>0.0468865</v>
      </c>
      <c r="F234" s="1" t="n">
        <v>8.50236E-005</v>
      </c>
      <c r="G234" s="1" t="s">
        <v>27</v>
      </c>
      <c r="H234" s="1" t="n">
        <v>61.8</v>
      </c>
      <c r="I234" s="1" t="n">
        <v>340.8</v>
      </c>
      <c r="J234" s="1" t="n">
        <v>0</v>
      </c>
      <c r="K234" s="1"/>
      <c r="L234" s="1" t="n">
        <v>0</v>
      </c>
      <c r="M234" s="1" t="n">
        <v>0</v>
      </c>
      <c r="N234" s="1" t="s">
        <v>214</v>
      </c>
      <c r="Z234" s="0" t="n">
        <f aca="false">I234-23</f>
        <v>317.8</v>
      </c>
      <c r="AB234" s="0" t="n">
        <f aca="false">IF(Z234&lt;0,Z234+360,Z234+0)</f>
        <v>317.8</v>
      </c>
    </row>
    <row r="235" customFormat="false" ht="15.8" hidden="false" customHeight="false" outlineLevel="0" collapsed="false">
      <c r="A235" s="1" t="n">
        <v>7</v>
      </c>
      <c r="B235" s="1" t="n">
        <v>10</v>
      </c>
      <c r="C235" s="1" t="n">
        <v>0.6</v>
      </c>
      <c r="D235" s="1" t="n">
        <v>1.0065</v>
      </c>
      <c r="E235" s="1" t="n">
        <v>0.0128007</v>
      </c>
      <c r="F235" s="1" t="n">
        <v>2.32127E-005</v>
      </c>
      <c r="G235" s="1" t="s">
        <v>37</v>
      </c>
      <c r="H235" s="1" t="n">
        <v>35</v>
      </c>
      <c r="I235" s="1" t="n">
        <v>279</v>
      </c>
      <c r="J235" s="1" t="n">
        <v>0</v>
      </c>
      <c r="K235" s="1" t="n">
        <v>70.6</v>
      </c>
      <c r="L235" s="1" t="n">
        <v>0</v>
      </c>
      <c r="M235" s="1" t="n">
        <v>0</v>
      </c>
      <c r="N235" s="1" t="s">
        <v>215</v>
      </c>
      <c r="Z235" s="0" t="n">
        <f aca="false">I235-23</f>
        <v>256</v>
      </c>
      <c r="AB235" s="0" t="n">
        <f aca="false">IF(Z235&lt;0,Z235+360,Z235+0)</f>
        <v>256</v>
      </c>
    </row>
    <row r="236" customFormat="false" ht="15.8" hidden="false" customHeight="false" outlineLevel="0" collapsed="false">
      <c r="A236" s="1" t="n">
        <v>7</v>
      </c>
      <c r="B236" s="1" t="n">
        <v>10</v>
      </c>
      <c r="C236" s="1" t="n">
        <v>2.3</v>
      </c>
      <c r="D236" s="1" t="n">
        <v>1.4998</v>
      </c>
      <c r="E236" s="1" t="n">
        <v>0.051651</v>
      </c>
      <c r="F236" s="1" t="n">
        <v>9.36635E-005</v>
      </c>
      <c r="G236" s="1" t="s">
        <v>27</v>
      </c>
      <c r="H236" s="1" t="n">
        <v>75.7</v>
      </c>
      <c r="I236" s="1" t="n">
        <v>160.2</v>
      </c>
      <c r="J236" s="1" t="n">
        <v>-47.3</v>
      </c>
      <c r="K236" s="1"/>
      <c r="L236" s="1" t="n">
        <v>0</v>
      </c>
      <c r="M236" s="1" t="n">
        <v>0</v>
      </c>
      <c r="N236" s="1" t="s">
        <v>215</v>
      </c>
      <c r="Z236" s="0" t="n">
        <f aca="false">I236-23</f>
        <v>137.2</v>
      </c>
      <c r="AB236" s="0" t="n">
        <f aca="false">IF(Z236&lt;0,Z236+360,Z236+0)</f>
        <v>137.2</v>
      </c>
    </row>
    <row r="237" customFormat="false" ht="15.8" hidden="false" customHeight="false" outlineLevel="0" collapsed="false">
      <c r="A237" s="1" t="n">
        <v>7</v>
      </c>
      <c r="B237" s="1" t="n">
        <v>9</v>
      </c>
      <c r="C237" s="1" t="n">
        <v>0.8</v>
      </c>
      <c r="D237" s="1" t="n">
        <v>1.2065</v>
      </c>
      <c r="E237" s="1" t="n">
        <v>0.0189722</v>
      </c>
      <c r="F237" s="1" t="n">
        <v>3.4404E-005</v>
      </c>
      <c r="G237" s="1" t="s">
        <v>37</v>
      </c>
      <c r="H237" s="1" t="n">
        <v>45.9</v>
      </c>
      <c r="I237" s="1" t="n">
        <v>265</v>
      </c>
      <c r="J237" s="1" t="n">
        <v>-32.4</v>
      </c>
      <c r="K237" s="1" t="n">
        <v>75.7</v>
      </c>
      <c r="L237" s="1" t="n">
        <v>0</v>
      </c>
      <c r="M237" s="1" t="n">
        <v>0</v>
      </c>
      <c r="N237" s="1" t="s">
        <v>216</v>
      </c>
      <c r="Z237" s="0" t="n">
        <f aca="false">I237-23</f>
        <v>242</v>
      </c>
      <c r="AB237" s="0" t="n">
        <f aca="false">IF(Z237&lt;0,Z237+360,Z237+0)</f>
        <v>242</v>
      </c>
    </row>
    <row r="238" customFormat="false" ht="15.8" hidden="false" customHeight="false" outlineLevel="0" collapsed="false">
      <c r="A238" s="1" t="n">
        <v>7</v>
      </c>
      <c r="B238" s="1" t="n">
        <v>10</v>
      </c>
      <c r="C238" s="1" t="n">
        <v>1.4</v>
      </c>
      <c r="D238" s="1" t="n">
        <v>1.2302</v>
      </c>
      <c r="E238" s="1" t="n">
        <v>0.0312553</v>
      </c>
      <c r="F238" s="1" t="n">
        <v>5.66781E-005</v>
      </c>
      <c r="G238" s="1" t="s">
        <v>27</v>
      </c>
      <c r="H238" s="1" t="n">
        <v>42.2</v>
      </c>
      <c r="I238" s="1" t="n">
        <v>25.2</v>
      </c>
      <c r="J238" s="1" t="n">
        <v>-41.6</v>
      </c>
      <c r="K238" s="1"/>
      <c r="L238" s="1" t="n">
        <v>0</v>
      </c>
      <c r="M238" s="1" t="n">
        <v>0</v>
      </c>
      <c r="N238" s="1" t="s">
        <v>217</v>
      </c>
      <c r="Z238" s="0" t="n">
        <f aca="false">I238-23</f>
        <v>2.2</v>
      </c>
      <c r="AB238" s="0" t="n">
        <f aca="false">IF(Z238&lt;0,Z238+360,Z238+0)</f>
        <v>2.2</v>
      </c>
    </row>
    <row r="239" customFormat="false" ht="15.8" hidden="false" customHeight="false" outlineLevel="0" collapsed="false">
      <c r="A239" s="1" t="n">
        <v>7</v>
      </c>
      <c r="B239" s="1" t="n">
        <v>10</v>
      </c>
      <c r="C239" s="1" t="n">
        <v>1.3</v>
      </c>
      <c r="D239" s="1" t="n">
        <v>1.2153</v>
      </c>
      <c r="E239" s="1" t="n">
        <v>0.028697</v>
      </c>
      <c r="F239" s="1" t="n">
        <v>5.2039E-005</v>
      </c>
      <c r="G239" s="1" t="s">
        <v>27</v>
      </c>
      <c r="H239" s="1" t="n">
        <v>57.8</v>
      </c>
      <c r="I239" s="1" t="n">
        <v>73.7</v>
      </c>
      <c r="J239" s="1" t="n">
        <v>-45.6</v>
      </c>
      <c r="K239" s="1"/>
      <c r="L239" s="1" t="n">
        <v>0</v>
      </c>
      <c r="M239" s="1" t="n">
        <v>0</v>
      </c>
      <c r="N239" s="1" t="s">
        <v>217</v>
      </c>
      <c r="Z239" s="0" t="n">
        <f aca="false">I239-23</f>
        <v>50.7</v>
      </c>
      <c r="AB239" s="0" t="n">
        <f aca="false">IF(Z239&lt;0,Z239+360,Z239+0)</f>
        <v>50.7</v>
      </c>
    </row>
    <row r="240" customFormat="false" ht="15.8" hidden="false" customHeight="false" outlineLevel="0" collapsed="false">
      <c r="A240" s="1" t="n">
        <v>7</v>
      </c>
      <c r="B240" s="1" t="n">
        <v>9</v>
      </c>
      <c r="C240" s="1" t="n">
        <v>0.8</v>
      </c>
      <c r="D240" s="1" t="n">
        <v>1.009</v>
      </c>
      <c r="E240" s="1" t="n">
        <v>0.01818</v>
      </c>
      <c r="F240" s="1" t="n">
        <v>3.29675E-005</v>
      </c>
      <c r="G240" s="1" t="s">
        <v>37</v>
      </c>
      <c r="H240" s="1" t="n">
        <v>111.9</v>
      </c>
      <c r="I240" s="1" t="n">
        <v>33.4</v>
      </c>
      <c r="J240" s="1" t="n">
        <v>0</v>
      </c>
      <c r="K240" s="1" t="n">
        <v>57.8</v>
      </c>
      <c r="L240" s="1" t="n">
        <v>0</v>
      </c>
      <c r="M240" s="1" t="n">
        <v>0</v>
      </c>
      <c r="N240" s="1" t="s">
        <v>216</v>
      </c>
      <c r="Z240" s="0" t="n">
        <f aca="false">I240-23</f>
        <v>10.4</v>
      </c>
      <c r="AB240" s="0" t="n">
        <f aca="false">IF(Z240&lt;0,Z240+360,Z240+0)</f>
        <v>10.4</v>
      </c>
    </row>
    <row r="241" customFormat="false" ht="15.8" hidden="false" customHeight="false" outlineLevel="0" collapsed="false">
      <c r="A241" s="1" t="n">
        <v>7</v>
      </c>
      <c r="B241" s="1" t="n">
        <v>9</v>
      </c>
      <c r="C241" s="1" t="n">
        <v>1.3</v>
      </c>
      <c r="D241" s="1" t="n">
        <v>1.0308</v>
      </c>
      <c r="E241" s="1" t="n">
        <v>0.0296504</v>
      </c>
      <c r="F241" s="1" t="n">
        <v>5.37678E-005</v>
      </c>
      <c r="G241" s="1" t="s">
        <v>27</v>
      </c>
      <c r="H241" s="1" t="n">
        <v>135.9</v>
      </c>
      <c r="I241" s="1" t="n">
        <v>144.1</v>
      </c>
      <c r="J241" s="1" t="n">
        <v>0</v>
      </c>
      <c r="K241" s="1"/>
      <c r="L241" s="1" t="n">
        <v>0</v>
      </c>
      <c r="M241" s="1" t="n">
        <v>0</v>
      </c>
      <c r="N241" s="1" t="s">
        <v>216</v>
      </c>
      <c r="Z241" s="0" t="n">
        <f aca="false">I241-23</f>
        <v>121.1</v>
      </c>
      <c r="AB241" s="0" t="n">
        <f aca="false">IF(Z241&lt;0,Z241+360,Z241+0)</f>
        <v>121.1</v>
      </c>
    </row>
    <row r="242" customFormat="false" ht="15.8" hidden="false" customHeight="false" outlineLevel="0" collapsed="false">
      <c r="A242" s="1" t="n">
        <v>7</v>
      </c>
      <c r="B242" s="1" t="n">
        <v>8</v>
      </c>
      <c r="C242" s="1" t="n">
        <v>2.3</v>
      </c>
      <c r="D242" s="1" t="n">
        <v>1.1824</v>
      </c>
      <c r="E242" s="1" t="n">
        <v>0.0529227</v>
      </c>
      <c r="F242" s="1" t="n">
        <v>9.59695E-005</v>
      </c>
      <c r="G242" s="1" t="s">
        <v>37</v>
      </c>
      <c r="H242" s="1" t="n">
        <v>109.5</v>
      </c>
      <c r="I242" s="1" t="n">
        <v>281.1</v>
      </c>
      <c r="J242" s="1" t="n">
        <v>10.9</v>
      </c>
      <c r="K242" s="1" t="n">
        <v>135.9</v>
      </c>
      <c r="L242" s="1" t="n">
        <v>0</v>
      </c>
      <c r="M242" s="1" t="n">
        <v>0</v>
      </c>
      <c r="N242" s="1" t="s">
        <v>218</v>
      </c>
      <c r="Z242" s="0" t="n">
        <f aca="false">I242-23</f>
        <v>258.1</v>
      </c>
      <c r="AB242" s="0" t="n">
        <f aca="false">IF(Z242&lt;0,Z242+360,Z242+0)</f>
        <v>258.1</v>
      </c>
    </row>
    <row r="243" customFormat="false" ht="15.8" hidden="false" customHeight="false" outlineLevel="0" collapsed="false">
      <c r="A243" s="1" t="n">
        <v>7</v>
      </c>
      <c r="B243" s="1" t="n">
        <v>9</v>
      </c>
      <c r="C243" s="1" t="n">
        <v>2.7</v>
      </c>
      <c r="D243" s="1" t="n">
        <v>1.4648</v>
      </c>
      <c r="E243" s="1" t="n">
        <v>0.0607565</v>
      </c>
      <c r="F243" s="1" t="n">
        <v>0.000110175</v>
      </c>
      <c r="G243" s="1" t="s">
        <v>27</v>
      </c>
      <c r="H243" s="1" t="n">
        <v>100.6</v>
      </c>
      <c r="I243" s="1" t="n">
        <v>105.4</v>
      </c>
      <c r="J243" s="1" t="n">
        <v>24</v>
      </c>
      <c r="K243" s="1"/>
      <c r="L243" s="1" t="n">
        <v>0</v>
      </c>
      <c r="M243" s="1" t="n">
        <v>0</v>
      </c>
      <c r="N243" s="1" t="s">
        <v>219</v>
      </c>
      <c r="Z243" s="0" t="n">
        <f aca="false">I243-23</f>
        <v>82.4</v>
      </c>
      <c r="AB243" s="0" t="n">
        <f aca="false">IF(Z243&lt;0,Z243+360,Z243+0)</f>
        <v>82.4</v>
      </c>
    </row>
    <row r="244" customFormat="false" ht="15.8" hidden="false" customHeight="false" outlineLevel="0" collapsed="false">
      <c r="A244" s="1" t="n">
        <v>7</v>
      </c>
      <c r="B244" s="1" t="n">
        <v>9</v>
      </c>
      <c r="C244" s="1" t="n">
        <v>1.4</v>
      </c>
      <c r="D244" s="1" t="n">
        <v>1.2923</v>
      </c>
      <c r="E244" s="1" t="n">
        <v>0.0328069</v>
      </c>
      <c r="F244" s="1" t="n">
        <v>5.94918E-005</v>
      </c>
      <c r="G244" s="1" t="s">
        <v>27</v>
      </c>
      <c r="H244" s="1" t="n">
        <v>73.2</v>
      </c>
      <c r="I244" s="1" t="n">
        <v>217.6</v>
      </c>
      <c r="J244" s="1" t="n">
        <v>41.6</v>
      </c>
      <c r="K244" s="1"/>
      <c r="L244" s="1" t="n">
        <v>0</v>
      </c>
      <c r="M244" s="1" t="n">
        <v>0</v>
      </c>
      <c r="N244" s="1" t="s">
        <v>219</v>
      </c>
      <c r="Z244" s="0" t="n">
        <f aca="false">I244-23</f>
        <v>194.6</v>
      </c>
      <c r="AB244" s="0" t="n">
        <f aca="false">IF(Z244&lt;0,Z244+360,Z244+0)</f>
        <v>194.6</v>
      </c>
    </row>
    <row r="245" customFormat="false" ht="15.8" hidden="false" customHeight="false" outlineLevel="0" collapsed="false">
      <c r="A245" s="1" t="n">
        <v>7</v>
      </c>
      <c r="B245" s="1" t="n">
        <v>8</v>
      </c>
      <c r="C245" s="1" t="n">
        <v>1</v>
      </c>
      <c r="D245" s="1" t="n">
        <v>1.2715</v>
      </c>
      <c r="E245" s="1" t="n">
        <v>0.0224986</v>
      </c>
      <c r="F245" s="1" t="n">
        <v>4.07988E-005</v>
      </c>
      <c r="G245" s="1" t="s">
        <v>37</v>
      </c>
      <c r="H245" s="1" t="n">
        <v>36.3</v>
      </c>
      <c r="I245" s="1" t="n">
        <v>194.8</v>
      </c>
      <c r="J245" s="1" t="n">
        <v>-28.5</v>
      </c>
      <c r="K245" s="1" t="n">
        <v>100.6</v>
      </c>
      <c r="L245" s="1" t="n">
        <v>0</v>
      </c>
      <c r="M245" s="1" t="n">
        <v>0</v>
      </c>
      <c r="N245" s="1" t="s">
        <v>218</v>
      </c>
      <c r="Z245" s="0" t="n">
        <f aca="false">I245-23</f>
        <v>171.8</v>
      </c>
      <c r="AB245" s="0" t="n">
        <f aca="false">IF(Z245&lt;0,Z245+360,Z245+0)</f>
        <v>171.8</v>
      </c>
    </row>
    <row r="246" customFormat="false" ht="15.8" hidden="false" customHeight="false" outlineLevel="0" collapsed="false">
      <c r="A246" s="1" t="n">
        <v>7</v>
      </c>
      <c r="B246" s="1" t="n">
        <v>7</v>
      </c>
      <c r="C246" s="1" t="n">
        <v>2.8</v>
      </c>
      <c r="D246" s="1" t="n">
        <v>1.4296</v>
      </c>
      <c r="E246" s="1" t="n">
        <v>0.0631334</v>
      </c>
      <c r="F246" s="1" t="n">
        <v>0.000114486</v>
      </c>
      <c r="G246" s="1" t="s">
        <v>37</v>
      </c>
      <c r="H246" s="1" t="n">
        <v>98.3</v>
      </c>
      <c r="I246" s="1" t="n">
        <v>171.2</v>
      </c>
      <c r="J246" s="1" t="n">
        <v>0</v>
      </c>
      <c r="K246" s="1" t="n">
        <v>109.5</v>
      </c>
      <c r="L246" s="1" t="n">
        <v>0</v>
      </c>
      <c r="M246" s="1" t="n">
        <v>0</v>
      </c>
      <c r="N246" s="1" t="s">
        <v>220</v>
      </c>
      <c r="Z246" s="0" t="n">
        <f aca="false">I246-23</f>
        <v>148.2</v>
      </c>
      <c r="AB246" s="0" t="n">
        <f aca="false">IF(Z246&lt;0,Z246+360,Z246+0)</f>
        <v>148.2</v>
      </c>
    </row>
    <row r="247" customFormat="false" ht="15.8" hidden="false" customHeight="false" outlineLevel="0" collapsed="false">
      <c r="A247" s="1" t="n">
        <v>7</v>
      </c>
      <c r="B247" s="1" t="n">
        <v>8</v>
      </c>
      <c r="C247" s="1" t="n">
        <v>1.3</v>
      </c>
      <c r="D247" s="1" t="n">
        <v>1.1949</v>
      </c>
      <c r="E247" s="1" t="n">
        <v>0.0301757</v>
      </c>
      <c r="F247" s="1" t="n">
        <v>5.47204E-005</v>
      </c>
      <c r="G247" s="1" t="s">
        <v>27</v>
      </c>
      <c r="H247" s="1" t="n">
        <v>53.5</v>
      </c>
      <c r="I247" s="1" t="n">
        <v>269.2</v>
      </c>
      <c r="J247" s="1" t="n">
        <v>-19.5</v>
      </c>
      <c r="K247" s="1"/>
      <c r="L247" s="1" t="n">
        <v>0</v>
      </c>
      <c r="M247" s="1" t="n">
        <v>0</v>
      </c>
      <c r="N247" s="1" t="s">
        <v>221</v>
      </c>
      <c r="Z247" s="0" t="n">
        <f aca="false">I247-23</f>
        <v>246.2</v>
      </c>
      <c r="AB247" s="0" t="n">
        <f aca="false">IF(Z247&lt;0,Z247+360,Z247+0)</f>
        <v>246.2</v>
      </c>
    </row>
    <row r="248" customFormat="false" ht="15.8" hidden="false" customHeight="false" outlineLevel="0" collapsed="false">
      <c r="A248" s="1" t="n">
        <v>7</v>
      </c>
      <c r="B248" s="1" t="n">
        <v>8</v>
      </c>
      <c r="C248" s="1" t="n">
        <v>0.6</v>
      </c>
      <c r="D248" s="1" t="n">
        <v>1.025</v>
      </c>
      <c r="E248" s="1" t="n">
        <v>0.0143174</v>
      </c>
      <c r="F248" s="1" t="n">
        <v>2.59631E-005</v>
      </c>
      <c r="G248" s="1" t="s">
        <v>27</v>
      </c>
      <c r="H248" s="1" t="n">
        <v>90.2</v>
      </c>
      <c r="I248" s="1" t="n">
        <v>50.3</v>
      </c>
      <c r="J248" s="1" t="n">
        <v>0</v>
      </c>
      <c r="K248" s="1"/>
      <c r="L248" s="1" t="n">
        <v>0</v>
      </c>
      <c r="M248" s="1" t="n">
        <v>0</v>
      </c>
      <c r="N248" s="1" t="s">
        <v>221</v>
      </c>
      <c r="Z248" s="0" t="n">
        <f aca="false">I248-23</f>
        <v>27.3</v>
      </c>
      <c r="AB248" s="0" t="n">
        <f aca="false">IF(Z248&lt;0,Z248+360,Z248+0)</f>
        <v>27.3</v>
      </c>
    </row>
    <row r="249" customFormat="false" ht="15.8" hidden="false" customHeight="false" outlineLevel="0" collapsed="false">
      <c r="A249" s="1" t="n">
        <v>7</v>
      </c>
      <c r="B249" s="1" t="n">
        <v>7</v>
      </c>
      <c r="C249" s="1" t="n">
        <v>1.3</v>
      </c>
      <c r="D249" s="1" t="n">
        <v>1.0767</v>
      </c>
      <c r="E249" s="1" t="n">
        <v>0.0296923</v>
      </c>
      <c r="F249" s="1" t="n">
        <v>5.38439E-005</v>
      </c>
      <c r="G249" s="1" t="s">
        <v>37</v>
      </c>
      <c r="H249" s="1" t="n">
        <v>70.3</v>
      </c>
      <c r="I249" s="1" t="n">
        <v>320.1</v>
      </c>
      <c r="J249" s="1" t="n">
        <v>0</v>
      </c>
      <c r="K249" s="1" t="n">
        <v>90.2</v>
      </c>
      <c r="L249" s="1" t="n">
        <v>0</v>
      </c>
      <c r="M249" s="1" t="n">
        <v>0</v>
      </c>
      <c r="N249" s="1" t="s">
        <v>220</v>
      </c>
      <c r="Z249" s="0" t="n">
        <f aca="false">I249-23</f>
        <v>297.1</v>
      </c>
      <c r="AB249" s="0" t="n">
        <f aca="false">IF(Z249&lt;0,Z249+360,Z249+0)</f>
        <v>297.1</v>
      </c>
    </row>
    <row r="250" customFormat="false" ht="15.8" hidden="false" customHeight="false" outlineLevel="0" collapsed="false">
      <c r="A250" s="1" t="n">
        <v>7</v>
      </c>
      <c r="B250" s="1" t="n">
        <v>6</v>
      </c>
      <c r="C250" s="1" t="n">
        <v>0.9</v>
      </c>
      <c r="D250" s="1" t="n">
        <v>1.0868</v>
      </c>
      <c r="E250" s="1" t="n">
        <v>0.0203944</v>
      </c>
      <c r="F250" s="1" t="n">
        <v>3.6983E-005</v>
      </c>
      <c r="G250" s="1" t="s">
        <v>37</v>
      </c>
      <c r="H250" s="1" t="n">
        <v>116.8</v>
      </c>
      <c r="I250" s="1" t="n">
        <v>280.4</v>
      </c>
      <c r="J250" s="1" t="n">
        <v>64</v>
      </c>
      <c r="K250" s="1" t="n">
        <v>98.3</v>
      </c>
      <c r="L250" s="1" t="n">
        <v>0</v>
      </c>
      <c r="M250" s="1" t="n">
        <v>0</v>
      </c>
      <c r="N250" s="1" t="s">
        <v>212</v>
      </c>
      <c r="Z250" s="0" t="n">
        <f aca="false">I250-23</f>
        <v>257.4</v>
      </c>
      <c r="AB250" s="0" t="n">
        <f aca="false">IF(Z250&lt;0,Z250+360,Z250+0)</f>
        <v>257.4</v>
      </c>
    </row>
    <row r="251" customFormat="false" ht="15.8" hidden="false" customHeight="false" outlineLevel="0" collapsed="false">
      <c r="A251" s="1" t="n">
        <v>7</v>
      </c>
      <c r="B251" s="1" t="n">
        <v>5</v>
      </c>
      <c r="C251" s="1" t="n">
        <v>2.6</v>
      </c>
      <c r="D251" s="1" t="n">
        <v>1.5606</v>
      </c>
      <c r="E251" s="1" t="n">
        <v>0.0648373</v>
      </c>
      <c r="F251" s="1" t="n">
        <v>0.000131082</v>
      </c>
      <c r="G251" s="1" t="s">
        <v>37</v>
      </c>
      <c r="H251" s="1" t="n">
        <v>103.9</v>
      </c>
      <c r="I251" s="1" t="n">
        <v>181.9</v>
      </c>
      <c r="J251" s="1" t="n">
        <v>-25.8</v>
      </c>
      <c r="K251" s="1" t="n">
        <v>116.8</v>
      </c>
      <c r="L251" s="1" t="n">
        <v>0</v>
      </c>
      <c r="M251" s="1" t="n">
        <v>0</v>
      </c>
      <c r="N251" s="1" t="s">
        <v>203</v>
      </c>
      <c r="Z251" s="0" t="n">
        <f aca="false">I251-23</f>
        <v>158.9</v>
      </c>
      <c r="AB251" s="0" t="n">
        <f aca="false">IF(Z251&lt;0,Z251+360,Z251+0)</f>
        <v>158.9</v>
      </c>
    </row>
    <row r="252" customFormat="false" ht="15.8" hidden="false" customHeight="false" outlineLevel="0" collapsed="false">
      <c r="A252" s="1" t="n">
        <v>7</v>
      </c>
      <c r="B252" s="1" t="n">
        <v>4</v>
      </c>
      <c r="C252" s="1" t="n">
        <v>7.9</v>
      </c>
      <c r="D252" s="1" t="n">
        <v>1.1188</v>
      </c>
      <c r="E252" s="1" t="n">
        <v>0.361355</v>
      </c>
      <c r="F252" s="1" t="n">
        <v>0.00131056</v>
      </c>
      <c r="G252" s="1" t="s">
        <v>37</v>
      </c>
      <c r="H252" s="1" t="n">
        <v>15</v>
      </c>
      <c r="I252" s="1" t="n">
        <v>76.4</v>
      </c>
      <c r="J252" s="1" t="n">
        <v>0</v>
      </c>
      <c r="K252" s="1" t="n">
        <v>103.9</v>
      </c>
      <c r="L252" s="1" t="n">
        <v>0</v>
      </c>
      <c r="M252" s="1" t="n">
        <v>0</v>
      </c>
      <c r="N252" s="1" t="s">
        <v>222</v>
      </c>
      <c r="Z252" s="0" t="n">
        <f aca="false">I252-23</f>
        <v>53.4</v>
      </c>
      <c r="AB252" s="0" t="n">
        <f aca="false">IF(Z252&lt;0,Z252+360,Z252+0)</f>
        <v>53.4</v>
      </c>
    </row>
    <row r="253" customFormat="false" ht="15.8" hidden="false" customHeight="false" outlineLevel="0" collapsed="false">
      <c r="A253" s="1" t="n">
        <v>7</v>
      </c>
      <c r="B253" s="1" t="n">
        <v>6</v>
      </c>
      <c r="C253" s="1" t="n">
        <v>1.5</v>
      </c>
      <c r="D253" s="1" t="n">
        <v>1.1156</v>
      </c>
      <c r="E253" s="1" t="n">
        <v>0.0673517</v>
      </c>
      <c r="F253" s="1" t="n">
        <v>0.00024427</v>
      </c>
      <c r="G253" s="1" t="s">
        <v>27</v>
      </c>
      <c r="H253" s="1" t="n">
        <v>32.1</v>
      </c>
      <c r="I253" s="1" t="n">
        <v>225</v>
      </c>
      <c r="J253" s="1" t="n">
        <v>-16.2</v>
      </c>
      <c r="K253" s="1"/>
      <c r="L253" s="1" t="n">
        <v>0</v>
      </c>
      <c r="M253" s="1" t="n">
        <v>0</v>
      </c>
      <c r="N253" s="1" t="s">
        <v>223</v>
      </c>
      <c r="Z253" s="0" t="n">
        <f aca="false">I253-23</f>
        <v>202</v>
      </c>
      <c r="AB253" s="0" t="n">
        <f aca="false">IF(Z253&lt;0,Z253+360,Z253+0)</f>
        <v>202</v>
      </c>
    </row>
    <row r="254" customFormat="false" ht="15.8" hidden="false" customHeight="false" outlineLevel="0" collapsed="false">
      <c r="A254" s="1" t="n">
        <v>7</v>
      </c>
      <c r="B254" s="1" t="n">
        <v>6</v>
      </c>
      <c r="C254" s="1" t="n">
        <v>0.6</v>
      </c>
      <c r="D254" s="1" t="n">
        <v>1.1046</v>
      </c>
      <c r="E254" s="1" t="n">
        <v>0.0281184</v>
      </c>
      <c r="F254" s="1" t="n">
        <v>0.000101979</v>
      </c>
      <c r="G254" s="1" t="s">
        <v>27</v>
      </c>
      <c r="H254" s="1" t="n">
        <v>79.5</v>
      </c>
      <c r="I254" s="1" t="n">
        <v>326.3</v>
      </c>
      <c r="J254" s="1" t="n">
        <v>41.5</v>
      </c>
      <c r="K254" s="1"/>
      <c r="L254" s="1" t="n">
        <v>0</v>
      </c>
      <c r="M254" s="1" t="n">
        <v>0</v>
      </c>
      <c r="N254" s="1" t="s">
        <v>223</v>
      </c>
      <c r="Z254" s="0" t="n">
        <f aca="false">I254-23</f>
        <v>303.3</v>
      </c>
      <c r="AB254" s="0" t="n">
        <f aca="false">IF(Z254&lt;0,Z254+360,Z254+0)</f>
        <v>303.3</v>
      </c>
    </row>
    <row r="255" customFormat="false" ht="15.8" hidden="false" customHeight="false" outlineLevel="0" collapsed="false">
      <c r="A255" s="1" t="n">
        <v>7</v>
      </c>
      <c r="B255" s="1" t="n">
        <v>5</v>
      </c>
      <c r="C255" s="1" t="n">
        <v>2.1</v>
      </c>
      <c r="D255" s="1" t="n">
        <v>1.2487</v>
      </c>
      <c r="E255" s="1" t="n">
        <v>0.0956517</v>
      </c>
      <c r="F255" s="1" t="n">
        <v>0.000346908</v>
      </c>
      <c r="G255" s="1" t="s">
        <v>37</v>
      </c>
      <c r="H255" s="1" t="n">
        <v>80.4</v>
      </c>
      <c r="I255" s="1" t="n">
        <v>239.1</v>
      </c>
      <c r="J255" s="1" t="n">
        <v>12.7</v>
      </c>
      <c r="K255" s="1" t="n">
        <v>79.5</v>
      </c>
      <c r="L255" s="1" t="n">
        <v>0</v>
      </c>
      <c r="M255" s="1" t="n">
        <v>0</v>
      </c>
      <c r="N255" s="1" t="s">
        <v>224</v>
      </c>
      <c r="Z255" s="0" t="n">
        <f aca="false">I255-23</f>
        <v>216.1</v>
      </c>
      <c r="AB255" s="0" t="n">
        <f aca="false">IF(Z255&lt;0,Z255+360,Z255+0)</f>
        <v>216.1</v>
      </c>
    </row>
    <row r="256" customFormat="false" ht="15.8" hidden="false" customHeight="false" outlineLevel="0" collapsed="false">
      <c r="A256" s="1" t="n">
        <v>7</v>
      </c>
      <c r="B256" s="1" t="n">
        <v>7</v>
      </c>
      <c r="C256" s="1" t="n">
        <v>1.1</v>
      </c>
      <c r="D256" s="1" t="n">
        <v>1.2531</v>
      </c>
      <c r="E256" s="1" t="n">
        <v>0.0500119</v>
      </c>
      <c r="F256" s="1" t="n">
        <v>0.000181382</v>
      </c>
      <c r="G256" s="1" t="s">
        <v>27</v>
      </c>
      <c r="H256" s="1" t="n">
        <v>63.8</v>
      </c>
      <c r="I256" s="1" t="n">
        <v>286.2</v>
      </c>
      <c r="J256" s="1" t="n">
        <v>-57.7</v>
      </c>
      <c r="K256" s="1"/>
      <c r="L256" s="1" t="n">
        <v>0</v>
      </c>
      <c r="M256" s="1" t="n">
        <v>0</v>
      </c>
      <c r="N256" s="1" t="s">
        <v>225</v>
      </c>
      <c r="Z256" s="0" t="n">
        <f aca="false">I256-23</f>
        <v>263.2</v>
      </c>
      <c r="AB256" s="0" t="n">
        <f aca="false">IF(Z256&lt;0,Z256+360,Z256+0)</f>
        <v>263.2</v>
      </c>
    </row>
    <row r="257" customFormat="false" ht="15.8" hidden="false" customHeight="false" outlineLevel="0" collapsed="false">
      <c r="A257" s="1" t="n">
        <v>7</v>
      </c>
      <c r="B257" s="1" t="n">
        <v>7</v>
      </c>
      <c r="C257" s="1" t="n">
        <v>0.6</v>
      </c>
      <c r="D257" s="1" t="n">
        <v>1.0258</v>
      </c>
      <c r="E257" s="1" t="n">
        <v>0.0282681</v>
      </c>
      <c r="F257" s="1" t="n">
        <v>0.000102522</v>
      </c>
      <c r="G257" s="1" t="s">
        <v>27</v>
      </c>
      <c r="H257" s="1" t="n">
        <v>87.8</v>
      </c>
      <c r="I257" s="1" t="n">
        <v>120.3</v>
      </c>
      <c r="J257" s="1" t="n">
        <v>0</v>
      </c>
      <c r="K257" s="1"/>
      <c r="L257" s="1" t="n">
        <v>0</v>
      </c>
      <c r="M257" s="1" t="n">
        <v>0</v>
      </c>
      <c r="N257" s="1" t="s">
        <v>225</v>
      </c>
      <c r="Z257" s="0" t="n">
        <f aca="false">I257-23</f>
        <v>97.3</v>
      </c>
      <c r="AB257" s="0" t="n">
        <f aca="false">IF(Z257&lt;0,Z257+360,Z257+0)</f>
        <v>97.3</v>
      </c>
    </row>
    <row r="258" customFormat="false" ht="15.8" hidden="false" customHeight="false" outlineLevel="0" collapsed="false">
      <c r="A258" s="1" t="n">
        <v>7</v>
      </c>
      <c r="B258" s="1" t="n">
        <v>6</v>
      </c>
      <c r="C258" s="1" t="n">
        <v>1.4</v>
      </c>
      <c r="D258" s="1" t="n">
        <v>1.5454</v>
      </c>
      <c r="E258" s="1" t="n">
        <v>0.0644626</v>
      </c>
      <c r="F258" s="1" t="n">
        <v>0.000233792</v>
      </c>
      <c r="G258" s="1" t="s">
        <v>37</v>
      </c>
      <c r="H258" s="1" t="n">
        <v>62.3</v>
      </c>
      <c r="I258" s="1" t="n">
        <v>207.9</v>
      </c>
      <c r="J258" s="1" t="n">
        <v>-23.8</v>
      </c>
      <c r="K258" s="1" t="n">
        <v>87.8</v>
      </c>
      <c r="L258" s="1" t="n">
        <v>0</v>
      </c>
      <c r="M258" s="1" t="n">
        <v>0</v>
      </c>
      <c r="N258" s="1" t="s">
        <v>226</v>
      </c>
      <c r="Z258" s="0" t="n">
        <f aca="false">I258-23</f>
        <v>184.9</v>
      </c>
      <c r="AB258" s="0" t="n">
        <f aca="false">IF(Z258&lt;0,Z258+360,Z258+0)</f>
        <v>184.9</v>
      </c>
    </row>
    <row r="259" customFormat="false" ht="15.8" hidden="false" customHeight="false" outlineLevel="0" collapsed="false">
      <c r="A259" s="1" t="n">
        <v>7</v>
      </c>
      <c r="B259" s="1" t="n">
        <v>6</v>
      </c>
      <c r="C259" s="1" t="n">
        <v>0.6</v>
      </c>
      <c r="D259" s="1" t="n">
        <v>1.0137</v>
      </c>
      <c r="E259" s="1" t="n">
        <v>0.0271427</v>
      </c>
      <c r="F259" s="1" t="n">
        <v>9.84408E-005</v>
      </c>
      <c r="G259" s="1" t="s">
        <v>27</v>
      </c>
      <c r="H259" s="1" t="n">
        <v>56.9</v>
      </c>
      <c r="I259" s="1" t="n">
        <v>122.9</v>
      </c>
      <c r="J259" s="1" t="n">
        <v>0</v>
      </c>
      <c r="K259" s="1"/>
      <c r="L259" s="1" t="n">
        <v>0</v>
      </c>
      <c r="M259" s="1" t="n">
        <v>0</v>
      </c>
      <c r="N259" s="1" t="s">
        <v>226</v>
      </c>
      <c r="Z259" s="0" t="n">
        <f aca="false">I259-23</f>
        <v>99.9</v>
      </c>
      <c r="AB259" s="0" t="n">
        <f aca="false">IF(Z259&lt;0,Z259+360,Z259+0)</f>
        <v>99.9</v>
      </c>
    </row>
    <row r="260" customFormat="false" ht="15.8" hidden="false" customHeight="false" outlineLevel="0" collapsed="false">
      <c r="A260" s="1" t="n">
        <v>7</v>
      </c>
      <c r="B260" s="1" t="n">
        <v>5</v>
      </c>
      <c r="C260" s="1" t="n">
        <v>1.1</v>
      </c>
      <c r="D260" s="1" t="n">
        <v>1.2014</v>
      </c>
      <c r="E260" s="1" t="n">
        <v>0.0486799</v>
      </c>
      <c r="F260" s="1" t="n">
        <v>0.000176551</v>
      </c>
      <c r="G260" s="1" t="s">
        <v>37</v>
      </c>
      <c r="H260" s="1" t="n">
        <v>41</v>
      </c>
      <c r="I260" s="1" t="n">
        <v>132.6</v>
      </c>
      <c r="J260" s="1" t="n">
        <v>-56.3</v>
      </c>
      <c r="K260" s="1" t="n">
        <v>62.3</v>
      </c>
      <c r="L260" s="1" t="n">
        <v>0</v>
      </c>
      <c r="M260" s="1" t="n">
        <v>0</v>
      </c>
      <c r="N260" s="1" t="s">
        <v>224</v>
      </c>
      <c r="Z260" s="0" t="n">
        <f aca="false">I260-23</f>
        <v>109.6</v>
      </c>
      <c r="AB260" s="0" t="n">
        <f aca="false">IF(Z260&lt;0,Z260+360,Z260+0)</f>
        <v>109.6</v>
      </c>
    </row>
    <row r="261" customFormat="false" ht="15.8" hidden="false" customHeight="false" outlineLevel="0" collapsed="false">
      <c r="A261" s="1" t="n">
        <v>7</v>
      </c>
      <c r="B261" s="1" t="n">
        <v>4</v>
      </c>
      <c r="C261" s="1" t="n">
        <v>1.1</v>
      </c>
      <c r="D261" s="1" t="n">
        <v>1.1272</v>
      </c>
      <c r="E261" s="1" t="n">
        <v>0.0485242</v>
      </c>
      <c r="F261" s="1" t="n">
        <v>0.000175987</v>
      </c>
      <c r="G261" s="1" t="s">
        <v>37</v>
      </c>
      <c r="H261" s="1" t="n">
        <v>86.7</v>
      </c>
      <c r="I261" s="1" t="n">
        <v>165.5</v>
      </c>
      <c r="J261" s="1" t="n">
        <v>-23.1</v>
      </c>
      <c r="K261" s="1" t="n">
        <v>80.4</v>
      </c>
      <c r="L261" s="1" t="n">
        <v>0</v>
      </c>
      <c r="M261" s="1" t="n">
        <v>0</v>
      </c>
      <c r="N261" s="1" t="s">
        <v>222</v>
      </c>
      <c r="Z261" s="0" t="n">
        <f aca="false">I261-23</f>
        <v>142.5</v>
      </c>
      <c r="AB261" s="0" t="n">
        <f aca="false">IF(Z261&lt;0,Z261+360,Z261+0)</f>
        <v>142.5</v>
      </c>
    </row>
    <row r="262" customFormat="false" ht="15.8" hidden="false" customHeight="false" outlineLevel="0" collapsed="false">
      <c r="A262" s="1" t="n">
        <v>7</v>
      </c>
      <c r="B262" s="1" t="n">
        <v>3</v>
      </c>
      <c r="C262" s="1" t="n">
        <v>5.8</v>
      </c>
      <c r="D262" s="1" t="n">
        <v>1.1312</v>
      </c>
      <c r="E262" s="1" t="n">
        <v>0.262478</v>
      </c>
      <c r="F262" s="1" t="n">
        <v>0.00095195</v>
      </c>
      <c r="G262" s="1" t="s">
        <v>37</v>
      </c>
      <c r="H262" s="1" t="n">
        <v>81.6</v>
      </c>
      <c r="I262" s="1" t="n">
        <v>84.6</v>
      </c>
      <c r="J262" s="1" t="n">
        <v>12.6</v>
      </c>
      <c r="K262" s="1" t="n">
        <v>86.7</v>
      </c>
      <c r="L262" s="1" t="n">
        <v>0</v>
      </c>
      <c r="M262" s="1" t="n">
        <v>0</v>
      </c>
      <c r="N262" s="1" t="s">
        <v>227</v>
      </c>
      <c r="Z262" s="0" t="n">
        <f aca="false">I262-23</f>
        <v>61.6</v>
      </c>
      <c r="AB262" s="0" t="n">
        <f aca="false">IF(Z262&lt;0,Z262+360,Z262+0)</f>
        <v>61.6</v>
      </c>
    </row>
    <row r="263" customFormat="false" ht="15.8" hidden="false" customHeight="false" outlineLevel="0" collapsed="false">
      <c r="A263" s="1" t="n">
        <v>7</v>
      </c>
      <c r="B263" s="1" t="n">
        <v>3</v>
      </c>
      <c r="C263" s="1" t="n">
        <v>5</v>
      </c>
      <c r="D263" s="1" t="n">
        <v>1.2572</v>
      </c>
      <c r="E263" s="1" t="n">
        <v>0.225835</v>
      </c>
      <c r="F263" s="1" t="n">
        <v>0.000819056</v>
      </c>
      <c r="G263" s="1" t="s">
        <v>27</v>
      </c>
      <c r="H263" s="1" t="n">
        <v>37.8</v>
      </c>
      <c r="I263" s="1" t="n">
        <v>203.5</v>
      </c>
      <c r="J263" s="1" t="n">
        <v>-5.4</v>
      </c>
      <c r="K263" s="1"/>
      <c r="L263" s="1" t="n">
        <v>0</v>
      </c>
      <c r="M263" s="1" t="n">
        <v>0</v>
      </c>
      <c r="N263" s="1" t="s">
        <v>227</v>
      </c>
      <c r="Z263" s="0" t="n">
        <f aca="false">I263-23</f>
        <v>180.5</v>
      </c>
      <c r="AB263" s="0" t="n">
        <f aca="false">IF(Z263&lt;0,Z263+360,Z263+0)</f>
        <v>180.5</v>
      </c>
    </row>
    <row r="264" customFormat="false" ht="15.8" hidden="false" customHeight="false" outlineLevel="0" collapsed="false">
      <c r="A264" s="1" t="n">
        <v>7</v>
      </c>
      <c r="B264" s="1" t="n">
        <v>2</v>
      </c>
      <c r="C264" s="1" t="n">
        <v>3.6</v>
      </c>
      <c r="D264" s="1" t="n">
        <v>1.7812</v>
      </c>
      <c r="E264" s="1" t="n">
        <v>0.160201</v>
      </c>
      <c r="F264" s="1" t="n">
        <v>0.000572975</v>
      </c>
      <c r="G264" s="1" t="s">
        <v>37</v>
      </c>
      <c r="H264" s="1" t="n">
        <v>18.6</v>
      </c>
      <c r="I264" s="1" t="n">
        <v>166</v>
      </c>
      <c r="J264" s="1" t="n">
        <v>0</v>
      </c>
      <c r="K264" s="1" t="n">
        <v>81.6</v>
      </c>
      <c r="L264" s="1" t="n">
        <v>0</v>
      </c>
      <c r="M264" s="1" t="n">
        <v>0</v>
      </c>
      <c r="N264" s="1" t="s">
        <v>228</v>
      </c>
      <c r="Z264" s="0" t="n">
        <f aca="false">I264-23</f>
        <v>143</v>
      </c>
      <c r="AB264" s="0" t="n">
        <f aca="false">IF(Z264&lt;0,Z264+360,Z264+0)</f>
        <v>143</v>
      </c>
    </row>
    <row r="265" customFormat="false" ht="15.8" hidden="false" customHeight="false" outlineLevel="0" collapsed="false">
      <c r="A265" s="1" t="n">
        <v>7</v>
      </c>
      <c r="B265" s="1" t="n">
        <v>2</v>
      </c>
      <c r="C265" s="1" t="n">
        <v>1.6</v>
      </c>
      <c r="D265" s="1" t="n">
        <v>1.0585</v>
      </c>
      <c r="E265" s="1" t="n">
        <v>0.0375145</v>
      </c>
      <c r="F265" s="1" t="n">
        <v>6.80285E-005</v>
      </c>
      <c r="G265" s="1" t="s">
        <v>27</v>
      </c>
      <c r="H265" s="1" t="n">
        <v>39.5</v>
      </c>
      <c r="I265" s="1" t="n">
        <v>107.9</v>
      </c>
      <c r="J265" s="1" t="n">
        <v>0</v>
      </c>
      <c r="K265" s="1"/>
      <c r="L265" s="1" t="n">
        <v>0</v>
      </c>
      <c r="M265" s="1" t="n">
        <v>0</v>
      </c>
      <c r="N265" s="1" t="s">
        <v>228</v>
      </c>
      <c r="Z265" s="0" t="n">
        <f aca="false">I265-23</f>
        <v>84.9</v>
      </c>
      <c r="AB265" s="0" t="n">
        <f aca="false">IF(Z265&lt;0,Z265+360,Z265+0)</f>
        <v>84.9</v>
      </c>
    </row>
    <row r="266" customFormat="false" ht="15.8" hidden="false" customHeight="false" outlineLevel="0" collapsed="false">
      <c r="A266" s="1" t="n">
        <v>7</v>
      </c>
      <c r="B266" s="1" t="n">
        <v>1</v>
      </c>
      <c r="C266" s="1" t="n">
        <v>0.7</v>
      </c>
      <c r="D266" s="1" t="n">
        <v>1.0179</v>
      </c>
      <c r="E266" s="1" t="n">
        <v>0.0165692</v>
      </c>
      <c r="F266" s="1" t="n">
        <v>3.00465E-005</v>
      </c>
      <c r="G266" s="1" t="s">
        <v>37</v>
      </c>
      <c r="H266" s="1"/>
      <c r="I266" s="1" t="n">
        <v>147.4</v>
      </c>
      <c r="J266" s="1" t="n">
        <v>0</v>
      </c>
      <c r="K266" s="1" t="n">
        <v>39.5</v>
      </c>
      <c r="L266" s="1" t="n">
        <v>0</v>
      </c>
      <c r="M266" s="1" t="n">
        <v>0</v>
      </c>
      <c r="N266" s="1" t="s">
        <v>229</v>
      </c>
      <c r="Z266" s="0" t="n">
        <f aca="false">I266-23</f>
        <v>124.4</v>
      </c>
      <c r="AB266" s="0" t="n">
        <f aca="false">IF(Z266&lt;0,Z266+360,Z266+0)</f>
        <v>124.4</v>
      </c>
    </row>
    <row r="267" customFormat="false" ht="15.8" hidden="false" customHeight="false" outlineLevel="0" collapsed="false">
      <c r="A267" s="1" t="n">
        <v>8</v>
      </c>
      <c r="B267" s="1" t="n">
        <v>1</v>
      </c>
      <c r="C267" s="1" t="n">
        <v>5.8</v>
      </c>
      <c r="D267" s="1" t="n">
        <v>1.5175</v>
      </c>
      <c r="E267" s="1" t="n">
        <v>0.197927</v>
      </c>
      <c r="F267" s="1" t="n">
        <v>0.000538379</v>
      </c>
      <c r="G267" s="1" t="s">
        <v>27</v>
      </c>
      <c r="H267" s="1"/>
      <c r="I267" s="1" t="n">
        <v>278.7</v>
      </c>
      <c r="J267" s="1" t="n">
        <v>5.6</v>
      </c>
      <c r="K267" s="1"/>
      <c r="L267" s="1" t="n">
        <v>0</v>
      </c>
      <c r="M267" s="1" t="n">
        <v>0</v>
      </c>
      <c r="N267" s="1" t="s">
        <v>230</v>
      </c>
      <c r="Z267" s="0" t="n">
        <f aca="false">I267-23</f>
        <v>255.7</v>
      </c>
      <c r="AB267" s="0" t="n">
        <f aca="false">IF(Z267&lt;0,Z267+360,Z267+0)</f>
        <v>255.7</v>
      </c>
    </row>
    <row r="268" customFormat="false" ht="15.8" hidden="false" customHeight="false" outlineLevel="0" collapsed="false">
      <c r="A268" s="1" t="n">
        <v>9</v>
      </c>
      <c r="B268" s="1" t="n">
        <v>3</v>
      </c>
      <c r="C268" s="1" t="n">
        <v>1.8</v>
      </c>
      <c r="D268" s="1" t="n">
        <v>1.1838</v>
      </c>
      <c r="E268" s="1" t="n">
        <v>0.0631242</v>
      </c>
      <c r="F268" s="1" t="n">
        <v>0.000171703</v>
      </c>
      <c r="G268" s="1" t="s">
        <v>27</v>
      </c>
      <c r="H268" s="1" t="n">
        <v>32.8</v>
      </c>
      <c r="I268" s="1" t="n">
        <v>254.2</v>
      </c>
      <c r="J268" s="1" t="n">
        <v>-13.7</v>
      </c>
      <c r="K268" s="1"/>
      <c r="L268" s="1" t="n">
        <v>0</v>
      </c>
      <c r="M268" s="1" t="n">
        <v>0</v>
      </c>
      <c r="N268" s="1" t="s">
        <v>231</v>
      </c>
      <c r="Z268" s="0" t="n">
        <f aca="false">I268-23</f>
        <v>231.2</v>
      </c>
      <c r="AB268" s="0" t="n">
        <f aca="false">IF(Z268&lt;0,Z268+360,Z268+0)</f>
        <v>231.2</v>
      </c>
    </row>
    <row r="269" customFormat="false" ht="15.8" hidden="false" customHeight="false" outlineLevel="0" collapsed="false">
      <c r="A269" s="1" t="n">
        <v>9</v>
      </c>
      <c r="B269" s="1" t="n">
        <v>3</v>
      </c>
      <c r="C269" s="1" t="n">
        <v>2.5</v>
      </c>
      <c r="D269" s="1" t="n">
        <v>2.2157</v>
      </c>
      <c r="E269" s="1" t="n">
        <v>0.0844441</v>
      </c>
      <c r="F269" s="1" t="n">
        <v>0.000229695</v>
      </c>
      <c r="G269" s="1" t="s">
        <v>27</v>
      </c>
      <c r="H269" s="1" t="n">
        <v>109.9</v>
      </c>
      <c r="I269" s="1" t="n">
        <v>28.6</v>
      </c>
      <c r="J269" s="1" t="n">
        <v>0</v>
      </c>
      <c r="K269" s="1"/>
      <c r="L269" s="1" t="n">
        <v>0</v>
      </c>
      <c r="M269" s="1" t="n">
        <v>0</v>
      </c>
      <c r="N269" s="1" t="s">
        <v>231</v>
      </c>
      <c r="Z269" s="0" t="n">
        <f aca="false">I269-23</f>
        <v>5.6</v>
      </c>
      <c r="AB269" s="0" t="n">
        <f aca="false">IF(Z269&lt;0,Z269+360,Z269+0)</f>
        <v>5.6</v>
      </c>
    </row>
    <row r="270" customFormat="false" ht="15.8" hidden="false" customHeight="false" outlineLevel="0" collapsed="false">
      <c r="A270" s="1" t="n">
        <v>9</v>
      </c>
      <c r="B270" s="1" t="n">
        <v>2</v>
      </c>
      <c r="C270" s="1" t="n">
        <v>3.4</v>
      </c>
      <c r="D270" s="1" t="n">
        <v>1.3771</v>
      </c>
      <c r="E270" s="1" t="n">
        <v>0.11735</v>
      </c>
      <c r="F270" s="1" t="n">
        <v>0.000319201</v>
      </c>
      <c r="G270" s="1" t="s">
        <v>37</v>
      </c>
      <c r="H270" s="1" t="n">
        <v>63</v>
      </c>
      <c r="I270" s="1" t="n">
        <v>278.5</v>
      </c>
      <c r="J270" s="1" t="n">
        <v>8.5</v>
      </c>
      <c r="K270" s="1" t="n">
        <v>109.9</v>
      </c>
      <c r="L270" s="1" t="n">
        <v>0</v>
      </c>
      <c r="M270" s="1" t="n">
        <v>0</v>
      </c>
      <c r="N270" s="1" t="s">
        <v>232</v>
      </c>
      <c r="Z270" s="0" t="n">
        <f aca="false">I270-23</f>
        <v>255.5</v>
      </c>
      <c r="AB270" s="0" t="n">
        <f aca="false">IF(Z270&lt;0,Z270+360,Z270+0)</f>
        <v>255.5</v>
      </c>
    </row>
    <row r="271" customFormat="false" ht="15.8" hidden="false" customHeight="false" outlineLevel="0" collapsed="false">
      <c r="A271" s="1" t="n">
        <v>9</v>
      </c>
      <c r="B271" s="1" t="n">
        <v>3</v>
      </c>
      <c r="C271" s="1" t="n">
        <v>4.6</v>
      </c>
      <c r="D271" s="1" t="n">
        <v>1.9827</v>
      </c>
      <c r="E271" s="1" t="n">
        <v>0.158393</v>
      </c>
      <c r="F271" s="1" t="n">
        <v>0.000430843</v>
      </c>
      <c r="G271" s="1" t="s">
        <v>27</v>
      </c>
      <c r="H271" s="1" t="n">
        <v>107.1</v>
      </c>
      <c r="I271" s="1" t="n">
        <v>26.1</v>
      </c>
      <c r="J271" s="1" t="n">
        <v>71.8</v>
      </c>
      <c r="K271" s="1"/>
      <c r="L271" s="1" t="n">
        <v>0</v>
      </c>
      <c r="M271" s="1" t="n">
        <v>0</v>
      </c>
      <c r="N271" s="1" t="s">
        <v>233</v>
      </c>
      <c r="Z271" s="0" t="n">
        <f aca="false">I271-23</f>
        <v>3.1</v>
      </c>
      <c r="AB271" s="0" t="n">
        <f aca="false">IF(Z271&lt;0,Z271+360,Z271+0)</f>
        <v>3.1</v>
      </c>
    </row>
    <row r="272" customFormat="false" ht="15.8" hidden="false" customHeight="false" outlineLevel="0" collapsed="false">
      <c r="A272" s="1" t="n">
        <v>9</v>
      </c>
      <c r="B272" s="1" t="n">
        <v>7</v>
      </c>
      <c r="C272" s="1" t="n">
        <v>8.5</v>
      </c>
      <c r="D272" s="1" t="n">
        <v>1.6016</v>
      </c>
      <c r="E272" s="1" t="n">
        <v>0.289097</v>
      </c>
      <c r="F272" s="1" t="n">
        <v>0.000786368</v>
      </c>
      <c r="G272" s="1" t="s">
        <v>27</v>
      </c>
      <c r="H272" s="1" t="n">
        <v>17.6</v>
      </c>
      <c r="I272" s="1" t="n">
        <v>232</v>
      </c>
      <c r="J272" s="1" t="n">
        <v>-16.3</v>
      </c>
      <c r="K272" s="1"/>
      <c r="L272" s="1" t="n">
        <v>0</v>
      </c>
      <c r="M272" s="1" t="n">
        <v>0</v>
      </c>
      <c r="N272" s="1" t="s">
        <v>234</v>
      </c>
      <c r="Z272" s="0" t="n">
        <f aca="false">I272-23</f>
        <v>209</v>
      </c>
      <c r="AB272" s="0" t="n">
        <f aca="false">IF(Z272&lt;0,Z272+360,Z272+0)</f>
        <v>209</v>
      </c>
    </row>
    <row r="273" customFormat="false" ht="15.8" hidden="false" customHeight="false" outlineLevel="0" collapsed="false">
      <c r="A273" s="1" t="n">
        <v>9</v>
      </c>
      <c r="B273" s="1" t="n">
        <v>9</v>
      </c>
      <c r="C273" s="1" t="n">
        <v>4.9</v>
      </c>
      <c r="D273" s="1" t="n">
        <v>1.2325</v>
      </c>
      <c r="E273" s="1" t="n">
        <v>0.168571</v>
      </c>
      <c r="F273" s="1" t="n">
        <v>0.000458529</v>
      </c>
      <c r="G273" s="1" t="s">
        <v>27</v>
      </c>
      <c r="H273" s="1" t="n">
        <v>126</v>
      </c>
      <c r="I273" s="1" t="n">
        <v>102.1</v>
      </c>
      <c r="J273" s="1" t="n">
        <v>-5.3</v>
      </c>
      <c r="K273" s="1"/>
      <c r="L273" s="1" t="n">
        <v>0</v>
      </c>
      <c r="M273" s="1" t="n">
        <v>0</v>
      </c>
      <c r="N273" s="1" t="s">
        <v>235</v>
      </c>
      <c r="Z273" s="0" t="n">
        <f aca="false">I273-23</f>
        <v>79.1</v>
      </c>
      <c r="AB273" s="0" t="n">
        <f aca="false">IF(Z273&lt;0,Z273+360,Z273+0)</f>
        <v>79.1</v>
      </c>
    </row>
    <row r="274" customFormat="false" ht="15.8" hidden="false" customHeight="false" outlineLevel="0" collapsed="false">
      <c r="A274" s="1" t="n">
        <v>9</v>
      </c>
      <c r="B274" s="1" t="n">
        <v>12</v>
      </c>
      <c r="C274" s="1" t="n">
        <v>1.8</v>
      </c>
      <c r="D274" s="1" t="n">
        <v>1.3692</v>
      </c>
      <c r="E274" s="1" t="n">
        <v>0.0625714</v>
      </c>
      <c r="F274" s="1" t="n">
        <v>0.0001702</v>
      </c>
      <c r="G274" s="1" t="s">
        <v>27</v>
      </c>
      <c r="H274" s="1" t="n">
        <v>117.6</v>
      </c>
      <c r="I274" s="1" t="n">
        <v>57</v>
      </c>
      <c r="J274" s="1" t="n">
        <v>0</v>
      </c>
      <c r="K274" s="1"/>
      <c r="L274" s="1" t="n">
        <v>0</v>
      </c>
      <c r="M274" s="1" t="n">
        <v>0</v>
      </c>
      <c r="N274" s="1" t="s">
        <v>236</v>
      </c>
      <c r="Z274" s="0" t="n">
        <f aca="false">I274-23</f>
        <v>34</v>
      </c>
      <c r="AB274" s="0" t="n">
        <f aca="false">IF(Z274&lt;0,Z274+360,Z274+0)</f>
        <v>34</v>
      </c>
    </row>
    <row r="275" customFormat="false" ht="15.8" hidden="false" customHeight="false" outlineLevel="0" collapsed="false">
      <c r="A275" s="1" t="n">
        <v>9</v>
      </c>
      <c r="B275" s="1" t="n">
        <v>12</v>
      </c>
      <c r="C275" s="1" t="n">
        <v>0.8</v>
      </c>
      <c r="D275" s="1" t="n">
        <v>1.2032</v>
      </c>
      <c r="E275" s="1" t="n">
        <v>0.0269315</v>
      </c>
      <c r="F275" s="1" t="n">
        <v>7.3256E-005</v>
      </c>
      <c r="G275" s="1" t="s">
        <v>27</v>
      </c>
      <c r="H275" s="1" t="n">
        <v>53.6</v>
      </c>
      <c r="I275" s="1" t="n">
        <v>245</v>
      </c>
      <c r="J275" s="1" t="n">
        <v>34.4</v>
      </c>
      <c r="K275" s="1"/>
      <c r="L275" s="1" t="n">
        <v>0</v>
      </c>
      <c r="M275" s="1" t="n">
        <v>0</v>
      </c>
      <c r="N275" s="1" t="s">
        <v>236</v>
      </c>
      <c r="Z275" s="0" t="n">
        <f aca="false">I275-23</f>
        <v>222</v>
      </c>
      <c r="AB275" s="0" t="n">
        <f aca="false">IF(Z275&lt;0,Z275+360,Z275+0)</f>
        <v>222</v>
      </c>
    </row>
    <row r="276" customFormat="false" ht="15.8" hidden="false" customHeight="false" outlineLevel="0" collapsed="false">
      <c r="A276" s="1" t="n">
        <v>9</v>
      </c>
      <c r="B276" s="1" t="n">
        <v>11</v>
      </c>
      <c r="C276" s="1" t="n">
        <v>0.9</v>
      </c>
      <c r="D276" s="1" t="n">
        <v>1.2361</v>
      </c>
      <c r="E276" s="1" t="n">
        <v>0.0297265</v>
      </c>
      <c r="F276" s="1" t="n">
        <v>8.08586E-005</v>
      </c>
      <c r="G276" s="1" t="s">
        <v>37</v>
      </c>
      <c r="H276" s="1" t="n">
        <v>38.7</v>
      </c>
      <c r="I276" s="1" t="n">
        <v>180</v>
      </c>
      <c r="J276" s="1" t="n">
        <v>31.7</v>
      </c>
      <c r="K276" s="1" t="n">
        <v>117.6</v>
      </c>
      <c r="L276" s="1" t="n">
        <v>0</v>
      </c>
      <c r="M276" s="1" t="n">
        <v>0</v>
      </c>
      <c r="N276" s="1" t="s">
        <v>237</v>
      </c>
      <c r="Z276" s="0" t="n">
        <f aca="false">I276-23</f>
        <v>157</v>
      </c>
      <c r="AB276" s="0" t="n">
        <f aca="false">IF(Z276&lt;0,Z276+360,Z276+0)</f>
        <v>157</v>
      </c>
    </row>
    <row r="277" customFormat="false" ht="15.8" hidden="false" customHeight="false" outlineLevel="0" collapsed="false">
      <c r="A277" s="1" t="n">
        <v>9</v>
      </c>
      <c r="B277" s="1" t="n">
        <v>11</v>
      </c>
      <c r="C277" s="1" t="n">
        <v>2</v>
      </c>
      <c r="D277" s="1" t="n">
        <v>1.2939</v>
      </c>
      <c r="E277" s="1" t="n">
        <v>0.0672187</v>
      </c>
      <c r="F277" s="1" t="n">
        <v>0.000182841</v>
      </c>
      <c r="G277" s="1" t="s">
        <v>27</v>
      </c>
      <c r="H277" s="1" t="n">
        <v>38.3</v>
      </c>
      <c r="I277" s="1" t="n">
        <v>269.1</v>
      </c>
      <c r="J277" s="1" t="n">
        <v>29.1</v>
      </c>
      <c r="K277" s="1"/>
      <c r="L277" s="1" t="n">
        <v>0</v>
      </c>
      <c r="M277" s="1" t="n">
        <v>0</v>
      </c>
      <c r="N277" s="1" t="s">
        <v>237</v>
      </c>
      <c r="Z277" s="0" t="n">
        <f aca="false">I277-23</f>
        <v>246.1</v>
      </c>
      <c r="AB277" s="0" t="n">
        <f aca="false">IF(Z277&lt;0,Z277+360,Z277+0)</f>
        <v>246.1</v>
      </c>
    </row>
    <row r="278" customFormat="false" ht="15.8" hidden="false" customHeight="false" outlineLevel="0" collapsed="false">
      <c r="A278" s="1" t="n">
        <v>9</v>
      </c>
      <c r="B278" s="1" t="n">
        <v>10</v>
      </c>
      <c r="C278" s="1" t="n">
        <v>1.9</v>
      </c>
      <c r="D278" s="1" t="n">
        <v>1.2711</v>
      </c>
      <c r="E278" s="1" t="n">
        <v>0.0664574</v>
      </c>
      <c r="F278" s="1" t="n">
        <v>0.00018077</v>
      </c>
      <c r="G278" s="1" t="s">
        <v>37</v>
      </c>
      <c r="H278" s="1" t="n">
        <v>50.7</v>
      </c>
      <c r="I278" s="1" t="n">
        <v>225</v>
      </c>
      <c r="J278" s="1" t="n">
        <v>28.9</v>
      </c>
      <c r="K278" s="1" t="n">
        <v>38.7</v>
      </c>
      <c r="L278" s="1" t="n">
        <v>0</v>
      </c>
      <c r="M278" s="1" t="n">
        <v>0</v>
      </c>
      <c r="N278" s="1" t="s">
        <v>238</v>
      </c>
      <c r="Z278" s="0" t="n">
        <f aca="false">I278-23</f>
        <v>202</v>
      </c>
      <c r="AB278" s="0" t="n">
        <f aca="false">IF(Z278&lt;0,Z278+360,Z278+0)</f>
        <v>202</v>
      </c>
    </row>
    <row r="279" customFormat="false" ht="15.8" hidden="false" customHeight="false" outlineLevel="0" collapsed="false">
      <c r="A279" s="1" t="n">
        <v>9</v>
      </c>
      <c r="B279" s="1" t="n">
        <v>10</v>
      </c>
      <c r="C279" s="1" t="n">
        <v>1.5</v>
      </c>
      <c r="D279" s="1" t="n">
        <v>1.2851</v>
      </c>
      <c r="E279" s="1" t="n">
        <v>0.0504816</v>
      </c>
      <c r="F279" s="1" t="n">
        <v>0.000137314</v>
      </c>
      <c r="G279" s="1" t="s">
        <v>27</v>
      </c>
      <c r="H279" s="1" t="n">
        <v>41.9</v>
      </c>
      <c r="I279" s="1" t="n">
        <v>306.9</v>
      </c>
      <c r="J279" s="1" t="n">
        <v>-18.8</v>
      </c>
      <c r="K279" s="1"/>
      <c r="L279" s="1" t="n">
        <v>0</v>
      </c>
      <c r="M279" s="1" t="n">
        <v>0</v>
      </c>
      <c r="N279" s="1" t="s">
        <v>238</v>
      </c>
      <c r="Z279" s="0" t="n">
        <f aca="false">I279-23</f>
        <v>283.9</v>
      </c>
      <c r="AB279" s="0" t="n">
        <f aca="false">IF(Z279&lt;0,Z279+360,Z279+0)</f>
        <v>283.9</v>
      </c>
    </row>
    <row r="280" customFormat="false" ht="15.8" hidden="false" customHeight="false" outlineLevel="0" collapsed="false">
      <c r="A280" s="1" t="n">
        <v>9</v>
      </c>
      <c r="B280" s="1" t="n">
        <v>10</v>
      </c>
      <c r="C280" s="1" t="n">
        <v>1.7</v>
      </c>
      <c r="D280" s="1" t="n">
        <v>1.4869</v>
      </c>
      <c r="E280" s="1" t="n">
        <v>0.0573733</v>
      </c>
      <c r="F280" s="1" t="n">
        <v>0.00015606</v>
      </c>
      <c r="G280" s="1" t="s">
        <v>27</v>
      </c>
      <c r="H280" s="1" t="n">
        <v>99.2</v>
      </c>
      <c r="I280" s="1" t="n">
        <v>169.4</v>
      </c>
      <c r="J280" s="1" t="n">
        <v>0</v>
      </c>
      <c r="K280" s="1"/>
      <c r="L280" s="1" t="n">
        <v>0</v>
      </c>
      <c r="M280" s="1" t="n">
        <v>0</v>
      </c>
      <c r="N280" s="1" t="s">
        <v>238</v>
      </c>
      <c r="Z280" s="0" t="n">
        <f aca="false">I280-23</f>
        <v>146.4</v>
      </c>
      <c r="AB280" s="0" t="n">
        <f aca="false">IF(Z280&lt;0,Z280+360,Z280+0)</f>
        <v>146.4</v>
      </c>
    </row>
    <row r="281" customFormat="false" ht="15.8" hidden="false" customHeight="false" outlineLevel="0" collapsed="false">
      <c r="A281" s="1" t="n">
        <v>9</v>
      </c>
      <c r="B281" s="1" t="n">
        <v>9</v>
      </c>
      <c r="C281" s="1" t="n">
        <v>1</v>
      </c>
      <c r="D281" s="1" t="n">
        <v>1.0885</v>
      </c>
      <c r="E281" s="1" t="n">
        <v>0.0352275</v>
      </c>
      <c r="F281" s="1" t="n">
        <v>9.5822E-005</v>
      </c>
      <c r="G281" s="1" t="s">
        <v>37</v>
      </c>
      <c r="H281" s="1" t="n">
        <v>40.2</v>
      </c>
      <c r="I281" s="1" t="n">
        <v>268.7</v>
      </c>
      <c r="J281" s="1" t="n">
        <v>0</v>
      </c>
      <c r="K281" s="1" t="n">
        <v>99.2</v>
      </c>
      <c r="L281" s="1" t="n">
        <v>0</v>
      </c>
      <c r="M281" s="1" t="n">
        <v>0</v>
      </c>
      <c r="N281" s="1" t="s">
        <v>235</v>
      </c>
      <c r="Z281" s="0" t="n">
        <f aca="false">I281-23</f>
        <v>245.7</v>
      </c>
      <c r="AB281" s="0" t="n">
        <f aca="false">IF(Z281&lt;0,Z281+360,Z281+0)</f>
        <v>245.7</v>
      </c>
    </row>
    <row r="282" customFormat="false" ht="15.8" hidden="false" customHeight="false" outlineLevel="0" collapsed="false">
      <c r="A282" s="1" t="n">
        <v>9</v>
      </c>
      <c r="B282" s="1" t="n">
        <v>8</v>
      </c>
      <c r="C282" s="1" t="n">
        <v>2.1</v>
      </c>
      <c r="D282" s="1" t="n">
        <v>1.2011</v>
      </c>
      <c r="E282" s="1" t="n">
        <v>0.0712295</v>
      </c>
      <c r="F282" s="1" t="n">
        <v>0.00019375</v>
      </c>
      <c r="G282" s="1" t="s">
        <v>37</v>
      </c>
      <c r="H282" s="1" t="n">
        <v>30.7</v>
      </c>
      <c r="I282" s="1" t="n">
        <v>236.3</v>
      </c>
      <c r="J282" s="1" t="n">
        <v>-25.2</v>
      </c>
      <c r="K282" s="1" t="n">
        <v>126</v>
      </c>
      <c r="L282" s="1" t="n">
        <v>0</v>
      </c>
      <c r="M282" s="1" t="n">
        <v>0</v>
      </c>
      <c r="N282" s="1" t="s">
        <v>239</v>
      </c>
      <c r="Z282" s="0" t="n">
        <f aca="false">I282-23</f>
        <v>213.3</v>
      </c>
      <c r="AB282" s="0" t="n">
        <f aca="false">IF(Z282&lt;0,Z282+360,Z282+0)</f>
        <v>213.3</v>
      </c>
    </row>
    <row r="283" customFormat="false" ht="15.8" hidden="false" customHeight="false" outlineLevel="0" collapsed="false">
      <c r="A283" s="1" t="n">
        <v>9</v>
      </c>
      <c r="B283" s="1" t="n">
        <v>8</v>
      </c>
      <c r="C283" s="1" t="n">
        <v>1.1</v>
      </c>
      <c r="D283" s="1" t="n">
        <v>1.1498</v>
      </c>
      <c r="E283" s="1" t="n">
        <v>0.0384635</v>
      </c>
      <c r="F283" s="1" t="n">
        <v>0.000104624</v>
      </c>
      <c r="G283" s="1" t="s">
        <v>27</v>
      </c>
      <c r="H283" s="1" t="n">
        <v>120</v>
      </c>
      <c r="I283" s="1" t="n">
        <v>81.7</v>
      </c>
      <c r="J283" s="1" t="n">
        <v>0</v>
      </c>
      <c r="K283" s="1"/>
      <c r="L283" s="1" t="n">
        <v>0</v>
      </c>
      <c r="M283" s="1" t="n">
        <v>0</v>
      </c>
      <c r="N283" s="1" t="s">
        <v>239</v>
      </c>
      <c r="Z283" s="0" t="n">
        <f aca="false">I283-23</f>
        <v>58.7</v>
      </c>
      <c r="AB283" s="0" t="n">
        <f aca="false">IF(Z283&lt;0,Z283+360,Z283+0)</f>
        <v>58.7</v>
      </c>
    </row>
    <row r="284" customFormat="false" ht="15.8" hidden="false" customHeight="false" outlineLevel="0" collapsed="false">
      <c r="A284" s="1" t="n">
        <v>9</v>
      </c>
      <c r="B284" s="1" t="n">
        <v>7</v>
      </c>
      <c r="C284" s="1" t="n">
        <v>1.4</v>
      </c>
      <c r="D284" s="1" t="n">
        <v>1.2618</v>
      </c>
      <c r="E284" s="1" t="n">
        <v>0.0483116</v>
      </c>
      <c r="F284" s="1" t="n">
        <v>0.000131412</v>
      </c>
      <c r="G284" s="1" t="s">
        <v>37</v>
      </c>
      <c r="H284" s="1" t="n">
        <v>39.4</v>
      </c>
      <c r="I284" s="1" t="n">
        <v>203.7</v>
      </c>
      <c r="J284" s="1" t="n">
        <v>-19.3</v>
      </c>
      <c r="K284" s="1" t="n">
        <v>120</v>
      </c>
      <c r="L284" s="1" t="n">
        <v>0</v>
      </c>
      <c r="M284" s="1" t="n">
        <v>0</v>
      </c>
      <c r="N284" s="1" t="s">
        <v>234</v>
      </c>
      <c r="Z284" s="0" t="n">
        <f aca="false">I284-23</f>
        <v>180.7</v>
      </c>
      <c r="AB284" s="0" t="n">
        <f aca="false">IF(Z284&lt;0,Z284+360,Z284+0)</f>
        <v>180.7</v>
      </c>
    </row>
    <row r="285" customFormat="false" ht="15.8" hidden="false" customHeight="false" outlineLevel="0" collapsed="false">
      <c r="A285" s="1" t="n">
        <v>9</v>
      </c>
      <c r="B285" s="1" t="n">
        <v>6</v>
      </c>
      <c r="C285" s="1" t="n">
        <v>1.9</v>
      </c>
      <c r="D285" s="1" t="n">
        <v>1.3609</v>
      </c>
      <c r="E285" s="1" t="n">
        <v>0.0663171</v>
      </c>
      <c r="F285" s="1" t="n">
        <v>0.000180388</v>
      </c>
      <c r="G285" s="1" t="s">
        <v>37</v>
      </c>
      <c r="H285" s="1" t="n">
        <v>79.5</v>
      </c>
      <c r="I285" s="1" t="n">
        <v>238.7</v>
      </c>
      <c r="J285" s="1" t="n">
        <v>0</v>
      </c>
      <c r="K285" s="1" t="n">
        <v>39.4</v>
      </c>
      <c r="L285" s="1" t="n">
        <v>0</v>
      </c>
      <c r="M285" s="1" t="n">
        <v>0</v>
      </c>
      <c r="N285" s="1" t="s">
        <v>240</v>
      </c>
      <c r="Z285" s="0" t="n">
        <f aca="false">I285-23</f>
        <v>215.7</v>
      </c>
      <c r="AB285" s="0" t="n">
        <f aca="false">IF(Z285&lt;0,Z285+360,Z285+0)</f>
        <v>215.7</v>
      </c>
    </row>
    <row r="286" customFormat="false" ht="15.8" hidden="false" customHeight="false" outlineLevel="0" collapsed="false">
      <c r="A286" s="1" t="n">
        <v>9</v>
      </c>
      <c r="B286" s="1" t="n">
        <v>6</v>
      </c>
      <c r="C286" s="1" t="n">
        <v>1.5</v>
      </c>
      <c r="D286" s="1" t="n">
        <v>1.3718</v>
      </c>
      <c r="E286" s="1" t="n">
        <v>0.0503347</v>
      </c>
      <c r="F286" s="1" t="n">
        <v>0.000136915</v>
      </c>
      <c r="G286" s="1" t="s">
        <v>27</v>
      </c>
      <c r="H286" s="1" t="n">
        <v>20.6</v>
      </c>
      <c r="I286" s="1" t="n">
        <v>155.1</v>
      </c>
      <c r="J286" s="1" t="n">
        <v>20.2</v>
      </c>
      <c r="K286" s="1"/>
      <c r="L286" s="1" t="n">
        <v>0</v>
      </c>
      <c r="M286" s="1" t="n">
        <v>0</v>
      </c>
      <c r="N286" s="1" t="s">
        <v>240</v>
      </c>
      <c r="Z286" s="0" t="n">
        <f aca="false">I286-23</f>
        <v>132.1</v>
      </c>
      <c r="AB286" s="0" t="n">
        <f aca="false">IF(Z286&lt;0,Z286+360,Z286+0)</f>
        <v>132.1</v>
      </c>
    </row>
    <row r="287" customFormat="false" ht="15.8" hidden="false" customHeight="false" outlineLevel="0" collapsed="false">
      <c r="A287" s="1" t="n">
        <v>9</v>
      </c>
      <c r="B287" s="1" t="n">
        <v>5</v>
      </c>
      <c r="C287" s="1" t="n">
        <v>1.3</v>
      </c>
      <c r="D287" s="1" t="n">
        <v>1.0515</v>
      </c>
      <c r="E287" s="1" t="n">
        <v>0.0430706</v>
      </c>
      <c r="F287" s="1" t="n">
        <v>0.000117156</v>
      </c>
      <c r="G287" s="1" t="s">
        <v>37</v>
      </c>
      <c r="H287" s="1" t="n">
        <v>40.5</v>
      </c>
      <c r="I287" s="1" t="n">
        <v>159.3</v>
      </c>
      <c r="J287" s="1" t="n">
        <v>0</v>
      </c>
      <c r="K287" s="1" t="n">
        <v>79.5</v>
      </c>
      <c r="L287" s="1" t="n">
        <v>0</v>
      </c>
      <c r="M287" s="1" t="n">
        <v>0</v>
      </c>
      <c r="N287" s="1" t="s">
        <v>241</v>
      </c>
      <c r="Z287" s="0" t="n">
        <f aca="false">I287-23</f>
        <v>136.3</v>
      </c>
      <c r="AB287" s="0" t="n">
        <f aca="false">IF(Z287&lt;0,Z287+360,Z287+0)</f>
        <v>136.3</v>
      </c>
    </row>
    <row r="288" customFormat="false" ht="15.8" hidden="false" customHeight="false" outlineLevel="0" collapsed="false">
      <c r="A288" s="1" t="n">
        <v>9</v>
      </c>
      <c r="B288" s="1" t="n">
        <v>5</v>
      </c>
      <c r="C288" s="1" t="n">
        <v>1.6</v>
      </c>
      <c r="D288" s="1" t="n">
        <v>1.1944</v>
      </c>
      <c r="E288" s="1" t="n">
        <v>0.0557538</v>
      </c>
      <c r="F288" s="1" t="n">
        <v>0.000151655</v>
      </c>
      <c r="G288" s="1" t="s">
        <v>27</v>
      </c>
      <c r="H288" s="1" t="n">
        <v>143.9</v>
      </c>
      <c r="I288" s="1" t="n">
        <v>263.3</v>
      </c>
      <c r="J288" s="1" t="n">
        <v>-15.7</v>
      </c>
      <c r="K288" s="1"/>
      <c r="L288" s="1" t="n">
        <v>0</v>
      </c>
      <c r="M288" s="1" t="n">
        <v>0</v>
      </c>
      <c r="N288" s="1" t="s">
        <v>241</v>
      </c>
      <c r="Z288" s="0" t="n">
        <f aca="false">I288-23</f>
        <v>240.3</v>
      </c>
      <c r="AB288" s="0" t="n">
        <f aca="false">IF(Z288&lt;0,Z288+360,Z288+0)</f>
        <v>240.3</v>
      </c>
    </row>
    <row r="289" customFormat="false" ht="15.8" hidden="false" customHeight="false" outlineLevel="0" collapsed="false">
      <c r="A289" s="1" t="n">
        <v>9</v>
      </c>
      <c r="B289" s="1" t="n">
        <v>4</v>
      </c>
      <c r="C289" s="1" t="n">
        <v>3.3</v>
      </c>
      <c r="D289" s="1" t="n">
        <v>1.127</v>
      </c>
      <c r="E289" s="1" t="n">
        <v>0.112373</v>
      </c>
      <c r="F289" s="1" t="n">
        <v>0.000305664</v>
      </c>
      <c r="G289" s="1" t="s">
        <v>37</v>
      </c>
      <c r="H289" s="1" t="n">
        <v>10.8</v>
      </c>
      <c r="I289" s="1" t="n">
        <v>119.3</v>
      </c>
      <c r="J289" s="1" t="n">
        <v>7.3</v>
      </c>
      <c r="K289" s="1" t="n">
        <v>143.9</v>
      </c>
      <c r="L289" s="1" t="n">
        <v>0</v>
      </c>
      <c r="M289" s="1" t="n">
        <v>0</v>
      </c>
      <c r="N289" s="1" t="s">
        <v>242</v>
      </c>
      <c r="Z289" s="0" t="n">
        <f aca="false">I289-23</f>
        <v>96.3</v>
      </c>
      <c r="AB289" s="0" t="n">
        <f aca="false">IF(Z289&lt;0,Z289+360,Z289+0)</f>
        <v>96.3</v>
      </c>
    </row>
    <row r="290" customFormat="false" ht="15.8" hidden="false" customHeight="false" outlineLevel="0" collapsed="false">
      <c r="A290" s="1" t="n">
        <v>9</v>
      </c>
      <c r="B290" s="1" t="n">
        <v>4</v>
      </c>
      <c r="C290" s="1" t="n">
        <v>2.1</v>
      </c>
      <c r="D290" s="1" t="n">
        <v>1.2581</v>
      </c>
      <c r="E290" s="1" t="n">
        <v>0.0701424</v>
      </c>
      <c r="F290" s="1" t="n">
        <v>0.000190794</v>
      </c>
      <c r="G290" s="1" t="s">
        <v>27</v>
      </c>
      <c r="H290" s="1" t="n">
        <v>70.4</v>
      </c>
      <c r="I290" s="1" t="n">
        <v>59.4</v>
      </c>
      <c r="J290" s="1" t="n">
        <v>27</v>
      </c>
      <c r="K290" s="1"/>
      <c r="L290" s="1" t="n">
        <v>0</v>
      </c>
      <c r="M290" s="1" t="n">
        <v>0</v>
      </c>
      <c r="N290" s="1" t="s">
        <v>242</v>
      </c>
      <c r="Z290" s="0" t="n">
        <f aca="false">I290-23</f>
        <v>36.4</v>
      </c>
      <c r="AB290" s="0" t="n">
        <f aca="false">IF(Z290&lt;0,Z290+360,Z290+0)</f>
        <v>36.4</v>
      </c>
    </row>
    <row r="291" customFormat="false" ht="15.8" hidden="false" customHeight="false" outlineLevel="0" collapsed="false">
      <c r="A291" s="1" t="n">
        <v>9</v>
      </c>
      <c r="B291" s="1" t="n">
        <v>3</v>
      </c>
      <c r="C291" s="1" t="n">
        <v>0.6</v>
      </c>
      <c r="D291" s="1" t="n">
        <v>1.0192</v>
      </c>
      <c r="E291" s="1" t="n">
        <v>0.0200148</v>
      </c>
      <c r="F291" s="1" t="n">
        <v>5.44419E-005</v>
      </c>
      <c r="G291" s="1" t="s">
        <v>37</v>
      </c>
      <c r="H291" s="1" t="n">
        <v>59.1</v>
      </c>
      <c r="I291" s="1" t="n">
        <v>127.3</v>
      </c>
      <c r="J291" s="1" t="n">
        <v>0</v>
      </c>
      <c r="K291" s="1" t="n">
        <v>70.4</v>
      </c>
      <c r="L291" s="1" t="n">
        <v>0</v>
      </c>
      <c r="M291" s="1" t="n">
        <v>0</v>
      </c>
      <c r="N291" s="1" t="s">
        <v>233</v>
      </c>
      <c r="Z291" s="0" t="n">
        <f aca="false">I291-23</f>
        <v>104.3</v>
      </c>
      <c r="AB291" s="0" t="n">
        <f aca="false">IF(Z291&lt;0,Z291+360,Z291+0)</f>
        <v>104.3</v>
      </c>
    </row>
    <row r="292" customFormat="false" ht="15.8" hidden="false" customHeight="false" outlineLevel="0" collapsed="false">
      <c r="A292" s="1" t="n">
        <v>9</v>
      </c>
      <c r="B292" s="1" t="n">
        <v>3</v>
      </c>
      <c r="C292" s="1" t="n">
        <v>1.2</v>
      </c>
      <c r="D292" s="1" t="n">
        <v>1.1498</v>
      </c>
      <c r="E292" s="1" t="n">
        <v>0.0423102</v>
      </c>
      <c r="F292" s="1" t="n">
        <v>0.000115087</v>
      </c>
      <c r="G292" s="1" t="s">
        <v>27</v>
      </c>
      <c r="H292" s="1" t="n">
        <v>115.8</v>
      </c>
      <c r="I292" s="1" t="n">
        <v>304</v>
      </c>
      <c r="J292" s="1" t="n">
        <v>20.1</v>
      </c>
      <c r="K292" s="1"/>
      <c r="L292" s="1" t="n">
        <v>0</v>
      </c>
      <c r="M292" s="1" t="n">
        <v>0</v>
      </c>
      <c r="N292" s="1" t="s">
        <v>233</v>
      </c>
      <c r="Z292" s="0" t="n">
        <f aca="false">I292-23</f>
        <v>281</v>
      </c>
      <c r="AB292" s="0" t="n">
        <f aca="false">IF(Z292&lt;0,Z292+360,Z292+0)</f>
        <v>281</v>
      </c>
    </row>
    <row r="293" customFormat="false" ht="15.8" hidden="false" customHeight="false" outlineLevel="0" collapsed="false">
      <c r="A293" s="1" t="n">
        <v>9</v>
      </c>
      <c r="B293" s="1" t="n">
        <v>2</v>
      </c>
      <c r="C293" s="1" t="n">
        <v>2</v>
      </c>
      <c r="D293" s="1" t="n">
        <v>1.2682</v>
      </c>
      <c r="E293" s="1" t="n">
        <v>0.0678653</v>
      </c>
      <c r="F293" s="1" t="n">
        <v>0.0001846</v>
      </c>
      <c r="G293" s="1" t="s">
        <v>37</v>
      </c>
      <c r="H293" s="1" t="n">
        <v>29.4</v>
      </c>
      <c r="I293" s="1" t="n">
        <v>186.4</v>
      </c>
      <c r="J293" s="1" t="n">
        <v>0</v>
      </c>
      <c r="K293" s="1" t="n">
        <v>115.8</v>
      </c>
      <c r="L293" s="1" t="n">
        <v>0</v>
      </c>
      <c r="M293" s="1" t="n">
        <v>0</v>
      </c>
      <c r="N293" s="1" t="s">
        <v>232</v>
      </c>
      <c r="Z293" s="0" t="n">
        <f aca="false">I293-23</f>
        <v>163.4</v>
      </c>
      <c r="AB293" s="0" t="n">
        <f aca="false">IF(Z293&lt;0,Z293+360,Z293+0)</f>
        <v>163.4</v>
      </c>
    </row>
    <row r="294" customFormat="false" ht="15.8" hidden="false" customHeight="false" outlineLevel="0" collapsed="false">
      <c r="A294" s="1" t="n">
        <v>9</v>
      </c>
      <c r="B294" s="1" t="n">
        <v>1</v>
      </c>
      <c r="C294" s="1" t="n">
        <v>1.1</v>
      </c>
      <c r="D294" s="1" t="n">
        <v>1.0201</v>
      </c>
      <c r="E294" s="1" t="n">
        <v>0.0369565</v>
      </c>
      <c r="F294" s="1" t="n">
        <v>0.000100525</v>
      </c>
      <c r="G294" s="1" t="s">
        <v>37</v>
      </c>
      <c r="H294" s="1"/>
      <c r="I294" s="1" t="n">
        <v>215.8</v>
      </c>
      <c r="J294" s="1" t="n">
        <v>0</v>
      </c>
      <c r="K294" s="1" t="n">
        <v>63</v>
      </c>
      <c r="L294" s="1" t="n">
        <v>0</v>
      </c>
      <c r="M294" s="1" t="n">
        <v>0</v>
      </c>
      <c r="N294" s="1" t="s">
        <v>243</v>
      </c>
      <c r="Z294" s="0" t="n">
        <f aca="false">I294-23</f>
        <v>192.8</v>
      </c>
      <c r="AB294" s="0" t="n">
        <f aca="false">IF(Z294&lt;0,Z294+360,Z294+0)</f>
        <v>192.8</v>
      </c>
    </row>
    <row r="295" customFormat="false" ht="15.8" hidden="false" customHeight="false" outlineLevel="0" collapsed="false">
      <c r="A295" s="1" t="n">
        <v>10</v>
      </c>
      <c r="B295" s="1" t="n">
        <v>1</v>
      </c>
      <c r="C295" s="1" t="n">
        <v>11.4</v>
      </c>
      <c r="D295" s="1" t="n">
        <v>1.1349</v>
      </c>
      <c r="E295" s="1" t="n">
        <v>0.390319</v>
      </c>
      <c r="F295" s="1" t="n">
        <v>0.0010617</v>
      </c>
      <c r="G295" s="1" t="s">
        <v>27</v>
      </c>
      <c r="H295" s="1"/>
      <c r="I295" s="1" t="n">
        <v>227.2</v>
      </c>
      <c r="J295" s="1" t="n">
        <v>-2.1</v>
      </c>
      <c r="K295" s="1"/>
      <c r="L295" s="1" t="n">
        <v>0</v>
      </c>
      <c r="M295" s="1" t="n">
        <v>0</v>
      </c>
      <c r="N295" s="1" t="s">
        <v>244</v>
      </c>
      <c r="Z295" s="0" t="n">
        <f aca="false">I295-23</f>
        <v>204.2</v>
      </c>
      <c r="AB295" s="0" t="n">
        <f aca="false">IF(Z295&lt;0,Z295+360,Z295+0)</f>
        <v>204.2</v>
      </c>
    </row>
    <row r="296" customFormat="false" ht="15.8" hidden="false" customHeight="false" outlineLevel="0" collapsed="false">
      <c r="A296" s="1" t="n">
        <v>11</v>
      </c>
      <c r="B296" s="1" t="n">
        <v>7</v>
      </c>
      <c r="C296" s="1" t="n">
        <v>1.7</v>
      </c>
      <c r="D296" s="1" t="n">
        <v>1.1458</v>
      </c>
      <c r="E296" s="1" t="n">
        <v>0.0564966</v>
      </c>
      <c r="F296" s="1" t="n">
        <v>0.000153676</v>
      </c>
      <c r="G296" s="1" t="s">
        <v>27</v>
      </c>
      <c r="H296" s="1" t="n">
        <v>32.4</v>
      </c>
      <c r="I296" s="1" t="n">
        <v>227.8</v>
      </c>
      <c r="J296" s="1" t="n">
        <v>14.9</v>
      </c>
      <c r="K296" s="1"/>
      <c r="L296" s="1" t="n">
        <v>0</v>
      </c>
      <c r="M296" s="1" t="n">
        <v>0</v>
      </c>
      <c r="N296" s="1" t="s">
        <v>245</v>
      </c>
      <c r="Z296" s="0" t="n">
        <f aca="false">I296-23</f>
        <v>204.8</v>
      </c>
      <c r="AB296" s="0" t="n">
        <f aca="false">IF(Z296&lt;0,Z296+360,Z296+0)</f>
        <v>204.8</v>
      </c>
    </row>
    <row r="297" customFormat="false" ht="15.8" hidden="false" customHeight="false" outlineLevel="0" collapsed="false">
      <c r="A297" s="1" t="n">
        <v>11</v>
      </c>
      <c r="B297" s="1" t="n">
        <v>7</v>
      </c>
      <c r="C297" s="1" t="n">
        <v>0.5</v>
      </c>
      <c r="D297" s="1" t="n">
        <v>1.0057</v>
      </c>
      <c r="E297" s="1" t="n">
        <v>0.0177698</v>
      </c>
      <c r="F297" s="1" t="n">
        <v>4.83353E-005</v>
      </c>
      <c r="G297" s="1" t="s">
        <v>27</v>
      </c>
      <c r="H297" s="1" t="n">
        <v>72.7</v>
      </c>
      <c r="I297" s="1" t="n">
        <v>329.7</v>
      </c>
      <c r="J297" s="1" t="n">
        <v>0</v>
      </c>
      <c r="K297" s="1"/>
      <c r="L297" s="1" t="n">
        <v>0</v>
      </c>
      <c r="M297" s="1" t="n">
        <v>0</v>
      </c>
      <c r="N297" s="1" t="s">
        <v>245</v>
      </c>
      <c r="Z297" s="0" t="n">
        <f aca="false">I297-23</f>
        <v>306.7</v>
      </c>
      <c r="AB297" s="0" t="n">
        <f aca="false">IF(Z297&lt;0,Z297+360,Z297+0)</f>
        <v>306.7</v>
      </c>
    </row>
    <row r="298" customFormat="false" ht="15.8" hidden="false" customHeight="false" outlineLevel="0" collapsed="false">
      <c r="A298" s="1" t="n">
        <v>11</v>
      </c>
      <c r="B298" s="1" t="n">
        <v>6</v>
      </c>
      <c r="C298" s="1" t="n">
        <v>1.8</v>
      </c>
      <c r="D298" s="1" t="n">
        <v>1.0103</v>
      </c>
      <c r="E298" s="1" t="n">
        <v>0.0617033</v>
      </c>
      <c r="F298" s="1" t="n">
        <v>0.000167838</v>
      </c>
      <c r="G298" s="1" t="s">
        <v>37</v>
      </c>
      <c r="H298" s="1" t="n">
        <v>33</v>
      </c>
      <c r="I298" s="1" t="n">
        <v>257</v>
      </c>
      <c r="J298" s="1" t="n">
        <v>0</v>
      </c>
      <c r="K298" s="1" t="n">
        <v>72.7</v>
      </c>
      <c r="L298" s="1" t="n">
        <v>0</v>
      </c>
      <c r="M298" s="1" t="n">
        <v>0</v>
      </c>
      <c r="N298" s="1" t="s">
        <v>246</v>
      </c>
      <c r="Z298" s="0" t="n">
        <f aca="false">I298-23</f>
        <v>234</v>
      </c>
      <c r="AB298" s="0" t="n">
        <f aca="false">IF(Z298&lt;0,Z298+360,Z298+0)</f>
        <v>234</v>
      </c>
    </row>
    <row r="299" customFormat="false" ht="15.8" hidden="false" customHeight="false" outlineLevel="0" collapsed="false">
      <c r="A299" s="1" t="n">
        <v>11</v>
      </c>
      <c r="B299" s="1" t="n">
        <v>6</v>
      </c>
      <c r="C299" s="1" t="n">
        <v>0.8</v>
      </c>
      <c r="D299" s="1" t="n">
        <v>1.013</v>
      </c>
      <c r="E299" s="1" t="n">
        <v>0.0266881</v>
      </c>
      <c r="F299" s="1" t="n">
        <v>7.2594E-005</v>
      </c>
      <c r="G299" s="1" t="s">
        <v>27</v>
      </c>
      <c r="H299" s="1" t="n">
        <v>115.1</v>
      </c>
      <c r="I299" s="1" t="n">
        <v>108.9</v>
      </c>
      <c r="J299" s="1" t="n">
        <v>0</v>
      </c>
      <c r="K299" s="1"/>
      <c r="L299" s="1" t="n">
        <v>0</v>
      </c>
      <c r="M299" s="1" t="n">
        <v>0</v>
      </c>
      <c r="N299" s="1" t="s">
        <v>246</v>
      </c>
      <c r="Z299" s="0" t="n">
        <f aca="false">I299-23</f>
        <v>85.9</v>
      </c>
      <c r="AB299" s="0" t="n">
        <f aca="false">IF(Z299&lt;0,Z299+360,Z299+0)</f>
        <v>85.9</v>
      </c>
    </row>
    <row r="300" customFormat="false" ht="15.8" hidden="false" customHeight="false" outlineLevel="0" collapsed="false">
      <c r="A300" s="1" t="n">
        <v>11</v>
      </c>
      <c r="B300" s="1" t="n">
        <v>5</v>
      </c>
      <c r="C300" s="1" t="n">
        <v>2</v>
      </c>
      <c r="D300" s="1" t="n">
        <v>1.1163</v>
      </c>
      <c r="E300" s="1" t="n">
        <v>0.0675289</v>
      </c>
      <c r="F300" s="1" t="n">
        <v>0.000183685</v>
      </c>
      <c r="G300" s="1" t="s">
        <v>37</v>
      </c>
      <c r="H300" s="1" t="n">
        <v>8.2</v>
      </c>
      <c r="I300" s="1" t="n">
        <v>224</v>
      </c>
      <c r="J300" s="1" t="n">
        <v>0</v>
      </c>
      <c r="K300" s="1" t="n">
        <v>115.1</v>
      </c>
      <c r="L300" s="1" t="n">
        <v>0</v>
      </c>
      <c r="M300" s="1" t="n">
        <v>0</v>
      </c>
      <c r="N300" s="1" t="s">
        <v>247</v>
      </c>
      <c r="Z300" s="0" t="n">
        <f aca="false">I300-23</f>
        <v>201</v>
      </c>
      <c r="AB300" s="0" t="n">
        <f aca="false">IF(Z300&lt;0,Z300+360,Z300+0)</f>
        <v>201</v>
      </c>
    </row>
    <row r="301" customFormat="false" ht="15.8" hidden="false" customHeight="false" outlineLevel="0" collapsed="false">
      <c r="A301" s="1" t="n">
        <v>11</v>
      </c>
      <c r="B301" s="1" t="n">
        <v>6</v>
      </c>
      <c r="C301" s="1" t="n">
        <v>0.4</v>
      </c>
      <c r="D301" s="1" t="n">
        <v>1.0109</v>
      </c>
      <c r="E301" s="1" t="n">
        <v>0.0151549</v>
      </c>
      <c r="F301" s="1" t="n">
        <v>4.12227E-005</v>
      </c>
      <c r="G301" s="1" t="s">
        <v>27</v>
      </c>
      <c r="H301" s="1" t="n">
        <v>47.1</v>
      </c>
      <c r="I301" s="1" t="n">
        <v>46</v>
      </c>
      <c r="J301" s="1" t="n">
        <v>0</v>
      </c>
      <c r="K301" s="1"/>
      <c r="L301" s="1" t="n">
        <v>0</v>
      </c>
      <c r="M301" s="1" t="n">
        <v>0</v>
      </c>
      <c r="N301" s="1" t="s">
        <v>248</v>
      </c>
      <c r="Z301" s="0" t="n">
        <f aca="false">I301-23</f>
        <v>23</v>
      </c>
      <c r="AB301" s="0" t="n">
        <f aca="false">IF(Z301&lt;0,Z301+360,Z301+0)</f>
        <v>23</v>
      </c>
    </row>
    <row r="302" customFormat="false" ht="15.8" hidden="false" customHeight="false" outlineLevel="0" collapsed="false">
      <c r="A302" s="1" t="n">
        <v>11</v>
      </c>
      <c r="B302" s="1" t="n">
        <v>6</v>
      </c>
      <c r="C302" s="1" t="n">
        <v>1</v>
      </c>
      <c r="D302" s="1" t="n">
        <v>1.0894</v>
      </c>
      <c r="E302" s="1" t="n">
        <v>0.0331433</v>
      </c>
      <c r="F302" s="1" t="n">
        <v>9.01528E-005</v>
      </c>
      <c r="G302" s="1" t="s">
        <v>27</v>
      </c>
      <c r="H302" s="1" t="n">
        <v>106.5</v>
      </c>
      <c r="I302" s="1" t="n">
        <v>309.6</v>
      </c>
      <c r="J302" s="1" t="n">
        <v>-56.2</v>
      </c>
      <c r="K302" s="1"/>
      <c r="L302" s="1" t="n">
        <v>0</v>
      </c>
      <c r="M302" s="1" t="n">
        <v>0</v>
      </c>
      <c r="N302" s="1" t="s">
        <v>248</v>
      </c>
      <c r="Z302" s="0" t="n">
        <f aca="false">I302-23</f>
        <v>286.6</v>
      </c>
      <c r="AB302" s="0" t="n">
        <f aca="false">IF(Z302&lt;0,Z302+360,Z302+0)</f>
        <v>286.6</v>
      </c>
    </row>
    <row r="303" customFormat="false" ht="15.8" hidden="false" customHeight="false" outlineLevel="0" collapsed="false">
      <c r="A303" s="1" t="n">
        <v>11</v>
      </c>
      <c r="B303" s="1" t="n">
        <v>5</v>
      </c>
      <c r="C303" s="1" t="n">
        <v>2.5</v>
      </c>
      <c r="D303" s="1" t="n">
        <v>1.2241</v>
      </c>
      <c r="E303" s="1" t="n">
        <v>0.0856893</v>
      </c>
      <c r="F303" s="1" t="n">
        <v>0.000233082</v>
      </c>
      <c r="G303" s="1" t="s">
        <v>37</v>
      </c>
      <c r="H303" s="1" t="n">
        <v>123</v>
      </c>
      <c r="I303" s="1" t="n">
        <v>92.2</v>
      </c>
      <c r="J303" s="1" t="n">
        <v>-10.4</v>
      </c>
      <c r="K303" s="1" t="n">
        <v>106.5</v>
      </c>
      <c r="L303" s="1" t="n">
        <v>0</v>
      </c>
      <c r="M303" s="1" t="n">
        <v>0</v>
      </c>
      <c r="N303" s="1" t="s">
        <v>247</v>
      </c>
      <c r="Z303" s="0" t="n">
        <f aca="false">I303-23</f>
        <v>69.2</v>
      </c>
      <c r="AB303" s="0" t="n">
        <f aca="false">IF(Z303&lt;0,Z303+360,Z303+0)</f>
        <v>69.2</v>
      </c>
    </row>
    <row r="304" customFormat="false" ht="15.8" hidden="false" customHeight="false" outlineLevel="0" collapsed="false">
      <c r="A304" s="1" t="n">
        <v>11</v>
      </c>
      <c r="B304" s="1" t="n">
        <v>4</v>
      </c>
      <c r="C304" s="1" t="n">
        <v>7.5</v>
      </c>
      <c r="D304" s="1" t="n">
        <v>1.2801</v>
      </c>
      <c r="E304" s="1" t="n">
        <v>0.257385</v>
      </c>
      <c r="F304" s="1" t="n">
        <v>0.00070011</v>
      </c>
      <c r="G304" s="1" t="s">
        <v>37</v>
      </c>
      <c r="H304" s="1" t="n">
        <v>7.1</v>
      </c>
      <c r="I304" s="1" t="n">
        <v>215.8</v>
      </c>
      <c r="J304" s="1" t="n">
        <v>0</v>
      </c>
      <c r="K304" s="1" t="n">
        <v>123</v>
      </c>
      <c r="L304" s="1" t="n">
        <v>0</v>
      </c>
      <c r="M304" s="1" t="n">
        <v>0</v>
      </c>
      <c r="N304" s="1" t="s">
        <v>249</v>
      </c>
      <c r="Z304" s="0" t="n">
        <f aca="false">I304-23</f>
        <v>192.8</v>
      </c>
      <c r="AB304" s="0" t="n">
        <f aca="false">IF(Z304&lt;0,Z304+360,Z304+0)</f>
        <v>192.8</v>
      </c>
    </row>
    <row r="305" customFormat="false" ht="15.8" hidden="false" customHeight="false" outlineLevel="0" collapsed="false">
      <c r="A305" s="1" t="n">
        <v>11</v>
      </c>
      <c r="B305" s="1" t="n">
        <v>6</v>
      </c>
      <c r="C305" s="1" t="n">
        <v>5.9</v>
      </c>
      <c r="D305" s="1" t="n">
        <v>1.1062</v>
      </c>
      <c r="E305" s="1" t="n">
        <v>0.202744</v>
      </c>
      <c r="F305" s="1" t="n">
        <v>0.000551482</v>
      </c>
      <c r="G305" s="1" t="s">
        <v>27</v>
      </c>
      <c r="H305" s="1" t="n">
        <v>21</v>
      </c>
      <c r="I305" s="1" t="n">
        <v>244.8</v>
      </c>
      <c r="J305" s="1" t="n">
        <v>4</v>
      </c>
      <c r="K305" s="1"/>
      <c r="L305" s="1" t="n">
        <v>0</v>
      </c>
      <c r="M305" s="1" t="n">
        <v>0</v>
      </c>
      <c r="N305" s="1" t="s">
        <v>250</v>
      </c>
      <c r="Z305" s="0" t="n">
        <f aca="false">I305-23</f>
        <v>221.8</v>
      </c>
      <c r="AB305" s="0" t="n">
        <f aca="false">IF(Z305&lt;0,Z305+360,Z305+0)</f>
        <v>221.8</v>
      </c>
    </row>
    <row r="306" customFormat="false" ht="15.8" hidden="false" customHeight="false" outlineLevel="0" collapsed="false">
      <c r="A306" s="1" t="n">
        <v>11</v>
      </c>
      <c r="B306" s="1" t="n">
        <v>6</v>
      </c>
      <c r="C306" s="1" t="n">
        <v>0.7</v>
      </c>
      <c r="D306" s="1" t="n">
        <v>1.0167</v>
      </c>
      <c r="E306" s="1" t="n">
        <v>0.0225507</v>
      </c>
      <c r="F306" s="1" t="n">
        <v>6.13398E-005</v>
      </c>
      <c r="G306" s="1" t="s">
        <v>27</v>
      </c>
      <c r="H306" s="1" t="n">
        <v>94</v>
      </c>
      <c r="I306" s="1" t="n">
        <v>325.2</v>
      </c>
      <c r="J306" s="1" t="n">
        <v>0</v>
      </c>
      <c r="K306" s="1"/>
      <c r="L306" s="1" t="n">
        <v>0</v>
      </c>
      <c r="M306" s="1" t="n">
        <v>0</v>
      </c>
      <c r="N306" s="1" t="s">
        <v>250</v>
      </c>
      <c r="Z306" s="0" t="n">
        <f aca="false">I306-23</f>
        <v>302.2</v>
      </c>
      <c r="AB306" s="0" t="n">
        <f aca="false">IF(Z306&lt;0,Z306+360,Z306+0)</f>
        <v>302.2</v>
      </c>
    </row>
    <row r="307" customFormat="false" ht="15.8" hidden="false" customHeight="false" outlineLevel="0" collapsed="false">
      <c r="A307" s="1" t="n">
        <v>11</v>
      </c>
      <c r="B307" s="1" t="n">
        <v>5</v>
      </c>
      <c r="C307" s="1" t="n">
        <v>4.6</v>
      </c>
      <c r="D307" s="1" t="n">
        <v>1.2863</v>
      </c>
      <c r="E307" s="1" t="n">
        <v>0.155841</v>
      </c>
      <c r="F307" s="1" t="n">
        <v>0.000423902</v>
      </c>
      <c r="G307" s="1" t="s">
        <v>37</v>
      </c>
      <c r="H307" s="1" t="n">
        <v>25.8</v>
      </c>
      <c r="I307" s="1" t="n">
        <v>231.1</v>
      </c>
      <c r="J307" s="1" t="n">
        <v>-12.1</v>
      </c>
      <c r="K307" s="1" t="n">
        <v>94</v>
      </c>
      <c r="L307" s="1" t="n">
        <v>0</v>
      </c>
      <c r="M307" s="1" t="n">
        <v>0</v>
      </c>
      <c r="N307" s="1" t="s">
        <v>251</v>
      </c>
      <c r="Z307" s="0" t="n">
        <f aca="false">I307-23</f>
        <v>208.1</v>
      </c>
      <c r="AB307" s="0" t="n">
        <f aca="false">IF(Z307&lt;0,Z307+360,Z307+0)</f>
        <v>208.1</v>
      </c>
    </row>
    <row r="308" customFormat="false" ht="15.8" hidden="false" customHeight="false" outlineLevel="0" collapsed="false">
      <c r="A308" s="1" t="n">
        <v>11</v>
      </c>
      <c r="B308" s="1" t="n">
        <v>5</v>
      </c>
      <c r="C308" s="1" t="n">
        <v>3</v>
      </c>
      <c r="D308" s="1" t="n">
        <v>1.2148</v>
      </c>
      <c r="E308" s="1" t="n">
        <v>0.102879</v>
      </c>
      <c r="F308" s="1" t="n">
        <v>0.000279839</v>
      </c>
      <c r="G308" s="1" t="s">
        <v>27</v>
      </c>
      <c r="H308" s="1" t="n">
        <v>12.1</v>
      </c>
      <c r="I308" s="1" t="n">
        <v>239.9</v>
      </c>
      <c r="J308" s="1" t="n">
        <v>17.4</v>
      </c>
      <c r="K308" s="1"/>
      <c r="L308" s="1" t="n">
        <v>0</v>
      </c>
      <c r="M308" s="1" t="n">
        <v>0</v>
      </c>
      <c r="N308" s="1" t="s">
        <v>251</v>
      </c>
      <c r="Z308" s="0" t="n">
        <f aca="false">I308-23</f>
        <v>216.9</v>
      </c>
      <c r="AB308" s="0" t="n">
        <f aca="false">IF(Z308&lt;0,Z308+360,Z308+0)</f>
        <v>216.9</v>
      </c>
    </row>
    <row r="309" customFormat="false" ht="15.8" hidden="false" customHeight="false" outlineLevel="0" collapsed="false">
      <c r="A309" s="1" t="n">
        <v>11</v>
      </c>
      <c r="B309" s="1" t="n">
        <v>4</v>
      </c>
      <c r="C309" s="1" t="n">
        <v>3.5</v>
      </c>
      <c r="D309" s="1" t="n">
        <v>1.2753</v>
      </c>
      <c r="E309" s="1" t="n">
        <v>0.118074</v>
      </c>
      <c r="F309" s="1" t="n">
        <v>0.00032117</v>
      </c>
      <c r="G309" s="1" t="s">
        <v>37</v>
      </c>
      <c r="H309" s="1" t="n">
        <v>39.6</v>
      </c>
      <c r="I309" s="1" t="n">
        <v>247.6</v>
      </c>
      <c r="J309" s="1" t="n">
        <v>7.9</v>
      </c>
      <c r="K309" s="1" t="n">
        <v>25.8</v>
      </c>
      <c r="L309" s="1" t="n">
        <v>0</v>
      </c>
      <c r="M309" s="1" t="n">
        <v>0</v>
      </c>
      <c r="N309" s="1" t="s">
        <v>249</v>
      </c>
      <c r="Z309" s="0" t="n">
        <f aca="false">I309-23</f>
        <v>224.6</v>
      </c>
      <c r="AB309" s="0" t="n">
        <f aca="false">IF(Z309&lt;0,Z309+360,Z309+0)</f>
        <v>224.6</v>
      </c>
    </row>
    <row r="310" customFormat="false" ht="15.8" hidden="false" customHeight="false" outlineLevel="0" collapsed="false">
      <c r="A310" s="1" t="n">
        <v>11</v>
      </c>
      <c r="B310" s="1" t="n">
        <v>3</v>
      </c>
      <c r="C310" s="1" t="n">
        <v>0.8</v>
      </c>
      <c r="D310" s="1" t="n">
        <v>1.0145</v>
      </c>
      <c r="E310" s="1" t="n">
        <v>0.0260581</v>
      </c>
      <c r="F310" s="1" t="n">
        <v>7.08802E-005</v>
      </c>
      <c r="G310" s="1" t="s">
        <v>37</v>
      </c>
      <c r="H310" s="1" t="n">
        <v>33.9</v>
      </c>
      <c r="I310" s="1" t="n">
        <v>208.7</v>
      </c>
      <c r="J310" s="1" t="n">
        <v>0</v>
      </c>
      <c r="K310" s="1" t="n">
        <v>39.6</v>
      </c>
      <c r="L310" s="1" t="n">
        <v>0</v>
      </c>
      <c r="M310" s="1" t="n">
        <v>0</v>
      </c>
      <c r="N310" s="1" t="s">
        <v>252</v>
      </c>
      <c r="Z310" s="0" t="n">
        <f aca="false">I310-23</f>
        <v>185.7</v>
      </c>
      <c r="AB310" s="0" t="n">
        <f aca="false">IF(Z310&lt;0,Z310+360,Z310+0)</f>
        <v>185.7</v>
      </c>
    </row>
    <row r="311" customFormat="false" ht="15.8" hidden="false" customHeight="false" outlineLevel="0" collapsed="false">
      <c r="A311" s="1" t="n">
        <v>11</v>
      </c>
      <c r="B311" s="1" t="n">
        <v>9</v>
      </c>
      <c r="C311" s="1" t="n">
        <v>1.3</v>
      </c>
      <c r="D311" s="1" t="n">
        <v>1.2825</v>
      </c>
      <c r="E311" s="1" t="n">
        <v>0.0457233</v>
      </c>
      <c r="F311" s="1" t="n">
        <v>0.000124371</v>
      </c>
      <c r="G311" s="1" t="s">
        <v>27</v>
      </c>
      <c r="H311" s="1" t="n">
        <v>38.9</v>
      </c>
      <c r="I311" s="1" t="n">
        <v>259.1</v>
      </c>
      <c r="J311" s="1" t="n">
        <v>20.8</v>
      </c>
      <c r="K311" s="1"/>
      <c r="L311" s="1" t="n">
        <v>0</v>
      </c>
      <c r="M311" s="1" t="n">
        <v>0</v>
      </c>
      <c r="N311" s="1" t="s">
        <v>253</v>
      </c>
      <c r="Z311" s="0" t="n">
        <f aca="false">I311-23</f>
        <v>236.1</v>
      </c>
      <c r="AB311" s="0" t="n">
        <f aca="false">IF(Z311&lt;0,Z311+360,Z311+0)</f>
        <v>236.1</v>
      </c>
    </row>
    <row r="312" customFormat="false" ht="15.8" hidden="false" customHeight="false" outlineLevel="0" collapsed="false">
      <c r="A312" s="1" t="n">
        <v>11</v>
      </c>
      <c r="B312" s="1" t="n">
        <v>9</v>
      </c>
      <c r="C312" s="1" t="n">
        <v>0.5</v>
      </c>
      <c r="D312" s="1" t="n">
        <v>1.0071</v>
      </c>
      <c r="E312" s="1" t="n">
        <v>0.0167878</v>
      </c>
      <c r="F312" s="1" t="n">
        <v>4.56643E-005</v>
      </c>
      <c r="G312" s="1" t="s">
        <v>27</v>
      </c>
      <c r="H312" s="1" t="n">
        <v>116.4</v>
      </c>
      <c r="I312" s="1" t="n">
        <v>38.7</v>
      </c>
      <c r="J312" s="1" t="n">
        <v>0</v>
      </c>
      <c r="K312" s="1"/>
      <c r="L312" s="1" t="n">
        <v>0</v>
      </c>
      <c r="M312" s="1" t="n">
        <v>0</v>
      </c>
      <c r="N312" s="1" t="s">
        <v>253</v>
      </c>
      <c r="Z312" s="0" t="n">
        <f aca="false">I312-23</f>
        <v>15.7</v>
      </c>
      <c r="AB312" s="0" t="n">
        <f aca="false">IF(Z312&lt;0,Z312+360,Z312+0)</f>
        <v>15.7</v>
      </c>
    </row>
    <row r="313" customFormat="false" ht="15.8" hidden="false" customHeight="false" outlineLevel="0" collapsed="false">
      <c r="A313" s="1" t="n">
        <v>11</v>
      </c>
      <c r="B313" s="1" t="n">
        <v>8</v>
      </c>
      <c r="C313" s="1" t="n">
        <v>2.3</v>
      </c>
      <c r="D313" s="1" t="n">
        <v>1.1892</v>
      </c>
      <c r="E313" s="1" t="n">
        <v>0.0777995</v>
      </c>
      <c r="F313" s="1" t="n">
        <v>0.000211621</v>
      </c>
      <c r="G313" s="1" t="s">
        <v>37</v>
      </c>
      <c r="H313" s="1" t="n">
        <v>106.4</v>
      </c>
      <c r="I313" s="1" t="n">
        <v>281.7</v>
      </c>
      <c r="J313" s="1" t="n">
        <v>-11.1</v>
      </c>
      <c r="K313" s="1" t="n">
        <v>116.4</v>
      </c>
      <c r="L313" s="1" t="n">
        <v>0</v>
      </c>
      <c r="M313" s="1" t="n">
        <v>0</v>
      </c>
      <c r="N313" s="1" t="s">
        <v>254</v>
      </c>
      <c r="Z313" s="0" t="n">
        <f aca="false">I313-23</f>
        <v>258.7</v>
      </c>
      <c r="AB313" s="0" t="n">
        <f aca="false">IF(Z313&lt;0,Z313+360,Z313+0)</f>
        <v>258.7</v>
      </c>
    </row>
    <row r="314" customFormat="false" ht="15.8" hidden="false" customHeight="false" outlineLevel="0" collapsed="false">
      <c r="A314" s="1" t="n">
        <v>11</v>
      </c>
      <c r="B314" s="1" t="n">
        <v>8</v>
      </c>
      <c r="C314" s="1" t="n">
        <v>1.1</v>
      </c>
      <c r="D314" s="1" t="n">
        <v>1.222</v>
      </c>
      <c r="E314" s="1" t="n">
        <v>0.0371912</v>
      </c>
      <c r="F314" s="1" t="n">
        <v>0.000101163</v>
      </c>
      <c r="G314" s="1" t="s">
        <v>27</v>
      </c>
      <c r="H314" s="1" t="n">
        <v>42.4</v>
      </c>
      <c r="I314" s="1" t="n">
        <v>210.7</v>
      </c>
      <c r="J314" s="1" t="n">
        <v>24.6</v>
      </c>
      <c r="K314" s="1"/>
      <c r="L314" s="1" t="n">
        <v>0</v>
      </c>
      <c r="M314" s="1" t="n">
        <v>0</v>
      </c>
      <c r="N314" s="1" t="s">
        <v>254</v>
      </c>
      <c r="Z314" s="0" t="n">
        <f aca="false">I314-23</f>
        <v>187.7</v>
      </c>
      <c r="AB314" s="0" t="n">
        <f aca="false">IF(Z314&lt;0,Z314+360,Z314+0)</f>
        <v>187.7</v>
      </c>
    </row>
    <row r="315" customFormat="false" ht="15.8" hidden="false" customHeight="false" outlineLevel="0" collapsed="false">
      <c r="A315" s="1" t="n">
        <v>11</v>
      </c>
      <c r="B315" s="1" t="n">
        <v>8</v>
      </c>
      <c r="C315" s="1" t="n">
        <v>1</v>
      </c>
      <c r="D315" s="1" t="n">
        <v>1.0305</v>
      </c>
      <c r="E315" s="1" t="n">
        <v>0.0354851</v>
      </c>
      <c r="F315" s="1" t="n">
        <v>9.65227E-005</v>
      </c>
      <c r="G315" s="1" t="s">
        <v>27</v>
      </c>
      <c r="H315" s="1" t="n">
        <v>22.6</v>
      </c>
      <c r="I315" s="1" t="n">
        <v>152.3</v>
      </c>
      <c r="J315" s="1" t="n">
        <v>0</v>
      </c>
      <c r="K315" s="1"/>
      <c r="L315" s="1" t="n">
        <v>0</v>
      </c>
      <c r="M315" s="1" t="n">
        <v>0</v>
      </c>
      <c r="N315" s="1" t="s">
        <v>254</v>
      </c>
      <c r="Z315" s="0" t="n">
        <f aca="false">I315-23</f>
        <v>129.3</v>
      </c>
      <c r="AB315" s="0" t="n">
        <f aca="false">IF(Z315&lt;0,Z315+360,Z315+0)</f>
        <v>129.3</v>
      </c>
    </row>
    <row r="316" customFormat="false" ht="15.8" hidden="false" customHeight="false" outlineLevel="0" collapsed="false">
      <c r="A316" s="1" t="n">
        <v>11</v>
      </c>
      <c r="B316" s="1" t="n">
        <v>7</v>
      </c>
      <c r="C316" s="1" t="n">
        <v>0.8</v>
      </c>
      <c r="D316" s="1" t="n">
        <v>1.0177</v>
      </c>
      <c r="E316" s="1" t="n">
        <v>0.0258365</v>
      </c>
      <c r="F316" s="1" t="n">
        <v>7.02775E-005</v>
      </c>
      <c r="G316" s="1" t="s">
        <v>37</v>
      </c>
      <c r="H316" s="1" t="n">
        <v>49.6</v>
      </c>
      <c r="I316" s="1" t="n">
        <v>175</v>
      </c>
      <c r="J316" s="1" t="n">
        <v>0</v>
      </c>
      <c r="K316" s="1" t="n">
        <v>106.4</v>
      </c>
      <c r="L316" s="1" t="n">
        <v>0</v>
      </c>
      <c r="M316" s="1" t="n">
        <v>0</v>
      </c>
      <c r="N316" s="1" t="s">
        <v>255</v>
      </c>
      <c r="Z316" s="0" t="n">
        <f aca="false">I316-23</f>
        <v>152</v>
      </c>
      <c r="AB316" s="0" t="n">
        <f aca="false">IF(Z316&lt;0,Z316+360,Z316+0)</f>
        <v>152</v>
      </c>
    </row>
    <row r="317" customFormat="false" ht="15.8" hidden="false" customHeight="false" outlineLevel="0" collapsed="false">
      <c r="A317" s="1" t="n">
        <v>11</v>
      </c>
      <c r="B317" s="1" t="n">
        <v>7</v>
      </c>
      <c r="C317" s="1" t="n">
        <v>0.9</v>
      </c>
      <c r="D317" s="1" t="n">
        <v>1.0098</v>
      </c>
      <c r="E317" s="1" t="n">
        <v>0.0322388</v>
      </c>
      <c r="F317" s="1" t="n">
        <v>8.76923E-005</v>
      </c>
      <c r="G317" s="1" t="s">
        <v>27</v>
      </c>
      <c r="H317" s="1" t="n">
        <v>96.5</v>
      </c>
      <c r="I317" s="1" t="n">
        <v>278</v>
      </c>
      <c r="J317" s="1" t="n">
        <v>0</v>
      </c>
      <c r="K317" s="1"/>
      <c r="L317" s="1" t="n">
        <v>0</v>
      </c>
      <c r="M317" s="1" t="n">
        <v>0</v>
      </c>
      <c r="N317" s="1" t="s">
        <v>255</v>
      </c>
      <c r="Z317" s="0" t="n">
        <f aca="false">I317-23</f>
        <v>255</v>
      </c>
      <c r="AB317" s="0" t="n">
        <f aca="false">IF(Z317&lt;0,Z317+360,Z317+0)</f>
        <v>255</v>
      </c>
    </row>
    <row r="318" customFormat="false" ht="15.8" hidden="false" customHeight="false" outlineLevel="0" collapsed="false">
      <c r="A318" s="1" t="n">
        <v>11</v>
      </c>
      <c r="B318" s="1" t="n">
        <v>6</v>
      </c>
      <c r="C318" s="1" t="n">
        <v>0.6</v>
      </c>
      <c r="D318" s="1" t="n">
        <v>1.1466</v>
      </c>
      <c r="E318" s="1" t="n">
        <v>0.0190629</v>
      </c>
      <c r="F318" s="1" t="n">
        <v>5.18527E-005</v>
      </c>
      <c r="G318" s="1" t="s">
        <v>37</v>
      </c>
      <c r="H318" s="1" t="n">
        <v>82.3</v>
      </c>
      <c r="I318" s="1" t="n">
        <v>178</v>
      </c>
      <c r="J318" s="1" t="n">
        <v>-49.5</v>
      </c>
      <c r="K318" s="1" t="n">
        <v>96.5</v>
      </c>
      <c r="L318" s="1" t="n">
        <v>0</v>
      </c>
      <c r="M318" s="1" t="n">
        <v>0</v>
      </c>
      <c r="N318" s="1" t="s">
        <v>256</v>
      </c>
      <c r="Z318" s="0" t="n">
        <f aca="false">I318-23</f>
        <v>155</v>
      </c>
      <c r="AB318" s="0" t="n">
        <f aca="false">IF(Z318&lt;0,Z318+360,Z318+0)</f>
        <v>155</v>
      </c>
    </row>
    <row r="319" customFormat="false" ht="15.8" hidden="false" customHeight="false" outlineLevel="0" collapsed="false">
      <c r="A319" s="1" t="n">
        <v>11</v>
      </c>
      <c r="B319" s="1" t="n">
        <v>6</v>
      </c>
      <c r="C319" s="1" t="n">
        <v>1</v>
      </c>
      <c r="D319" s="1" t="n">
        <v>1.1269</v>
      </c>
      <c r="E319" s="1" t="n">
        <v>0.0349186</v>
      </c>
      <c r="F319" s="1" t="n">
        <v>9.49818E-005</v>
      </c>
      <c r="G319" s="1" t="s">
        <v>27</v>
      </c>
      <c r="H319" s="1" t="n">
        <v>108.5</v>
      </c>
      <c r="I319" s="1" t="n">
        <v>320.9</v>
      </c>
      <c r="J319" s="1" t="n">
        <v>-24.1</v>
      </c>
      <c r="K319" s="1"/>
      <c r="L319" s="1" t="n">
        <v>0</v>
      </c>
      <c r="M319" s="1" t="n">
        <v>0</v>
      </c>
      <c r="N319" s="1" t="s">
        <v>256</v>
      </c>
      <c r="Z319" s="0" t="n">
        <f aca="false">I319-23</f>
        <v>297.9</v>
      </c>
      <c r="AB319" s="0" t="n">
        <f aca="false">IF(Z319&lt;0,Z319+360,Z319+0)</f>
        <v>297.9</v>
      </c>
    </row>
    <row r="320" customFormat="false" ht="15.8" hidden="false" customHeight="false" outlineLevel="0" collapsed="false">
      <c r="A320" s="1" t="n">
        <v>11</v>
      </c>
      <c r="B320" s="1" t="n">
        <v>5</v>
      </c>
      <c r="C320" s="1" t="n">
        <v>1.2</v>
      </c>
      <c r="D320" s="1" t="n">
        <v>1.2587</v>
      </c>
      <c r="E320" s="1" t="n">
        <v>0.0395469</v>
      </c>
      <c r="F320" s="1" t="n">
        <v>0.000107571</v>
      </c>
      <c r="G320" s="1" t="s">
        <v>37</v>
      </c>
      <c r="H320" s="1" t="n">
        <v>24.3</v>
      </c>
      <c r="I320" s="1" t="n">
        <v>220.3</v>
      </c>
      <c r="J320" s="1" t="n">
        <v>23.7</v>
      </c>
      <c r="K320" s="1" t="n">
        <v>108.5</v>
      </c>
      <c r="L320" s="1" t="n">
        <v>0</v>
      </c>
      <c r="M320" s="1" t="n">
        <v>0</v>
      </c>
      <c r="N320" s="1" t="s">
        <v>257</v>
      </c>
      <c r="Z320" s="0" t="n">
        <f aca="false">I320-23</f>
        <v>197.3</v>
      </c>
      <c r="AB320" s="0" t="n">
        <f aca="false">IF(Z320&lt;0,Z320+360,Z320+0)</f>
        <v>197.3</v>
      </c>
    </row>
    <row r="321" customFormat="false" ht="15.8" hidden="false" customHeight="false" outlineLevel="0" collapsed="false">
      <c r="A321" s="1" t="n">
        <v>11</v>
      </c>
      <c r="B321" s="1" t="n">
        <v>5</v>
      </c>
      <c r="C321" s="1" t="n">
        <v>1.2</v>
      </c>
      <c r="D321" s="1" t="n">
        <v>1.0367</v>
      </c>
      <c r="E321" s="1" t="n">
        <v>0.0400341</v>
      </c>
      <c r="F321" s="1" t="n">
        <v>0.000108896</v>
      </c>
      <c r="G321" s="1" t="s">
        <v>27</v>
      </c>
      <c r="H321" s="1" t="n">
        <v>85.6</v>
      </c>
      <c r="I321" s="1" t="n">
        <v>291.3</v>
      </c>
      <c r="J321" s="1" t="n">
        <v>79.3</v>
      </c>
      <c r="K321" s="1"/>
      <c r="L321" s="1" t="n">
        <v>0</v>
      </c>
      <c r="M321" s="1" t="n">
        <v>0</v>
      </c>
      <c r="N321" s="1" t="s">
        <v>257</v>
      </c>
      <c r="Z321" s="0" t="n">
        <f aca="false">I321-23</f>
        <v>268.3</v>
      </c>
      <c r="AB321" s="0" t="n">
        <f aca="false">IF(Z321&lt;0,Z321+360,Z321+0)</f>
        <v>268.3</v>
      </c>
    </row>
    <row r="322" customFormat="false" ht="15.8" hidden="false" customHeight="false" outlineLevel="0" collapsed="false">
      <c r="A322" s="1" t="n">
        <v>11</v>
      </c>
      <c r="B322" s="1" t="n">
        <v>4</v>
      </c>
      <c r="C322" s="1" t="n">
        <v>1.9</v>
      </c>
      <c r="D322" s="1" t="n">
        <v>1.0168</v>
      </c>
      <c r="E322" s="1" t="n">
        <v>0.0636431</v>
      </c>
      <c r="F322" s="1" t="n">
        <v>0.000173115</v>
      </c>
      <c r="G322" s="1" t="s">
        <v>37</v>
      </c>
      <c r="H322" s="1" t="n">
        <v>56.4</v>
      </c>
      <c r="I322" s="1" t="n">
        <v>225.5</v>
      </c>
      <c r="J322" s="1" t="n">
        <v>0</v>
      </c>
      <c r="K322" s="1" t="n">
        <v>85.6</v>
      </c>
      <c r="L322" s="1" t="n">
        <v>0</v>
      </c>
      <c r="M322" s="1" t="n">
        <v>0</v>
      </c>
      <c r="N322" s="1" t="s">
        <v>258</v>
      </c>
      <c r="Z322" s="0" t="n">
        <f aca="false">I322-23</f>
        <v>202.5</v>
      </c>
      <c r="AB322" s="0" t="n">
        <f aca="false">IF(Z322&lt;0,Z322+360,Z322+0)</f>
        <v>202.5</v>
      </c>
    </row>
    <row r="323" customFormat="false" ht="15.8" hidden="false" customHeight="false" outlineLevel="0" collapsed="false">
      <c r="A323" s="1" t="n">
        <v>11</v>
      </c>
      <c r="B323" s="1" t="n">
        <v>4</v>
      </c>
      <c r="C323" s="1" t="n">
        <v>1.3</v>
      </c>
      <c r="D323" s="1" t="n">
        <v>1.0061</v>
      </c>
      <c r="E323" s="1" t="n">
        <v>0.0431104</v>
      </c>
      <c r="F323" s="1" t="n">
        <v>0.000117264</v>
      </c>
      <c r="G323" s="1" t="s">
        <v>27</v>
      </c>
      <c r="H323" s="1" t="n">
        <v>82.1</v>
      </c>
      <c r="I323" s="1" t="n">
        <v>3.5</v>
      </c>
      <c r="J323" s="1" t="n">
        <v>0</v>
      </c>
      <c r="K323" s="1"/>
      <c r="L323" s="1" t="n">
        <v>0</v>
      </c>
      <c r="M323" s="1" t="n">
        <v>0</v>
      </c>
      <c r="N323" s="1" t="s">
        <v>258</v>
      </c>
      <c r="Z323" s="0" t="n">
        <f aca="false">I323-23</f>
        <v>-19.5</v>
      </c>
      <c r="AB323" s="0" t="n">
        <f aca="false">IF(Z323&lt;0,Z323+360,Z323+0)</f>
        <v>340.5</v>
      </c>
    </row>
    <row r="324" customFormat="false" ht="15.8" hidden="false" customHeight="false" outlineLevel="0" collapsed="false">
      <c r="A324" s="1" t="n">
        <v>11</v>
      </c>
      <c r="B324" s="1" t="n">
        <v>3</v>
      </c>
      <c r="C324" s="1" t="n">
        <v>6.8</v>
      </c>
      <c r="D324" s="1" t="n">
        <v>1.2481</v>
      </c>
      <c r="E324" s="1" t="n">
        <v>0.232829</v>
      </c>
      <c r="F324" s="1" t="n">
        <v>0.000633316</v>
      </c>
      <c r="G324" s="1" t="s">
        <v>37</v>
      </c>
      <c r="H324" s="1" t="n">
        <v>39.6</v>
      </c>
      <c r="I324" s="1" t="n">
        <v>281.5</v>
      </c>
      <c r="J324" s="1" t="n">
        <v>7.8</v>
      </c>
      <c r="K324" s="1" t="n">
        <v>82.1</v>
      </c>
      <c r="L324" s="1" t="n">
        <v>0</v>
      </c>
      <c r="M324" s="1" t="n">
        <v>0</v>
      </c>
      <c r="N324" s="1" t="s">
        <v>252</v>
      </c>
      <c r="Z324" s="0" t="n">
        <f aca="false">I324-23</f>
        <v>258.5</v>
      </c>
      <c r="AB324" s="0" t="n">
        <f aca="false">IF(Z324&lt;0,Z324+360,Z324+0)</f>
        <v>258.5</v>
      </c>
    </row>
    <row r="325" customFormat="false" ht="15.8" hidden="false" customHeight="false" outlineLevel="0" collapsed="false">
      <c r="A325" s="1" t="n">
        <v>11</v>
      </c>
      <c r="B325" s="1" t="n">
        <v>2</v>
      </c>
      <c r="C325" s="1" t="n">
        <v>0.9</v>
      </c>
      <c r="D325" s="1" t="n">
        <v>1.022</v>
      </c>
      <c r="E325" s="1" t="n">
        <v>0.0321324</v>
      </c>
      <c r="F325" s="1" t="n">
        <v>8.74028E-005</v>
      </c>
      <c r="G325" s="1" t="s">
        <v>37</v>
      </c>
      <c r="H325" s="1" t="n">
        <v>19.7</v>
      </c>
      <c r="I325" s="1" t="n">
        <v>242.5</v>
      </c>
      <c r="J325" s="1" t="n">
        <v>0</v>
      </c>
      <c r="K325" s="1" t="n">
        <v>39.6</v>
      </c>
      <c r="L325" s="1" t="n">
        <v>0</v>
      </c>
      <c r="M325" s="1" t="n">
        <v>0</v>
      </c>
      <c r="N325" s="1" t="s">
        <v>259</v>
      </c>
      <c r="Z325" s="0" t="n">
        <f aca="false">I325-23</f>
        <v>219.5</v>
      </c>
      <c r="AB325" s="0" t="n">
        <f aca="false">IF(Z325&lt;0,Z325+360,Z325+0)</f>
        <v>219.5</v>
      </c>
    </row>
    <row r="326" customFormat="false" ht="15.8" hidden="false" customHeight="false" outlineLevel="0" collapsed="false">
      <c r="A326" s="1" t="n">
        <v>11</v>
      </c>
      <c r="B326" s="1" t="n">
        <v>2</v>
      </c>
      <c r="C326" s="1" t="n">
        <v>0.7</v>
      </c>
      <c r="D326" s="1" t="n">
        <v>1.0047</v>
      </c>
      <c r="E326" s="1" t="n">
        <v>0.0228424</v>
      </c>
      <c r="F326" s="1" t="n">
        <v>6.21333E-005</v>
      </c>
      <c r="G326" s="1" t="s">
        <v>27</v>
      </c>
      <c r="H326" s="1" t="n">
        <v>101.5</v>
      </c>
      <c r="I326" s="1" t="n">
        <v>3.8</v>
      </c>
      <c r="J326" s="1" t="n">
        <v>0</v>
      </c>
      <c r="K326" s="1"/>
      <c r="L326" s="1" t="n">
        <v>0</v>
      </c>
      <c r="M326" s="1" t="n">
        <v>0</v>
      </c>
      <c r="N326" s="1" t="s">
        <v>259</v>
      </c>
      <c r="Z326" s="0" t="n">
        <f aca="false">I326-23</f>
        <v>-19.2</v>
      </c>
      <c r="AB326" s="0" t="n">
        <f aca="false">IF(Z326&lt;0,Z326+360,Z326+0)</f>
        <v>340.8</v>
      </c>
    </row>
    <row r="327" customFormat="false" ht="15.8" hidden="false" customHeight="false" outlineLevel="0" collapsed="false">
      <c r="A327" s="1" t="n">
        <v>11</v>
      </c>
      <c r="B327" s="1" t="n">
        <v>1</v>
      </c>
      <c r="C327" s="1" t="n">
        <v>2.1</v>
      </c>
      <c r="D327" s="1" t="n">
        <v>1.029</v>
      </c>
      <c r="E327" s="1" t="n">
        <v>0.0733867</v>
      </c>
      <c r="F327" s="1" t="n">
        <v>0.000199618</v>
      </c>
      <c r="G327" s="1" t="s">
        <v>37</v>
      </c>
      <c r="H327" s="1"/>
      <c r="I327" s="1" t="n">
        <v>262.2</v>
      </c>
      <c r="J327" s="1" t="n">
        <v>0</v>
      </c>
      <c r="K327" s="1" t="n">
        <v>101.5</v>
      </c>
      <c r="L327" s="1" t="n">
        <v>0</v>
      </c>
      <c r="M327" s="1" t="n">
        <v>0</v>
      </c>
      <c r="N327" s="1" t="s">
        <v>260</v>
      </c>
      <c r="Z327" s="0" t="n">
        <f aca="false">I327-23</f>
        <v>239.2</v>
      </c>
      <c r="AB327" s="0" t="n">
        <f aca="false">IF(Z327&lt;0,Z327+360,Z327+0)</f>
        <v>239.2</v>
      </c>
    </row>
    <row r="328" customFormat="false" ht="15.8" hidden="false" customHeight="false" outlineLevel="0" collapsed="false">
      <c r="A328" s="1" t="n">
        <v>12</v>
      </c>
      <c r="B328" s="1" t="n">
        <v>1</v>
      </c>
      <c r="C328" s="1" t="n">
        <v>2.2</v>
      </c>
      <c r="D328" s="1" t="n">
        <v>1.4248</v>
      </c>
      <c r="E328" s="1" t="n">
        <v>0.0749905</v>
      </c>
      <c r="F328" s="1" t="n">
        <v>0.000203981</v>
      </c>
      <c r="G328" s="1" t="s">
        <v>27</v>
      </c>
      <c r="H328" s="1"/>
      <c r="I328" s="1" t="n">
        <v>177.1</v>
      </c>
      <c r="J328" s="1" t="n">
        <v>74</v>
      </c>
      <c r="K328" s="1"/>
      <c r="L328" s="1" t="n">
        <v>0</v>
      </c>
      <c r="M328" s="1" t="n">
        <v>0</v>
      </c>
      <c r="N328" s="1" t="s">
        <v>261</v>
      </c>
      <c r="Z328" s="0" t="n">
        <f aca="false">I328-23</f>
        <v>154.1</v>
      </c>
      <c r="AB328" s="0" t="n">
        <f aca="false">IF(Z328&lt;0,Z328+360,Z328+0)</f>
        <v>154.1</v>
      </c>
    </row>
    <row r="329" customFormat="false" ht="15.8" hidden="false" customHeight="false" outlineLevel="0" collapsed="false">
      <c r="A329" s="1" t="n">
        <v>13</v>
      </c>
      <c r="B329" s="1" t="n">
        <v>2</v>
      </c>
      <c r="C329" s="1" t="n">
        <v>3.2</v>
      </c>
      <c r="D329" s="1" t="n">
        <v>1.5453</v>
      </c>
      <c r="E329" s="1" t="n">
        <v>0.129032</v>
      </c>
      <c r="F329" s="1" t="n">
        <v>0.00043261</v>
      </c>
      <c r="G329" s="1" t="s">
        <v>27</v>
      </c>
      <c r="H329" s="1" t="n">
        <v>20.8</v>
      </c>
      <c r="I329" s="1" t="n">
        <v>159.2</v>
      </c>
      <c r="J329" s="1" t="n">
        <v>-20.7</v>
      </c>
      <c r="K329" s="1"/>
      <c r="L329" s="1" t="n">
        <v>0</v>
      </c>
      <c r="M329" s="1" t="n">
        <v>0</v>
      </c>
      <c r="N329" s="1" t="s">
        <v>262</v>
      </c>
      <c r="Z329" s="0" t="n">
        <f aca="false">I329-23</f>
        <v>136.2</v>
      </c>
      <c r="AB329" s="0" t="n">
        <f aca="false">IF(Z329&lt;0,Z329+360,Z329+0)</f>
        <v>136.2</v>
      </c>
    </row>
    <row r="330" customFormat="false" ht="15.8" hidden="false" customHeight="false" outlineLevel="0" collapsed="false">
      <c r="A330" s="1" t="n">
        <v>13</v>
      </c>
      <c r="B330" s="1" t="n">
        <v>3</v>
      </c>
      <c r="C330" s="1" t="n">
        <v>1.1</v>
      </c>
      <c r="D330" s="1" t="n">
        <v>1.2111</v>
      </c>
      <c r="E330" s="1" t="n">
        <v>0.0250081</v>
      </c>
      <c r="F330" s="1" t="n">
        <v>4.53496E-005</v>
      </c>
      <c r="G330" s="1" t="s">
        <v>27</v>
      </c>
      <c r="H330" s="1" t="n">
        <v>52.7</v>
      </c>
      <c r="I330" s="1" t="n">
        <v>144.6</v>
      </c>
      <c r="J330" s="1" t="n">
        <v>24.1</v>
      </c>
      <c r="K330" s="1"/>
      <c r="L330" s="1" t="n">
        <v>0</v>
      </c>
      <c r="M330" s="1" t="n">
        <v>0</v>
      </c>
      <c r="N330" s="1" t="s">
        <v>263</v>
      </c>
      <c r="Z330" s="0" t="n">
        <f aca="false">I330-23</f>
        <v>121.6</v>
      </c>
      <c r="AB330" s="0" t="n">
        <f aca="false">IF(Z330&lt;0,Z330+360,Z330+0)</f>
        <v>121.6</v>
      </c>
    </row>
    <row r="331" customFormat="false" ht="15.8" hidden="false" customHeight="false" outlineLevel="0" collapsed="false">
      <c r="A331" s="1" t="n">
        <v>13</v>
      </c>
      <c r="B331" s="1" t="n">
        <v>4</v>
      </c>
      <c r="C331" s="1" t="n">
        <v>0.9</v>
      </c>
      <c r="D331" s="1" t="n">
        <v>1.1844</v>
      </c>
      <c r="E331" s="1" t="n">
        <v>0.040696</v>
      </c>
      <c r="F331" s="1" t="n">
        <v>0.000147596</v>
      </c>
      <c r="G331" s="1" t="s">
        <v>27</v>
      </c>
      <c r="H331" s="1" t="n">
        <v>74.3</v>
      </c>
      <c r="I331" s="1" t="n">
        <v>316.8</v>
      </c>
      <c r="J331" s="1" t="n">
        <v>-29.4</v>
      </c>
      <c r="K331" s="1"/>
      <c r="L331" s="1" t="n">
        <v>0</v>
      </c>
      <c r="M331" s="1" t="n">
        <v>0</v>
      </c>
      <c r="N331" s="1" t="s">
        <v>264</v>
      </c>
      <c r="Z331" s="0" t="n">
        <f aca="false">I331-23</f>
        <v>293.8</v>
      </c>
      <c r="AB331" s="0" t="n">
        <f aca="false">IF(Z331&lt;0,Z331+360,Z331+0)</f>
        <v>293.8</v>
      </c>
    </row>
    <row r="332" customFormat="false" ht="15.8" hidden="false" customHeight="false" outlineLevel="0" collapsed="false">
      <c r="A332" s="1" t="n">
        <v>13</v>
      </c>
      <c r="B332" s="1" t="n">
        <v>6</v>
      </c>
      <c r="C332" s="1" t="n">
        <v>0.5</v>
      </c>
      <c r="D332" s="1" t="n">
        <v>1.0111</v>
      </c>
      <c r="E332" s="1" t="n">
        <v>0.0123476</v>
      </c>
      <c r="F332" s="1" t="n">
        <v>2.2391E-005</v>
      </c>
      <c r="G332" s="1" t="s">
        <v>27</v>
      </c>
      <c r="H332" s="1" t="n">
        <v>56.3</v>
      </c>
      <c r="I332" s="1" t="n">
        <v>309.5</v>
      </c>
      <c r="J332" s="1" t="n">
        <v>0</v>
      </c>
      <c r="K332" s="1"/>
      <c r="L332" s="1" t="n">
        <v>0</v>
      </c>
      <c r="M332" s="1" t="n">
        <v>0</v>
      </c>
      <c r="N332" s="1" t="s">
        <v>265</v>
      </c>
      <c r="Z332" s="0" t="n">
        <f aca="false">I332-23</f>
        <v>286.5</v>
      </c>
      <c r="AB332" s="0" t="n">
        <f aca="false">IF(Z332&lt;0,Z332+360,Z332+0)</f>
        <v>286.5</v>
      </c>
    </row>
    <row r="333" customFormat="false" ht="15.8" hidden="false" customHeight="false" outlineLevel="0" collapsed="false">
      <c r="A333" s="1" t="n">
        <v>13</v>
      </c>
      <c r="B333" s="1" t="n">
        <v>6</v>
      </c>
      <c r="C333" s="1" t="n">
        <v>1</v>
      </c>
      <c r="D333" s="1" t="n">
        <v>1.1383</v>
      </c>
      <c r="E333" s="1" t="n">
        <v>0.0238279</v>
      </c>
      <c r="F333" s="1" t="n">
        <v>4.32093E-005</v>
      </c>
      <c r="G333" s="1" t="s">
        <v>27</v>
      </c>
      <c r="H333" s="1" t="n">
        <v>81</v>
      </c>
      <c r="I333" s="1" t="n">
        <v>178.5</v>
      </c>
      <c r="J333" s="1" t="n">
        <v>53.7</v>
      </c>
      <c r="K333" s="1"/>
      <c r="L333" s="1" t="n">
        <v>0</v>
      </c>
      <c r="M333" s="1" t="n">
        <v>0</v>
      </c>
      <c r="N333" s="1" t="s">
        <v>265</v>
      </c>
      <c r="Z333" s="0" t="n">
        <f aca="false">I333-23</f>
        <v>155.5</v>
      </c>
      <c r="AB333" s="0" t="n">
        <f aca="false">IF(Z333&lt;0,Z333+360,Z333+0)</f>
        <v>155.5</v>
      </c>
    </row>
    <row r="334" customFormat="false" ht="15.8" hidden="false" customHeight="false" outlineLevel="0" collapsed="false">
      <c r="A334" s="1" t="n">
        <v>13</v>
      </c>
      <c r="B334" s="1" t="n">
        <v>5</v>
      </c>
      <c r="C334" s="1" t="n">
        <v>1.1</v>
      </c>
      <c r="D334" s="1" t="n">
        <v>1.1163</v>
      </c>
      <c r="E334" s="1" t="n">
        <v>0.04354</v>
      </c>
      <c r="F334" s="1" t="n">
        <v>0.000145452</v>
      </c>
      <c r="G334" s="1" t="s">
        <v>37</v>
      </c>
      <c r="H334" s="1" t="n">
        <v>78.2</v>
      </c>
      <c r="I334" s="1" t="n">
        <v>253.2</v>
      </c>
      <c r="J334" s="1" t="n">
        <v>0</v>
      </c>
      <c r="K334" s="1" t="n">
        <v>81</v>
      </c>
      <c r="L334" s="1" t="n">
        <v>0</v>
      </c>
      <c r="M334" s="1" t="n">
        <v>0</v>
      </c>
      <c r="N334" s="1" t="s">
        <v>266</v>
      </c>
      <c r="Z334" s="0" t="n">
        <f aca="false">I334-23</f>
        <v>230.2</v>
      </c>
      <c r="AB334" s="0" t="n">
        <f aca="false">IF(Z334&lt;0,Z334+360,Z334+0)</f>
        <v>230.2</v>
      </c>
    </row>
    <row r="335" customFormat="false" ht="15.8" hidden="false" customHeight="false" outlineLevel="0" collapsed="false">
      <c r="A335" s="1" t="n">
        <v>13</v>
      </c>
      <c r="B335" s="1" t="n">
        <v>8</v>
      </c>
      <c r="C335" s="1" t="n">
        <v>4.6</v>
      </c>
      <c r="D335" s="1" t="n">
        <v>1.359</v>
      </c>
      <c r="E335" s="1" t="n">
        <v>0.127022</v>
      </c>
      <c r="F335" s="1" t="n">
        <v>0.00027641</v>
      </c>
      <c r="G335" s="1" t="s">
        <v>27</v>
      </c>
      <c r="H335" s="1" t="n">
        <v>36.9</v>
      </c>
      <c r="I335" s="1" t="n">
        <v>226</v>
      </c>
      <c r="J335" s="1" t="n">
        <v>6.2</v>
      </c>
      <c r="K335" s="1"/>
      <c r="L335" s="1" t="n">
        <v>0</v>
      </c>
      <c r="M335" s="1" t="n">
        <v>0</v>
      </c>
      <c r="N335" s="1" t="s">
        <v>267</v>
      </c>
      <c r="Z335" s="0" t="n">
        <f aca="false">I335-23</f>
        <v>203</v>
      </c>
      <c r="AB335" s="0" t="n">
        <f aca="false">IF(Z335&lt;0,Z335+360,Z335+0)</f>
        <v>203</v>
      </c>
    </row>
    <row r="336" customFormat="false" ht="15.8" hidden="false" customHeight="false" outlineLevel="0" collapsed="false">
      <c r="A336" s="1" t="n">
        <v>13</v>
      </c>
      <c r="B336" s="1" t="n">
        <v>8</v>
      </c>
      <c r="C336" s="1" t="n">
        <v>0.4</v>
      </c>
      <c r="D336" s="1" t="n">
        <v>1.0129</v>
      </c>
      <c r="E336" s="1" t="n">
        <v>0.0121841</v>
      </c>
      <c r="F336" s="1" t="n">
        <v>2.65134E-005</v>
      </c>
      <c r="G336" s="1" t="s">
        <v>27</v>
      </c>
      <c r="H336" s="1" t="n">
        <v>34.5</v>
      </c>
      <c r="I336" s="1" t="n">
        <v>297.1</v>
      </c>
      <c r="J336" s="1" t="n">
        <v>0</v>
      </c>
      <c r="K336" s="1"/>
      <c r="L336" s="1" t="n">
        <v>0</v>
      </c>
      <c r="M336" s="1" t="n">
        <v>0</v>
      </c>
      <c r="N336" s="1" t="s">
        <v>267</v>
      </c>
      <c r="Z336" s="0" t="n">
        <f aca="false">I336-23</f>
        <v>274.1</v>
      </c>
      <c r="AB336" s="0" t="n">
        <f aca="false">IF(Z336&lt;0,Z336+360,Z336+0)</f>
        <v>274.1</v>
      </c>
    </row>
    <row r="337" customFormat="false" ht="15.8" hidden="false" customHeight="false" outlineLevel="0" collapsed="false">
      <c r="A337" s="1" t="n">
        <v>13</v>
      </c>
      <c r="B337" s="1" t="n">
        <v>7</v>
      </c>
      <c r="C337" s="1" t="n">
        <v>0.6</v>
      </c>
      <c r="D337" s="1" t="n">
        <v>1.0367</v>
      </c>
      <c r="E337" s="1" t="n">
        <v>0.0151811</v>
      </c>
      <c r="F337" s="1" t="n">
        <v>3.30352E-005</v>
      </c>
      <c r="G337" s="1" t="s">
        <v>37</v>
      </c>
      <c r="H337" s="1" t="n">
        <v>8.4</v>
      </c>
      <c r="I337" s="1" t="n">
        <v>262.5</v>
      </c>
      <c r="J337" s="1" t="n">
        <v>0</v>
      </c>
      <c r="K337" s="1" t="n">
        <v>36.9</v>
      </c>
      <c r="L337" s="1" t="n">
        <v>0</v>
      </c>
      <c r="M337" s="1" t="n">
        <v>0</v>
      </c>
      <c r="N337" s="1" t="s">
        <v>268</v>
      </c>
      <c r="Z337" s="0" t="n">
        <f aca="false">I337-23</f>
        <v>239.5</v>
      </c>
      <c r="AB337" s="0" t="n">
        <f aca="false">IF(Z337&lt;0,Z337+360,Z337+0)</f>
        <v>239.5</v>
      </c>
    </row>
    <row r="338" customFormat="false" ht="15.8" hidden="false" customHeight="false" outlineLevel="0" collapsed="false">
      <c r="A338" s="1" t="n">
        <v>13</v>
      </c>
      <c r="B338" s="1" t="n">
        <v>7</v>
      </c>
      <c r="C338" s="1" t="n">
        <v>2.3</v>
      </c>
      <c r="D338" s="1" t="n">
        <v>1.2158</v>
      </c>
      <c r="E338" s="1" t="n">
        <v>0.0634454</v>
      </c>
      <c r="F338" s="1" t="n">
        <v>0.000138062</v>
      </c>
      <c r="G338" s="1" t="s">
        <v>27</v>
      </c>
      <c r="H338" s="1" t="n">
        <v>62.6</v>
      </c>
      <c r="I338" s="1" t="n">
        <v>208.3</v>
      </c>
      <c r="J338" s="1" t="n">
        <v>0</v>
      </c>
      <c r="K338" s="1"/>
      <c r="L338" s="1" t="n">
        <v>0</v>
      </c>
      <c r="M338" s="1" t="n">
        <v>0</v>
      </c>
      <c r="N338" s="1" t="s">
        <v>268</v>
      </c>
      <c r="Z338" s="0" t="n">
        <f aca="false">I338-23</f>
        <v>185.3</v>
      </c>
      <c r="AB338" s="0" t="n">
        <f aca="false">IF(Z338&lt;0,Z338+360,Z338+0)</f>
        <v>185.3</v>
      </c>
    </row>
    <row r="339" customFormat="false" ht="15.8" hidden="false" customHeight="false" outlineLevel="0" collapsed="false">
      <c r="A339" s="1" t="n">
        <v>13</v>
      </c>
      <c r="B339" s="1" t="n">
        <v>6</v>
      </c>
      <c r="C339" s="1" t="n">
        <v>0.5</v>
      </c>
      <c r="D339" s="1" t="n">
        <v>1.0026</v>
      </c>
      <c r="E339" s="1" t="n">
        <v>0.0143205</v>
      </c>
      <c r="F339" s="1" t="n">
        <v>3.11623E-005</v>
      </c>
      <c r="G339" s="1" t="s">
        <v>37</v>
      </c>
      <c r="H339" s="1" t="n">
        <v>16.4</v>
      </c>
      <c r="I339" s="1" t="n">
        <v>271</v>
      </c>
      <c r="J339" s="1" t="n">
        <v>0</v>
      </c>
      <c r="K339" s="1" t="n">
        <v>62.6</v>
      </c>
      <c r="L339" s="1" t="n">
        <v>0</v>
      </c>
      <c r="M339" s="1" t="n">
        <v>0</v>
      </c>
      <c r="N339" s="1" t="s">
        <v>269</v>
      </c>
      <c r="Z339" s="0" t="n">
        <f aca="false">I339-23</f>
        <v>248</v>
      </c>
      <c r="AB339" s="0" t="n">
        <f aca="false">IF(Z339&lt;0,Z339+360,Z339+0)</f>
        <v>248</v>
      </c>
    </row>
    <row r="340" customFormat="false" ht="15.8" hidden="false" customHeight="false" outlineLevel="0" collapsed="false">
      <c r="A340" s="1" t="n">
        <v>13</v>
      </c>
      <c r="B340" s="1" t="n">
        <v>6</v>
      </c>
      <c r="C340" s="1" t="n">
        <v>0.9</v>
      </c>
      <c r="D340" s="1" t="n">
        <v>1.0409</v>
      </c>
      <c r="E340" s="1" t="n">
        <v>0.0244433</v>
      </c>
      <c r="F340" s="1" t="n">
        <v>5.31904E-005</v>
      </c>
      <c r="G340" s="1" t="s">
        <v>27</v>
      </c>
      <c r="H340" s="1" t="n">
        <v>154.5</v>
      </c>
      <c r="I340" s="1" t="n">
        <v>100.5</v>
      </c>
      <c r="J340" s="1" t="n">
        <v>0</v>
      </c>
      <c r="K340" s="1"/>
      <c r="L340" s="1" t="n">
        <v>0</v>
      </c>
      <c r="M340" s="1" t="n">
        <v>0</v>
      </c>
      <c r="N340" s="1" t="s">
        <v>269</v>
      </c>
      <c r="Z340" s="0" t="n">
        <f aca="false">I340-23</f>
        <v>77.5</v>
      </c>
      <c r="AB340" s="0" t="n">
        <f aca="false">IF(Z340&lt;0,Z340+360,Z340+0)</f>
        <v>77.5</v>
      </c>
    </row>
    <row r="341" customFormat="false" ht="15.8" hidden="false" customHeight="false" outlineLevel="0" collapsed="false">
      <c r="A341" s="1" t="n">
        <v>13</v>
      </c>
      <c r="B341" s="1" t="n">
        <v>7</v>
      </c>
      <c r="C341" s="1" t="n">
        <v>3.8</v>
      </c>
      <c r="D341" s="1" t="n">
        <v>1.3768</v>
      </c>
      <c r="E341" s="1" t="n">
        <v>0.0875981</v>
      </c>
      <c r="F341" s="1" t="n">
        <v>0.00015885</v>
      </c>
      <c r="G341" s="1" t="s">
        <v>27</v>
      </c>
      <c r="H341" s="1" t="n">
        <v>93.7</v>
      </c>
      <c r="I341" s="1" t="n">
        <v>331.1</v>
      </c>
      <c r="J341" s="1" t="n">
        <v>0</v>
      </c>
      <c r="K341" s="1"/>
      <c r="L341" s="1" t="n">
        <v>0</v>
      </c>
      <c r="M341" s="1" t="n">
        <v>0</v>
      </c>
      <c r="N341" s="1" t="s">
        <v>270</v>
      </c>
      <c r="Z341" s="0" t="n">
        <f aca="false">I341-23</f>
        <v>308.1</v>
      </c>
      <c r="AB341" s="0" t="n">
        <f aca="false">IF(Z341&lt;0,Z341+360,Z341+0)</f>
        <v>308.1</v>
      </c>
    </row>
    <row r="342" customFormat="false" ht="15.8" hidden="false" customHeight="false" outlineLevel="0" collapsed="false">
      <c r="A342" s="1" t="n">
        <v>13</v>
      </c>
      <c r="B342" s="1" t="n">
        <v>7</v>
      </c>
      <c r="C342" s="1" t="n">
        <v>2.3</v>
      </c>
      <c r="D342" s="1" t="n">
        <v>1.3808</v>
      </c>
      <c r="E342" s="1" t="n">
        <v>0.0519522</v>
      </c>
      <c r="F342" s="1" t="n">
        <v>9.42097E-005</v>
      </c>
      <c r="G342" s="1" t="s">
        <v>27</v>
      </c>
      <c r="H342" s="1" t="n">
        <v>83</v>
      </c>
      <c r="I342" s="1" t="n">
        <v>73.8</v>
      </c>
      <c r="J342" s="1" t="n">
        <v>12.9</v>
      </c>
      <c r="K342" s="1"/>
      <c r="L342" s="1" t="n">
        <v>0</v>
      </c>
      <c r="M342" s="1" t="n">
        <v>0</v>
      </c>
      <c r="N342" s="1" t="s">
        <v>270</v>
      </c>
      <c r="Z342" s="0" t="n">
        <f aca="false">I342-23</f>
        <v>50.8</v>
      </c>
      <c r="AB342" s="0" t="n">
        <f aca="false">IF(Z342&lt;0,Z342+360,Z342+0)</f>
        <v>50.8</v>
      </c>
    </row>
    <row r="343" customFormat="false" ht="15.8" hidden="false" customHeight="false" outlineLevel="0" collapsed="false">
      <c r="A343" s="1" t="n">
        <v>13</v>
      </c>
      <c r="B343" s="1" t="n">
        <v>6</v>
      </c>
      <c r="C343" s="1" t="n">
        <v>2.4</v>
      </c>
      <c r="D343" s="1" t="n">
        <v>1.0291</v>
      </c>
      <c r="E343" s="1" t="n">
        <v>0.0562632</v>
      </c>
      <c r="F343" s="1" t="n">
        <v>0.000103864</v>
      </c>
      <c r="G343" s="1" t="s">
        <v>37</v>
      </c>
      <c r="H343" s="1" t="n">
        <v>115.9</v>
      </c>
      <c r="I343" s="1" t="n">
        <v>72.1</v>
      </c>
      <c r="J343" s="1" t="n">
        <v>-70.1</v>
      </c>
      <c r="K343" s="1" t="n">
        <v>93.7</v>
      </c>
      <c r="L343" s="1" t="n">
        <v>0</v>
      </c>
      <c r="M343" s="1" t="n">
        <v>0</v>
      </c>
      <c r="N343" s="1" t="s">
        <v>269</v>
      </c>
      <c r="Z343" s="0" t="n">
        <f aca="false">I343-23</f>
        <v>49.1</v>
      </c>
      <c r="AB343" s="0" t="n">
        <f aca="false">IF(Z343&lt;0,Z343+360,Z343+0)</f>
        <v>49.1</v>
      </c>
    </row>
    <row r="344" customFormat="false" ht="15.8" hidden="false" customHeight="false" outlineLevel="0" collapsed="false">
      <c r="A344" s="1" t="n">
        <v>13</v>
      </c>
      <c r="B344" s="1" t="n">
        <v>5</v>
      </c>
      <c r="C344" s="1" t="n">
        <v>6.5</v>
      </c>
      <c r="D344" s="1" t="n">
        <v>1.8304</v>
      </c>
      <c r="E344" s="1" t="n">
        <v>0.171537</v>
      </c>
      <c r="F344" s="1" t="n">
        <v>0.000364212</v>
      </c>
      <c r="G344" s="1" t="s">
        <v>37</v>
      </c>
      <c r="H344" s="1" t="n">
        <v>83.8</v>
      </c>
      <c r="I344" s="1" t="n">
        <v>255.7</v>
      </c>
      <c r="J344" s="1" t="n">
        <v>6</v>
      </c>
      <c r="K344" s="1" t="n">
        <v>154.5</v>
      </c>
      <c r="L344" s="1" t="n">
        <v>0</v>
      </c>
      <c r="M344" s="1" t="n">
        <v>0</v>
      </c>
      <c r="N344" s="1" t="s">
        <v>266</v>
      </c>
      <c r="Z344" s="0" t="n">
        <f aca="false">I344-23</f>
        <v>232.7</v>
      </c>
      <c r="AB344" s="0" t="n">
        <f aca="false">IF(Z344&lt;0,Z344+360,Z344+0)</f>
        <v>232.7</v>
      </c>
    </row>
    <row r="345" customFormat="false" ht="15.8" hidden="false" customHeight="false" outlineLevel="0" collapsed="false">
      <c r="A345" s="1" t="n">
        <v>13</v>
      </c>
      <c r="B345" s="1" t="n">
        <v>5</v>
      </c>
      <c r="C345" s="1" t="n">
        <v>2</v>
      </c>
      <c r="D345" s="1" t="n">
        <v>1.2309</v>
      </c>
      <c r="E345" s="1" t="n">
        <v>0.0490695</v>
      </c>
      <c r="F345" s="1" t="n">
        <v>0.000102595</v>
      </c>
      <c r="G345" s="1" t="s">
        <v>27</v>
      </c>
      <c r="H345" s="1" t="n">
        <v>74.2</v>
      </c>
      <c r="I345" s="1" t="n">
        <v>23</v>
      </c>
      <c r="J345" s="1" t="n">
        <v>-68.7</v>
      </c>
      <c r="K345" s="1"/>
      <c r="L345" s="1" t="n">
        <v>0</v>
      </c>
      <c r="M345" s="1" t="n">
        <v>0</v>
      </c>
      <c r="N345" s="1" t="s">
        <v>266</v>
      </c>
      <c r="Z345" s="0" t="n">
        <f aca="false">I345-23</f>
        <v>0</v>
      </c>
      <c r="AB345" s="0" t="n">
        <f aca="false">IF(Z345&lt;0,Z345+360,Z345+0)</f>
        <v>0</v>
      </c>
    </row>
    <row r="346" customFormat="false" ht="15.8" hidden="false" customHeight="false" outlineLevel="0" collapsed="false">
      <c r="A346" s="1" t="n">
        <v>13</v>
      </c>
      <c r="B346" s="1" t="n">
        <v>4</v>
      </c>
      <c r="C346" s="1" t="n">
        <v>0.8</v>
      </c>
      <c r="D346" s="1" t="n">
        <v>1.2129</v>
      </c>
      <c r="E346" s="1" t="n">
        <v>0.0352708</v>
      </c>
      <c r="F346" s="1" t="n">
        <v>0.000127919</v>
      </c>
      <c r="G346" s="1" t="s">
        <v>37</v>
      </c>
      <c r="H346" s="1" t="n">
        <v>35.5</v>
      </c>
      <c r="I346" s="1" t="n">
        <v>177.7</v>
      </c>
      <c r="J346" s="1" t="n">
        <v>-35.4</v>
      </c>
      <c r="K346" s="1" t="n">
        <v>83.8</v>
      </c>
      <c r="L346" s="1" t="n">
        <v>0</v>
      </c>
      <c r="M346" s="1" t="n">
        <v>0</v>
      </c>
      <c r="N346" s="1" t="s">
        <v>264</v>
      </c>
      <c r="Z346" s="0" t="n">
        <f aca="false">I346-23</f>
        <v>154.7</v>
      </c>
      <c r="AB346" s="0" t="n">
        <f aca="false">IF(Z346&lt;0,Z346+360,Z346+0)</f>
        <v>154.7</v>
      </c>
    </row>
    <row r="347" customFormat="false" ht="15.8" hidden="false" customHeight="false" outlineLevel="0" collapsed="false">
      <c r="A347" s="1" t="n">
        <v>13</v>
      </c>
      <c r="B347" s="1" t="n">
        <v>3</v>
      </c>
      <c r="C347" s="1" t="n">
        <v>0.9</v>
      </c>
      <c r="D347" s="1" t="n">
        <v>1.0847</v>
      </c>
      <c r="E347" s="1" t="n">
        <v>0.0203056</v>
      </c>
      <c r="F347" s="1" t="n">
        <v>3.96235E-005</v>
      </c>
      <c r="G347" s="1" t="s">
        <v>37</v>
      </c>
      <c r="H347" s="1" t="n">
        <v>81.1</v>
      </c>
      <c r="I347" s="1" t="n">
        <v>184.8</v>
      </c>
      <c r="J347" s="1" t="n">
        <v>-70.8</v>
      </c>
      <c r="K347" s="1" t="n">
        <v>74.3</v>
      </c>
      <c r="L347" s="1" t="n">
        <v>0</v>
      </c>
      <c r="M347" s="1" t="n">
        <v>0</v>
      </c>
      <c r="N347" s="1" t="s">
        <v>263</v>
      </c>
      <c r="Z347" s="0" t="n">
        <f aca="false">I347-23</f>
        <v>161.8</v>
      </c>
      <c r="AB347" s="0" t="n">
        <f aca="false">IF(Z347&lt;0,Z347+360,Z347+0)</f>
        <v>161.8</v>
      </c>
    </row>
    <row r="348" customFormat="false" ht="15.8" hidden="false" customHeight="false" outlineLevel="0" collapsed="false">
      <c r="A348" s="1" t="n">
        <v>13</v>
      </c>
      <c r="B348" s="1" t="n">
        <v>2</v>
      </c>
      <c r="C348" s="1" t="n">
        <v>3.3</v>
      </c>
      <c r="D348" s="1" t="n">
        <v>1.1224</v>
      </c>
      <c r="E348" s="1" t="n">
        <v>0.0776777</v>
      </c>
      <c r="F348" s="1" t="n">
        <v>0.000149208</v>
      </c>
      <c r="G348" s="1" t="s">
        <v>37</v>
      </c>
      <c r="H348" s="1" t="n">
        <v>60.3</v>
      </c>
      <c r="I348" s="1" t="n">
        <v>101.2</v>
      </c>
      <c r="J348" s="1" t="n">
        <v>-7.3</v>
      </c>
      <c r="K348" s="1" t="n">
        <v>81.1</v>
      </c>
      <c r="L348" s="1" t="n">
        <v>0</v>
      </c>
      <c r="M348" s="1" t="n">
        <v>0</v>
      </c>
      <c r="N348" s="1" t="s">
        <v>262</v>
      </c>
      <c r="Z348" s="0" t="n">
        <f aca="false">I348-23</f>
        <v>78.2</v>
      </c>
      <c r="AB348" s="0" t="n">
        <f aca="false">IF(Z348&lt;0,Z348+360,Z348+0)</f>
        <v>78.2</v>
      </c>
    </row>
    <row r="349" customFormat="false" ht="15.8" hidden="false" customHeight="false" outlineLevel="0" collapsed="false">
      <c r="A349" s="1" t="n">
        <v>13</v>
      </c>
      <c r="B349" s="1" t="n">
        <v>1</v>
      </c>
      <c r="C349" s="1" t="n">
        <v>0.7</v>
      </c>
      <c r="D349" s="1" t="n">
        <v>1.0244</v>
      </c>
      <c r="E349" s="1" t="n">
        <v>0.0314843</v>
      </c>
      <c r="F349" s="1" t="n">
        <v>0.000114187</v>
      </c>
      <c r="G349" s="1" t="s">
        <v>37</v>
      </c>
      <c r="H349" s="1"/>
      <c r="I349" s="1" t="n">
        <v>161.2</v>
      </c>
      <c r="J349" s="1" t="n">
        <v>0</v>
      </c>
      <c r="K349" s="1" t="n">
        <v>60.3</v>
      </c>
      <c r="L349" s="1" t="n">
        <v>0</v>
      </c>
      <c r="M349" s="1" t="n">
        <v>0</v>
      </c>
      <c r="N349" s="1" t="s">
        <v>271</v>
      </c>
      <c r="Z349" s="0" t="n">
        <f aca="false">I349-23</f>
        <v>138.2</v>
      </c>
      <c r="AB349" s="0" t="n">
        <f aca="false">IF(Z349&lt;0,Z349+360,Z349+0)</f>
        <v>138.2</v>
      </c>
    </row>
    <row r="350" customFormat="false" ht="15.8" hidden="false" customHeight="false" outlineLevel="0" collapsed="false">
      <c r="A350" s="1" t="n">
        <v>14</v>
      </c>
      <c r="B350" s="1" t="n">
        <v>1</v>
      </c>
      <c r="C350" s="1" t="n">
        <v>3.1</v>
      </c>
      <c r="D350" s="1" t="n">
        <v>1.5496</v>
      </c>
      <c r="E350" s="1" t="n">
        <v>0.0790189</v>
      </c>
      <c r="F350" s="1" t="n">
        <v>0.00016813</v>
      </c>
      <c r="G350" s="1" t="s">
        <v>27</v>
      </c>
      <c r="H350" s="1"/>
      <c r="I350" s="1" t="n">
        <v>227.2</v>
      </c>
      <c r="J350" s="1" t="n">
        <v>33.3</v>
      </c>
      <c r="K350" s="1"/>
      <c r="L350" s="1" t="n">
        <v>0</v>
      </c>
      <c r="M350" s="1" t="n">
        <v>0</v>
      </c>
      <c r="N350" s="1" t="s">
        <v>272</v>
      </c>
      <c r="Z350" s="0" t="n">
        <f aca="false">I350-23</f>
        <v>204.2</v>
      </c>
      <c r="AB350" s="0" t="n">
        <f aca="false">IF(Z350&lt;0,Z350+360,Z350+0)</f>
        <v>204.2</v>
      </c>
    </row>
    <row r="351" customFormat="false" ht="15.8" hidden="false" customHeight="false" outlineLevel="0" collapsed="false">
      <c r="A351" s="1" t="n">
        <v>15</v>
      </c>
      <c r="B351" s="1" t="n">
        <v>7</v>
      </c>
      <c r="C351" s="1" t="n">
        <v>1.1</v>
      </c>
      <c r="D351" s="1" t="n">
        <v>1.1671</v>
      </c>
      <c r="E351" s="1" t="n">
        <v>0.0302453</v>
      </c>
      <c r="F351" s="1" t="n">
        <v>6.5816E-005</v>
      </c>
      <c r="G351" s="1" t="s">
        <v>27</v>
      </c>
      <c r="H351" s="1" t="n">
        <v>51.7</v>
      </c>
      <c r="I351" s="1" t="n">
        <v>61.4</v>
      </c>
      <c r="J351" s="1" t="n">
        <v>-23</v>
      </c>
      <c r="K351" s="1"/>
      <c r="L351" s="1" t="n">
        <v>0</v>
      </c>
      <c r="M351" s="1" t="n">
        <v>0</v>
      </c>
      <c r="N351" s="1" t="s">
        <v>273</v>
      </c>
      <c r="Z351" s="0" t="n">
        <f aca="false">I351-23</f>
        <v>38.4</v>
      </c>
      <c r="AB351" s="0" t="n">
        <f aca="false">IF(Z351&lt;0,Z351+360,Z351+0)</f>
        <v>38.4</v>
      </c>
    </row>
    <row r="352" customFormat="false" ht="15.8" hidden="false" customHeight="false" outlineLevel="0" collapsed="false">
      <c r="A352" s="1" t="n">
        <v>15</v>
      </c>
      <c r="B352" s="1" t="n">
        <v>7</v>
      </c>
      <c r="C352" s="1" t="n">
        <v>0.5</v>
      </c>
      <c r="D352" s="1" t="n">
        <v>1.0029</v>
      </c>
      <c r="E352" s="1" t="n">
        <v>0.0126246</v>
      </c>
      <c r="F352" s="1" t="n">
        <v>2.7472E-005</v>
      </c>
      <c r="G352" s="1" t="s">
        <v>27</v>
      </c>
      <c r="H352" s="1" t="n">
        <v>77.8</v>
      </c>
      <c r="I352" s="1" t="n">
        <v>164.7</v>
      </c>
      <c r="J352" s="1" t="n">
        <v>0</v>
      </c>
      <c r="K352" s="1"/>
      <c r="L352" s="1" t="n">
        <v>0</v>
      </c>
      <c r="M352" s="1" t="n">
        <v>0</v>
      </c>
      <c r="N352" s="1" t="s">
        <v>273</v>
      </c>
      <c r="Z352" s="0" t="n">
        <f aca="false">I352-23</f>
        <v>141.7</v>
      </c>
      <c r="AB352" s="0" t="n">
        <f aca="false">IF(Z352&lt;0,Z352+360,Z352+0)</f>
        <v>141.7</v>
      </c>
    </row>
    <row r="353" customFormat="false" ht="15.8" hidden="false" customHeight="false" outlineLevel="0" collapsed="false">
      <c r="A353" s="1" t="n">
        <v>15</v>
      </c>
      <c r="B353" s="1" t="n">
        <v>6</v>
      </c>
      <c r="C353" s="1" t="n">
        <v>1.2</v>
      </c>
      <c r="D353" s="1" t="n">
        <v>1.1604</v>
      </c>
      <c r="E353" s="1" t="n">
        <v>0.0315631</v>
      </c>
      <c r="F353" s="1" t="n">
        <v>6.86835E-005</v>
      </c>
      <c r="G353" s="1" t="s">
        <v>37</v>
      </c>
      <c r="H353" s="1" t="n">
        <v>130</v>
      </c>
      <c r="I353" s="1" t="n">
        <v>87.8</v>
      </c>
      <c r="J353" s="1" t="n">
        <v>21.8</v>
      </c>
      <c r="K353" s="1" t="n">
        <v>77.8</v>
      </c>
      <c r="L353" s="1" t="n">
        <v>0</v>
      </c>
      <c r="M353" s="1" t="n">
        <v>0</v>
      </c>
      <c r="N353" s="1" t="s">
        <v>274</v>
      </c>
      <c r="Z353" s="0" t="n">
        <f aca="false">I353-23</f>
        <v>64.8</v>
      </c>
      <c r="AB353" s="0" t="n">
        <f aca="false">IF(Z353&lt;0,Z353+360,Z353+0)</f>
        <v>64.8</v>
      </c>
    </row>
    <row r="354" customFormat="false" ht="15.8" hidden="false" customHeight="false" outlineLevel="0" collapsed="false">
      <c r="A354" s="1" t="n">
        <v>15</v>
      </c>
      <c r="B354" s="1" t="n">
        <v>8</v>
      </c>
      <c r="C354" s="1" t="n">
        <v>1.9</v>
      </c>
      <c r="D354" s="1" t="n">
        <v>1.3617</v>
      </c>
      <c r="E354" s="1" t="n">
        <v>0.0521955</v>
      </c>
      <c r="F354" s="1" t="n">
        <v>0.000113581</v>
      </c>
      <c r="G354" s="1" t="s">
        <v>27</v>
      </c>
      <c r="H354" s="1" t="n">
        <v>16.1</v>
      </c>
      <c r="I354" s="1" t="n">
        <v>304.5</v>
      </c>
      <c r="J354" s="1" t="n">
        <v>15.3</v>
      </c>
      <c r="K354" s="1"/>
      <c r="L354" s="1" t="n">
        <v>0</v>
      </c>
      <c r="M354" s="1" t="n">
        <v>0</v>
      </c>
      <c r="N354" s="1" t="s">
        <v>275</v>
      </c>
      <c r="Z354" s="0" t="n">
        <f aca="false">I354-23</f>
        <v>281.5</v>
      </c>
      <c r="AB354" s="0" t="n">
        <f aca="false">IF(Z354&lt;0,Z354+360,Z354+0)</f>
        <v>281.5</v>
      </c>
    </row>
    <row r="355" customFormat="false" ht="15.8" hidden="false" customHeight="false" outlineLevel="0" collapsed="false">
      <c r="A355" s="1" t="n">
        <v>15</v>
      </c>
      <c r="B355" s="1" t="n">
        <v>8</v>
      </c>
      <c r="C355" s="1" t="n">
        <v>0.7</v>
      </c>
      <c r="D355" s="1" t="n">
        <v>1.0098</v>
      </c>
      <c r="E355" s="1" t="n">
        <v>0.0197997</v>
      </c>
      <c r="F355" s="1" t="n">
        <v>4.30856E-005</v>
      </c>
      <c r="G355" s="1" t="s">
        <v>27</v>
      </c>
      <c r="H355" s="1" t="n">
        <v>93.7</v>
      </c>
      <c r="I355" s="1" t="n">
        <v>33.1</v>
      </c>
      <c r="J355" s="1" t="n">
        <v>0</v>
      </c>
      <c r="K355" s="1"/>
      <c r="L355" s="1" t="n">
        <v>0</v>
      </c>
      <c r="M355" s="1" t="n">
        <v>0</v>
      </c>
      <c r="N355" s="1" t="s">
        <v>275</v>
      </c>
      <c r="Z355" s="0" t="n">
        <f aca="false">I355-23</f>
        <v>10.1</v>
      </c>
      <c r="AB355" s="0" t="n">
        <f aca="false">IF(Z355&lt;0,Z355+360,Z355+0)</f>
        <v>10.1</v>
      </c>
    </row>
    <row r="356" customFormat="false" ht="15.8" hidden="false" customHeight="false" outlineLevel="0" collapsed="false">
      <c r="A356" s="1" t="n">
        <v>15</v>
      </c>
      <c r="B356" s="1" t="n">
        <v>7</v>
      </c>
      <c r="C356" s="1" t="n">
        <v>1</v>
      </c>
      <c r="D356" s="1" t="n">
        <v>1.0188</v>
      </c>
      <c r="E356" s="1" t="n">
        <v>0.0261673</v>
      </c>
      <c r="F356" s="1" t="n">
        <v>5.69419E-005</v>
      </c>
      <c r="G356" s="1" t="s">
        <v>37</v>
      </c>
      <c r="H356" s="1" t="n">
        <v>45.9</v>
      </c>
      <c r="I356" s="1" t="n">
        <v>299.4</v>
      </c>
      <c r="J356" s="1" t="n">
        <v>0</v>
      </c>
      <c r="K356" s="1" t="n">
        <v>93.7</v>
      </c>
      <c r="L356" s="1" t="n">
        <v>0</v>
      </c>
      <c r="M356" s="1" t="n">
        <v>0</v>
      </c>
      <c r="N356" s="1" t="s">
        <v>276</v>
      </c>
      <c r="Z356" s="0" t="n">
        <f aca="false">I356-23</f>
        <v>276.4</v>
      </c>
      <c r="AB356" s="0" t="n">
        <f aca="false">IF(Z356&lt;0,Z356+360,Z356+0)</f>
        <v>276.4</v>
      </c>
    </row>
    <row r="357" customFormat="false" ht="15.8" hidden="false" customHeight="false" outlineLevel="0" collapsed="false">
      <c r="A357" s="1" t="n">
        <v>15</v>
      </c>
      <c r="B357" s="1" t="n">
        <v>7</v>
      </c>
      <c r="C357" s="1" t="n">
        <v>1.5</v>
      </c>
      <c r="D357" s="1" t="n">
        <v>1.1863</v>
      </c>
      <c r="E357" s="1" t="n">
        <v>0.040748</v>
      </c>
      <c r="F357" s="1" t="n">
        <v>8.86705E-005</v>
      </c>
      <c r="G357" s="1" t="s">
        <v>27</v>
      </c>
      <c r="H357" s="1" t="n">
        <v>40</v>
      </c>
      <c r="I357" s="1" t="n">
        <v>225.9</v>
      </c>
      <c r="J357" s="1" t="n">
        <v>17.1</v>
      </c>
      <c r="K357" s="1"/>
      <c r="L357" s="1" t="n">
        <v>0</v>
      </c>
      <c r="M357" s="1" t="n">
        <v>0</v>
      </c>
      <c r="N357" s="1" t="s">
        <v>276</v>
      </c>
      <c r="Z357" s="0" t="n">
        <f aca="false">I357-23</f>
        <v>202.9</v>
      </c>
      <c r="AB357" s="0" t="n">
        <f aca="false">IF(Z357&lt;0,Z357+360,Z357+0)</f>
        <v>202.9</v>
      </c>
    </row>
    <row r="358" customFormat="false" ht="15.8" hidden="false" customHeight="false" outlineLevel="0" collapsed="false">
      <c r="A358" s="1" t="n">
        <v>15</v>
      </c>
      <c r="B358" s="1" t="n">
        <v>6</v>
      </c>
      <c r="C358" s="1" t="n">
        <v>2.2</v>
      </c>
      <c r="D358" s="1" t="n">
        <v>1.148</v>
      </c>
      <c r="E358" s="1" t="n">
        <v>0.0606532</v>
      </c>
      <c r="F358" s="1" t="n">
        <v>0.000131986</v>
      </c>
      <c r="G358" s="1" t="s">
        <v>37</v>
      </c>
      <c r="H358" s="1" t="n">
        <v>34.5</v>
      </c>
      <c r="I358" s="1" t="n">
        <v>254.6</v>
      </c>
      <c r="J358" s="1" t="n">
        <v>-11</v>
      </c>
      <c r="K358" s="1" t="n">
        <v>45.9</v>
      </c>
      <c r="L358" s="1" t="n">
        <v>0</v>
      </c>
      <c r="M358" s="1" t="n">
        <v>0</v>
      </c>
      <c r="N358" s="1" t="s">
        <v>274</v>
      </c>
      <c r="Z358" s="0" t="n">
        <f aca="false">I358-23</f>
        <v>231.6</v>
      </c>
      <c r="AB358" s="0" t="n">
        <f aca="false">IF(Z358&lt;0,Z358+360,Z358+0)</f>
        <v>231.6</v>
      </c>
    </row>
    <row r="359" customFormat="false" ht="15.8" hidden="false" customHeight="false" outlineLevel="0" collapsed="false">
      <c r="A359" s="1" t="n">
        <v>15</v>
      </c>
      <c r="B359" s="1" t="n">
        <v>5</v>
      </c>
      <c r="C359" s="1" t="n">
        <v>3.2</v>
      </c>
      <c r="D359" s="1" t="n">
        <v>1.0984</v>
      </c>
      <c r="E359" s="1" t="n">
        <v>0.0881469</v>
      </c>
      <c r="F359" s="1" t="n">
        <v>0.000191814</v>
      </c>
      <c r="G359" s="1" t="s">
        <v>37</v>
      </c>
      <c r="H359" s="1" t="n">
        <v>79.2</v>
      </c>
      <c r="I359" s="1" t="n">
        <v>221.6</v>
      </c>
      <c r="J359" s="1" t="n">
        <v>0</v>
      </c>
      <c r="K359" s="1" t="n">
        <v>130</v>
      </c>
      <c r="L359" s="1" t="n">
        <v>0</v>
      </c>
      <c r="M359" s="1" t="n">
        <v>0</v>
      </c>
      <c r="N359" s="1" t="s">
        <v>277</v>
      </c>
      <c r="Z359" s="0" t="n">
        <f aca="false">I359-23</f>
        <v>198.6</v>
      </c>
      <c r="AB359" s="0" t="n">
        <f aca="false">IF(Z359&lt;0,Z359+360,Z359+0)</f>
        <v>198.6</v>
      </c>
    </row>
    <row r="360" customFormat="false" ht="15.8" hidden="false" customHeight="false" outlineLevel="0" collapsed="false">
      <c r="A360" s="1" t="n">
        <v>15</v>
      </c>
      <c r="B360" s="1" t="n">
        <v>6</v>
      </c>
      <c r="C360" s="1" t="n">
        <v>2.3</v>
      </c>
      <c r="D360" s="1" t="n">
        <v>1.1662</v>
      </c>
      <c r="E360" s="1" t="n">
        <v>0.0637143</v>
      </c>
      <c r="F360" s="1" t="n">
        <v>0.000138647</v>
      </c>
      <c r="G360" s="1" t="s">
        <v>27</v>
      </c>
      <c r="H360" s="1" t="n">
        <v>23.5</v>
      </c>
      <c r="I360" s="1" t="n">
        <v>52.1</v>
      </c>
      <c r="J360" s="1" t="n">
        <v>-21.7</v>
      </c>
      <c r="K360" s="1"/>
      <c r="L360" s="1" t="n">
        <v>0</v>
      </c>
      <c r="M360" s="1" t="n">
        <v>0</v>
      </c>
      <c r="N360" s="1" t="s">
        <v>278</v>
      </c>
      <c r="Z360" s="0" t="n">
        <f aca="false">I360-23</f>
        <v>29.1</v>
      </c>
      <c r="AB360" s="0" t="n">
        <f aca="false">IF(Z360&lt;0,Z360+360,Z360+0)</f>
        <v>29.1</v>
      </c>
    </row>
    <row r="361" customFormat="false" ht="15.8" hidden="false" customHeight="false" outlineLevel="0" collapsed="false">
      <c r="A361" s="1" t="n">
        <v>15</v>
      </c>
      <c r="B361" s="1" t="n">
        <v>6</v>
      </c>
      <c r="C361" s="1" t="n">
        <v>2.6</v>
      </c>
      <c r="D361" s="1" t="n">
        <v>1.3579</v>
      </c>
      <c r="E361" s="1" t="n">
        <v>0.0606997</v>
      </c>
      <c r="F361" s="1" t="n">
        <v>0.000113608</v>
      </c>
      <c r="G361" s="1" t="s">
        <v>27</v>
      </c>
      <c r="H361" s="1" t="n">
        <v>87.5</v>
      </c>
      <c r="I361" s="1" t="n">
        <v>140.8</v>
      </c>
      <c r="J361" s="1" t="n">
        <v>-76.1</v>
      </c>
      <c r="K361" s="1"/>
      <c r="L361" s="1" t="n">
        <v>0</v>
      </c>
      <c r="M361" s="1" t="n">
        <v>0</v>
      </c>
      <c r="N361" s="1" t="s">
        <v>278</v>
      </c>
      <c r="Z361" s="0" t="n">
        <f aca="false">I361-23</f>
        <v>117.8</v>
      </c>
      <c r="AB361" s="0" t="n">
        <f aca="false">IF(Z361&lt;0,Z361+360,Z361+0)</f>
        <v>117.8</v>
      </c>
    </row>
    <row r="362" customFormat="false" ht="15.8" hidden="false" customHeight="false" outlineLevel="0" collapsed="false">
      <c r="A362" s="1" t="n">
        <v>15</v>
      </c>
      <c r="B362" s="1" t="n">
        <v>5</v>
      </c>
      <c r="C362" s="1" t="n">
        <v>0.6</v>
      </c>
      <c r="D362" s="1" t="n">
        <v>1.004</v>
      </c>
      <c r="E362" s="1" t="n">
        <v>0.0168549</v>
      </c>
      <c r="F362" s="1" t="n">
        <v>3.66775E-005</v>
      </c>
      <c r="G362" s="1" t="s">
        <v>37</v>
      </c>
      <c r="H362" s="1" t="n">
        <v>81.3</v>
      </c>
      <c r="I362" s="1" t="n">
        <v>61.2</v>
      </c>
      <c r="J362" s="1" t="n">
        <v>0</v>
      </c>
      <c r="K362" s="1" t="n">
        <v>87.5</v>
      </c>
      <c r="L362" s="1" t="n">
        <v>0</v>
      </c>
      <c r="M362" s="1" t="n">
        <v>0</v>
      </c>
      <c r="N362" s="1" t="s">
        <v>277</v>
      </c>
      <c r="Z362" s="0" t="n">
        <f aca="false">I362-23</f>
        <v>38.2</v>
      </c>
      <c r="AB362" s="0" t="n">
        <f aca="false">IF(Z362&lt;0,Z362+360,Z362+0)</f>
        <v>38.2</v>
      </c>
    </row>
    <row r="363" customFormat="false" ht="15.8" hidden="false" customHeight="false" outlineLevel="0" collapsed="false">
      <c r="A363" s="1" t="n">
        <v>15</v>
      </c>
      <c r="B363" s="1" t="n">
        <v>4</v>
      </c>
      <c r="C363" s="1" t="n">
        <v>0.6</v>
      </c>
      <c r="D363" s="1" t="n">
        <v>1.0364</v>
      </c>
      <c r="E363" s="1" t="n">
        <v>0.0174171</v>
      </c>
      <c r="F363" s="1" t="n">
        <v>3.79008E-005</v>
      </c>
      <c r="G363" s="1" t="s">
        <v>37</v>
      </c>
      <c r="H363" s="1" t="n">
        <v>29.2</v>
      </c>
      <c r="I363" s="1" t="n">
        <v>142.5</v>
      </c>
      <c r="J363" s="1" t="n">
        <v>0</v>
      </c>
      <c r="K363" s="1" t="n">
        <v>81.3</v>
      </c>
      <c r="L363" s="1" t="n">
        <v>0</v>
      </c>
      <c r="M363" s="1" t="n">
        <v>0</v>
      </c>
      <c r="N363" s="1" t="s">
        <v>279</v>
      </c>
      <c r="Z363" s="0" t="n">
        <f aca="false">I363-23</f>
        <v>119.5</v>
      </c>
      <c r="AB363" s="0" t="n">
        <f aca="false">IF(Z363&lt;0,Z363+360,Z363+0)</f>
        <v>119.5</v>
      </c>
    </row>
    <row r="364" customFormat="false" ht="15.8" hidden="false" customHeight="false" outlineLevel="0" collapsed="false">
      <c r="A364" s="1" t="n">
        <v>15</v>
      </c>
      <c r="B364" s="1" t="n">
        <v>4</v>
      </c>
      <c r="C364" s="1" t="n">
        <v>2.1</v>
      </c>
      <c r="D364" s="1" t="n">
        <v>1.3172</v>
      </c>
      <c r="E364" s="1" t="n">
        <v>0.0583967</v>
      </c>
      <c r="F364" s="1" t="n">
        <v>0.000127075</v>
      </c>
      <c r="G364" s="1" t="s">
        <v>27</v>
      </c>
      <c r="H364" s="1" t="n">
        <v>104.9</v>
      </c>
      <c r="I364" s="1" t="n">
        <v>277</v>
      </c>
      <c r="J364" s="1" t="n">
        <v>13.2</v>
      </c>
      <c r="K364" s="1"/>
      <c r="L364" s="1" t="n">
        <v>0</v>
      </c>
      <c r="M364" s="1" t="n">
        <v>0</v>
      </c>
      <c r="N364" s="1" t="s">
        <v>279</v>
      </c>
      <c r="Z364" s="0" t="n">
        <f aca="false">I364-23</f>
        <v>254</v>
      </c>
      <c r="AB364" s="0" t="n">
        <f aca="false">IF(Z364&lt;0,Z364+360,Z364+0)</f>
        <v>254</v>
      </c>
    </row>
    <row r="365" customFormat="false" ht="15.8" hidden="false" customHeight="false" outlineLevel="0" collapsed="false">
      <c r="A365" s="1" t="n">
        <v>15</v>
      </c>
      <c r="B365" s="1" t="n">
        <v>5</v>
      </c>
      <c r="C365" s="1" t="n">
        <v>1.4</v>
      </c>
      <c r="D365" s="1" t="n">
        <v>1.0113</v>
      </c>
      <c r="E365" s="1" t="n">
        <v>0.0308856</v>
      </c>
      <c r="F365" s="1" t="n">
        <v>5.60078E-005</v>
      </c>
      <c r="G365" s="1" t="s">
        <v>27</v>
      </c>
      <c r="H365" s="1" t="n">
        <v>34.9</v>
      </c>
      <c r="I365" s="1" t="n">
        <v>212.4</v>
      </c>
      <c r="J365" s="1" t="n">
        <v>0</v>
      </c>
      <c r="K365" s="1"/>
      <c r="L365" s="1" t="n">
        <v>0</v>
      </c>
      <c r="M365" s="1" t="n">
        <v>0</v>
      </c>
      <c r="N365" s="1" t="s">
        <v>280</v>
      </c>
      <c r="Z365" s="0" t="n">
        <f aca="false">I365-23</f>
        <v>189.4</v>
      </c>
      <c r="AB365" s="0" t="n">
        <f aca="false">IF(Z365&lt;0,Z365+360,Z365+0)</f>
        <v>189.4</v>
      </c>
    </row>
    <row r="366" customFormat="false" ht="15.8" hidden="false" customHeight="false" outlineLevel="0" collapsed="false">
      <c r="A366" s="1" t="n">
        <v>15</v>
      </c>
      <c r="B366" s="1" t="n">
        <v>5</v>
      </c>
      <c r="C366" s="1" t="n">
        <v>2.5</v>
      </c>
      <c r="D366" s="1" t="n">
        <v>1.0279</v>
      </c>
      <c r="E366" s="1" t="n">
        <v>0.0561145</v>
      </c>
      <c r="F366" s="1" t="n">
        <v>0.000101758</v>
      </c>
      <c r="G366" s="1" t="s">
        <v>27</v>
      </c>
      <c r="H366" s="1" t="n">
        <v>40.8</v>
      </c>
      <c r="I366" s="1" t="n">
        <v>286.9</v>
      </c>
      <c r="J366" s="1" t="n">
        <v>0</v>
      </c>
      <c r="K366" s="1"/>
      <c r="L366" s="1" t="n">
        <v>0</v>
      </c>
      <c r="M366" s="1" t="n">
        <v>0</v>
      </c>
      <c r="N366" s="1" t="s">
        <v>280</v>
      </c>
      <c r="Z366" s="0" t="n">
        <f aca="false">I366-23</f>
        <v>263.9</v>
      </c>
      <c r="AB366" s="0" t="n">
        <f aca="false">IF(Z366&lt;0,Z366+360,Z366+0)</f>
        <v>263.9</v>
      </c>
    </row>
    <row r="367" customFormat="false" ht="15.8" hidden="false" customHeight="false" outlineLevel="0" collapsed="false">
      <c r="A367" s="1" t="n">
        <v>15</v>
      </c>
      <c r="B367" s="1" t="n">
        <v>4</v>
      </c>
      <c r="C367" s="1" t="n">
        <v>3.8</v>
      </c>
      <c r="D367" s="1" t="n">
        <v>1.2962</v>
      </c>
      <c r="E367" s="1" t="n">
        <v>0.0868573</v>
      </c>
      <c r="F367" s="1" t="n">
        <v>0.000159358</v>
      </c>
      <c r="G367" s="1" t="s">
        <v>37</v>
      </c>
      <c r="H367" s="1" t="n">
        <v>75.1</v>
      </c>
      <c r="I367" s="1" t="n">
        <v>246.7</v>
      </c>
      <c r="J367" s="1" t="n">
        <v>-7.3</v>
      </c>
      <c r="K367" s="1" t="n">
        <v>40.8</v>
      </c>
      <c r="L367" s="1" t="n">
        <v>0</v>
      </c>
      <c r="M367" s="1" t="n">
        <v>0</v>
      </c>
      <c r="N367" s="1" t="s">
        <v>279</v>
      </c>
      <c r="Z367" s="0" t="n">
        <f aca="false">I367-23</f>
        <v>223.7</v>
      </c>
      <c r="AB367" s="0" t="n">
        <f aca="false">IF(Z367&lt;0,Z367+360,Z367+0)</f>
        <v>223.7</v>
      </c>
    </row>
    <row r="368" customFormat="false" ht="15.8" hidden="false" customHeight="false" outlineLevel="0" collapsed="false">
      <c r="A368" s="1" t="n">
        <v>15</v>
      </c>
      <c r="B368" s="1" t="n">
        <v>3</v>
      </c>
      <c r="C368" s="1" t="n">
        <v>0.4</v>
      </c>
      <c r="D368" s="1" t="n">
        <v>1.0083</v>
      </c>
      <c r="E368" s="1" t="n">
        <v>0.0116415</v>
      </c>
      <c r="F368" s="1" t="n">
        <v>2.53328E-005</v>
      </c>
      <c r="G368" s="1" t="s">
        <v>37</v>
      </c>
      <c r="H368" s="1" t="n">
        <v>75.3</v>
      </c>
      <c r="I368" s="1" t="n">
        <v>171.7</v>
      </c>
      <c r="J368" s="1" t="n">
        <v>0</v>
      </c>
      <c r="K368" s="1" t="n">
        <v>104.9</v>
      </c>
      <c r="L368" s="1" t="n">
        <v>0</v>
      </c>
      <c r="M368" s="1" t="n">
        <v>0</v>
      </c>
      <c r="N368" s="1" t="s">
        <v>281</v>
      </c>
      <c r="Z368" s="0" t="n">
        <f aca="false">I368-23</f>
        <v>148.7</v>
      </c>
      <c r="AB368" s="0" t="n">
        <f aca="false">IF(Z368&lt;0,Z368+360,Z368+0)</f>
        <v>148.7</v>
      </c>
    </row>
    <row r="369" customFormat="false" ht="15.8" hidden="false" customHeight="false" outlineLevel="0" collapsed="false">
      <c r="A369" s="1" t="n">
        <v>15</v>
      </c>
      <c r="B369" s="1" t="n">
        <v>3</v>
      </c>
      <c r="C369" s="1" t="n">
        <v>0.8</v>
      </c>
      <c r="D369" s="1" t="n">
        <v>1.2135</v>
      </c>
      <c r="E369" s="1" t="n">
        <v>0.018057</v>
      </c>
      <c r="F369" s="1" t="n">
        <v>3.46355E-005</v>
      </c>
      <c r="G369" s="1" t="s">
        <v>27</v>
      </c>
      <c r="H369" s="1" t="n">
        <v>99.1</v>
      </c>
      <c r="I369" s="1" t="n">
        <v>338.6</v>
      </c>
      <c r="J369" s="1" t="n">
        <v>-36.7</v>
      </c>
      <c r="K369" s="1"/>
      <c r="L369" s="1" t="n">
        <v>0</v>
      </c>
      <c r="M369" s="1" t="n">
        <v>0</v>
      </c>
      <c r="N369" s="1" t="s">
        <v>281</v>
      </c>
      <c r="Z369" s="0" t="n">
        <f aca="false">I369-23</f>
        <v>315.6</v>
      </c>
      <c r="AB369" s="0" t="n">
        <f aca="false">IF(Z369&lt;0,Z369+360,Z369+0)</f>
        <v>315.6</v>
      </c>
    </row>
    <row r="370" customFormat="false" ht="15.8" hidden="false" customHeight="false" outlineLevel="0" collapsed="false">
      <c r="A370" s="1" t="n">
        <v>15</v>
      </c>
      <c r="B370" s="1" t="n">
        <v>2</v>
      </c>
      <c r="C370" s="1" t="n">
        <v>3.9</v>
      </c>
      <c r="D370" s="1" t="n">
        <v>1.1707</v>
      </c>
      <c r="E370" s="1" t="n">
        <v>0.106754</v>
      </c>
      <c r="F370" s="1" t="n">
        <v>0.000232305</v>
      </c>
      <c r="G370" s="1" t="s">
        <v>37</v>
      </c>
      <c r="H370" s="1" t="n">
        <v>104.1</v>
      </c>
      <c r="I370" s="1" t="n">
        <v>246.7</v>
      </c>
      <c r="J370" s="1" t="n">
        <v>12.8</v>
      </c>
      <c r="K370" s="1" t="n">
        <v>99.1</v>
      </c>
      <c r="L370" s="1" t="n">
        <v>0</v>
      </c>
      <c r="M370" s="1" t="n">
        <v>0</v>
      </c>
      <c r="N370" s="1" t="s">
        <v>282</v>
      </c>
      <c r="Z370" s="0" t="n">
        <f aca="false">I370-23</f>
        <v>223.7</v>
      </c>
      <c r="AB370" s="0" t="n">
        <f aca="false">IF(Z370&lt;0,Z370+360,Z370+0)</f>
        <v>223.7</v>
      </c>
    </row>
    <row r="371" customFormat="false" ht="15.8" hidden="false" customHeight="false" outlineLevel="0" collapsed="false">
      <c r="A371" s="1" t="n">
        <v>15</v>
      </c>
      <c r="B371" s="1" t="n">
        <v>6</v>
      </c>
      <c r="C371" s="1" t="n">
        <v>1.5</v>
      </c>
      <c r="D371" s="1" t="n">
        <v>1.4101</v>
      </c>
      <c r="E371" s="1" t="n">
        <v>0.0346492</v>
      </c>
      <c r="F371" s="1" t="n">
        <v>6.28326E-005</v>
      </c>
      <c r="G371" s="1" t="s">
        <v>27</v>
      </c>
      <c r="H371" s="1" t="n">
        <v>23</v>
      </c>
      <c r="I371" s="1" t="n">
        <v>79.1</v>
      </c>
      <c r="J371" s="1" t="n">
        <v>0</v>
      </c>
      <c r="K371" s="1"/>
      <c r="L371" s="1" t="n">
        <v>0</v>
      </c>
      <c r="M371" s="1" t="n">
        <v>0</v>
      </c>
      <c r="N371" s="1" t="s">
        <v>283</v>
      </c>
      <c r="Z371" s="0" t="n">
        <f aca="false">I371-23</f>
        <v>56.1</v>
      </c>
      <c r="AB371" s="0" t="n">
        <f aca="false">IF(Z371&lt;0,Z371+360,Z371+0)</f>
        <v>56.1</v>
      </c>
    </row>
    <row r="372" customFormat="false" ht="15.8" hidden="false" customHeight="false" outlineLevel="0" collapsed="false">
      <c r="A372" s="1" t="n">
        <v>15</v>
      </c>
      <c r="B372" s="1" t="n">
        <v>6</v>
      </c>
      <c r="C372" s="1" t="n">
        <v>1</v>
      </c>
      <c r="D372" s="1" t="n">
        <v>1.1782</v>
      </c>
      <c r="E372" s="1" t="n">
        <v>0.0217582</v>
      </c>
      <c r="F372" s="1" t="n">
        <v>3.94561E-005</v>
      </c>
      <c r="G372" s="1" t="s">
        <v>27</v>
      </c>
      <c r="H372" s="1" t="n">
        <v>48.2</v>
      </c>
      <c r="I372" s="1" t="n">
        <v>143.6</v>
      </c>
      <c r="J372" s="1" t="n">
        <v>-27.2</v>
      </c>
      <c r="K372" s="1"/>
      <c r="L372" s="1" t="n">
        <v>0</v>
      </c>
      <c r="M372" s="1" t="n">
        <v>0</v>
      </c>
      <c r="N372" s="1" t="s">
        <v>283</v>
      </c>
      <c r="Z372" s="0" t="n">
        <f aca="false">I372-23</f>
        <v>120.6</v>
      </c>
      <c r="AB372" s="0" t="n">
        <f aca="false">IF(Z372&lt;0,Z372+360,Z372+0)</f>
        <v>120.6</v>
      </c>
    </row>
    <row r="373" customFormat="false" ht="15.8" hidden="false" customHeight="false" outlineLevel="0" collapsed="false">
      <c r="A373" s="1" t="n">
        <v>15</v>
      </c>
      <c r="B373" s="1" t="n">
        <v>5</v>
      </c>
      <c r="C373" s="1" t="n">
        <v>0.8</v>
      </c>
      <c r="D373" s="1" t="n">
        <v>1.0376</v>
      </c>
      <c r="E373" s="1" t="n">
        <v>0.0178968</v>
      </c>
      <c r="F373" s="1" t="n">
        <v>3.24539E-005</v>
      </c>
      <c r="G373" s="1" t="s">
        <v>37</v>
      </c>
      <c r="H373" s="1" t="n">
        <v>24.2</v>
      </c>
      <c r="I373" s="1" t="n">
        <v>102.2</v>
      </c>
      <c r="J373" s="1" t="n">
        <v>0</v>
      </c>
      <c r="K373" s="1" t="n">
        <v>48.2</v>
      </c>
      <c r="L373" s="1" t="n">
        <v>0</v>
      </c>
      <c r="M373" s="1" t="n">
        <v>0</v>
      </c>
      <c r="N373" s="1" t="s">
        <v>284</v>
      </c>
      <c r="Z373" s="0" t="n">
        <f aca="false">I373-23</f>
        <v>79.2</v>
      </c>
      <c r="AB373" s="0" t="n">
        <f aca="false">IF(Z373&lt;0,Z373+360,Z373+0)</f>
        <v>79.2</v>
      </c>
    </row>
    <row r="374" customFormat="false" ht="15.8" hidden="false" customHeight="false" outlineLevel="0" collapsed="false">
      <c r="A374" s="1" t="n">
        <v>15</v>
      </c>
      <c r="B374" s="1" t="n">
        <v>6</v>
      </c>
      <c r="C374" s="1" t="n">
        <v>1.7</v>
      </c>
      <c r="D374" s="1" t="n">
        <v>1.0885</v>
      </c>
      <c r="E374" s="1" t="n">
        <v>0.0394373</v>
      </c>
      <c r="F374" s="1" t="n">
        <v>7.15152E-005</v>
      </c>
      <c r="G374" s="1" t="s">
        <v>27</v>
      </c>
      <c r="H374" s="1" t="n">
        <v>19.7</v>
      </c>
      <c r="I374" s="1" t="n">
        <v>37</v>
      </c>
      <c r="J374" s="1" t="n">
        <v>0</v>
      </c>
      <c r="K374" s="1"/>
      <c r="L374" s="1" t="n">
        <v>0</v>
      </c>
      <c r="M374" s="1" t="n">
        <v>0</v>
      </c>
      <c r="N374" s="1" t="s">
        <v>285</v>
      </c>
      <c r="Z374" s="0" t="n">
        <f aca="false">I374-23</f>
        <v>14</v>
      </c>
      <c r="AB374" s="0" t="n">
        <f aca="false">IF(Z374&lt;0,Z374+360,Z374+0)</f>
        <v>14</v>
      </c>
    </row>
    <row r="375" customFormat="false" ht="15.8" hidden="false" customHeight="false" outlineLevel="0" collapsed="false">
      <c r="A375" s="1" t="n">
        <v>15</v>
      </c>
      <c r="B375" s="1" t="n">
        <v>6</v>
      </c>
      <c r="C375" s="1" t="n">
        <v>1.1</v>
      </c>
      <c r="D375" s="1" t="n">
        <v>1.0401</v>
      </c>
      <c r="E375" s="1" t="n">
        <v>0.0253841</v>
      </c>
      <c r="F375" s="1" t="n">
        <v>4.60312E-005</v>
      </c>
      <c r="G375" s="1" t="s">
        <v>27</v>
      </c>
      <c r="H375" s="1" t="n">
        <v>79</v>
      </c>
      <c r="I375" s="1" t="n">
        <v>298.3</v>
      </c>
      <c r="J375" s="1" t="n">
        <v>0</v>
      </c>
      <c r="K375" s="1"/>
      <c r="L375" s="1" t="n">
        <v>0</v>
      </c>
      <c r="M375" s="1" t="n">
        <v>0</v>
      </c>
      <c r="N375" s="1" t="s">
        <v>285</v>
      </c>
      <c r="Z375" s="0" t="n">
        <f aca="false">I375-23</f>
        <v>275.3</v>
      </c>
      <c r="AB375" s="0" t="n">
        <f aca="false">IF(Z375&lt;0,Z375+360,Z375+0)</f>
        <v>275.3</v>
      </c>
    </row>
    <row r="376" customFormat="false" ht="15.8" hidden="false" customHeight="false" outlineLevel="0" collapsed="false">
      <c r="A376" s="1" t="n">
        <v>15</v>
      </c>
      <c r="B376" s="1" t="n">
        <v>5</v>
      </c>
      <c r="C376" s="1" t="n">
        <v>1.1</v>
      </c>
      <c r="D376" s="1" t="n">
        <v>1.0403</v>
      </c>
      <c r="E376" s="1" t="n">
        <v>0.024854</v>
      </c>
      <c r="F376" s="1" t="n">
        <v>4.507E-005</v>
      </c>
      <c r="G376" s="1" t="s">
        <v>37</v>
      </c>
      <c r="H376" s="1" t="n">
        <v>72.2</v>
      </c>
      <c r="I376" s="1" t="n">
        <v>17.3</v>
      </c>
      <c r="J376" s="1" t="n">
        <v>0</v>
      </c>
      <c r="K376" s="1" t="n">
        <v>79</v>
      </c>
      <c r="L376" s="1" t="n">
        <v>0</v>
      </c>
      <c r="M376" s="1" t="n">
        <v>0</v>
      </c>
      <c r="N376" s="1" t="s">
        <v>284</v>
      </c>
      <c r="Z376" s="0" t="n">
        <f aca="false">I376-23</f>
        <v>-5.7</v>
      </c>
      <c r="AB376" s="0" t="n">
        <f aca="false">IF(Z376&lt;0,Z376+360,Z376+0)</f>
        <v>354.3</v>
      </c>
    </row>
    <row r="377" customFormat="false" ht="15.8" hidden="false" customHeight="false" outlineLevel="0" collapsed="false">
      <c r="A377" s="1" t="n">
        <v>15</v>
      </c>
      <c r="B377" s="1" t="n">
        <v>4</v>
      </c>
      <c r="C377" s="1" t="n">
        <v>3.3</v>
      </c>
      <c r="D377" s="1" t="n">
        <v>1.5032</v>
      </c>
      <c r="E377" s="1" t="n">
        <v>0.0740699</v>
      </c>
      <c r="F377" s="1" t="n">
        <v>0.000134318</v>
      </c>
      <c r="G377" s="1" t="s">
        <v>37</v>
      </c>
      <c r="H377" s="1" t="n">
        <v>20</v>
      </c>
      <c r="I377" s="1" t="n">
        <v>88.4</v>
      </c>
      <c r="J377" s="1" t="n">
        <v>-20</v>
      </c>
      <c r="K377" s="1" t="n">
        <v>72.2</v>
      </c>
      <c r="L377" s="1" t="n">
        <v>0</v>
      </c>
      <c r="M377" s="1" t="n">
        <v>0</v>
      </c>
      <c r="N377" s="1" t="s">
        <v>286</v>
      </c>
      <c r="Z377" s="0" t="n">
        <f aca="false">I377-23</f>
        <v>65.4</v>
      </c>
      <c r="AB377" s="0" t="n">
        <f aca="false">IF(Z377&lt;0,Z377+360,Z377+0)</f>
        <v>65.4</v>
      </c>
    </row>
    <row r="378" customFormat="false" ht="15.8" hidden="false" customHeight="false" outlineLevel="0" collapsed="false">
      <c r="A378" s="1" t="n">
        <v>15</v>
      </c>
      <c r="B378" s="1" t="n">
        <v>5</v>
      </c>
      <c r="C378" s="1" t="n">
        <v>0.7</v>
      </c>
      <c r="D378" s="1" t="n">
        <v>1.226</v>
      </c>
      <c r="E378" s="1" t="n">
        <v>0.016607</v>
      </c>
      <c r="F378" s="1" t="n">
        <v>3.01149E-005</v>
      </c>
      <c r="G378" s="1" t="s">
        <v>27</v>
      </c>
      <c r="H378" s="1" t="n">
        <v>73.9</v>
      </c>
      <c r="I378" s="1" t="n">
        <v>59</v>
      </c>
      <c r="J378" s="1" t="n">
        <v>38.5</v>
      </c>
      <c r="K378" s="1"/>
      <c r="L378" s="1" t="n">
        <v>0</v>
      </c>
      <c r="M378" s="1" t="n">
        <v>0</v>
      </c>
      <c r="N378" s="1" t="s">
        <v>287</v>
      </c>
      <c r="Z378" s="0" t="n">
        <f aca="false">I378-23</f>
        <v>36</v>
      </c>
      <c r="AB378" s="0" t="n">
        <f aca="false">IF(Z378&lt;0,Z378+360,Z378+0)</f>
        <v>36</v>
      </c>
    </row>
    <row r="379" customFormat="false" ht="15.8" hidden="false" customHeight="false" outlineLevel="0" collapsed="false">
      <c r="A379" s="1" t="n">
        <v>15</v>
      </c>
      <c r="B379" s="1" t="n">
        <v>5</v>
      </c>
      <c r="C379" s="1" t="n">
        <v>0.5</v>
      </c>
      <c r="D379" s="1" t="n">
        <v>1.1378</v>
      </c>
      <c r="E379" s="1" t="n">
        <v>0.0122462</v>
      </c>
      <c r="F379" s="1" t="n">
        <v>2.22071E-005</v>
      </c>
      <c r="G379" s="1" t="s">
        <v>27</v>
      </c>
      <c r="H379" s="1" t="n">
        <v>33.3</v>
      </c>
      <c r="I379" s="1" t="n">
        <v>349.4</v>
      </c>
      <c r="J379" s="1" t="n">
        <v>0</v>
      </c>
      <c r="K379" s="1"/>
      <c r="L379" s="1" t="n">
        <v>0</v>
      </c>
      <c r="M379" s="1" t="n">
        <v>0</v>
      </c>
      <c r="N379" s="1" t="s">
        <v>287</v>
      </c>
      <c r="Z379" s="0" t="n">
        <f aca="false">I379-23</f>
        <v>326.4</v>
      </c>
      <c r="AB379" s="0" t="n">
        <f aca="false">IF(Z379&lt;0,Z379+360,Z379+0)</f>
        <v>326.4</v>
      </c>
    </row>
    <row r="380" customFormat="false" ht="15.8" hidden="false" customHeight="false" outlineLevel="0" collapsed="false">
      <c r="A380" s="1" t="n">
        <v>15</v>
      </c>
      <c r="B380" s="1" t="n">
        <v>4</v>
      </c>
      <c r="C380" s="1" t="n">
        <v>1.1</v>
      </c>
      <c r="D380" s="1" t="n">
        <v>1.1511</v>
      </c>
      <c r="E380" s="1" t="n">
        <v>0.0253298</v>
      </c>
      <c r="F380" s="1" t="n">
        <v>4.59329E-005</v>
      </c>
      <c r="G380" s="1" t="s">
        <v>37</v>
      </c>
      <c r="H380" s="1" t="n">
        <v>75.8</v>
      </c>
      <c r="I380" s="1" t="n">
        <v>14.6</v>
      </c>
      <c r="J380" s="1" t="n">
        <v>-22.5</v>
      </c>
      <c r="K380" s="1" t="n">
        <v>73.9</v>
      </c>
      <c r="L380" s="1" t="n">
        <v>0</v>
      </c>
      <c r="M380" s="1" t="n">
        <v>0</v>
      </c>
      <c r="N380" s="1" t="s">
        <v>286</v>
      </c>
      <c r="Z380" s="0" t="n">
        <f aca="false">I380-23</f>
        <v>-8.4</v>
      </c>
      <c r="AB380" s="0" t="n">
        <f aca="false">IF(Z380&lt;0,Z380+360,Z380+0)</f>
        <v>351.6</v>
      </c>
    </row>
    <row r="381" customFormat="false" ht="15.8" hidden="false" customHeight="false" outlineLevel="0" collapsed="false">
      <c r="A381" s="1" t="n">
        <v>15</v>
      </c>
      <c r="B381" s="1" t="n">
        <v>3</v>
      </c>
      <c r="C381" s="1" t="n">
        <v>1.3</v>
      </c>
      <c r="D381" s="1" t="n">
        <v>1.3045</v>
      </c>
      <c r="E381" s="1" t="n">
        <v>0.0305589</v>
      </c>
      <c r="F381" s="1" t="n">
        <v>5.83862E-005</v>
      </c>
      <c r="G381" s="1" t="s">
        <v>37</v>
      </c>
      <c r="H381" s="1" t="n">
        <v>121.8</v>
      </c>
      <c r="I381" s="1" t="n">
        <v>89.2</v>
      </c>
      <c r="J381" s="1" t="n">
        <v>0</v>
      </c>
      <c r="K381" s="1" t="n">
        <v>75.8</v>
      </c>
      <c r="L381" s="1" t="n">
        <v>0</v>
      </c>
      <c r="M381" s="1" t="n">
        <v>0</v>
      </c>
      <c r="N381" s="1" t="s">
        <v>288</v>
      </c>
      <c r="Z381" s="0" t="n">
        <f aca="false">I381-23</f>
        <v>66.2</v>
      </c>
      <c r="AB381" s="0" t="n">
        <f aca="false">IF(Z381&lt;0,Z381+360,Z381+0)</f>
        <v>66.2</v>
      </c>
    </row>
    <row r="382" customFormat="false" ht="15.8" hidden="false" customHeight="false" outlineLevel="0" collapsed="false">
      <c r="A382" s="1" t="n">
        <v>15</v>
      </c>
      <c r="B382" s="1" t="n">
        <v>3</v>
      </c>
      <c r="C382" s="1" t="n">
        <v>3.9</v>
      </c>
      <c r="D382" s="1" t="n">
        <v>1.5966</v>
      </c>
      <c r="E382" s="1" t="n">
        <v>0.0896825</v>
      </c>
      <c r="F382" s="1" t="n">
        <v>0.000166133</v>
      </c>
      <c r="G382" s="1" t="s">
        <v>27</v>
      </c>
      <c r="H382" s="1" t="n">
        <v>67.1</v>
      </c>
      <c r="I382" s="1" t="n">
        <v>274.5</v>
      </c>
      <c r="J382" s="1" t="n">
        <v>49.9</v>
      </c>
      <c r="K382" s="1"/>
      <c r="L382" s="1" t="n">
        <v>0</v>
      </c>
      <c r="M382" s="1" t="n">
        <v>0</v>
      </c>
      <c r="N382" s="1" t="s">
        <v>288</v>
      </c>
      <c r="Z382" s="0" t="n">
        <f aca="false">I382-23</f>
        <v>251.5</v>
      </c>
      <c r="AB382" s="0" t="n">
        <f aca="false">IF(Z382&lt;0,Z382+360,Z382+0)</f>
        <v>251.5</v>
      </c>
    </row>
    <row r="383" customFormat="false" ht="15.8" hidden="false" customHeight="false" outlineLevel="0" collapsed="false">
      <c r="A383" s="1" t="n">
        <v>15</v>
      </c>
      <c r="B383" s="1" t="n">
        <v>3</v>
      </c>
      <c r="C383" s="1" t="n">
        <v>10.3</v>
      </c>
      <c r="D383" s="1" t="n">
        <v>1.8524</v>
      </c>
      <c r="E383" s="1" t="n">
        <v>0.280969</v>
      </c>
      <c r="F383" s="1" t="n">
        <v>0.000611408</v>
      </c>
      <c r="G383" s="1" t="s">
        <v>27</v>
      </c>
      <c r="H383" s="1" t="n">
        <v>25.2</v>
      </c>
      <c r="I383" s="1" t="n">
        <v>311.1</v>
      </c>
      <c r="J383" s="1" t="n">
        <v>19.5</v>
      </c>
      <c r="K383" s="1"/>
      <c r="L383" s="1" t="n">
        <v>0</v>
      </c>
      <c r="M383" s="1" t="n">
        <v>0</v>
      </c>
      <c r="N383" s="1" t="s">
        <v>288</v>
      </c>
      <c r="Z383" s="0" t="n">
        <f aca="false">I383-23</f>
        <v>288.1</v>
      </c>
      <c r="AB383" s="0" t="n">
        <f aca="false">IF(Z383&lt;0,Z383+360,Z383+0)</f>
        <v>288.1</v>
      </c>
    </row>
    <row r="384" customFormat="false" ht="15.8" hidden="false" customHeight="false" outlineLevel="0" collapsed="false">
      <c r="A384" s="1" t="n">
        <v>15</v>
      </c>
      <c r="B384" s="1" t="n">
        <v>2</v>
      </c>
      <c r="C384" s="1" t="n">
        <v>0.6</v>
      </c>
      <c r="D384" s="1" t="n">
        <v>1.0279</v>
      </c>
      <c r="E384" s="1" t="n">
        <v>0.017416</v>
      </c>
      <c r="F384" s="1" t="n">
        <v>3.78984E-005</v>
      </c>
      <c r="G384" s="1" t="s">
        <v>37</v>
      </c>
      <c r="H384" s="1" t="n">
        <v>23.8</v>
      </c>
      <c r="I384" s="1" t="n">
        <v>327.4</v>
      </c>
      <c r="J384" s="1" t="n">
        <v>0</v>
      </c>
      <c r="K384" s="1" t="n">
        <v>121.8</v>
      </c>
      <c r="L384" s="1" t="n">
        <v>0</v>
      </c>
      <c r="M384" s="1" t="n">
        <v>0</v>
      </c>
      <c r="N384" s="1" t="s">
        <v>282</v>
      </c>
      <c r="Z384" s="0" t="n">
        <f aca="false">I384-23</f>
        <v>304.4</v>
      </c>
      <c r="AB384" s="0" t="n">
        <f aca="false">IF(Z384&lt;0,Z384+360,Z384+0)</f>
        <v>304.4</v>
      </c>
    </row>
    <row r="385" customFormat="false" ht="15.8" hidden="false" customHeight="false" outlineLevel="0" collapsed="false">
      <c r="A385" s="1" t="n">
        <v>15</v>
      </c>
      <c r="B385" s="1" t="n">
        <v>1</v>
      </c>
      <c r="C385" s="1" t="n">
        <v>1</v>
      </c>
      <c r="D385" s="1" t="n">
        <v>1.0047</v>
      </c>
      <c r="E385" s="1" t="n">
        <v>0.0263808</v>
      </c>
      <c r="F385" s="1" t="n">
        <v>5.74065E-005</v>
      </c>
      <c r="G385" s="1" t="s">
        <v>37</v>
      </c>
      <c r="H385" s="1"/>
      <c r="I385" s="1" t="n">
        <v>351.1</v>
      </c>
      <c r="J385" s="1" t="n">
        <v>0</v>
      </c>
      <c r="K385" s="1" t="n">
        <v>104.1</v>
      </c>
      <c r="L385" s="1" t="n">
        <v>0</v>
      </c>
      <c r="M385" s="1" t="n">
        <v>0</v>
      </c>
      <c r="N385" s="1" t="s">
        <v>289</v>
      </c>
      <c r="Z385" s="0" t="n">
        <f aca="false">I385-23</f>
        <v>328.1</v>
      </c>
      <c r="AB385" s="0" t="n">
        <f aca="false">IF(Z385&lt;0,Z385+360,Z385+0)</f>
        <v>328.1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47974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2017-05-19T17:50:19Z</dcterms:created>
  <dc:language>en-US</dc:language>
  <dcterms:modified xsi:type="dcterms:W3CDTF">2017-09-27T21:37:22Z</dcterms:modified>
  <cp:revision>5</cp:revision>
</cp:coreProperties>
</file>