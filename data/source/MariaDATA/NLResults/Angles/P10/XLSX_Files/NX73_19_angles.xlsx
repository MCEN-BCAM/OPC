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<sst xmlns="http://schemas.openxmlformats.org/spreadsheetml/2006/main" count="734" uniqueCount="248">
  <si>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</si>
  <si>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</si>
  <si>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</si>
  <si>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</si>
  <si>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</si>
  <si>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</si>
  <si>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</si>
  <si>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</si>
  <si>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</si>
  <si>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</si>
  <si>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</si>
  <si>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</si>
  <si>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</si>
  <si>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</si>
  <si>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</si>
  <si>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</si>
  <si>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</si>
  <si>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</si>
  <si>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</si>
  <si>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</si>
  <si>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</si>
  <si>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</si>
  <si>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</si>
  <si>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</si>
  <si>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</si>
  <si>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</si>
  <si>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</si>
  <si>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</si>
  <si>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(35.33, -56.62, -14.43)</t>
  </si>
  <si>
    <t>[90:75]</t>
  </si>
  <si>
    <t>&gt;75 R</t>
  </si>
  <si>
    <t>-75,-90 R</t>
  </si>
  <si>
    <t>[0:15)</t>
  </si>
  <si>
    <t>[75:60]</t>
  </si>
  <si>
    <t>&gt;60 R</t>
  </si>
  <si>
    <t>-60,-75 R</t>
  </si>
  <si>
    <t>[15:30)</t>
  </si>
  <si>
    <t>Branch</t>
  </si>
  <si>
    <t>(38.21, -55.43, -14.80)</t>
  </si>
  <si>
    <t>[60:45]</t>
  </si>
  <si>
    <t>&gt;45 R</t>
  </si>
  <si>
    <t>-60,-45 R</t>
  </si>
  <si>
    <t>[30:45)</t>
  </si>
  <si>
    <t>[45:30]</t>
  </si>
  <si>
    <t>&gt;30 R</t>
  </si>
  <si>
    <t>-45,-30 R</t>
  </si>
  <si>
    <t>[45:60)</t>
  </si>
  <si>
    <t>(35.59, -55.60, -13.32)</t>
  </si>
  <si>
    <t>[30:15]</t>
  </si>
  <si>
    <t>&gt;15 R</t>
  </si>
  <si>
    <t>-30,-15 R</t>
  </si>
  <si>
    <t>[60:75)</t>
  </si>
  <si>
    <t>(33.64, -57.26, -12.58)</t>
  </si>
  <si>
    <t>[15:0]</t>
  </si>
  <si>
    <t>&gt;0 R</t>
  </si>
  <si>
    <t>-15,0 R</t>
  </si>
  <si>
    <t>[75:90)</t>
  </si>
  <si>
    <t>(33.00, -57.49, -12.58)</t>
  </si>
  <si>
    <t>[0]</t>
  </si>
  <si>
    <t>&gt;-15 R</t>
  </si>
  <si>
    <t>0,15 R</t>
  </si>
  <si>
    <t>(31.13, -60.34, -11.10)</t>
  </si>
  <si>
    <t>[0:15]</t>
  </si>
  <si>
    <t>&gt;-30 R</t>
  </si>
  <si>
    <t>15,30 R</t>
  </si>
  <si>
    <t>Sum</t>
  </si>
  <si>
    <t>[15:30]</t>
  </si>
  <si>
    <t>&gt;-45 R</t>
  </si>
  <si>
    <t>30,45 R</t>
  </si>
  <si>
    <t>(31.54, -58.77, -12.21)</t>
  </si>
  <si>
    <t>[30:45]</t>
  </si>
  <si>
    <t>&gt;-60 R</t>
  </si>
  <si>
    <t>45,60 R</t>
  </si>
  <si>
    <t>[45:60]</t>
  </si>
  <si>
    <t>&gt;-75 R</t>
  </si>
  <si>
    <t>60,75 R</t>
  </si>
  <si>
    <t>[60:75]</t>
  </si>
  <si>
    <t> &gt;-90 R</t>
  </si>
  <si>
    <t> 75,90 R</t>
  </si>
  <si>
    <t>[75:90]</t>
  </si>
  <si>
    <t>&gt;-90 L</t>
  </si>
  <si>
    <t>90,75 L</t>
  </si>
  <si>
    <t>&gt;-75 L</t>
  </si>
  <si>
    <t>75,60 L</t>
  </si>
  <si>
    <t>&gt;-60 L</t>
  </si>
  <si>
    <t>60,45 L</t>
  </si>
  <si>
    <t>(38.84, -53.08, -15.17)</t>
  </si>
  <si>
    <t>&gt;-45 L</t>
  </si>
  <si>
    <t>45,30 L</t>
  </si>
  <si>
    <t>(42.03, -52.45, -17.02)</t>
  </si>
  <si>
    <t>&gt;-30 L</t>
  </si>
  <si>
    <t>30,15 L</t>
  </si>
  <si>
    <t>(46.49, -50.11, -14.06)</t>
  </si>
  <si>
    <t>&gt;-15 L</t>
  </si>
  <si>
    <t>15,0 L</t>
  </si>
  <si>
    <t>&gt;0 L</t>
  </si>
  <si>
    <t>0,-15 L</t>
  </si>
  <si>
    <t>(44.91, -51.26, -15.91)</t>
  </si>
  <si>
    <t>&gt;15 L</t>
  </si>
  <si>
    <t>-15,-30 L</t>
  </si>
  <si>
    <t>(46.61, -51.21, -15.17)</t>
  </si>
  <si>
    <t>&gt;30 L</t>
  </si>
  <si>
    <t>-30,-45 L</t>
  </si>
  <si>
    <t>&gt;45 L</t>
  </si>
  <si>
    <t>-45,-60 L</t>
  </si>
  <si>
    <t>(45.24, -50.77, -15.17)</t>
  </si>
  <si>
    <t>&gt;60 L</t>
  </si>
  <si>
    <t>-60,-75 L</t>
  </si>
  <si>
    <t>(67.54, -36.08, -16.65)</t>
  </si>
  <si>
    <t>&gt;75 L</t>
  </si>
  <si>
    <t>-75,-90 L</t>
  </si>
  <si>
    <t>Total</t>
  </si>
  <si>
    <t>(64.01, -39.90, -16.65)</t>
  </si>
  <si>
    <t>Count</t>
  </si>
  <si>
    <t>Total L</t>
  </si>
  <si>
    <t>(62.00, -40.80, -16.28)</t>
  </si>
  <si>
    <t>(64.07, -41.04, -15.54)</t>
  </si>
  <si>
    <t>(63.72, -41.62, -17.02)</t>
  </si>
  <si>
    <t>(61.05, -40.93, -16.65)</t>
  </si>
  <si>
    <t>(57.90, -41.75, -15.91)</t>
  </si>
  <si>
    <t>(55.15, -43.60, -16.28)</t>
  </si>
  <si>
    <t>(58.72, -44.38, -17.76)</t>
  </si>
  <si>
    <t>(49.11, -45.93, -15.54)</t>
  </si>
  <si>
    <t>(45.06, -48.46, -14.43)</t>
  </si>
  <si>
    <t>(31.27, -49.19, -11.47)</t>
  </si>
  <si>
    <t>(30.44, -49.22, -11.47)</t>
  </si>
  <si>
    <t>(29.15, -49.92, -12.21)</t>
  </si>
  <si>
    <t>(34.97, -48.64, -11.47)</t>
  </si>
  <si>
    <t>(38.03, -48.97, -11.84)</t>
  </si>
  <si>
    <t>(40.03, -49.21, -12.21)</t>
  </si>
  <si>
    <t>(47.30, -44.76, -12.95)</t>
  </si>
  <si>
    <t>(46.66, -43.20, -12.58)</t>
  </si>
  <si>
    <t>(49.42, -39.44, -10.73)</t>
  </si>
  <si>
    <t>(44.74, -36.86, -9.99)</t>
  </si>
  <si>
    <t>(47.00, -36.50, -9.99)</t>
  </si>
  <si>
    <t>(48.06, -32.67, -8.51)</t>
  </si>
  <si>
    <t>(45.61, -23.92, -8.51)</t>
  </si>
  <si>
    <t>(47.33, -30.08, -8.88)</t>
  </si>
  <si>
    <t>(46.20, -26.84, -6.29)</t>
  </si>
  <si>
    <t>(42.83, -51.53, -16.65)</t>
  </si>
  <si>
    <t>(50.23, -49.72, -22.57)</t>
  </si>
  <si>
    <t>(50.86, -49.58, -22.57)</t>
  </si>
  <si>
    <t>(51.11, -49.12, -22.57)</t>
  </si>
  <si>
    <t>(56.20, -48.84, -25.16)</t>
  </si>
  <si>
    <t>(57.76, -48.43, -24.79)</t>
  </si>
  <si>
    <t>(64.84, -50.29, -26.64)</t>
  </si>
  <si>
    <t>(65.47, -51.22, -26.27)</t>
  </si>
  <si>
    <t>(53.01, -49.48, -22.94)</t>
  </si>
  <si>
    <t>(46.63, -49.74, -22.57)</t>
  </si>
  <si>
    <t>(56.37, -74.23, -15.17)</t>
  </si>
  <si>
    <t>(56.75, -71.61, -14.43)</t>
  </si>
  <si>
    <t>(50.98, -68.08, -13.69)</t>
  </si>
  <si>
    <t>(50.33, -67.41, -13.69)</t>
  </si>
  <si>
    <t>(49.24, -63.83, -14.06)</t>
  </si>
  <si>
    <t>(51.74, -55.68, -12.21)</t>
  </si>
  <si>
    <t>(72.44, -52.32, -15.17)</t>
  </si>
  <si>
    <t>(72.57, -51.74, -15.91)</t>
  </si>
  <si>
    <t>(69.54, -51.77, -14.43)</t>
  </si>
  <si>
    <t>(58.48, -53.37, -11.84)</t>
  </si>
  <si>
    <t>(48.66, -55.38, -12.95)</t>
  </si>
  <si>
    <t>(46.81, -54.88, -12.95)</t>
  </si>
  <si>
    <t>(48.08, -56.41, -11.10)</t>
  </si>
  <si>
    <t>(44.24, -53.88, -13.69)</t>
  </si>
  <si>
    <t>(51.36, -46.25, -9.62)</t>
  </si>
  <si>
    <t>(49.85, -47.82, -8.88)</t>
  </si>
  <si>
    <t>(45.53, -52.18, -10.36)</t>
  </si>
  <si>
    <t>(43.42, -53.69, -13.69)</t>
  </si>
  <si>
    <t>(40.32, -60.45, -8.14)</t>
  </si>
  <si>
    <t>(42.92, -53.44, -14.06)</t>
  </si>
  <si>
    <t>(41.63, -52.67, -14.06)</t>
  </si>
  <si>
    <t>(9.94, -49.72, -21.35)</t>
  </si>
  <si>
    <t>(15.27, -49.64, -19.87)</t>
  </si>
  <si>
    <t>(20.06, -50.84, -20.24)</t>
  </si>
  <si>
    <t>(21.14, -50.77, -19.87)</t>
  </si>
  <si>
    <t>(32.31, -50.26, -19.13)</t>
  </si>
  <si>
    <t>(32.39, -48.04, -20.61)</t>
  </si>
  <si>
    <t>(22.29, -51.39, -18.76)</t>
  </si>
  <si>
    <t>(22.06, -50.84, -20.98)</t>
  </si>
  <si>
    <t>(20.08, -60.52, -19.13)</t>
  </si>
  <si>
    <t>(15.37, -59.17, -22.09)</t>
  </si>
  <si>
    <t>(9.75, -57.39, -25.05)</t>
  </si>
  <si>
    <t>(10.81, -57.14, -24.68)</t>
  </si>
  <si>
    <t>(25.19, -50.85, -20.98)</t>
  </si>
  <si>
    <t>(25.79, -50.57, -20.98)</t>
  </si>
  <si>
    <t>(25.16, -49.74, -21.35)</t>
  </si>
  <si>
    <t>(28.23, -52.02, -20.98)</t>
  </si>
  <si>
    <t>(32.12, -52.89, -20.61)</t>
  </si>
  <si>
    <t>(32.90, -57.26, -21.35)</t>
  </si>
  <si>
    <t>(42.37, -57.17, -23.57)</t>
  </si>
  <si>
    <t>(34.40, -51.80, -19.87)</t>
  </si>
  <si>
    <t>(52.18, -54.29, -17.39)</t>
  </si>
  <si>
    <t>(52.15, -52.91, -18.87)</t>
  </si>
  <si>
    <t>(64.57, -50.54, -18.87)</t>
  </si>
  <si>
    <t>(66.91, -49.21, -18.50)</t>
  </si>
  <si>
    <t>(61.74, -49.18, -21.09)</t>
  </si>
  <si>
    <t>(60.88, -48.97, -21.09)</t>
  </si>
  <si>
    <t>(62.61, -49.60, -20.72)</t>
  </si>
  <si>
    <t>(47.46, -51.46, -19.24)</t>
  </si>
  <si>
    <t>(39.00, -50.25, -24.79)</t>
  </si>
  <si>
    <t>(35.54, -49.04, -22.94)</t>
  </si>
  <si>
    <t>(39.80, -50.13, -25.53)</t>
  </si>
  <si>
    <t>(41.81, -43.51, -27.01)</t>
  </si>
  <si>
    <t>(41.67, -40.45, -28.49)</t>
  </si>
  <si>
    <t>(42.79, -47.53, -24.79)</t>
  </si>
  <si>
    <t>(52.77, -47.74, -27.38)</t>
  </si>
  <si>
    <t>(51.81, -48.48, -26.64)</t>
  </si>
  <si>
    <t>(55.13, -51.39, -25.90)</t>
  </si>
  <si>
    <t>(46.92, -48.55, -24.79)</t>
  </si>
  <si>
    <t>(54.11, -55.78, -9.62)</t>
  </si>
  <si>
    <t>(54.51, -53.46, -8.14)</t>
  </si>
  <si>
    <t>(42.22, -48.91, -19.98)</t>
  </si>
  <si>
    <t>(34.70, -49.77, -18.87)</t>
  </si>
  <si>
    <t>(33.68, -51.15, -18.13)</t>
  </si>
  <si>
    <t>(33.03, -51.15, -18.50)</t>
  </si>
  <si>
    <t>(34.34, -51.48, -18.13)</t>
  </si>
  <si>
    <t>(29.86, -52.49, -17.39)</t>
  </si>
  <si>
    <t>(31.40, -51.19, -16.65)</t>
  </si>
  <si>
    <t>(29.97, -50.45, -15.91)</t>
  </si>
  <si>
    <t>(30.95, -50.32, -15.91)</t>
  </si>
  <si>
    <t>(37.17, -52.09, -17.39)</t>
  </si>
  <si>
    <t>(47.04, -48.76, -24.42)</t>
  </si>
  <si>
    <t>(37.53, -52.30, -14.32)</t>
  </si>
  <si>
    <t>(36.03, -52.41, -13.58)</t>
  </si>
  <si>
    <t>(16.52, -59.98, -10.57)</t>
  </si>
  <si>
    <t>(19.16, -56.25, -12.05)</t>
  </si>
  <si>
    <t>(29.95, -53.54, -12.05)</t>
  </si>
  <si>
    <t>(28.04, -56.95, -13.16)</t>
  </si>
  <si>
    <t>(30.49, -52.52, -11.31)</t>
  </si>
  <si>
    <t>(27.48, -52.96, -10.20)</t>
  </si>
  <si>
    <t>(34.48, -51.74, -10.94)</t>
  </si>
  <si>
    <t>(45.80, -32.25, -12.05)</t>
  </si>
  <si>
    <t>(41.53, -40.02, -9.46)</t>
  </si>
  <si>
    <t>(40.89, -41.99, -8.35)</t>
  </si>
  <si>
    <t>(40.75, -46.21, -7.24)</t>
  </si>
  <si>
    <t>(40.51, -46.60, -7.24)</t>
  </si>
  <si>
    <t>(37.65, -50.55, -7.24)</t>
  </si>
  <si>
    <t>(37.92, -50.10, -6.50)</t>
  </si>
  <si>
    <t>(37.88, -48.16, -5.02)</t>
  </si>
  <si>
    <t>(36.96, -51.72, -8.35)</t>
  </si>
  <si>
    <t>(43.16, -49.69, -7.61)</t>
  </si>
  <si>
    <t>(44.75, -50.10, -6.87)</t>
  </si>
  <si>
    <t>(35.43, -52.99, -7.98)</t>
  </si>
  <si>
    <t>(32.31, -53.81, -7.61)</t>
  </si>
  <si>
    <t>(30.85, -52.31, -6.50)</t>
  </si>
  <si>
    <t>(29.04, -53.55, -4.28)</t>
  </si>
  <si>
    <t>(35.49, -52.83, -9.83)</t>
  </si>
  <si>
    <t>(41.60, -52.53, -12.05)</t>
  </si>
  <si>
    <t>(39.41, -52.77, -14.69)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</si>
</sst>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3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/>
  <cols>
    <col collapsed="false" hidden="false" max="13" min="1" style="0" width="11.5204081632653"/>
    <col collapsed="false" hidden="false" max="14" min="14" style="0" width="19.0357142857143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3</v>
      </c>
      <c r="C2" s="1" t="n">
        <v>0.6</v>
      </c>
      <c r="D2" s="1" t="n">
        <v>1.187</v>
      </c>
      <c r="E2" s="1" t="n">
        <v>0.0212773</v>
      </c>
      <c r="F2" s="1" t="n">
        <v>5.80559E-005</v>
      </c>
      <c r="G2" s="1" t="s">
        <v>27</v>
      </c>
      <c r="H2" s="1" t="n">
        <v>76.9</v>
      </c>
      <c r="I2" s="1" t="n">
        <v>124.2</v>
      </c>
      <c r="J2" s="1" t="n">
        <v>45.1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20</v>
      </c>
      <c r="Q2" s="1" t="s">
        <v>29</v>
      </c>
      <c r="R2" s="1" t="n">
        <f aca="false">COUNTIF(J$2:J$1500,"&lt;-75")</f>
        <v>2</v>
      </c>
      <c r="S2" s="2" t="s">
        <v>30</v>
      </c>
      <c r="T2" s="1" t="n">
        <f aca="false">COUNTIFS(J$2:J$1500, "&gt;75",I$2:I$1500, "&lt;180")</f>
        <v>0</v>
      </c>
      <c r="U2" s="1" t="n">
        <v>0</v>
      </c>
      <c r="V2" s="0" t="n">
        <f aca="false">SUMIFS(C$2:C$1500,C$2:C$1500, "&gt;=0",I$2:I$1500, "&lt;15")</f>
        <v>130.3</v>
      </c>
      <c r="W2" s="2" t="s">
        <v>31</v>
      </c>
      <c r="X2" s="0" t="n">
        <f aca="false">SUMIFS(C$2:C$1500,C$2:C$1500, "&gt;=0",J$2:J$1500, "&lt;-75",I$2:I$1500,"&lt;180")</f>
        <v>2.9</v>
      </c>
      <c r="Z2" s="0" t="n">
        <f aca="false">I2-9</f>
        <v>115.2</v>
      </c>
      <c r="AB2" s="0" t="n">
        <f aca="false">IF(Z2&lt;0,Z2+360,Z2+0)</f>
        <v>115.2</v>
      </c>
      <c r="AD2" s="1" t="n">
        <v>0</v>
      </c>
      <c r="AE2" s="1" t="n">
        <f aca="false">COUNTIF(AB$2:AB$1500,"&lt;15")</f>
        <v>13</v>
      </c>
      <c r="AF2" s="1"/>
      <c r="AG2" s="1" t="n">
        <v>0</v>
      </c>
      <c r="AH2" s="0" t="n">
        <f aca="false">SUMIFS(C$2:C$1500,C$2:C$1500, "&gt;=0",AB$2:AB$1500, "&lt;15")</f>
        <v>65.6</v>
      </c>
      <c r="AJ2" s="1" t="s">
        <v>29</v>
      </c>
      <c r="AK2" s="0" t="n">
        <f aca="false">SUMIF($J$2:$J$2000,"&lt;-75",$C$2:$C$2000)</f>
        <v>4.5</v>
      </c>
      <c r="AM2" s="1" t="s">
        <v>32</v>
      </c>
      <c r="AN2" s="0" t="n">
        <f aca="false">AE2+AE13+AE14+AE25</f>
        <v>66</v>
      </c>
      <c r="AO2" s="1" t="s">
        <v>32</v>
      </c>
      <c r="AP2" s="0" t="n">
        <f aca="false">R7+R8+R9</f>
        <v>129</v>
      </c>
      <c r="AR2" s="1" t="s">
        <v>32</v>
      </c>
      <c r="AS2" s="0" t="n">
        <f aca="false">AH2+AH13+AH14+AH25</f>
        <v>339.1</v>
      </c>
      <c r="AU2" s="0" t="n">
        <f aca="false">AK7+AK8+AK9</f>
        <v>542</v>
      </c>
    </row>
    <row r="3" customFormat="false" ht="15.8" hidden="false" customHeight="false" outlineLevel="0" collapsed="false">
      <c r="A3" s="1" t="n">
        <v>1</v>
      </c>
      <c r="B3" s="1" t="n">
        <v>3</v>
      </c>
      <c r="C3" s="1" t="n">
        <v>3.9</v>
      </c>
      <c r="D3" s="1" t="n">
        <v>1.3265</v>
      </c>
      <c r="E3" s="1" t="n">
        <v>0.133096</v>
      </c>
      <c r="F3" s="1" t="n">
        <v>0.000363157</v>
      </c>
      <c r="G3" s="1" t="s">
        <v>27</v>
      </c>
      <c r="H3" s="1" t="n">
        <v>34.6</v>
      </c>
      <c r="I3" s="1" t="n">
        <v>234.5</v>
      </c>
      <c r="J3" s="1" t="n">
        <v>22.3</v>
      </c>
      <c r="K3" s="1"/>
      <c r="L3" s="1" t="n">
        <v>0</v>
      </c>
      <c r="M3" s="1" t="n">
        <v>0</v>
      </c>
      <c r="N3" s="1" t="s">
        <v>28</v>
      </c>
      <c r="O3" s="1" t="n">
        <v>15</v>
      </c>
      <c r="P3" s="1" t="n">
        <f aca="false">COUNTIF(I$2:I$1500,"&lt;30")-P2</f>
        <v>9</v>
      </c>
      <c r="Q3" s="1" t="s">
        <v>33</v>
      </c>
      <c r="R3" s="1" t="n">
        <f aca="false">COUNTIF(J$2:J$1500,"&lt;-60")-R2</f>
        <v>1</v>
      </c>
      <c r="S3" s="2" t="s">
        <v>34</v>
      </c>
      <c r="T3" s="1" t="n">
        <f aca="false">COUNTIFS(J$2:J$1500, "&gt;60",I$2:I$1500, "&lt;180")-T2</f>
        <v>2</v>
      </c>
      <c r="U3" s="1" t="n">
        <v>15</v>
      </c>
      <c r="V3" s="0" t="n">
        <f aca="false">SUMIFS(C$2:C$1500,C$2:C$1500, "&gt;=0",I$2:I$1500, "&lt;30",I$2:I$1500,"&gt;=15")</f>
        <v>47.5</v>
      </c>
      <c r="W3" s="2" t="s">
        <v>35</v>
      </c>
      <c r="X3" s="0" t="n">
        <f aca="false">SUMIFS(C$2:C$1500,C$2:C$1500, "&gt;=0",J$2:J$1500, "&lt;-60",J$2:J$1500,"&gt;=-75",I$2:I$1500,"&lt;180")</f>
        <v>0</v>
      </c>
      <c r="Z3" s="0" t="n">
        <f aca="false">I3-9</f>
        <v>225.5</v>
      </c>
      <c r="AB3" s="0" t="n">
        <f aca="false">IF(Z3&lt;0,Z3+360,Z3+0)</f>
        <v>225.5</v>
      </c>
      <c r="AD3" s="1" t="n">
        <v>15</v>
      </c>
      <c r="AE3" s="1" t="n">
        <f aca="false">COUNTIF(AB$2:AB$1500,"&lt;30")-AE2</f>
        <v>11</v>
      </c>
      <c r="AF3" s="1"/>
      <c r="AG3" s="1" t="n">
        <v>15</v>
      </c>
      <c r="AH3" s="0" t="n">
        <f aca="false">SUMIFS(C$2:C$1500,C$2:C$1500, "&gt;=0",AB$2:AB$1500, "&lt;30",AB$2:AB$1500,"&gt;=15")</f>
        <v>41.8</v>
      </c>
      <c r="AJ3" s="1" t="s">
        <v>33</v>
      </c>
      <c r="AK3" s="0" t="n">
        <f aca="false">SUMIF($J$2:$J$2000,"&lt;-60",$C$2:$C$2000)-$AK$2</f>
        <v>1.8</v>
      </c>
      <c r="AM3" s="1" t="s">
        <v>36</v>
      </c>
      <c r="AN3" s="0" t="n">
        <f aca="false">AE3+AE12+AE15+AE24</f>
        <v>47</v>
      </c>
      <c r="AO3" s="1" t="s">
        <v>36</v>
      </c>
      <c r="AP3" s="0" t="n">
        <f aca="false">R10+R6</f>
        <v>90</v>
      </c>
      <c r="AR3" s="1" t="s">
        <v>36</v>
      </c>
      <c r="AS3" s="0" t="n">
        <f aca="false">AH3+AH12+AH15+AH24</f>
        <v>182</v>
      </c>
      <c r="AU3" s="0" t="n">
        <f aca="false">AK10+AK6</f>
        <v>344.1</v>
      </c>
    </row>
    <row r="4" customFormat="false" ht="15.8" hidden="false" customHeight="false" outlineLevel="0" collapsed="false">
      <c r="A4" s="1" t="n">
        <v>1</v>
      </c>
      <c r="B4" s="1" t="n">
        <v>2</v>
      </c>
      <c r="C4" s="1" t="n">
        <v>3.6</v>
      </c>
      <c r="D4" s="1" t="n">
        <v>1.1339</v>
      </c>
      <c r="E4" s="1" t="n">
        <v>0.12205</v>
      </c>
      <c r="F4" s="1" t="n">
        <v>0.000333017</v>
      </c>
      <c r="G4" s="1" t="s">
        <v>37</v>
      </c>
      <c r="H4" s="1" t="n">
        <v>52</v>
      </c>
      <c r="I4" s="1" t="n">
        <v>202.4</v>
      </c>
      <c r="J4" s="1" t="n">
        <v>6.8</v>
      </c>
      <c r="K4" s="1" t="n">
        <v>76.9</v>
      </c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10</v>
      </c>
      <c r="Q4" s="4" t="s">
        <v>39</v>
      </c>
      <c r="R4" s="1" t="n">
        <f aca="false">COUNTIF(J$2:J$1500,"&lt;-45")-SUM(R2:R3)</f>
        <v>9</v>
      </c>
      <c r="S4" s="2" t="s">
        <v>40</v>
      </c>
      <c r="T4" s="1" t="n">
        <f aca="false">COUNTIFS(J$2:J$1500, "&gt;45",I$2:I$1500, "&lt;180")-SUM(T2:T3)</f>
        <v>11</v>
      </c>
      <c r="U4" s="1" t="n">
        <v>30</v>
      </c>
      <c r="V4" s="0" t="n">
        <f aca="false">SUMIFS(C$2:C$1500,C$2:C$1500, "&gt;=0",I$2:I$1500, "&lt;45",I$2:I$1500,"&gt;=30")</f>
        <v>29</v>
      </c>
      <c r="W4" s="2" t="s">
        <v>41</v>
      </c>
      <c r="X4" s="0" t="n">
        <f aca="false">SUMIFS(C$2:C$1500,C$2:C$1500, "&gt;=0",J$2:J$1500, "&lt;-45",J$2:J$1500,"&gt;=-60",I$2:I$1500,"&lt;180")</f>
        <v>11.7</v>
      </c>
      <c r="Z4" s="0" t="n">
        <f aca="false">I4-9</f>
        <v>193.4</v>
      </c>
      <c r="AB4" s="0" t="n">
        <f aca="false">IF(Z4&lt;0,Z4+360,Z4+0)</f>
        <v>193.4</v>
      </c>
      <c r="AD4" s="1" t="n">
        <v>30</v>
      </c>
      <c r="AE4" s="1" t="n">
        <f aca="false">COUNTIF(AB$2:AB$1500,"&lt;45")-SUM(AE2:AE3)</f>
        <v>17</v>
      </c>
      <c r="AF4" s="1"/>
      <c r="AG4" s="1" t="n">
        <v>30</v>
      </c>
      <c r="AH4" s="0" t="n">
        <f aca="false">SUMIFS(C$2:C$1500,C$2:C$1500, "&gt;=0",AB$2:AB$1500, "&lt;45",AB$2:AB$1500,"&gt;=30")</f>
        <v>66</v>
      </c>
      <c r="AJ4" s="4" t="s">
        <v>39</v>
      </c>
      <c r="AK4" s="0" t="n">
        <f aca="false">SUMIF($J$2:$J$2000,"&lt;-45",$C$2:$C$2000)-SUM($AK$2:$AK$3)</f>
        <v>19.4</v>
      </c>
      <c r="AM4" s="1" t="s">
        <v>42</v>
      </c>
      <c r="AN4" s="0" t="n">
        <f aca="false">AE4+AE11+AE16+AE23</f>
        <v>54</v>
      </c>
      <c r="AO4" s="1" t="s">
        <v>42</v>
      </c>
      <c r="AP4" s="0" t="n">
        <f aca="false">R11+R5</f>
        <v>52</v>
      </c>
      <c r="AR4" s="1" t="s">
        <v>42</v>
      </c>
      <c r="AS4" s="0" t="n">
        <f aca="false">AH4+AH11+AH16+AH23</f>
        <v>178</v>
      </c>
      <c r="AU4" s="0" t="n">
        <f aca="false">AK11+AK5</f>
        <v>173.5</v>
      </c>
    </row>
    <row r="5" customFormat="false" ht="15.8" hidden="false" customHeight="false" outlineLevel="0" collapsed="false">
      <c r="A5" s="1" t="n">
        <v>1</v>
      </c>
      <c r="B5" s="1" t="n">
        <v>2</v>
      </c>
      <c r="C5" s="1" t="n">
        <v>5</v>
      </c>
      <c r="D5" s="1" t="n">
        <v>1.8526</v>
      </c>
      <c r="E5" s="1" t="n">
        <v>0.17085</v>
      </c>
      <c r="F5" s="1" t="n">
        <v>0.00046617</v>
      </c>
      <c r="G5" s="1" t="s">
        <v>27</v>
      </c>
      <c r="H5" s="1" t="n">
        <v>143.8</v>
      </c>
      <c r="I5" s="1" t="n">
        <v>63.4</v>
      </c>
      <c r="J5" s="1" t="n">
        <v>-43.5</v>
      </c>
      <c r="K5" s="1"/>
      <c r="L5" s="1" t="n">
        <v>0</v>
      </c>
      <c r="M5" s="1" t="n">
        <v>0</v>
      </c>
      <c r="N5" s="1" t="s">
        <v>38</v>
      </c>
      <c r="O5" s="1" t="n">
        <v>45</v>
      </c>
      <c r="P5" s="1" t="n">
        <f aca="false">COUNTIF(I$2:I$1500,"&lt;60")-SUM(P2:P4)</f>
        <v>24</v>
      </c>
      <c r="Q5" s="1" t="s">
        <v>43</v>
      </c>
      <c r="R5" s="1" t="n">
        <f aca="false">COUNTIF(J$2:J$1500,"&lt;-30")-SUM(R2:R4)</f>
        <v>23</v>
      </c>
      <c r="S5" s="2" t="s">
        <v>44</v>
      </c>
      <c r="T5" s="1" t="n">
        <f aca="false">COUNTIFS(J$2:J$1500, "&gt;30",I$2:I$1500, "&lt;180")-SUM(T2:T4)</f>
        <v>17</v>
      </c>
      <c r="U5" s="1" t="n">
        <v>45</v>
      </c>
      <c r="V5" s="0" t="n">
        <f aca="false">SUMIFS(C$2:C$1500,C$2:C$1500, "&gt;=0",I$2:I$1500, "&lt;60",I$2:I$1500,"&gt;=45")</f>
        <v>89.8</v>
      </c>
      <c r="W5" s="2" t="s">
        <v>45</v>
      </c>
      <c r="X5" s="0" t="n">
        <f aca="false">SUMIFS(C$2:C$1500,C$2:C$1500, "&gt;=0",J$2:J$1500, "&lt;-30",J$2:J$1500,"&gt;=-45",I$2:I$1500,"&lt;180")</f>
        <v>44.8</v>
      </c>
      <c r="Z5" s="0" t="n">
        <f aca="false">I5-9</f>
        <v>54.4</v>
      </c>
      <c r="AB5" s="0" t="n">
        <f aca="false">IF(Z5&lt;0,Z5+360,Z5+0)</f>
        <v>54.4</v>
      </c>
      <c r="AD5" s="1" t="n">
        <v>45</v>
      </c>
      <c r="AE5" s="1" t="n">
        <f aca="false">COUNTIF(AB$2:AB$1500,"&lt;60")-SUM(AE2:AE4)</f>
        <v>16</v>
      </c>
      <c r="AF5" s="1"/>
      <c r="AG5" s="1" t="n">
        <v>45</v>
      </c>
      <c r="AH5" s="0" t="n">
        <f aca="false">SUMIFS(C$2:C$1500,C$2:C$1500, "&gt;=0",AB$2:AB$1500, "&lt;60",AB$2:AB$1500,"&gt;=45")</f>
        <v>64.2</v>
      </c>
      <c r="AJ5" s="1" t="s">
        <v>43</v>
      </c>
      <c r="AK5" s="0" t="n">
        <f aca="false">SUMIF($J$2:$J$2000,"&lt;-30",$C$2:$C$2000)-SUM($AK$2:$AK$4)</f>
        <v>85.1</v>
      </c>
      <c r="AM5" s="1" t="s">
        <v>46</v>
      </c>
      <c r="AN5" s="0" t="n">
        <f aca="false">AE5+AE10+AE17+AE22</f>
        <v>41</v>
      </c>
      <c r="AO5" s="1" t="s">
        <v>46</v>
      </c>
      <c r="AP5" s="0" t="n">
        <f aca="false">R12+R4</f>
        <v>22</v>
      </c>
      <c r="AR5" s="1" t="s">
        <v>46</v>
      </c>
      <c r="AS5" s="0" t="n">
        <f aca="false">AH5+AH10+AH17+AH22</f>
        <v>173.8</v>
      </c>
      <c r="AU5" s="0" t="n">
        <f aca="false">AK12+AK4</f>
        <v>46.8999999999998</v>
      </c>
    </row>
    <row r="6" customFormat="false" ht="15.8" hidden="false" customHeight="false" outlineLevel="0" collapsed="false">
      <c r="A6" s="1" t="n">
        <v>1</v>
      </c>
      <c r="B6" s="1" t="n">
        <v>3</v>
      </c>
      <c r="C6" s="1" t="n">
        <v>0.7</v>
      </c>
      <c r="D6" s="1" t="n">
        <v>1.0028</v>
      </c>
      <c r="E6" s="1" t="n">
        <v>0.0223226</v>
      </c>
      <c r="F6" s="1" t="n">
        <v>6.09081E-005</v>
      </c>
      <c r="G6" s="1" t="s">
        <v>27</v>
      </c>
      <c r="H6" s="1" t="n">
        <v>41.6</v>
      </c>
      <c r="I6" s="1" t="n">
        <v>153</v>
      </c>
      <c r="J6" s="1" t="n">
        <v>0</v>
      </c>
      <c r="K6" s="1"/>
      <c r="L6" s="1" t="n">
        <v>0</v>
      </c>
      <c r="M6" s="1" t="n">
        <v>0</v>
      </c>
      <c r="N6" s="1" t="s">
        <v>47</v>
      </c>
      <c r="O6" s="1" t="n">
        <v>60</v>
      </c>
      <c r="P6" s="1" t="n">
        <f aca="false">COUNTIF(I$2:I$1500,"&lt;75")-SUM(P2:P5)</f>
        <v>12</v>
      </c>
      <c r="Q6" s="1" t="s">
        <v>48</v>
      </c>
      <c r="R6" s="1" t="n">
        <f aca="false">COUNTIF(J$2:J$1500,"&lt;-15")-SUM(R2:R5)</f>
        <v>45</v>
      </c>
      <c r="S6" s="2" t="s">
        <v>49</v>
      </c>
      <c r="T6" s="1" t="n">
        <f aca="false">COUNTIFS(J$2:J$1500, "&gt;15",I$2:I$1500, "&lt;180")-SUM(T2:T5)</f>
        <v>23</v>
      </c>
      <c r="U6" s="1" t="n">
        <v>60</v>
      </c>
      <c r="V6" s="0" t="n">
        <f aca="false">SUMIFS(C$2:C$1500,C$2:C$1500, "&gt;=0",I$2:I$1500, "&lt;75",I$2:I$1500,"&gt;=60")</f>
        <v>55.2</v>
      </c>
      <c r="W6" s="2" t="s">
        <v>50</v>
      </c>
      <c r="X6" s="0" t="n">
        <f aca="false">SUMIFS(C$2:C$1500,C$2:C$1500, "&gt;=0",J$2:J$1500, "&lt;-15",J$2:J$1500,"&gt;=-30",I$2:I$1500,"&lt;180")</f>
        <v>113.5</v>
      </c>
      <c r="Z6" s="0" t="n">
        <f aca="false">I6-9</f>
        <v>144</v>
      </c>
      <c r="AB6" s="0" t="n">
        <f aca="false">IF(Z6&lt;0,Z6+360,Z6+0)</f>
        <v>144</v>
      </c>
      <c r="AD6" s="1" t="n">
        <v>60</v>
      </c>
      <c r="AE6" s="1" t="n">
        <f aca="false">COUNTIF(AB$2:AB$1500,"&lt;75")-SUM(AE2:AE5)</f>
        <v>8</v>
      </c>
      <c r="AF6" s="1"/>
      <c r="AG6" s="1" t="n">
        <v>60</v>
      </c>
      <c r="AH6" s="0" t="n">
        <f aca="false">SUMIFS(C$2:C$1500,C$2:C$1500, "&gt;=0",AB$2:AB$1500, "&lt;75",AB$2:AB$1500,"&gt;=60")</f>
        <v>22.3</v>
      </c>
      <c r="AJ6" s="1" t="s">
        <v>48</v>
      </c>
      <c r="AK6" s="0" t="n">
        <f aca="false">SUMIF($J$2:$J$2000,"&lt;-15",$C$2:$C$2000)-SUM($AK$2:$AK$5)</f>
        <v>186.1</v>
      </c>
      <c r="AM6" s="1" t="s">
        <v>51</v>
      </c>
      <c r="AN6" s="0" t="n">
        <f aca="false">AE6+AE9+AE18+AE21</f>
        <v>44</v>
      </c>
      <c r="AO6" s="1" t="s">
        <v>51</v>
      </c>
      <c r="AP6" s="0" t="n">
        <f aca="false">R13+R3</f>
        <v>5</v>
      </c>
      <c r="AR6" s="1" t="s">
        <v>51</v>
      </c>
      <c r="AS6" s="0" t="n">
        <f aca="false">AH6+AH9+AH18+AH21</f>
        <v>115</v>
      </c>
      <c r="AU6" s="0" t="n">
        <f aca="false">AK13+AK3</f>
        <v>20.5000000000005</v>
      </c>
    </row>
    <row r="7" customFormat="false" ht="15.8" hidden="false" customHeight="false" outlineLevel="0" collapsed="false">
      <c r="A7" s="1" t="n">
        <v>1</v>
      </c>
      <c r="B7" s="1" t="n">
        <v>4</v>
      </c>
      <c r="C7" s="1" t="n">
        <v>0.7</v>
      </c>
      <c r="D7" s="1" t="n">
        <v>1.2404</v>
      </c>
      <c r="E7" s="1" t="n">
        <v>0.0244498</v>
      </c>
      <c r="F7" s="1" t="n">
        <v>6.67121E-005</v>
      </c>
      <c r="G7" s="1" t="s">
        <v>27</v>
      </c>
      <c r="H7" s="1" t="n">
        <v>87.9</v>
      </c>
      <c r="I7" s="1" t="n">
        <v>293.4</v>
      </c>
      <c r="J7" s="1" t="n">
        <v>-40.1</v>
      </c>
      <c r="K7" s="1"/>
      <c r="L7" s="1" t="n">
        <v>0</v>
      </c>
      <c r="M7" s="1" t="n">
        <v>0</v>
      </c>
      <c r="N7" s="1" t="s">
        <v>52</v>
      </c>
      <c r="O7" s="1" t="n">
        <v>75</v>
      </c>
      <c r="P7" s="1" t="n">
        <f aca="false">COUNTIF(I$2:I$1500,"&lt;90")-SUM(P2:P6)</f>
        <v>9</v>
      </c>
      <c r="Q7" s="1" t="s">
        <v>53</v>
      </c>
      <c r="R7" s="1" t="n">
        <f aca="false">COUNTIF(J$2:J$1500,"&lt;0")-SUM(R2:R6)</f>
        <v>31</v>
      </c>
      <c r="S7" s="2" t="s">
        <v>54</v>
      </c>
      <c r="T7" s="1" t="n">
        <f aca="false">COUNTIFS(J$2:J$1500, "&gt;0",I$2:I$1500, "&lt;180")-SUM(T2:T6)</f>
        <v>21</v>
      </c>
      <c r="U7" s="1" t="n">
        <v>75</v>
      </c>
      <c r="V7" s="0" t="n">
        <f aca="false">SUMIFS(C$2:C$1500,C$2:C$1500, "&gt;=0",I$2:I$1500, "&lt;90",I$2:I$1500,"&gt;=75")</f>
        <v>22.3</v>
      </c>
      <c r="W7" s="2" t="s">
        <v>55</v>
      </c>
      <c r="X7" s="0" t="n">
        <f aca="false">SUMIFS(C$2:C$1500,C$2:C$1500, "&gt;=0",J$2:J$1500, "&lt;0",J$2:J$1500,"&gt;=-15",I$2:I$1500,"&lt;180")</f>
        <v>120.5</v>
      </c>
      <c r="Z7" s="0" t="n">
        <f aca="false">I7-9</f>
        <v>284.4</v>
      </c>
      <c r="AB7" s="0" t="n">
        <f aca="false">IF(Z7&lt;0,Z7+360,Z7+0)</f>
        <v>284.4</v>
      </c>
      <c r="AD7" s="1" t="n">
        <v>75</v>
      </c>
      <c r="AE7" s="1" t="n">
        <f aca="false">COUNTIF(AB$2:AB$1500,"&lt;90")-SUM(AE2:AE6)</f>
        <v>15</v>
      </c>
      <c r="AF7" s="1"/>
      <c r="AG7" s="1" t="n">
        <v>75</v>
      </c>
      <c r="AH7" s="0" t="n">
        <f aca="false">SUMIFS(C$2:C$1500,C$2:C$1500, "&gt;=0",AB$2:AB$1500, "&lt;90",AB$2:AB$1500,"&gt;=75")</f>
        <v>51.7</v>
      </c>
      <c r="AJ7" s="1" t="s">
        <v>53</v>
      </c>
      <c r="AK7" s="0" t="n">
        <f aca="false">SUMIF($J$2:$J$2000,"&lt;0",$C$2:$C$2000)-SUM($AK$2:$AK$6)</f>
        <v>194.5</v>
      </c>
      <c r="AM7" s="1" t="s">
        <v>56</v>
      </c>
      <c r="AN7" s="0" t="n">
        <f aca="false">AE7+AE8+AE19+AE20</f>
        <v>48</v>
      </c>
      <c r="AO7" s="1" t="s">
        <v>56</v>
      </c>
      <c r="AP7" s="0" t="n">
        <f aca="false">R14+R2</f>
        <v>2</v>
      </c>
      <c r="AR7" s="1" t="s">
        <v>56</v>
      </c>
      <c r="AS7" s="0" t="n">
        <f aca="false">AH7+AH8+AH19+AH20</f>
        <v>143.6</v>
      </c>
      <c r="AU7" s="0" t="n">
        <f aca="false">AK14+AK2</f>
        <v>4.5</v>
      </c>
    </row>
    <row r="8" customFormat="false" ht="15.8" hidden="false" customHeight="false" outlineLevel="0" collapsed="false">
      <c r="A8" s="1" t="n">
        <v>1</v>
      </c>
      <c r="B8" s="1" t="n">
        <v>5</v>
      </c>
      <c r="C8" s="1" t="n">
        <v>6.2</v>
      </c>
      <c r="D8" s="1" t="n">
        <v>1.827</v>
      </c>
      <c r="E8" s="1" t="n">
        <v>0.211979</v>
      </c>
      <c r="F8" s="1" t="n">
        <v>0.000578392</v>
      </c>
      <c r="G8" s="1" t="s">
        <v>27</v>
      </c>
      <c r="H8" s="1" t="n">
        <v>50.9</v>
      </c>
      <c r="I8" s="1" t="n">
        <v>158.8</v>
      </c>
      <c r="J8" s="1" t="n">
        <v>33.1</v>
      </c>
      <c r="K8" s="1"/>
      <c r="L8" s="1" t="n">
        <v>0</v>
      </c>
      <c r="M8" s="1" t="n">
        <v>0</v>
      </c>
      <c r="N8" s="1" t="s">
        <v>57</v>
      </c>
      <c r="O8" s="1" t="n">
        <v>90</v>
      </c>
      <c r="P8" s="1" t="n">
        <f aca="false">COUNTIF(I$2:I$1500,"&lt;105")-SUM(P2:P7)</f>
        <v>14</v>
      </c>
      <c r="Q8" s="0" t="s">
        <v>58</v>
      </c>
      <c r="R8" s="1" t="n">
        <f aca="false">COUNTIF(J$2:J$1500,"=0")</f>
        <v>58</v>
      </c>
      <c r="S8" s="2" t="s">
        <v>59</v>
      </c>
      <c r="T8" s="1" t="n">
        <f aca="false">COUNTIFS(J$2:J$1500, "&gt;-15",I$2:I$1500, "&lt;180")-SUM(T2:T7)</f>
        <v>45</v>
      </c>
      <c r="U8" s="1" t="n">
        <v>90</v>
      </c>
      <c r="V8" s="0" t="n">
        <f aca="false">SUMIFS(C$2:C$1500,C$2:C$1500, "&gt;=0",I$2:I$1500, "&lt;105",I$2:I$1500,"&gt;=90")</f>
        <v>51.5</v>
      </c>
      <c r="W8" s="2" t="s">
        <v>60</v>
      </c>
      <c r="X8" s="0" t="n">
        <f aca="false">SUMIFS(C$2:C$1500,C$2:C$1500, "&gt;=0",J$2:J$1500, "&lt;15",J$2:J$1500,"&gt;=0",I$2:I$1500,"&lt;180")</f>
        <v>165.1</v>
      </c>
      <c r="Z8" s="0" t="n">
        <f aca="false">I8-9</f>
        <v>149.8</v>
      </c>
      <c r="AB8" s="0" t="n">
        <f aca="false">IF(Z8&lt;0,Z8+360,Z8+0)</f>
        <v>149.8</v>
      </c>
      <c r="AD8" s="1" t="n">
        <v>90</v>
      </c>
      <c r="AE8" s="1" t="n">
        <f aca="false">COUNTIF(AB$2:AB$1500,"&lt;105")-SUM(AE2:AE7)</f>
        <v>12</v>
      </c>
      <c r="AF8" s="1"/>
      <c r="AG8" s="1" t="n">
        <v>90</v>
      </c>
      <c r="AH8" s="0" t="n">
        <f aca="false">SUMIFS(C$2:C$1500,C$2:C$1500, "&gt;=0",AB$2:AB$1500, "&lt;105",AB$2:AB$1500,"&gt;=90")</f>
        <v>41.8</v>
      </c>
      <c r="AJ8" s="0" t="s">
        <v>58</v>
      </c>
      <c r="AK8" s="0" t="n">
        <f aca="false">SUMIF($J$2:$J$2000,"=0",$C$2:$C$2000)</f>
        <v>121.3</v>
      </c>
      <c r="AM8" s="1"/>
      <c r="AR8" s="1"/>
    </row>
    <row r="9" customFormat="false" ht="15.8" hidden="false" customHeight="false" outlineLevel="0" collapsed="false">
      <c r="A9" s="1" t="n">
        <v>1</v>
      </c>
      <c r="B9" s="1" t="n">
        <v>7</v>
      </c>
      <c r="C9" s="1" t="n">
        <v>1.5</v>
      </c>
      <c r="D9" s="1" t="n">
        <v>1.2448</v>
      </c>
      <c r="E9" s="1" t="n">
        <v>0.0507014</v>
      </c>
      <c r="F9" s="1" t="n">
        <v>0.000138341</v>
      </c>
      <c r="G9" s="1" t="s">
        <v>27</v>
      </c>
      <c r="H9" s="1" t="n">
        <v>68.1</v>
      </c>
      <c r="I9" s="1" t="n">
        <v>167.1</v>
      </c>
      <c r="J9" s="1" t="n">
        <v>38.5</v>
      </c>
      <c r="K9" s="1"/>
      <c r="L9" s="1" t="n">
        <v>0</v>
      </c>
      <c r="M9" s="1" t="n">
        <v>0</v>
      </c>
      <c r="N9" s="1" t="s">
        <v>61</v>
      </c>
      <c r="O9" s="1" t="n">
        <v>105</v>
      </c>
      <c r="P9" s="1" t="n">
        <f aca="false">COUNTIF(I$2:I$1500,"&lt;120")-SUM(P2:P8)</f>
        <v>11</v>
      </c>
      <c r="Q9" s="1" t="s">
        <v>62</v>
      </c>
      <c r="R9" s="1" t="n">
        <f aca="false">COUNTIF(J$2:J$1500,"&lt;15")-SUM(R2:R8)</f>
        <v>40</v>
      </c>
      <c r="S9" s="2" t="s">
        <v>63</v>
      </c>
      <c r="T9" s="1" t="n">
        <f aca="false">COUNTIFS(J$2:J$1500, "&gt;-30",I$2:I$1500, "&lt;180")-SUM(T2:T8)</f>
        <v>23</v>
      </c>
      <c r="U9" s="1" t="n">
        <v>105</v>
      </c>
      <c r="V9" s="0" t="n">
        <f aca="false">SUMIFS(C$2:C$1500,C$2:C$1500, "&gt;=0",I$2:I$1500, "&lt;120",I$2:I$1500,"&gt;=105")</f>
        <v>33.1</v>
      </c>
      <c r="W9" s="2" t="s">
        <v>64</v>
      </c>
      <c r="X9" s="0" t="n">
        <f aca="false">SUMIFS(C$2:C$1500,C$2:C$1500, "&gt;=0",J$2:J$1500, "&lt;30",J$2:J$1500,"&gt;=15",I$2:I$1500,"&lt;180")</f>
        <v>78.5</v>
      </c>
      <c r="Z9" s="0" t="n">
        <f aca="false">I9-9</f>
        <v>158.1</v>
      </c>
      <c r="AB9" s="0" t="n">
        <f aca="false">IF(Z9&lt;0,Z9+360,Z9+0)</f>
        <v>158.1</v>
      </c>
      <c r="AD9" s="1" t="n">
        <v>105</v>
      </c>
      <c r="AE9" s="1" t="n">
        <f aca="false">COUNTIF(AB$2:AB$1500,"&lt;120")-SUM(AE2:AE8)</f>
        <v>8</v>
      </c>
      <c r="AF9" s="1"/>
      <c r="AG9" s="1" t="n">
        <v>105</v>
      </c>
      <c r="AH9" s="0" t="n">
        <f aca="false">SUMIFS(C$2:C$1500,C$2:C$1500, "&gt;=0",AB$2:AB$1500, "&lt;120",AB$2:AB$1500,"&gt;=105")</f>
        <v>16.9</v>
      </c>
      <c r="AJ9" s="1" t="s">
        <v>62</v>
      </c>
      <c r="AK9" s="0" t="n">
        <f aca="false">SUMIF($J$2:$J$2000,"&lt;15",$C$2:$C$2000)-SUM($AK$2:$AK$8)</f>
        <v>226.2</v>
      </c>
      <c r="AM9" s="1" t="s">
        <v>65</v>
      </c>
      <c r="AN9" s="0" t="n">
        <f aca="false">SUM(AN2:AN7)</f>
        <v>300</v>
      </c>
      <c r="AO9" s="1" t="s">
        <v>65</v>
      </c>
      <c r="AP9" s="0" t="n">
        <f aca="false">SUM(AP2:AP7)</f>
        <v>300</v>
      </c>
      <c r="AR9" s="1" t="s">
        <v>65</v>
      </c>
      <c r="AS9" s="0" t="n">
        <f aca="false">SUM(AS2:AS7)</f>
        <v>1131.5</v>
      </c>
      <c r="AT9" s="1" t="s">
        <v>65</v>
      </c>
      <c r="AU9" s="0" t="n">
        <f aca="false">SUM(AU2:AU7)</f>
        <v>1131.5</v>
      </c>
    </row>
    <row r="10" customFormat="false" ht="15.8" hidden="false" customHeight="false" outlineLevel="0" collapsed="false">
      <c r="A10" s="1" t="n">
        <v>1</v>
      </c>
      <c r="B10" s="1" t="n">
        <v>7</v>
      </c>
      <c r="C10" s="1" t="n">
        <v>1</v>
      </c>
      <c r="D10" s="1" t="n">
        <v>1.0705</v>
      </c>
      <c r="E10" s="1" t="n">
        <v>0.0334792</v>
      </c>
      <c r="F10" s="1" t="n">
        <v>9.13492E-005</v>
      </c>
      <c r="G10" s="1" t="s">
        <v>27</v>
      </c>
      <c r="H10" s="1" t="n">
        <v>48</v>
      </c>
      <c r="I10" s="1" t="n">
        <v>291</v>
      </c>
      <c r="J10" s="1" t="n">
        <v>0</v>
      </c>
      <c r="K10" s="1"/>
      <c r="L10" s="1" t="n">
        <v>0</v>
      </c>
      <c r="M10" s="1" t="n">
        <v>0</v>
      </c>
      <c r="N10" s="1" t="s">
        <v>61</v>
      </c>
      <c r="O10" s="1" t="n">
        <v>120</v>
      </c>
      <c r="P10" s="1" t="n">
        <f aca="false">COUNTIF(I$2:I$1500,"&lt;135")-SUM(P2:P9)</f>
        <v>11</v>
      </c>
      <c r="Q10" s="1" t="s">
        <v>66</v>
      </c>
      <c r="R10" s="1" t="n">
        <f aca="false">COUNTIF(J$2:J$1500,"&lt;30")-SUM(R2:R9)</f>
        <v>45</v>
      </c>
      <c r="S10" s="2" t="s">
        <v>67</v>
      </c>
      <c r="T10" s="1" t="n">
        <f aca="false">COUNTIFS(J$2:J$1500, "&gt;-45",I$2:I$1500, "&lt;180")-SUM(T2:T9)</f>
        <v>13</v>
      </c>
      <c r="U10" s="1" t="n">
        <v>120</v>
      </c>
      <c r="V10" s="0" t="n">
        <f aca="false">SUMIFS(C$2:C$1500,C$2:C$1500, "&gt;=0",I$2:I$1500, "&lt;135",I$2:I$1500,"&gt;=120")</f>
        <v>36.4</v>
      </c>
      <c r="W10" s="2" t="s">
        <v>68</v>
      </c>
      <c r="X10" s="0" t="n">
        <f aca="false">SUMIFS(C$2:C$1500,C$2:C$1500, "&gt;=0",J$2:J$1500, "&lt;45",J$2:J$1500,"&gt;=30",I$2:I$1500,"&lt;180")</f>
        <v>49.5</v>
      </c>
      <c r="Z10" s="0" t="n">
        <f aca="false">I10-9</f>
        <v>282</v>
      </c>
      <c r="AB10" s="0" t="n">
        <f aca="false">IF(Z10&lt;0,Z10+360,Z10+0)</f>
        <v>282</v>
      </c>
      <c r="AD10" s="1" t="n">
        <v>120</v>
      </c>
      <c r="AE10" s="1" t="n">
        <f aca="false">COUNTIF(AB$2:AB$1500,"&lt;135")-SUM(AE2:AE9)</f>
        <v>8</v>
      </c>
      <c r="AF10" s="1"/>
      <c r="AG10" s="1" t="n">
        <v>120</v>
      </c>
      <c r="AH10" s="0" t="n">
        <f aca="false">SUMIFS(C$2:C$1500,C$2:C$1500, "&gt;=0",AB$2:AB$1500, "&lt;135",AB$2:AB$1500,"&gt;=120")</f>
        <v>28.4</v>
      </c>
      <c r="AJ10" s="1" t="s">
        <v>66</v>
      </c>
      <c r="AK10" s="0" t="n">
        <f aca="false">SUMIF($J$2:$J$2000,"&lt;30",$C$2:$C$2000)-SUM($AK$2:$AK$9)</f>
        <v>158</v>
      </c>
      <c r="AM10" s="1"/>
      <c r="AR10" s="1"/>
    </row>
    <row r="11" customFormat="false" ht="15.8" hidden="false" customHeight="false" outlineLevel="0" collapsed="false">
      <c r="A11" s="1" t="n">
        <v>1</v>
      </c>
      <c r="B11" s="1" t="n">
        <v>6</v>
      </c>
      <c r="C11" s="1" t="n">
        <v>2.5</v>
      </c>
      <c r="D11" s="1" t="n">
        <v>1.2497</v>
      </c>
      <c r="E11" s="1" t="n">
        <v>0.0843432</v>
      </c>
      <c r="F11" s="1" t="n">
        <v>0.000230133</v>
      </c>
      <c r="G11" s="1" t="s">
        <v>37</v>
      </c>
      <c r="H11" s="1" t="n">
        <v>39</v>
      </c>
      <c r="I11" s="1" t="n">
        <v>255.2</v>
      </c>
      <c r="J11" s="1" t="n">
        <v>34.3</v>
      </c>
      <c r="K11" s="1" t="n">
        <v>68.1</v>
      </c>
      <c r="L11" s="1" t="n">
        <v>0</v>
      </c>
      <c r="M11" s="1" t="n">
        <v>0</v>
      </c>
      <c r="N11" s="1" t="s">
        <v>69</v>
      </c>
      <c r="O11" s="1" t="n">
        <v>135</v>
      </c>
      <c r="P11" s="1" t="n">
        <f aca="false">COUNTIF(I$2:I$1500,"&lt;150")-SUM(P2:P10)</f>
        <v>5</v>
      </c>
      <c r="Q11" s="1" t="s">
        <v>70</v>
      </c>
      <c r="R11" s="1" t="n">
        <f aca="false">COUNTIF(J$2:J$1500,"&lt;45")-SUM(R2:R10)</f>
        <v>29</v>
      </c>
      <c r="S11" s="2" t="s">
        <v>71</v>
      </c>
      <c r="T11" s="1" t="n">
        <f aca="false">COUNTIFS(J$2:J$1500, "&gt;-60",I$2:I$1500, "&lt;180")-SUM(T2:T10)</f>
        <v>4</v>
      </c>
      <c r="U11" s="1" t="n">
        <v>135</v>
      </c>
      <c r="V11" s="0" t="n">
        <f aca="false">SUMIFS(C$2:C$1500,C$2:C$1500, "&gt;=0",I$2:I$1500, "&lt;150",I$2:I$1500,"&gt;=135")</f>
        <v>10.8</v>
      </c>
      <c r="W11" s="2" t="s">
        <v>72</v>
      </c>
      <c r="X11" s="0" t="n">
        <f aca="false">SUMIFS(C$2:C$1500,C$2:C$1500, "&gt;=0",J$2:J$1500, "&lt;60",J$2:J$1500,"&gt;=45",I$2:I$1500,"&lt;180")</f>
        <v>24</v>
      </c>
      <c r="Z11" s="0" t="n">
        <f aca="false">I11-9</f>
        <v>246.2</v>
      </c>
      <c r="AB11" s="0" t="n">
        <f aca="false">IF(Z11&lt;0,Z11+360,Z11+0)</f>
        <v>246.2</v>
      </c>
      <c r="AD11" s="1" t="n">
        <v>135</v>
      </c>
      <c r="AE11" s="1" t="n">
        <f aca="false">COUNTIF(AB$2:AB$1500,"&lt;150")-SUM(AE2:AE10)</f>
        <v>18</v>
      </c>
      <c r="AF11" s="1"/>
      <c r="AG11" s="1" t="n">
        <v>135</v>
      </c>
      <c r="AH11" s="0" t="n">
        <f aca="false">SUMIFS(C$2:C$1500,C$2:C$1500, "&gt;=0",AB$2:AB$1500, "&lt;150",AB$2:AB$1500,"&gt;=135")</f>
        <v>57.3</v>
      </c>
      <c r="AJ11" s="1" t="s">
        <v>70</v>
      </c>
      <c r="AK11" s="0" t="n">
        <f aca="false">SUMIF($J$2:$J$2000,"&lt;45",$C$2:$C$2000)-SUM($AK$2:$AK$10)</f>
        <v>88.4</v>
      </c>
    </row>
    <row r="12" customFormat="false" ht="15.8" hidden="false" customHeight="false" outlineLevel="0" collapsed="false">
      <c r="A12" s="1" t="n">
        <v>1</v>
      </c>
      <c r="B12" s="1" t="n">
        <v>6</v>
      </c>
      <c r="C12" s="1" t="n">
        <v>2.7</v>
      </c>
      <c r="D12" s="1" t="n">
        <v>1.6192</v>
      </c>
      <c r="E12" s="1" t="n">
        <v>0.0925925</v>
      </c>
      <c r="F12" s="1" t="n">
        <v>0.000252642</v>
      </c>
      <c r="G12" s="1" t="s">
        <v>27</v>
      </c>
      <c r="H12" s="1" t="n">
        <v>48.1</v>
      </c>
      <c r="I12" s="1" t="n">
        <v>189.7</v>
      </c>
      <c r="J12" s="1" t="n">
        <v>-26.3</v>
      </c>
      <c r="K12" s="1"/>
      <c r="L12" s="1" t="n">
        <v>0</v>
      </c>
      <c r="M12" s="1" t="n">
        <v>0</v>
      </c>
      <c r="N12" s="1" t="s">
        <v>69</v>
      </c>
      <c r="O12" s="1" t="n">
        <v>150</v>
      </c>
      <c r="P12" s="1" t="n">
        <f aca="false">COUNTIF(I$2:I$1500,"&lt;165")-SUM(P2:P11)</f>
        <v>15</v>
      </c>
      <c r="Q12" s="1" t="s">
        <v>73</v>
      </c>
      <c r="R12" s="1" t="n">
        <f aca="false">COUNTIF(J$2:J$1500,"&lt;60")-SUM(R2:R11)</f>
        <v>13</v>
      </c>
      <c r="S12" s="2" t="s">
        <v>74</v>
      </c>
      <c r="T12" s="1" t="n">
        <f aca="false">COUNTIFS(J$2:J$1500, "&gt;-75",I$2:I$1500, "&lt;180")-SUM(T2:T11)</f>
        <v>0</v>
      </c>
      <c r="U12" s="1" t="n">
        <v>150</v>
      </c>
      <c r="V12" s="0" t="n">
        <f aca="false">SUMIFS(C$2:C$1500,C$2:C$1500, "&gt;=0",I$2:I$1500, "&lt;165",I$2:I$1500,"&gt;=150")</f>
        <v>54.5</v>
      </c>
      <c r="W12" s="2" t="s">
        <v>75</v>
      </c>
      <c r="X12" s="0" t="n">
        <f aca="false">SUMIFS(C$2:C$1500,C$2:C$1500, "&gt;=0",J$2:J$1500, "&lt;75",J$2:J$1500,"&gt;=60",I$2:I$1500,"&lt;180")</f>
        <v>6.9</v>
      </c>
      <c r="Z12" s="0" t="n">
        <f aca="false">I12-9</f>
        <v>180.7</v>
      </c>
      <c r="AB12" s="0" t="n">
        <f aca="false">IF(Z12&lt;0,Z12+360,Z12+0)</f>
        <v>180.7</v>
      </c>
      <c r="AD12" s="1" t="n">
        <v>150</v>
      </c>
      <c r="AE12" s="1" t="n">
        <f aca="false">COUNTIF(AB$2:AB$1500,"&lt;165")-SUM(AE2:AE11)</f>
        <v>13</v>
      </c>
      <c r="AF12" s="1"/>
      <c r="AG12" s="1" t="n">
        <v>150</v>
      </c>
      <c r="AH12" s="0" t="n">
        <f aca="false">SUMIFS(C$2:C$1500,C$2:C$1500, "&gt;=0",AB$2:AB$1500, "&lt;165",AB$2:AB$1500,"&gt;=150")</f>
        <v>40</v>
      </c>
      <c r="AJ12" s="1" t="s">
        <v>73</v>
      </c>
      <c r="AK12" s="0" t="n">
        <f aca="false">SUMIF($J$2:$J$2000,"&lt;60",$C$2:$C$2000)-SUM($AK$2:$AK$11)</f>
        <v>27.4999999999998</v>
      </c>
    </row>
    <row r="13" customFormat="false" ht="15.8" hidden="false" customHeight="false" outlineLevel="0" collapsed="false">
      <c r="A13" s="1" t="n">
        <v>1</v>
      </c>
      <c r="B13" s="1" t="n">
        <v>5</v>
      </c>
      <c r="C13" s="1" t="n">
        <v>2.4</v>
      </c>
      <c r="D13" s="1" t="n">
        <v>1.2063</v>
      </c>
      <c r="E13" s="1" t="n">
        <v>0.0817453</v>
      </c>
      <c r="F13" s="1" t="n">
        <v>0.000223045</v>
      </c>
      <c r="G13" s="1" t="s">
        <v>37</v>
      </c>
      <c r="H13" s="1" t="n">
        <v>23.7</v>
      </c>
      <c r="I13" s="1" t="n">
        <v>221.1</v>
      </c>
      <c r="J13" s="1" t="n">
        <v>10.8</v>
      </c>
      <c r="K13" s="1" t="n">
        <v>48.1</v>
      </c>
      <c r="L13" s="1" t="n">
        <v>0</v>
      </c>
      <c r="M13" s="1" t="n">
        <v>0</v>
      </c>
      <c r="N13" s="1" t="s">
        <v>57</v>
      </c>
      <c r="O13" s="1" t="n">
        <v>165</v>
      </c>
      <c r="P13" s="1" t="n">
        <f aca="false">COUNTIF(I$2:I$1500,"&lt;180")-SUM(P2:P12)</f>
        <v>20</v>
      </c>
      <c r="Q13" s="1" t="s">
        <v>76</v>
      </c>
      <c r="R13" s="1" t="n">
        <f aca="false">COUNTIF(J$2:J$1500,"&lt;75")-SUM(R2:R12)</f>
        <v>4</v>
      </c>
      <c r="S13" s="2" t="s">
        <v>77</v>
      </c>
      <c r="T13" s="1" t="n">
        <f aca="false">COUNTIFS(J$2:J$1500, "&gt;-90",I$2:I$1500, "&lt;180")-SUM(T2:T12)</f>
        <v>1</v>
      </c>
      <c r="U13" s="1" t="n">
        <v>165</v>
      </c>
      <c r="V13" s="0" t="n">
        <f aca="false">SUMIFS(C$2:C$1500,C$2:C$1500, "&gt;=0",I$2:I$1500, "&lt;180",I$2:I$1500,"&gt;=165")</f>
        <v>57</v>
      </c>
      <c r="W13" s="2" t="s">
        <v>78</v>
      </c>
      <c r="X13" s="0" t="n">
        <f aca="false">SUMIFS(C$2:C$1500,C$2:C$1500, "&gt;=0",J$2:J$1500, "&lt;90",J$2:J$1500,"&gt;=75",I$2:I$1500,"&lt;180")</f>
        <v>0</v>
      </c>
      <c r="Z13" s="0" t="n">
        <f aca="false">I13-9</f>
        <v>212.1</v>
      </c>
      <c r="AB13" s="0" t="n">
        <f aca="false">IF(Z13&lt;0,Z13+360,Z13+0)</f>
        <v>212.1</v>
      </c>
      <c r="AD13" s="1" t="n">
        <v>165</v>
      </c>
      <c r="AE13" s="1" t="n">
        <f aca="false">COUNTIF(AB$2:AB$1500,"&lt;180")-SUM(AE2:AE12)</f>
        <v>21</v>
      </c>
      <c r="AF13" s="1"/>
      <c r="AG13" s="1" t="n">
        <v>165</v>
      </c>
      <c r="AH13" s="0" t="n">
        <f aca="false">SUMIFS(C$2:C$1500,C$2:C$1500, "&gt;=0",AB$2:AB$1500, "&lt;180",AB$2:AB$1500,"&gt;=165")</f>
        <v>97.6</v>
      </c>
      <c r="AJ13" s="1" t="s">
        <v>76</v>
      </c>
      <c r="AK13" s="0" t="n">
        <f aca="false">SUMIF($J$2:$J$2000,"&lt;75",$C$2:$C$2000)-SUM($AK$2:$AK$12)</f>
        <v>18.7000000000005</v>
      </c>
    </row>
    <row r="14" customFormat="false" ht="15.8" hidden="false" customHeight="false" outlineLevel="0" collapsed="false">
      <c r="A14" s="1" t="n">
        <v>1</v>
      </c>
      <c r="B14" s="1" t="n">
        <v>4</v>
      </c>
      <c r="C14" s="1" t="n">
        <v>1.2</v>
      </c>
      <c r="D14" s="1" t="n">
        <v>1.7647</v>
      </c>
      <c r="E14" s="1" t="n">
        <v>0.0407382</v>
      </c>
      <c r="F14" s="1" t="n">
        <v>0.000111155</v>
      </c>
      <c r="G14" s="1" t="s">
        <v>37</v>
      </c>
      <c r="H14" s="1" t="n">
        <v>25.8</v>
      </c>
      <c r="I14" s="1" t="n">
        <v>199.9</v>
      </c>
      <c r="J14" s="1" t="n">
        <v>0</v>
      </c>
      <c r="K14" s="1" t="n">
        <v>50.9</v>
      </c>
      <c r="L14" s="1" t="n">
        <v>0</v>
      </c>
      <c r="M14" s="1" t="n">
        <v>0</v>
      </c>
      <c r="N14" s="1" t="s">
        <v>52</v>
      </c>
      <c r="O14" s="1" t="n">
        <v>180</v>
      </c>
      <c r="P14" s="1" t="n">
        <f aca="false">COUNTIF(I$2:I$1500,"&lt;195")-SUM(P2:P13)</f>
        <v>22</v>
      </c>
      <c r="Q14" s="1" t="s">
        <v>79</v>
      </c>
      <c r="R14" s="1" t="n">
        <f aca="false">COUNTIF(J$2:J$1500,"&lt;=90")-SUM(R2:R13)</f>
        <v>0</v>
      </c>
      <c r="S14" s="2" t="s">
        <v>80</v>
      </c>
      <c r="T14" s="1" t="n">
        <f aca="false">COUNTIFS(J$2:J$1500, "&gt;-90",I$2:I$1500, "&gt;=180")-SUM(T15:T25)</f>
        <v>1</v>
      </c>
      <c r="U14" s="1" t="n">
        <v>180</v>
      </c>
      <c r="V14" s="0" t="n">
        <f aca="false">SUMIFS(C$2:C$1500,C$2:C$1500, "&gt;=0",I$2:I$1500, "&lt;195",I$2:I$1500,"&gt;=180")</f>
        <v>125.4</v>
      </c>
      <c r="W14" s="2" t="s">
        <v>81</v>
      </c>
      <c r="X14" s="0" t="n">
        <f aca="false">SUMIFS(C$2:C$1500,C$2:C$1500, "&gt;=0",J$2:J$1500, "&lt;90",J$2:J$1500,"&gt;=75",I$2:I$1500,"&gt;=180")</f>
        <v>0</v>
      </c>
      <c r="Z14" s="0" t="n">
        <f aca="false">I14-9</f>
        <v>190.9</v>
      </c>
      <c r="AB14" s="0" t="n">
        <f aca="false">IF(Z14&lt;0,Z14+360,Z14+0)</f>
        <v>190.9</v>
      </c>
      <c r="AD14" s="1" t="n">
        <v>180</v>
      </c>
      <c r="AE14" s="1" t="n">
        <f aca="false">COUNTIF(AB$2:AB$1500,"&lt;195")-SUM(AE2:AE13)</f>
        <v>14</v>
      </c>
      <c r="AF14" s="1"/>
      <c r="AG14" s="1" t="n">
        <v>180</v>
      </c>
      <c r="AH14" s="0" t="n">
        <f aca="false">SUMIFS(C$2:C$1500,C$2:C$1500, "&gt;=0",AB$2:AB$1500, "&lt;195",AB$2:AB$1500,"&gt;=180")</f>
        <v>61.5</v>
      </c>
      <c r="AJ14" s="1" t="s">
        <v>79</v>
      </c>
      <c r="AK14" s="0" t="n">
        <f aca="false">SUMIF($J$2:$J$2000,"&lt;90",$C$2:$C$2000)-SUM($AK$2:$AK$13)</f>
        <v>0</v>
      </c>
    </row>
    <row r="15" customFormat="false" ht="15.8" hidden="false" customHeight="false" outlineLevel="0" collapsed="false">
      <c r="A15" s="1" t="n">
        <v>1</v>
      </c>
      <c r="B15" s="1" t="n">
        <v>3</v>
      </c>
      <c r="C15" s="1" t="n">
        <v>3</v>
      </c>
      <c r="D15" s="1" t="n">
        <v>1.1222</v>
      </c>
      <c r="E15" s="1" t="n">
        <v>0.10265</v>
      </c>
      <c r="F15" s="1" t="n">
        <v>0.000280083</v>
      </c>
      <c r="G15" s="1" t="s">
        <v>37</v>
      </c>
      <c r="H15" s="1" t="n">
        <v>36</v>
      </c>
      <c r="I15" s="1" t="n">
        <v>220.3</v>
      </c>
      <c r="J15" s="1" t="n">
        <v>16.1</v>
      </c>
      <c r="K15" s="1" t="n">
        <v>87.9</v>
      </c>
      <c r="L15" s="1" t="n">
        <v>0</v>
      </c>
      <c r="M15" s="1" t="n">
        <v>0</v>
      </c>
      <c r="N15" s="1" t="s">
        <v>47</v>
      </c>
      <c r="O15" s="1" t="n">
        <v>195</v>
      </c>
      <c r="P15" s="1" t="n">
        <f aca="false">COUNTIF(I$2:I$1500,"&lt;210")-SUM(P2:P14)</f>
        <v>12</v>
      </c>
      <c r="R15" s="1"/>
      <c r="S15" s="2" t="s">
        <v>82</v>
      </c>
      <c r="T15" s="1" t="n">
        <f aca="false">COUNTIFS(J$2:J$1500, "&gt;-75",I$2:I$1500, "&gt;=180")-SUM(T16:T25)</f>
        <v>1</v>
      </c>
      <c r="U15" s="1" t="n">
        <v>195</v>
      </c>
      <c r="V15" s="0" t="n">
        <f aca="false">SUMIFS(C$2:C$1500,C$2:C$1500, "&gt;=0",I$2:I$1500, "&lt;210",I$2:I$1500,"&gt;=195")</f>
        <v>37.2</v>
      </c>
      <c r="W15" s="2" t="s">
        <v>83</v>
      </c>
      <c r="X15" s="0" t="n">
        <f aca="false">SUMIFS(C$2:C$1500,C$2:C$1500, "&gt;=0",J$2:J$1500, "&lt;75",J$2:J$1500,"&gt;=60",I$2:I$1500,"&gt;=180")</f>
        <v>11.8</v>
      </c>
      <c r="Z15" s="0" t="n">
        <f aca="false">I15-9</f>
        <v>211.3</v>
      </c>
      <c r="AB15" s="0" t="n">
        <f aca="false">IF(Z15&lt;0,Z15+360,Z15+0)</f>
        <v>211.3</v>
      </c>
      <c r="AD15" s="1" t="n">
        <v>195</v>
      </c>
      <c r="AE15" s="1" t="n">
        <f aca="false">COUNTIF(AB$2:AB$1500,"&lt;210")-SUM(AE2:AE14)</f>
        <v>9</v>
      </c>
      <c r="AF15" s="1"/>
      <c r="AG15" s="1" t="n">
        <v>195</v>
      </c>
      <c r="AH15" s="0" t="n">
        <f aca="false">SUMIFS(C$2:C$1500,C$2:C$1500, "&gt;=0",AB$2:AB$1500, "&lt;210",AB$2:AB$1500,"&gt;=195")</f>
        <v>44.2</v>
      </c>
    </row>
    <row r="16" customFormat="false" ht="15.8" hidden="false" customHeight="false" outlineLevel="0" collapsed="false">
      <c r="A16" s="1" t="n">
        <v>1</v>
      </c>
      <c r="B16" s="1" t="n">
        <v>2</v>
      </c>
      <c r="C16" s="1" t="n">
        <v>3.8</v>
      </c>
      <c r="D16" s="1" t="n">
        <v>1.2761</v>
      </c>
      <c r="E16" s="1" t="n">
        <v>0.131856</v>
      </c>
      <c r="F16" s="1" t="n">
        <v>0.000359774</v>
      </c>
      <c r="G16" s="1" t="s">
        <v>37</v>
      </c>
      <c r="H16" s="1" t="n">
        <v>69.3</v>
      </c>
      <c r="I16" s="1" t="n">
        <v>183.8</v>
      </c>
      <c r="J16" s="1" t="n">
        <v>29.4</v>
      </c>
      <c r="K16" s="1" t="n">
        <v>41.6</v>
      </c>
      <c r="L16" s="1" t="n">
        <v>0</v>
      </c>
      <c r="M16" s="1" t="n">
        <v>0</v>
      </c>
      <c r="N16" s="1" t="s">
        <v>38</v>
      </c>
      <c r="O16" s="1" t="n">
        <v>210</v>
      </c>
      <c r="P16" s="1" t="n">
        <f aca="false">COUNTIF(I$2:I$1500,"&lt;225")-SUM(P2:P15)</f>
        <v>7</v>
      </c>
      <c r="S16" s="2" t="s">
        <v>84</v>
      </c>
      <c r="T16" s="1" t="n">
        <f aca="false">COUNTIFS(J$2:J$1500, "&gt;-60",I$2:I$1500, "&gt;=180")-SUM(T17:T25)</f>
        <v>5</v>
      </c>
      <c r="U16" s="1" t="n">
        <v>210</v>
      </c>
      <c r="V16" s="0" t="n">
        <f aca="false">SUMIFS(C$2:C$1500,C$2:C$1500, "&gt;=0",I$2:I$1500, "&lt;225",I$2:I$1500,"&gt;=210")</f>
        <v>30.7</v>
      </c>
      <c r="W16" s="2" t="s">
        <v>85</v>
      </c>
      <c r="X16" s="0" t="n">
        <f aca="false">SUMIFS(C$2:C$1500,C$2:C$1500, "&gt;=0",J$2:J$1500, "&lt;60",J$2:J$1500,"&gt;=45",I$2:I$1500,"&gt;=180")</f>
        <v>3.5</v>
      </c>
      <c r="Z16" s="0" t="n">
        <f aca="false">I16-9</f>
        <v>174.8</v>
      </c>
      <c r="AB16" s="0" t="n">
        <f aca="false">IF(Z16&lt;0,Z16+360,Z16+0)</f>
        <v>174.8</v>
      </c>
      <c r="AD16" s="1" t="n">
        <v>210</v>
      </c>
      <c r="AE16" s="1" t="n">
        <f aca="false">COUNTIF(AB$2:AB$1500,"&lt;225")-SUM(AE2:AE15)</f>
        <v>9</v>
      </c>
      <c r="AF16" s="1"/>
      <c r="AG16" s="1" t="n">
        <v>210</v>
      </c>
      <c r="AH16" s="0" t="n">
        <f aca="false">SUMIFS(C$2:C$1500,C$2:C$1500, "&gt;=0",AB$2:AB$1500, "&lt;225",AB$2:AB$1500,"&gt;=210")</f>
        <v>31.3</v>
      </c>
    </row>
    <row r="17" customFormat="false" ht="15.8" hidden="false" customHeight="false" outlineLevel="0" collapsed="false">
      <c r="A17" s="1" t="n">
        <v>1</v>
      </c>
      <c r="B17" s="1" t="n">
        <v>1</v>
      </c>
      <c r="C17" s="1" t="n">
        <v>2.7</v>
      </c>
      <c r="D17" s="1" t="n">
        <v>1.1129</v>
      </c>
      <c r="E17" s="1" t="n">
        <v>0.0938142</v>
      </c>
      <c r="F17" s="1" t="n">
        <v>0.000255975</v>
      </c>
      <c r="G17" s="1" t="s">
        <v>37</v>
      </c>
      <c r="H17" s="1"/>
      <c r="I17" s="1" t="n">
        <v>254.9</v>
      </c>
      <c r="J17" s="1" t="n">
        <v>8.7</v>
      </c>
      <c r="K17" s="1" t="n">
        <v>143.8</v>
      </c>
      <c r="L17" s="1" t="n">
        <v>0</v>
      </c>
      <c r="M17" s="1" t="n">
        <v>0</v>
      </c>
      <c r="N17" s="1" t="s">
        <v>86</v>
      </c>
      <c r="O17" s="1" t="n">
        <v>225</v>
      </c>
      <c r="P17" s="1" t="n">
        <f aca="false">COUNTIF(I$2:I$1500,"&lt;240")-SUM(P2:P16)</f>
        <v>12</v>
      </c>
      <c r="S17" s="2" t="s">
        <v>87</v>
      </c>
      <c r="T17" s="1" t="n">
        <f aca="false">COUNTIFS(J$2:J$1500, "&gt;-45",I$2:I$1500, "&gt;=180")-SUM(T18:T25)</f>
        <v>10</v>
      </c>
      <c r="U17" s="1" t="n">
        <v>225</v>
      </c>
      <c r="V17" s="0" t="n">
        <f aca="false">SUMIFS(C$2:C$1500,C$2:C$1500, "&gt;=0",I$2:I$1500, "&lt;240",I$2:I$1500,"&gt;=225")</f>
        <v>41.9</v>
      </c>
      <c r="W17" s="2" t="s">
        <v>88</v>
      </c>
      <c r="X17" s="0" t="n">
        <f aca="false">SUMIFS(C$2:C$1500,C$2:C$1500, "&gt;=0",J$2:J$1500, "&lt;45",J$2:J$1500,"&gt;=30",I$2:I$1500,"&gt;=180")</f>
        <v>38.9</v>
      </c>
      <c r="Z17" s="0" t="n">
        <f aca="false">I17-9</f>
        <v>245.9</v>
      </c>
      <c r="AB17" s="0" t="n">
        <f aca="false">IF(Z17&lt;0,Z17+360,Z17+0)</f>
        <v>245.9</v>
      </c>
      <c r="AD17" s="1" t="n">
        <v>225</v>
      </c>
      <c r="AE17" s="1" t="n">
        <f aca="false">COUNTIF(AB$11:AB$1500,"&lt;240")-SUM(AE2:AE16)</f>
        <v>8</v>
      </c>
      <c r="AF17" s="1"/>
      <c r="AG17" s="1" t="n">
        <v>225</v>
      </c>
      <c r="AH17" s="0" t="n">
        <f aca="false">SUMIFS(C$2:C$1500,C$2:C$1500, "&gt;=0",AB$2:AB$1500, "&lt;240",AB$2:AB$1500,"&gt;=225")</f>
        <v>55.4</v>
      </c>
    </row>
    <row r="18" customFormat="false" ht="15.8" hidden="false" customHeight="false" outlineLevel="0" collapsed="false">
      <c r="A18" s="1" t="n">
        <v>2</v>
      </c>
      <c r="B18" s="1" t="n">
        <v>1</v>
      </c>
      <c r="C18" s="1" t="n">
        <v>2.9</v>
      </c>
      <c r="D18" s="1" t="n">
        <v>1.0991</v>
      </c>
      <c r="E18" s="1" t="n">
        <v>0.100565</v>
      </c>
      <c r="F18" s="1" t="n">
        <v>0.000274396</v>
      </c>
      <c r="G18" s="1" t="s">
        <v>27</v>
      </c>
      <c r="H18" s="1"/>
      <c r="I18" s="1" t="n">
        <v>298.9</v>
      </c>
      <c r="J18" s="1" t="n">
        <v>8</v>
      </c>
      <c r="K18" s="1"/>
      <c r="L18" s="1" t="n">
        <v>0</v>
      </c>
      <c r="M18" s="1" t="n">
        <v>0</v>
      </c>
      <c r="N18" s="1" t="s">
        <v>89</v>
      </c>
      <c r="O18" s="1" t="n">
        <v>240</v>
      </c>
      <c r="P18" s="1" t="n">
        <f aca="false">COUNTIF(I$2:I$1500,"&lt;255")-SUM(P2:P17)</f>
        <v>12</v>
      </c>
      <c r="S18" s="2" t="s">
        <v>90</v>
      </c>
      <c r="T18" s="1" t="n">
        <f aca="false">COUNTIFS(J$2:J$1500, "&gt;-30",I$2:I$1500, "&gt;=180")-SUM(T19:T25)</f>
        <v>22</v>
      </c>
      <c r="U18" s="1" t="n">
        <v>240</v>
      </c>
      <c r="V18" s="0" t="n">
        <f aca="false">SUMIFS(C$2:C$1500,C$2:C$1500, "&gt;=0",I$2:I$1500, "&lt;255",I$2:I$1500,"&gt;=240")</f>
        <v>52.1</v>
      </c>
      <c r="W18" s="2" t="s">
        <v>91</v>
      </c>
      <c r="X18" s="0" t="n">
        <f aca="false">SUMIFS(C$2:C$1500,C$2:C$1500, "&gt;=0",J$2:J$1500, "&lt;30",J$2:J$1500,"&gt;=15",I$2:I$1500,"&gt;=180")</f>
        <v>79.5</v>
      </c>
      <c r="Z18" s="0" t="n">
        <f aca="false">I18-9</f>
        <v>289.9</v>
      </c>
      <c r="AB18" s="0" t="n">
        <f aca="false">IF(Z18&lt;0,Z18+360,Z18+0)</f>
        <v>289.9</v>
      </c>
      <c r="AD18" s="1" t="n">
        <v>240</v>
      </c>
      <c r="AE18" s="1" t="n">
        <f aca="false">COUNTIF(AB$2:AB$1500,"&lt;255")-SUM(AE2:AE17)</f>
        <v>20</v>
      </c>
      <c r="AF18" s="1"/>
      <c r="AG18" s="1" t="n">
        <v>240</v>
      </c>
      <c r="AH18" s="0" t="n">
        <f aca="false">SUMIFS(C$2:C$1500,C$2:C$1500, "&gt;=0",AB$2:AB$1500, "&lt;255",AB$2:AB$1500,"&gt;=240")</f>
        <v>56.9</v>
      </c>
    </row>
    <row r="19" customFormat="false" ht="15.8" hidden="false" customHeight="false" outlineLevel="0" collapsed="false">
      <c r="A19" s="1" t="n">
        <v>3</v>
      </c>
      <c r="B19" s="1" t="n">
        <v>3</v>
      </c>
      <c r="C19" s="1" t="n">
        <v>0.5</v>
      </c>
      <c r="D19" s="1" t="n">
        <v>1.0097</v>
      </c>
      <c r="E19" s="1" t="n">
        <v>0.017614</v>
      </c>
      <c r="F19" s="1" t="n">
        <v>4.80605E-005</v>
      </c>
      <c r="G19" s="1" t="s">
        <v>27</v>
      </c>
      <c r="H19" s="1" t="n">
        <v>99.5</v>
      </c>
      <c r="I19" s="1" t="n">
        <v>292.7</v>
      </c>
      <c r="J19" s="1" t="n">
        <v>0</v>
      </c>
      <c r="K19" s="1"/>
      <c r="L19" s="1" t="n">
        <v>0</v>
      </c>
      <c r="M19" s="1" t="n">
        <v>0</v>
      </c>
      <c r="N19" s="1" t="s">
        <v>92</v>
      </c>
      <c r="O19" s="1" t="n">
        <v>255</v>
      </c>
      <c r="P19" s="1" t="n">
        <f aca="false">COUNTIF(I$2:I$1500,"&lt;270")-SUM(P2:P18)</f>
        <v>13</v>
      </c>
      <c r="S19" s="2" t="s">
        <v>93</v>
      </c>
      <c r="T19" s="1" t="n">
        <f aca="false">COUNTIFS(J$2:J$1500, "&gt;-15",I$2:I$1500, "&gt;=180")-SUM(T20:T25)</f>
        <v>44</v>
      </c>
      <c r="U19" s="1" t="n">
        <v>255</v>
      </c>
      <c r="V19" s="0" t="n">
        <f aca="false">SUMIFS(C$2:C$1500,C$2:C$1500, "&gt;=0",I$2:I$1500, "&lt;270",I$2:I$1500,"&gt;=255")</f>
        <v>52.7</v>
      </c>
      <c r="W19" s="2" t="s">
        <v>94</v>
      </c>
      <c r="X19" s="0" t="n">
        <f aca="false">SUMIFS(C$2:C$1500,C$2:C$1500, "&gt;=0",J$2:J$1500, "&lt;15",J$2:J$1500,"&gt;=0",I$2:I$1500,"&gt;=180")</f>
        <v>182.4</v>
      </c>
      <c r="Z19" s="0" t="n">
        <f aca="false">I19-9</f>
        <v>283.7</v>
      </c>
      <c r="AB19" s="0" t="n">
        <f aca="false">IF(Z19&lt;0,Z19+360,Z19+0)</f>
        <v>283.7</v>
      </c>
      <c r="AD19" s="1" t="n">
        <v>255</v>
      </c>
      <c r="AE19" s="1" t="n">
        <f aca="false">COUNTIF(AB$2:AB$1500,"&lt;270")-SUM(AE2:AE18)</f>
        <v>10</v>
      </c>
      <c r="AF19" s="1"/>
      <c r="AG19" s="1" t="n">
        <v>255</v>
      </c>
      <c r="AH19" s="0" t="n">
        <f aca="false">SUMIFS(C$2:C$1500,C$2:C$1500, "&gt;=0",AB$2:AB$1500, "&lt;270",AB$2:AB$1500,"&gt;=255")</f>
        <v>26.9</v>
      </c>
    </row>
    <row r="20" customFormat="false" ht="15.8" hidden="false" customHeight="false" outlineLevel="0" collapsed="false">
      <c r="A20" s="1" t="n">
        <v>3</v>
      </c>
      <c r="B20" s="1" t="n">
        <v>3</v>
      </c>
      <c r="C20" s="1" t="n">
        <v>2.1</v>
      </c>
      <c r="D20" s="1" t="n">
        <v>1.5533</v>
      </c>
      <c r="E20" s="1" t="n">
        <v>0.0720866</v>
      </c>
      <c r="F20" s="1" t="n">
        <v>0.000196691</v>
      </c>
      <c r="G20" s="1" t="s">
        <v>27</v>
      </c>
      <c r="H20" s="1" t="n">
        <v>64.2</v>
      </c>
      <c r="I20" s="1" t="n">
        <v>89.1</v>
      </c>
      <c r="J20" s="1" t="n">
        <v>0</v>
      </c>
      <c r="K20" s="1"/>
      <c r="L20" s="1" t="n">
        <v>0</v>
      </c>
      <c r="M20" s="1" t="n">
        <v>0</v>
      </c>
      <c r="N20" s="1" t="s">
        <v>92</v>
      </c>
      <c r="O20" s="1" t="n">
        <v>270</v>
      </c>
      <c r="P20" s="1" t="n">
        <f aca="false">COUNTIF(I$2:I$1500,"&lt;285")-SUM(P2:P19)</f>
        <v>8</v>
      </c>
      <c r="S20" s="2" t="s">
        <v>95</v>
      </c>
      <c r="T20" s="1" t="n">
        <f aca="false">COUNTIFS(J$2:J$1500, "&gt;0",I$2:I$1500, "&gt;=180")-SUM(T21:T25)</f>
        <v>21</v>
      </c>
      <c r="U20" s="1" t="n">
        <v>270</v>
      </c>
      <c r="V20" s="0" t="n">
        <f aca="false">SUMIFS(C$2:C$1500,C$2:C$1500, "&gt;=0",I$2:I$1500, "&lt;285",I$2:I$1500,"&gt;=270")</f>
        <v>19.2</v>
      </c>
      <c r="W20" s="2" t="s">
        <v>96</v>
      </c>
      <c r="X20" s="0" t="n">
        <f aca="false">SUMIFS(C$2:C$1500,C$2:C$1500, "&gt;=0",J$2:J$1500, "&lt;0",J$2:J$1500,"&gt;=-15",I$2:I$1500,"&gt;=180")</f>
        <v>74</v>
      </c>
      <c r="Z20" s="0" t="n">
        <f aca="false">I20-9</f>
        <v>80.1</v>
      </c>
      <c r="AB20" s="0" t="n">
        <f aca="false">IF(Z20&lt;0,Z20+360,Z20+0)</f>
        <v>80.1</v>
      </c>
      <c r="AD20" s="1" t="n">
        <v>270</v>
      </c>
      <c r="AE20" s="1" t="n">
        <f aca="false">COUNTIF(AB$2:AB$1500,"&lt;285")-SUM(AE2:AE19)</f>
        <v>11</v>
      </c>
      <c r="AF20" s="1"/>
      <c r="AG20" s="1" t="n">
        <v>270</v>
      </c>
      <c r="AH20" s="0" t="n">
        <f aca="false">SUMIFS(C$2:C$1500,C$2:C$1500, "&gt;=0",AB$2:AB$1500, "&lt;285",AB$2:AB$1500,"&gt;=270")</f>
        <v>23.2</v>
      </c>
    </row>
    <row r="21" customFormat="false" ht="15.8" hidden="false" customHeight="false" outlineLevel="0" collapsed="false">
      <c r="A21" s="1" t="n">
        <v>3</v>
      </c>
      <c r="B21" s="1" t="n">
        <v>2</v>
      </c>
      <c r="C21" s="1" t="n">
        <v>5.3</v>
      </c>
      <c r="D21" s="1" t="n">
        <v>1.9525</v>
      </c>
      <c r="E21" s="1" t="n">
        <v>0.180142</v>
      </c>
      <c r="F21" s="1" t="n">
        <v>0.000491523</v>
      </c>
      <c r="G21" s="1" t="s">
        <v>37</v>
      </c>
      <c r="H21" s="1" t="n">
        <v>33.8</v>
      </c>
      <c r="I21" s="1" t="n">
        <v>35.9</v>
      </c>
      <c r="J21" s="1" t="n">
        <v>43.4</v>
      </c>
      <c r="K21" s="1" t="n">
        <v>99.5</v>
      </c>
      <c r="L21" s="1" t="n">
        <v>0</v>
      </c>
      <c r="M21" s="1" t="n">
        <v>0</v>
      </c>
      <c r="N21" s="1" t="s">
        <v>97</v>
      </c>
      <c r="O21" s="1" t="n">
        <v>285</v>
      </c>
      <c r="P21" s="1" t="n">
        <f aca="false">COUNTIF(I$2:I$1500,"&lt;300")-SUM(P2:P20)</f>
        <v>10</v>
      </c>
      <c r="S21" s="2" t="s">
        <v>98</v>
      </c>
      <c r="T21" s="1" t="n">
        <f aca="false">COUNTIFS(J$2:J$1500, "&gt;15",I$2:I$1500, "&gt;=180")-SUM(T22:T25)</f>
        <v>21</v>
      </c>
      <c r="U21" s="1" t="n">
        <v>285</v>
      </c>
      <c r="V21" s="0" t="n">
        <f aca="false">SUMIFS(C$2:C$1500,C$2:C$1500, "&gt;=0",I$2:I$1500, "&lt;300",I$2:I$1500,"&gt;=285")</f>
        <v>18.1</v>
      </c>
      <c r="W21" s="2" t="s">
        <v>99</v>
      </c>
      <c r="X21" s="0" t="n">
        <f aca="false">SUMIFS(C$2:C$1500,C$2:C$1500, "&gt;=0",J$2:J$1500, "&lt;-15",J$2:J$1500,"&gt;=-30",I$2:I$1500,"&gt;=180")</f>
        <v>72.6</v>
      </c>
      <c r="Z21" s="0" t="n">
        <f aca="false">I21-9</f>
        <v>26.9</v>
      </c>
      <c r="AB21" s="0" t="n">
        <f aca="false">IF(Z21&lt;0,Z21+360,Z21+0)</f>
        <v>26.9</v>
      </c>
      <c r="AD21" s="1" t="n">
        <v>285</v>
      </c>
      <c r="AE21" s="1" t="n">
        <f aca="false">COUNTIF(AB$2:AB$1500,"&lt;300")-SUM(AE2:AE20)</f>
        <v>8</v>
      </c>
      <c r="AF21" s="1"/>
      <c r="AG21" s="1" t="n">
        <v>285</v>
      </c>
      <c r="AH21" s="0" t="n">
        <f aca="false">SUMIFS(C$2:C$1500,C$2:C$1500, "&gt;=0",AB$2:AB$1500, "&lt;300",AB$2:AB$1500,"&gt;=285")</f>
        <v>18.9</v>
      </c>
    </row>
    <row r="22" customFormat="false" ht="15.8" hidden="false" customHeight="false" outlineLevel="0" collapsed="false">
      <c r="A22" s="1" t="n">
        <v>3</v>
      </c>
      <c r="B22" s="1" t="n">
        <v>4</v>
      </c>
      <c r="C22" s="1" t="n">
        <v>4.2</v>
      </c>
      <c r="D22" s="1" t="n">
        <v>1.2373</v>
      </c>
      <c r="E22" s="1" t="n">
        <v>0.142603</v>
      </c>
      <c r="F22" s="1" t="n">
        <v>0.000389098</v>
      </c>
      <c r="G22" s="1" t="s">
        <v>27</v>
      </c>
      <c r="H22" s="1" t="n">
        <v>34.4</v>
      </c>
      <c r="I22" s="1" t="n">
        <v>351.1</v>
      </c>
      <c r="J22" s="1" t="n">
        <v>-33.4</v>
      </c>
      <c r="K22" s="1"/>
      <c r="L22" s="1" t="n">
        <v>0</v>
      </c>
      <c r="M22" s="1" t="n">
        <v>0</v>
      </c>
      <c r="N22" s="1" t="s">
        <v>100</v>
      </c>
      <c r="O22" s="1" t="n">
        <v>300</v>
      </c>
      <c r="P22" s="1" t="n">
        <f aca="false">COUNTIF(I$2:I$1500,"&lt;315")-SUM(P2:P21)</f>
        <v>11</v>
      </c>
      <c r="S22" s="2" t="s">
        <v>101</v>
      </c>
      <c r="T22" s="1" t="n">
        <f aca="false">COUNTIFS(J$2:J$1500, "&gt;30",I$2:I$1500, "&gt;=180")-SUM(T23:T25)</f>
        <v>11</v>
      </c>
      <c r="U22" s="1" t="n">
        <v>300</v>
      </c>
      <c r="V22" s="0" t="n">
        <f aca="false">SUMIFS(C$2:C$1500,C$2:C$1500, "&gt;=0",I$2:I$1500, "&lt;315",I$2:I$1500,"&gt;=300")</f>
        <v>29</v>
      </c>
      <c r="W22" s="2" t="s">
        <v>102</v>
      </c>
      <c r="X22" s="0" t="n">
        <f aca="false">SUMIFS(C$2:C$1500,C$2:C$1500, "&gt;=0",J$2:J$1500, "&lt;-30",J$2:J$1500,"&gt;=-45",I$2:I$1500,"&gt;=180")</f>
        <v>40.3</v>
      </c>
      <c r="Z22" s="0" t="n">
        <f aca="false">I22-9</f>
        <v>342.1</v>
      </c>
      <c r="AB22" s="0" t="n">
        <f aca="false">IF(Z22&lt;0,Z22+360,Z22+0)</f>
        <v>342.1</v>
      </c>
      <c r="AD22" s="1" t="n">
        <v>300</v>
      </c>
      <c r="AE22" s="1" t="n">
        <f aca="false">COUNTIF(AB$2:AB$1500,"&lt;315")-SUM(AE2:AE21)</f>
        <v>9</v>
      </c>
      <c r="AF22" s="1"/>
      <c r="AG22" s="1" t="n">
        <v>300</v>
      </c>
      <c r="AH22" s="0" t="n">
        <f aca="false">SUMIFS(C$2:C$1500,C$2:C$1500, "&gt;=0",AB$2:AB$1500, "&lt;315",AB$2:AB$1500,"&gt;=300")</f>
        <v>25.8</v>
      </c>
    </row>
    <row r="23" customFormat="false" ht="15.8" hidden="false" customHeight="false" outlineLevel="0" collapsed="false">
      <c r="A23" s="1" t="n">
        <v>3</v>
      </c>
      <c r="B23" s="1" t="n">
        <v>4</v>
      </c>
      <c r="C23" s="1" t="n">
        <v>2.8</v>
      </c>
      <c r="D23" s="1" t="n">
        <v>1.1099</v>
      </c>
      <c r="E23" s="1" t="n">
        <v>0.0977028</v>
      </c>
      <c r="F23" s="1" t="n">
        <v>0.000266585</v>
      </c>
      <c r="G23" s="1" t="s">
        <v>27</v>
      </c>
      <c r="H23" s="1" t="n">
        <v>67.7</v>
      </c>
      <c r="I23" s="1" t="n">
        <v>49.9</v>
      </c>
      <c r="J23" s="1" t="n">
        <v>8.3</v>
      </c>
      <c r="K23" s="1"/>
      <c r="L23" s="1" t="n">
        <v>0</v>
      </c>
      <c r="M23" s="1" t="n">
        <v>0</v>
      </c>
      <c r="N23" s="1" t="s">
        <v>100</v>
      </c>
      <c r="O23" s="1" t="n">
        <v>315</v>
      </c>
      <c r="P23" s="1" t="n">
        <f aca="false">COUNTIF(I$2:I$1500,"&lt;330")-SUM(P2:P22)</f>
        <v>8</v>
      </c>
      <c r="S23" s="2" t="s">
        <v>103</v>
      </c>
      <c r="T23" s="1" t="n">
        <f aca="false">COUNTIFS(J$2:J$1500, "&gt;45",I$2:I$1500, "&gt;=180")-SUM(T24:T25)</f>
        <v>2</v>
      </c>
      <c r="U23" s="1" t="n">
        <v>315</v>
      </c>
      <c r="V23" s="0" t="n">
        <f aca="false">SUMIFS(C$2:C$1500,C$2:C$1500, "&gt;=0",I$2:I$1500, "&lt;330",I$2:I$1500,"&gt;=315")</f>
        <v>22.9</v>
      </c>
      <c r="W23" s="2" t="s">
        <v>104</v>
      </c>
      <c r="X23" s="0" t="n">
        <f aca="false">SUMIFS(C$2:C$1500,C$2:C$1500, "&gt;=0",J$2:J$1500, "&lt;-45",J$2:J$1500,"&gt;=-60",I$2:I$1500,"&gt;=180")</f>
        <v>7.7</v>
      </c>
      <c r="Z23" s="0" t="n">
        <f aca="false">I23-9</f>
        <v>40.9</v>
      </c>
      <c r="AB23" s="0" t="n">
        <f aca="false">IF(Z23&lt;0,Z23+360,Z23+0)</f>
        <v>40.9</v>
      </c>
      <c r="AD23" s="1" t="n">
        <v>315</v>
      </c>
      <c r="AE23" s="1" t="n">
        <f aca="false">COUNTIF(AB$2:AB$1500,"&lt;330")-SUM(AE2:AE22)</f>
        <v>10</v>
      </c>
      <c r="AF23" s="1"/>
      <c r="AG23" s="1" t="n">
        <v>315</v>
      </c>
      <c r="AH23" s="0" t="n">
        <f aca="false">SUMIFS(C$2:C$1500,C$2:C$1500, "&gt;=0",AB$2:AB$1500, "&lt;330",AB$2:AB$1500,"&gt;=315")</f>
        <v>23.4</v>
      </c>
    </row>
    <row r="24" customFormat="false" ht="15.8" hidden="false" customHeight="false" outlineLevel="0" collapsed="false">
      <c r="A24" s="1" t="n">
        <v>3</v>
      </c>
      <c r="B24" s="1" t="n">
        <v>3</v>
      </c>
      <c r="C24" s="1" t="n">
        <v>1.5</v>
      </c>
      <c r="D24" s="1" t="n">
        <v>1.0132</v>
      </c>
      <c r="E24" s="1" t="n">
        <v>0.0501262</v>
      </c>
      <c r="F24" s="1" t="n">
        <v>0.000136771</v>
      </c>
      <c r="G24" s="1" t="s">
        <v>37</v>
      </c>
      <c r="H24" s="1" t="n">
        <v>80.1</v>
      </c>
      <c r="I24" s="1" t="n">
        <v>342.4</v>
      </c>
      <c r="J24" s="1" t="n">
        <v>0</v>
      </c>
      <c r="K24" s="1" t="n">
        <v>67.7</v>
      </c>
      <c r="L24" s="1" t="n">
        <v>0</v>
      </c>
      <c r="M24" s="1" t="n">
        <v>0</v>
      </c>
      <c r="N24" s="1" t="s">
        <v>105</v>
      </c>
      <c r="O24" s="1" t="n">
        <v>330</v>
      </c>
      <c r="P24" s="1" t="n">
        <f aca="false">COUNTIF(I$2:I$1500,"&lt;345")-SUM(P2:P23)</f>
        <v>9</v>
      </c>
      <c r="S24" s="2" t="s">
        <v>106</v>
      </c>
      <c r="T24" s="1" t="n">
        <f aca="false">COUNTIFS(J$2:J$1500, "&gt;60",I$2:I$1500, "&gt;=180")-T25</f>
        <v>2</v>
      </c>
      <c r="U24" s="1" t="n">
        <v>330</v>
      </c>
      <c r="V24" s="0" t="n">
        <f aca="false">SUMIFS(C$2:C$1500,C$2:C$1500, "&gt;=0",I$2:I$1500, "&lt;345",I$2:I$1500,"&gt;=330")</f>
        <v>25.6</v>
      </c>
      <c r="W24" s="2" t="s">
        <v>107</v>
      </c>
      <c r="X24" s="0" t="n">
        <f aca="false">SUMIFS(C$2:C$1500,C$2:C$1500, "&gt;=0",J$2:J$1500, "&lt;-60",J$2:J$1500,"&gt;=-75",I$2:I$1500,"&gt;=180")</f>
        <v>1.8</v>
      </c>
      <c r="Z24" s="0" t="n">
        <f aca="false">I24-9</f>
        <v>333.4</v>
      </c>
      <c r="AB24" s="0" t="n">
        <f aca="false">IF(Z24&lt;0,Z24+360,Z24+0)</f>
        <v>333.4</v>
      </c>
      <c r="AD24" s="1" t="n">
        <v>330</v>
      </c>
      <c r="AE24" s="1" t="n">
        <f aca="false">COUNTIF(AB$2:AB$1500,"&lt;345")-SUM(AE2:AE23)</f>
        <v>14</v>
      </c>
      <c r="AF24" s="1"/>
      <c r="AG24" s="1" t="n">
        <v>330</v>
      </c>
      <c r="AH24" s="0" t="n">
        <f aca="false">SUMIFS(C$2:C$1500,C$2:C$1500, "&gt;=0",AB$2:AB$1500, "&lt;345",AB$2:AB$1500,"&gt;=330")</f>
        <v>56</v>
      </c>
    </row>
    <row r="25" customFormat="false" ht="15.8" hidden="false" customHeight="false" outlineLevel="0" collapsed="false">
      <c r="A25" s="1" t="n">
        <v>3</v>
      </c>
      <c r="B25" s="1" t="n">
        <v>11</v>
      </c>
      <c r="C25" s="1" t="n">
        <v>0.6</v>
      </c>
      <c r="D25" s="1" t="n">
        <v>1.0747</v>
      </c>
      <c r="E25" s="1" t="n">
        <v>0.0188852</v>
      </c>
      <c r="F25" s="1" t="n">
        <v>5.1529E-005</v>
      </c>
      <c r="G25" s="1" t="s">
        <v>27</v>
      </c>
      <c r="H25" s="1" t="n">
        <v>69.4</v>
      </c>
      <c r="I25" s="1" t="n">
        <v>116.6</v>
      </c>
      <c r="J25" s="1" t="n">
        <v>0</v>
      </c>
      <c r="K25" s="1"/>
      <c r="L25" s="1" t="n">
        <v>0</v>
      </c>
      <c r="M25" s="1" t="n">
        <v>0</v>
      </c>
      <c r="N25" s="1" t="s">
        <v>108</v>
      </c>
      <c r="O25" s="1" t="n">
        <v>345</v>
      </c>
      <c r="P25" s="1" t="n">
        <f aca="false">COUNTIF(I$2:I$1500,"&lt;=360")-SUM(P2:P24)</f>
        <v>16</v>
      </c>
      <c r="S25" s="2" t="s">
        <v>109</v>
      </c>
      <c r="T25" s="1" t="n">
        <f aca="false">COUNTIFS(J$2:J$1500, "&gt;75",I$2:I$1500, "&gt;=180")</f>
        <v>0</v>
      </c>
      <c r="U25" s="1" t="n">
        <v>345</v>
      </c>
      <c r="V25" s="0" t="n">
        <f aca="false">SUMIFS(C$2:C$1500,C$2:C$1500, "&gt;=0",I$2:I$1500, "&lt;=360",I$2:I$1500,"&gt;=345")</f>
        <v>59.3</v>
      </c>
      <c r="W25" s="2" t="s">
        <v>110</v>
      </c>
      <c r="X25" s="0" t="n">
        <f aca="false">SUMIFS(C$2:C$1500,C$2:C$1500, "&gt;=0",J$2:J$1500, "&lt;-75",J$2:J$1500,"&gt;=-90",I$2:I$1500,"&gt;=180")</f>
        <v>1.6</v>
      </c>
      <c r="Z25" s="0" t="n">
        <f aca="false">I25-9</f>
        <v>107.6</v>
      </c>
      <c r="AB25" s="0" t="n">
        <f aca="false">IF(Z25&lt;0,Z25+360,Z25+0)</f>
        <v>107.6</v>
      </c>
      <c r="AD25" s="1" t="n">
        <v>345</v>
      </c>
      <c r="AE25" s="1" t="n">
        <f aca="false">COUNTIF(AB$2:AB$1500,"&lt;=360")-SUM(AE2:AE24)</f>
        <v>18</v>
      </c>
      <c r="AF25" s="1"/>
      <c r="AG25" s="1" t="n">
        <v>345</v>
      </c>
      <c r="AH25" s="0" t="n">
        <f aca="false">SUMIFS(C$2:C$1500,C$2:C$1500, "&gt;=0",AB$2:AB$1500, "&lt;=360",AB$2:AB$1500,"&gt;=345")</f>
        <v>114.4</v>
      </c>
    </row>
    <row r="26" customFormat="false" ht="15.8" hidden="false" customHeight="false" outlineLevel="0" collapsed="false">
      <c r="A26" s="1" t="n">
        <v>3</v>
      </c>
      <c r="B26" s="1" t="n">
        <v>11</v>
      </c>
      <c r="C26" s="1" t="n">
        <v>0.6</v>
      </c>
      <c r="D26" s="1" t="n">
        <v>1.1219</v>
      </c>
      <c r="E26" s="1" t="n">
        <v>0.0201754</v>
      </c>
      <c r="F26" s="1" t="n">
        <v>5.50492E-005</v>
      </c>
      <c r="G26" s="1" t="s">
        <v>27</v>
      </c>
      <c r="H26" s="1" t="n">
        <v>45.3</v>
      </c>
      <c r="I26" s="1" t="n">
        <v>40.2</v>
      </c>
      <c r="J26" s="1" t="n">
        <v>-44.9</v>
      </c>
      <c r="K26" s="1"/>
      <c r="L26" s="1" t="n">
        <v>0</v>
      </c>
      <c r="M26" s="1" t="n">
        <v>0</v>
      </c>
      <c r="N26" s="1" t="s">
        <v>108</v>
      </c>
      <c r="O26" s="1" t="s">
        <v>111</v>
      </c>
      <c r="P26" s="1" t="n">
        <f aca="false">SUM(P2:P25)</f>
        <v>300</v>
      </c>
      <c r="R26" s="1" t="n">
        <f aca="false">SUM(R2:R14)</f>
        <v>300</v>
      </c>
      <c r="S26" s="2"/>
      <c r="T26" s="1" t="n">
        <f aca="false">SUM(T2:T25)</f>
        <v>300</v>
      </c>
      <c r="U26" s="1" t="s">
        <v>111</v>
      </c>
      <c r="V26" s="0" t="n">
        <f aca="false">SUM(V2:V25)</f>
        <v>1131.5</v>
      </c>
      <c r="X26" s="0" t="n">
        <f aca="false">SUM(X2:X25)</f>
        <v>1131.5</v>
      </c>
      <c r="Z26" s="0" t="n">
        <f aca="false">I26-9</f>
        <v>31.2</v>
      </c>
      <c r="AB26" s="0" t="n">
        <f aca="false">IF(Z26&lt;0,Z26+360,Z26+0)</f>
        <v>31.2</v>
      </c>
      <c r="AD26" s="1" t="s">
        <v>111</v>
      </c>
      <c r="AE26" s="1" t="n">
        <f aca="false">SUM(AE2:AE25)</f>
        <v>300</v>
      </c>
      <c r="AF26" s="1"/>
      <c r="AG26" s="1" t="s">
        <v>111</v>
      </c>
      <c r="AH26" s="0" t="n">
        <f aca="false">SUM(AH2:AH25)</f>
        <v>1131.5</v>
      </c>
      <c r="AJ26" s="0" t="s">
        <v>65</v>
      </c>
      <c r="AK26" s="0" t="n">
        <f aca="false">SUM(AK2:AK14)</f>
        <v>1131.5</v>
      </c>
    </row>
    <row r="27" customFormat="false" ht="15.8" hidden="false" customHeight="false" outlineLevel="0" collapsed="false">
      <c r="A27" s="1" t="n">
        <v>3</v>
      </c>
      <c r="B27" s="1" t="n">
        <v>10</v>
      </c>
      <c r="C27" s="1" t="n">
        <v>6.2</v>
      </c>
      <c r="D27" s="1" t="n">
        <v>1.1873</v>
      </c>
      <c r="E27" s="1" t="n">
        <v>0.211909</v>
      </c>
      <c r="F27" s="1" t="n">
        <v>0.000578202</v>
      </c>
      <c r="G27" s="1" t="s">
        <v>37</v>
      </c>
      <c r="H27" s="1" t="n">
        <v>24.7</v>
      </c>
      <c r="I27" s="1" t="n">
        <v>47.2</v>
      </c>
      <c r="J27" s="1" t="n">
        <v>0</v>
      </c>
      <c r="K27" s="1" t="n">
        <v>69.4</v>
      </c>
      <c r="L27" s="1" t="n">
        <v>0</v>
      </c>
      <c r="M27" s="1" t="n">
        <v>0</v>
      </c>
      <c r="N27" s="1" t="s">
        <v>112</v>
      </c>
      <c r="O27" s="1" t="s">
        <v>113</v>
      </c>
      <c r="P27" s="1" t="n">
        <f aca="false">COUNT(I2:I1500)</f>
        <v>300</v>
      </c>
      <c r="R27" s="1" t="n">
        <f aca="false">COUNT(J2:J1500)</f>
        <v>300</v>
      </c>
      <c r="S27" s="2"/>
      <c r="U27" s="1" t="s">
        <v>114</v>
      </c>
      <c r="V27" s="0" t="n">
        <f aca="false">SUM(C2:C1000)</f>
        <v>1131.5</v>
      </c>
      <c r="Z27" s="0" t="n">
        <f aca="false">I27-9</f>
        <v>38.2</v>
      </c>
      <c r="AB27" s="0" t="n">
        <f aca="false">IF(Z27&lt;0,Z27+360,Z27+0)</f>
        <v>38.2</v>
      </c>
      <c r="AD27" s="1" t="s">
        <v>113</v>
      </c>
      <c r="AE27" s="1" t="n">
        <f aca="false">COUNT(Z2:Z1500)</f>
        <v>300</v>
      </c>
      <c r="AF27" s="1"/>
      <c r="AG27" s="1" t="s">
        <v>114</v>
      </c>
      <c r="AH27" s="0" t="n">
        <f aca="false">SUM(C2:C1200)</f>
        <v>1131.5</v>
      </c>
    </row>
    <row r="28" customFormat="false" ht="15.8" hidden="false" customHeight="false" outlineLevel="0" collapsed="false">
      <c r="A28" s="1" t="n">
        <v>3</v>
      </c>
      <c r="B28" s="1" t="n">
        <v>10</v>
      </c>
      <c r="C28" s="1" t="n">
        <v>3.6</v>
      </c>
      <c r="D28" s="1" t="n">
        <v>1.221</v>
      </c>
      <c r="E28" s="1" t="n">
        <v>0.124038</v>
      </c>
      <c r="F28" s="1" t="n">
        <v>0.000338442</v>
      </c>
      <c r="G28" s="1" t="s">
        <v>27</v>
      </c>
      <c r="H28" s="1" t="n">
        <v>84.3</v>
      </c>
      <c r="I28" s="1" t="n">
        <v>102</v>
      </c>
      <c r="J28" s="1" t="n">
        <v>30</v>
      </c>
      <c r="K28" s="1"/>
      <c r="L28" s="1" t="n">
        <v>0</v>
      </c>
      <c r="M28" s="1" t="n">
        <v>0</v>
      </c>
      <c r="N28" s="1" t="s">
        <v>112</v>
      </c>
      <c r="Z28" s="0" t="n">
        <f aca="false">I28-9</f>
        <v>93</v>
      </c>
      <c r="AB28" s="0" t="n">
        <f aca="false">IF(Z28&lt;0,Z28+360,Z28+0)</f>
        <v>93</v>
      </c>
    </row>
    <row r="29" customFormat="false" ht="15.8" hidden="false" customHeight="false" outlineLevel="0" collapsed="false">
      <c r="A29" s="1" t="n">
        <v>3</v>
      </c>
      <c r="B29" s="1" t="n">
        <v>10</v>
      </c>
      <c r="C29" s="1" t="n">
        <v>1.2</v>
      </c>
      <c r="D29" s="1" t="n">
        <v>1.0009</v>
      </c>
      <c r="E29" s="1" t="n">
        <v>0.0424126</v>
      </c>
      <c r="F29" s="1" t="n">
        <v>0.000115724</v>
      </c>
      <c r="G29" s="1" t="s">
        <v>27</v>
      </c>
      <c r="H29" s="1" t="n">
        <v>76.3</v>
      </c>
      <c r="I29" s="1" t="n">
        <v>308.2</v>
      </c>
      <c r="J29" s="1" t="n">
        <v>0</v>
      </c>
      <c r="K29" s="1"/>
      <c r="L29" s="1" t="n">
        <v>0</v>
      </c>
      <c r="M29" s="1" t="n">
        <v>0</v>
      </c>
      <c r="N29" s="1" t="s">
        <v>112</v>
      </c>
      <c r="Z29" s="0" t="n">
        <f aca="false">I29-9</f>
        <v>299.2</v>
      </c>
      <c r="AB29" s="0" t="n">
        <f aca="false">IF(Z29&lt;0,Z29+360,Z29+0)</f>
        <v>299.2</v>
      </c>
    </row>
    <row r="30" customFormat="false" ht="15.8" hidden="false" customHeight="false" outlineLevel="0" collapsed="false">
      <c r="A30" s="1" t="n">
        <v>3</v>
      </c>
      <c r="B30" s="1" t="n">
        <v>9</v>
      </c>
      <c r="C30" s="1" t="n">
        <v>2.4</v>
      </c>
      <c r="D30" s="1" t="n">
        <v>1.0793</v>
      </c>
      <c r="E30" s="1" t="n">
        <v>0.0826714</v>
      </c>
      <c r="F30" s="1" t="n">
        <v>0.000225572</v>
      </c>
      <c r="G30" s="1" t="s">
        <v>37</v>
      </c>
      <c r="H30" s="1" t="n">
        <v>34.6</v>
      </c>
      <c r="I30" s="1" t="n">
        <v>24.3</v>
      </c>
      <c r="J30" s="1" t="n">
        <v>-9.5</v>
      </c>
      <c r="K30" s="1" t="n">
        <v>84.3</v>
      </c>
      <c r="L30" s="1" t="n">
        <v>0</v>
      </c>
      <c r="M30" s="1" t="n">
        <v>0</v>
      </c>
      <c r="N30" s="1" t="s">
        <v>115</v>
      </c>
      <c r="Z30" s="0" t="n">
        <f aca="false">I30-9</f>
        <v>15.3</v>
      </c>
      <c r="AB30" s="0" t="n">
        <f aca="false">IF(Z30&lt;0,Z30+360,Z30+0)</f>
        <v>15.3</v>
      </c>
    </row>
    <row r="31" customFormat="false" ht="15.8" hidden="false" customHeight="false" outlineLevel="0" collapsed="false">
      <c r="A31" s="1" t="n">
        <v>3</v>
      </c>
      <c r="B31" s="1" t="n">
        <v>10</v>
      </c>
      <c r="C31" s="1" t="n">
        <v>6.6</v>
      </c>
      <c r="D31" s="1" t="n">
        <v>1.7948</v>
      </c>
      <c r="E31" s="1" t="n">
        <v>0.225866</v>
      </c>
      <c r="F31" s="1" t="n">
        <v>0.000616283</v>
      </c>
      <c r="G31" s="1" t="s">
        <v>27</v>
      </c>
      <c r="H31" s="1" t="n">
        <v>65.5</v>
      </c>
      <c r="I31" s="1" t="n">
        <v>61.3</v>
      </c>
      <c r="J31" s="1" t="n">
        <v>11.6</v>
      </c>
      <c r="K31" s="1"/>
      <c r="L31" s="1" t="n">
        <v>0</v>
      </c>
      <c r="M31" s="1" t="n">
        <v>0</v>
      </c>
      <c r="N31" s="1" t="s">
        <v>116</v>
      </c>
      <c r="Z31" s="0" t="n">
        <f aca="false">I31-9</f>
        <v>52.3</v>
      </c>
      <c r="AB31" s="0" t="n">
        <f aca="false">IF(Z31&lt;0,Z31+360,Z31+0)</f>
        <v>52.3</v>
      </c>
    </row>
    <row r="32" customFormat="false" ht="15.8" hidden="false" customHeight="false" outlineLevel="0" collapsed="false">
      <c r="A32" s="1" t="n">
        <v>3</v>
      </c>
      <c r="B32" s="1" t="n">
        <v>11</v>
      </c>
      <c r="C32" s="1" t="n">
        <v>1.8</v>
      </c>
      <c r="D32" s="1" t="n">
        <v>1.3106</v>
      </c>
      <c r="E32" s="1" t="n">
        <v>0.0610325</v>
      </c>
      <c r="F32" s="1" t="n">
        <v>0.000166529</v>
      </c>
      <c r="G32" s="1" t="s">
        <v>27</v>
      </c>
      <c r="H32" s="1" t="n">
        <v>67.5</v>
      </c>
      <c r="I32" s="1" t="n">
        <v>129.9</v>
      </c>
      <c r="J32" s="1" t="n">
        <v>-33</v>
      </c>
      <c r="K32" s="1"/>
      <c r="L32" s="1" t="n">
        <v>0</v>
      </c>
      <c r="M32" s="1" t="n">
        <v>0</v>
      </c>
      <c r="N32" s="1" t="s">
        <v>117</v>
      </c>
      <c r="Z32" s="0" t="n">
        <f aca="false">I32-9</f>
        <v>120.9</v>
      </c>
      <c r="AB32" s="0" t="n">
        <f aca="false">IF(Z32&lt;0,Z32+360,Z32+0)</f>
        <v>120.9</v>
      </c>
    </row>
    <row r="33" customFormat="false" ht="15.8" hidden="false" customHeight="false" outlineLevel="0" collapsed="false">
      <c r="A33" s="1" t="n">
        <v>3</v>
      </c>
      <c r="B33" s="1" t="n">
        <v>11</v>
      </c>
      <c r="C33" s="1" t="n">
        <v>0.9</v>
      </c>
      <c r="D33" s="1" t="n">
        <v>1.0472</v>
      </c>
      <c r="E33" s="1" t="n">
        <v>0.0305181</v>
      </c>
      <c r="F33" s="1" t="n">
        <v>8.32696E-005</v>
      </c>
      <c r="G33" s="1" t="s">
        <v>27</v>
      </c>
      <c r="H33" s="1" t="n">
        <v>70</v>
      </c>
      <c r="I33" s="1" t="n">
        <v>204.3</v>
      </c>
      <c r="J33" s="1" t="n">
        <v>0</v>
      </c>
      <c r="K33" s="1"/>
      <c r="L33" s="1" t="n">
        <v>0</v>
      </c>
      <c r="M33" s="1" t="n">
        <v>0</v>
      </c>
      <c r="N33" s="1" t="s">
        <v>117</v>
      </c>
      <c r="Z33" s="0" t="n">
        <f aca="false">I33-9</f>
        <v>195.3</v>
      </c>
      <c r="AB33" s="0" t="n">
        <f aca="false">IF(Z33&lt;0,Z33+360,Z33+0)</f>
        <v>195.3</v>
      </c>
    </row>
    <row r="34" customFormat="false" ht="15.8" hidden="false" customHeight="false" outlineLevel="0" collapsed="false">
      <c r="A34" s="1" t="n">
        <v>3</v>
      </c>
      <c r="B34" s="1" t="n">
        <v>10</v>
      </c>
      <c r="C34" s="1" t="n">
        <v>1.8</v>
      </c>
      <c r="D34" s="1" t="n">
        <v>1.0965</v>
      </c>
      <c r="E34" s="1" t="n">
        <v>0.0611686</v>
      </c>
      <c r="F34" s="1" t="n">
        <v>0.000166901</v>
      </c>
      <c r="G34" s="1" t="s">
        <v>37</v>
      </c>
      <c r="H34" s="1" t="n">
        <v>117.8</v>
      </c>
      <c r="I34" s="1" t="n">
        <v>238.9</v>
      </c>
      <c r="J34" s="1" t="n">
        <v>-65.5</v>
      </c>
      <c r="K34" s="1" t="n">
        <v>70</v>
      </c>
      <c r="L34" s="1" t="n">
        <v>0</v>
      </c>
      <c r="M34" s="1" t="n">
        <v>0</v>
      </c>
      <c r="N34" s="1" t="s">
        <v>116</v>
      </c>
      <c r="Z34" s="0" t="n">
        <f aca="false">I34-9</f>
        <v>229.9</v>
      </c>
      <c r="AB34" s="0" t="n">
        <f aca="false">IF(Z34&lt;0,Z34+360,Z34+0)</f>
        <v>229.9</v>
      </c>
    </row>
    <row r="35" customFormat="false" ht="15.8" hidden="false" customHeight="false" outlineLevel="0" collapsed="false">
      <c r="A35" s="1" t="n">
        <v>3</v>
      </c>
      <c r="B35" s="1" t="n">
        <v>9</v>
      </c>
      <c r="C35" s="1" t="n">
        <v>2.7</v>
      </c>
      <c r="D35" s="1" t="n">
        <v>1.2023</v>
      </c>
      <c r="E35" s="1" t="n">
        <v>0.091305</v>
      </c>
      <c r="F35" s="1" t="n">
        <v>0.000249129</v>
      </c>
      <c r="G35" s="1" t="s">
        <v>37</v>
      </c>
      <c r="H35" s="1" t="n">
        <v>13.6</v>
      </c>
      <c r="I35" s="1" t="n">
        <v>353.4</v>
      </c>
      <c r="J35" s="1" t="n">
        <v>19.5</v>
      </c>
      <c r="K35" s="1" t="n">
        <v>117.8</v>
      </c>
      <c r="L35" s="1" t="n">
        <v>0</v>
      </c>
      <c r="M35" s="1" t="n">
        <v>0</v>
      </c>
      <c r="N35" s="1" t="s">
        <v>115</v>
      </c>
      <c r="Z35" s="0" t="n">
        <f aca="false">I35-9</f>
        <v>344.4</v>
      </c>
      <c r="AB35" s="0" t="n">
        <f aca="false">IF(Z35&lt;0,Z35+360,Z35+0)</f>
        <v>344.4</v>
      </c>
    </row>
    <row r="36" customFormat="false" ht="15.8" hidden="false" customHeight="false" outlineLevel="0" collapsed="false">
      <c r="A36" s="1" t="n">
        <v>3</v>
      </c>
      <c r="B36" s="1" t="n">
        <v>8</v>
      </c>
      <c r="C36" s="1" t="n">
        <v>1.3</v>
      </c>
      <c r="D36" s="1" t="n">
        <v>1.2657</v>
      </c>
      <c r="E36" s="1" t="n">
        <v>0.044589</v>
      </c>
      <c r="F36" s="1" t="n">
        <v>0.000121663</v>
      </c>
      <c r="G36" s="1" t="s">
        <v>37</v>
      </c>
      <c r="H36" s="1" t="n">
        <v>34.6</v>
      </c>
      <c r="I36" s="1" t="n">
        <v>7.9</v>
      </c>
      <c r="J36" s="1" t="n">
        <v>21.1</v>
      </c>
      <c r="K36" s="1" t="n">
        <v>34.6</v>
      </c>
      <c r="L36" s="1" t="n">
        <v>0</v>
      </c>
      <c r="M36" s="1" t="n">
        <v>0</v>
      </c>
      <c r="N36" s="1" t="s">
        <v>118</v>
      </c>
      <c r="Z36" s="0" t="n">
        <f aca="false">I36-9</f>
        <v>-1.1</v>
      </c>
      <c r="AB36" s="0" t="n">
        <f aca="false">IF(Z36&lt;0,Z36+360,Z36+0)</f>
        <v>358.9</v>
      </c>
    </row>
    <row r="37" customFormat="false" ht="15.8" hidden="false" customHeight="false" outlineLevel="0" collapsed="false">
      <c r="A37" s="1" t="n">
        <v>3</v>
      </c>
      <c r="B37" s="1" t="n">
        <v>8</v>
      </c>
      <c r="C37" s="1" t="n">
        <v>1.3</v>
      </c>
      <c r="D37" s="1" t="n">
        <v>1.1665</v>
      </c>
      <c r="E37" s="1" t="n">
        <v>0.0457398</v>
      </c>
      <c r="F37" s="1" t="n">
        <v>0.000124803</v>
      </c>
      <c r="G37" s="1" t="s">
        <v>27</v>
      </c>
      <c r="H37" s="1" t="n">
        <v>88.7</v>
      </c>
      <c r="I37" s="1" t="n">
        <v>98.7</v>
      </c>
      <c r="J37" s="1" t="n">
        <v>18.9</v>
      </c>
      <c r="K37" s="1"/>
      <c r="L37" s="1" t="n">
        <v>0</v>
      </c>
      <c r="M37" s="1" t="n">
        <v>0</v>
      </c>
      <c r="N37" s="1" t="s">
        <v>118</v>
      </c>
      <c r="Z37" s="0" t="n">
        <f aca="false">I37-9</f>
        <v>89.7</v>
      </c>
      <c r="AB37" s="0" t="n">
        <f aca="false">IF(Z37&lt;0,Z37+360,Z37+0)</f>
        <v>89.7</v>
      </c>
    </row>
    <row r="38" customFormat="false" ht="15.8" hidden="false" customHeight="false" outlineLevel="0" collapsed="false">
      <c r="A38" s="1" t="n">
        <v>3</v>
      </c>
      <c r="B38" s="1" t="n">
        <v>7</v>
      </c>
      <c r="C38" s="1" t="n">
        <v>3.7</v>
      </c>
      <c r="D38" s="1" t="n">
        <v>1.1044</v>
      </c>
      <c r="E38" s="1" t="n">
        <v>0.126145</v>
      </c>
      <c r="F38" s="1" t="n">
        <v>0.000344192</v>
      </c>
      <c r="G38" s="1" t="s">
        <v>37</v>
      </c>
      <c r="H38" s="1" t="n">
        <v>27.1</v>
      </c>
      <c r="I38" s="1" t="n">
        <v>14.6</v>
      </c>
      <c r="J38" s="1" t="n">
        <v>-12.8</v>
      </c>
      <c r="K38" s="1" t="n">
        <v>88.7</v>
      </c>
      <c r="L38" s="1" t="n">
        <v>0</v>
      </c>
      <c r="M38" s="1" t="n">
        <v>0</v>
      </c>
      <c r="N38" s="1" t="s">
        <v>119</v>
      </c>
      <c r="Z38" s="0" t="n">
        <f aca="false">I38-9</f>
        <v>5.6</v>
      </c>
      <c r="AB38" s="0" t="n">
        <f aca="false">IF(Z38&lt;0,Z38+360,Z38+0)</f>
        <v>5.6</v>
      </c>
    </row>
    <row r="39" customFormat="false" ht="15.8" hidden="false" customHeight="false" outlineLevel="0" collapsed="false">
      <c r="A39" s="1" t="n">
        <v>3</v>
      </c>
      <c r="B39" s="1" t="n">
        <v>7</v>
      </c>
      <c r="C39" s="1" t="n">
        <v>2.3</v>
      </c>
      <c r="D39" s="1" t="n">
        <v>1.0847</v>
      </c>
      <c r="E39" s="1" t="n">
        <v>0.0801265</v>
      </c>
      <c r="F39" s="1" t="n">
        <v>0.000218628</v>
      </c>
      <c r="G39" s="1" t="s">
        <v>27</v>
      </c>
      <c r="H39" s="1" t="n">
        <v>25.8</v>
      </c>
      <c r="I39" s="1" t="n">
        <v>58.9</v>
      </c>
      <c r="J39" s="1" t="n">
        <v>0</v>
      </c>
      <c r="K39" s="1"/>
      <c r="L39" s="1" t="n">
        <v>0</v>
      </c>
      <c r="M39" s="1" t="n">
        <v>0</v>
      </c>
      <c r="N39" s="1" t="s">
        <v>119</v>
      </c>
      <c r="Z39" s="0" t="n">
        <f aca="false">I39-9</f>
        <v>49.9</v>
      </c>
      <c r="AB39" s="0" t="n">
        <f aca="false">IF(Z39&lt;0,Z39+360,Z39+0)</f>
        <v>49.9</v>
      </c>
    </row>
    <row r="40" customFormat="false" ht="15.8" hidden="false" customHeight="false" outlineLevel="0" collapsed="false">
      <c r="A40" s="1" t="n">
        <v>3</v>
      </c>
      <c r="B40" s="1" t="n">
        <v>6</v>
      </c>
      <c r="C40" s="1" t="n">
        <v>4</v>
      </c>
      <c r="D40" s="1" t="n">
        <v>1.1998</v>
      </c>
      <c r="E40" s="1" t="n">
        <v>0.137083</v>
      </c>
      <c r="F40" s="1" t="n">
        <v>0.000374037</v>
      </c>
      <c r="G40" s="1" t="s">
        <v>37</v>
      </c>
      <c r="H40" s="1" t="n">
        <v>18.1</v>
      </c>
      <c r="I40" s="1" t="n">
        <v>33.8</v>
      </c>
      <c r="J40" s="1" t="n">
        <v>6.4</v>
      </c>
      <c r="K40" s="1" t="n">
        <v>27.1</v>
      </c>
      <c r="L40" s="1" t="n">
        <v>0</v>
      </c>
      <c r="M40" s="1" t="n">
        <v>0</v>
      </c>
      <c r="N40" s="1" t="s">
        <v>120</v>
      </c>
      <c r="Z40" s="0" t="n">
        <f aca="false">I40-9</f>
        <v>24.8</v>
      </c>
      <c r="AB40" s="0" t="n">
        <f aca="false">IF(Z40&lt;0,Z40+360,Z40+0)</f>
        <v>24.8</v>
      </c>
    </row>
    <row r="41" customFormat="false" ht="15.8" hidden="false" customHeight="false" outlineLevel="0" collapsed="false">
      <c r="A41" s="1" t="n">
        <v>3</v>
      </c>
      <c r="B41" s="1" t="n">
        <v>7</v>
      </c>
      <c r="C41" s="1" t="n">
        <v>5.4</v>
      </c>
      <c r="D41" s="1" t="n">
        <v>1.1683</v>
      </c>
      <c r="E41" s="1" t="n">
        <v>0.185243</v>
      </c>
      <c r="F41" s="1" t="n">
        <v>0.000505443</v>
      </c>
      <c r="G41" s="1" t="s">
        <v>27</v>
      </c>
      <c r="H41" s="1" t="n">
        <v>34.7</v>
      </c>
      <c r="I41" s="1" t="n">
        <v>309.9</v>
      </c>
      <c r="J41" s="1" t="n">
        <v>-23.6</v>
      </c>
      <c r="K41" s="1"/>
      <c r="L41" s="1" t="n">
        <v>0</v>
      </c>
      <c r="M41" s="1" t="n">
        <v>0</v>
      </c>
      <c r="N41" s="1" t="s">
        <v>121</v>
      </c>
      <c r="Z41" s="0" t="n">
        <f aca="false">I41-9</f>
        <v>300.9</v>
      </c>
      <c r="AB41" s="0" t="n">
        <f aca="false">IF(Z41&lt;0,Z41+360,Z41+0)</f>
        <v>300.9</v>
      </c>
    </row>
    <row r="42" customFormat="false" ht="15.8" hidden="false" customHeight="false" outlineLevel="0" collapsed="false">
      <c r="A42" s="1" t="n">
        <v>3</v>
      </c>
      <c r="B42" s="1" t="n">
        <v>7</v>
      </c>
      <c r="C42" s="1" t="n">
        <v>4.5</v>
      </c>
      <c r="D42" s="1" t="n">
        <v>1.1151</v>
      </c>
      <c r="E42" s="1" t="n">
        <v>0.154015</v>
      </c>
      <c r="F42" s="1" t="n">
        <v>0.000420235</v>
      </c>
      <c r="G42" s="1" t="s">
        <v>27</v>
      </c>
      <c r="H42" s="1" t="n">
        <v>28</v>
      </c>
      <c r="I42" s="1" t="n">
        <v>10.8</v>
      </c>
      <c r="J42" s="1" t="n">
        <v>-5.3</v>
      </c>
      <c r="K42" s="1"/>
      <c r="L42" s="1" t="n">
        <v>0</v>
      </c>
      <c r="M42" s="1" t="n">
        <v>0</v>
      </c>
      <c r="N42" s="1" t="s">
        <v>121</v>
      </c>
      <c r="Z42" s="0" t="n">
        <f aca="false">I42-9</f>
        <v>1.8</v>
      </c>
      <c r="AB42" s="0" t="n">
        <f aca="false">IF(Z42&lt;0,Z42+360,Z42+0)</f>
        <v>1.8</v>
      </c>
    </row>
    <row r="43" customFormat="false" ht="15.8" hidden="false" customHeight="false" outlineLevel="0" collapsed="false">
      <c r="A43" s="1" t="n">
        <v>3</v>
      </c>
      <c r="B43" s="1" t="n">
        <v>6</v>
      </c>
      <c r="C43" s="1" t="n">
        <v>4.9</v>
      </c>
      <c r="D43" s="1" t="n">
        <v>1.2391</v>
      </c>
      <c r="E43" s="1" t="n">
        <v>0.167511</v>
      </c>
      <c r="F43" s="1" t="n">
        <v>0.000457059</v>
      </c>
      <c r="G43" s="1" t="s">
        <v>37</v>
      </c>
      <c r="H43" s="1" t="n">
        <v>35.9</v>
      </c>
      <c r="I43" s="1" t="n">
        <v>347.6</v>
      </c>
      <c r="J43" s="1" t="n">
        <v>-22</v>
      </c>
      <c r="K43" s="1" t="n">
        <v>34.7</v>
      </c>
      <c r="L43" s="1" t="n">
        <v>0</v>
      </c>
      <c r="M43" s="1" t="n">
        <v>0</v>
      </c>
      <c r="N43" s="1" t="s">
        <v>120</v>
      </c>
      <c r="Z43" s="0" t="n">
        <f aca="false">I43-9</f>
        <v>338.6</v>
      </c>
      <c r="AB43" s="0" t="n">
        <f aca="false">IF(Z43&lt;0,Z43+360,Z43+0)</f>
        <v>338.6</v>
      </c>
    </row>
    <row r="44" customFormat="false" ht="15.8" hidden="false" customHeight="false" outlineLevel="0" collapsed="false">
      <c r="A44" s="1" t="n">
        <v>3</v>
      </c>
      <c r="B44" s="1" t="n">
        <v>5</v>
      </c>
      <c r="C44" s="1" t="n">
        <v>7.1</v>
      </c>
      <c r="D44" s="1" t="n">
        <v>1.0952</v>
      </c>
      <c r="E44" s="1" t="n">
        <v>0.244999</v>
      </c>
      <c r="F44" s="1" t="n">
        <v>0.00066849</v>
      </c>
      <c r="G44" s="1" t="s">
        <v>37</v>
      </c>
      <c r="H44" s="1" t="n">
        <v>12.6</v>
      </c>
      <c r="I44" s="1" t="n">
        <v>21.1</v>
      </c>
      <c r="J44" s="1" t="n">
        <v>-6.5</v>
      </c>
      <c r="K44" s="1" t="n">
        <v>35.9</v>
      </c>
      <c r="L44" s="1" t="n">
        <v>0</v>
      </c>
      <c r="M44" s="1" t="n">
        <v>0</v>
      </c>
      <c r="N44" s="1" t="s">
        <v>122</v>
      </c>
      <c r="Z44" s="0" t="n">
        <f aca="false">I44-9</f>
        <v>12.1</v>
      </c>
      <c r="AB44" s="0" t="n">
        <f aca="false">IF(Z44&lt;0,Z44+360,Z44+0)</f>
        <v>12.1</v>
      </c>
    </row>
    <row r="45" customFormat="false" ht="15.8" hidden="false" customHeight="false" outlineLevel="0" collapsed="false">
      <c r="A45" s="1" t="n">
        <v>3</v>
      </c>
      <c r="B45" s="1" t="n">
        <v>5</v>
      </c>
      <c r="C45" s="1" t="n">
        <v>4.5</v>
      </c>
      <c r="D45" s="1" t="n">
        <v>1.3921</v>
      </c>
      <c r="E45" s="1" t="n">
        <v>0.153134</v>
      </c>
      <c r="F45" s="1" t="n">
        <v>0.000417832</v>
      </c>
      <c r="G45" s="1" t="s">
        <v>27</v>
      </c>
      <c r="H45" s="1" t="n">
        <v>122.8</v>
      </c>
      <c r="I45" s="1" t="n">
        <v>153</v>
      </c>
      <c r="J45" s="1" t="n">
        <v>35.2</v>
      </c>
      <c r="K45" s="1"/>
      <c r="L45" s="1" t="n">
        <v>0</v>
      </c>
      <c r="M45" s="1" t="n">
        <v>0</v>
      </c>
      <c r="N45" s="1" t="s">
        <v>122</v>
      </c>
      <c r="Z45" s="0" t="n">
        <f aca="false">I45-9</f>
        <v>144</v>
      </c>
      <c r="AB45" s="0" t="n">
        <f aca="false">IF(Z45&lt;0,Z45+360,Z45+0)</f>
        <v>144</v>
      </c>
    </row>
    <row r="46" customFormat="false" ht="15.8" hidden="false" customHeight="false" outlineLevel="0" collapsed="false">
      <c r="A46" s="1" t="n">
        <v>3</v>
      </c>
      <c r="B46" s="1" t="n">
        <v>4</v>
      </c>
      <c r="C46" s="1" t="n">
        <v>6.1</v>
      </c>
      <c r="D46" s="1" t="n">
        <v>1.2447</v>
      </c>
      <c r="E46" s="1" t="n">
        <v>0.208859</v>
      </c>
      <c r="F46" s="1" t="n">
        <v>0.00056988</v>
      </c>
      <c r="G46" s="1" t="s">
        <v>37</v>
      </c>
      <c r="H46" s="1" t="n">
        <v>68.8</v>
      </c>
      <c r="I46" s="1" t="n">
        <v>32</v>
      </c>
      <c r="J46" s="1" t="n">
        <v>-13.1</v>
      </c>
      <c r="K46" s="1" t="n">
        <v>122.8</v>
      </c>
      <c r="L46" s="1" t="n">
        <v>0</v>
      </c>
      <c r="M46" s="1" t="n">
        <v>0</v>
      </c>
      <c r="N46" s="1" t="s">
        <v>123</v>
      </c>
      <c r="Z46" s="0" t="n">
        <f aca="false">I46-9</f>
        <v>23</v>
      </c>
      <c r="AB46" s="0" t="n">
        <f aca="false">IF(Z46&lt;0,Z46+360,Z46+0)</f>
        <v>23</v>
      </c>
    </row>
    <row r="47" customFormat="false" ht="15.8" hidden="false" customHeight="false" outlineLevel="0" collapsed="false">
      <c r="A47" s="1" t="n">
        <v>3</v>
      </c>
      <c r="B47" s="1" t="n">
        <v>8</v>
      </c>
      <c r="C47" s="1" t="n">
        <v>5</v>
      </c>
      <c r="D47" s="1" t="n">
        <v>1.1873</v>
      </c>
      <c r="E47" s="1" t="n">
        <v>0.170626</v>
      </c>
      <c r="F47" s="1" t="n">
        <v>0.00046556</v>
      </c>
      <c r="G47" s="1" t="s">
        <v>27</v>
      </c>
      <c r="H47" s="1" t="n">
        <v>61</v>
      </c>
      <c r="I47" s="1" t="n">
        <v>129.8</v>
      </c>
      <c r="J47" s="1" t="n">
        <v>20.7</v>
      </c>
      <c r="K47" s="1"/>
      <c r="L47" s="1" t="n">
        <v>0</v>
      </c>
      <c r="M47" s="1" t="n">
        <v>0</v>
      </c>
      <c r="N47" s="1" t="s">
        <v>124</v>
      </c>
      <c r="Z47" s="0" t="n">
        <f aca="false">I47-9</f>
        <v>120.8</v>
      </c>
      <c r="AB47" s="0" t="n">
        <f aca="false">IF(Z47&lt;0,Z47+360,Z47+0)</f>
        <v>120.8</v>
      </c>
    </row>
    <row r="48" customFormat="false" ht="15.8" hidden="false" customHeight="false" outlineLevel="0" collapsed="false">
      <c r="A48" s="1" t="n">
        <v>3</v>
      </c>
      <c r="B48" s="1" t="n">
        <v>9</v>
      </c>
      <c r="C48" s="1" t="n">
        <v>3.5</v>
      </c>
      <c r="D48" s="1" t="n">
        <v>1.28</v>
      </c>
      <c r="E48" s="1" t="n">
        <v>0.119475</v>
      </c>
      <c r="F48" s="1" t="n">
        <v>0.000325993</v>
      </c>
      <c r="G48" s="1" t="s">
        <v>27</v>
      </c>
      <c r="H48" s="1" t="n">
        <v>109.6</v>
      </c>
      <c r="I48" s="1" t="n">
        <v>65.1</v>
      </c>
      <c r="J48" s="1" t="n">
        <v>-42.8</v>
      </c>
      <c r="K48" s="1"/>
      <c r="L48" s="1" t="n">
        <v>0</v>
      </c>
      <c r="M48" s="1" t="n">
        <v>0</v>
      </c>
      <c r="N48" s="1" t="s">
        <v>125</v>
      </c>
      <c r="Z48" s="0" t="n">
        <f aca="false">I48-9</f>
        <v>56.1</v>
      </c>
      <c r="AB48" s="0" t="n">
        <f aca="false">IF(Z48&lt;0,Z48+360,Z48+0)</f>
        <v>56.1</v>
      </c>
    </row>
    <row r="49" customFormat="false" ht="15.8" hidden="false" customHeight="false" outlineLevel="0" collapsed="false">
      <c r="A49" s="1" t="n">
        <v>3</v>
      </c>
      <c r="B49" s="1" t="n">
        <v>10</v>
      </c>
      <c r="C49" s="1" t="n">
        <v>1.4</v>
      </c>
      <c r="D49" s="1" t="n">
        <v>1.0865</v>
      </c>
      <c r="E49" s="1" t="n">
        <v>0.0487391</v>
      </c>
      <c r="F49" s="1" t="n">
        <v>0.000132986</v>
      </c>
      <c r="G49" s="1" t="s">
        <v>27</v>
      </c>
      <c r="H49" s="1" t="n">
        <v>28.2</v>
      </c>
      <c r="I49" s="1" t="n">
        <v>199.5</v>
      </c>
      <c r="J49" s="1" t="n">
        <v>0</v>
      </c>
      <c r="K49" s="1"/>
      <c r="L49" s="1" t="n">
        <v>0</v>
      </c>
      <c r="M49" s="1" t="n">
        <v>0</v>
      </c>
      <c r="N49" s="1" t="s">
        <v>126</v>
      </c>
      <c r="Z49" s="0" t="n">
        <f aca="false">I49-9</f>
        <v>190.5</v>
      </c>
      <c r="AB49" s="0" t="n">
        <f aca="false">IF(Z49&lt;0,Z49+360,Z49+0)</f>
        <v>190.5</v>
      </c>
    </row>
    <row r="50" customFormat="false" ht="15.8" hidden="false" customHeight="false" outlineLevel="0" collapsed="false">
      <c r="A50" s="1" t="n">
        <v>3</v>
      </c>
      <c r="B50" s="1" t="n">
        <v>10</v>
      </c>
      <c r="C50" s="1" t="n">
        <v>0.8</v>
      </c>
      <c r="D50" s="1" t="n">
        <v>1.0361</v>
      </c>
      <c r="E50" s="1" t="n">
        <v>0.0262795</v>
      </c>
      <c r="F50" s="1" t="n">
        <v>7.17044E-005</v>
      </c>
      <c r="G50" s="1" t="s">
        <v>27</v>
      </c>
      <c r="H50" s="1" t="n">
        <v>55.1</v>
      </c>
      <c r="I50" s="1" t="n">
        <v>158.4</v>
      </c>
      <c r="J50" s="1" t="n">
        <v>0</v>
      </c>
      <c r="K50" s="1"/>
      <c r="L50" s="1" t="n">
        <v>0</v>
      </c>
      <c r="M50" s="1" t="n">
        <v>0</v>
      </c>
      <c r="N50" s="1" t="s">
        <v>126</v>
      </c>
      <c r="Z50" s="0" t="n">
        <f aca="false">I50-9</f>
        <v>149.4</v>
      </c>
      <c r="AB50" s="0" t="n">
        <f aca="false">IF(Z50&lt;0,Z50+360,Z50+0)</f>
        <v>149.4</v>
      </c>
    </row>
    <row r="51" customFormat="false" ht="15.8" hidden="false" customHeight="false" outlineLevel="0" collapsed="false">
      <c r="A51" s="1" t="n">
        <v>3</v>
      </c>
      <c r="B51" s="1" t="n">
        <v>9</v>
      </c>
      <c r="C51" s="1" t="n">
        <v>2</v>
      </c>
      <c r="D51" s="1" t="n">
        <v>1.2189</v>
      </c>
      <c r="E51" s="1" t="n">
        <v>0.0685978</v>
      </c>
      <c r="F51" s="1" t="n">
        <v>0.000187171</v>
      </c>
      <c r="G51" s="1" t="s">
        <v>37</v>
      </c>
      <c r="H51" s="1" t="n">
        <v>36.8</v>
      </c>
      <c r="I51" s="1" t="n">
        <v>208.5</v>
      </c>
      <c r="J51" s="1" t="n">
        <v>-26.8</v>
      </c>
      <c r="K51" s="1" t="n">
        <v>55.1</v>
      </c>
      <c r="L51" s="1" t="n">
        <v>0</v>
      </c>
      <c r="M51" s="1" t="n">
        <v>0</v>
      </c>
      <c r="N51" s="1" t="s">
        <v>125</v>
      </c>
      <c r="Z51" s="0" t="n">
        <f aca="false">I51-9</f>
        <v>199.5</v>
      </c>
      <c r="AB51" s="0" t="n">
        <f aca="false">IF(Z51&lt;0,Z51+360,Z51+0)</f>
        <v>199.5</v>
      </c>
    </row>
    <row r="52" customFormat="false" ht="15.8" hidden="false" customHeight="false" outlineLevel="0" collapsed="false">
      <c r="A52" s="1" t="n">
        <v>3</v>
      </c>
      <c r="B52" s="1" t="n">
        <v>9</v>
      </c>
      <c r="C52" s="1" t="n">
        <v>1.5</v>
      </c>
      <c r="D52" s="1" t="n">
        <v>1.0697</v>
      </c>
      <c r="E52" s="1" t="n">
        <v>0.051079</v>
      </c>
      <c r="F52" s="1" t="n">
        <v>0.000139371</v>
      </c>
      <c r="G52" s="1" t="s">
        <v>27</v>
      </c>
      <c r="H52" s="1" t="n">
        <v>88.7</v>
      </c>
      <c r="I52" s="1" t="n">
        <v>270.9</v>
      </c>
      <c r="J52" s="1" t="n">
        <v>-15.4</v>
      </c>
      <c r="K52" s="1"/>
      <c r="L52" s="1" t="n">
        <v>0</v>
      </c>
      <c r="M52" s="1" t="n">
        <v>0</v>
      </c>
      <c r="N52" s="1" t="s">
        <v>125</v>
      </c>
      <c r="Z52" s="0" t="n">
        <f aca="false">I52-9</f>
        <v>261.9</v>
      </c>
      <c r="AB52" s="0" t="n">
        <f aca="false">IF(Z52&lt;0,Z52+360,Z52+0)</f>
        <v>261.9</v>
      </c>
    </row>
    <row r="53" customFormat="false" ht="15.8" hidden="false" customHeight="false" outlineLevel="0" collapsed="false">
      <c r="A53" s="1" t="n">
        <v>3</v>
      </c>
      <c r="B53" s="1" t="n">
        <v>8</v>
      </c>
      <c r="C53" s="1" t="n">
        <v>0.8</v>
      </c>
      <c r="D53" s="1" t="n">
        <v>1.0016</v>
      </c>
      <c r="E53" s="1" t="n">
        <v>0.0285075</v>
      </c>
      <c r="F53" s="1" t="n">
        <v>7.77838E-005</v>
      </c>
      <c r="G53" s="1" t="s">
        <v>37</v>
      </c>
      <c r="H53" s="1" t="n">
        <v>6.3</v>
      </c>
      <c r="I53" s="1" t="n">
        <v>182.3</v>
      </c>
      <c r="J53" s="1" t="n">
        <v>0</v>
      </c>
      <c r="K53" s="1" t="n">
        <v>109.6</v>
      </c>
      <c r="L53" s="1" t="n">
        <v>0</v>
      </c>
      <c r="M53" s="1" t="n">
        <v>0</v>
      </c>
      <c r="N53" s="1" t="s">
        <v>124</v>
      </c>
      <c r="Z53" s="0" t="n">
        <f aca="false">I53-9</f>
        <v>173.3</v>
      </c>
      <c r="AB53" s="0" t="n">
        <f aca="false">IF(Z53&lt;0,Z53+360,Z53+0)</f>
        <v>173.3</v>
      </c>
    </row>
    <row r="54" customFormat="false" ht="15.8" hidden="false" customHeight="false" outlineLevel="0" collapsed="false">
      <c r="A54" s="1" t="n">
        <v>3</v>
      </c>
      <c r="B54" s="1" t="n">
        <v>7</v>
      </c>
      <c r="C54" s="1" t="n">
        <v>3.8</v>
      </c>
      <c r="D54" s="1" t="n">
        <v>1.015</v>
      </c>
      <c r="E54" s="1" t="n">
        <v>0.130219</v>
      </c>
      <c r="F54" s="1" t="n">
        <v>0.000355306</v>
      </c>
      <c r="G54" s="1" t="s">
        <v>37</v>
      </c>
      <c r="H54" s="1" t="n">
        <v>16.3</v>
      </c>
      <c r="I54" s="1" t="n">
        <v>188.6</v>
      </c>
      <c r="J54" s="1" t="n">
        <v>0</v>
      </c>
      <c r="K54" s="1" t="n">
        <v>61</v>
      </c>
      <c r="L54" s="1" t="n">
        <v>0</v>
      </c>
      <c r="M54" s="1" t="n">
        <v>0</v>
      </c>
      <c r="N54" s="1" t="s">
        <v>127</v>
      </c>
      <c r="Z54" s="0" t="n">
        <f aca="false">I54-9</f>
        <v>179.6</v>
      </c>
      <c r="AB54" s="0" t="n">
        <f aca="false">IF(Z54&lt;0,Z54+360,Z54+0)</f>
        <v>179.6</v>
      </c>
    </row>
    <row r="55" customFormat="false" ht="15.8" hidden="false" customHeight="false" outlineLevel="0" collapsed="false">
      <c r="A55" s="1" t="n">
        <v>3</v>
      </c>
      <c r="B55" s="1" t="n">
        <v>7</v>
      </c>
      <c r="C55" s="1" t="n">
        <v>1.6</v>
      </c>
      <c r="D55" s="1" t="n">
        <v>1.1584</v>
      </c>
      <c r="E55" s="1" t="n">
        <v>0.0550197</v>
      </c>
      <c r="F55" s="1" t="n">
        <v>0.000150123</v>
      </c>
      <c r="G55" s="1" t="s">
        <v>27</v>
      </c>
      <c r="H55" s="1" t="n">
        <v>84.7</v>
      </c>
      <c r="I55" s="1" t="n">
        <v>85.7</v>
      </c>
      <c r="J55" s="1" t="n">
        <v>32.3</v>
      </c>
      <c r="K55" s="1"/>
      <c r="L55" s="1" t="n">
        <v>0</v>
      </c>
      <c r="M55" s="1" t="n">
        <v>0</v>
      </c>
      <c r="N55" s="1" t="s">
        <v>127</v>
      </c>
      <c r="Z55" s="0" t="n">
        <f aca="false">I55-9</f>
        <v>76.7</v>
      </c>
      <c r="AB55" s="0" t="n">
        <f aca="false">IF(Z55&lt;0,Z55+360,Z55+0)</f>
        <v>76.7</v>
      </c>
    </row>
    <row r="56" customFormat="false" ht="15.8" hidden="false" customHeight="false" outlineLevel="0" collapsed="false">
      <c r="A56" s="1" t="n">
        <v>3</v>
      </c>
      <c r="B56" s="1" t="n">
        <v>7</v>
      </c>
      <c r="C56" s="1" t="n">
        <v>1.5</v>
      </c>
      <c r="D56" s="1" t="n">
        <v>1.1712</v>
      </c>
      <c r="E56" s="1" t="n">
        <v>0.0512903</v>
      </c>
      <c r="F56" s="1" t="n">
        <v>0.000139947</v>
      </c>
      <c r="G56" s="1" t="s">
        <v>27</v>
      </c>
      <c r="H56" s="1" t="n">
        <v>65.4</v>
      </c>
      <c r="I56" s="1" t="n">
        <v>240</v>
      </c>
      <c r="J56" s="1" t="n">
        <v>16.8</v>
      </c>
      <c r="K56" s="1"/>
      <c r="L56" s="1" t="n">
        <v>0</v>
      </c>
      <c r="M56" s="1" t="n">
        <v>0</v>
      </c>
      <c r="N56" s="1" t="s">
        <v>127</v>
      </c>
      <c r="Z56" s="0" t="n">
        <f aca="false">I56-9</f>
        <v>231</v>
      </c>
      <c r="AB56" s="0" t="n">
        <f aca="false">IF(Z56&lt;0,Z56+360,Z56+0)</f>
        <v>231</v>
      </c>
    </row>
    <row r="57" customFormat="false" ht="15.8" hidden="false" customHeight="false" outlineLevel="0" collapsed="false">
      <c r="A57" s="1" t="n">
        <v>3</v>
      </c>
      <c r="B57" s="1" t="n">
        <v>6</v>
      </c>
      <c r="C57" s="1" t="n">
        <v>3.5</v>
      </c>
      <c r="D57" s="1" t="n">
        <v>1.1281</v>
      </c>
      <c r="E57" s="1" t="n">
        <v>0.120201</v>
      </c>
      <c r="F57" s="1" t="n">
        <v>0.000327972</v>
      </c>
      <c r="G57" s="1" t="s">
        <v>37</v>
      </c>
      <c r="H57" s="1" t="n">
        <v>3.6</v>
      </c>
      <c r="I57" s="1" t="n">
        <v>173.7</v>
      </c>
      <c r="J57" s="1" t="n">
        <v>6.8</v>
      </c>
      <c r="K57" s="1" t="n">
        <v>84.7</v>
      </c>
      <c r="L57" s="1" t="n">
        <v>0</v>
      </c>
      <c r="M57" s="1" t="n">
        <v>0</v>
      </c>
      <c r="N57" s="1" t="s">
        <v>128</v>
      </c>
      <c r="Z57" s="0" t="n">
        <f aca="false">I57-9</f>
        <v>164.7</v>
      </c>
      <c r="AB57" s="0" t="n">
        <f aca="false">IF(Z57&lt;0,Z57+360,Z57+0)</f>
        <v>164.7</v>
      </c>
    </row>
    <row r="58" customFormat="false" ht="15.8" hidden="false" customHeight="false" outlineLevel="0" collapsed="false">
      <c r="A58" s="1" t="n">
        <v>3</v>
      </c>
      <c r="B58" s="1" t="n">
        <v>6</v>
      </c>
      <c r="C58" s="1" t="n">
        <v>2.7</v>
      </c>
      <c r="D58" s="1" t="n">
        <v>1.0039</v>
      </c>
      <c r="E58" s="1" t="n">
        <v>0.0928851</v>
      </c>
      <c r="F58" s="1" t="n">
        <v>0.00025344</v>
      </c>
      <c r="G58" s="1" t="s">
        <v>27</v>
      </c>
      <c r="H58" s="1" t="n">
        <v>134.3</v>
      </c>
      <c r="I58" s="1" t="n">
        <v>37.9</v>
      </c>
      <c r="J58" s="1" t="n">
        <v>0</v>
      </c>
      <c r="K58" s="1"/>
      <c r="L58" s="1" t="n">
        <v>0</v>
      </c>
      <c r="M58" s="1" t="n">
        <v>0</v>
      </c>
      <c r="N58" s="1" t="s">
        <v>128</v>
      </c>
      <c r="Z58" s="0" t="n">
        <f aca="false">I58-9</f>
        <v>28.9</v>
      </c>
      <c r="AB58" s="0" t="n">
        <f aca="false">IF(Z58&lt;0,Z58+360,Z58+0)</f>
        <v>28.9</v>
      </c>
    </row>
    <row r="59" customFormat="false" ht="15.8" hidden="false" customHeight="false" outlineLevel="0" collapsed="false">
      <c r="A59" s="1" t="n">
        <v>3</v>
      </c>
      <c r="B59" s="1" t="n">
        <v>5</v>
      </c>
      <c r="C59" s="1" t="n">
        <v>2.2</v>
      </c>
      <c r="D59" s="1" t="n">
        <v>1.0882</v>
      </c>
      <c r="E59" s="1" t="n">
        <v>0.0763153</v>
      </c>
      <c r="F59" s="1" t="n">
        <v>0.000208229</v>
      </c>
      <c r="G59" s="1" t="s">
        <v>37</v>
      </c>
      <c r="H59" s="1" t="n">
        <v>19.7</v>
      </c>
      <c r="I59" s="1" t="n">
        <v>173.1</v>
      </c>
      <c r="J59" s="1" t="n">
        <v>10.4</v>
      </c>
      <c r="K59" s="1" t="n">
        <v>134.3</v>
      </c>
      <c r="L59" s="1" t="n">
        <v>0</v>
      </c>
      <c r="M59" s="1" t="n">
        <v>0</v>
      </c>
      <c r="N59" s="1" t="s">
        <v>129</v>
      </c>
      <c r="Z59" s="0" t="n">
        <f aca="false">I59-9</f>
        <v>164.1</v>
      </c>
      <c r="AB59" s="0" t="n">
        <f aca="false">IF(Z59&lt;0,Z59+360,Z59+0)</f>
        <v>164.1</v>
      </c>
    </row>
    <row r="60" customFormat="false" ht="15.8" hidden="false" customHeight="false" outlineLevel="0" collapsed="false">
      <c r="A60" s="1" t="n">
        <v>3</v>
      </c>
      <c r="B60" s="1" t="n">
        <v>5</v>
      </c>
      <c r="C60" s="1" t="n">
        <v>1.5</v>
      </c>
      <c r="D60" s="1" t="n">
        <v>1.1564</v>
      </c>
      <c r="E60" s="1" t="n">
        <v>0.0507336</v>
      </c>
      <c r="F60" s="1" t="n">
        <v>0.000138428</v>
      </c>
      <c r="G60" s="1" t="s">
        <v>27</v>
      </c>
      <c r="H60" s="1" t="n">
        <v>98.2</v>
      </c>
      <c r="I60" s="1" t="n">
        <v>68.5</v>
      </c>
      <c r="J60" s="1" t="n">
        <v>35.3</v>
      </c>
      <c r="K60" s="1"/>
      <c r="L60" s="1" t="n">
        <v>0</v>
      </c>
      <c r="M60" s="1" t="n">
        <v>0</v>
      </c>
      <c r="N60" s="1" t="s">
        <v>129</v>
      </c>
      <c r="Z60" s="0" t="n">
        <f aca="false">I60-9</f>
        <v>59.5</v>
      </c>
      <c r="AB60" s="0" t="n">
        <f aca="false">IF(Z60&lt;0,Z60+360,Z60+0)</f>
        <v>59.5</v>
      </c>
    </row>
    <row r="61" customFormat="false" ht="15.8" hidden="false" customHeight="false" outlineLevel="0" collapsed="false">
      <c r="A61" s="1" t="n">
        <v>3</v>
      </c>
      <c r="B61" s="1" t="n">
        <v>4</v>
      </c>
      <c r="C61" s="1" t="n">
        <v>7.1</v>
      </c>
      <c r="D61" s="1" t="n">
        <v>1.2798</v>
      </c>
      <c r="E61" s="1" t="n">
        <v>0.243736</v>
      </c>
      <c r="F61" s="1" t="n">
        <v>0.000665042</v>
      </c>
      <c r="G61" s="1" t="s">
        <v>37</v>
      </c>
      <c r="H61" s="1" t="n">
        <v>86.7</v>
      </c>
      <c r="I61" s="1" t="n">
        <v>188.6</v>
      </c>
      <c r="J61" s="1" t="n">
        <v>23.6</v>
      </c>
      <c r="K61" s="1" t="n">
        <v>98.2</v>
      </c>
      <c r="L61" s="1" t="n">
        <v>0</v>
      </c>
      <c r="M61" s="1" t="n">
        <v>0</v>
      </c>
      <c r="N61" s="1" t="s">
        <v>123</v>
      </c>
      <c r="Z61" s="0" t="n">
        <f aca="false">I61-9</f>
        <v>179.6</v>
      </c>
      <c r="AB61" s="0" t="n">
        <f aca="false">IF(Z61&lt;0,Z61+360,Z61+0)</f>
        <v>179.6</v>
      </c>
    </row>
    <row r="62" customFormat="false" ht="15.8" hidden="false" customHeight="false" outlineLevel="0" collapsed="false">
      <c r="A62" s="1" t="n">
        <v>3</v>
      </c>
      <c r="B62" s="1" t="n">
        <v>5</v>
      </c>
      <c r="C62" s="1" t="n">
        <v>8.9</v>
      </c>
      <c r="D62" s="1" t="n">
        <v>1.2347</v>
      </c>
      <c r="E62" s="1" t="n">
        <v>0.30472</v>
      </c>
      <c r="F62" s="1" t="n">
        <v>0.000831439</v>
      </c>
      <c r="G62" s="1" t="s">
        <v>27</v>
      </c>
      <c r="H62" s="1" t="n">
        <v>41.6</v>
      </c>
      <c r="I62" s="1" t="n">
        <v>17.2</v>
      </c>
      <c r="J62" s="1" t="n">
        <v>8.9</v>
      </c>
      <c r="K62" s="1"/>
      <c r="L62" s="1" t="n">
        <v>0</v>
      </c>
      <c r="M62" s="1" t="n">
        <v>0</v>
      </c>
      <c r="N62" s="1" t="s">
        <v>130</v>
      </c>
      <c r="Z62" s="0" t="n">
        <f aca="false">I62-9</f>
        <v>8.2</v>
      </c>
      <c r="AB62" s="0" t="n">
        <f aca="false">IF(Z62&lt;0,Z62+360,Z62+0)</f>
        <v>8.2</v>
      </c>
    </row>
    <row r="63" customFormat="false" ht="15.8" hidden="false" customHeight="false" outlineLevel="0" collapsed="false">
      <c r="A63" s="1" t="n">
        <v>3</v>
      </c>
      <c r="B63" s="1" t="n">
        <v>6</v>
      </c>
      <c r="C63" s="1" t="n">
        <v>0.9</v>
      </c>
      <c r="D63" s="1" t="n">
        <v>1.1231</v>
      </c>
      <c r="E63" s="1" t="n">
        <v>0.0308547</v>
      </c>
      <c r="F63" s="1" t="n">
        <v>8.41882E-005</v>
      </c>
      <c r="G63" s="1" t="s">
        <v>27</v>
      </c>
      <c r="H63" s="1" t="n">
        <v>85.7</v>
      </c>
      <c r="I63" s="1" t="n">
        <v>190.6</v>
      </c>
      <c r="J63" s="1" t="n">
        <v>-27.5</v>
      </c>
      <c r="K63" s="1"/>
      <c r="L63" s="1" t="n">
        <v>0</v>
      </c>
      <c r="M63" s="1" t="n">
        <v>0</v>
      </c>
      <c r="N63" s="1" t="s">
        <v>131</v>
      </c>
      <c r="Z63" s="0" t="n">
        <f aca="false">I63-9</f>
        <v>181.6</v>
      </c>
      <c r="AB63" s="0" t="n">
        <f aca="false">IF(Z63&lt;0,Z63+360,Z63+0)</f>
        <v>181.6</v>
      </c>
    </row>
    <row r="64" customFormat="false" ht="15.8" hidden="false" customHeight="false" outlineLevel="0" collapsed="false">
      <c r="A64" s="1" t="n">
        <v>3</v>
      </c>
      <c r="B64" s="1" t="n">
        <v>7</v>
      </c>
      <c r="C64" s="1" t="n">
        <v>8.7</v>
      </c>
      <c r="D64" s="1" t="n">
        <v>1.2837</v>
      </c>
      <c r="E64" s="1" t="n">
        <v>0.298948</v>
      </c>
      <c r="F64" s="1" t="n">
        <v>0.000815691</v>
      </c>
      <c r="G64" s="1" t="s">
        <v>27</v>
      </c>
      <c r="H64" s="1" t="n">
        <v>12.5</v>
      </c>
      <c r="I64" s="1" t="n">
        <v>51.3</v>
      </c>
      <c r="J64" s="1" t="n">
        <v>9.4</v>
      </c>
      <c r="K64" s="1"/>
      <c r="L64" s="1" t="n">
        <v>0</v>
      </c>
      <c r="M64" s="1" t="n">
        <v>0</v>
      </c>
      <c r="N64" s="1" t="s">
        <v>132</v>
      </c>
      <c r="Z64" s="0" t="n">
        <f aca="false">I64-9</f>
        <v>42.3</v>
      </c>
      <c r="AB64" s="0" t="n">
        <f aca="false">IF(Z64&lt;0,Z64+360,Z64+0)</f>
        <v>42.3</v>
      </c>
    </row>
    <row r="65" customFormat="false" ht="15.8" hidden="false" customHeight="false" outlineLevel="0" collapsed="false">
      <c r="A65" s="1" t="n">
        <v>3</v>
      </c>
      <c r="B65" s="1" t="n">
        <v>9</v>
      </c>
      <c r="C65" s="1" t="n">
        <v>0.8</v>
      </c>
      <c r="D65" s="1" t="n">
        <v>1.0971</v>
      </c>
      <c r="E65" s="1" t="n">
        <v>0.0276786</v>
      </c>
      <c r="F65" s="1" t="n">
        <v>7.5522E-005</v>
      </c>
      <c r="G65" s="1" t="s">
        <v>27</v>
      </c>
      <c r="H65" s="1" t="n">
        <v>48.7</v>
      </c>
      <c r="I65" s="1" t="n">
        <v>237.7</v>
      </c>
      <c r="J65" s="1" t="n">
        <v>0</v>
      </c>
      <c r="K65" s="1"/>
      <c r="L65" s="1" t="n">
        <v>0</v>
      </c>
      <c r="M65" s="1" t="n">
        <v>0</v>
      </c>
      <c r="N65" s="1" t="s">
        <v>133</v>
      </c>
      <c r="Z65" s="0" t="n">
        <f aca="false">I65-9</f>
        <v>228.7</v>
      </c>
      <c r="AB65" s="0" t="n">
        <f aca="false">IF(Z65&lt;0,Z65+360,Z65+0)</f>
        <v>228.7</v>
      </c>
    </row>
    <row r="66" customFormat="false" ht="15.8" hidden="false" customHeight="false" outlineLevel="0" collapsed="false">
      <c r="A66" s="1" t="n">
        <v>3</v>
      </c>
      <c r="B66" s="1" t="n">
        <v>9</v>
      </c>
      <c r="C66" s="1" t="n">
        <v>4.4</v>
      </c>
      <c r="D66" s="1" t="n">
        <v>1.2417</v>
      </c>
      <c r="E66" s="1" t="n">
        <v>0.152189</v>
      </c>
      <c r="F66" s="1" t="n">
        <v>0.000415252</v>
      </c>
      <c r="G66" s="1" t="s">
        <v>27</v>
      </c>
      <c r="H66" s="1" t="n">
        <v>44.2</v>
      </c>
      <c r="I66" s="1" t="n">
        <v>148</v>
      </c>
      <c r="J66" s="1" t="n">
        <v>18.1</v>
      </c>
      <c r="K66" s="1"/>
      <c r="L66" s="1" t="n">
        <v>0</v>
      </c>
      <c r="M66" s="1" t="n">
        <v>0</v>
      </c>
      <c r="N66" s="1" t="s">
        <v>133</v>
      </c>
      <c r="Z66" s="0" t="n">
        <f aca="false">I66-9</f>
        <v>139</v>
      </c>
      <c r="AB66" s="0" t="n">
        <f aca="false">IF(Z66&lt;0,Z66+360,Z66+0)</f>
        <v>139</v>
      </c>
    </row>
    <row r="67" customFormat="false" ht="15.8" hidden="false" customHeight="false" outlineLevel="0" collapsed="false">
      <c r="A67" s="1" t="n">
        <v>3</v>
      </c>
      <c r="B67" s="1" t="n">
        <v>8</v>
      </c>
      <c r="C67" s="1" t="n">
        <v>2.4</v>
      </c>
      <c r="D67" s="1" t="n">
        <v>1.0385</v>
      </c>
      <c r="E67" s="1" t="n">
        <v>0.0814602</v>
      </c>
      <c r="F67" s="1" t="n">
        <v>0.000222267</v>
      </c>
      <c r="G67" s="1" t="s">
        <v>37</v>
      </c>
      <c r="H67" s="1" t="n">
        <v>60.3</v>
      </c>
      <c r="I67" s="1" t="n">
        <v>189.1</v>
      </c>
      <c r="J67" s="1" t="n">
        <v>0</v>
      </c>
      <c r="K67" s="1" t="n">
        <v>48.7</v>
      </c>
      <c r="L67" s="1" t="n">
        <v>0</v>
      </c>
      <c r="M67" s="1" t="n">
        <v>0</v>
      </c>
      <c r="N67" s="1" t="s">
        <v>134</v>
      </c>
      <c r="Z67" s="0" t="n">
        <f aca="false">I67-9</f>
        <v>180.1</v>
      </c>
      <c r="AB67" s="0" t="n">
        <f aca="false">IF(Z67&lt;0,Z67+360,Z67+0)</f>
        <v>180.1</v>
      </c>
    </row>
    <row r="68" customFormat="false" ht="15.8" hidden="false" customHeight="false" outlineLevel="0" collapsed="false">
      <c r="A68" s="1" t="n">
        <v>3</v>
      </c>
      <c r="B68" s="1" t="n">
        <v>9</v>
      </c>
      <c r="C68" s="1" t="n">
        <v>0.8</v>
      </c>
      <c r="D68" s="1" t="n">
        <v>1.1987</v>
      </c>
      <c r="E68" s="1" t="n">
        <v>0.0270973</v>
      </c>
      <c r="F68" s="1" t="n">
        <v>7.3936E-005</v>
      </c>
      <c r="G68" s="1" t="s">
        <v>27</v>
      </c>
      <c r="H68" s="1" t="n">
        <v>52.9</v>
      </c>
      <c r="I68" s="1" t="n">
        <v>16.3</v>
      </c>
      <c r="J68" s="1" t="n">
        <v>34.1</v>
      </c>
      <c r="K68" s="1"/>
      <c r="L68" s="1" t="n">
        <v>0</v>
      </c>
      <c r="M68" s="1" t="n">
        <v>0</v>
      </c>
      <c r="N68" s="1" t="s">
        <v>135</v>
      </c>
      <c r="Z68" s="0" t="n">
        <f aca="false">I68-9</f>
        <v>7.3</v>
      </c>
      <c r="AB68" s="0" t="n">
        <f aca="false">IF(Z68&lt;0,Z68+360,Z68+0)</f>
        <v>7.3</v>
      </c>
    </row>
    <row r="69" customFormat="false" ht="15.8" hidden="false" customHeight="false" outlineLevel="0" collapsed="false">
      <c r="A69" s="1" t="n">
        <v>3</v>
      </c>
      <c r="B69" s="1" t="n">
        <v>11</v>
      </c>
      <c r="C69" s="1" t="n">
        <v>2.5</v>
      </c>
      <c r="D69" s="1" t="n">
        <v>1.4957</v>
      </c>
      <c r="E69" s="1" t="n">
        <v>0.0840381</v>
      </c>
      <c r="F69" s="1" t="n">
        <v>0.000229301</v>
      </c>
      <c r="G69" s="1" t="s">
        <v>27</v>
      </c>
      <c r="H69" s="1" t="n">
        <v>38.9</v>
      </c>
      <c r="I69" s="1" t="n">
        <v>131.1</v>
      </c>
      <c r="J69" s="1" t="n">
        <v>-26.8</v>
      </c>
      <c r="K69" s="1"/>
      <c r="L69" s="1" t="n">
        <v>0</v>
      </c>
      <c r="M69" s="1" t="n">
        <v>0</v>
      </c>
      <c r="N69" s="1" t="s">
        <v>136</v>
      </c>
      <c r="Z69" s="0" t="n">
        <f aca="false">I69-9</f>
        <v>122.1</v>
      </c>
      <c r="AB69" s="0" t="n">
        <f aca="false">IF(Z69&lt;0,Z69+360,Z69+0)</f>
        <v>122.1</v>
      </c>
    </row>
    <row r="70" customFormat="false" ht="15.8" hidden="false" customHeight="false" outlineLevel="0" collapsed="false">
      <c r="A70" s="1" t="n">
        <v>3</v>
      </c>
      <c r="B70" s="1" t="n">
        <v>11</v>
      </c>
      <c r="C70" s="1" t="n">
        <v>8.7</v>
      </c>
      <c r="D70" s="1" t="n">
        <v>1.2912</v>
      </c>
      <c r="E70" s="1" t="n">
        <v>0.297685</v>
      </c>
      <c r="F70" s="1" t="n">
        <v>0.000812244</v>
      </c>
      <c r="G70" s="1" t="s">
        <v>27</v>
      </c>
      <c r="H70" s="1" t="n">
        <v>76.1</v>
      </c>
      <c r="I70" s="1" t="n">
        <v>29.1</v>
      </c>
      <c r="J70" s="1" t="n">
        <v>19.3</v>
      </c>
      <c r="K70" s="1"/>
      <c r="L70" s="1" t="n">
        <v>0</v>
      </c>
      <c r="M70" s="1" t="n">
        <v>0</v>
      </c>
      <c r="N70" s="1" t="s">
        <v>136</v>
      </c>
      <c r="Z70" s="0" t="n">
        <f aca="false">I70-9</f>
        <v>20.1</v>
      </c>
      <c r="AB70" s="0" t="n">
        <f aca="false">IF(Z70&lt;0,Z70+360,Z70+0)</f>
        <v>20.1</v>
      </c>
    </row>
    <row r="71" customFormat="false" ht="15.8" hidden="false" customHeight="false" outlineLevel="0" collapsed="false">
      <c r="A71" s="1" t="n">
        <v>3</v>
      </c>
      <c r="B71" s="1" t="n">
        <v>10</v>
      </c>
      <c r="C71" s="1" t="n">
        <v>9.2</v>
      </c>
      <c r="D71" s="1" t="n">
        <v>1.4383</v>
      </c>
      <c r="E71" s="1" t="n">
        <v>0.315647</v>
      </c>
      <c r="F71" s="1" t="n">
        <v>0.000861255</v>
      </c>
      <c r="G71" s="1" t="s">
        <v>37</v>
      </c>
      <c r="H71" s="1" t="n">
        <v>11.2</v>
      </c>
      <c r="I71" s="1" t="n">
        <v>105.6</v>
      </c>
      <c r="J71" s="1" t="n">
        <v>3.3</v>
      </c>
      <c r="K71" s="1" t="n">
        <v>76.1</v>
      </c>
      <c r="L71" s="1" t="n">
        <v>0</v>
      </c>
      <c r="M71" s="1" t="n">
        <v>0</v>
      </c>
      <c r="N71" s="1" t="s">
        <v>137</v>
      </c>
      <c r="Z71" s="0" t="n">
        <f aca="false">I71-9</f>
        <v>96.6</v>
      </c>
      <c r="AB71" s="0" t="n">
        <f aca="false">IF(Z71&lt;0,Z71+360,Z71+0)</f>
        <v>96.6</v>
      </c>
    </row>
    <row r="72" customFormat="false" ht="15.8" hidden="false" customHeight="false" outlineLevel="0" collapsed="false">
      <c r="A72" s="1" t="n">
        <v>3</v>
      </c>
      <c r="B72" s="1" t="n">
        <v>11</v>
      </c>
      <c r="C72" s="1" t="n">
        <v>1.4</v>
      </c>
      <c r="D72" s="1" t="n">
        <v>1.4935</v>
      </c>
      <c r="E72" s="1" t="n">
        <v>0.047105</v>
      </c>
      <c r="F72" s="1" t="n">
        <v>0.000128528</v>
      </c>
      <c r="G72" s="1" t="s">
        <v>27</v>
      </c>
      <c r="H72" s="1" t="n">
        <v>121.7</v>
      </c>
      <c r="I72" s="1" t="n">
        <v>356.3</v>
      </c>
      <c r="J72" s="1" t="n">
        <v>-23.7</v>
      </c>
      <c r="K72" s="1"/>
      <c r="L72" s="1" t="n">
        <v>0</v>
      </c>
      <c r="M72" s="1" t="n">
        <v>0</v>
      </c>
      <c r="N72" s="1" t="s">
        <v>138</v>
      </c>
      <c r="Z72" s="0" t="n">
        <f aca="false">I72-9</f>
        <v>347.3</v>
      </c>
      <c r="AB72" s="0" t="n">
        <f aca="false">IF(Z72&lt;0,Z72+360,Z72+0)</f>
        <v>347.3</v>
      </c>
    </row>
    <row r="73" customFormat="false" ht="15.8" hidden="false" customHeight="false" outlineLevel="0" collapsed="false">
      <c r="A73" s="1" t="n">
        <v>3</v>
      </c>
      <c r="B73" s="1" t="n">
        <v>11</v>
      </c>
      <c r="C73" s="1" t="n">
        <v>3.6</v>
      </c>
      <c r="D73" s="1" t="n">
        <v>1.236</v>
      </c>
      <c r="E73" s="1" t="n">
        <v>0.127616</v>
      </c>
      <c r="F73" s="1" t="n">
        <v>0.000370116</v>
      </c>
      <c r="G73" s="1" t="s">
        <v>27</v>
      </c>
      <c r="H73" s="1" t="n">
        <v>82</v>
      </c>
      <c r="I73" s="1" t="n">
        <v>355.6</v>
      </c>
      <c r="J73" s="1" t="n">
        <v>39.7</v>
      </c>
      <c r="K73" s="1"/>
      <c r="L73" s="1" t="n">
        <v>0</v>
      </c>
      <c r="M73" s="1" t="n">
        <v>0</v>
      </c>
      <c r="N73" s="1" t="s">
        <v>138</v>
      </c>
      <c r="Z73" s="0" t="n">
        <f aca="false">I73-9</f>
        <v>346.6</v>
      </c>
      <c r="AB73" s="0" t="n">
        <f aca="false">IF(Z73&lt;0,Z73+360,Z73+0)</f>
        <v>346.6</v>
      </c>
    </row>
    <row r="74" customFormat="false" ht="15.8" hidden="false" customHeight="false" outlineLevel="0" collapsed="false">
      <c r="A74" s="1" t="n">
        <v>3</v>
      </c>
      <c r="B74" s="1" t="n">
        <v>10</v>
      </c>
      <c r="C74" s="1" t="n">
        <v>5.3</v>
      </c>
      <c r="D74" s="1" t="n">
        <v>1.2343</v>
      </c>
      <c r="E74" s="1" t="n">
        <v>0.181927</v>
      </c>
      <c r="F74" s="1" t="n">
        <v>0.000496394</v>
      </c>
      <c r="G74" s="1" t="s">
        <v>37</v>
      </c>
      <c r="H74" s="1" t="n">
        <v>45</v>
      </c>
      <c r="I74" s="1" t="n">
        <v>109.1</v>
      </c>
      <c r="J74" s="1" t="n">
        <v>37</v>
      </c>
      <c r="K74" s="1" t="n">
        <v>121.7</v>
      </c>
      <c r="L74" s="1" t="n">
        <v>0</v>
      </c>
      <c r="M74" s="1" t="n">
        <v>0</v>
      </c>
      <c r="N74" s="1" t="s">
        <v>137</v>
      </c>
      <c r="Z74" s="0" t="n">
        <f aca="false">I74-9</f>
        <v>100.1</v>
      </c>
      <c r="AB74" s="0" t="n">
        <f aca="false">IF(Z74&lt;0,Z74+360,Z74+0)</f>
        <v>100.1</v>
      </c>
    </row>
    <row r="75" customFormat="false" ht="15.8" hidden="false" customHeight="false" outlineLevel="0" collapsed="false">
      <c r="A75" s="1" t="n">
        <v>3</v>
      </c>
      <c r="B75" s="1" t="n">
        <v>9</v>
      </c>
      <c r="C75" s="1" t="n">
        <v>3.1</v>
      </c>
      <c r="D75" s="1" t="n">
        <v>1.1466</v>
      </c>
      <c r="E75" s="1" t="n">
        <v>0.106675</v>
      </c>
      <c r="F75" s="1" t="n">
        <v>0.000291067</v>
      </c>
      <c r="G75" s="1" t="s">
        <v>37</v>
      </c>
      <c r="H75" s="1" t="n">
        <v>41.7</v>
      </c>
      <c r="I75" s="1" t="n">
        <v>105.8</v>
      </c>
      <c r="J75" s="1" t="n">
        <v>-7.8</v>
      </c>
      <c r="K75" s="1" t="n">
        <v>45</v>
      </c>
      <c r="L75" s="1" t="n">
        <v>0</v>
      </c>
      <c r="M75" s="1" t="n">
        <v>0</v>
      </c>
      <c r="N75" s="1" t="s">
        <v>135</v>
      </c>
      <c r="Z75" s="0" t="n">
        <f aca="false">I75-9</f>
        <v>96.8</v>
      </c>
      <c r="AB75" s="0" t="n">
        <f aca="false">IF(Z75&lt;0,Z75+360,Z75+0)</f>
        <v>96.8</v>
      </c>
    </row>
    <row r="76" customFormat="false" ht="15.8" hidden="false" customHeight="false" outlineLevel="0" collapsed="false">
      <c r="A76" s="1" t="n">
        <v>3</v>
      </c>
      <c r="B76" s="1" t="n">
        <v>8</v>
      </c>
      <c r="C76" s="1" t="n">
        <v>5.1</v>
      </c>
      <c r="D76" s="1" t="n">
        <v>1.2067</v>
      </c>
      <c r="E76" s="1" t="n">
        <v>0.175447</v>
      </c>
      <c r="F76" s="1" t="n">
        <v>0.000478713</v>
      </c>
      <c r="G76" s="1" t="s">
        <v>37</v>
      </c>
      <c r="H76" s="1" t="n">
        <v>53.4</v>
      </c>
      <c r="I76" s="1" t="n">
        <v>74.6</v>
      </c>
      <c r="J76" s="1" t="n">
        <v>20.4</v>
      </c>
      <c r="K76" s="1" t="n">
        <v>52.9</v>
      </c>
      <c r="L76" s="1" t="n">
        <v>0</v>
      </c>
      <c r="M76" s="1" t="n">
        <v>0</v>
      </c>
      <c r="N76" s="1" t="s">
        <v>134</v>
      </c>
      <c r="Z76" s="0" t="n">
        <f aca="false">I76-9</f>
        <v>65.6</v>
      </c>
      <c r="AB76" s="0" t="n">
        <f aca="false">IF(Z76&lt;0,Z76+360,Z76+0)</f>
        <v>65.6</v>
      </c>
    </row>
    <row r="77" customFormat="false" ht="15.8" hidden="false" customHeight="false" outlineLevel="0" collapsed="false">
      <c r="A77" s="1" t="n">
        <v>3</v>
      </c>
      <c r="B77" s="1" t="n">
        <v>7</v>
      </c>
      <c r="C77" s="1" t="n">
        <v>4.7</v>
      </c>
      <c r="D77" s="1" t="n">
        <v>1.2049</v>
      </c>
      <c r="E77" s="1" t="n">
        <v>0.158604</v>
      </c>
      <c r="F77" s="1" t="n">
        <v>0.000429547</v>
      </c>
      <c r="G77" s="1" t="s">
        <v>37</v>
      </c>
      <c r="H77" s="1" t="n">
        <v>72.8</v>
      </c>
      <c r="I77" s="1" t="n">
        <v>129.4</v>
      </c>
      <c r="J77" s="1" t="n">
        <v>11</v>
      </c>
      <c r="K77" s="1" t="n">
        <v>60.3</v>
      </c>
      <c r="L77" s="1" t="n">
        <v>0</v>
      </c>
      <c r="M77" s="1" t="n">
        <v>0</v>
      </c>
      <c r="N77" s="1" t="s">
        <v>132</v>
      </c>
      <c r="Z77" s="0" t="n">
        <f aca="false">I77-9</f>
        <v>120.4</v>
      </c>
      <c r="AB77" s="0" t="n">
        <f aca="false">IF(Z77&lt;0,Z77+360,Z77+0)</f>
        <v>120.4</v>
      </c>
    </row>
    <row r="78" customFormat="false" ht="15.8" hidden="false" customHeight="false" outlineLevel="0" collapsed="false">
      <c r="A78" s="1" t="n">
        <v>3</v>
      </c>
      <c r="B78" s="1" t="n">
        <v>6</v>
      </c>
      <c r="C78" s="1" t="n">
        <v>5.8</v>
      </c>
      <c r="D78" s="1" t="n">
        <v>1.1517</v>
      </c>
      <c r="E78" s="1" t="n">
        <v>0.19801</v>
      </c>
      <c r="F78" s="1" t="n">
        <v>0.000540277</v>
      </c>
      <c r="G78" s="1" t="s">
        <v>37</v>
      </c>
      <c r="H78" s="1" t="n">
        <v>56.4</v>
      </c>
      <c r="I78" s="1" t="n">
        <v>53.7</v>
      </c>
      <c r="J78" s="1" t="n">
        <v>21.7</v>
      </c>
      <c r="K78" s="1" t="n">
        <v>72.8</v>
      </c>
      <c r="L78" s="1" t="n">
        <v>0</v>
      </c>
      <c r="M78" s="1" t="n">
        <v>0</v>
      </c>
      <c r="N78" s="1" t="s">
        <v>131</v>
      </c>
      <c r="Z78" s="0" t="n">
        <f aca="false">I78-9</f>
        <v>44.7</v>
      </c>
      <c r="AB78" s="0" t="n">
        <f aca="false">IF(Z78&lt;0,Z78+360,Z78+0)</f>
        <v>44.7</v>
      </c>
    </row>
    <row r="79" customFormat="false" ht="15.8" hidden="false" customHeight="false" outlineLevel="0" collapsed="false">
      <c r="A79" s="1" t="n">
        <v>3</v>
      </c>
      <c r="B79" s="1" t="n">
        <v>5</v>
      </c>
      <c r="C79" s="1" t="n">
        <v>1.9</v>
      </c>
      <c r="D79" s="1" t="n">
        <v>1.1149</v>
      </c>
      <c r="E79" s="1" t="n">
        <v>0.0661814</v>
      </c>
      <c r="F79" s="1" t="n">
        <v>0.000180578</v>
      </c>
      <c r="G79" s="1" t="s">
        <v>37</v>
      </c>
      <c r="H79" s="1" t="n">
        <v>51.6</v>
      </c>
      <c r="I79" s="1" t="n">
        <v>112.2</v>
      </c>
      <c r="J79" s="1" t="n">
        <v>12.3</v>
      </c>
      <c r="K79" s="1" t="n">
        <v>85.7</v>
      </c>
      <c r="L79" s="1" t="n">
        <v>0</v>
      </c>
      <c r="M79" s="1" t="n">
        <v>0</v>
      </c>
      <c r="N79" s="1" t="s">
        <v>130</v>
      </c>
      <c r="Z79" s="0" t="n">
        <f aca="false">I79-9</f>
        <v>103.2</v>
      </c>
      <c r="AB79" s="0" t="n">
        <f aca="false">IF(Z79&lt;0,Z79+360,Z79+0)</f>
        <v>103.2</v>
      </c>
    </row>
    <row r="80" customFormat="false" ht="15.8" hidden="false" customHeight="false" outlineLevel="0" collapsed="false">
      <c r="A80" s="1" t="n">
        <v>3</v>
      </c>
      <c r="B80" s="1" t="n">
        <v>4</v>
      </c>
      <c r="C80" s="1" t="n">
        <v>5.3</v>
      </c>
      <c r="D80" s="1" t="n">
        <v>1.1652</v>
      </c>
      <c r="E80" s="1" t="n">
        <v>0.182293</v>
      </c>
      <c r="F80" s="1" t="n">
        <v>0.000497392</v>
      </c>
      <c r="G80" s="1" t="s">
        <v>37</v>
      </c>
      <c r="H80" s="1" t="n">
        <v>33.6</v>
      </c>
      <c r="I80" s="1" t="n">
        <v>58.9</v>
      </c>
      <c r="J80" s="1" t="n">
        <v>18.9</v>
      </c>
      <c r="K80" s="1" t="n">
        <v>51.6</v>
      </c>
      <c r="L80" s="1" t="n">
        <v>0</v>
      </c>
      <c r="M80" s="1" t="n">
        <v>0</v>
      </c>
      <c r="N80" s="1" t="s">
        <v>123</v>
      </c>
      <c r="Z80" s="0" t="n">
        <f aca="false">I80-9</f>
        <v>49.9</v>
      </c>
      <c r="AB80" s="0" t="n">
        <f aca="false">IF(Z80&lt;0,Z80+360,Z80+0)</f>
        <v>49.9</v>
      </c>
    </row>
    <row r="81" customFormat="false" ht="15.8" hidden="false" customHeight="false" outlineLevel="0" collapsed="false">
      <c r="A81" s="1" t="n">
        <v>3</v>
      </c>
      <c r="B81" s="1" t="n">
        <v>3</v>
      </c>
      <c r="C81" s="1" t="n">
        <v>3.4</v>
      </c>
      <c r="D81" s="1" t="n">
        <v>1.3905</v>
      </c>
      <c r="E81" s="1" t="n">
        <v>0.116118</v>
      </c>
      <c r="F81" s="1" t="n">
        <v>0.000316831</v>
      </c>
      <c r="G81" s="1" t="s">
        <v>37</v>
      </c>
      <c r="H81" s="1" t="n">
        <v>45.1</v>
      </c>
      <c r="I81" s="1" t="n">
        <v>94.3</v>
      </c>
      <c r="J81" s="1" t="n">
        <v>17.7</v>
      </c>
      <c r="K81" s="1" t="n">
        <v>86.7</v>
      </c>
      <c r="L81" s="1" t="n">
        <v>0</v>
      </c>
      <c r="M81" s="1" t="n">
        <v>0</v>
      </c>
      <c r="N81" s="1" t="s">
        <v>105</v>
      </c>
      <c r="Z81" s="0" t="n">
        <f aca="false">I81-9</f>
        <v>85.3</v>
      </c>
      <c r="AB81" s="0" t="n">
        <f aca="false">IF(Z81&lt;0,Z81+360,Z81+0)</f>
        <v>85.3</v>
      </c>
    </row>
    <row r="82" customFormat="false" ht="15.8" hidden="false" customHeight="false" outlineLevel="0" collapsed="false">
      <c r="A82" s="1" t="n">
        <v>3</v>
      </c>
      <c r="B82" s="1" t="n">
        <v>2</v>
      </c>
      <c r="C82" s="1" t="n">
        <v>1.1</v>
      </c>
      <c r="D82" s="1" t="n">
        <v>1.1196</v>
      </c>
      <c r="E82" s="1" t="n">
        <v>0.0363389</v>
      </c>
      <c r="F82" s="1" t="n">
        <v>9.9152E-005</v>
      </c>
      <c r="G82" s="1" t="s">
        <v>37</v>
      </c>
      <c r="H82" s="1" t="n">
        <v>49.7</v>
      </c>
      <c r="I82" s="1" t="n">
        <v>56.3</v>
      </c>
      <c r="J82" s="1" t="n">
        <v>51.4</v>
      </c>
      <c r="K82" s="1" t="n">
        <v>80.1</v>
      </c>
      <c r="L82" s="1" t="n">
        <v>0</v>
      </c>
      <c r="M82" s="1" t="n">
        <v>0</v>
      </c>
      <c r="N82" s="1" t="s">
        <v>97</v>
      </c>
      <c r="Z82" s="0" t="n">
        <f aca="false">I82-9</f>
        <v>47.3</v>
      </c>
      <c r="AB82" s="0" t="n">
        <f aca="false">IF(Z82&lt;0,Z82+360,Z82+0)</f>
        <v>47.3</v>
      </c>
    </row>
    <row r="83" customFormat="false" ht="15.8" hidden="false" customHeight="false" outlineLevel="0" collapsed="false">
      <c r="A83" s="1" t="n">
        <v>3</v>
      </c>
      <c r="B83" s="1" t="n">
        <v>1</v>
      </c>
      <c r="C83" s="1" t="n">
        <v>2.7</v>
      </c>
      <c r="D83" s="1" t="n">
        <v>1.1997</v>
      </c>
      <c r="E83" s="1" t="n">
        <v>0.0916794</v>
      </c>
      <c r="F83" s="1" t="n">
        <v>0.00025015</v>
      </c>
      <c r="G83" s="1" t="s">
        <v>37</v>
      </c>
      <c r="H83" s="1"/>
      <c r="I83" s="1" t="n">
        <v>7.5</v>
      </c>
      <c r="J83" s="1" t="n">
        <v>19.4</v>
      </c>
      <c r="K83" s="1" t="n">
        <v>49.7</v>
      </c>
      <c r="L83" s="1" t="n">
        <v>0</v>
      </c>
      <c r="M83" s="1" t="n">
        <v>0</v>
      </c>
      <c r="N83" s="1" t="s">
        <v>139</v>
      </c>
      <c r="Z83" s="0" t="n">
        <f aca="false">I83-9</f>
        <v>-1.5</v>
      </c>
      <c r="AB83" s="0" t="n">
        <f aca="false">IF(Z83&lt;0,Z83+360,Z83+0)</f>
        <v>358.5</v>
      </c>
    </row>
    <row r="84" customFormat="false" ht="15.8" hidden="false" customHeight="false" outlineLevel="0" collapsed="false">
      <c r="A84" s="1" t="n">
        <v>4</v>
      </c>
      <c r="B84" s="1" t="n">
        <v>2</v>
      </c>
      <c r="C84" s="1" t="n">
        <v>1.2</v>
      </c>
      <c r="D84" s="1" t="n">
        <v>1.3622</v>
      </c>
      <c r="E84" s="1" t="n">
        <v>0.0425966</v>
      </c>
      <c r="F84" s="1" t="n">
        <v>0.000116226</v>
      </c>
      <c r="G84" s="1" t="s">
        <v>27</v>
      </c>
      <c r="H84" s="1" t="n">
        <v>77.1</v>
      </c>
      <c r="I84" s="1" t="n">
        <v>292.9</v>
      </c>
      <c r="J84" s="1" t="n">
        <v>-54.2</v>
      </c>
      <c r="K84" s="1"/>
      <c r="L84" s="1" t="n">
        <v>0</v>
      </c>
      <c r="M84" s="1" t="n">
        <v>0</v>
      </c>
      <c r="N84" s="1" t="s">
        <v>140</v>
      </c>
      <c r="Z84" s="0" t="n">
        <f aca="false">I84-9</f>
        <v>283.9</v>
      </c>
      <c r="AB84" s="0" t="n">
        <f aca="false">IF(Z84&lt;0,Z84+360,Z84+0)</f>
        <v>283.9</v>
      </c>
    </row>
    <row r="85" customFormat="false" ht="15.8" hidden="false" customHeight="false" outlineLevel="0" collapsed="false">
      <c r="A85" s="1" t="n">
        <v>4</v>
      </c>
      <c r="B85" s="1" t="n">
        <v>3</v>
      </c>
      <c r="C85" s="1" t="n">
        <v>1.6</v>
      </c>
      <c r="D85" s="1" t="n">
        <v>1.1903</v>
      </c>
      <c r="E85" s="1" t="n">
        <v>0.0557234</v>
      </c>
      <c r="F85" s="1" t="n">
        <v>0.000152043</v>
      </c>
      <c r="G85" s="1" t="s">
        <v>27</v>
      </c>
      <c r="H85" s="1" t="n">
        <v>39.6</v>
      </c>
      <c r="I85" s="1" t="n">
        <v>336</v>
      </c>
      <c r="J85" s="1" t="n">
        <v>-15.7</v>
      </c>
      <c r="K85" s="1"/>
      <c r="L85" s="1" t="n">
        <v>0</v>
      </c>
      <c r="M85" s="1" t="n">
        <v>0</v>
      </c>
      <c r="N85" s="1" t="s">
        <v>141</v>
      </c>
      <c r="Z85" s="0" t="n">
        <f aca="false">I85-9</f>
        <v>327</v>
      </c>
      <c r="AB85" s="0" t="n">
        <f aca="false">IF(Z85&lt;0,Z85+360,Z85+0)</f>
        <v>327</v>
      </c>
    </row>
    <row r="86" customFormat="false" ht="15.8" hidden="false" customHeight="false" outlineLevel="0" collapsed="false">
      <c r="A86" s="1" t="n">
        <v>4</v>
      </c>
      <c r="B86" s="1" t="n">
        <v>4</v>
      </c>
      <c r="C86" s="1" t="n">
        <v>1.1</v>
      </c>
      <c r="D86" s="1" t="n">
        <v>1.1778</v>
      </c>
      <c r="E86" s="1" t="n">
        <v>0.0361378</v>
      </c>
      <c r="F86" s="1" t="n">
        <v>9.86032E-005</v>
      </c>
      <c r="G86" s="1" t="s">
        <v>27</v>
      </c>
      <c r="H86" s="1" t="n">
        <v>69.8</v>
      </c>
      <c r="I86" s="1" t="n">
        <v>129</v>
      </c>
      <c r="J86" s="1" t="n">
        <v>24.4</v>
      </c>
      <c r="K86" s="1"/>
      <c r="L86" s="1" t="n">
        <v>0</v>
      </c>
      <c r="M86" s="1" t="n">
        <v>0</v>
      </c>
      <c r="N86" s="1" t="s">
        <v>142</v>
      </c>
      <c r="Z86" s="0" t="n">
        <f aca="false">I86-9</f>
        <v>120</v>
      </c>
      <c r="AB86" s="0" t="n">
        <f aca="false">IF(Z86&lt;0,Z86+360,Z86+0)</f>
        <v>120</v>
      </c>
    </row>
    <row r="87" customFormat="false" ht="15.8" hidden="false" customHeight="false" outlineLevel="0" collapsed="false">
      <c r="A87" s="1" t="n">
        <v>4</v>
      </c>
      <c r="B87" s="1" t="n">
        <v>6</v>
      </c>
      <c r="C87" s="1" t="n">
        <v>1.9</v>
      </c>
      <c r="D87" s="1" t="n">
        <v>1.0043</v>
      </c>
      <c r="E87" s="1" t="n">
        <v>0.0647526</v>
      </c>
      <c r="F87" s="1" t="n">
        <v>0.00017668</v>
      </c>
      <c r="G87" s="1" t="s">
        <v>27</v>
      </c>
      <c r="H87" s="1" t="n">
        <v>77.5</v>
      </c>
      <c r="I87" s="1" t="n">
        <v>86.2</v>
      </c>
      <c r="J87" s="1" t="n">
        <v>0</v>
      </c>
      <c r="K87" s="1"/>
      <c r="L87" s="1" t="n">
        <v>0</v>
      </c>
      <c r="M87" s="1" t="n">
        <v>0</v>
      </c>
      <c r="N87" s="1" t="s">
        <v>143</v>
      </c>
      <c r="Z87" s="0" t="n">
        <f aca="false">I87-9</f>
        <v>77.2</v>
      </c>
      <c r="AB87" s="0" t="n">
        <f aca="false">IF(Z87&lt;0,Z87+360,Z87+0)</f>
        <v>77.2</v>
      </c>
    </row>
    <row r="88" customFormat="false" ht="15.8" hidden="false" customHeight="false" outlineLevel="0" collapsed="false">
      <c r="A88" s="1" t="n">
        <v>4</v>
      </c>
      <c r="B88" s="1" t="n">
        <v>7</v>
      </c>
      <c r="C88" s="1" t="n">
        <v>1.8</v>
      </c>
      <c r="D88" s="1" t="n">
        <v>1.122</v>
      </c>
      <c r="E88" s="1" t="n">
        <v>0.0619915</v>
      </c>
      <c r="F88" s="1" t="n">
        <v>0.000169146</v>
      </c>
      <c r="G88" s="1" t="s">
        <v>27</v>
      </c>
      <c r="H88" s="1" t="n">
        <v>39.6</v>
      </c>
      <c r="I88" s="1" t="n">
        <v>55.2</v>
      </c>
      <c r="J88" s="1" t="n">
        <v>13.3</v>
      </c>
      <c r="K88" s="1"/>
      <c r="L88" s="1" t="n">
        <v>0</v>
      </c>
      <c r="M88" s="1" t="n">
        <v>0</v>
      </c>
      <c r="N88" s="1" t="s">
        <v>144</v>
      </c>
      <c r="Z88" s="0" t="n">
        <f aca="false">I88-9</f>
        <v>46.2</v>
      </c>
      <c r="AB88" s="0" t="n">
        <f aca="false">IF(Z88&lt;0,Z88+360,Z88+0)</f>
        <v>46.2</v>
      </c>
    </row>
    <row r="89" customFormat="false" ht="15.8" hidden="false" customHeight="false" outlineLevel="0" collapsed="false">
      <c r="A89" s="1" t="n">
        <v>4</v>
      </c>
      <c r="B89" s="1" t="n">
        <v>8</v>
      </c>
      <c r="C89" s="1" t="n">
        <v>2</v>
      </c>
      <c r="D89" s="1" t="n">
        <v>1.1543</v>
      </c>
      <c r="E89" s="1" t="n">
        <v>0.0681349</v>
      </c>
      <c r="F89" s="1" t="n">
        <v>0.000185908</v>
      </c>
      <c r="G89" s="1" t="s">
        <v>27</v>
      </c>
      <c r="H89" s="1" t="n">
        <v>115.2</v>
      </c>
      <c r="I89" s="1" t="n">
        <v>233.9</v>
      </c>
      <c r="J89" s="1" t="n">
        <v>25.5</v>
      </c>
      <c r="K89" s="1"/>
      <c r="L89" s="1" t="n">
        <v>0</v>
      </c>
      <c r="M89" s="1" t="n">
        <v>0</v>
      </c>
      <c r="N89" s="1" t="s">
        <v>145</v>
      </c>
      <c r="Z89" s="0" t="n">
        <f aca="false">I89-9</f>
        <v>224.9</v>
      </c>
      <c r="AB89" s="0" t="n">
        <f aca="false">IF(Z89&lt;0,Z89+360,Z89+0)</f>
        <v>224.9</v>
      </c>
    </row>
    <row r="90" customFormat="false" ht="15.8" hidden="false" customHeight="false" outlineLevel="0" collapsed="false">
      <c r="A90" s="1" t="n">
        <v>4</v>
      </c>
      <c r="B90" s="1" t="n">
        <v>9</v>
      </c>
      <c r="C90" s="1" t="n">
        <v>0.7</v>
      </c>
      <c r="D90" s="1" t="n">
        <v>1.0027</v>
      </c>
      <c r="E90" s="1" t="n">
        <v>0.0232084</v>
      </c>
      <c r="F90" s="1" t="n">
        <v>6.33251E-005</v>
      </c>
      <c r="G90" s="1" t="s">
        <v>27</v>
      </c>
      <c r="H90" s="1" t="n">
        <v>27.7</v>
      </c>
      <c r="I90" s="1" t="n">
        <v>325.5</v>
      </c>
      <c r="J90" s="1" t="n">
        <v>0</v>
      </c>
      <c r="K90" s="1"/>
      <c r="L90" s="1" t="n">
        <v>0</v>
      </c>
      <c r="M90" s="1" t="n">
        <v>0</v>
      </c>
      <c r="N90" s="1" t="s">
        <v>146</v>
      </c>
      <c r="Z90" s="0" t="n">
        <f aca="false">I90-9</f>
        <v>316.5</v>
      </c>
      <c r="AB90" s="0" t="n">
        <f aca="false">IF(Z90&lt;0,Z90+360,Z90+0)</f>
        <v>316.5</v>
      </c>
    </row>
    <row r="91" customFormat="false" ht="15.8" hidden="false" customHeight="false" outlineLevel="0" collapsed="false">
      <c r="A91" s="1" t="n">
        <v>4</v>
      </c>
      <c r="B91" s="1" t="n">
        <v>9</v>
      </c>
      <c r="C91" s="1" t="n">
        <v>0.9</v>
      </c>
      <c r="D91" s="1" t="n">
        <v>1.0197</v>
      </c>
      <c r="E91" s="1" t="n">
        <v>0.030387</v>
      </c>
      <c r="F91" s="1" t="n">
        <v>8.29119E-005</v>
      </c>
      <c r="G91" s="1" t="s">
        <v>27</v>
      </c>
      <c r="H91" s="1" t="n">
        <v>70.7</v>
      </c>
      <c r="I91" s="1" t="n">
        <v>234.7</v>
      </c>
      <c r="J91" s="1" t="n">
        <v>0</v>
      </c>
      <c r="K91" s="1"/>
      <c r="L91" s="1" t="n">
        <v>0</v>
      </c>
      <c r="M91" s="1" t="n">
        <v>0</v>
      </c>
      <c r="N91" s="1" t="s">
        <v>146</v>
      </c>
      <c r="Z91" s="0" t="n">
        <f aca="false">I91-9</f>
        <v>225.7</v>
      </c>
      <c r="AB91" s="0" t="n">
        <f aca="false">IF(Z91&lt;0,Z91+360,Z91+0)</f>
        <v>225.7</v>
      </c>
    </row>
    <row r="92" customFormat="false" ht="15.8" hidden="false" customHeight="false" outlineLevel="0" collapsed="false">
      <c r="A92" s="1" t="n">
        <v>4</v>
      </c>
      <c r="B92" s="1" t="n">
        <v>8</v>
      </c>
      <c r="C92" s="1" t="n">
        <v>2.5</v>
      </c>
      <c r="D92" s="1" t="n">
        <v>2.0793</v>
      </c>
      <c r="E92" s="1" t="n">
        <v>0.0843052</v>
      </c>
      <c r="F92" s="1" t="n">
        <v>0.00023003</v>
      </c>
      <c r="G92" s="1" t="s">
        <v>37</v>
      </c>
      <c r="H92" s="1" t="n">
        <v>51.8</v>
      </c>
      <c r="I92" s="1" t="n">
        <v>304.3</v>
      </c>
      <c r="J92" s="1" t="n">
        <v>18.2</v>
      </c>
      <c r="K92" s="1" t="n">
        <v>70.7</v>
      </c>
      <c r="L92" s="1" t="n">
        <v>0</v>
      </c>
      <c r="M92" s="1" t="n">
        <v>0</v>
      </c>
      <c r="N92" s="1" t="s">
        <v>145</v>
      </c>
      <c r="Z92" s="0" t="n">
        <f aca="false">I92-9</f>
        <v>295.3</v>
      </c>
      <c r="AB92" s="0" t="n">
        <f aca="false">IF(Z92&lt;0,Z92+360,Z92+0)</f>
        <v>295.3</v>
      </c>
    </row>
    <row r="93" customFormat="false" ht="15.8" hidden="false" customHeight="false" outlineLevel="0" collapsed="false">
      <c r="A93" s="1" t="n">
        <v>4</v>
      </c>
      <c r="B93" s="1" t="n">
        <v>7</v>
      </c>
      <c r="C93" s="1" t="n">
        <v>10</v>
      </c>
      <c r="D93" s="1" t="n">
        <v>1.328</v>
      </c>
      <c r="E93" s="1" t="n">
        <v>0.343428</v>
      </c>
      <c r="F93" s="1" t="n">
        <v>0.000937055</v>
      </c>
      <c r="G93" s="1" t="s">
        <v>37</v>
      </c>
      <c r="H93" s="1" t="n">
        <v>39.6</v>
      </c>
      <c r="I93" s="1" t="n">
        <v>345.3</v>
      </c>
      <c r="J93" s="1" t="n">
        <v>-14.2</v>
      </c>
      <c r="K93" s="1" t="n">
        <v>115.2</v>
      </c>
      <c r="L93" s="1" t="n">
        <v>0</v>
      </c>
      <c r="M93" s="1" t="n">
        <v>0</v>
      </c>
      <c r="N93" s="1" t="s">
        <v>144</v>
      </c>
      <c r="Z93" s="0" t="n">
        <f aca="false">I93-9</f>
        <v>336.3</v>
      </c>
      <c r="AB93" s="0" t="n">
        <f aca="false">IF(Z93&lt;0,Z93+360,Z93+0)</f>
        <v>336.3</v>
      </c>
    </row>
    <row r="94" customFormat="false" ht="15.8" hidden="false" customHeight="false" outlineLevel="0" collapsed="false">
      <c r="A94" s="1" t="n">
        <v>4</v>
      </c>
      <c r="B94" s="1" t="n">
        <v>6</v>
      </c>
      <c r="C94" s="1" t="n">
        <v>1.9</v>
      </c>
      <c r="D94" s="1" t="n">
        <v>1.1302</v>
      </c>
      <c r="E94" s="1" t="n">
        <v>0.0641967</v>
      </c>
      <c r="F94" s="1" t="n">
        <v>0.000175163</v>
      </c>
      <c r="G94" s="1" t="s">
        <v>37</v>
      </c>
      <c r="H94" s="1" t="n">
        <v>47.3</v>
      </c>
      <c r="I94" s="1" t="n">
        <v>14.5</v>
      </c>
      <c r="J94" s="1" t="n">
        <v>12.9</v>
      </c>
      <c r="K94" s="1" t="n">
        <v>39.6</v>
      </c>
      <c r="L94" s="1" t="n">
        <v>0</v>
      </c>
      <c r="M94" s="1" t="n">
        <v>0</v>
      </c>
      <c r="N94" s="1" t="s">
        <v>143</v>
      </c>
      <c r="Z94" s="0" t="n">
        <f aca="false">I94-9</f>
        <v>5.5</v>
      </c>
      <c r="AB94" s="0" t="n">
        <f aca="false">IF(Z94&lt;0,Z94+360,Z94+0)</f>
        <v>5.5</v>
      </c>
    </row>
    <row r="95" customFormat="false" ht="15.8" hidden="false" customHeight="false" outlineLevel="0" collapsed="false">
      <c r="A95" s="1" t="n">
        <v>4</v>
      </c>
      <c r="B95" s="1" t="n">
        <v>5</v>
      </c>
      <c r="C95" s="1" t="n">
        <v>4.6</v>
      </c>
      <c r="D95" s="1" t="n">
        <v>1.1693</v>
      </c>
      <c r="E95" s="1" t="n">
        <v>0.158108</v>
      </c>
      <c r="F95" s="1" t="n">
        <v>0.000431402</v>
      </c>
      <c r="G95" s="1" t="s">
        <v>37</v>
      </c>
      <c r="H95" s="1" t="n">
        <v>30.9</v>
      </c>
      <c r="I95" s="1" t="n">
        <v>11.4</v>
      </c>
      <c r="J95" s="1" t="n">
        <v>-34.3</v>
      </c>
      <c r="K95" s="1" t="n">
        <v>77.5</v>
      </c>
      <c r="L95" s="1" t="n">
        <v>0</v>
      </c>
      <c r="M95" s="1" t="n">
        <v>0</v>
      </c>
      <c r="N95" s="1" t="s">
        <v>147</v>
      </c>
      <c r="Z95" s="0" t="n">
        <f aca="false">I95-9</f>
        <v>2.4</v>
      </c>
      <c r="AB95" s="0" t="n">
        <f aca="false">IF(Z95&lt;0,Z95+360,Z95+0)</f>
        <v>2.4</v>
      </c>
    </row>
    <row r="96" customFormat="false" ht="15.8" hidden="false" customHeight="false" outlineLevel="0" collapsed="false">
      <c r="A96" s="1" t="n">
        <v>4</v>
      </c>
      <c r="B96" s="1" t="n">
        <v>5</v>
      </c>
      <c r="C96" s="1" t="n">
        <v>3.7</v>
      </c>
      <c r="D96" s="1" t="n">
        <v>1.1918</v>
      </c>
      <c r="E96" s="1" t="n">
        <v>0.126681</v>
      </c>
      <c r="F96" s="1" t="n">
        <v>0.000345652</v>
      </c>
      <c r="G96" s="1" t="s">
        <v>27</v>
      </c>
      <c r="H96" s="1" t="n">
        <v>64.2</v>
      </c>
      <c r="I96" s="1" t="n">
        <v>46.1</v>
      </c>
      <c r="J96" s="1" t="n">
        <v>21</v>
      </c>
      <c r="K96" s="1"/>
      <c r="L96" s="1" t="n">
        <v>0</v>
      </c>
      <c r="M96" s="1" t="n">
        <v>0</v>
      </c>
      <c r="N96" s="1" t="s">
        <v>147</v>
      </c>
      <c r="Z96" s="0" t="n">
        <f aca="false">I96-9</f>
        <v>37.1</v>
      </c>
      <c r="AB96" s="0" t="n">
        <f aca="false">IF(Z96&lt;0,Z96+360,Z96+0)</f>
        <v>37.1</v>
      </c>
    </row>
    <row r="97" customFormat="false" ht="15.8" hidden="false" customHeight="false" outlineLevel="0" collapsed="false">
      <c r="A97" s="1" t="n">
        <v>4</v>
      </c>
      <c r="B97" s="1" t="n">
        <v>4</v>
      </c>
      <c r="C97" s="1" t="n">
        <v>2.2</v>
      </c>
      <c r="D97" s="1" t="n">
        <v>1.0974</v>
      </c>
      <c r="E97" s="1" t="n">
        <v>0.0740529</v>
      </c>
      <c r="F97" s="1" t="n">
        <v>0.000202056</v>
      </c>
      <c r="G97" s="1" t="s">
        <v>37</v>
      </c>
      <c r="H97" s="1" t="n">
        <v>72.4</v>
      </c>
      <c r="I97" s="1" t="n">
        <v>349.3</v>
      </c>
      <c r="J97" s="1" t="n">
        <v>-10.8</v>
      </c>
      <c r="K97" s="1" t="n">
        <v>64.2</v>
      </c>
      <c r="L97" s="1" t="n">
        <v>0</v>
      </c>
      <c r="M97" s="1" t="n">
        <v>0</v>
      </c>
      <c r="N97" s="1" t="s">
        <v>142</v>
      </c>
      <c r="Z97" s="0" t="n">
        <f aca="false">I97-9</f>
        <v>340.3</v>
      </c>
      <c r="AB97" s="0" t="n">
        <f aca="false">IF(Z97&lt;0,Z97+360,Z97+0)</f>
        <v>340.3</v>
      </c>
    </row>
    <row r="98" customFormat="false" ht="15.8" hidden="false" customHeight="false" outlineLevel="0" collapsed="false">
      <c r="A98" s="1" t="n">
        <v>4</v>
      </c>
      <c r="B98" s="1" t="n">
        <v>3</v>
      </c>
      <c r="C98" s="1" t="n">
        <v>0.5</v>
      </c>
      <c r="D98" s="1" t="n">
        <v>1.0096</v>
      </c>
      <c r="E98" s="1" t="n">
        <v>0.0180918</v>
      </c>
      <c r="F98" s="1" t="n">
        <v>4.93642E-005</v>
      </c>
      <c r="G98" s="1" t="s">
        <v>37</v>
      </c>
      <c r="H98" s="1" t="n">
        <v>48.4</v>
      </c>
      <c r="I98" s="1" t="n">
        <v>61.3</v>
      </c>
      <c r="J98" s="1" t="n">
        <v>0</v>
      </c>
      <c r="K98" s="1" t="n">
        <v>72.4</v>
      </c>
      <c r="L98" s="1" t="n">
        <v>0</v>
      </c>
      <c r="M98" s="1" t="n">
        <v>0</v>
      </c>
      <c r="N98" s="1" t="s">
        <v>141</v>
      </c>
      <c r="Z98" s="0" t="n">
        <f aca="false">I98-9</f>
        <v>52.3</v>
      </c>
      <c r="AB98" s="0" t="n">
        <f aca="false">IF(Z98&lt;0,Z98+360,Z98+0)</f>
        <v>52.3</v>
      </c>
    </row>
    <row r="99" customFormat="false" ht="15.8" hidden="false" customHeight="false" outlineLevel="0" collapsed="false">
      <c r="A99" s="1" t="n">
        <v>4</v>
      </c>
      <c r="B99" s="1" t="n">
        <v>2</v>
      </c>
      <c r="C99" s="1" t="n">
        <v>0.6</v>
      </c>
      <c r="D99" s="1" t="n">
        <v>1.0184</v>
      </c>
      <c r="E99" s="1" t="n">
        <v>0.0222812</v>
      </c>
      <c r="F99" s="1" t="n">
        <v>6.07951E-005</v>
      </c>
      <c r="G99" s="1" t="s">
        <v>37</v>
      </c>
      <c r="H99" s="1" t="n">
        <v>12.5</v>
      </c>
      <c r="I99" s="1" t="n">
        <v>12.8</v>
      </c>
      <c r="J99" s="1" t="n">
        <v>0</v>
      </c>
      <c r="K99" s="1" t="n">
        <v>48.4</v>
      </c>
      <c r="L99" s="1" t="n">
        <v>0</v>
      </c>
      <c r="M99" s="1" t="n">
        <v>0</v>
      </c>
      <c r="N99" s="1" t="s">
        <v>140</v>
      </c>
      <c r="Z99" s="0" t="n">
        <f aca="false">I99-9</f>
        <v>3.8</v>
      </c>
      <c r="AB99" s="0" t="n">
        <f aca="false">IF(Z99&lt;0,Z99+360,Z99+0)</f>
        <v>3.8</v>
      </c>
    </row>
    <row r="100" customFormat="false" ht="15.8" hidden="false" customHeight="false" outlineLevel="0" collapsed="false">
      <c r="A100" s="1" t="n">
        <v>4</v>
      </c>
      <c r="B100" s="1" t="n">
        <v>1</v>
      </c>
      <c r="C100" s="1" t="n">
        <v>3.7</v>
      </c>
      <c r="D100" s="1" t="n">
        <v>1.0175</v>
      </c>
      <c r="E100" s="1" t="n">
        <v>0.125657</v>
      </c>
      <c r="F100" s="1" t="n">
        <v>0.000342861</v>
      </c>
      <c r="G100" s="1" t="s">
        <v>37</v>
      </c>
      <c r="H100" s="1"/>
      <c r="I100" s="1" t="n">
        <v>0.3</v>
      </c>
      <c r="J100" s="1" t="n">
        <v>0</v>
      </c>
      <c r="K100" s="1" t="n">
        <v>77.1</v>
      </c>
      <c r="L100" s="1" t="n">
        <v>0</v>
      </c>
      <c r="M100" s="1" t="n">
        <v>0</v>
      </c>
      <c r="N100" s="1" t="s">
        <v>148</v>
      </c>
      <c r="Z100" s="0" t="n">
        <f aca="false">I100-9</f>
        <v>-8.7</v>
      </c>
      <c r="AB100" s="0" t="n">
        <f aca="false">IF(Z100&lt;0,Z100+360,Z100+0)</f>
        <v>351.3</v>
      </c>
    </row>
    <row r="101" customFormat="false" ht="15.8" hidden="false" customHeight="false" outlineLevel="0" collapsed="false">
      <c r="A101" s="1" t="n">
        <v>5</v>
      </c>
      <c r="B101" s="1" t="n">
        <v>12</v>
      </c>
      <c r="C101" s="1" t="n">
        <v>4.2</v>
      </c>
      <c r="D101" s="1" t="n">
        <v>1.3076</v>
      </c>
      <c r="E101" s="1" t="n">
        <v>0.139855</v>
      </c>
      <c r="F101" s="1" t="n">
        <v>0.000377385</v>
      </c>
      <c r="G101" s="1" t="s">
        <v>27</v>
      </c>
      <c r="H101" s="1" t="n">
        <v>38.8</v>
      </c>
      <c r="I101" s="1" t="n">
        <v>225.8</v>
      </c>
      <c r="J101" s="1" t="n">
        <v>0</v>
      </c>
      <c r="K101" s="1"/>
      <c r="L101" s="1" t="n">
        <v>0</v>
      </c>
      <c r="M101" s="1" t="n">
        <v>0</v>
      </c>
      <c r="N101" s="1" t="s">
        <v>149</v>
      </c>
      <c r="Z101" s="0" t="n">
        <f aca="false">I101-9</f>
        <v>216.8</v>
      </c>
      <c r="AB101" s="0" t="n">
        <f aca="false">IF(Z101&lt;0,Z101+360,Z101+0)</f>
        <v>216.8</v>
      </c>
    </row>
    <row r="102" customFormat="false" ht="15.8" hidden="false" customHeight="false" outlineLevel="0" collapsed="false">
      <c r="A102" s="1" t="n">
        <v>5</v>
      </c>
      <c r="B102" s="1" t="n">
        <v>12</v>
      </c>
      <c r="C102" s="1" t="n">
        <v>3.5</v>
      </c>
      <c r="D102" s="1" t="n">
        <v>1.3519</v>
      </c>
      <c r="E102" s="1" t="n">
        <v>0.115591</v>
      </c>
      <c r="F102" s="1" t="n">
        <v>0.000307725</v>
      </c>
      <c r="G102" s="1" t="s">
        <v>27</v>
      </c>
      <c r="H102" s="1" t="n">
        <v>26.5</v>
      </c>
      <c r="I102" s="1" t="n">
        <v>288.1</v>
      </c>
      <c r="J102" s="1" t="n">
        <v>-25.4</v>
      </c>
      <c r="K102" s="1"/>
      <c r="L102" s="1" t="n">
        <v>0</v>
      </c>
      <c r="M102" s="1" t="n">
        <v>0</v>
      </c>
      <c r="N102" s="1" t="s">
        <v>149</v>
      </c>
      <c r="Z102" s="0" t="n">
        <f aca="false">I102-9</f>
        <v>279.1</v>
      </c>
      <c r="AB102" s="0" t="n">
        <f aca="false">IF(Z102&lt;0,Z102+360,Z102+0)</f>
        <v>279.1</v>
      </c>
    </row>
    <row r="103" customFormat="false" ht="15.8" hidden="false" customHeight="false" outlineLevel="0" collapsed="false">
      <c r="A103" s="1" t="n">
        <v>5</v>
      </c>
      <c r="B103" s="1" t="n">
        <v>11</v>
      </c>
      <c r="C103" s="1" t="n">
        <v>3.3</v>
      </c>
      <c r="D103" s="1" t="n">
        <v>1.2184</v>
      </c>
      <c r="E103" s="1" t="n">
        <v>0.112843</v>
      </c>
      <c r="F103" s="1" t="n">
        <v>0.000304865</v>
      </c>
      <c r="G103" s="1" t="s">
        <v>37</v>
      </c>
      <c r="H103" s="1" t="n">
        <v>66</v>
      </c>
      <c r="I103" s="1" t="n">
        <v>261.7</v>
      </c>
      <c r="J103" s="1" t="n">
        <v>-15.7</v>
      </c>
      <c r="K103" s="1" t="n">
        <v>38.8</v>
      </c>
      <c r="L103" s="1" t="n">
        <v>0</v>
      </c>
      <c r="M103" s="1" t="n">
        <v>0</v>
      </c>
      <c r="N103" s="1" t="s">
        <v>150</v>
      </c>
      <c r="Z103" s="0" t="n">
        <f aca="false">I103-9</f>
        <v>252.7</v>
      </c>
      <c r="AB103" s="0" t="n">
        <f aca="false">IF(Z103&lt;0,Z103+360,Z103+0)</f>
        <v>252.7</v>
      </c>
    </row>
    <row r="104" customFormat="false" ht="15.8" hidden="false" customHeight="false" outlineLevel="0" collapsed="false">
      <c r="A104" s="1" t="n">
        <v>5</v>
      </c>
      <c r="B104" s="1" t="n">
        <v>11</v>
      </c>
      <c r="C104" s="1" t="n">
        <v>4.9</v>
      </c>
      <c r="D104" s="1" t="n">
        <v>1.6562</v>
      </c>
      <c r="E104" s="1" t="n">
        <v>0.167363</v>
      </c>
      <c r="F104" s="1" t="n">
        <v>0.000456656</v>
      </c>
      <c r="G104" s="1" t="s">
        <v>27</v>
      </c>
      <c r="H104" s="1" t="n">
        <v>20.4</v>
      </c>
      <c r="I104" s="1" t="n">
        <v>349</v>
      </c>
      <c r="J104" s="1" t="n">
        <v>-7.2</v>
      </c>
      <c r="K104" s="1"/>
      <c r="L104" s="1" t="n">
        <v>0</v>
      </c>
      <c r="M104" s="1" t="n">
        <v>0</v>
      </c>
      <c r="N104" s="1" t="s">
        <v>150</v>
      </c>
      <c r="Z104" s="0" t="n">
        <f aca="false">I104-9</f>
        <v>340</v>
      </c>
      <c r="AB104" s="0" t="n">
        <f aca="false">IF(Z104&lt;0,Z104+360,Z104+0)</f>
        <v>340</v>
      </c>
    </row>
    <row r="105" customFormat="false" ht="15.8" hidden="false" customHeight="false" outlineLevel="0" collapsed="false">
      <c r="A105" s="1" t="n">
        <v>5</v>
      </c>
      <c r="B105" s="1" t="n">
        <v>10</v>
      </c>
      <c r="C105" s="1" t="n">
        <v>7.9</v>
      </c>
      <c r="D105" s="1" t="n">
        <v>1.1576</v>
      </c>
      <c r="E105" s="1" t="n">
        <v>0.270328</v>
      </c>
      <c r="F105" s="1" t="n">
        <v>0.0007376</v>
      </c>
      <c r="G105" s="1" t="s">
        <v>37</v>
      </c>
      <c r="H105" s="1" t="n">
        <v>15.7</v>
      </c>
      <c r="I105" s="1" t="n">
        <v>328.5</v>
      </c>
      <c r="J105" s="1" t="n">
        <v>-6.2</v>
      </c>
      <c r="K105" s="1" t="n">
        <v>66</v>
      </c>
      <c r="L105" s="1" t="n">
        <v>0</v>
      </c>
      <c r="M105" s="1" t="n">
        <v>0</v>
      </c>
      <c r="N105" s="1" t="s">
        <v>151</v>
      </c>
      <c r="Z105" s="0" t="n">
        <f aca="false">I105-9</f>
        <v>319.5</v>
      </c>
      <c r="AB105" s="0" t="n">
        <f aca="false">IF(Z105&lt;0,Z105+360,Z105+0)</f>
        <v>319.5</v>
      </c>
    </row>
    <row r="106" customFormat="false" ht="15.8" hidden="false" customHeight="false" outlineLevel="0" collapsed="false">
      <c r="A106" s="1" t="n">
        <v>5</v>
      </c>
      <c r="B106" s="1" t="n">
        <v>10</v>
      </c>
      <c r="C106" s="1" t="n">
        <v>2.4</v>
      </c>
      <c r="D106" s="1" t="n">
        <v>1.1907</v>
      </c>
      <c r="E106" s="1" t="n">
        <v>0.0833304</v>
      </c>
      <c r="F106" s="1" t="n">
        <v>0.00022737</v>
      </c>
      <c r="G106" s="1" t="s">
        <v>27</v>
      </c>
      <c r="H106" s="1" t="n">
        <v>96.7</v>
      </c>
      <c r="I106" s="1" t="n">
        <v>51.3</v>
      </c>
      <c r="J106" s="1" t="n">
        <v>-21.3</v>
      </c>
      <c r="K106" s="1"/>
      <c r="L106" s="1" t="n">
        <v>0</v>
      </c>
      <c r="M106" s="1" t="n">
        <v>0</v>
      </c>
      <c r="N106" s="1" t="s">
        <v>151</v>
      </c>
      <c r="Z106" s="0" t="n">
        <f aca="false">I106-9</f>
        <v>42.3</v>
      </c>
      <c r="AB106" s="0" t="n">
        <f aca="false">IF(Z106&lt;0,Z106+360,Z106+0)</f>
        <v>42.3</v>
      </c>
    </row>
    <row r="107" customFormat="false" ht="15.8" hidden="false" customHeight="false" outlineLevel="0" collapsed="false">
      <c r="A107" s="1" t="n">
        <v>5</v>
      </c>
      <c r="B107" s="1" t="n">
        <v>9</v>
      </c>
      <c r="C107" s="1" t="n">
        <v>0.9</v>
      </c>
      <c r="D107" s="1" t="n">
        <v>1.0096</v>
      </c>
      <c r="E107" s="1" t="n">
        <v>0.0320634</v>
      </c>
      <c r="F107" s="1" t="n">
        <v>8.7486E-005</v>
      </c>
      <c r="G107" s="1" t="s">
        <v>37</v>
      </c>
      <c r="H107" s="1" t="n">
        <v>27.6</v>
      </c>
      <c r="I107" s="1" t="n">
        <v>314</v>
      </c>
      <c r="J107" s="1" t="n">
        <v>0</v>
      </c>
      <c r="K107" s="1" t="n">
        <v>96.7</v>
      </c>
      <c r="L107" s="1" t="n">
        <v>0</v>
      </c>
      <c r="M107" s="1" t="n">
        <v>0</v>
      </c>
      <c r="N107" s="1" t="s">
        <v>152</v>
      </c>
      <c r="Z107" s="0" t="n">
        <f aca="false">I107-9</f>
        <v>305</v>
      </c>
      <c r="AB107" s="0" t="n">
        <f aca="false">IF(Z107&lt;0,Z107+360,Z107+0)</f>
        <v>305</v>
      </c>
    </row>
    <row r="108" customFormat="false" ht="15.8" hidden="false" customHeight="false" outlineLevel="0" collapsed="false">
      <c r="A108" s="1" t="n">
        <v>5</v>
      </c>
      <c r="B108" s="1" t="n">
        <v>9</v>
      </c>
      <c r="C108" s="1" t="n">
        <v>1.6</v>
      </c>
      <c r="D108" s="1" t="n">
        <v>1.2414</v>
      </c>
      <c r="E108" s="1" t="n">
        <v>0.0565175</v>
      </c>
      <c r="F108" s="1" t="n">
        <v>0.00015421</v>
      </c>
      <c r="G108" s="1" t="s">
        <v>27</v>
      </c>
      <c r="H108" s="1" t="n">
        <v>68.1</v>
      </c>
      <c r="I108" s="1" t="n">
        <v>253.5</v>
      </c>
      <c r="J108" s="1" t="n">
        <v>-56.7</v>
      </c>
      <c r="K108" s="1"/>
      <c r="L108" s="1" t="n">
        <v>0</v>
      </c>
      <c r="M108" s="1" t="n">
        <v>0</v>
      </c>
      <c r="N108" s="1" t="s">
        <v>152</v>
      </c>
      <c r="Z108" s="0" t="n">
        <f aca="false">I108-9</f>
        <v>244.5</v>
      </c>
      <c r="AB108" s="0" t="n">
        <f aca="false">IF(Z108&lt;0,Z108+360,Z108+0)</f>
        <v>244.5</v>
      </c>
    </row>
    <row r="109" customFormat="false" ht="15.8" hidden="false" customHeight="false" outlineLevel="0" collapsed="false">
      <c r="A109" s="1" t="n">
        <v>5</v>
      </c>
      <c r="B109" s="1" t="n">
        <v>8</v>
      </c>
      <c r="C109" s="1" t="n">
        <v>4.4</v>
      </c>
      <c r="D109" s="1" t="n">
        <v>1.162</v>
      </c>
      <c r="E109" s="1" t="n">
        <v>0.149844</v>
      </c>
      <c r="F109" s="1" t="n">
        <v>0.000408855</v>
      </c>
      <c r="G109" s="1" t="s">
        <v>37</v>
      </c>
      <c r="H109" s="1" t="n">
        <v>38.2</v>
      </c>
      <c r="I109" s="1" t="n">
        <v>287</v>
      </c>
      <c r="J109" s="1" t="n">
        <v>5.6</v>
      </c>
      <c r="K109" s="1" t="n">
        <v>68.1</v>
      </c>
      <c r="L109" s="1" t="n">
        <v>0</v>
      </c>
      <c r="M109" s="1" t="n">
        <v>0</v>
      </c>
      <c r="N109" s="1" t="s">
        <v>153</v>
      </c>
      <c r="Z109" s="0" t="n">
        <f aca="false">I109-9</f>
        <v>278</v>
      </c>
      <c r="AB109" s="0" t="n">
        <f aca="false">IF(Z109&lt;0,Z109+360,Z109+0)</f>
        <v>278</v>
      </c>
    </row>
    <row r="110" customFormat="false" ht="15.8" hidden="false" customHeight="false" outlineLevel="0" collapsed="false">
      <c r="A110" s="1" t="n">
        <v>5</v>
      </c>
      <c r="B110" s="1" t="n">
        <v>8</v>
      </c>
      <c r="C110" s="1" t="n">
        <v>2.9</v>
      </c>
      <c r="D110" s="1" t="n">
        <v>1.1242</v>
      </c>
      <c r="E110" s="1" t="n">
        <v>0.0986622</v>
      </c>
      <c r="F110" s="1" t="n">
        <v>0.000269203</v>
      </c>
      <c r="G110" s="1" t="s">
        <v>27</v>
      </c>
      <c r="H110" s="1" t="n">
        <v>52.4</v>
      </c>
      <c r="I110" s="1" t="n">
        <v>301.4</v>
      </c>
      <c r="J110" s="1" t="n">
        <v>8.3</v>
      </c>
      <c r="K110" s="1"/>
      <c r="L110" s="1" t="n">
        <v>0</v>
      </c>
      <c r="M110" s="1" t="n">
        <v>0</v>
      </c>
      <c r="N110" s="1" t="s">
        <v>153</v>
      </c>
      <c r="Z110" s="0" t="n">
        <f aca="false">I110-9</f>
        <v>292.4</v>
      </c>
      <c r="AB110" s="0" t="n">
        <f aca="false">IF(Z110&lt;0,Z110+360,Z110+0)</f>
        <v>292.4</v>
      </c>
    </row>
    <row r="111" customFormat="false" ht="15.8" hidden="false" customHeight="false" outlineLevel="0" collapsed="false">
      <c r="A111" s="1" t="n">
        <v>5</v>
      </c>
      <c r="B111" s="1" t="n">
        <v>7</v>
      </c>
      <c r="C111" s="1" t="n">
        <v>12.7</v>
      </c>
      <c r="D111" s="1" t="n">
        <v>1.4551</v>
      </c>
      <c r="E111" s="1" t="n">
        <v>0.435172</v>
      </c>
      <c r="F111" s="1" t="n">
        <v>0.00118738</v>
      </c>
      <c r="G111" s="1" t="s">
        <v>37</v>
      </c>
      <c r="H111" s="1" t="n">
        <v>103.7</v>
      </c>
      <c r="I111" s="1" t="n">
        <v>253</v>
      </c>
      <c r="J111" s="1" t="n">
        <v>-12.2</v>
      </c>
      <c r="K111" s="1" t="n">
        <v>52.4</v>
      </c>
      <c r="L111" s="1" t="n">
        <v>0</v>
      </c>
      <c r="M111" s="1" t="n">
        <v>0</v>
      </c>
      <c r="N111" s="1" t="s">
        <v>154</v>
      </c>
      <c r="Z111" s="0" t="n">
        <f aca="false">I111-9</f>
        <v>244</v>
      </c>
      <c r="AB111" s="0" t="n">
        <f aca="false">IF(Z111&lt;0,Z111+360,Z111+0)</f>
        <v>244</v>
      </c>
    </row>
    <row r="112" customFormat="false" ht="15.8" hidden="false" customHeight="false" outlineLevel="0" collapsed="false">
      <c r="A112" s="1" t="n">
        <v>5</v>
      </c>
      <c r="B112" s="1" t="n">
        <v>11</v>
      </c>
      <c r="C112" s="1" t="n">
        <v>3</v>
      </c>
      <c r="D112" s="1" t="n">
        <v>1.1985</v>
      </c>
      <c r="E112" s="1" t="n">
        <v>0.103102</v>
      </c>
      <c r="F112" s="1" t="n">
        <v>0.000281318</v>
      </c>
      <c r="G112" s="1" t="s">
        <v>27</v>
      </c>
      <c r="H112" s="1" t="n">
        <v>82.2</v>
      </c>
      <c r="I112" s="1" t="n">
        <v>204.2</v>
      </c>
      <c r="J112" s="1" t="n">
        <v>-17.2</v>
      </c>
      <c r="K112" s="1"/>
      <c r="L112" s="1" t="n">
        <v>0</v>
      </c>
      <c r="M112" s="1" t="n">
        <v>0</v>
      </c>
      <c r="N112" s="1" t="s">
        <v>155</v>
      </c>
      <c r="Z112" s="0" t="n">
        <f aca="false">I112-9</f>
        <v>195.2</v>
      </c>
      <c r="AB112" s="0" t="n">
        <f aca="false">IF(Z112&lt;0,Z112+360,Z112+0)</f>
        <v>195.2</v>
      </c>
    </row>
    <row r="113" customFormat="false" ht="15.8" hidden="false" customHeight="false" outlineLevel="0" collapsed="false">
      <c r="A113" s="1" t="n">
        <v>5</v>
      </c>
      <c r="B113" s="1" t="n">
        <v>11</v>
      </c>
      <c r="C113" s="1" t="n">
        <v>7.1</v>
      </c>
      <c r="D113" s="1" t="n">
        <v>1.236</v>
      </c>
      <c r="E113" s="1" t="n">
        <v>0.467949</v>
      </c>
      <c r="F113" s="1" t="n">
        <v>0.002493</v>
      </c>
      <c r="G113" s="1" t="s">
        <v>27</v>
      </c>
      <c r="H113" s="1" t="n">
        <v>118.8</v>
      </c>
      <c r="I113" s="1" t="n">
        <v>346.5</v>
      </c>
      <c r="J113" s="1" t="n">
        <v>-38.3</v>
      </c>
      <c r="K113" s="1"/>
      <c r="L113" s="1" t="n">
        <v>0</v>
      </c>
      <c r="M113" s="1" t="n">
        <v>0</v>
      </c>
      <c r="N113" s="1" t="s">
        <v>155</v>
      </c>
      <c r="Z113" s="0" t="n">
        <f aca="false">I113-9</f>
        <v>337.5</v>
      </c>
      <c r="AB113" s="0" t="n">
        <f aca="false">IF(Z113&lt;0,Z113+360,Z113+0)</f>
        <v>337.5</v>
      </c>
    </row>
    <row r="114" customFormat="false" ht="15.8" hidden="false" customHeight="false" outlineLevel="0" collapsed="false">
      <c r="A114" s="1" t="n">
        <v>5</v>
      </c>
      <c r="B114" s="1" t="n">
        <v>10</v>
      </c>
      <c r="C114" s="1" t="n">
        <v>1.2</v>
      </c>
      <c r="D114" s="1" t="n">
        <v>1.261</v>
      </c>
      <c r="E114" s="1" t="n">
        <v>0.0410581</v>
      </c>
      <c r="F114" s="1" t="n">
        <v>0.000112029</v>
      </c>
      <c r="G114" s="1" t="s">
        <v>37</v>
      </c>
      <c r="H114" s="1" t="n">
        <v>118.5</v>
      </c>
      <c r="I114" s="1" t="n">
        <v>256.6</v>
      </c>
      <c r="J114" s="1" t="n">
        <v>51.2</v>
      </c>
      <c r="K114" s="1" t="n">
        <v>118.8</v>
      </c>
      <c r="L114" s="1" t="n">
        <v>0</v>
      </c>
      <c r="M114" s="1" t="n">
        <v>0</v>
      </c>
      <c r="N114" s="1" t="s">
        <v>156</v>
      </c>
      <c r="Z114" s="0" t="n">
        <f aca="false">I114-9</f>
        <v>247.6</v>
      </c>
      <c r="AB114" s="0" t="n">
        <f aca="false">IF(Z114&lt;0,Z114+360,Z114+0)</f>
        <v>247.6</v>
      </c>
    </row>
    <row r="115" customFormat="false" ht="15.8" hidden="false" customHeight="false" outlineLevel="0" collapsed="false">
      <c r="A115" s="1" t="n">
        <v>5</v>
      </c>
      <c r="B115" s="1" t="n">
        <v>10</v>
      </c>
      <c r="C115" s="1" t="n">
        <v>2.1</v>
      </c>
      <c r="D115" s="1" t="n">
        <v>1.1006</v>
      </c>
      <c r="E115" s="1" t="n">
        <v>0.0711927</v>
      </c>
      <c r="F115" s="1" t="n">
        <v>0.000194252</v>
      </c>
      <c r="G115" s="1" t="s">
        <v>27</v>
      </c>
      <c r="H115" s="1" t="n">
        <v>45.6</v>
      </c>
      <c r="I115" s="1" t="n">
        <v>333.7</v>
      </c>
      <c r="J115" s="1" t="n">
        <v>11.3</v>
      </c>
      <c r="K115" s="1"/>
      <c r="L115" s="1" t="n">
        <v>0</v>
      </c>
      <c r="M115" s="1" t="n">
        <v>0</v>
      </c>
      <c r="N115" s="1" t="s">
        <v>156</v>
      </c>
      <c r="Z115" s="0" t="n">
        <f aca="false">I115-9</f>
        <v>324.7</v>
      </c>
      <c r="AB115" s="0" t="n">
        <f aca="false">IF(Z115&lt;0,Z115+360,Z115+0)</f>
        <v>324.7</v>
      </c>
    </row>
    <row r="116" customFormat="false" ht="15.8" hidden="false" customHeight="false" outlineLevel="0" collapsed="false">
      <c r="A116" s="1" t="n">
        <v>5</v>
      </c>
      <c r="B116" s="1" t="n">
        <v>10</v>
      </c>
      <c r="C116" s="1" t="n">
        <v>3.1</v>
      </c>
      <c r="D116" s="1" t="n">
        <v>1.2217</v>
      </c>
      <c r="E116" s="1" t="n">
        <v>0.105499</v>
      </c>
      <c r="F116" s="1" t="n">
        <v>0.000287857</v>
      </c>
      <c r="G116" s="1" t="s">
        <v>27</v>
      </c>
      <c r="H116" s="1" t="n">
        <v>78.3</v>
      </c>
      <c r="I116" s="1" t="n">
        <v>31.2</v>
      </c>
      <c r="J116" s="1" t="n">
        <v>47.3</v>
      </c>
      <c r="K116" s="1"/>
      <c r="L116" s="1" t="n">
        <v>0</v>
      </c>
      <c r="M116" s="1" t="n">
        <v>0</v>
      </c>
      <c r="N116" s="1" t="s">
        <v>156</v>
      </c>
      <c r="Z116" s="0" t="n">
        <f aca="false">I116-9</f>
        <v>22.2</v>
      </c>
      <c r="AB116" s="0" t="n">
        <f aca="false">IF(Z116&lt;0,Z116+360,Z116+0)</f>
        <v>22.2</v>
      </c>
    </row>
    <row r="117" customFormat="false" ht="15.8" hidden="false" customHeight="false" outlineLevel="0" collapsed="false">
      <c r="A117" s="1" t="n">
        <v>5</v>
      </c>
      <c r="B117" s="1" t="n">
        <v>9</v>
      </c>
      <c r="C117" s="1" t="n">
        <v>4</v>
      </c>
      <c r="D117" s="1" t="n">
        <v>1.1956</v>
      </c>
      <c r="E117" s="1" t="n">
        <v>0.138392</v>
      </c>
      <c r="F117" s="1" t="n">
        <v>0.000377608</v>
      </c>
      <c r="G117" s="1" t="s">
        <v>37</v>
      </c>
      <c r="H117" s="1" t="n">
        <v>14.8</v>
      </c>
      <c r="I117" s="1" t="n">
        <v>0.6</v>
      </c>
      <c r="J117" s="1" t="n">
        <v>-26</v>
      </c>
      <c r="K117" s="1" t="n">
        <v>118.5</v>
      </c>
      <c r="L117" s="1" t="n">
        <v>0</v>
      </c>
      <c r="M117" s="1" t="n">
        <v>0</v>
      </c>
      <c r="N117" s="1" t="s">
        <v>157</v>
      </c>
      <c r="Z117" s="0" t="n">
        <f aca="false">I117-9</f>
        <v>-8.4</v>
      </c>
      <c r="AB117" s="0" t="n">
        <f aca="false">IF(Z117&lt;0,Z117+360,Z117+0)</f>
        <v>351.6</v>
      </c>
    </row>
    <row r="118" customFormat="false" ht="15.8" hidden="false" customHeight="false" outlineLevel="0" collapsed="false">
      <c r="A118" s="1" t="n">
        <v>5</v>
      </c>
      <c r="B118" s="1" t="n">
        <v>9</v>
      </c>
      <c r="C118" s="1" t="n">
        <v>1.3</v>
      </c>
      <c r="D118" s="1" t="n">
        <v>1.2196</v>
      </c>
      <c r="E118" s="1" t="n">
        <v>0.0432347</v>
      </c>
      <c r="F118" s="1" t="n">
        <v>0.000117967</v>
      </c>
      <c r="G118" s="1" t="s">
        <v>27</v>
      </c>
      <c r="H118" s="1" t="n">
        <v>96.7</v>
      </c>
      <c r="I118" s="1" t="n">
        <v>100.4</v>
      </c>
      <c r="J118" s="1" t="n">
        <v>21</v>
      </c>
      <c r="K118" s="1"/>
      <c r="L118" s="1" t="n">
        <v>0</v>
      </c>
      <c r="M118" s="1" t="n">
        <v>0</v>
      </c>
      <c r="N118" s="1" t="s">
        <v>157</v>
      </c>
      <c r="Z118" s="0" t="n">
        <f aca="false">I118-9</f>
        <v>91.4</v>
      </c>
      <c r="AB118" s="0" t="n">
        <f aca="false">IF(Z118&lt;0,Z118+360,Z118+0)</f>
        <v>91.4</v>
      </c>
    </row>
    <row r="119" customFormat="false" ht="15.8" hidden="false" customHeight="false" outlineLevel="0" collapsed="false">
      <c r="A119" s="1" t="n">
        <v>5</v>
      </c>
      <c r="B119" s="1" t="n">
        <v>9</v>
      </c>
      <c r="C119" s="1" t="n">
        <v>2.2</v>
      </c>
      <c r="D119" s="1" t="n">
        <v>1.2415</v>
      </c>
      <c r="E119" s="1" t="n">
        <v>0.135888</v>
      </c>
      <c r="F119" s="1" t="n">
        <v>0.000697826</v>
      </c>
      <c r="G119" s="1" t="s">
        <v>27</v>
      </c>
      <c r="H119" s="1" t="n">
        <v>89.6</v>
      </c>
      <c r="I119" s="1" t="n">
        <v>269.3</v>
      </c>
      <c r="J119" s="1" t="n">
        <v>-35.1</v>
      </c>
      <c r="K119" s="1"/>
      <c r="L119" s="1" t="n">
        <v>0</v>
      </c>
      <c r="M119" s="1" t="n">
        <v>0</v>
      </c>
      <c r="N119" s="1" t="s">
        <v>157</v>
      </c>
      <c r="Z119" s="0" t="n">
        <f aca="false">I119-9</f>
        <v>260.3</v>
      </c>
      <c r="AB119" s="0" t="n">
        <f aca="false">IF(Z119&lt;0,Z119+360,Z119+0)</f>
        <v>260.3</v>
      </c>
    </row>
    <row r="120" customFormat="false" ht="15.8" hidden="false" customHeight="false" outlineLevel="0" collapsed="false">
      <c r="A120" s="1" t="n">
        <v>5</v>
      </c>
      <c r="B120" s="1" t="n">
        <v>8</v>
      </c>
      <c r="C120" s="1" t="n">
        <v>14.4</v>
      </c>
      <c r="D120" s="1" t="n">
        <v>1.254</v>
      </c>
      <c r="E120" s="1" t="n">
        <v>0.493029</v>
      </c>
      <c r="F120" s="1" t="n">
        <v>0.00134525</v>
      </c>
      <c r="G120" s="1" t="s">
        <v>37</v>
      </c>
      <c r="H120" s="1" t="n">
        <v>19.2</v>
      </c>
      <c r="I120" s="1" t="n">
        <v>8.2</v>
      </c>
      <c r="J120" s="1" t="n">
        <v>-13.1</v>
      </c>
      <c r="K120" s="1" t="n">
        <v>96.7</v>
      </c>
      <c r="L120" s="1" t="n">
        <v>0</v>
      </c>
      <c r="M120" s="1" t="n">
        <v>0</v>
      </c>
      <c r="N120" s="1" t="s">
        <v>158</v>
      </c>
      <c r="Z120" s="0" t="n">
        <f aca="false">I120-9</f>
        <v>-0.800000000000001</v>
      </c>
      <c r="AB120" s="0" t="n">
        <f aca="false">IF(Z120&lt;0,Z120+360,Z120+0)</f>
        <v>359.2</v>
      </c>
    </row>
    <row r="121" customFormat="false" ht="15.8" hidden="false" customHeight="false" outlineLevel="0" collapsed="false">
      <c r="A121" s="1" t="n">
        <v>5</v>
      </c>
      <c r="B121" s="1" t="n">
        <v>8</v>
      </c>
      <c r="C121" s="1" t="n">
        <v>4.2</v>
      </c>
      <c r="D121" s="1" t="n">
        <v>1.1544</v>
      </c>
      <c r="E121" s="1" t="n">
        <v>0.14238</v>
      </c>
      <c r="F121" s="1" t="n">
        <v>0.000388489</v>
      </c>
      <c r="G121" s="1" t="s">
        <v>27</v>
      </c>
      <c r="H121" s="1" t="n">
        <v>100.5</v>
      </c>
      <c r="I121" s="1" t="n">
        <v>119.4</v>
      </c>
      <c r="J121" s="1" t="n">
        <v>0</v>
      </c>
      <c r="K121" s="1"/>
      <c r="L121" s="1" t="n">
        <v>0</v>
      </c>
      <c r="M121" s="1" t="n">
        <v>0</v>
      </c>
      <c r="N121" s="1" t="s">
        <v>158</v>
      </c>
      <c r="Z121" s="0" t="n">
        <f aca="false">I121-9</f>
        <v>110.4</v>
      </c>
      <c r="AB121" s="0" t="n">
        <f aca="false">IF(Z121&lt;0,Z121+360,Z121+0)</f>
        <v>110.4</v>
      </c>
    </row>
    <row r="122" customFormat="false" ht="15.8" hidden="false" customHeight="false" outlineLevel="0" collapsed="false">
      <c r="A122" s="1" t="n">
        <v>5</v>
      </c>
      <c r="B122" s="1" t="n">
        <v>7</v>
      </c>
      <c r="C122" s="1" t="n">
        <v>8.2</v>
      </c>
      <c r="D122" s="1" t="n">
        <v>1.1449</v>
      </c>
      <c r="E122" s="1" t="n">
        <v>0.280303</v>
      </c>
      <c r="F122" s="1" t="n">
        <v>0.000764815</v>
      </c>
      <c r="G122" s="1" t="s">
        <v>37</v>
      </c>
      <c r="H122" s="1" t="n">
        <v>26.5</v>
      </c>
      <c r="I122" s="1" t="n">
        <v>18.9</v>
      </c>
      <c r="J122" s="1" t="n">
        <v>3</v>
      </c>
      <c r="K122" s="1" t="n">
        <v>100.5</v>
      </c>
      <c r="L122" s="1" t="n">
        <v>0</v>
      </c>
      <c r="M122" s="1" t="n">
        <v>0</v>
      </c>
      <c r="N122" s="1" t="s">
        <v>154</v>
      </c>
      <c r="Z122" s="0" t="n">
        <f aca="false">I122-9</f>
        <v>9.9</v>
      </c>
      <c r="AB122" s="0" t="n">
        <f aca="false">IF(Z122&lt;0,Z122+360,Z122+0)</f>
        <v>9.9</v>
      </c>
    </row>
    <row r="123" customFormat="false" ht="15.8" hidden="false" customHeight="false" outlineLevel="0" collapsed="false">
      <c r="A123" s="1" t="n">
        <v>5</v>
      </c>
      <c r="B123" s="1" t="n">
        <v>6</v>
      </c>
      <c r="C123" s="1" t="n">
        <v>3.6</v>
      </c>
      <c r="D123" s="1" t="n">
        <v>1.1179</v>
      </c>
      <c r="E123" s="1" t="n">
        <v>0.121899</v>
      </c>
      <c r="F123" s="1" t="n">
        <v>0.000332605</v>
      </c>
      <c r="G123" s="1" t="s">
        <v>37</v>
      </c>
      <c r="H123" s="1" t="n">
        <v>16.3</v>
      </c>
      <c r="I123" s="1" t="n">
        <v>354.3</v>
      </c>
      <c r="J123" s="1" t="n">
        <v>13.5</v>
      </c>
      <c r="K123" s="1" t="n">
        <v>103.7</v>
      </c>
      <c r="L123" s="1" t="n">
        <v>0</v>
      </c>
      <c r="M123" s="1" t="n">
        <v>0</v>
      </c>
      <c r="N123" s="1" t="s">
        <v>159</v>
      </c>
      <c r="Z123" s="0" t="n">
        <f aca="false">I123-9</f>
        <v>345.3</v>
      </c>
      <c r="AB123" s="0" t="n">
        <f aca="false">IF(Z123&lt;0,Z123+360,Z123+0)</f>
        <v>345.3</v>
      </c>
    </row>
    <row r="124" customFormat="false" ht="15.8" hidden="false" customHeight="false" outlineLevel="0" collapsed="false">
      <c r="A124" s="1" t="n">
        <v>5</v>
      </c>
      <c r="B124" s="1" t="n">
        <v>6</v>
      </c>
      <c r="C124" s="1" t="n">
        <v>2.5</v>
      </c>
      <c r="D124" s="1" t="n">
        <v>1.1625</v>
      </c>
      <c r="E124" s="1" t="n">
        <v>0.0858274</v>
      </c>
      <c r="F124" s="1" t="n">
        <v>0.000234183</v>
      </c>
      <c r="G124" s="1" t="s">
        <v>27</v>
      </c>
      <c r="H124" s="1" t="n">
        <v>31.7</v>
      </c>
      <c r="I124" s="1" t="n">
        <v>320</v>
      </c>
      <c r="J124" s="1" t="n">
        <v>20.1</v>
      </c>
      <c r="K124" s="1"/>
      <c r="L124" s="1" t="n">
        <v>0</v>
      </c>
      <c r="M124" s="1" t="n">
        <v>0</v>
      </c>
      <c r="N124" s="1" t="s">
        <v>159</v>
      </c>
      <c r="Z124" s="0" t="n">
        <f aca="false">I124-9</f>
        <v>311</v>
      </c>
      <c r="AB124" s="0" t="n">
        <f aca="false">IF(Z124&lt;0,Z124+360,Z124+0)</f>
        <v>311</v>
      </c>
    </row>
    <row r="125" customFormat="false" ht="15.8" hidden="false" customHeight="false" outlineLevel="0" collapsed="false">
      <c r="A125" s="1" t="n">
        <v>5</v>
      </c>
      <c r="B125" s="1" t="n">
        <v>5</v>
      </c>
      <c r="C125" s="1" t="n">
        <v>2.4</v>
      </c>
      <c r="D125" s="1" t="n">
        <v>1.2296</v>
      </c>
      <c r="E125" s="1" t="n">
        <v>0.0806638</v>
      </c>
      <c r="F125" s="1" t="n">
        <v>0.000220094</v>
      </c>
      <c r="G125" s="1" t="s">
        <v>37</v>
      </c>
      <c r="H125" s="1" t="n">
        <v>16.3</v>
      </c>
      <c r="I125" s="1" t="n">
        <v>345.1</v>
      </c>
      <c r="J125" s="1" t="n">
        <v>0</v>
      </c>
      <c r="K125" s="1" t="n">
        <v>31.7</v>
      </c>
      <c r="L125" s="1" t="n">
        <v>0</v>
      </c>
      <c r="M125" s="1" t="n">
        <v>0</v>
      </c>
      <c r="N125" s="1" t="s">
        <v>160</v>
      </c>
      <c r="Z125" s="0" t="n">
        <f aca="false">I125-9</f>
        <v>336.1</v>
      </c>
      <c r="AB125" s="0" t="n">
        <f aca="false">IF(Z125&lt;0,Z125+360,Z125+0)</f>
        <v>336.1</v>
      </c>
    </row>
    <row r="126" customFormat="false" ht="15.8" hidden="false" customHeight="false" outlineLevel="0" collapsed="false">
      <c r="A126" s="1" t="n">
        <v>5</v>
      </c>
      <c r="B126" s="1" t="n">
        <v>6</v>
      </c>
      <c r="C126" s="1" t="n">
        <v>6.7</v>
      </c>
      <c r="D126" s="1" t="n">
        <v>1.309</v>
      </c>
      <c r="E126" s="1" t="n">
        <v>0.229152</v>
      </c>
      <c r="F126" s="1" t="n">
        <v>0.00062525</v>
      </c>
      <c r="G126" s="1" t="s">
        <v>27</v>
      </c>
      <c r="H126" s="1" t="n">
        <v>24.1</v>
      </c>
      <c r="I126" s="1" t="n">
        <v>342.1</v>
      </c>
      <c r="J126" s="1" t="n">
        <v>40.7</v>
      </c>
      <c r="K126" s="1"/>
      <c r="L126" s="1" t="n">
        <v>0</v>
      </c>
      <c r="M126" s="1" t="n">
        <v>0</v>
      </c>
      <c r="N126" s="1" t="s">
        <v>161</v>
      </c>
      <c r="Z126" s="0" t="n">
        <f aca="false">I126-9</f>
        <v>333.1</v>
      </c>
      <c r="AB126" s="0" t="n">
        <f aca="false">IF(Z126&lt;0,Z126+360,Z126+0)</f>
        <v>333.1</v>
      </c>
    </row>
    <row r="127" customFormat="false" ht="15.8" hidden="false" customHeight="false" outlineLevel="0" collapsed="false">
      <c r="A127" s="1" t="n">
        <v>5</v>
      </c>
      <c r="B127" s="1" t="n">
        <v>6</v>
      </c>
      <c r="C127" s="1" t="n">
        <v>10.7</v>
      </c>
      <c r="D127" s="1" t="n">
        <v>1.2055</v>
      </c>
      <c r="E127" s="1" t="n">
        <v>0.365888</v>
      </c>
      <c r="F127" s="1" t="n">
        <v>0.000998339</v>
      </c>
      <c r="G127" s="1" t="s">
        <v>27</v>
      </c>
      <c r="H127" s="1" t="n">
        <v>44.9</v>
      </c>
      <c r="I127" s="1" t="n">
        <v>266.4</v>
      </c>
      <c r="J127" s="1" t="n">
        <v>17</v>
      </c>
      <c r="K127" s="1"/>
      <c r="L127" s="1" t="n">
        <v>0</v>
      </c>
      <c r="M127" s="1" t="n">
        <v>0</v>
      </c>
      <c r="N127" s="1" t="s">
        <v>161</v>
      </c>
      <c r="Z127" s="0" t="n">
        <f aca="false">I127-9</f>
        <v>257.4</v>
      </c>
      <c r="AB127" s="0" t="n">
        <f aca="false">IF(Z127&lt;0,Z127+360,Z127+0)</f>
        <v>257.4</v>
      </c>
    </row>
    <row r="128" customFormat="false" ht="15.8" hidden="false" customHeight="false" outlineLevel="0" collapsed="false">
      <c r="A128" s="1" t="n">
        <v>5</v>
      </c>
      <c r="B128" s="1" t="n">
        <v>5</v>
      </c>
      <c r="C128" s="1" t="n">
        <v>3.4</v>
      </c>
      <c r="D128" s="1" t="n">
        <v>1.2643</v>
      </c>
      <c r="E128" s="1" t="n">
        <v>0.117603</v>
      </c>
      <c r="F128" s="1" t="n">
        <v>0.000320884</v>
      </c>
      <c r="G128" s="1" t="s">
        <v>37</v>
      </c>
      <c r="H128" s="1" t="n">
        <v>37.4</v>
      </c>
      <c r="I128" s="1" t="n">
        <v>309.6</v>
      </c>
      <c r="J128" s="1" t="n">
        <v>43</v>
      </c>
      <c r="K128" s="1" t="n">
        <v>44.9</v>
      </c>
      <c r="L128" s="1" t="n">
        <v>0</v>
      </c>
      <c r="M128" s="1" t="n">
        <v>0</v>
      </c>
      <c r="N128" s="1" t="s">
        <v>160</v>
      </c>
      <c r="Z128" s="0" t="n">
        <f aca="false">I128-9</f>
        <v>300.6</v>
      </c>
      <c r="AB128" s="0" t="n">
        <f aca="false">IF(Z128&lt;0,Z128+360,Z128+0)</f>
        <v>300.6</v>
      </c>
    </row>
    <row r="129" customFormat="false" ht="15.8" hidden="false" customHeight="false" outlineLevel="0" collapsed="false">
      <c r="A129" s="1" t="n">
        <v>5</v>
      </c>
      <c r="B129" s="1" t="n">
        <v>4</v>
      </c>
      <c r="C129" s="1" t="n">
        <v>3.3</v>
      </c>
      <c r="D129" s="1" t="n">
        <v>1.1415</v>
      </c>
      <c r="E129" s="1" t="n">
        <v>0.111796</v>
      </c>
      <c r="F129" s="1" t="n">
        <v>0.00030504</v>
      </c>
      <c r="G129" s="1" t="s">
        <v>37</v>
      </c>
      <c r="H129" s="1" t="n">
        <v>17.2</v>
      </c>
      <c r="I129" s="1" t="n">
        <v>338.6</v>
      </c>
      <c r="J129" s="1" t="n">
        <v>15</v>
      </c>
      <c r="K129" s="1" t="n">
        <v>37.4</v>
      </c>
      <c r="L129" s="1" t="n">
        <v>0</v>
      </c>
      <c r="M129" s="1" t="n">
        <v>0</v>
      </c>
      <c r="N129" s="1" t="s">
        <v>162</v>
      </c>
      <c r="Z129" s="0" t="n">
        <f aca="false">I129-9</f>
        <v>329.6</v>
      </c>
      <c r="AB129" s="0" t="n">
        <f aca="false">IF(Z129&lt;0,Z129+360,Z129+0)</f>
        <v>329.6</v>
      </c>
    </row>
    <row r="130" customFormat="false" ht="15.8" hidden="false" customHeight="false" outlineLevel="0" collapsed="false">
      <c r="A130" s="1" t="n">
        <v>5</v>
      </c>
      <c r="B130" s="1" t="n">
        <v>7</v>
      </c>
      <c r="C130" s="1" t="n">
        <v>5.3</v>
      </c>
      <c r="D130" s="1" t="n">
        <v>1.3362</v>
      </c>
      <c r="E130" s="1" t="n">
        <v>0.180154</v>
      </c>
      <c r="F130" s="1" t="n">
        <v>0.000491557</v>
      </c>
      <c r="G130" s="1" t="s">
        <v>27</v>
      </c>
      <c r="H130" s="1" t="n">
        <v>3.1</v>
      </c>
      <c r="I130" s="1" t="n">
        <v>48.3</v>
      </c>
      <c r="J130" s="1" t="n">
        <v>-16.4</v>
      </c>
      <c r="K130" s="1"/>
      <c r="L130" s="1" t="n">
        <v>0</v>
      </c>
      <c r="M130" s="1" t="n">
        <v>0</v>
      </c>
      <c r="N130" s="1" t="s">
        <v>163</v>
      </c>
      <c r="Z130" s="0" t="n">
        <f aca="false">I130-9</f>
        <v>39.3</v>
      </c>
      <c r="AB130" s="0" t="n">
        <f aca="false">IF(Z130&lt;0,Z130+360,Z130+0)</f>
        <v>39.3</v>
      </c>
    </row>
    <row r="131" customFormat="false" ht="15.8" hidden="false" customHeight="false" outlineLevel="0" collapsed="false">
      <c r="A131" s="1" t="n">
        <v>5</v>
      </c>
      <c r="B131" s="1" t="n">
        <v>7</v>
      </c>
      <c r="C131" s="1" t="n">
        <v>1.2</v>
      </c>
      <c r="D131" s="1" t="n">
        <v>1.1445</v>
      </c>
      <c r="E131" s="1" t="n">
        <v>0.0411865</v>
      </c>
      <c r="F131" s="1" t="n">
        <v>0.000112379</v>
      </c>
      <c r="G131" s="1" t="s">
        <v>27</v>
      </c>
      <c r="H131" s="1" t="n">
        <v>48.6</v>
      </c>
      <c r="I131" s="1" t="n">
        <v>75.2</v>
      </c>
      <c r="J131" s="1" t="n">
        <v>20.6</v>
      </c>
      <c r="K131" s="1"/>
      <c r="L131" s="1" t="n">
        <v>0</v>
      </c>
      <c r="M131" s="1" t="n">
        <v>0</v>
      </c>
      <c r="N131" s="1" t="s">
        <v>163</v>
      </c>
      <c r="Z131" s="0" t="n">
        <f aca="false">I131-9</f>
        <v>66.2</v>
      </c>
      <c r="AB131" s="0" t="n">
        <f aca="false">IF(Z131&lt;0,Z131+360,Z131+0)</f>
        <v>66.2</v>
      </c>
    </row>
    <row r="132" customFormat="false" ht="15.8" hidden="false" customHeight="false" outlineLevel="0" collapsed="false">
      <c r="A132" s="1" t="n">
        <v>5</v>
      </c>
      <c r="B132" s="1" t="n">
        <v>6</v>
      </c>
      <c r="C132" s="1" t="n">
        <v>2.6</v>
      </c>
      <c r="D132" s="1" t="n">
        <v>1.1331</v>
      </c>
      <c r="E132" s="1" t="n">
        <v>0.0893232</v>
      </c>
      <c r="F132" s="1" t="n">
        <v>0.000243722</v>
      </c>
      <c r="G132" s="1" t="s">
        <v>37</v>
      </c>
      <c r="H132" s="1" t="n">
        <v>32.4</v>
      </c>
      <c r="I132" s="1" t="n">
        <v>46.2</v>
      </c>
      <c r="J132" s="1" t="n">
        <v>-18.8</v>
      </c>
      <c r="K132" s="1" t="n">
        <v>48.6</v>
      </c>
      <c r="L132" s="1" t="n">
        <v>0</v>
      </c>
      <c r="M132" s="1" t="n">
        <v>0</v>
      </c>
      <c r="N132" s="1" t="s">
        <v>164</v>
      </c>
      <c r="Z132" s="0" t="n">
        <f aca="false">I132-9</f>
        <v>37.2</v>
      </c>
      <c r="AB132" s="0" t="n">
        <f aca="false">IF(Z132&lt;0,Z132+360,Z132+0)</f>
        <v>37.2</v>
      </c>
    </row>
    <row r="133" customFormat="false" ht="15.8" hidden="false" customHeight="false" outlineLevel="0" collapsed="false">
      <c r="A133" s="1" t="n">
        <v>5</v>
      </c>
      <c r="B133" s="1" t="n">
        <v>6</v>
      </c>
      <c r="C133" s="1" t="n">
        <v>0.7</v>
      </c>
      <c r="D133" s="1" t="n">
        <v>1.0019</v>
      </c>
      <c r="E133" s="1" t="n">
        <v>0.0232402</v>
      </c>
      <c r="F133" s="1" t="n">
        <v>6.34117E-005</v>
      </c>
      <c r="G133" s="1" t="s">
        <v>27</v>
      </c>
      <c r="H133" s="1" t="n">
        <v>123.5</v>
      </c>
      <c r="I133" s="1" t="n">
        <v>169.8</v>
      </c>
      <c r="J133" s="1" t="n">
        <v>0</v>
      </c>
      <c r="K133" s="1"/>
      <c r="L133" s="1" t="n">
        <v>0</v>
      </c>
      <c r="M133" s="1" t="n">
        <v>0</v>
      </c>
      <c r="N133" s="1" t="s">
        <v>164</v>
      </c>
      <c r="Z133" s="0" t="n">
        <f aca="false">I133-9</f>
        <v>160.8</v>
      </c>
      <c r="AB133" s="0" t="n">
        <f aca="false">IF(Z133&lt;0,Z133+360,Z133+0)</f>
        <v>160.8</v>
      </c>
    </row>
    <row r="134" customFormat="false" ht="15.8" hidden="false" customHeight="false" outlineLevel="0" collapsed="false">
      <c r="A134" s="1" t="n">
        <v>5</v>
      </c>
      <c r="B134" s="1" t="n">
        <v>5</v>
      </c>
      <c r="C134" s="1" t="n">
        <v>7.4</v>
      </c>
      <c r="D134" s="1" t="n">
        <v>1.1746</v>
      </c>
      <c r="E134" s="1" t="n">
        <v>0.254182</v>
      </c>
      <c r="F134" s="1" t="n">
        <v>0.000693545</v>
      </c>
      <c r="G134" s="1" t="s">
        <v>37</v>
      </c>
      <c r="H134" s="1" t="n">
        <v>44.2</v>
      </c>
      <c r="I134" s="1" t="n">
        <v>45.2</v>
      </c>
      <c r="J134" s="1" t="n">
        <v>13.6</v>
      </c>
      <c r="K134" s="1" t="n">
        <v>123.5</v>
      </c>
      <c r="L134" s="1" t="n">
        <v>0</v>
      </c>
      <c r="M134" s="1" t="n">
        <v>0</v>
      </c>
      <c r="N134" s="1" t="s">
        <v>165</v>
      </c>
      <c r="Z134" s="0" t="n">
        <f aca="false">I134-9</f>
        <v>36.2</v>
      </c>
      <c r="AB134" s="0" t="n">
        <f aca="false">IF(Z134&lt;0,Z134+360,Z134+0)</f>
        <v>36.2</v>
      </c>
    </row>
    <row r="135" customFormat="false" ht="15.8" hidden="false" customHeight="false" outlineLevel="0" collapsed="false">
      <c r="A135" s="1" t="n">
        <v>5</v>
      </c>
      <c r="B135" s="1" t="n">
        <v>5</v>
      </c>
      <c r="C135" s="1" t="n">
        <v>1.7</v>
      </c>
      <c r="D135" s="1" t="n">
        <v>1.3327</v>
      </c>
      <c r="E135" s="1" t="n">
        <v>0.0575176</v>
      </c>
      <c r="F135" s="1" t="n">
        <v>0.000156939</v>
      </c>
      <c r="G135" s="1" t="s">
        <v>27</v>
      </c>
      <c r="H135" s="1" t="n">
        <v>82.5</v>
      </c>
      <c r="I135" s="1" t="n">
        <v>199.4</v>
      </c>
      <c r="J135" s="1" t="n">
        <v>36</v>
      </c>
      <c r="K135" s="1"/>
      <c r="L135" s="1" t="n">
        <v>0</v>
      </c>
      <c r="M135" s="1" t="n">
        <v>0</v>
      </c>
      <c r="N135" s="1" t="s">
        <v>165</v>
      </c>
      <c r="Z135" s="0" t="n">
        <f aca="false">I135-9</f>
        <v>190.4</v>
      </c>
      <c r="AB135" s="0" t="n">
        <f aca="false">IF(Z135&lt;0,Z135+360,Z135+0)</f>
        <v>190.4</v>
      </c>
    </row>
    <row r="136" customFormat="false" ht="15.8" hidden="false" customHeight="false" outlineLevel="0" collapsed="false">
      <c r="A136" s="1" t="n">
        <v>5</v>
      </c>
      <c r="B136" s="1" t="n">
        <v>4</v>
      </c>
      <c r="C136" s="1" t="n">
        <v>4.8</v>
      </c>
      <c r="D136" s="1" t="n">
        <v>1.2224</v>
      </c>
      <c r="E136" s="1" t="n">
        <v>0.165795</v>
      </c>
      <c r="F136" s="1" t="n">
        <v>0.000452377</v>
      </c>
      <c r="G136" s="1" t="s">
        <v>37</v>
      </c>
      <c r="H136" s="1" t="n">
        <v>77.2</v>
      </c>
      <c r="I136" s="1" t="n">
        <v>52.9</v>
      </c>
      <c r="J136" s="1" t="n">
        <v>57.3</v>
      </c>
      <c r="K136" s="1" t="n">
        <v>82.5</v>
      </c>
      <c r="L136" s="1" t="n">
        <v>0</v>
      </c>
      <c r="M136" s="1" t="n">
        <v>0</v>
      </c>
      <c r="N136" s="1" t="s">
        <v>162</v>
      </c>
      <c r="Z136" s="0" t="n">
        <f aca="false">I136-9</f>
        <v>43.9</v>
      </c>
      <c r="AB136" s="0" t="n">
        <f aca="false">IF(Z136&lt;0,Z136+360,Z136+0)</f>
        <v>43.9</v>
      </c>
    </row>
    <row r="137" customFormat="false" ht="15.8" hidden="false" customHeight="false" outlineLevel="0" collapsed="false">
      <c r="A137" s="1" t="n">
        <v>5</v>
      </c>
      <c r="B137" s="1" t="n">
        <v>3</v>
      </c>
      <c r="C137" s="1" t="n">
        <v>0.8</v>
      </c>
      <c r="D137" s="1" t="n">
        <v>1.0061</v>
      </c>
      <c r="E137" s="1" t="n">
        <v>0.0291079</v>
      </c>
      <c r="F137" s="1" t="n">
        <v>7.94219E-005</v>
      </c>
      <c r="G137" s="1" t="s">
        <v>37</v>
      </c>
      <c r="H137" s="1" t="n">
        <v>35.9</v>
      </c>
      <c r="I137" s="1" t="n">
        <v>347.2</v>
      </c>
      <c r="J137" s="1" t="n">
        <v>0</v>
      </c>
      <c r="K137" s="1" t="n">
        <v>77.2</v>
      </c>
      <c r="L137" s="1" t="n">
        <v>0</v>
      </c>
      <c r="M137" s="1" t="n">
        <v>0</v>
      </c>
      <c r="N137" s="1" t="s">
        <v>166</v>
      </c>
      <c r="Z137" s="0" t="n">
        <f aca="false">I137-9</f>
        <v>338.2</v>
      </c>
      <c r="AB137" s="0" t="n">
        <f aca="false">IF(Z137&lt;0,Z137+360,Z137+0)</f>
        <v>338.2</v>
      </c>
    </row>
    <row r="138" customFormat="false" ht="15.8" hidden="false" customHeight="false" outlineLevel="0" collapsed="false">
      <c r="A138" s="1" t="n">
        <v>5</v>
      </c>
      <c r="B138" s="1" t="n">
        <v>4</v>
      </c>
      <c r="C138" s="1" t="n">
        <v>1.3</v>
      </c>
      <c r="D138" s="1" t="n">
        <v>1.2314</v>
      </c>
      <c r="E138" s="1" t="n">
        <v>0.0445989</v>
      </c>
      <c r="F138" s="1" t="n">
        <v>0.00012169</v>
      </c>
      <c r="G138" s="1" t="s">
        <v>27</v>
      </c>
      <c r="H138" s="1" t="n">
        <v>71.2</v>
      </c>
      <c r="I138" s="1" t="n">
        <v>145.6</v>
      </c>
      <c r="J138" s="1" t="n">
        <v>44.5</v>
      </c>
      <c r="K138" s="1"/>
      <c r="L138" s="1" t="n">
        <v>0</v>
      </c>
      <c r="M138" s="1" t="n">
        <v>0</v>
      </c>
      <c r="N138" s="1" t="s">
        <v>167</v>
      </c>
      <c r="Z138" s="0" t="n">
        <f aca="false">I138-9</f>
        <v>136.6</v>
      </c>
      <c r="AB138" s="0" t="n">
        <f aca="false">IF(Z138&lt;0,Z138+360,Z138+0)</f>
        <v>136.6</v>
      </c>
    </row>
    <row r="139" customFormat="false" ht="15.8" hidden="false" customHeight="false" outlineLevel="0" collapsed="false">
      <c r="A139" s="1" t="n">
        <v>5</v>
      </c>
      <c r="B139" s="1" t="n">
        <v>4</v>
      </c>
      <c r="C139" s="1" t="n">
        <v>1.1</v>
      </c>
      <c r="D139" s="1" t="n">
        <v>1.0105</v>
      </c>
      <c r="E139" s="1" t="n">
        <v>0.0389642</v>
      </c>
      <c r="F139" s="1" t="n">
        <v>0.000106315</v>
      </c>
      <c r="G139" s="1" t="s">
        <v>27</v>
      </c>
      <c r="H139" s="1" t="n">
        <v>44.1</v>
      </c>
      <c r="I139" s="1" t="n">
        <v>271.7</v>
      </c>
      <c r="J139" s="1" t="n">
        <v>0</v>
      </c>
      <c r="K139" s="1"/>
      <c r="L139" s="1" t="n">
        <v>0</v>
      </c>
      <c r="M139" s="1" t="n">
        <v>0</v>
      </c>
      <c r="N139" s="1" t="s">
        <v>167</v>
      </c>
      <c r="Z139" s="0" t="n">
        <f aca="false">I139-9</f>
        <v>262.7</v>
      </c>
      <c r="AB139" s="0" t="n">
        <f aca="false">IF(Z139&lt;0,Z139+360,Z139+0)</f>
        <v>262.7</v>
      </c>
    </row>
    <row r="140" customFormat="false" ht="15.8" hidden="false" customHeight="false" outlineLevel="0" collapsed="false">
      <c r="A140" s="1" t="n">
        <v>5</v>
      </c>
      <c r="B140" s="1" t="n">
        <v>3</v>
      </c>
      <c r="C140" s="1" t="n">
        <v>13.7</v>
      </c>
      <c r="D140" s="1" t="n">
        <v>1.4798</v>
      </c>
      <c r="E140" s="1" t="n">
        <v>0.47069</v>
      </c>
      <c r="F140" s="1" t="n">
        <v>0.0012843</v>
      </c>
      <c r="G140" s="1" t="s">
        <v>37</v>
      </c>
      <c r="H140" s="1" t="n">
        <v>69.1</v>
      </c>
      <c r="I140" s="1" t="n">
        <v>245.4</v>
      </c>
      <c r="J140" s="1" t="n">
        <v>36.7</v>
      </c>
      <c r="K140" s="1" t="n">
        <v>71.2</v>
      </c>
      <c r="L140" s="1" t="n">
        <v>0</v>
      </c>
      <c r="M140" s="1" t="n">
        <v>0</v>
      </c>
      <c r="N140" s="1" t="s">
        <v>166</v>
      </c>
      <c r="Z140" s="0" t="n">
        <f aca="false">I140-9</f>
        <v>236.4</v>
      </c>
      <c r="AB140" s="0" t="n">
        <f aca="false">IF(Z140&lt;0,Z140+360,Z140+0)</f>
        <v>236.4</v>
      </c>
    </row>
    <row r="141" customFormat="false" ht="15.8" hidden="false" customHeight="false" outlineLevel="0" collapsed="false">
      <c r="A141" s="1" t="n">
        <v>5</v>
      </c>
      <c r="B141" s="1" t="n">
        <v>2</v>
      </c>
      <c r="C141" s="1" t="n">
        <v>0.9</v>
      </c>
      <c r="D141" s="1" t="n">
        <v>1.3159</v>
      </c>
      <c r="E141" s="1" t="n">
        <v>0.0304228</v>
      </c>
      <c r="F141" s="1" t="n">
        <v>8.30096E-005</v>
      </c>
      <c r="G141" s="1" t="s">
        <v>37</v>
      </c>
      <c r="H141" s="1" t="n">
        <v>33.5</v>
      </c>
      <c r="I141" s="1" t="n">
        <v>333</v>
      </c>
      <c r="J141" s="1" t="n">
        <v>33.3</v>
      </c>
      <c r="K141" s="1" t="n">
        <v>69.1</v>
      </c>
      <c r="L141" s="1" t="n">
        <v>0</v>
      </c>
      <c r="M141" s="1" t="n">
        <v>0</v>
      </c>
      <c r="N141" s="1" t="s">
        <v>168</v>
      </c>
      <c r="Z141" s="0" t="n">
        <f aca="false">I141-9</f>
        <v>324</v>
      </c>
      <c r="AB141" s="0" t="n">
        <f aca="false">IF(Z141&lt;0,Z141+360,Z141+0)</f>
        <v>324</v>
      </c>
    </row>
    <row r="142" customFormat="false" ht="15.8" hidden="false" customHeight="false" outlineLevel="0" collapsed="false">
      <c r="A142" s="1" t="n">
        <v>5</v>
      </c>
      <c r="B142" s="1" t="n">
        <v>2</v>
      </c>
      <c r="C142" s="1" t="n">
        <v>1.5</v>
      </c>
      <c r="D142" s="1" t="n">
        <v>1.1059</v>
      </c>
      <c r="E142" s="1" t="n">
        <v>0.0503587</v>
      </c>
      <c r="F142" s="1" t="n">
        <v>0.000137405</v>
      </c>
      <c r="G142" s="1" t="s">
        <v>27</v>
      </c>
      <c r="H142" s="1" t="n">
        <v>91.1</v>
      </c>
      <c r="I142" s="1" t="n">
        <v>237.7</v>
      </c>
      <c r="J142" s="1" t="n">
        <v>39.8</v>
      </c>
      <c r="K142" s="1"/>
      <c r="L142" s="1" t="n">
        <v>0</v>
      </c>
      <c r="M142" s="1" t="n">
        <v>0</v>
      </c>
      <c r="N142" s="1" t="s">
        <v>168</v>
      </c>
      <c r="Z142" s="0" t="n">
        <f aca="false">I142-9</f>
        <v>228.7</v>
      </c>
      <c r="AB142" s="0" t="n">
        <f aca="false">IF(Z142&lt;0,Z142+360,Z142+0)</f>
        <v>228.7</v>
      </c>
    </row>
    <row r="143" customFormat="false" ht="15.8" hidden="false" customHeight="false" outlineLevel="0" collapsed="false">
      <c r="A143" s="1" t="n">
        <v>5</v>
      </c>
      <c r="B143" s="1" t="n">
        <v>1</v>
      </c>
      <c r="C143" s="1" t="n">
        <v>1.5</v>
      </c>
      <c r="D143" s="1" t="n">
        <v>1.0088</v>
      </c>
      <c r="E143" s="1" t="n">
        <v>0.0518976</v>
      </c>
      <c r="F143" s="1" t="n">
        <v>0.000141604</v>
      </c>
      <c r="G143" s="1" t="s">
        <v>37</v>
      </c>
      <c r="H143" s="1"/>
      <c r="I143" s="1" t="n">
        <v>329.1</v>
      </c>
      <c r="J143" s="1" t="n">
        <v>0</v>
      </c>
      <c r="K143" s="1" t="n">
        <v>91.1</v>
      </c>
      <c r="L143" s="1" t="n">
        <v>0</v>
      </c>
      <c r="M143" s="1" t="n">
        <v>0</v>
      </c>
      <c r="N143" s="1" t="s">
        <v>169</v>
      </c>
      <c r="Z143" s="0" t="n">
        <f aca="false">I143-9</f>
        <v>320.1</v>
      </c>
      <c r="AB143" s="0" t="n">
        <f aca="false">IF(Z143&lt;0,Z143+360,Z143+0)</f>
        <v>320.1</v>
      </c>
    </row>
    <row r="144" customFormat="false" ht="15.8" hidden="false" customHeight="false" outlineLevel="0" collapsed="false">
      <c r="A144" s="1" t="n">
        <v>6</v>
      </c>
      <c r="B144" s="1" t="n">
        <v>10</v>
      </c>
      <c r="C144" s="1" t="n">
        <v>2.2</v>
      </c>
      <c r="D144" s="1" t="n">
        <v>1.091</v>
      </c>
      <c r="E144" s="1" t="n">
        <v>0.0754247</v>
      </c>
      <c r="F144" s="1" t="n">
        <v>0.000205799</v>
      </c>
      <c r="G144" s="1" t="s">
        <v>27</v>
      </c>
      <c r="H144" s="1" t="n">
        <v>75.5</v>
      </c>
      <c r="I144" s="1" t="n">
        <v>258.6</v>
      </c>
      <c r="J144" s="1" t="n">
        <v>-10.6</v>
      </c>
      <c r="K144" s="1"/>
      <c r="L144" s="1" t="n">
        <v>0</v>
      </c>
      <c r="M144" s="1" t="n">
        <v>0</v>
      </c>
      <c r="N144" s="1" t="s">
        <v>170</v>
      </c>
      <c r="Z144" s="0" t="n">
        <f aca="false">I144-9</f>
        <v>249.6</v>
      </c>
      <c r="AB144" s="0" t="n">
        <f aca="false">IF(Z144&lt;0,Z144+360,Z144+0)</f>
        <v>249.6</v>
      </c>
    </row>
    <row r="145" customFormat="false" ht="15.8" hidden="false" customHeight="false" outlineLevel="0" collapsed="false">
      <c r="A145" s="1" t="n">
        <v>6</v>
      </c>
      <c r="B145" s="1" t="n">
        <v>10</v>
      </c>
      <c r="C145" s="1" t="n">
        <v>1.3</v>
      </c>
      <c r="D145" s="1" t="n">
        <v>1.0083</v>
      </c>
      <c r="E145" s="1" t="n">
        <v>0.0434892</v>
      </c>
      <c r="F145" s="1" t="n">
        <v>0.000118662</v>
      </c>
      <c r="G145" s="1" t="s">
        <v>27</v>
      </c>
      <c r="H145" s="1" t="n">
        <v>47.5</v>
      </c>
      <c r="I145" s="1" t="n">
        <v>135.4</v>
      </c>
      <c r="J145" s="1" t="n">
        <v>0</v>
      </c>
      <c r="K145" s="1"/>
      <c r="L145" s="1" t="n">
        <v>0</v>
      </c>
      <c r="M145" s="1" t="n">
        <v>0</v>
      </c>
      <c r="N145" s="1" t="s">
        <v>170</v>
      </c>
      <c r="Z145" s="0" t="n">
        <f aca="false">I145-9</f>
        <v>126.4</v>
      </c>
      <c r="AB145" s="0" t="n">
        <f aca="false">IF(Z145&lt;0,Z145+360,Z145+0)</f>
        <v>126.4</v>
      </c>
    </row>
    <row r="146" customFormat="false" ht="15.8" hidden="false" customHeight="false" outlineLevel="0" collapsed="false">
      <c r="A146" s="1" t="n">
        <v>6</v>
      </c>
      <c r="B146" s="1" t="n">
        <v>9</v>
      </c>
      <c r="C146" s="1" t="n">
        <v>6.2</v>
      </c>
      <c r="D146" s="1" t="n">
        <v>1.1276</v>
      </c>
      <c r="E146" s="1" t="n">
        <v>0.213743</v>
      </c>
      <c r="F146" s="1" t="n">
        <v>0.000583205</v>
      </c>
      <c r="G146" s="1" t="s">
        <v>37</v>
      </c>
      <c r="H146" s="1" t="n">
        <v>24.7</v>
      </c>
      <c r="I146" s="1" t="n">
        <v>180.8</v>
      </c>
      <c r="J146" s="1" t="n">
        <v>-15.5</v>
      </c>
      <c r="K146" s="1" t="n">
        <v>75.5</v>
      </c>
      <c r="L146" s="1" t="n">
        <v>0</v>
      </c>
      <c r="M146" s="1" t="n">
        <v>0</v>
      </c>
      <c r="N146" s="1" t="s">
        <v>171</v>
      </c>
      <c r="Z146" s="0" t="n">
        <f aca="false">I146-9</f>
        <v>171.8</v>
      </c>
      <c r="AB146" s="0" t="n">
        <f aca="false">IF(Z146&lt;0,Z146+360,Z146+0)</f>
        <v>171.8</v>
      </c>
    </row>
    <row r="147" customFormat="false" ht="15.8" hidden="false" customHeight="false" outlineLevel="0" collapsed="false">
      <c r="A147" s="1" t="n">
        <v>6</v>
      </c>
      <c r="B147" s="1" t="n">
        <v>9</v>
      </c>
      <c r="C147" s="1" t="n">
        <v>1.7</v>
      </c>
      <c r="D147" s="1" t="n">
        <v>1.234</v>
      </c>
      <c r="E147" s="1" t="n">
        <v>0.058953</v>
      </c>
      <c r="F147" s="1" t="n">
        <v>0.000160855</v>
      </c>
      <c r="G147" s="1" t="s">
        <v>27</v>
      </c>
      <c r="H147" s="1" t="n">
        <v>80.3</v>
      </c>
      <c r="I147" s="1" t="n">
        <v>86.3</v>
      </c>
      <c r="J147" s="1" t="n">
        <v>52.8</v>
      </c>
      <c r="K147" s="1"/>
      <c r="L147" s="1" t="n">
        <v>0</v>
      </c>
      <c r="M147" s="1" t="n">
        <v>0</v>
      </c>
      <c r="N147" s="1" t="s">
        <v>171</v>
      </c>
      <c r="Z147" s="0" t="n">
        <f aca="false">I147-9</f>
        <v>77.3</v>
      </c>
      <c r="AB147" s="0" t="n">
        <f aca="false">IF(Z147&lt;0,Z147+360,Z147+0)</f>
        <v>77.3</v>
      </c>
    </row>
    <row r="148" customFormat="false" ht="15.8" hidden="false" customHeight="false" outlineLevel="0" collapsed="false">
      <c r="A148" s="1" t="n">
        <v>6</v>
      </c>
      <c r="B148" s="1" t="n">
        <v>8</v>
      </c>
      <c r="C148" s="1" t="n">
        <v>5.3</v>
      </c>
      <c r="D148" s="1" t="n">
        <v>1.0657</v>
      </c>
      <c r="E148" s="1" t="n">
        <v>0.180988</v>
      </c>
      <c r="F148" s="1" t="n">
        <v>0.000493832</v>
      </c>
      <c r="G148" s="1" t="s">
        <v>37</v>
      </c>
      <c r="H148" s="1" t="n">
        <v>29.2</v>
      </c>
      <c r="I148" s="1" t="n">
        <v>165.9</v>
      </c>
      <c r="J148" s="1" t="n">
        <v>4.3</v>
      </c>
      <c r="K148" s="1" t="n">
        <v>80.3</v>
      </c>
      <c r="L148" s="1" t="n">
        <v>0</v>
      </c>
      <c r="M148" s="1" t="n">
        <v>0</v>
      </c>
      <c r="N148" s="1" t="s">
        <v>172</v>
      </c>
      <c r="Z148" s="0" t="n">
        <f aca="false">I148-9</f>
        <v>156.9</v>
      </c>
      <c r="AB148" s="0" t="n">
        <f aca="false">IF(Z148&lt;0,Z148+360,Z148+0)</f>
        <v>156.9</v>
      </c>
    </row>
    <row r="149" customFormat="false" ht="15.8" hidden="false" customHeight="false" outlineLevel="0" collapsed="false">
      <c r="A149" s="1" t="n">
        <v>6</v>
      </c>
      <c r="B149" s="1" t="n">
        <v>8</v>
      </c>
      <c r="C149" s="1" t="n">
        <v>1.9</v>
      </c>
      <c r="D149" s="1" t="n">
        <v>1.2926</v>
      </c>
      <c r="E149" s="1" t="n">
        <v>0.0666151</v>
      </c>
      <c r="F149" s="1" t="n">
        <v>0.000181762</v>
      </c>
      <c r="G149" s="1" t="s">
        <v>27</v>
      </c>
      <c r="H149" s="1" t="n">
        <v>64.1</v>
      </c>
      <c r="I149" s="1" t="n">
        <v>112.1</v>
      </c>
      <c r="J149" s="1" t="n">
        <v>-47.6</v>
      </c>
      <c r="K149" s="1"/>
      <c r="L149" s="1" t="n">
        <v>0</v>
      </c>
      <c r="M149" s="1" t="n">
        <v>0</v>
      </c>
      <c r="N149" s="1" t="s">
        <v>172</v>
      </c>
      <c r="Z149" s="0" t="n">
        <f aca="false">I149-9</f>
        <v>103.1</v>
      </c>
      <c r="AB149" s="0" t="n">
        <f aca="false">IF(Z149&lt;0,Z149+360,Z149+0)</f>
        <v>103.1</v>
      </c>
    </row>
    <row r="150" customFormat="false" ht="15.8" hidden="false" customHeight="false" outlineLevel="0" collapsed="false">
      <c r="A150" s="1" t="n">
        <v>6</v>
      </c>
      <c r="B150" s="1" t="n">
        <v>8</v>
      </c>
      <c r="C150" s="1" t="n">
        <v>1.1</v>
      </c>
      <c r="D150" s="1" t="n">
        <v>1.1516</v>
      </c>
      <c r="E150" s="1" t="n">
        <v>0.0382701</v>
      </c>
      <c r="F150" s="1" t="n">
        <v>0.000104421</v>
      </c>
      <c r="G150" s="1" t="s">
        <v>27</v>
      </c>
      <c r="H150" s="1" t="n">
        <v>59.3</v>
      </c>
      <c r="I150" s="1" t="n">
        <v>247.8</v>
      </c>
      <c r="J150" s="1" t="n">
        <v>-22.4</v>
      </c>
      <c r="K150" s="1"/>
      <c r="L150" s="1" t="n">
        <v>0</v>
      </c>
      <c r="M150" s="1" t="n">
        <v>0</v>
      </c>
      <c r="N150" s="1" t="s">
        <v>172</v>
      </c>
      <c r="Z150" s="0" t="n">
        <f aca="false">I150-9</f>
        <v>238.8</v>
      </c>
      <c r="AB150" s="0" t="n">
        <f aca="false">IF(Z150&lt;0,Z150+360,Z150+0)</f>
        <v>238.8</v>
      </c>
    </row>
    <row r="151" customFormat="false" ht="15.8" hidden="false" customHeight="false" outlineLevel="0" collapsed="false">
      <c r="A151" s="1" t="n">
        <v>6</v>
      </c>
      <c r="B151" s="1" t="n">
        <v>7</v>
      </c>
      <c r="C151" s="1" t="n">
        <v>1.3</v>
      </c>
      <c r="D151" s="1" t="n">
        <v>1.1044</v>
      </c>
      <c r="E151" s="1" t="n">
        <v>0.0433446</v>
      </c>
      <c r="F151" s="1" t="n">
        <v>0.000118267</v>
      </c>
      <c r="G151" s="1" t="s">
        <v>37</v>
      </c>
      <c r="H151" s="1" t="n">
        <v>69.6</v>
      </c>
      <c r="I151" s="1" t="n">
        <v>184</v>
      </c>
      <c r="J151" s="1" t="n">
        <v>-18.9</v>
      </c>
      <c r="K151" s="1" t="n">
        <v>64.1</v>
      </c>
      <c r="L151" s="1" t="n">
        <v>0</v>
      </c>
      <c r="M151" s="1" t="n">
        <v>0</v>
      </c>
      <c r="N151" s="1" t="s">
        <v>173</v>
      </c>
      <c r="Z151" s="0" t="n">
        <f aca="false">I151-9</f>
        <v>175</v>
      </c>
      <c r="AB151" s="0" t="n">
        <f aca="false">IF(Z151&lt;0,Z151+360,Z151+0)</f>
        <v>175</v>
      </c>
    </row>
    <row r="152" customFormat="false" ht="15.8" hidden="false" customHeight="false" outlineLevel="0" collapsed="false">
      <c r="A152" s="1" t="n">
        <v>6</v>
      </c>
      <c r="B152" s="1" t="n">
        <v>9</v>
      </c>
      <c r="C152" s="1" t="n">
        <v>1.1</v>
      </c>
      <c r="D152" s="1" t="n">
        <v>1.2224</v>
      </c>
      <c r="E152" s="1" t="n">
        <v>0.0386316</v>
      </c>
      <c r="F152" s="1" t="n">
        <v>0.000105408</v>
      </c>
      <c r="G152" s="1" t="s">
        <v>27</v>
      </c>
      <c r="H152" s="1" t="n">
        <v>53.7</v>
      </c>
      <c r="I152" s="1" t="n">
        <v>318</v>
      </c>
      <c r="J152" s="1" t="n">
        <v>23.7</v>
      </c>
      <c r="K152" s="1"/>
      <c r="L152" s="1" t="n">
        <v>0</v>
      </c>
      <c r="M152" s="1" t="n">
        <v>0</v>
      </c>
      <c r="N152" s="1" t="s">
        <v>174</v>
      </c>
      <c r="Z152" s="0" t="n">
        <f aca="false">I152-9</f>
        <v>309</v>
      </c>
      <c r="AB152" s="0" t="n">
        <f aca="false">IF(Z152&lt;0,Z152+360,Z152+0)</f>
        <v>309</v>
      </c>
    </row>
    <row r="153" customFormat="false" ht="15.8" hidden="false" customHeight="false" outlineLevel="0" collapsed="false">
      <c r="A153" s="1" t="n">
        <v>6</v>
      </c>
      <c r="B153" s="1" t="n">
        <v>10</v>
      </c>
      <c r="C153" s="1" t="n">
        <v>1.6</v>
      </c>
      <c r="D153" s="1" t="n">
        <v>1.4484</v>
      </c>
      <c r="E153" s="1" t="n">
        <v>0.0562768</v>
      </c>
      <c r="F153" s="1" t="n">
        <v>0.000153553</v>
      </c>
      <c r="G153" s="1" t="s">
        <v>27</v>
      </c>
      <c r="H153" s="1" t="n">
        <v>67.5</v>
      </c>
      <c r="I153" s="1" t="n">
        <v>253.3</v>
      </c>
      <c r="J153" s="1" t="n">
        <v>-78.4</v>
      </c>
      <c r="K153" s="1"/>
      <c r="L153" s="1" t="n">
        <v>0</v>
      </c>
      <c r="M153" s="1" t="n">
        <v>0</v>
      </c>
      <c r="N153" s="1" t="s">
        <v>175</v>
      </c>
      <c r="Z153" s="0" t="n">
        <f aca="false">I153-9</f>
        <v>244.3</v>
      </c>
      <c r="AB153" s="0" t="n">
        <f aca="false">IF(Z153&lt;0,Z153+360,Z153+0)</f>
        <v>244.3</v>
      </c>
    </row>
    <row r="154" customFormat="false" ht="15.8" hidden="false" customHeight="false" outlineLevel="0" collapsed="false">
      <c r="A154" s="1" t="n">
        <v>6</v>
      </c>
      <c r="B154" s="1" t="n">
        <v>10</v>
      </c>
      <c r="C154" s="1" t="n">
        <v>9.2</v>
      </c>
      <c r="D154" s="1" t="n">
        <v>1.3539</v>
      </c>
      <c r="E154" s="1" t="n">
        <v>0.315689</v>
      </c>
      <c r="F154" s="1" t="n">
        <v>0.000861368</v>
      </c>
      <c r="G154" s="1" t="s">
        <v>27</v>
      </c>
      <c r="H154" s="1" t="n">
        <v>40.5</v>
      </c>
      <c r="I154" s="1" t="n">
        <v>132.5</v>
      </c>
      <c r="J154" s="1" t="n">
        <v>-22.4</v>
      </c>
      <c r="K154" s="1"/>
      <c r="L154" s="1" t="n">
        <v>0</v>
      </c>
      <c r="M154" s="1" t="n">
        <v>0</v>
      </c>
      <c r="N154" s="1" t="s">
        <v>175</v>
      </c>
      <c r="Z154" s="0" t="n">
        <f aca="false">I154-9</f>
        <v>123.5</v>
      </c>
      <c r="AB154" s="0" t="n">
        <f aca="false">IF(Z154&lt;0,Z154+360,Z154+0)</f>
        <v>123.5</v>
      </c>
    </row>
    <row r="155" customFormat="false" ht="15.8" hidden="false" customHeight="false" outlineLevel="0" collapsed="false">
      <c r="A155" s="1" t="n">
        <v>6</v>
      </c>
      <c r="B155" s="1" t="n">
        <v>9</v>
      </c>
      <c r="C155" s="1" t="n">
        <v>3.4</v>
      </c>
      <c r="D155" s="1" t="n">
        <v>1.2801</v>
      </c>
      <c r="E155" s="1" t="n">
        <v>0.116996</v>
      </c>
      <c r="F155" s="1" t="n">
        <v>0.000319227</v>
      </c>
      <c r="G155" s="1" t="s">
        <v>37</v>
      </c>
      <c r="H155" s="1" t="n">
        <v>81.8</v>
      </c>
      <c r="I155" s="1" t="n">
        <v>88</v>
      </c>
      <c r="J155" s="1" t="n">
        <v>-33.7</v>
      </c>
      <c r="K155" s="1" t="n">
        <v>67.5</v>
      </c>
      <c r="L155" s="1" t="n">
        <v>0</v>
      </c>
      <c r="M155" s="1" t="n">
        <v>0</v>
      </c>
      <c r="N155" s="1" t="s">
        <v>174</v>
      </c>
      <c r="Z155" s="0" t="n">
        <f aca="false">I155-9</f>
        <v>79</v>
      </c>
      <c r="AB155" s="0" t="n">
        <f aca="false">IF(Z155&lt;0,Z155+360,Z155+0)</f>
        <v>79</v>
      </c>
    </row>
    <row r="156" customFormat="false" ht="15.8" hidden="false" customHeight="false" outlineLevel="0" collapsed="false">
      <c r="A156" s="1" t="n">
        <v>6</v>
      </c>
      <c r="B156" s="1" t="n">
        <v>8</v>
      </c>
      <c r="C156" s="1" t="n">
        <v>12.3</v>
      </c>
      <c r="D156" s="1" t="n">
        <v>1.2155</v>
      </c>
      <c r="E156" s="1" t="n">
        <v>0.420759</v>
      </c>
      <c r="F156" s="1" t="n">
        <v>0.00114806</v>
      </c>
      <c r="G156" s="1" t="s">
        <v>37</v>
      </c>
      <c r="H156" s="1" t="n">
        <v>53</v>
      </c>
      <c r="I156" s="1" t="n">
        <v>6.4</v>
      </c>
      <c r="J156" s="1" t="n">
        <v>-2.1</v>
      </c>
      <c r="K156" s="1" t="n">
        <v>81.8</v>
      </c>
      <c r="L156" s="1" t="n">
        <v>0</v>
      </c>
      <c r="M156" s="1" t="n">
        <v>0</v>
      </c>
      <c r="N156" s="1" t="s">
        <v>176</v>
      </c>
      <c r="Z156" s="0" t="n">
        <f aca="false">I156-9</f>
        <v>-2.6</v>
      </c>
      <c r="AB156" s="0" t="n">
        <f aca="false">IF(Z156&lt;0,Z156+360,Z156+0)</f>
        <v>357.4</v>
      </c>
    </row>
    <row r="157" customFormat="false" ht="15.8" hidden="false" customHeight="false" outlineLevel="0" collapsed="false">
      <c r="A157" s="1" t="n">
        <v>6</v>
      </c>
      <c r="B157" s="1" t="n">
        <v>8</v>
      </c>
      <c r="C157" s="1" t="n">
        <v>4.2</v>
      </c>
      <c r="D157" s="1" t="n">
        <v>1.1462</v>
      </c>
      <c r="E157" s="1" t="n">
        <v>0.143681</v>
      </c>
      <c r="F157" s="1" t="n">
        <v>0.00039204</v>
      </c>
      <c r="G157" s="1" t="s">
        <v>27</v>
      </c>
      <c r="H157" s="1" t="n">
        <v>62.3</v>
      </c>
      <c r="I157" s="1" t="n">
        <v>263.3</v>
      </c>
      <c r="J157" s="1" t="n">
        <v>17.7</v>
      </c>
      <c r="K157" s="1"/>
      <c r="L157" s="1" t="n">
        <v>0</v>
      </c>
      <c r="M157" s="1" t="n">
        <v>0</v>
      </c>
      <c r="N157" s="1" t="s">
        <v>176</v>
      </c>
      <c r="Z157" s="0" t="n">
        <f aca="false">I157-9</f>
        <v>254.3</v>
      </c>
      <c r="AB157" s="0" t="n">
        <f aca="false">IF(Z157&lt;0,Z157+360,Z157+0)</f>
        <v>254.3</v>
      </c>
    </row>
    <row r="158" customFormat="false" ht="15.8" hidden="false" customHeight="false" outlineLevel="0" collapsed="false">
      <c r="A158" s="1" t="n">
        <v>6</v>
      </c>
      <c r="B158" s="1" t="n">
        <v>7</v>
      </c>
      <c r="C158" s="1" t="n">
        <v>2</v>
      </c>
      <c r="D158" s="1" t="n">
        <v>1.1848</v>
      </c>
      <c r="E158" s="1" t="n">
        <v>0.0696268</v>
      </c>
      <c r="F158" s="1" t="n">
        <v>0.000189979</v>
      </c>
      <c r="G158" s="1" t="s">
        <v>37</v>
      </c>
      <c r="H158" s="1" t="n">
        <v>87</v>
      </c>
      <c r="I158" s="1" t="n">
        <v>331.7</v>
      </c>
      <c r="J158" s="1" t="n">
        <v>40.4</v>
      </c>
      <c r="K158" s="1" t="n">
        <v>62.3</v>
      </c>
      <c r="L158" s="1" t="n">
        <v>0</v>
      </c>
      <c r="M158" s="1" t="n">
        <v>0</v>
      </c>
      <c r="N158" s="1" t="s">
        <v>173</v>
      </c>
      <c r="Z158" s="0" t="n">
        <f aca="false">I158-9</f>
        <v>322.7</v>
      </c>
      <c r="AB158" s="0" t="n">
        <f aca="false">IF(Z158&lt;0,Z158+360,Z158+0)</f>
        <v>322.7</v>
      </c>
    </row>
    <row r="159" customFormat="false" ht="15.8" hidden="false" customHeight="false" outlineLevel="0" collapsed="false">
      <c r="A159" s="1" t="n">
        <v>6</v>
      </c>
      <c r="B159" s="1" t="n">
        <v>7</v>
      </c>
      <c r="C159" s="1" t="n">
        <v>6.8</v>
      </c>
      <c r="D159" s="1" t="n">
        <v>1.8899</v>
      </c>
      <c r="E159" s="1" t="n">
        <v>0.23176</v>
      </c>
      <c r="F159" s="1" t="n">
        <v>0.000632365</v>
      </c>
      <c r="G159" s="1" t="s">
        <v>27</v>
      </c>
      <c r="H159" s="1" t="n">
        <v>153.5</v>
      </c>
      <c r="I159" s="1" t="n">
        <v>2.7</v>
      </c>
      <c r="J159" s="1" t="n">
        <v>-24.4</v>
      </c>
      <c r="K159" s="1"/>
      <c r="L159" s="1" t="n">
        <v>0</v>
      </c>
      <c r="M159" s="1" t="n">
        <v>0</v>
      </c>
      <c r="N159" s="1" t="s">
        <v>173</v>
      </c>
      <c r="Z159" s="0" t="n">
        <f aca="false">I159-9</f>
        <v>-6.3</v>
      </c>
      <c r="AB159" s="0" t="n">
        <f aca="false">IF(Z159&lt;0,Z159+360,Z159+0)</f>
        <v>353.7</v>
      </c>
    </row>
    <row r="160" customFormat="false" ht="15.8" hidden="false" customHeight="false" outlineLevel="0" collapsed="false">
      <c r="A160" s="1" t="n">
        <v>6</v>
      </c>
      <c r="B160" s="1" t="n">
        <v>6</v>
      </c>
      <c r="C160" s="1" t="n">
        <v>1.8</v>
      </c>
      <c r="D160" s="1" t="n">
        <v>1.28</v>
      </c>
      <c r="E160" s="1" t="n">
        <v>0.0632735</v>
      </c>
      <c r="F160" s="1" t="n">
        <v>0.000172644</v>
      </c>
      <c r="G160" s="1" t="s">
        <v>37</v>
      </c>
      <c r="H160" s="1" t="n">
        <v>50.5</v>
      </c>
      <c r="I160" s="1" t="n">
        <v>175.2</v>
      </c>
      <c r="J160" s="1" t="n">
        <v>50.3</v>
      </c>
      <c r="K160" s="1" t="n">
        <v>153.5</v>
      </c>
      <c r="L160" s="1" t="n">
        <v>0</v>
      </c>
      <c r="M160" s="1" t="n">
        <v>0</v>
      </c>
      <c r="N160" s="1" t="s">
        <v>177</v>
      </c>
      <c r="Z160" s="0" t="n">
        <f aca="false">I160-9</f>
        <v>166.2</v>
      </c>
      <c r="AB160" s="0" t="n">
        <f aca="false">IF(Z160&lt;0,Z160+360,Z160+0)</f>
        <v>166.2</v>
      </c>
    </row>
    <row r="161" customFormat="false" ht="15.8" hidden="false" customHeight="false" outlineLevel="0" collapsed="false">
      <c r="A161" s="1" t="n">
        <v>6</v>
      </c>
      <c r="B161" s="1" t="n">
        <v>7</v>
      </c>
      <c r="C161" s="1" t="n">
        <v>1.7</v>
      </c>
      <c r="D161" s="1" t="n">
        <v>1.142</v>
      </c>
      <c r="E161" s="1" t="n">
        <v>0.0599506</v>
      </c>
      <c r="F161" s="1" t="n">
        <v>0.000163577</v>
      </c>
      <c r="G161" s="1" t="s">
        <v>27</v>
      </c>
      <c r="H161" s="1" t="n">
        <v>32</v>
      </c>
      <c r="I161" s="1" t="n">
        <v>291.1</v>
      </c>
      <c r="J161" s="1" t="n">
        <v>14</v>
      </c>
      <c r="K161" s="1"/>
      <c r="L161" s="1" t="n">
        <v>0</v>
      </c>
      <c r="M161" s="1" t="n">
        <v>0</v>
      </c>
      <c r="N161" s="1" t="s">
        <v>178</v>
      </c>
      <c r="Z161" s="0" t="n">
        <f aca="false">I161-9</f>
        <v>282.1</v>
      </c>
      <c r="AB161" s="0" t="n">
        <f aca="false">IF(Z161&lt;0,Z161+360,Z161+0)</f>
        <v>282.1</v>
      </c>
    </row>
    <row r="162" customFormat="false" ht="15.8" hidden="false" customHeight="false" outlineLevel="0" collapsed="false">
      <c r="A162" s="1" t="n">
        <v>6</v>
      </c>
      <c r="B162" s="1" t="n">
        <v>8</v>
      </c>
      <c r="C162" s="1" t="n">
        <v>9.4</v>
      </c>
      <c r="D162" s="1" t="n">
        <v>1.3479</v>
      </c>
      <c r="E162" s="1" t="n">
        <v>0.32097</v>
      </c>
      <c r="F162" s="1" t="n">
        <v>0.000875777</v>
      </c>
      <c r="G162" s="1" t="s">
        <v>27</v>
      </c>
      <c r="H162" s="1" t="n">
        <v>49.7</v>
      </c>
      <c r="I162" s="1" t="n">
        <v>226.1</v>
      </c>
      <c r="J162" s="1" t="n">
        <v>-43.8</v>
      </c>
      <c r="K162" s="1"/>
      <c r="L162" s="1" t="n">
        <v>0</v>
      </c>
      <c r="M162" s="1" t="n">
        <v>0</v>
      </c>
      <c r="N162" s="1" t="s">
        <v>179</v>
      </c>
      <c r="Z162" s="0" t="n">
        <f aca="false">I162-9</f>
        <v>217.1</v>
      </c>
      <c r="AB162" s="0" t="n">
        <f aca="false">IF(Z162&lt;0,Z162+360,Z162+0)</f>
        <v>217.1</v>
      </c>
    </row>
    <row r="163" customFormat="false" ht="15.8" hidden="false" customHeight="false" outlineLevel="0" collapsed="false">
      <c r="A163" s="1" t="n">
        <v>6</v>
      </c>
      <c r="B163" s="1" t="n">
        <v>10</v>
      </c>
      <c r="C163" s="1" t="n">
        <v>1.1</v>
      </c>
      <c r="D163" s="1" t="n">
        <v>1.2219</v>
      </c>
      <c r="E163" s="1" t="n">
        <v>0.0388393</v>
      </c>
      <c r="F163" s="1" t="n">
        <v>0.000105974</v>
      </c>
      <c r="G163" s="1" t="s">
        <v>27</v>
      </c>
      <c r="H163" s="1" t="n">
        <v>107</v>
      </c>
      <c r="I163" s="1" t="n">
        <v>294.3</v>
      </c>
      <c r="J163" s="1" t="n">
        <v>23.5</v>
      </c>
      <c r="K163" s="1"/>
      <c r="L163" s="1" t="n">
        <v>0</v>
      </c>
      <c r="M163" s="1" t="n">
        <v>0</v>
      </c>
      <c r="N163" s="1" t="s">
        <v>180</v>
      </c>
      <c r="Z163" s="0" t="n">
        <f aca="false">I163-9</f>
        <v>285.3</v>
      </c>
      <c r="AB163" s="0" t="n">
        <f aca="false">IF(Z163&lt;0,Z163+360,Z163+0)</f>
        <v>285.3</v>
      </c>
    </row>
    <row r="164" customFormat="false" ht="15.8" hidden="false" customHeight="false" outlineLevel="0" collapsed="false">
      <c r="A164" s="1" t="n">
        <v>6</v>
      </c>
      <c r="B164" s="1" t="n">
        <v>10</v>
      </c>
      <c r="C164" s="1" t="n">
        <v>2.7</v>
      </c>
      <c r="D164" s="1" t="n">
        <v>1.1212</v>
      </c>
      <c r="E164" s="1" t="n">
        <v>0.0942255</v>
      </c>
      <c r="F164" s="1" t="n">
        <v>0.000257098</v>
      </c>
      <c r="G164" s="1" t="s">
        <v>27</v>
      </c>
      <c r="H164" s="1" t="n">
        <v>20.8</v>
      </c>
      <c r="I164" s="1" t="n">
        <v>174.6</v>
      </c>
      <c r="J164" s="1" t="n">
        <v>-8.7</v>
      </c>
      <c r="K164" s="1"/>
      <c r="L164" s="1" t="n">
        <v>0</v>
      </c>
      <c r="M164" s="1" t="n">
        <v>0</v>
      </c>
      <c r="N164" s="1" t="s">
        <v>180</v>
      </c>
      <c r="Z164" s="0" t="n">
        <f aca="false">I164-9</f>
        <v>165.6</v>
      </c>
      <c r="AB164" s="0" t="n">
        <f aca="false">IF(Z164&lt;0,Z164+360,Z164+0)</f>
        <v>165.6</v>
      </c>
    </row>
    <row r="165" customFormat="false" ht="15.8" hidden="false" customHeight="false" outlineLevel="0" collapsed="false">
      <c r="A165" s="1" t="n">
        <v>6</v>
      </c>
      <c r="B165" s="1" t="n">
        <v>9</v>
      </c>
      <c r="C165" s="1" t="n">
        <v>1.8</v>
      </c>
      <c r="D165" s="1" t="n">
        <v>1.5692</v>
      </c>
      <c r="E165" s="1" t="n">
        <v>0.0618338</v>
      </c>
      <c r="F165" s="1" t="n">
        <v>0.000168716</v>
      </c>
      <c r="G165" s="1" t="s">
        <v>37</v>
      </c>
      <c r="H165" s="1" t="n">
        <v>35.3</v>
      </c>
      <c r="I165" s="1" t="n">
        <v>193.3</v>
      </c>
      <c r="J165" s="1" t="n">
        <v>-18.8</v>
      </c>
      <c r="K165" s="1" t="n">
        <v>107</v>
      </c>
      <c r="L165" s="1" t="n">
        <v>0</v>
      </c>
      <c r="M165" s="1" t="n">
        <v>0</v>
      </c>
      <c r="N165" s="1" t="s">
        <v>181</v>
      </c>
      <c r="Z165" s="0" t="n">
        <f aca="false">I165-9</f>
        <v>184.3</v>
      </c>
      <c r="AB165" s="0" t="n">
        <f aca="false">IF(Z165&lt;0,Z165+360,Z165+0)</f>
        <v>184.3</v>
      </c>
    </row>
    <row r="166" customFormat="false" ht="15.8" hidden="false" customHeight="false" outlineLevel="0" collapsed="false">
      <c r="A166" s="1" t="n">
        <v>6</v>
      </c>
      <c r="B166" s="1" t="n">
        <v>9</v>
      </c>
      <c r="C166" s="1" t="n">
        <v>2.2</v>
      </c>
      <c r="D166" s="1" t="n">
        <v>1.3116</v>
      </c>
      <c r="E166" s="1" t="n">
        <v>0.0745274</v>
      </c>
      <c r="F166" s="1" t="n">
        <v>0.000203351</v>
      </c>
      <c r="G166" s="1" t="s">
        <v>27</v>
      </c>
      <c r="H166" s="1" t="n">
        <v>105</v>
      </c>
      <c r="I166" s="1" t="n">
        <v>6.6</v>
      </c>
      <c r="J166" s="1" t="n">
        <v>-42.1</v>
      </c>
      <c r="K166" s="1"/>
      <c r="L166" s="1" t="n">
        <v>0</v>
      </c>
      <c r="M166" s="1" t="n">
        <v>0</v>
      </c>
      <c r="N166" s="1" t="s">
        <v>181</v>
      </c>
      <c r="Z166" s="0" t="n">
        <f aca="false">I166-9</f>
        <v>-2.4</v>
      </c>
      <c r="AB166" s="0" t="n">
        <f aca="false">IF(Z166&lt;0,Z166+360,Z166+0)</f>
        <v>357.6</v>
      </c>
    </row>
    <row r="167" customFormat="false" ht="15.8" hidden="false" customHeight="false" outlineLevel="0" collapsed="false">
      <c r="A167" s="1" t="n">
        <v>6</v>
      </c>
      <c r="B167" s="1" t="n">
        <v>8</v>
      </c>
      <c r="C167" s="1" t="n">
        <v>6.6</v>
      </c>
      <c r="D167" s="1" t="n">
        <v>1.1812</v>
      </c>
      <c r="E167" s="1" t="n">
        <v>0.227825</v>
      </c>
      <c r="F167" s="1" t="n">
        <v>0.000621628</v>
      </c>
      <c r="G167" s="1" t="s">
        <v>37</v>
      </c>
      <c r="H167" s="1" t="n">
        <v>7.9</v>
      </c>
      <c r="I167" s="1" t="n">
        <v>156</v>
      </c>
      <c r="J167" s="1" t="n">
        <v>-27.4</v>
      </c>
      <c r="K167" s="1" t="n">
        <v>105</v>
      </c>
      <c r="L167" s="1" t="n">
        <v>0</v>
      </c>
      <c r="M167" s="1" t="n">
        <v>0</v>
      </c>
      <c r="N167" s="1" t="s">
        <v>179</v>
      </c>
      <c r="Z167" s="0" t="n">
        <f aca="false">I167-9</f>
        <v>147</v>
      </c>
      <c r="AB167" s="0" t="n">
        <f aca="false">IF(Z167&lt;0,Z167+360,Z167+0)</f>
        <v>147</v>
      </c>
    </row>
    <row r="168" customFormat="false" ht="15.8" hidden="false" customHeight="false" outlineLevel="0" collapsed="false">
      <c r="A168" s="1" t="n">
        <v>6</v>
      </c>
      <c r="B168" s="1" t="n">
        <v>7</v>
      </c>
      <c r="C168" s="1" t="n">
        <v>6.7</v>
      </c>
      <c r="D168" s="1" t="n">
        <v>1.1736</v>
      </c>
      <c r="E168" s="1" t="n">
        <v>0.230543</v>
      </c>
      <c r="F168" s="1" t="n">
        <v>0.000629046</v>
      </c>
      <c r="G168" s="1" t="s">
        <v>37</v>
      </c>
      <c r="H168" s="1" t="n">
        <v>99.3</v>
      </c>
      <c r="I168" s="1" t="n">
        <v>164</v>
      </c>
      <c r="J168" s="1" t="n">
        <v>-31.1</v>
      </c>
      <c r="K168" s="1" t="n">
        <v>49.7</v>
      </c>
      <c r="L168" s="1" t="n">
        <v>0</v>
      </c>
      <c r="M168" s="1" t="n">
        <v>0</v>
      </c>
      <c r="N168" s="1" t="s">
        <v>178</v>
      </c>
      <c r="Z168" s="0" t="n">
        <f aca="false">I168-9</f>
        <v>155</v>
      </c>
      <c r="AB168" s="0" t="n">
        <f aca="false">IF(Z168&lt;0,Z168+360,Z168+0)</f>
        <v>155</v>
      </c>
    </row>
    <row r="169" customFormat="false" ht="15.8" hidden="false" customHeight="false" outlineLevel="0" collapsed="false">
      <c r="A169" s="1" t="n">
        <v>6</v>
      </c>
      <c r="B169" s="1" t="n">
        <v>6</v>
      </c>
      <c r="C169" s="1" t="n">
        <v>13.3</v>
      </c>
      <c r="D169" s="1" t="n">
        <v>1.3232</v>
      </c>
      <c r="E169" s="1" t="n">
        <v>0.455931</v>
      </c>
      <c r="F169" s="1" t="n">
        <v>0.00124402</v>
      </c>
      <c r="G169" s="1" t="s">
        <v>37</v>
      </c>
      <c r="H169" s="1" t="n">
        <v>78.9</v>
      </c>
      <c r="I169" s="1" t="n">
        <v>258.5</v>
      </c>
      <c r="J169" s="1" t="n">
        <v>10.6</v>
      </c>
      <c r="K169" s="1" t="n">
        <v>99.3</v>
      </c>
      <c r="L169" s="1" t="n">
        <v>0</v>
      </c>
      <c r="M169" s="1" t="n">
        <v>0</v>
      </c>
      <c r="N169" s="1" t="s">
        <v>177</v>
      </c>
      <c r="Z169" s="0" t="n">
        <f aca="false">I169-9</f>
        <v>249.5</v>
      </c>
      <c r="AB169" s="0" t="n">
        <f aca="false">IF(Z169&lt;0,Z169+360,Z169+0)</f>
        <v>249.5</v>
      </c>
    </row>
    <row r="170" customFormat="false" ht="15.8" hidden="false" customHeight="false" outlineLevel="0" collapsed="false">
      <c r="A170" s="1" t="n">
        <v>6</v>
      </c>
      <c r="B170" s="1" t="n">
        <v>5</v>
      </c>
      <c r="C170" s="1" t="n">
        <v>3.2</v>
      </c>
      <c r="D170" s="1" t="n">
        <v>1.037</v>
      </c>
      <c r="E170" s="1" t="n">
        <v>0.108579</v>
      </c>
      <c r="F170" s="1" t="n">
        <v>0.000291189</v>
      </c>
      <c r="G170" s="1" t="s">
        <v>37</v>
      </c>
      <c r="H170" s="1" t="n">
        <v>25.5</v>
      </c>
      <c r="I170" s="1" t="n">
        <v>179.8</v>
      </c>
      <c r="J170" s="1" t="n">
        <v>0</v>
      </c>
      <c r="K170" s="1" t="n">
        <v>78.9</v>
      </c>
      <c r="L170" s="1" t="n">
        <v>0</v>
      </c>
      <c r="M170" s="1" t="n">
        <v>0</v>
      </c>
      <c r="N170" s="1" t="s">
        <v>182</v>
      </c>
      <c r="Z170" s="0" t="n">
        <f aca="false">I170-9</f>
        <v>170.8</v>
      </c>
      <c r="AB170" s="0" t="n">
        <f aca="false">IF(Z170&lt;0,Z170+360,Z170+0)</f>
        <v>170.8</v>
      </c>
    </row>
    <row r="171" customFormat="false" ht="15.8" hidden="false" customHeight="false" outlineLevel="0" collapsed="false">
      <c r="A171" s="1" t="n">
        <v>6</v>
      </c>
      <c r="B171" s="1" t="n">
        <v>5</v>
      </c>
      <c r="C171" s="1" t="n">
        <v>5.2</v>
      </c>
      <c r="D171" s="1" t="n">
        <v>1.3058</v>
      </c>
      <c r="E171" s="1" t="n">
        <v>0.177935</v>
      </c>
      <c r="F171" s="1" t="n">
        <v>0.000485502</v>
      </c>
      <c r="G171" s="1" t="s">
        <v>27</v>
      </c>
      <c r="H171" s="1" t="n">
        <v>44.8</v>
      </c>
      <c r="I171" s="1" t="n">
        <v>236.5</v>
      </c>
      <c r="J171" s="1" t="n">
        <v>-34</v>
      </c>
      <c r="K171" s="1"/>
      <c r="L171" s="1" t="n">
        <v>0</v>
      </c>
      <c r="M171" s="1" t="n">
        <v>0</v>
      </c>
      <c r="N171" s="1" t="s">
        <v>182</v>
      </c>
      <c r="Z171" s="0" t="n">
        <f aca="false">I171-9</f>
        <v>227.5</v>
      </c>
      <c r="AB171" s="0" t="n">
        <f aca="false">IF(Z171&lt;0,Z171+360,Z171+0)</f>
        <v>227.5</v>
      </c>
    </row>
    <row r="172" customFormat="false" ht="15.8" hidden="false" customHeight="false" outlineLevel="0" collapsed="false">
      <c r="A172" s="1" t="n">
        <v>6</v>
      </c>
      <c r="B172" s="1" t="n">
        <v>4</v>
      </c>
      <c r="C172" s="1" t="n">
        <v>0.7</v>
      </c>
      <c r="D172" s="1" t="n">
        <v>1.0116</v>
      </c>
      <c r="E172" s="1" t="n">
        <v>0.0231713</v>
      </c>
      <c r="F172" s="1" t="n">
        <v>6.32236E-005</v>
      </c>
      <c r="G172" s="1" t="s">
        <v>37</v>
      </c>
      <c r="H172" s="1" t="n">
        <v>56.1</v>
      </c>
      <c r="I172" s="1" t="n">
        <v>205.3</v>
      </c>
      <c r="J172" s="1" t="n">
        <v>0</v>
      </c>
      <c r="K172" s="1" t="n">
        <v>44.8</v>
      </c>
      <c r="L172" s="1" t="n">
        <v>0</v>
      </c>
      <c r="M172" s="1" t="n">
        <v>0</v>
      </c>
      <c r="N172" s="1" t="s">
        <v>183</v>
      </c>
      <c r="Z172" s="0" t="n">
        <f aca="false">I172-9</f>
        <v>196.3</v>
      </c>
      <c r="AB172" s="0" t="n">
        <f aca="false">IF(Z172&lt;0,Z172+360,Z172+0)</f>
        <v>196.3</v>
      </c>
    </row>
    <row r="173" customFormat="false" ht="15.8" hidden="false" customHeight="false" outlineLevel="0" collapsed="false">
      <c r="A173" s="1" t="n">
        <v>6</v>
      </c>
      <c r="B173" s="1" t="n">
        <v>5</v>
      </c>
      <c r="C173" s="1" t="n">
        <v>3.2</v>
      </c>
      <c r="D173" s="1" t="n">
        <v>1.1239</v>
      </c>
      <c r="E173" s="1" t="n">
        <v>0.108834</v>
      </c>
      <c r="F173" s="1" t="n">
        <v>0.000296957</v>
      </c>
      <c r="G173" s="1" t="s">
        <v>27</v>
      </c>
      <c r="H173" s="1" t="n">
        <v>48.1</v>
      </c>
      <c r="I173" s="1" t="n">
        <v>79.2</v>
      </c>
      <c r="J173" s="1" t="n">
        <v>-7.5</v>
      </c>
      <c r="K173" s="1"/>
      <c r="L173" s="1" t="n">
        <v>0</v>
      </c>
      <c r="M173" s="1" t="n">
        <v>0</v>
      </c>
      <c r="N173" s="1" t="s">
        <v>184</v>
      </c>
      <c r="Z173" s="0" t="n">
        <f aca="false">I173-9</f>
        <v>70.2</v>
      </c>
      <c r="AB173" s="0" t="n">
        <f aca="false">IF(Z173&lt;0,Z173+360,Z173+0)</f>
        <v>70.2</v>
      </c>
    </row>
    <row r="174" customFormat="false" ht="15.8" hidden="false" customHeight="false" outlineLevel="0" collapsed="false">
      <c r="A174" s="1" t="n">
        <v>6</v>
      </c>
      <c r="B174" s="1" t="n">
        <v>5</v>
      </c>
      <c r="C174" s="1" t="n">
        <v>0.8</v>
      </c>
      <c r="D174" s="1" t="n">
        <v>1.037</v>
      </c>
      <c r="E174" s="1" t="n">
        <v>0.0258973</v>
      </c>
      <c r="F174" s="1" t="n">
        <v>7.06618E-005</v>
      </c>
      <c r="G174" s="1" t="s">
        <v>27</v>
      </c>
      <c r="H174" s="1" t="n">
        <v>82.7</v>
      </c>
      <c r="I174" s="1" t="n">
        <v>209.6</v>
      </c>
      <c r="J174" s="1" t="n">
        <v>0</v>
      </c>
      <c r="K174" s="1"/>
      <c r="L174" s="1" t="n">
        <v>0</v>
      </c>
      <c r="M174" s="1" t="n">
        <v>0</v>
      </c>
      <c r="N174" s="1" t="s">
        <v>184</v>
      </c>
      <c r="Z174" s="0" t="n">
        <f aca="false">I174-9</f>
        <v>200.6</v>
      </c>
      <c r="AB174" s="0" t="n">
        <f aca="false">IF(Z174&lt;0,Z174+360,Z174+0)</f>
        <v>200.6</v>
      </c>
    </row>
    <row r="175" customFormat="false" ht="15.8" hidden="false" customHeight="false" outlineLevel="0" collapsed="false">
      <c r="A175" s="1" t="n">
        <v>6</v>
      </c>
      <c r="B175" s="1" t="n">
        <v>4</v>
      </c>
      <c r="C175" s="1" t="n">
        <v>1.3</v>
      </c>
      <c r="D175" s="1" t="n">
        <v>1.2096</v>
      </c>
      <c r="E175" s="1" t="n">
        <v>0.0459163</v>
      </c>
      <c r="F175" s="1" t="n">
        <v>0.000125284</v>
      </c>
      <c r="G175" s="1" t="s">
        <v>37</v>
      </c>
      <c r="H175" s="1" t="n">
        <v>29</v>
      </c>
      <c r="I175" s="1" t="n">
        <v>127.4</v>
      </c>
      <c r="J175" s="1" t="n">
        <v>-19.5</v>
      </c>
      <c r="K175" s="1" t="n">
        <v>82.7</v>
      </c>
      <c r="L175" s="1" t="n">
        <v>0</v>
      </c>
      <c r="M175" s="1" t="n">
        <v>0</v>
      </c>
      <c r="N175" s="1" t="s">
        <v>183</v>
      </c>
      <c r="Z175" s="0" t="n">
        <f aca="false">I175-9</f>
        <v>118.4</v>
      </c>
      <c r="AB175" s="0" t="n">
        <f aca="false">IF(Z175&lt;0,Z175+360,Z175+0)</f>
        <v>118.4</v>
      </c>
    </row>
    <row r="176" customFormat="false" ht="15.8" hidden="false" customHeight="false" outlineLevel="0" collapsed="false">
      <c r="A176" s="1" t="n">
        <v>6</v>
      </c>
      <c r="B176" s="1" t="n">
        <v>3</v>
      </c>
      <c r="C176" s="1" t="n">
        <v>2.9</v>
      </c>
      <c r="D176" s="1" t="n">
        <v>1.014</v>
      </c>
      <c r="E176" s="1" t="n">
        <v>0.0985257</v>
      </c>
      <c r="F176" s="1" t="n">
        <v>0.000268831</v>
      </c>
      <c r="G176" s="1" t="s">
        <v>37</v>
      </c>
      <c r="H176" s="1" t="n">
        <v>18.9</v>
      </c>
      <c r="I176" s="1" t="n">
        <v>149.2</v>
      </c>
      <c r="J176" s="1" t="n">
        <v>0</v>
      </c>
      <c r="K176" s="1" t="n">
        <v>56.1</v>
      </c>
      <c r="L176" s="1" t="n">
        <v>0</v>
      </c>
      <c r="M176" s="1" t="n">
        <v>0</v>
      </c>
      <c r="N176" s="1" t="s">
        <v>185</v>
      </c>
      <c r="Z176" s="0" t="n">
        <f aca="false">I176-9</f>
        <v>140.2</v>
      </c>
      <c r="AB176" s="0" t="n">
        <f aca="false">IF(Z176&lt;0,Z176+360,Z176+0)</f>
        <v>140.2</v>
      </c>
    </row>
    <row r="177" customFormat="false" ht="15.8" hidden="false" customHeight="false" outlineLevel="0" collapsed="false">
      <c r="A177" s="1" t="n">
        <v>6</v>
      </c>
      <c r="B177" s="1" t="n">
        <v>3</v>
      </c>
      <c r="C177" s="1" t="n">
        <v>7</v>
      </c>
      <c r="D177" s="1" t="n">
        <v>1.3022</v>
      </c>
      <c r="E177" s="1" t="n">
        <v>0.239038</v>
      </c>
      <c r="F177" s="1" t="n">
        <v>0.000652222</v>
      </c>
      <c r="G177" s="1" t="s">
        <v>27</v>
      </c>
      <c r="H177" s="1" t="n">
        <v>30.1</v>
      </c>
      <c r="I177" s="1" t="n">
        <v>187.1</v>
      </c>
      <c r="J177" s="1" t="n">
        <v>-28.9</v>
      </c>
      <c r="K177" s="1"/>
      <c r="L177" s="1" t="n">
        <v>0</v>
      </c>
      <c r="M177" s="1" t="n">
        <v>0</v>
      </c>
      <c r="N177" s="1" t="s">
        <v>185</v>
      </c>
      <c r="Z177" s="0" t="n">
        <f aca="false">I177-9</f>
        <v>178.1</v>
      </c>
      <c r="AB177" s="0" t="n">
        <f aca="false">IF(Z177&lt;0,Z177+360,Z177+0)</f>
        <v>178.1</v>
      </c>
    </row>
    <row r="178" customFormat="false" ht="15.8" hidden="false" customHeight="false" outlineLevel="0" collapsed="false">
      <c r="A178" s="1" t="n">
        <v>6</v>
      </c>
      <c r="B178" s="1" t="n">
        <v>2</v>
      </c>
      <c r="C178" s="1" t="n">
        <v>4.2</v>
      </c>
      <c r="D178" s="1" t="n">
        <v>1.0521</v>
      </c>
      <c r="E178" s="1" t="n">
        <v>0.144662</v>
      </c>
      <c r="F178" s="1" t="n">
        <v>0.000394716</v>
      </c>
      <c r="G178" s="1" t="s">
        <v>37</v>
      </c>
      <c r="H178" s="1" t="n">
        <v>39</v>
      </c>
      <c r="I178" s="1" t="n">
        <v>167.4</v>
      </c>
      <c r="J178" s="1" t="n">
        <v>-5.3</v>
      </c>
      <c r="K178" s="1" t="n">
        <v>30.1</v>
      </c>
      <c r="L178" s="1" t="n">
        <v>0</v>
      </c>
      <c r="M178" s="1" t="n">
        <v>0</v>
      </c>
      <c r="N178" s="1" t="s">
        <v>186</v>
      </c>
      <c r="Z178" s="0" t="n">
        <f aca="false">I178-9</f>
        <v>158.4</v>
      </c>
      <c r="AB178" s="0" t="n">
        <f aca="false">IF(Z178&lt;0,Z178+360,Z178+0)</f>
        <v>158.4</v>
      </c>
    </row>
    <row r="179" customFormat="false" ht="15.8" hidden="false" customHeight="false" outlineLevel="0" collapsed="false">
      <c r="A179" s="1" t="n">
        <v>6</v>
      </c>
      <c r="B179" s="1" t="n">
        <v>3</v>
      </c>
      <c r="C179" s="1" t="n">
        <v>34.2</v>
      </c>
      <c r="D179" s="1" t="n">
        <v>1.1953</v>
      </c>
      <c r="E179" s="1" t="n">
        <v>1.17411</v>
      </c>
      <c r="F179" s="1" t="n">
        <v>0.0032036</v>
      </c>
      <c r="G179" s="1" t="s">
        <v>27</v>
      </c>
      <c r="H179" s="1" t="n">
        <v>97</v>
      </c>
      <c r="I179" s="1" t="n">
        <v>184</v>
      </c>
      <c r="J179" s="1" t="n">
        <v>6.7</v>
      </c>
      <c r="K179" s="1"/>
      <c r="L179" s="1" t="n">
        <v>0</v>
      </c>
      <c r="M179" s="1" t="n">
        <v>0</v>
      </c>
      <c r="N179" s="1" t="s">
        <v>187</v>
      </c>
      <c r="Z179" s="0" t="n">
        <f aca="false">I179-9</f>
        <v>175</v>
      </c>
      <c r="AB179" s="0" t="n">
        <f aca="false">IF(Z179&lt;0,Z179+360,Z179+0)</f>
        <v>175</v>
      </c>
    </row>
    <row r="180" customFormat="false" ht="15.8" hidden="false" customHeight="false" outlineLevel="0" collapsed="false">
      <c r="A180" s="1" t="n">
        <v>6</v>
      </c>
      <c r="B180" s="1" t="n">
        <v>4</v>
      </c>
      <c r="C180" s="1" t="n">
        <v>22.8</v>
      </c>
      <c r="D180" s="1" t="n">
        <v>1.0939</v>
      </c>
      <c r="E180" s="1" t="n">
        <v>0.782942</v>
      </c>
      <c r="F180" s="1" t="n">
        <v>0.00213628</v>
      </c>
      <c r="G180" s="1" t="s">
        <v>27</v>
      </c>
      <c r="H180" s="1" t="n">
        <v>7.7</v>
      </c>
      <c r="I180" s="1" t="n">
        <v>8.4</v>
      </c>
      <c r="J180" s="1" t="n">
        <v>-12.3</v>
      </c>
      <c r="K180" s="1"/>
      <c r="L180" s="1" t="n">
        <v>0</v>
      </c>
      <c r="M180" s="1" t="n">
        <v>0</v>
      </c>
      <c r="N180" s="1" t="s">
        <v>188</v>
      </c>
      <c r="Z180" s="0" t="n">
        <f aca="false">I180-9</f>
        <v>-0.6</v>
      </c>
      <c r="AB180" s="0" t="n">
        <f aca="false">IF(Z180&lt;0,Z180+360,Z180+0)</f>
        <v>359.4</v>
      </c>
    </row>
    <row r="181" customFormat="false" ht="15.8" hidden="false" customHeight="false" outlineLevel="0" collapsed="false">
      <c r="A181" s="1" t="n">
        <v>6</v>
      </c>
      <c r="B181" s="1" t="n">
        <v>4</v>
      </c>
      <c r="C181" s="1" t="n">
        <v>1.1</v>
      </c>
      <c r="D181" s="1" t="n">
        <v>1.1986</v>
      </c>
      <c r="E181" s="1" t="n">
        <v>0.0377392</v>
      </c>
      <c r="F181" s="1" t="n">
        <v>0.000102973</v>
      </c>
      <c r="G181" s="1" t="s">
        <v>27</v>
      </c>
      <c r="H181" s="1" t="n">
        <v>96.4</v>
      </c>
      <c r="I181" s="1" t="n">
        <v>269.3</v>
      </c>
      <c r="J181" s="1" t="n">
        <v>23.8</v>
      </c>
      <c r="K181" s="1"/>
      <c r="L181" s="1" t="n">
        <v>0</v>
      </c>
      <c r="M181" s="1" t="n">
        <v>0</v>
      </c>
      <c r="N181" s="1" t="s">
        <v>188</v>
      </c>
      <c r="Z181" s="0" t="n">
        <f aca="false">I181-9</f>
        <v>260.3</v>
      </c>
      <c r="AB181" s="0" t="n">
        <f aca="false">IF(Z181&lt;0,Z181+360,Z181+0)</f>
        <v>260.3</v>
      </c>
    </row>
    <row r="182" customFormat="false" ht="15.8" hidden="false" customHeight="false" outlineLevel="0" collapsed="false">
      <c r="A182" s="1" t="n">
        <v>6</v>
      </c>
      <c r="B182" s="1" t="n">
        <v>3</v>
      </c>
      <c r="C182" s="1" t="n">
        <v>11</v>
      </c>
      <c r="D182" s="1" t="n">
        <v>1.1292</v>
      </c>
      <c r="E182" s="1" t="n">
        <v>0.37674</v>
      </c>
      <c r="F182" s="1" t="n">
        <v>0.00102795</v>
      </c>
      <c r="G182" s="1" t="s">
        <v>37</v>
      </c>
      <c r="H182" s="1" t="n">
        <v>78.7</v>
      </c>
      <c r="I182" s="1" t="n">
        <v>0.5</v>
      </c>
      <c r="J182" s="1" t="n">
        <v>-13.2</v>
      </c>
      <c r="K182" s="1" t="n">
        <v>96.4</v>
      </c>
      <c r="L182" s="1" t="n">
        <v>0</v>
      </c>
      <c r="M182" s="1" t="n">
        <v>0</v>
      </c>
      <c r="N182" s="1" t="s">
        <v>187</v>
      </c>
      <c r="Z182" s="0" t="n">
        <f aca="false">I182-9</f>
        <v>-8.5</v>
      </c>
      <c r="AB182" s="0" t="n">
        <f aca="false">IF(Z182&lt;0,Z182+360,Z182+0)</f>
        <v>351.5</v>
      </c>
    </row>
    <row r="183" customFormat="false" ht="15.8" hidden="false" customHeight="false" outlineLevel="0" collapsed="false">
      <c r="A183" s="1" t="n">
        <v>6</v>
      </c>
      <c r="B183" s="1" t="n">
        <v>3</v>
      </c>
      <c r="C183" s="1" t="n">
        <v>1.7</v>
      </c>
      <c r="D183" s="1" t="n">
        <v>1.1624</v>
      </c>
      <c r="E183" s="1" t="n">
        <v>0.0575757</v>
      </c>
      <c r="F183" s="1" t="n">
        <v>0.000157097</v>
      </c>
      <c r="G183" s="1" t="s">
        <v>27</v>
      </c>
      <c r="H183" s="1" t="n">
        <v>107.9</v>
      </c>
      <c r="I183" s="1" t="n">
        <v>31.6</v>
      </c>
      <c r="J183" s="1" t="n">
        <v>-14.8</v>
      </c>
      <c r="K183" s="1"/>
      <c r="L183" s="1" t="n">
        <v>0</v>
      </c>
      <c r="M183" s="1" t="n">
        <v>0</v>
      </c>
      <c r="N183" s="1" t="s">
        <v>187</v>
      </c>
      <c r="Z183" s="0" t="n">
        <f aca="false">I183-9</f>
        <v>22.6</v>
      </c>
      <c r="AB183" s="0" t="n">
        <f aca="false">IF(Z183&lt;0,Z183+360,Z183+0)</f>
        <v>22.6</v>
      </c>
    </row>
    <row r="184" customFormat="false" ht="15.8" hidden="false" customHeight="false" outlineLevel="0" collapsed="false">
      <c r="A184" s="1" t="n">
        <v>6</v>
      </c>
      <c r="B184" s="1" t="n">
        <v>2</v>
      </c>
      <c r="C184" s="1" t="n">
        <v>5.3</v>
      </c>
      <c r="D184" s="1" t="n">
        <v>1.1719</v>
      </c>
      <c r="E184" s="1" t="n">
        <v>0.180623</v>
      </c>
      <c r="F184" s="1" t="n">
        <v>0.000492836</v>
      </c>
      <c r="G184" s="1" t="s">
        <v>37</v>
      </c>
      <c r="H184" s="1" t="n">
        <v>72.6</v>
      </c>
      <c r="I184" s="1" t="n">
        <v>280.1</v>
      </c>
      <c r="J184" s="1" t="n">
        <v>-9.5</v>
      </c>
      <c r="K184" s="1" t="n">
        <v>107.9</v>
      </c>
      <c r="L184" s="1" t="n">
        <v>0</v>
      </c>
      <c r="M184" s="1" t="n">
        <v>0</v>
      </c>
      <c r="N184" s="1" t="s">
        <v>186</v>
      </c>
      <c r="Z184" s="0" t="n">
        <f aca="false">I184-9</f>
        <v>271.1</v>
      </c>
      <c r="AB184" s="0" t="n">
        <f aca="false">IF(Z184&lt;0,Z184+360,Z184+0)</f>
        <v>271.1</v>
      </c>
    </row>
    <row r="185" customFormat="false" ht="15.8" hidden="false" customHeight="false" outlineLevel="0" collapsed="false">
      <c r="A185" s="1" t="n">
        <v>6</v>
      </c>
      <c r="B185" s="1" t="n">
        <v>1</v>
      </c>
      <c r="C185" s="1" t="n">
        <v>3.1</v>
      </c>
      <c r="D185" s="1" t="n">
        <v>1.1929</v>
      </c>
      <c r="E185" s="1" t="n">
        <v>0.107769</v>
      </c>
      <c r="F185" s="1" t="n">
        <v>0.000294051</v>
      </c>
      <c r="G185" s="1" t="s">
        <v>37</v>
      </c>
      <c r="H185" s="1"/>
      <c r="I185" s="1" t="n">
        <v>205.6</v>
      </c>
      <c r="J185" s="1" t="n">
        <v>-16.3</v>
      </c>
      <c r="K185" s="1" t="n">
        <v>72.6</v>
      </c>
      <c r="L185" s="1" t="n">
        <v>0</v>
      </c>
      <c r="M185" s="1" t="n">
        <v>0</v>
      </c>
      <c r="N185" s="1" t="s">
        <v>189</v>
      </c>
      <c r="Z185" s="0" t="n">
        <f aca="false">I185-9</f>
        <v>196.6</v>
      </c>
      <c r="AB185" s="0" t="n">
        <f aca="false">IF(Z185&lt;0,Z185+360,Z185+0)</f>
        <v>196.6</v>
      </c>
    </row>
    <row r="186" customFormat="false" ht="15.8" hidden="false" customHeight="false" outlineLevel="0" collapsed="false">
      <c r="A186" s="1" t="n">
        <v>7</v>
      </c>
      <c r="B186" s="1" t="n">
        <v>3</v>
      </c>
      <c r="C186" s="1" t="n">
        <v>1.1</v>
      </c>
      <c r="D186" s="1" t="n">
        <v>1.2499</v>
      </c>
      <c r="E186" s="1" t="n">
        <v>0.0364714</v>
      </c>
      <c r="F186" s="1" t="n">
        <v>9.95134E-005</v>
      </c>
      <c r="G186" s="1" t="s">
        <v>27</v>
      </c>
      <c r="H186" s="1" t="n">
        <v>46.5</v>
      </c>
      <c r="I186" s="1" t="n">
        <v>324.3</v>
      </c>
      <c r="J186" s="1" t="n">
        <v>25.8</v>
      </c>
      <c r="K186" s="1"/>
      <c r="L186" s="1" t="n">
        <v>0</v>
      </c>
      <c r="M186" s="1" t="n">
        <v>0</v>
      </c>
      <c r="N186" s="1" t="s">
        <v>190</v>
      </c>
      <c r="Z186" s="0" t="n">
        <f aca="false">I186-9</f>
        <v>315.3</v>
      </c>
      <c r="AB186" s="0" t="n">
        <f aca="false">IF(Z186&lt;0,Z186+360,Z186+0)</f>
        <v>315.3</v>
      </c>
    </row>
    <row r="187" customFormat="false" ht="15.8" hidden="false" customHeight="false" outlineLevel="0" collapsed="false">
      <c r="A187" s="1" t="n">
        <v>7</v>
      </c>
      <c r="B187" s="1" t="n">
        <v>3</v>
      </c>
      <c r="C187" s="1" t="n">
        <v>1.3</v>
      </c>
      <c r="D187" s="1" t="n">
        <v>1.2549</v>
      </c>
      <c r="E187" s="1" t="n">
        <v>0.044498</v>
      </c>
      <c r="F187" s="1" t="n">
        <v>0.000121414</v>
      </c>
      <c r="G187" s="1" t="s">
        <v>27</v>
      </c>
      <c r="H187" s="1" t="n">
        <v>84.5</v>
      </c>
      <c r="I187" s="1" t="n">
        <v>117</v>
      </c>
      <c r="J187" s="1" t="n">
        <v>45.7</v>
      </c>
      <c r="K187" s="1"/>
      <c r="L187" s="1" t="n">
        <v>0</v>
      </c>
      <c r="M187" s="1" t="n">
        <v>0</v>
      </c>
      <c r="N187" s="1" t="s">
        <v>190</v>
      </c>
      <c r="Z187" s="0" t="n">
        <f aca="false">I187-9</f>
        <v>108</v>
      </c>
      <c r="AB187" s="0" t="n">
        <f aca="false">IF(Z187&lt;0,Z187+360,Z187+0)</f>
        <v>108</v>
      </c>
    </row>
    <row r="188" customFormat="false" ht="15.8" hidden="false" customHeight="false" outlineLevel="0" collapsed="false">
      <c r="A188" s="1" t="n">
        <v>7</v>
      </c>
      <c r="B188" s="1" t="n">
        <v>2</v>
      </c>
      <c r="C188" s="1" t="n">
        <v>2.3</v>
      </c>
      <c r="D188" s="1" t="n">
        <v>1.1249</v>
      </c>
      <c r="E188" s="1" t="n">
        <v>0.077936</v>
      </c>
      <c r="F188" s="1" t="n">
        <v>0.000212651</v>
      </c>
      <c r="G188" s="1" t="s">
        <v>37</v>
      </c>
      <c r="H188" s="1" t="n">
        <v>74.3</v>
      </c>
      <c r="I188" s="1" t="n">
        <v>271.4</v>
      </c>
      <c r="J188" s="1" t="n">
        <v>47.1</v>
      </c>
      <c r="K188" s="1" t="n">
        <v>84.5</v>
      </c>
      <c r="L188" s="1" t="n">
        <v>0</v>
      </c>
      <c r="M188" s="1" t="n">
        <v>0</v>
      </c>
      <c r="N188" s="1" t="s">
        <v>191</v>
      </c>
      <c r="Z188" s="0" t="n">
        <f aca="false">I188-9</f>
        <v>262.4</v>
      </c>
      <c r="AB188" s="0" t="n">
        <f aca="false">IF(Z188&lt;0,Z188+360,Z188+0)</f>
        <v>262.4</v>
      </c>
    </row>
    <row r="189" customFormat="false" ht="15.8" hidden="false" customHeight="false" outlineLevel="0" collapsed="false">
      <c r="A189" s="1" t="n">
        <v>7</v>
      </c>
      <c r="B189" s="1" t="n">
        <v>3</v>
      </c>
      <c r="C189" s="1" t="n">
        <v>2.9</v>
      </c>
      <c r="D189" s="1" t="n">
        <v>1.2922</v>
      </c>
      <c r="E189" s="1" t="n">
        <v>0.0996629</v>
      </c>
      <c r="F189" s="1" t="n">
        <v>0.000271934</v>
      </c>
      <c r="G189" s="1" t="s">
        <v>27</v>
      </c>
      <c r="H189" s="1" t="n">
        <v>98.8</v>
      </c>
      <c r="I189" s="1" t="n">
        <v>171.9</v>
      </c>
      <c r="J189" s="1" t="n">
        <v>-80.7</v>
      </c>
      <c r="K189" s="1"/>
      <c r="L189" s="1" t="n">
        <v>0</v>
      </c>
      <c r="M189" s="1" t="n">
        <v>0</v>
      </c>
      <c r="N189" s="1" t="s">
        <v>192</v>
      </c>
      <c r="Z189" s="0" t="n">
        <f aca="false">I189-9</f>
        <v>162.9</v>
      </c>
      <c r="AB189" s="0" t="n">
        <f aca="false">IF(Z189&lt;0,Z189+360,Z189+0)</f>
        <v>162.9</v>
      </c>
    </row>
    <row r="190" customFormat="false" ht="15.8" hidden="false" customHeight="false" outlineLevel="0" collapsed="false">
      <c r="A190" s="1" t="n">
        <v>7</v>
      </c>
      <c r="B190" s="1" t="n">
        <v>3</v>
      </c>
      <c r="C190" s="1" t="n">
        <v>0.9</v>
      </c>
      <c r="D190" s="1" t="n">
        <v>1.002</v>
      </c>
      <c r="E190" s="1" t="n">
        <v>0.0292501</v>
      </c>
      <c r="F190" s="1" t="n">
        <v>7.98098E-005</v>
      </c>
      <c r="G190" s="1" t="s">
        <v>27</v>
      </c>
      <c r="H190" s="1" t="n">
        <v>101.5</v>
      </c>
      <c r="I190" s="1" t="n">
        <v>269.3</v>
      </c>
      <c r="J190" s="1" t="n">
        <v>0</v>
      </c>
      <c r="K190" s="1"/>
      <c r="L190" s="1" t="n">
        <v>0</v>
      </c>
      <c r="M190" s="1" t="n">
        <v>0</v>
      </c>
      <c r="N190" s="1" t="s">
        <v>192</v>
      </c>
      <c r="Z190" s="0" t="n">
        <f aca="false">I190-9</f>
        <v>260.3</v>
      </c>
      <c r="AB190" s="0" t="n">
        <f aca="false">IF(Z190&lt;0,Z190+360,Z190+0)</f>
        <v>260.3</v>
      </c>
    </row>
    <row r="191" customFormat="false" ht="15.8" hidden="false" customHeight="false" outlineLevel="0" collapsed="false">
      <c r="A191" s="1" t="n">
        <v>7</v>
      </c>
      <c r="B191" s="1" t="n">
        <v>4</v>
      </c>
      <c r="C191" s="1" t="n">
        <v>0.7</v>
      </c>
      <c r="D191" s="1" t="n">
        <v>1.1616</v>
      </c>
      <c r="E191" s="1" t="n">
        <v>0.0238922</v>
      </c>
      <c r="F191" s="1" t="n">
        <v>6.51907E-005</v>
      </c>
      <c r="G191" s="1" t="s">
        <v>27</v>
      </c>
      <c r="H191" s="1" t="n">
        <v>82</v>
      </c>
      <c r="I191" s="1" t="n">
        <v>303.7</v>
      </c>
      <c r="J191" s="1" t="n">
        <v>38.1</v>
      </c>
      <c r="K191" s="1"/>
      <c r="L191" s="1" t="n">
        <v>0</v>
      </c>
      <c r="M191" s="1" t="n">
        <v>0</v>
      </c>
      <c r="N191" s="1" t="s">
        <v>193</v>
      </c>
      <c r="Z191" s="0" t="n">
        <f aca="false">I191-9</f>
        <v>294.7</v>
      </c>
      <c r="AB191" s="0" t="n">
        <f aca="false">IF(Z191&lt;0,Z191+360,Z191+0)</f>
        <v>294.7</v>
      </c>
    </row>
    <row r="192" customFormat="false" ht="15.8" hidden="false" customHeight="false" outlineLevel="0" collapsed="false">
      <c r="A192" s="1" t="n">
        <v>7</v>
      </c>
      <c r="B192" s="1" t="n">
        <v>4</v>
      </c>
      <c r="C192" s="1" t="n">
        <v>11.4</v>
      </c>
      <c r="D192" s="1" t="n">
        <v>1.6004</v>
      </c>
      <c r="E192" s="1" t="n">
        <v>0.392099</v>
      </c>
      <c r="F192" s="1" t="n">
        <v>0.00106985</v>
      </c>
      <c r="G192" s="1" t="s">
        <v>27</v>
      </c>
      <c r="H192" s="1" t="n">
        <v>61.3</v>
      </c>
      <c r="I192" s="1" t="n">
        <v>92</v>
      </c>
      <c r="J192" s="1" t="n">
        <v>15</v>
      </c>
      <c r="K192" s="1"/>
      <c r="L192" s="1" t="n">
        <v>0</v>
      </c>
      <c r="M192" s="1" t="n">
        <v>0</v>
      </c>
      <c r="N192" s="1" t="s">
        <v>193</v>
      </c>
      <c r="Z192" s="0" t="n">
        <f aca="false">I192-9</f>
        <v>83</v>
      </c>
      <c r="AB192" s="0" t="n">
        <f aca="false">IF(Z192&lt;0,Z192+360,Z192+0)</f>
        <v>83</v>
      </c>
    </row>
    <row r="193" customFormat="false" ht="15.8" hidden="false" customHeight="false" outlineLevel="0" collapsed="false">
      <c r="A193" s="1" t="n">
        <v>7</v>
      </c>
      <c r="B193" s="1" t="n">
        <v>3</v>
      </c>
      <c r="C193" s="1" t="n">
        <v>3.4</v>
      </c>
      <c r="D193" s="1" t="n">
        <v>1.2493</v>
      </c>
      <c r="E193" s="1" t="n">
        <v>0.11625</v>
      </c>
      <c r="F193" s="1" t="n">
        <v>0.000317193</v>
      </c>
      <c r="G193" s="1" t="s">
        <v>37</v>
      </c>
      <c r="H193" s="1" t="n">
        <v>20.4</v>
      </c>
      <c r="I193" s="1" t="n">
        <v>29.7</v>
      </c>
      <c r="J193" s="1" t="n">
        <v>7.8</v>
      </c>
      <c r="K193" s="1" t="n">
        <v>82</v>
      </c>
      <c r="L193" s="1" t="n">
        <v>0</v>
      </c>
      <c r="M193" s="1" t="n">
        <v>0</v>
      </c>
      <c r="N193" s="1" t="s">
        <v>192</v>
      </c>
      <c r="Z193" s="0" t="n">
        <f aca="false">I193-9</f>
        <v>20.7</v>
      </c>
      <c r="AB193" s="0" t="n">
        <f aca="false">IF(Z193&lt;0,Z193+360,Z193+0)</f>
        <v>20.7</v>
      </c>
    </row>
    <row r="194" customFormat="false" ht="15.8" hidden="false" customHeight="false" outlineLevel="0" collapsed="false">
      <c r="A194" s="1" t="n">
        <v>7</v>
      </c>
      <c r="B194" s="1" t="n">
        <v>5</v>
      </c>
      <c r="C194" s="1" t="n">
        <v>1.5</v>
      </c>
      <c r="D194" s="1" t="n">
        <v>1.2532</v>
      </c>
      <c r="E194" s="1" t="n">
        <v>0.0498127</v>
      </c>
      <c r="F194" s="1" t="n">
        <v>0.000135916</v>
      </c>
      <c r="G194" s="1" t="s">
        <v>27</v>
      </c>
      <c r="H194" s="1" t="n">
        <v>63.4</v>
      </c>
      <c r="I194" s="1" t="n">
        <v>103.2</v>
      </c>
      <c r="J194" s="1" t="n">
        <v>18.6</v>
      </c>
      <c r="K194" s="1"/>
      <c r="L194" s="1" t="n">
        <v>0</v>
      </c>
      <c r="M194" s="1" t="n">
        <v>0</v>
      </c>
      <c r="N194" s="1" t="s">
        <v>194</v>
      </c>
      <c r="Z194" s="0" t="n">
        <f aca="false">I194-9</f>
        <v>94.2</v>
      </c>
      <c r="AB194" s="0" t="n">
        <f aca="false">IF(Z194&lt;0,Z194+360,Z194+0)</f>
        <v>94.2</v>
      </c>
    </row>
    <row r="195" customFormat="false" ht="15.8" hidden="false" customHeight="false" outlineLevel="0" collapsed="false">
      <c r="A195" s="1" t="n">
        <v>7</v>
      </c>
      <c r="B195" s="1" t="n">
        <v>6</v>
      </c>
      <c r="C195" s="1" t="n">
        <v>4.9</v>
      </c>
      <c r="D195" s="1" t="n">
        <v>1.2928</v>
      </c>
      <c r="E195" s="1" t="n">
        <v>0.168424</v>
      </c>
      <c r="F195" s="1" t="n">
        <v>0.000459552</v>
      </c>
      <c r="G195" s="1" t="s">
        <v>27</v>
      </c>
      <c r="H195" s="1" t="n">
        <v>108.1</v>
      </c>
      <c r="I195" s="1" t="n">
        <v>51.4</v>
      </c>
      <c r="J195" s="1" t="n">
        <v>-43</v>
      </c>
      <c r="K195" s="1"/>
      <c r="L195" s="1" t="n">
        <v>0</v>
      </c>
      <c r="M195" s="1" t="n">
        <v>0</v>
      </c>
      <c r="N195" s="1" t="s">
        <v>195</v>
      </c>
      <c r="Z195" s="0" t="n">
        <f aca="false">I195-9</f>
        <v>42.4</v>
      </c>
      <c r="AB195" s="0" t="n">
        <f aca="false">IF(Z195&lt;0,Z195+360,Z195+0)</f>
        <v>42.4</v>
      </c>
    </row>
    <row r="196" customFormat="false" ht="15.8" hidden="false" customHeight="false" outlineLevel="0" collapsed="false">
      <c r="A196" s="1" t="n">
        <v>7</v>
      </c>
      <c r="B196" s="1" t="n">
        <v>6</v>
      </c>
      <c r="C196" s="1" t="n">
        <v>0.8</v>
      </c>
      <c r="D196" s="1" t="n">
        <v>1.0027</v>
      </c>
      <c r="E196" s="1" t="n">
        <v>0.0290485</v>
      </c>
      <c r="F196" s="1" t="n">
        <v>7.92598E-005</v>
      </c>
      <c r="G196" s="1" t="s">
        <v>27</v>
      </c>
      <c r="H196" s="1" t="n">
        <v>7.6</v>
      </c>
      <c r="I196" s="1" t="n">
        <v>174.1</v>
      </c>
      <c r="J196" s="1" t="n">
        <v>0</v>
      </c>
      <c r="K196" s="1"/>
      <c r="L196" s="1" t="n">
        <v>0</v>
      </c>
      <c r="M196" s="1" t="n">
        <v>0</v>
      </c>
      <c r="N196" s="1" t="s">
        <v>195</v>
      </c>
      <c r="Z196" s="0" t="n">
        <f aca="false">I196-9</f>
        <v>165.1</v>
      </c>
      <c r="AB196" s="0" t="n">
        <f aca="false">IF(Z196&lt;0,Z196+360,Z196+0)</f>
        <v>165.1</v>
      </c>
    </row>
    <row r="197" customFormat="false" ht="15.8" hidden="false" customHeight="false" outlineLevel="0" collapsed="false">
      <c r="A197" s="1" t="n">
        <v>7</v>
      </c>
      <c r="B197" s="1" t="n">
        <v>5</v>
      </c>
      <c r="C197" s="1" t="n">
        <v>0.9</v>
      </c>
      <c r="D197" s="1" t="n">
        <v>1.0505</v>
      </c>
      <c r="E197" s="1" t="n">
        <v>0.0319408</v>
      </c>
      <c r="F197" s="1" t="n">
        <v>8.71515E-005</v>
      </c>
      <c r="G197" s="1" t="s">
        <v>37</v>
      </c>
      <c r="H197" s="1" t="n">
        <v>24.5</v>
      </c>
      <c r="I197" s="1" t="n">
        <v>166.5</v>
      </c>
      <c r="J197" s="1" t="n">
        <v>0</v>
      </c>
      <c r="K197" s="1" t="n">
        <v>108.1</v>
      </c>
      <c r="L197" s="1" t="n">
        <v>0</v>
      </c>
      <c r="M197" s="1" t="n">
        <v>0</v>
      </c>
      <c r="N197" s="1" t="s">
        <v>194</v>
      </c>
      <c r="Z197" s="0" t="n">
        <f aca="false">I197-9</f>
        <v>157.5</v>
      </c>
      <c r="AB197" s="0" t="n">
        <f aca="false">IF(Z197&lt;0,Z197+360,Z197+0)</f>
        <v>157.5</v>
      </c>
    </row>
    <row r="198" customFormat="false" ht="15.8" hidden="false" customHeight="false" outlineLevel="0" collapsed="false">
      <c r="A198" s="1" t="n">
        <v>7</v>
      </c>
      <c r="B198" s="1" t="n">
        <v>4</v>
      </c>
      <c r="C198" s="1" t="n">
        <v>1.1</v>
      </c>
      <c r="D198" s="1" t="n">
        <v>1.0829</v>
      </c>
      <c r="E198" s="1" t="n">
        <v>0.0382559</v>
      </c>
      <c r="F198" s="1" t="n">
        <v>0.000104383</v>
      </c>
      <c r="G198" s="1" t="s">
        <v>37</v>
      </c>
      <c r="H198" s="1" t="n">
        <v>19.3</v>
      </c>
      <c r="I198" s="1" t="n">
        <v>153.7</v>
      </c>
      <c r="J198" s="1" t="n">
        <v>-21</v>
      </c>
      <c r="K198" s="1" t="n">
        <v>63.4</v>
      </c>
      <c r="L198" s="1" t="n">
        <v>0</v>
      </c>
      <c r="M198" s="1" t="n">
        <v>0</v>
      </c>
      <c r="N198" s="1" t="s">
        <v>196</v>
      </c>
      <c r="Z198" s="0" t="n">
        <f aca="false">I198-9</f>
        <v>144.7</v>
      </c>
      <c r="AB198" s="0" t="n">
        <f aca="false">IF(Z198&lt;0,Z198+360,Z198+0)</f>
        <v>144.7</v>
      </c>
    </row>
    <row r="199" customFormat="false" ht="15.8" hidden="false" customHeight="false" outlineLevel="0" collapsed="false">
      <c r="A199" s="1" t="n">
        <v>7</v>
      </c>
      <c r="B199" s="1" t="n">
        <v>4</v>
      </c>
      <c r="C199" s="1" t="n">
        <v>2.3</v>
      </c>
      <c r="D199" s="1" t="n">
        <v>1.707</v>
      </c>
      <c r="E199" s="1" t="n">
        <v>0.0801318</v>
      </c>
      <c r="F199" s="1" t="n">
        <v>0.000218642</v>
      </c>
      <c r="G199" s="1" t="s">
        <v>27</v>
      </c>
      <c r="H199" s="1" t="n">
        <v>40.5</v>
      </c>
      <c r="I199" s="1" t="n">
        <v>96.3</v>
      </c>
      <c r="J199" s="1" t="n">
        <v>-54.2</v>
      </c>
      <c r="K199" s="1"/>
      <c r="L199" s="1" t="n">
        <v>0</v>
      </c>
      <c r="M199" s="1" t="n">
        <v>0</v>
      </c>
      <c r="N199" s="1" t="s">
        <v>196</v>
      </c>
      <c r="Z199" s="0" t="n">
        <f aca="false">I199-9</f>
        <v>87.3</v>
      </c>
      <c r="AB199" s="0" t="n">
        <f aca="false">IF(Z199&lt;0,Z199+360,Z199+0)</f>
        <v>87.3</v>
      </c>
    </row>
    <row r="200" customFormat="false" ht="15.8" hidden="false" customHeight="false" outlineLevel="0" collapsed="false">
      <c r="A200" s="1" t="n">
        <v>7</v>
      </c>
      <c r="B200" s="1" t="n">
        <v>3</v>
      </c>
      <c r="C200" s="1" t="n">
        <v>3.7</v>
      </c>
      <c r="D200" s="1" t="n">
        <v>1.2993</v>
      </c>
      <c r="E200" s="1" t="n">
        <v>0.127279</v>
      </c>
      <c r="F200" s="1" t="n">
        <v>0.000347286</v>
      </c>
      <c r="G200" s="1" t="s">
        <v>37</v>
      </c>
      <c r="H200" s="1" t="n">
        <v>127.9</v>
      </c>
      <c r="I200" s="1" t="n">
        <v>154.5</v>
      </c>
      <c r="J200" s="1" t="n">
        <v>-40.4</v>
      </c>
      <c r="K200" s="1" t="n">
        <v>40.5</v>
      </c>
      <c r="L200" s="1" t="n">
        <v>0</v>
      </c>
      <c r="M200" s="1" t="n">
        <v>0</v>
      </c>
      <c r="N200" s="1" t="s">
        <v>192</v>
      </c>
      <c r="Z200" s="0" t="n">
        <f aca="false">I200-9</f>
        <v>145.5</v>
      </c>
      <c r="AB200" s="0" t="n">
        <f aca="false">IF(Z200&lt;0,Z200+360,Z200+0)</f>
        <v>145.5</v>
      </c>
    </row>
    <row r="201" customFormat="false" ht="15.8" hidden="false" customHeight="false" outlineLevel="0" collapsed="false">
      <c r="A201" s="1" t="n">
        <v>7</v>
      </c>
      <c r="B201" s="1" t="n">
        <v>2</v>
      </c>
      <c r="C201" s="1" t="n">
        <v>14.3</v>
      </c>
      <c r="D201" s="1" t="n">
        <v>1.1305</v>
      </c>
      <c r="E201" s="1" t="n">
        <v>0.490124</v>
      </c>
      <c r="F201" s="1" t="n">
        <v>0.00133732</v>
      </c>
      <c r="G201" s="1" t="s">
        <v>37</v>
      </c>
      <c r="H201" s="1" t="n">
        <v>28.3</v>
      </c>
      <c r="I201" s="1" t="n">
        <v>10.8</v>
      </c>
      <c r="J201" s="1" t="n">
        <v>0</v>
      </c>
      <c r="K201" s="1" t="n">
        <v>127.9</v>
      </c>
      <c r="L201" s="1" t="n">
        <v>0</v>
      </c>
      <c r="M201" s="1" t="n">
        <v>0</v>
      </c>
      <c r="N201" s="1" t="s">
        <v>191</v>
      </c>
      <c r="Z201" s="0" t="n">
        <f aca="false">I201-9</f>
        <v>1.8</v>
      </c>
      <c r="AB201" s="0" t="n">
        <f aca="false">IF(Z201&lt;0,Z201+360,Z201+0)</f>
        <v>1.8</v>
      </c>
    </row>
    <row r="202" customFormat="false" ht="15.8" hidden="false" customHeight="false" outlineLevel="0" collapsed="false">
      <c r="A202" s="1" t="n">
        <v>7</v>
      </c>
      <c r="B202" s="1" t="n">
        <v>2</v>
      </c>
      <c r="C202" s="1" t="n">
        <v>6.2</v>
      </c>
      <c r="D202" s="1" t="n">
        <v>1.1944</v>
      </c>
      <c r="E202" s="1" t="n">
        <v>0.211038</v>
      </c>
      <c r="F202" s="1" t="n">
        <v>0.000575825</v>
      </c>
      <c r="G202" s="1" t="s">
        <v>27</v>
      </c>
      <c r="H202" s="1" t="n">
        <v>39</v>
      </c>
      <c r="I202" s="1" t="n">
        <v>303.7</v>
      </c>
      <c r="J202" s="1" t="n">
        <v>4.1</v>
      </c>
      <c r="K202" s="1"/>
      <c r="L202" s="1" t="n">
        <v>0</v>
      </c>
      <c r="M202" s="1" t="n">
        <v>0</v>
      </c>
      <c r="N202" s="1" t="s">
        <v>191</v>
      </c>
      <c r="Z202" s="0" t="n">
        <f aca="false">I202-9</f>
        <v>294.7</v>
      </c>
      <c r="AB202" s="0" t="n">
        <f aca="false">IF(Z202&lt;0,Z202+360,Z202+0)</f>
        <v>294.7</v>
      </c>
    </row>
    <row r="203" customFormat="false" ht="15.8" hidden="false" customHeight="false" outlineLevel="0" collapsed="false">
      <c r="A203" s="1" t="n">
        <v>7</v>
      </c>
      <c r="B203" s="1" t="n">
        <v>1</v>
      </c>
      <c r="C203" s="1" t="n">
        <v>5.2</v>
      </c>
      <c r="D203" s="1" t="n">
        <v>1.0576</v>
      </c>
      <c r="E203" s="1" t="n">
        <v>0.125714</v>
      </c>
      <c r="F203" s="1" t="n">
        <v>0.000269623</v>
      </c>
      <c r="G203" s="1" t="s">
        <v>37</v>
      </c>
      <c r="H203" s="1"/>
      <c r="I203" s="1" t="n">
        <v>342.8</v>
      </c>
      <c r="J203" s="1" t="n">
        <v>4.3</v>
      </c>
      <c r="K203" s="1" t="n">
        <v>74.3</v>
      </c>
      <c r="L203" s="1" t="n">
        <v>0</v>
      </c>
      <c r="M203" s="1" t="n">
        <v>0</v>
      </c>
      <c r="N203" s="1" t="s">
        <v>197</v>
      </c>
      <c r="Z203" s="0" t="n">
        <f aca="false">I203-9</f>
        <v>333.8</v>
      </c>
      <c r="AB203" s="0" t="n">
        <f aca="false">IF(Z203&lt;0,Z203+360,Z203+0)</f>
        <v>333.8</v>
      </c>
    </row>
    <row r="204" customFormat="false" ht="15.8" hidden="false" customHeight="false" outlineLevel="0" collapsed="false">
      <c r="A204" s="1" t="n">
        <v>8</v>
      </c>
      <c r="B204" s="1" t="n">
        <v>1</v>
      </c>
      <c r="C204" s="1" t="n">
        <v>3.6</v>
      </c>
      <c r="D204" s="1" t="n">
        <v>1.1066</v>
      </c>
      <c r="E204" s="1" t="n">
        <v>0.122012</v>
      </c>
      <c r="F204" s="1" t="n">
        <v>0.000332915</v>
      </c>
      <c r="G204" s="1" t="s">
        <v>27</v>
      </c>
      <c r="H204" s="1"/>
      <c r="I204" s="1" t="n">
        <v>221.7</v>
      </c>
      <c r="J204" s="1" t="n">
        <v>0</v>
      </c>
      <c r="K204" s="1"/>
      <c r="L204" s="1" t="n">
        <v>0</v>
      </c>
      <c r="M204" s="1" t="n">
        <v>0</v>
      </c>
      <c r="N204" s="1" t="s">
        <v>198</v>
      </c>
      <c r="Z204" s="0" t="n">
        <f aca="false">I204-9</f>
        <v>212.7</v>
      </c>
      <c r="AB204" s="0" t="n">
        <f aca="false">IF(Z204&lt;0,Z204+360,Z204+0)</f>
        <v>212.7</v>
      </c>
    </row>
    <row r="205" customFormat="false" ht="15.8" hidden="false" customHeight="false" outlineLevel="0" collapsed="false">
      <c r="A205" s="1" t="n">
        <v>9</v>
      </c>
      <c r="B205" s="1" t="n">
        <v>1</v>
      </c>
      <c r="C205" s="1" t="n">
        <v>3.6</v>
      </c>
      <c r="D205" s="1" t="n">
        <v>1.3143</v>
      </c>
      <c r="E205" s="1" t="n">
        <v>0.123883</v>
      </c>
      <c r="F205" s="1" t="n">
        <v>0.000338018</v>
      </c>
      <c r="G205" s="1" t="s">
        <v>27</v>
      </c>
      <c r="H205" s="1"/>
      <c r="I205" s="1" t="n">
        <v>176.5</v>
      </c>
      <c r="J205" s="1" t="n">
        <v>-23.8</v>
      </c>
      <c r="K205" s="1"/>
      <c r="L205" s="1" t="n">
        <v>0</v>
      </c>
      <c r="M205" s="1" t="n">
        <v>0</v>
      </c>
      <c r="N205" s="1" t="s">
        <v>199</v>
      </c>
      <c r="Z205" s="0" t="n">
        <f aca="false">I205-9</f>
        <v>167.5</v>
      </c>
      <c r="AB205" s="0" t="n">
        <f aca="false">IF(Z205&lt;0,Z205+360,Z205+0)</f>
        <v>167.5</v>
      </c>
    </row>
    <row r="206" customFormat="false" ht="15.8" hidden="false" customHeight="false" outlineLevel="0" collapsed="false">
      <c r="A206" s="1" t="n">
        <v>10</v>
      </c>
      <c r="B206" s="1" t="n">
        <v>1</v>
      </c>
      <c r="C206" s="1" t="n">
        <v>4.5</v>
      </c>
      <c r="D206" s="1" t="n">
        <v>1.1533</v>
      </c>
      <c r="E206" s="1" t="n">
        <v>0.154325</v>
      </c>
      <c r="F206" s="1" t="n">
        <v>0.00042108</v>
      </c>
      <c r="G206" s="1" t="s">
        <v>27</v>
      </c>
      <c r="H206" s="1"/>
      <c r="I206" s="1" t="n">
        <v>243.8</v>
      </c>
      <c r="J206" s="1" t="n">
        <v>10.9</v>
      </c>
      <c r="K206" s="1"/>
      <c r="L206" s="1" t="n">
        <v>0</v>
      </c>
      <c r="M206" s="1" t="n">
        <v>0</v>
      </c>
      <c r="N206" s="1" t="s">
        <v>200</v>
      </c>
      <c r="Z206" s="0" t="n">
        <f aca="false">I206-9</f>
        <v>234.8</v>
      </c>
      <c r="AB206" s="0" t="n">
        <f aca="false">IF(Z206&lt;0,Z206+360,Z206+0)</f>
        <v>234.8</v>
      </c>
    </row>
    <row r="207" customFormat="false" ht="15.8" hidden="false" customHeight="false" outlineLevel="0" collapsed="false">
      <c r="A207" s="1" t="n">
        <v>11</v>
      </c>
      <c r="B207" s="1" t="n">
        <v>2</v>
      </c>
      <c r="C207" s="1" t="n">
        <v>4</v>
      </c>
      <c r="D207" s="1" t="n">
        <v>1.7284</v>
      </c>
      <c r="E207" s="1" t="n">
        <v>0.13843</v>
      </c>
      <c r="F207" s="1" t="n">
        <v>0.000377712</v>
      </c>
      <c r="G207" s="1" t="s">
        <v>27</v>
      </c>
      <c r="H207" s="1" t="n">
        <v>46.7</v>
      </c>
      <c r="I207" s="1" t="n">
        <v>53.4</v>
      </c>
      <c r="J207" s="1" t="n">
        <v>-18.5</v>
      </c>
      <c r="K207" s="1"/>
      <c r="L207" s="1" t="n">
        <v>0</v>
      </c>
      <c r="M207" s="1" t="n">
        <v>0</v>
      </c>
      <c r="N207" s="1" t="s">
        <v>201</v>
      </c>
      <c r="Z207" s="0" t="n">
        <f aca="false">I207-9</f>
        <v>44.4</v>
      </c>
      <c r="AB207" s="0" t="n">
        <f aca="false">IF(Z207&lt;0,Z207+360,Z207+0)</f>
        <v>44.4</v>
      </c>
    </row>
    <row r="208" customFormat="false" ht="15.8" hidden="false" customHeight="false" outlineLevel="0" collapsed="false">
      <c r="A208" s="1" t="n">
        <v>11</v>
      </c>
      <c r="B208" s="1" t="n">
        <v>3</v>
      </c>
      <c r="C208" s="1" t="n">
        <v>1.1</v>
      </c>
      <c r="D208" s="1" t="n">
        <v>1.0363</v>
      </c>
      <c r="E208" s="1" t="n">
        <v>0.0384892</v>
      </c>
      <c r="F208" s="1" t="n">
        <v>0.000105019</v>
      </c>
      <c r="G208" s="1" t="s">
        <v>27</v>
      </c>
      <c r="H208" s="1" t="n">
        <v>76.6</v>
      </c>
      <c r="I208" s="1" t="n">
        <v>167.8</v>
      </c>
      <c r="J208" s="1" t="n">
        <v>0</v>
      </c>
      <c r="K208" s="1"/>
      <c r="L208" s="1" t="n">
        <v>0</v>
      </c>
      <c r="M208" s="1" t="n">
        <v>0</v>
      </c>
      <c r="N208" s="1" t="s">
        <v>202</v>
      </c>
      <c r="Z208" s="0" t="n">
        <f aca="false">I208-9</f>
        <v>158.8</v>
      </c>
      <c r="AB208" s="0" t="n">
        <f aca="false">IF(Z208&lt;0,Z208+360,Z208+0)</f>
        <v>158.8</v>
      </c>
    </row>
    <row r="209" customFormat="false" ht="15.8" hidden="false" customHeight="false" outlineLevel="0" collapsed="false">
      <c r="A209" s="1" t="n">
        <v>11</v>
      </c>
      <c r="B209" s="1" t="n">
        <v>3</v>
      </c>
      <c r="C209" s="1" t="n">
        <v>5.8</v>
      </c>
      <c r="D209" s="1" t="n">
        <v>1.2363</v>
      </c>
      <c r="E209" s="1" t="n">
        <v>0.199981</v>
      </c>
      <c r="F209" s="1" t="n">
        <v>0.000545655</v>
      </c>
      <c r="G209" s="1" t="s">
        <v>27</v>
      </c>
      <c r="H209" s="1" t="n">
        <v>32.7</v>
      </c>
      <c r="I209" s="1" t="n">
        <v>58.2</v>
      </c>
      <c r="J209" s="1" t="n">
        <v>-18.3</v>
      </c>
      <c r="K209" s="1"/>
      <c r="L209" s="1" t="n">
        <v>0</v>
      </c>
      <c r="M209" s="1" t="n">
        <v>0</v>
      </c>
      <c r="N209" s="1" t="s">
        <v>202</v>
      </c>
      <c r="Z209" s="0" t="n">
        <f aca="false">I209-9</f>
        <v>49.2</v>
      </c>
      <c r="AB209" s="0" t="n">
        <f aca="false">IF(Z209&lt;0,Z209+360,Z209+0)</f>
        <v>49.2</v>
      </c>
    </row>
    <row r="210" customFormat="false" ht="15.8" hidden="false" customHeight="false" outlineLevel="0" collapsed="false">
      <c r="A210" s="1" t="n">
        <v>11</v>
      </c>
      <c r="B210" s="1" t="n">
        <v>2</v>
      </c>
      <c r="C210" s="1" t="n">
        <v>4.9</v>
      </c>
      <c r="D210" s="1" t="n">
        <v>1.446</v>
      </c>
      <c r="E210" s="1" t="n">
        <v>0.168491</v>
      </c>
      <c r="F210" s="1" t="n">
        <v>0.000459733</v>
      </c>
      <c r="G210" s="1" t="s">
        <v>37</v>
      </c>
      <c r="H210" s="1" t="n">
        <v>10</v>
      </c>
      <c r="I210" s="1" t="n">
        <v>92.7</v>
      </c>
      <c r="J210" s="1" t="n">
        <v>-25.8</v>
      </c>
      <c r="K210" s="1" t="n">
        <v>76.6</v>
      </c>
      <c r="L210" s="1" t="n">
        <v>0</v>
      </c>
      <c r="M210" s="1" t="n">
        <v>0</v>
      </c>
      <c r="N210" s="1" t="s">
        <v>201</v>
      </c>
      <c r="Z210" s="0" t="n">
        <f aca="false">I210-9</f>
        <v>83.7</v>
      </c>
      <c r="AB210" s="0" t="n">
        <f aca="false">IF(Z210&lt;0,Z210+360,Z210+0)</f>
        <v>83.7</v>
      </c>
    </row>
    <row r="211" customFormat="false" ht="15.8" hidden="false" customHeight="false" outlineLevel="0" collapsed="false">
      <c r="A211" s="1" t="n">
        <v>11</v>
      </c>
      <c r="B211" s="1" t="n">
        <v>1</v>
      </c>
      <c r="C211" s="1" t="n">
        <v>5.9</v>
      </c>
      <c r="D211" s="1" t="n">
        <v>1.2468</v>
      </c>
      <c r="E211" s="1" t="n">
        <v>0.200934</v>
      </c>
      <c r="F211" s="1" t="n">
        <v>0.000548255</v>
      </c>
      <c r="G211" s="1" t="s">
        <v>37</v>
      </c>
      <c r="H211" s="1"/>
      <c r="I211" s="1" t="n">
        <v>103.6</v>
      </c>
      <c r="J211" s="1" t="n">
        <v>-28.2</v>
      </c>
      <c r="K211" s="1" t="n">
        <v>46.7</v>
      </c>
      <c r="L211" s="1" t="n">
        <v>0</v>
      </c>
      <c r="M211" s="1" t="n">
        <v>0</v>
      </c>
      <c r="N211" s="1" t="s">
        <v>203</v>
      </c>
      <c r="Z211" s="0" t="n">
        <f aca="false">I211-9</f>
        <v>94.6</v>
      </c>
      <c r="AB211" s="0" t="n">
        <f aca="false">IF(Z211&lt;0,Z211+360,Z211+0)</f>
        <v>94.6</v>
      </c>
    </row>
    <row r="212" customFormat="false" ht="15.8" hidden="false" customHeight="false" outlineLevel="0" collapsed="false">
      <c r="A212" s="1" t="n">
        <v>12</v>
      </c>
      <c r="B212" s="1" t="n">
        <v>3</v>
      </c>
      <c r="C212" s="1" t="n">
        <v>9.7</v>
      </c>
      <c r="D212" s="1" t="n">
        <v>1.2678</v>
      </c>
      <c r="E212" s="1" t="n">
        <v>0.331497</v>
      </c>
      <c r="F212" s="1" t="n">
        <v>0.0009045</v>
      </c>
      <c r="G212" s="1" t="s">
        <v>27</v>
      </c>
      <c r="H212" s="1" t="n">
        <v>27.5</v>
      </c>
      <c r="I212" s="1" t="n">
        <v>65.8</v>
      </c>
      <c r="J212" s="1" t="n">
        <v>-19.9</v>
      </c>
      <c r="K212" s="1"/>
      <c r="L212" s="1" t="n">
        <v>0</v>
      </c>
      <c r="M212" s="1" t="n">
        <v>0</v>
      </c>
      <c r="N212" s="1" t="s">
        <v>204</v>
      </c>
      <c r="Z212" s="0" t="n">
        <f aca="false">I212-9</f>
        <v>56.8</v>
      </c>
      <c r="AB212" s="0" t="n">
        <f aca="false">IF(Z212&lt;0,Z212+360,Z212+0)</f>
        <v>56.8</v>
      </c>
    </row>
    <row r="213" customFormat="false" ht="15.8" hidden="false" customHeight="false" outlineLevel="0" collapsed="false">
      <c r="A213" s="1" t="n">
        <v>12</v>
      </c>
      <c r="B213" s="1" t="n">
        <v>3</v>
      </c>
      <c r="C213" s="1" t="n">
        <v>4.1</v>
      </c>
      <c r="D213" s="1" t="n">
        <v>1.5441</v>
      </c>
      <c r="E213" s="1" t="n">
        <v>0.140197</v>
      </c>
      <c r="F213" s="1" t="n">
        <v>0.000382533</v>
      </c>
      <c r="G213" s="1" t="s">
        <v>27</v>
      </c>
      <c r="H213" s="1" t="n">
        <v>111.5</v>
      </c>
      <c r="I213" s="1" t="n">
        <v>239.9</v>
      </c>
      <c r="J213" s="1" t="n">
        <v>-34</v>
      </c>
      <c r="K213" s="1"/>
      <c r="L213" s="1" t="n">
        <v>0</v>
      </c>
      <c r="M213" s="1" t="n">
        <v>0</v>
      </c>
      <c r="N213" s="1" t="s">
        <v>204</v>
      </c>
      <c r="Z213" s="0" t="n">
        <f aca="false">I213-9</f>
        <v>230.9</v>
      </c>
      <c r="AB213" s="0" t="n">
        <f aca="false">IF(Z213&lt;0,Z213+360,Z213+0)</f>
        <v>230.9</v>
      </c>
    </row>
    <row r="214" customFormat="false" ht="15.8" hidden="false" customHeight="false" outlineLevel="0" collapsed="false">
      <c r="A214" s="1" t="n">
        <v>12</v>
      </c>
      <c r="B214" s="1" t="n">
        <v>2</v>
      </c>
      <c r="C214" s="1" t="n">
        <v>1.7</v>
      </c>
      <c r="D214" s="1" t="n">
        <v>1.1813</v>
      </c>
      <c r="E214" s="1" t="n">
        <v>0.0576092</v>
      </c>
      <c r="F214" s="1" t="n">
        <v>0.000157189</v>
      </c>
      <c r="G214" s="1" t="s">
        <v>37</v>
      </c>
      <c r="H214" s="1" t="n">
        <v>34.9</v>
      </c>
      <c r="I214" s="1" t="n">
        <v>38</v>
      </c>
      <c r="J214" s="1" t="n">
        <v>-31.4</v>
      </c>
      <c r="K214" s="1" t="n">
        <v>111.5</v>
      </c>
      <c r="L214" s="1" t="n">
        <v>0</v>
      </c>
      <c r="M214" s="1" t="n">
        <v>0</v>
      </c>
      <c r="N214" s="1" t="s">
        <v>205</v>
      </c>
      <c r="Z214" s="0" t="n">
        <f aca="false">I214-9</f>
        <v>29</v>
      </c>
      <c r="AB214" s="0" t="n">
        <f aca="false">IF(Z214&lt;0,Z214+360,Z214+0)</f>
        <v>29</v>
      </c>
    </row>
    <row r="215" customFormat="false" ht="15.8" hidden="false" customHeight="false" outlineLevel="0" collapsed="false">
      <c r="A215" s="1" t="n">
        <v>12</v>
      </c>
      <c r="B215" s="1" t="n">
        <v>3</v>
      </c>
      <c r="C215" s="1" t="n">
        <v>3.1</v>
      </c>
      <c r="D215" s="1" t="n">
        <v>1.213</v>
      </c>
      <c r="E215" s="1" t="n">
        <v>0.105996</v>
      </c>
      <c r="F215" s="1" t="n">
        <v>0.000289214</v>
      </c>
      <c r="G215" s="1" t="s">
        <v>27</v>
      </c>
      <c r="H215" s="1" t="n">
        <v>110.6</v>
      </c>
      <c r="I215" s="1" t="n">
        <v>73.9</v>
      </c>
      <c r="J215" s="1" t="n">
        <v>16.9</v>
      </c>
      <c r="K215" s="1"/>
      <c r="L215" s="1" t="n">
        <v>0</v>
      </c>
      <c r="M215" s="1" t="n">
        <v>0</v>
      </c>
      <c r="N215" s="1" t="s">
        <v>206</v>
      </c>
      <c r="Z215" s="0" t="n">
        <f aca="false">I215-9</f>
        <v>64.9</v>
      </c>
      <c r="AB215" s="0" t="n">
        <f aca="false">IF(Z215&lt;0,Z215+360,Z215+0)</f>
        <v>64.9</v>
      </c>
    </row>
    <row r="216" customFormat="false" ht="15.8" hidden="false" customHeight="false" outlineLevel="0" collapsed="false">
      <c r="A216" s="1" t="n">
        <v>12</v>
      </c>
      <c r="B216" s="1" t="n">
        <v>3</v>
      </c>
      <c r="C216" s="1" t="n">
        <v>2.2</v>
      </c>
      <c r="D216" s="1" t="n">
        <v>1.5102</v>
      </c>
      <c r="E216" s="1" t="n">
        <v>0.0752186</v>
      </c>
      <c r="F216" s="1" t="n">
        <v>0.000205236</v>
      </c>
      <c r="G216" s="1" t="s">
        <v>27</v>
      </c>
      <c r="H216" s="1" t="n">
        <v>24.7</v>
      </c>
      <c r="I216" s="1" t="n">
        <v>314.4</v>
      </c>
      <c r="J216" s="1" t="n">
        <v>-14.8</v>
      </c>
      <c r="K216" s="1"/>
      <c r="L216" s="1" t="n">
        <v>0</v>
      </c>
      <c r="M216" s="1" t="n">
        <v>0</v>
      </c>
      <c r="N216" s="1" t="s">
        <v>206</v>
      </c>
      <c r="Z216" s="0" t="n">
        <f aca="false">I216-9</f>
        <v>305.4</v>
      </c>
      <c r="AB216" s="0" t="n">
        <f aca="false">IF(Z216&lt;0,Z216+360,Z216+0)</f>
        <v>305.4</v>
      </c>
    </row>
    <row r="217" customFormat="false" ht="15.8" hidden="false" customHeight="false" outlineLevel="0" collapsed="false">
      <c r="A217" s="1" t="n">
        <v>12</v>
      </c>
      <c r="B217" s="1" t="n">
        <v>2</v>
      </c>
      <c r="C217" s="1" t="n">
        <v>6</v>
      </c>
      <c r="D217" s="1" t="n">
        <v>1.3499</v>
      </c>
      <c r="E217" s="1" t="n">
        <v>0.206905</v>
      </c>
      <c r="F217" s="1" t="n">
        <v>0.000564548</v>
      </c>
      <c r="G217" s="1" t="s">
        <v>37</v>
      </c>
      <c r="H217" s="1" t="n">
        <v>51.2</v>
      </c>
      <c r="I217" s="1" t="n">
        <v>318.8</v>
      </c>
      <c r="J217" s="1" t="n">
        <v>9.5</v>
      </c>
      <c r="K217" s="1" t="n">
        <v>110.6</v>
      </c>
      <c r="L217" s="1" t="n">
        <v>0</v>
      </c>
      <c r="M217" s="1" t="n">
        <v>0</v>
      </c>
      <c r="N217" s="1" t="s">
        <v>205</v>
      </c>
      <c r="Z217" s="0" t="n">
        <f aca="false">I217-9</f>
        <v>309.8</v>
      </c>
      <c r="AB217" s="0" t="n">
        <f aca="false">IF(Z217&lt;0,Z217+360,Z217+0)</f>
        <v>309.8</v>
      </c>
    </row>
    <row r="218" customFormat="false" ht="15.8" hidden="false" customHeight="false" outlineLevel="0" collapsed="false">
      <c r="A218" s="1" t="n">
        <v>12</v>
      </c>
      <c r="B218" s="1" t="n">
        <v>2</v>
      </c>
      <c r="C218" s="1" t="n">
        <v>1.9</v>
      </c>
      <c r="D218" s="1" t="n">
        <v>1.1322</v>
      </c>
      <c r="E218" s="1" t="n">
        <v>0.066215</v>
      </c>
      <c r="F218" s="1" t="n">
        <v>0.00018067</v>
      </c>
      <c r="G218" s="1" t="s">
        <v>27</v>
      </c>
      <c r="H218" s="1" t="n">
        <v>89.3</v>
      </c>
      <c r="I218" s="1" t="n">
        <v>94.9</v>
      </c>
      <c r="J218" s="1" t="n">
        <v>-12.5</v>
      </c>
      <c r="K218" s="1"/>
      <c r="L218" s="1" t="n">
        <v>0</v>
      </c>
      <c r="M218" s="1" t="n">
        <v>0</v>
      </c>
      <c r="N218" s="1" t="s">
        <v>205</v>
      </c>
      <c r="Z218" s="0" t="n">
        <f aca="false">I218-9</f>
        <v>85.9</v>
      </c>
      <c r="AB218" s="0" t="n">
        <f aca="false">IF(Z218&lt;0,Z218+360,Z218+0)</f>
        <v>85.9</v>
      </c>
    </row>
    <row r="219" customFormat="false" ht="15.8" hidden="false" customHeight="false" outlineLevel="0" collapsed="false">
      <c r="A219" s="1" t="n">
        <v>12</v>
      </c>
      <c r="B219" s="1" t="n">
        <v>1</v>
      </c>
      <c r="C219" s="1" t="n">
        <v>6</v>
      </c>
      <c r="D219" s="1" t="n">
        <v>1.1495</v>
      </c>
      <c r="E219" s="1" t="n">
        <v>0.206039</v>
      </c>
      <c r="F219" s="1" t="n">
        <v>0.000562184</v>
      </c>
      <c r="G219" s="1" t="s">
        <v>37</v>
      </c>
      <c r="H219" s="1"/>
      <c r="I219" s="1" t="n">
        <v>0.8</v>
      </c>
      <c r="J219" s="1" t="n">
        <v>-20.7</v>
      </c>
      <c r="K219" s="1" t="n">
        <v>89.3</v>
      </c>
      <c r="L219" s="1" t="n">
        <v>0</v>
      </c>
      <c r="M219" s="1" t="n">
        <v>0</v>
      </c>
      <c r="N219" s="1" t="s">
        <v>207</v>
      </c>
      <c r="Z219" s="0" t="n">
        <f aca="false">I219-9</f>
        <v>-8.2</v>
      </c>
      <c r="AB219" s="0" t="n">
        <f aca="false">IF(Z219&lt;0,Z219+360,Z219+0)</f>
        <v>351.8</v>
      </c>
    </row>
    <row r="220" customFormat="false" ht="15.8" hidden="false" customHeight="false" outlineLevel="0" collapsed="false">
      <c r="A220" s="1" t="n">
        <v>13</v>
      </c>
      <c r="B220" s="1" t="n">
        <v>2</v>
      </c>
      <c r="C220" s="1" t="n">
        <v>5</v>
      </c>
      <c r="D220" s="1" t="n">
        <v>1.453</v>
      </c>
      <c r="E220" s="1" t="n">
        <v>0.169801</v>
      </c>
      <c r="F220" s="1" t="n">
        <v>0.000463307</v>
      </c>
      <c r="G220" s="1" t="s">
        <v>27</v>
      </c>
      <c r="H220" s="1" t="n">
        <v>60.2</v>
      </c>
      <c r="I220" s="1" t="n">
        <v>179.7</v>
      </c>
      <c r="J220" s="1" t="n">
        <v>-49.5</v>
      </c>
      <c r="K220" s="1"/>
      <c r="L220" s="1" t="n">
        <v>0</v>
      </c>
      <c r="M220" s="1" t="n">
        <v>0</v>
      </c>
      <c r="N220" s="1" t="s">
        <v>208</v>
      </c>
      <c r="Z220" s="0" t="n">
        <f aca="false">I220-9</f>
        <v>170.7</v>
      </c>
      <c r="AB220" s="0" t="n">
        <f aca="false">IF(Z220&lt;0,Z220+360,Z220+0)</f>
        <v>170.7</v>
      </c>
    </row>
    <row r="221" customFormat="false" ht="15.8" hidden="false" customHeight="false" outlineLevel="0" collapsed="false">
      <c r="A221" s="1" t="n">
        <v>13</v>
      </c>
      <c r="B221" s="1" t="n">
        <v>2</v>
      </c>
      <c r="C221" s="1" t="n">
        <v>2.5</v>
      </c>
      <c r="D221" s="1" t="n">
        <v>1.3853</v>
      </c>
      <c r="E221" s="1" t="n">
        <v>0.0870388</v>
      </c>
      <c r="F221" s="1" t="n">
        <v>0.000237488</v>
      </c>
      <c r="G221" s="1" t="s">
        <v>27</v>
      </c>
      <c r="H221" s="1" t="n">
        <v>71.6</v>
      </c>
      <c r="I221" s="1" t="n">
        <v>156.8</v>
      </c>
      <c r="J221" s="1" t="n">
        <v>-53.9</v>
      </c>
      <c r="K221" s="1"/>
      <c r="L221" s="1" t="n">
        <v>0</v>
      </c>
      <c r="M221" s="1" t="n">
        <v>0</v>
      </c>
      <c r="N221" s="1" t="s">
        <v>208</v>
      </c>
      <c r="Z221" s="0" t="n">
        <f aca="false">I221-9</f>
        <v>147.8</v>
      </c>
      <c r="AB221" s="0" t="n">
        <f aca="false">IF(Z221&lt;0,Z221+360,Z221+0)</f>
        <v>147.8</v>
      </c>
    </row>
    <row r="222" customFormat="false" ht="15.8" hidden="false" customHeight="false" outlineLevel="0" collapsed="false">
      <c r="A222" s="1" t="n">
        <v>13</v>
      </c>
      <c r="B222" s="1" t="n">
        <v>2</v>
      </c>
      <c r="C222" s="1" t="n">
        <v>2.7</v>
      </c>
      <c r="D222" s="1" t="n">
        <v>1.3712</v>
      </c>
      <c r="E222" s="1" t="n">
        <v>0.0917679</v>
      </c>
      <c r="F222" s="1" t="n">
        <v>0.000250392</v>
      </c>
      <c r="G222" s="1" t="s">
        <v>27</v>
      </c>
      <c r="H222" s="1" t="n">
        <v>123.8</v>
      </c>
      <c r="I222" s="1" t="n">
        <v>1</v>
      </c>
      <c r="J222" s="1" t="n">
        <v>71.4</v>
      </c>
      <c r="K222" s="1"/>
      <c r="L222" s="1" t="n">
        <v>0</v>
      </c>
      <c r="M222" s="1" t="n">
        <v>0</v>
      </c>
      <c r="N222" s="1" t="s">
        <v>208</v>
      </c>
      <c r="Z222" s="0" t="n">
        <f aca="false">I222-9</f>
        <v>-8</v>
      </c>
      <c r="AB222" s="0" t="n">
        <f aca="false">IF(Z222&lt;0,Z222+360,Z222+0)</f>
        <v>352</v>
      </c>
    </row>
    <row r="223" customFormat="false" ht="15.8" hidden="false" customHeight="false" outlineLevel="0" collapsed="false">
      <c r="A223" s="1" t="n">
        <v>13</v>
      </c>
      <c r="B223" s="1" t="n">
        <v>1</v>
      </c>
      <c r="C223" s="1" t="n">
        <v>3.7</v>
      </c>
      <c r="D223" s="1" t="n">
        <v>1.344</v>
      </c>
      <c r="E223" s="1" t="n">
        <v>0.127935</v>
      </c>
      <c r="F223" s="1" t="n">
        <v>0.000349076</v>
      </c>
      <c r="G223" s="1" t="s">
        <v>37</v>
      </c>
      <c r="H223" s="1"/>
      <c r="I223" s="1" t="n">
        <v>260.1</v>
      </c>
      <c r="J223" s="1" t="n">
        <v>-32.2</v>
      </c>
      <c r="K223" s="1" t="n">
        <v>123.8</v>
      </c>
      <c r="L223" s="1" t="n">
        <v>0</v>
      </c>
      <c r="M223" s="1" t="n">
        <v>0</v>
      </c>
      <c r="N223" s="1" t="s">
        <v>209</v>
      </c>
      <c r="Z223" s="0" t="n">
        <f aca="false">I223-9</f>
        <v>251.1</v>
      </c>
      <c r="AB223" s="0" t="n">
        <f aca="false">IF(Z223&lt;0,Z223+360,Z223+0)</f>
        <v>251.1</v>
      </c>
    </row>
    <row r="224" customFormat="false" ht="15.8" hidden="false" customHeight="false" outlineLevel="0" collapsed="false">
      <c r="A224" s="1" t="n">
        <v>14</v>
      </c>
      <c r="B224" s="1" t="n">
        <v>1</v>
      </c>
      <c r="C224" s="1" t="n">
        <v>1.4</v>
      </c>
      <c r="D224" s="1" t="n">
        <v>1.2876</v>
      </c>
      <c r="E224" s="1" t="n">
        <v>0.0463912</v>
      </c>
      <c r="F224" s="1" t="n">
        <v>0.00012658</v>
      </c>
      <c r="G224" s="1" t="s">
        <v>27</v>
      </c>
      <c r="H224" s="1"/>
      <c r="I224" s="1" t="n">
        <v>110.6</v>
      </c>
      <c r="J224" s="1" t="n">
        <v>44.8</v>
      </c>
      <c r="K224" s="1"/>
      <c r="L224" s="1" t="n">
        <v>0</v>
      </c>
      <c r="M224" s="1" t="n">
        <v>0</v>
      </c>
      <c r="N224" s="1" t="s">
        <v>210</v>
      </c>
      <c r="Z224" s="0" t="n">
        <f aca="false">I224-9</f>
        <v>101.6</v>
      </c>
      <c r="AB224" s="0" t="n">
        <f aca="false">IF(Z224&lt;0,Z224+360,Z224+0)</f>
        <v>101.6</v>
      </c>
    </row>
    <row r="225" customFormat="false" ht="15.8" hidden="false" customHeight="false" outlineLevel="0" collapsed="false">
      <c r="A225" s="1" t="n">
        <v>15</v>
      </c>
      <c r="B225" s="1" t="n">
        <v>3</v>
      </c>
      <c r="C225" s="1" t="n">
        <v>5.1</v>
      </c>
      <c r="D225" s="1" t="n">
        <v>1.189</v>
      </c>
      <c r="E225" s="1" t="n">
        <v>0.175772</v>
      </c>
      <c r="F225" s="1" t="n">
        <v>0.000479601</v>
      </c>
      <c r="G225" s="1" t="s">
        <v>27</v>
      </c>
      <c r="H225" s="1" t="n">
        <v>34.7</v>
      </c>
      <c r="I225" s="1" t="n">
        <v>90.8</v>
      </c>
      <c r="J225" s="1" t="n">
        <v>-20.1</v>
      </c>
      <c r="K225" s="1"/>
      <c r="L225" s="1" t="n">
        <v>0</v>
      </c>
      <c r="M225" s="1" t="n">
        <v>0</v>
      </c>
      <c r="N225" s="1" t="s">
        <v>211</v>
      </c>
      <c r="Z225" s="0" t="n">
        <f aca="false">I225-9</f>
        <v>81.8</v>
      </c>
      <c r="AB225" s="0" t="n">
        <f aca="false">IF(Z225&lt;0,Z225+360,Z225+0)</f>
        <v>81.8</v>
      </c>
    </row>
    <row r="226" customFormat="false" ht="15.8" hidden="false" customHeight="false" outlineLevel="0" collapsed="false">
      <c r="A226" s="1" t="n">
        <v>15</v>
      </c>
      <c r="B226" s="1" t="n">
        <v>3</v>
      </c>
      <c r="C226" s="1" t="n">
        <v>2.7</v>
      </c>
      <c r="D226" s="1" t="n">
        <v>1.2009</v>
      </c>
      <c r="E226" s="1" t="n">
        <v>0.0925828</v>
      </c>
      <c r="F226" s="1" t="n">
        <v>0.000252615</v>
      </c>
      <c r="G226" s="1" t="s">
        <v>27</v>
      </c>
      <c r="H226" s="1" t="n">
        <v>50.6</v>
      </c>
      <c r="I226" s="1" t="n">
        <v>110.8</v>
      </c>
      <c r="J226" s="1" t="n">
        <v>-41.2</v>
      </c>
      <c r="K226" s="1"/>
      <c r="L226" s="1" t="n">
        <v>0</v>
      </c>
      <c r="M226" s="1" t="n">
        <v>0</v>
      </c>
      <c r="N226" s="1" t="s">
        <v>211</v>
      </c>
      <c r="Z226" s="0" t="n">
        <f aca="false">I226-9</f>
        <v>101.8</v>
      </c>
      <c r="AB226" s="0" t="n">
        <f aca="false">IF(Z226&lt;0,Z226+360,Z226+0)</f>
        <v>101.8</v>
      </c>
    </row>
    <row r="227" customFormat="false" ht="15.8" hidden="false" customHeight="false" outlineLevel="0" collapsed="false">
      <c r="A227" s="1" t="n">
        <v>15</v>
      </c>
      <c r="B227" s="1" t="n">
        <v>2</v>
      </c>
      <c r="C227" s="1" t="n">
        <v>2.1</v>
      </c>
      <c r="D227" s="1" t="n">
        <v>1.146</v>
      </c>
      <c r="E227" s="1" t="n">
        <v>0.0732934</v>
      </c>
      <c r="F227" s="1" t="n">
        <v>0.000199984</v>
      </c>
      <c r="G227" s="1" t="s">
        <v>37</v>
      </c>
      <c r="H227" s="1" t="n">
        <v>99.1</v>
      </c>
      <c r="I227" s="1" t="n">
        <v>53.4</v>
      </c>
      <c r="J227" s="1" t="n">
        <v>-23.4</v>
      </c>
      <c r="K227" s="1" t="n">
        <v>50.6</v>
      </c>
      <c r="L227" s="1" t="n">
        <v>0</v>
      </c>
      <c r="M227" s="1" t="n">
        <v>0</v>
      </c>
      <c r="N227" s="1" t="s">
        <v>212</v>
      </c>
      <c r="Z227" s="0" t="n">
        <f aca="false">I227-9</f>
        <v>44.4</v>
      </c>
      <c r="AB227" s="0" t="n">
        <f aca="false">IF(Z227&lt;0,Z227+360,Z227+0)</f>
        <v>44.4</v>
      </c>
    </row>
    <row r="228" customFormat="false" ht="15.8" hidden="false" customHeight="false" outlineLevel="0" collapsed="false">
      <c r="A228" s="1" t="n">
        <v>15</v>
      </c>
      <c r="B228" s="1" t="n">
        <v>3</v>
      </c>
      <c r="C228" s="1" t="n">
        <v>3.2</v>
      </c>
      <c r="D228" s="1" t="n">
        <v>1.2212</v>
      </c>
      <c r="E228" s="1" t="n">
        <v>0.110544</v>
      </c>
      <c r="F228" s="1" t="n">
        <v>0.000301623</v>
      </c>
      <c r="G228" s="1" t="s">
        <v>27</v>
      </c>
      <c r="H228" s="1" t="n">
        <v>69</v>
      </c>
      <c r="I228" s="1" t="n">
        <v>126.8</v>
      </c>
      <c r="J228" s="1" t="n">
        <v>16.3</v>
      </c>
      <c r="K228" s="1"/>
      <c r="L228" s="1" t="n">
        <v>0</v>
      </c>
      <c r="M228" s="1" t="n">
        <v>0</v>
      </c>
      <c r="N228" s="1" t="s">
        <v>213</v>
      </c>
      <c r="Z228" s="0" t="n">
        <f aca="false">I228-9</f>
        <v>117.8</v>
      </c>
      <c r="AB228" s="0" t="n">
        <f aca="false">IF(Z228&lt;0,Z228+360,Z228+0)</f>
        <v>117.8</v>
      </c>
    </row>
    <row r="229" customFormat="false" ht="15.8" hidden="false" customHeight="false" outlineLevel="0" collapsed="false">
      <c r="A229" s="1" t="n">
        <v>15</v>
      </c>
      <c r="B229" s="1" t="n">
        <v>3</v>
      </c>
      <c r="C229" s="1" t="n">
        <v>1.5</v>
      </c>
      <c r="D229" s="1" t="n">
        <v>1.0176</v>
      </c>
      <c r="E229" s="1" t="n">
        <v>0.0530187</v>
      </c>
      <c r="F229" s="1" t="n">
        <v>0.000144663</v>
      </c>
      <c r="G229" s="1" t="s">
        <v>27</v>
      </c>
      <c r="H229" s="1" t="n">
        <v>29.7</v>
      </c>
      <c r="I229" s="1" t="n">
        <v>183.3</v>
      </c>
      <c r="J229" s="1" t="n">
        <v>0</v>
      </c>
      <c r="K229" s="1"/>
      <c r="L229" s="1" t="n">
        <v>0</v>
      </c>
      <c r="M229" s="1" t="n">
        <v>0</v>
      </c>
      <c r="N229" s="1" t="s">
        <v>213</v>
      </c>
      <c r="Z229" s="0" t="n">
        <f aca="false">I229-9</f>
        <v>174.3</v>
      </c>
      <c r="AB229" s="0" t="n">
        <f aca="false">IF(Z229&lt;0,Z229+360,Z229+0)</f>
        <v>174.3</v>
      </c>
    </row>
    <row r="230" customFormat="false" ht="15.8" hidden="false" customHeight="false" outlineLevel="0" collapsed="false">
      <c r="A230" s="1" t="n">
        <v>15</v>
      </c>
      <c r="B230" s="1" t="n">
        <v>3</v>
      </c>
      <c r="C230" s="1" t="n">
        <v>2.5</v>
      </c>
      <c r="D230" s="1" t="n">
        <v>1.465</v>
      </c>
      <c r="E230" s="1" t="n">
        <v>0.0840781</v>
      </c>
      <c r="F230" s="1" t="n">
        <v>0.00022941</v>
      </c>
      <c r="G230" s="1" t="s">
        <v>27</v>
      </c>
      <c r="H230" s="1" t="n">
        <v>63.1</v>
      </c>
      <c r="I230" s="1" t="n">
        <v>246.3</v>
      </c>
      <c r="J230" s="1" t="n">
        <v>-12.8</v>
      </c>
      <c r="K230" s="1"/>
      <c r="L230" s="1" t="n">
        <v>0</v>
      </c>
      <c r="M230" s="1" t="n">
        <v>0</v>
      </c>
      <c r="N230" s="1" t="s">
        <v>213</v>
      </c>
      <c r="Z230" s="0" t="n">
        <f aca="false">I230-9</f>
        <v>237.3</v>
      </c>
      <c r="AB230" s="0" t="n">
        <f aca="false">IF(Z230&lt;0,Z230+360,Z230+0)</f>
        <v>237.3</v>
      </c>
    </row>
    <row r="231" customFormat="false" ht="15.8" hidden="false" customHeight="false" outlineLevel="0" collapsed="false">
      <c r="A231" s="1" t="n">
        <v>15</v>
      </c>
      <c r="B231" s="1" t="n">
        <v>2</v>
      </c>
      <c r="C231" s="1" t="n">
        <v>0.9</v>
      </c>
      <c r="D231" s="1" t="n">
        <v>1.1734</v>
      </c>
      <c r="E231" s="1" t="n">
        <v>0.0301471</v>
      </c>
      <c r="F231" s="1" t="n">
        <v>8.22573E-005</v>
      </c>
      <c r="G231" s="1" t="s">
        <v>37</v>
      </c>
      <c r="H231" s="1" t="n">
        <v>39.1</v>
      </c>
      <c r="I231" s="1" t="n">
        <v>180.2</v>
      </c>
      <c r="J231" s="1" t="n">
        <v>-29.6</v>
      </c>
      <c r="K231" s="1" t="n">
        <v>69</v>
      </c>
      <c r="L231" s="1" t="n">
        <v>0</v>
      </c>
      <c r="M231" s="1" t="n">
        <v>0</v>
      </c>
      <c r="N231" s="1" t="s">
        <v>212</v>
      </c>
      <c r="Z231" s="0" t="n">
        <f aca="false">I231-9</f>
        <v>171.2</v>
      </c>
      <c r="AB231" s="0" t="n">
        <f aca="false">IF(Z231&lt;0,Z231+360,Z231+0)</f>
        <v>171.2</v>
      </c>
    </row>
    <row r="232" customFormat="false" ht="15.8" hidden="false" customHeight="false" outlineLevel="0" collapsed="false">
      <c r="A232" s="1" t="n">
        <v>15</v>
      </c>
      <c r="B232" s="1" t="n">
        <v>1</v>
      </c>
      <c r="C232" s="1" t="n">
        <v>0.7</v>
      </c>
      <c r="D232" s="1" t="n">
        <v>1.0057</v>
      </c>
      <c r="E232" s="1" t="n">
        <v>0.025379</v>
      </c>
      <c r="F232" s="1" t="n">
        <v>6.92476E-005</v>
      </c>
      <c r="G232" s="1" t="s">
        <v>37</v>
      </c>
      <c r="H232" s="1"/>
      <c r="I232" s="1" t="n">
        <v>153.4</v>
      </c>
      <c r="J232" s="1" t="n">
        <v>0</v>
      </c>
      <c r="K232" s="1" t="n">
        <v>99.1</v>
      </c>
      <c r="L232" s="1" t="n">
        <v>0</v>
      </c>
      <c r="M232" s="1" t="n">
        <v>0</v>
      </c>
      <c r="N232" s="1" t="s">
        <v>214</v>
      </c>
      <c r="Z232" s="0" t="n">
        <f aca="false">I232-9</f>
        <v>144.4</v>
      </c>
      <c r="AB232" s="0" t="n">
        <f aca="false">IF(Z232&lt;0,Z232+360,Z232+0)</f>
        <v>144.4</v>
      </c>
    </row>
    <row r="233" customFormat="false" ht="15.8" hidden="false" customHeight="false" outlineLevel="0" collapsed="false">
      <c r="A233" s="1" t="n">
        <v>16</v>
      </c>
      <c r="B233" s="1" t="n">
        <v>3</v>
      </c>
      <c r="C233" s="1" t="n">
        <v>1.6</v>
      </c>
      <c r="D233" s="1" t="n">
        <v>1.158</v>
      </c>
      <c r="E233" s="1" t="n">
        <v>0.0547466</v>
      </c>
      <c r="F233" s="1" t="n">
        <v>0.000149378</v>
      </c>
      <c r="G233" s="1" t="s">
        <v>27</v>
      </c>
      <c r="H233" s="1" t="n">
        <v>57.8</v>
      </c>
      <c r="I233" s="1" t="n">
        <v>173.9</v>
      </c>
      <c r="J233" s="1" t="n">
        <v>15.6</v>
      </c>
      <c r="K233" s="1"/>
      <c r="L233" s="1" t="n">
        <v>0</v>
      </c>
      <c r="M233" s="1" t="n">
        <v>0</v>
      </c>
      <c r="N233" s="1" t="s">
        <v>215</v>
      </c>
      <c r="Z233" s="0" t="n">
        <f aca="false">I233-9</f>
        <v>164.9</v>
      </c>
      <c r="AB233" s="0" t="n">
        <f aca="false">IF(Z233&lt;0,Z233+360,Z233+0)</f>
        <v>164.9</v>
      </c>
    </row>
    <row r="234" customFormat="false" ht="15.8" hidden="false" customHeight="false" outlineLevel="0" collapsed="false">
      <c r="A234" s="1" t="n">
        <v>16</v>
      </c>
      <c r="B234" s="1" t="n">
        <v>3</v>
      </c>
      <c r="C234" s="1" t="n">
        <v>1.1</v>
      </c>
      <c r="D234" s="1" t="n">
        <v>1.1669</v>
      </c>
      <c r="E234" s="1" t="n">
        <v>0.0393826</v>
      </c>
      <c r="F234" s="1" t="n">
        <v>0.000107457</v>
      </c>
      <c r="G234" s="1" t="s">
        <v>27</v>
      </c>
      <c r="H234" s="1" t="n">
        <v>61.6</v>
      </c>
      <c r="I234" s="1" t="n">
        <v>289.7</v>
      </c>
      <c r="J234" s="1" t="n">
        <v>-48.7</v>
      </c>
      <c r="K234" s="1"/>
      <c r="L234" s="1" t="n">
        <v>0</v>
      </c>
      <c r="M234" s="1" t="n">
        <v>0</v>
      </c>
      <c r="N234" s="1" t="s">
        <v>215</v>
      </c>
      <c r="Z234" s="0" t="n">
        <f aca="false">I234-9</f>
        <v>280.7</v>
      </c>
      <c r="AB234" s="0" t="n">
        <f aca="false">IF(Z234&lt;0,Z234+360,Z234+0)</f>
        <v>280.7</v>
      </c>
    </row>
    <row r="235" customFormat="false" ht="15.8" hidden="false" customHeight="false" outlineLevel="0" collapsed="false">
      <c r="A235" s="1" t="n">
        <v>16</v>
      </c>
      <c r="B235" s="1" t="n">
        <v>2</v>
      </c>
      <c r="C235" s="1" t="n">
        <v>2.5</v>
      </c>
      <c r="D235" s="1" t="n">
        <v>1.1878</v>
      </c>
      <c r="E235" s="1" t="n">
        <v>0.0873778</v>
      </c>
      <c r="F235" s="1" t="n">
        <v>0.000238413</v>
      </c>
      <c r="G235" s="1" t="s">
        <v>37</v>
      </c>
      <c r="H235" s="1" t="n">
        <v>55.4</v>
      </c>
      <c r="I235" s="1" t="n">
        <v>220.2</v>
      </c>
      <c r="J235" s="1" t="n">
        <v>-20.2</v>
      </c>
      <c r="K235" s="1" t="n">
        <v>61.6</v>
      </c>
      <c r="L235" s="1" t="n">
        <v>0</v>
      </c>
      <c r="M235" s="1" t="n">
        <v>0</v>
      </c>
      <c r="N235" s="1" t="s">
        <v>216</v>
      </c>
      <c r="Z235" s="0" t="n">
        <f aca="false">I235-9</f>
        <v>211.2</v>
      </c>
      <c r="AB235" s="0" t="n">
        <f aca="false">IF(Z235&lt;0,Z235+360,Z235+0)</f>
        <v>211.2</v>
      </c>
    </row>
    <row r="236" customFormat="false" ht="15.8" hidden="false" customHeight="false" outlineLevel="0" collapsed="false">
      <c r="A236" s="1" t="n">
        <v>16</v>
      </c>
      <c r="B236" s="1" t="n">
        <v>4</v>
      </c>
      <c r="C236" s="1" t="n">
        <v>4.2</v>
      </c>
      <c r="D236" s="1" t="n">
        <v>1.3529</v>
      </c>
      <c r="E236" s="1" t="n">
        <v>0.14269</v>
      </c>
      <c r="F236" s="1" t="n">
        <v>0.000389334</v>
      </c>
      <c r="G236" s="1" t="s">
        <v>27</v>
      </c>
      <c r="H236" s="1" t="n">
        <v>83.9</v>
      </c>
      <c r="I236" s="1" t="n">
        <v>120.6</v>
      </c>
      <c r="J236" s="1" t="n">
        <v>74.2</v>
      </c>
      <c r="K236" s="1"/>
      <c r="L236" s="1" t="n">
        <v>0</v>
      </c>
      <c r="M236" s="1" t="n">
        <v>0</v>
      </c>
      <c r="N236" s="1" t="s">
        <v>217</v>
      </c>
      <c r="Z236" s="0" t="n">
        <f aca="false">I236-9</f>
        <v>111.6</v>
      </c>
      <c r="AB236" s="0" t="n">
        <f aca="false">IF(Z236&lt;0,Z236+360,Z236+0)</f>
        <v>111.6</v>
      </c>
    </row>
    <row r="237" customFormat="false" ht="15.8" hidden="false" customHeight="false" outlineLevel="0" collapsed="false">
      <c r="A237" s="1" t="n">
        <v>16</v>
      </c>
      <c r="B237" s="1" t="n">
        <v>4</v>
      </c>
      <c r="C237" s="1" t="n">
        <v>2.6</v>
      </c>
      <c r="D237" s="1" t="n">
        <v>1.5678</v>
      </c>
      <c r="E237" s="1" t="n">
        <v>0.0887438</v>
      </c>
      <c r="F237" s="1" t="n">
        <v>0.00024214</v>
      </c>
      <c r="G237" s="1" t="s">
        <v>27</v>
      </c>
      <c r="H237" s="1" t="n">
        <v>31.1</v>
      </c>
      <c r="I237" s="1" t="n">
        <v>216.2</v>
      </c>
      <c r="J237" s="1" t="n">
        <v>-13</v>
      </c>
      <c r="K237" s="1"/>
      <c r="L237" s="1" t="n">
        <v>0</v>
      </c>
      <c r="M237" s="1" t="n">
        <v>0</v>
      </c>
      <c r="N237" s="1" t="s">
        <v>217</v>
      </c>
      <c r="Z237" s="0" t="n">
        <f aca="false">I237-9</f>
        <v>207.2</v>
      </c>
      <c r="AB237" s="0" t="n">
        <f aca="false">IF(Z237&lt;0,Z237+360,Z237+0)</f>
        <v>207.2</v>
      </c>
    </row>
    <row r="238" customFormat="false" ht="15.8" hidden="false" customHeight="false" outlineLevel="0" collapsed="false">
      <c r="A238" s="1" t="n">
        <v>16</v>
      </c>
      <c r="B238" s="1" t="n">
        <v>3</v>
      </c>
      <c r="C238" s="1" t="n">
        <v>1</v>
      </c>
      <c r="D238" s="1" t="n">
        <v>1.0194</v>
      </c>
      <c r="E238" s="1" t="n">
        <v>0.0342577</v>
      </c>
      <c r="F238" s="1" t="n">
        <v>9.34733E-005</v>
      </c>
      <c r="G238" s="1" t="s">
        <v>37</v>
      </c>
      <c r="H238" s="1" t="n">
        <v>74.1</v>
      </c>
      <c r="I238" s="1" t="n">
        <v>187.7</v>
      </c>
      <c r="J238" s="1" t="n">
        <v>0</v>
      </c>
      <c r="K238" s="1" t="n">
        <v>83.9</v>
      </c>
      <c r="L238" s="1" t="n">
        <v>0</v>
      </c>
      <c r="M238" s="1" t="n">
        <v>0</v>
      </c>
      <c r="N238" s="1" t="s">
        <v>218</v>
      </c>
      <c r="Z238" s="0" t="n">
        <f aca="false">I238-9</f>
        <v>178.7</v>
      </c>
      <c r="AB238" s="0" t="n">
        <f aca="false">IF(Z238&lt;0,Z238+360,Z238+0)</f>
        <v>178.7</v>
      </c>
    </row>
    <row r="239" customFormat="false" ht="15.8" hidden="false" customHeight="false" outlineLevel="0" collapsed="false">
      <c r="A239" s="1" t="n">
        <v>16</v>
      </c>
      <c r="B239" s="1" t="n">
        <v>3</v>
      </c>
      <c r="C239" s="1" t="n">
        <v>1.1</v>
      </c>
      <c r="D239" s="1" t="n">
        <v>1.1635</v>
      </c>
      <c r="E239" s="1" t="n">
        <v>0.0381208</v>
      </c>
      <c r="F239" s="1" t="n">
        <v>0.000104014</v>
      </c>
      <c r="G239" s="1" t="s">
        <v>27</v>
      </c>
      <c r="H239" s="1" t="n">
        <v>65.5</v>
      </c>
      <c r="I239" s="1" t="n">
        <v>42</v>
      </c>
      <c r="J239" s="1" t="n">
        <v>22.8</v>
      </c>
      <c r="K239" s="1"/>
      <c r="L239" s="1" t="n">
        <v>0</v>
      </c>
      <c r="M239" s="1" t="n">
        <v>0</v>
      </c>
      <c r="N239" s="1" t="s">
        <v>218</v>
      </c>
      <c r="Z239" s="0" t="n">
        <f aca="false">I239-9</f>
        <v>33</v>
      </c>
      <c r="AB239" s="0" t="n">
        <f aca="false">IF(Z239&lt;0,Z239+360,Z239+0)</f>
        <v>33</v>
      </c>
    </row>
    <row r="240" customFormat="false" ht="15.8" hidden="false" customHeight="false" outlineLevel="0" collapsed="false">
      <c r="A240" s="1" t="n">
        <v>16</v>
      </c>
      <c r="B240" s="1" t="n">
        <v>2</v>
      </c>
      <c r="C240" s="1" t="n">
        <v>1.5</v>
      </c>
      <c r="D240" s="1" t="n">
        <v>1.2162</v>
      </c>
      <c r="E240" s="1" t="n">
        <v>0.0514125</v>
      </c>
      <c r="F240" s="1" t="n">
        <v>0.000140281</v>
      </c>
      <c r="G240" s="1" t="s">
        <v>37</v>
      </c>
      <c r="H240" s="1" t="n">
        <v>56.8</v>
      </c>
      <c r="I240" s="1" t="n">
        <v>117.7</v>
      </c>
      <c r="J240" s="1" t="n">
        <v>36.9</v>
      </c>
      <c r="K240" s="1" t="n">
        <v>74.1</v>
      </c>
      <c r="L240" s="1" t="n">
        <v>0</v>
      </c>
      <c r="M240" s="1" t="n">
        <v>0</v>
      </c>
      <c r="N240" s="1" t="s">
        <v>216</v>
      </c>
      <c r="Z240" s="0" t="n">
        <f aca="false">I240-9</f>
        <v>108.7</v>
      </c>
      <c r="AB240" s="0" t="n">
        <f aca="false">IF(Z240&lt;0,Z240+360,Z240+0)</f>
        <v>108.7</v>
      </c>
    </row>
    <row r="241" customFormat="false" ht="15.8" hidden="false" customHeight="false" outlineLevel="0" collapsed="false">
      <c r="A241" s="1" t="n">
        <v>16</v>
      </c>
      <c r="B241" s="1" t="n">
        <v>1</v>
      </c>
      <c r="C241" s="1" t="n">
        <v>7.1</v>
      </c>
      <c r="D241" s="1" t="n">
        <v>1.205</v>
      </c>
      <c r="E241" s="1" t="n">
        <v>0.242884</v>
      </c>
      <c r="F241" s="1" t="n">
        <v>0.000662718</v>
      </c>
      <c r="G241" s="1" t="s">
        <v>37</v>
      </c>
      <c r="H241" s="1"/>
      <c r="I241" s="1" t="n">
        <v>171.2</v>
      </c>
      <c r="J241" s="1" t="n">
        <v>7.2</v>
      </c>
      <c r="K241" s="1" t="n">
        <v>56.8</v>
      </c>
      <c r="L241" s="1" t="n">
        <v>0</v>
      </c>
      <c r="M241" s="1" t="n">
        <v>0</v>
      </c>
      <c r="N241" s="1" t="s">
        <v>219</v>
      </c>
      <c r="Z241" s="0" t="n">
        <f aca="false">I241-9</f>
        <v>162.2</v>
      </c>
      <c r="AB241" s="0" t="n">
        <f aca="false">IF(Z241&lt;0,Z241+360,Z241+0)</f>
        <v>162.2</v>
      </c>
    </row>
    <row r="242" customFormat="false" ht="15.8" hidden="false" customHeight="false" outlineLevel="0" collapsed="false">
      <c r="A242" s="1" t="n">
        <v>17</v>
      </c>
      <c r="B242" s="1" t="n">
        <v>1</v>
      </c>
      <c r="C242" s="1" t="n">
        <v>2.1</v>
      </c>
      <c r="D242" s="1" t="n">
        <v>1.2182</v>
      </c>
      <c r="E242" s="1" t="n">
        <v>0.0705616</v>
      </c>
      <c r="F242" s="1" t="n">
        <v>0.00019253</v>
      </c>
      <c r="G242" s="1" t="s">
        <v>27</v>
      </c>
      <c r="H242" s="1"/>
      <c r="I242" s="1" t="n">
        <v>315.3</v>
      </c>
      <c r="J242" s="1" t="n">
        <v>-41.1</v>
      </c>
      <c r="K242" s="1"/>
      <c r="L242" s="1" t="n">
        <v>0</v>
      </c>
      <c r="M242" s="1" t="n">
        <v>0</v>
      </c>
      <c r="N242" s="1" t="s">
        <v>220</v>
      </c>
      <c r="Z242" s="0" t="n">
        <f aca="false">I242-9</f>
        <v>306.3</v>
      </c>
      <c r="AB242" s="0" t="n">
        <f aca="false">IF(Z242&lt;0,Z242+360,Z242+0)</f>
        <v>306.3</v>
      </c>
    </row>
    <row r="243" customFormat="false" ht="15.8" hidden="false" customHeight="false" outlineLevel="0" collapsed="false">
      <c r="A243" s="1" t="n">
        <v>18</v>
      </c>
      <c r="B243" s="1" t="n">
        <v>2</v>
      </c>
      <c r="C243" s="1" t="n">
        <v>1.5</v>
      </c>
      <c r="D243" s="1" t="n">
        <v>1.2431</v>
      </c>
      <c r="E243" s="1" t="n">
        <v>0.0497964</v>
      </c>
      <c r="F243" s="1" t="n">
        <v>0.000135871</v>
      </c>
      <c r="G243" s="1" t="s">
        <v>27</v>
      </c>
      <c r="H243" s="1" t="n">
        <v>18.9</v>
      </c>
      <c r="I243" s="1" t="n">
        <v>150.3</v>
      </c>
      <c r="J243" s="1" t="n">
        <v>0</v>
      </c>
      <c r="K243" s="1"/>
      <c r="L243" s="1" t="n">
        <v>0</v>
      </c>
      <c r="M243" s="1" t="n">
        <v>0</v>
      </c>
      <c r="N243" s="1" t="s">
        <v>221</v>
      </c>
      <c r="Z243" s="0" t="n">
        <f aca="false">I243-9</f>
        <v>141.3</v>
      </c>
      <c r="AB243" s="0" t="n">
        <f aca="false">IF(Z243&lt;0,Z243+360,Z243+0)</f>
        <v>141.3</v>
      </c>
    </row>
    <row r="244" customFormat="false" ht="15.8" hidden="false" customHeight="false" outlineLevel="0" collapsed="false">
      <c r="A244" s="1" t="n">
        <v>18</v>
      </c>
      <c r="B244" s="1" t="n">
        <v>3</v>
      </c>
      <c r="C244" s="1" t="n">
        <v>0.7</v>
      </c>
      <c r="D244" s="1" t="n">
        <v>1.0269</v>
      </c>
      <c r="E244" s="1" t="n">
        <v>0.0225565</v>
      </c>
      <c r="F244" s="1" t="n">
        <v>6.15461E-005</v>
      </c>
      <c r="G244" s="1" t="s">
        <v>27</v>
      </c>
      <c r="H244" s="1" t="n">
        <v>94.2</v>
      </c>
      <c r="I244" s="1" t="n">
        <v>278.8</v>
      </c>
      <c r="J244" s="1" t="n">
        <v>0</v>
      </c>
      <c r="K244" s="1"/>
      <c r="L244" s="1" t="n">
        <v>0</v>
      </c>
      <c r="M244" s="1" t="n">
        <v>0</v>
      </c>
      <c r="N244" s="1" t="s">
        <v>222</v>
      </c>
      <c r="Z244" s="0" t="n">
        <f aca="false">I244-9</f>
        <v>269.8</v>
      </c>
      <c r="AB244" s="0" t="n">
        <f aca="false">IF(Z244&lt;0,Z244+360,Z244+0)</f>
        <v>269.8</v>
      </c>
    </row>
    <row r="245" customFormat="false" ht="15.8" hidden="false" customHeight="false" outlineLevel="0" collapsed="false">
      <c r="A245" s="1" t="n">
        <v>18</v>
      </c>
      <c r="B245" s="1" t="n">
        <v>8</v>
      </c>
      <c r="C245" s="1" t="n">
        <v>10.2</v>
      </c>
      <c r="D245" s="1" t="n">
        <v>1.2888</v>
      </c>
      <c r="E245" s="1" t="n">
        <v>0.348294</v>
      </c>
      <c r="F245" s="1" t="n">
        <v>0.000950332</v>
      </c>
      <c r="G245" s="1" t="s">
        <v>27</v>
      </c>
      <c r="H245" s="1" t="n">
        <v>60</v>
      </c>
      <c r="I245" s="1" t="n">
        <v>189</v>
      </c>
      <c r="J245" s="1" t="n">
        <v>-22.1</v>
      </c>
      <c r="K245" s="1"/>
      <c r="L245" s="1" t="n">
        <v>0</v>
      </c>
      <c r="M245" s="1" t="n">
        <v>0</v>
      </c>
      <c r="N245" s="1" t="s">
        <v>223</v>
      </c>
      <c r="Z245" s="0" t="n">
        <f aca="false">I245-9</f>
        <v>180</v>
      </c>
      <c r="AB245" s="0" t="n">
        <f aca="false">IF(Z245&lt;0,Z245+360,Z245+0)</f>
        <v>180</v>
      </c>
    </row>
    <row r="246" customFormat="false" ht="15.8" hidden="false" customHeight="false" outlineLevel="0" collapsed="false">
      <c r="A246" s="1" t="n">
        <v>18</v>
      </c>
      <c r="B246" s="1" t="n">
        <v>8</v>
      </c>
      <c r="C246" s="1" t="n">
        <v>2.1</v>
      </c>
      <c r="D246" s="1" t="n">
        <v>1.2011</v>
      </c>
      <c r="E246" s="1" t="n">
        <v>0.0714758</v>
      </c>
      <c r="F246" s="1" t="n">
        <v>0.000195024</v>
      </c>
      <c r="G246" s="1" t="s">
        <v>27</v>
      </c>
      <c r="H246" s="1" t="n">
        <v>69.8</v>
      </c>
      <c r="I246" s="1" t="n">
        <v>156.4</v>
      </c>
      <c r="J246" s="1" t="n">
        <v>39.8</v>
      </c>
      <c r="K246" s="1"/>
      <c r="L246" s="1" t="n">
        <v>0</v>
      </c>
      <c r="M246" s="1" t="n">
        <v>0</v>
      </c>
      <c r="N246" s="1" t="s">
        <v>223</v>
      </c>
      <c r="Z246" s="0" t="n">
        <f aca="false">I246-9</f>
        <v>147.4</v>
      </c>
      <c r="AB246" s="0" t="n">
        <f aca="false">IF(Z246&lt;0,Z246+360,Z246+0)</f>
        <v>147.4</v>
      </c>
    </row>
    <row r="247" customFormat="false" ht="15.8" hidden="false" customHeight="false" outlineLevel="0" collapsed="false">
      <c r="A247" s="1" t="n">
        <v>18</v>
      </c>
      <c r="B247" s="1" t="n">
        <v>7</v>
      </c>
      <c r="C247" s="1" t="n">
        <v>6.1</v>
      </c>
      <c r="D247" s="1" t="n">
        <v>1.2703</v>
      </c>
      <c r="E247" s="1" t="n">
        <v>0.209342</v>
      </c>
      <c r="F247" s="1" t="n">
        <v>0.000571196</v>
      </c>
      <c r="G247" s="1" t="s">
        <v>37</v>
      </c>
      <c r="H247" s="1" t="n">
        <v>43.8</v>
      </c>
      <c r="I247" s="1" t="n">
        <v>234.7</v>
      </c>
      <c r="J247" s="1" t="n">
        <v>17.9</v>
      </c>
      <c r="K247" s="1" t="n">
        <v>69.8</v>
      </c>
      <c r="L247" s="1" t="n">
        <v>0</v>
      </c>
      <c r="M247" s="1" t="n">
        <v>0</v>
      </c>
      <c r="N247" s="1" t="s">
        <v>224</v>
      </c>
      <c r="Z247" s="0" t="n">
        <f aca="false">I247-9</f>
        <v>225.7</v>
      </c>
      <c r="AB247" s="0" t="n">
        <f aca="false">IF(Z247&lt;0,Z247+360,Z247+0)</f>
        <v>225.7</v>
      </c>
    </row>
    <row r="248" customFormat="false" ht="15.8" hidden="false" customHeight="false" outlineLevel="0" collapsed="false">
      <c r="A248" s="1" t="n">
        <v>18</v>
      </c>
      <c r="B248" s="1" t="n">
        <v>7</v>
      </c>
      <c r="C248" s="1" t="n">
        <v>3.8</v>
      </c>
      <c r="D248" s="1" t="n">
        <v>1.3489</v>
      </c>
      <c r="E248" s="1" t="n">
        <v>0.131814</v>
      </c>
      <c r="F248" s="1" t="n">
        <v>0.000359658</v>
      </c>
      <c r="G248" s="1" t="s">
        <v>27</v>
      </c>
      <c r="H248" s="1" t="n">
        <v>115</v>
      </c>
      <c r="I248" s="1" t="n">
        <v>70.3</v>
      </c>
      <c r="J248" s="1" t="n">
        <v>40.5</v>
      </c>
      <c r="K248" s="1"/>
      <c r="L248" s="1" t="n">
        <v>0</v>
      </c>
      <c r="M248" s="1" t="n">
        <v>0</v>
      </c>
      <c r="N248" s="1" t="s">
        <v>224</v>
      </c>
      <c r="Z248" s="0" t="n">
        <f aca="false">I248-9</f>
        <v>61.3</v>
      </c>
      <c r="AB248" s="0" t="n">
        <f aca="false">IF(Z248&lt;0,Z248+360,Z248+0)</f>
        <v>61.3</v>
      </c>
    </row>
    <row r="249" customFormat="false" ht="15.8" hidden="false" customHeight="false" outlineLevel="0" collapsed="false">
      <c r="A249" s="1" t="n">
        <v>18</v>
      </c>
      <c r="B249" s="1" t="n">
        <v>6</v>
      </c>
      <c r="C249" s="1" t="n">
        <v>13.6</v>
      </c>
      <c r="D249" s="1" t="n">
        <v>1.2224</v>
      </c>
      <c r="E249" s="1" t="n">
        <v>0.466258</v>
      </c>
      <c r="F249" s="1" t="n">
        <v>0.0012722</v>
      </c>
      <c r="G249" s="1" t="s">
        <v>37</v>
      </c>
      <c r="H249" s="1" t="n">
        <v>55.9</v>
      </c>
      <c r="I249" s="1" t="n">
        <v>194.1</v>
      </c>
      <c r="J249" s="1" t="n">
        <v>0</v>
      </c>
      <c r="K249" s="1" t="n">
        <v>115</v>
      </c>
      <c r="L249" s="1" t="n">
        <v>0</v>
      </c>
      <c r="M249" s="1" t="n">
        <v>0</v>
      </c>
      <c r="N249" s="1" t="s">
        <v>225</v>
      </c>
      <c r="Z249" s="0" t="n">
        <f aca="false">I249-9</f>
        <v>185.1</v>
      </c>
      <c r="AB249" s="0" t="n">
        <f aca="false">IF(Z249&lt;0,Z249+360,Z249+0)</f>
        <v>185.1</v>
      </c>
    </row>
    <row r="250" customFormat="false" ht="15.8" hidden="false" customHeight="false" outlineLevel="0" collapsed="false">
      <c r="A250" s="1" t="n">
        <v>18</v>
      </c>
      <c r="B250" s="1" t="n">
        <v>7</v>
      </c>
      <c r="C250" s="1" t="n">
        <v>14.4</v>
      </c>
      <c r="D250" s="1" t="n">
        <v>1.2585</v>
      </c>
      <c r="E250" s="1" t="n">
        <v>0.493078</v>
      </c>
      <c r="F250" s="1" t="n">
        <v>0.00134538</v>
      </c>
      <c r="G250" s="1" t="s">
        <v>27</v>
      </c>
      <c r="H250" s="1" t="n">
        <v>33.2</v>
      </c>
      <c r="I250" s="1" t="n">
        <v>210.2</v>
      </c>
      <c r="J250" s="1" t="n">
        <v>-1.9</v>
      </c>
      <c r="K250" s="1"/>
      <c r="L250" s="1" t="n">
        <v>0</v>
      </c>
      <c r="M250" s="1" t="n">
        <v>0</v>
      </c>
      <c r="N250" s="1" t="s">
        <v>226</v>
      </c>
      <c r="Z250" s="0" t="n">
        <f aca="false">I250-9</f>
        <v>201.2</v>
      </c>
      <c r="AB250" s="0" t="n">
        <f aca="false">IF(Z250&lt;0,Z250+360,Z250+0)</f>
        <v>201.2</v>
      </c>
    </row>
    <row r="251" customFormat="false" ht="15.8" hidden="false" customHeight="false" outlineLevel="0" collapsed="false">
      <c r="A251" s="1" t="n">
        <v>18</v>
      </c>
      <c r="B251" s="1" t="n">
        <v>7</v>
      </c>
      <c r="C251" s="1" t="n">
        <v>1.8</v>
      </c>
      <c r="D251" s="1" t="n">
        <v>1.1494</v>
      </c>
      <c r="E251" s="1" t="n">
        <v>0.0615936</v>
      </c>
      <c r="F251" s="1" t="n">
        <v>0.00016806</v>
      </c>
      <c r="G251" s="1" t="s">
        <v>27</v>
      </c>
      <c r="H251" s="1" t="n">
        <v>110.9</v>
      </c>
      <c r="I251" s="1" t="n">
        <v>357.5</v>
      </c>
      <c r="J251" s="1" t="n">
        <v>-13.7</v>
      </c>
      <c r="K251" s="1"/>
      <c r="L251" s="1" t="n">
        <v>0</v>
      </c>
      <c r="M251" s="1" t="n">
        <v>0</v>
      </c>
      <c r="N251" s="1" t="s">
        <v>226</v>
      </c>
      <c r="Z251" s="0" t="n">
        <f aca="false">I251-9</f>
        <v>348.5</v>
      </c>
      <c r="AB251" s="0" t="n">
        <f aca="false">IF(Z251&lt;0,Z251+360,Z251+0)</f>
        <v>348.5</v>
      </c>
    </row>
    <row r="252" customFormat="false" ht="15.8" hidden="false" customHeight="false" outlineLevel="0" collapsed="false">
      <c r="A252" s="1" t="n">
        <v>18</v>
      </c>
      <c r="B252" s="1" t="n">
        <v>6</v>
      </c>
      <c r="C252" s="1" t="n">
        <v>6.2</v>
      </c>
      <c r="D252" s="1" t="n">
        <v>1.5152</v>
      </c>
      <c r="E252" s="1" t="n">
        <v>0.211354</v>
      </c>
      <c r="F252" s="1" t="n">
        <v>0.000576686</v>
      </c>
      <c r="G252" s="1" t="s">
        <v>37</v>
      </c>
      <c r="H252" s="1" t="n">
        <v>17</v>
      </c>
      <c r="I252" s="1" t="n">
        <v>240.8</v>
      </c>
      <c r="J252" s="1" t="n">
        <v>-15.8</v>
      </c>
      <c r="K252" s="1" t="n">
        <v>110.9</v>
      </c>
      <c r="L252" s="1" t="n">
        <v>0</v>
      </c>
      <c r="M252" s="1" t="n">
        <v>0</v>
      </c>
      <c r="N252" s="1" t="s">
        <v>225</v>
      </c>
      <c r="Z252" s="0" t="n">
        <f aca="false">I252-9</f>
        <v>231.8</v>
      </c>
      <c r="AB252" s="0" t="n">
        <f aca="false">IF(Z252&lt;0,Z252+360,Z252+0)</f>
        <v>231.8</v>
      </c>
    </row>
    <row r="253" customFormat="false" ht="15.8" hidden="false" customHeight="false" outlineLevel="0" collapsed="false">
      <c r="A253" s="1" t="n">
        <v>18</v>
      </c>
      <c r="B253" s="1" t="n">
        <v>5</v>
      </c>
      <c r="C253" s="1" t="n">
        <v>1.6</v>
      </c>
      <c r="D253" s="1" t="n">
        <v>1.2076</v>
      </c>
      <c r="E253" s="1" t="n">
        <v>0.0565286</v>
      </c>
      <c r="F253" s="1" t="n">
        <v>0.00015424</v>
      </c>
      <c r="G253" s="1" t="s">
        <v>37</v>
      </c>
      <c r="H253" s="1" t="n">
        <v>54.9</v>
      </c>
      <c r="I253" s="1" t="n">
        <v>242.2</v>
      </c>
      <c r="J253" s="1" t="n">
        <v>-32.8</v>
      </c>
      <c r="K253" s="1" t="n">
        <v>55.9</v>
      </c>
      <c r="L253" s="1" t="n">
        <v>0</v>
      </c>
      <c r="M253" s="1" t="n">
        <v>0</v>
      </c>
      <c r="N253" s="1" t="s">
        <v>227</v>
      </c>
      <c r="Z253" s="0" t="n">
        <f aca="false">I253-9</f>
        <v>233.2</v>
      </c>
      <c r="AB253" s="0" t="n">
        <f aca="false">IF(Z253&lt;0,Z253+360,Z253+0)</f>
        <v>233.2</v>
      </c>
    </row>
    <row r="254" customFormat="false" ht="15.8" hidden="false" customHeight="false" outlineLevel="0" collapsed="false">
      <c r="A254" s="1" t="n">
        <v>18</v>
      </c>
      <c r="B254" s="1" t="n">
        <v>6</v>
      </c>
      <c r="C254" s="1" t="n">
        <v>5.5</v>
      </c>
      <c r="D254" s="1" t="n">
        <v>1.3187</v>
      </c>
      <c r="E254" s="1" t="n">
        <v>0.190269</v>
      </c>
      <c r="F254" s="1" t="n">
        <v>0.000519157</v>
      </c>
      <c r="G254" s="1" t="s">
        <v>27</v>
      </c>
      <c r="H254" s="1" t="n">
        <v>61.7</v>
      </c>
      <c r="I254" s="1" t="n">
        <v>255.5</v>
      </c>
      <c r="J254" s="1" t="n">
        <v>61.6</v>
      </c>
      <c r="K254" s="1"/>
      <c r="L254" s="1" t="n">
        <v>0</v>
      </c>
      <c r="M254" s="1" t="n">
        <v>0</v>
      </c>
      <c r="N254" s="1" t="s">
        <v>228</v>
      </c>
      <c r="Z254" s="0" t="n">
        <f aca="false">I254-9</f>
        <v>246.5</v>
      </c>
      <c r="AB254" s="0" t="n">
        <f aca="false">IF(Z254&lt;0,Z254+360,Z254+0)</f>
        <v>246.5</v>
      </c>
    </row>
    <row r="255" customFormat="false" ht="15.8" hidden="false" customHeight="false" outlineLevel="0" collapsed="false">
      <c r="A255" s="1" t="n">
        <v>18</v>
      </c>
      <c r="B255" s="1" t="n">
        <v>6</v>
      </c>
      <c r="C255" s="1" t="n">
        <v>1.9</v>
      </c>
      <c r="D255" s="1" t="n">
        <v>1.1053</v>
      </c>
      <c r="E255" s="1" t="n">
        <v>0.0637194</v>
      </c>
      <c r="F255" s="1" t="n">
        <v>0.00017386</v>
      </c>
      <c r="G255" s="1" t="s">
        <v>27</v>
      </c>
      <c r="H255" s="1" t="n">
        <v>74.9</v>
      </c>
      <c r="I255" s="1" t="n">
        <v>266.6</v>
      </c>
      <c r="J255" s="1" t="n">
        <v>12.7</v>
      </c>
      <c r="K255" s="1"/>
      <c r="L255" s="1" t="n">
        <v>0</v>
      </c>
      <c r="M255" s="1" t="n">
        <v>0</v>
      </c>
      <c r="N255" s="1" t="s">
        <v>228</v>
      </c>
      <c r="Z255" s="0" t="n">
        <f aca="false">I255-9</f>
        <v>257.6</v>
      </c>
      <c r="AB255" s="0" t="n">
        <f aca="false">IF(Z255&lt;0,Z255+360,Z255+0)</f>
        <v>257.6</v>
      </c>
    </row>
    <row r="256" customFormat="false" ht="15.8" hidden="false" customHeight="false" outlineLevel="0" collapsed="false">
      <c r="A256" s="1" t="n">
        <v>18</v>
      </c>
      <c r="B256" s="1" t="n">
        <v>6</v>
      </c>
      <c r="C256" s="1" t="n">
        <v>2</v>
      </c>
      <c r="D256" s="1" t="n">
        <v>1.175</v>
      </c>
      <c r="E256" s="1" t="n">
        <v>0.0697545</v>
      </c>
      <c r="F256" s="1" t="n">
        <v>0.000190328</v>
      </c>
      <c r="G256" s="1" t="s">
        <v>27</v>
      </c>
      <c r="H256" s="1" t="n">
        <v>101.7</v>
      </c>
      <c r="I256" s="1" t="n">
        <v>94.4</v>
      </c>
      <c r="J256" s="1" t="n">
        <v>-25.3</v>
      </c>
      <c r="K256" s="1"/>
      <c r="L256" s="1" t="n">
        <v>0</v>
      </c>
      <c r="M256" s="1" t="n">
        <v>0</v>
      </c>
      <c r="N256" s="1" t="s">
        <v>228</v>
      </c>
      <c r="Z256" s="0" t="n">
        <f aca="false">I256-9</f>
        <v>85.4</v>
      </c>
      <c r="AB256" s="0" t="n">
        <f aca="false">IF(Z256&lt;0,Z256+360,Z256+0)</f>
        <v>85.4</v>
      </c>
    </row>
    <row r="257" customFormat="false" ht="15.8" hidden="false" customHeight="false" outlineLevel="0" collapsed="false">
      <c r="A257" s="1" t="n">
        <v>18</v>
      </c>
      <c r="B257" s="1" t="n">
        <v>5</v>
      </c>
      <c r="C257" s="1" t="n">
        <v>4.2</v>
      </c>
      <c r="D257" s="1" t="n">
        <v>1.2867</v>
      </c>
      <c r="E257" s="1" t="n">
        <v>0.142938</v>
      </c>
      <c r="F257" s="1" t="n">
        <v>0.000390011</v>
      </c>
      <c r="G257" s="1" t="s">
        <v>37</v>
      </c>
      <c r="H257" s="1" t="n">
        <v>25.4</v>
      </c>
      <c r="I257" s="1" t="n">
        <v>188.2</v>
      </c>
      <c r="J257" s="1" t="n">
        <v>20</v>
      </c>
      <c r="K257" s="1" t="n">
        <v>101.7</v>
      </c>
      <c r="L257" s="1" t="n">
        <v>0</v>
      </c>
      <c r="M257" s="1" t="n">
        <v>0</v>
      </c>
      <c r="N257" s="1" t="s">
        <v>227</v>
      </c>
      <c r="Z257" s="0" t="n">
        <f aca="false">I257-9</f>
        <v>179.2</v>
      </c>
      <c r="AB257" s="0" t="n">
        <f aca="false">IF(Z257&lt;0,Z257+360,Z257+0)</f>
        <v>179.2</v>
      </c>
    </row>
    <row r="258" customFormat="false" ht="15.8" hidden="false" customHeight="false" outlineLevel="0" collapsed="false">
      <c r="A258" s="1" t="n">
        <v>18</v>
      </c>
      <c r="B258" s="1" t="n">
        <v>4</v>
      </c>
      <c r="C258" s="1" t="n">
        <v>5.3</v>
      </c>
      <c r="D258" s="1" t="n">
        <v>1.3011</v>
      </c>
      <c r="E258" s="1" t="n">
        <v>0.182067</v>
      </c>
      <c r="F258" s="1" t="n">
        <v>0.000496777</v>
      </c>
      <c r="G258" s="1" t="s">
        <v>37</v>
      </c>
      <c r="H258" s="1" t="n">
        <v>68.5</v>
      </c>
      <c r="I258" s="1" t="n">
        <v>191.1</v>
      </c>
      <c r="J258" s="1" t="n">
        <v>-5.2</v>
      </c>
      <c r="K258" s="1" t="n">
        <v>54.9</v>
      </c>
      <c r="L258" s="1" t="n">
        <v>0</v>
      </c>
      <c r="M258" s="1" t="n">
        <v>0</v>
      </c>
      <c r="N258" s="1" t="s">
        <v>229</v>
      </c>
      <c r="Z258" s="0" t="n">
        <f aca="false">I258-9</f>
        <v>182.1</v>
      </c>
      <c r="AB258" s="0" t="n">
        <f aca="false">IF(Z258&lt;0,Z258+360,Z258+0)</f>
        <v>182.1</v>
      </c>
    </row>
    <row r="259" customFormat="false" ht="15.8" hidden="false" customHeight="false" outlineLevel="0" collapsed="false">
      <c r="A259" s="1" t="n">
        <v>18</v>
      </c>
      <c r="B259" s="1" t="n">
        <v>12</v>
      </c>
      <c r="C259" s="1" t="n">
        <v>6</v>
      </c>
      <c r="D259" s="1" t="n">
        <v>1.207</v>
      </c>
      <c r="E259" s="1" t="n">
        <v>0.210538</v>
      </c>
      <c r="F259" s="1" t="n">
        <v>0.000593002</v>
      </c>
      <c r="G259" s="1" t="s">
        <v>27</v>
      </c>
      <c r="H259" s="1" t="n">
        <v>90.8</v>
      </c>
      <c r="I259" s="1" t="n">
        <v>156.5</v>
      </c>
      <c r="J259" s="1" t="n">
        <v>-14.7</v>
      </c>
      <c r="K259" s="1"/>
      <c r="L259" s="1" t="n">
        <v>0</v>
      </c>
      <c r="M259" s="1" t="n">
        <v>0</v>
      </c>
      <c r="N259" s="1" t="s">
        <v>230</v>
      </c>
      <c r="Z259" s="0" t="n">
        <f aca="false">I259-9</f>
        <v>147.5</v>
      </c>
      <c r="AB259" s="0" t="n">
        <f aca="false">IF(Z259&lt;0,Z259+360,Z259+0)</f>
        <v>147.5</v>
      </c>
    </row>
    <row r="260" customFormat="false" ht="15.8" hidden="false" customHeight="false" outlineLevel="0" collapsed="false">
      <c r="A260" s="1" t="n">
        <v>18</v>
      </c>
      <c r="B260" s="1" t="n">
        <v>12</v>
      </c>
      <c r="C260" s="1" t="n">
        <v>4</v>
      </c>
      <c r="D260" s="1" t="n">
        <v>1.2396</v>
      </c>
      <c r="E260" s="1" t="n">
        <v>0.147689</v>
      </c>
      <c r="F260" s="1" t="n">
        <v>0.000451209</v>
      </c>
      <c r="G260" s="1" t="s">
        <v>27</v>
      </c>
      <c r="H260" s="1" t="n">
        <v>41.7</v>
      </c>
      <c r="I260" s="1" t="n">
        <v>104.3</v>
      </c>
      <c r="J260" s="1" t="n">
        <v>-30.4</v>
      </c>
      <c r="K260" s="1"/>
      <c r="L260" s="1" t="n">
        <v>0</v>
      </c>
      <c r="M260" s="1" t="n">
        <v>0</v>
      </c>
      <c r="N260" s="1" t="s">
        <v>230</v>
      </c>
      <c r="Z260" s="0" t="n">
        <f aca="false">I260-9</f>
        <v>95.3</v>
      </c>
      <c r="AB260" s="0" t="n">
        <f aca="false">IF(Z260&lt;0,Z260+360,Z260+0)</f>
        <v>95.3</v>
      </c>
    </row>
    <row r="261" customFormat="false" ht="15.8" hidden="false" customHeight="false" outlineLevel="0" collapsed="false">
      <c r="A261" s="1" t="n">
        <v>18</v>
      </c>
      <c r="B261" s="1" t="n">
        <v>11</v>
      </c>
      <c r="C261" s="1" t="n">
        <v>11.9</v>
      </c>
      <c r="D261" s="1" t="n">
        <v>1.2845</v>
      </c>
      <c r="E261" s="1" t="n">
        <v>0.406776</v>
      </c>
      <c r="F261" s="1" t="n">
        <v>0.0011099</v>
      </c>
      <c r="G261" s="1" t="s">
        <v>37</v>
      </c>
      <c r="H261" s="1" t="n">
        <v>15.5</v>
      </c>
      <c r="I261" s="1" t="n">
        <v>61.2</v>
      </c>
      <c r="J261" s="1" t="n">
        <v>-16.3</v>
      </c>
      <c r="K261" s="1" t="n">
        <v>90.8</v>
      </c>
      <c r="L261" s="1" t="n">
        <v>0</v>
      </c>
      <c r="M261" s="1" t="n">
        <v>0</v>
      </c>
      <c r="N261" s="1" t="s">
        <v>231</v>
      </c>
      <c r="Z261" s="0" t="n">
        <f aca="false">I261-9</f>
        <v>52.2</v>
      </c>
      <c r="AB261" s="0" t="n">
        <f aca="false">IF(Z261&lt;0,Z261+360,Z261+0)</f>
        <v>52.2</v>
      </c>
    </row>
    <row r="262" customFormat="false" ht="15.8" hidden="false" customHeight="false" outlineLevel="0" collapsed="false">
      <c r="A262" s="1" t="n">
        <v>18</v>
      </c>
      <c r="B262" s="1" t="n">
        <v>11</v>
      </c>
      <c r="C262" s="1" t="n">
        <v>1.2</v>
      </c>
      <c r="D262" s="1" t="n">
        <v>1.0729</v>
      </c>
      <c r="E262" s="1" t="n">
        <v>0.0398037</v>
      </c>
      <c r="F262" s="1" t="n">
        <v>0.000108606</v>
      </c>
      <c r="G262" s="1" t="s">
        <v>27</v>
      </c>
      <c r="H262" s="1" t="n">
        <v>81.7</v>
      </c>
      <c r="I262" s="1" t="n">
        <v>351.3</v>
      </c>
      <c r="J262" s="1" t="n">
        <v>0</v>
      </c>
      <c r="K262" s="1"/>
      <c r="L262" s="1" t="n">
        <v>0</v>
      </c>
      <c r="M262" s="1" t="n">
        <v>0</v>
      </c>
      <c r="N262" s="1" t="s">
        <v>231</v>
      </c>
      <c r="Z262" s="0" t="n">
        <f aca="false">I262-9</f>
        <v>342.3</v>
      </c>
      <c r="AB262" s="0" t="n">
        <f aca="false">IF(Z262&lt;0,Z262+360,Z262+0)</f>
        <v>342.3</v>
      </c>
    </row>
    <row r="263" customFormat="false" ht="15.8" hidden="false" customHeight="false" outlineLevel="0" collapsed="false">
      <c r="A263" s="1" t="n">
        <v>18</v>
      </c>
      <c r="B263" s="1" t="n">
        <v>10</v>
      </c>
      <c r="C263" s="1" t="n">
        <v>2.9</v>
      </c>
      <c r="D263" s="1" t="n">
        <v>1.2198</v>
      </c>
      <c r="E263" s="1" t="n">
        <v>0.0981405</v>
      </c>
      <c r="F263" s="1" t="n">
        <v>0.00026778</v>
      </c>
      <c r="G263" s="1" t="s">
        <v>37</v>
      </c>
      <c r="H263" s="1" t="n">
        <v>20.2</v>
      </c>
      <c r="I263" s="1" t="n">
        <v>71.9</v>
      </c>
      <c r="J263" s="1" t="n">
        <v>-28.2</v>
      </c>
      <c r="K263" s="1" t="n">
        <v>81.7</v>
      </c>
      <c r="L263" s="1" t="n">
        <v>0</v>
      </c>
      <c r="M263" s="1" t="n">
        <v>0</v>
      </c>
      <c r="N263" s="1" t="s">
        <v>232</v>
      </c>
      <c r="Z263" s="0" t="n">
        <f aca="false">I263-9</f>
        <v>62.9</v>
      </c>
      <c r="AB263" s="0" t="n">
        <f aca="false">IF(Z263&lt;0,Z263+360,Z263+0)</f>
        <v>62.9</v>
      </c>
    </row>
    <row r="264" customFormat="false" ht="15.8" hidden="false" customHeight="false" outlineLevel="0" collapsed="false">
      <c r="A264" s="1" t="n">
        <v>18</v>
      </c>
      <c r="B264" s="1" t="n">
        <v>10</v>
      </c>
      <c r="C264" s="1" t="n">
        <v>2</v>
      </c>
      <c r="D264" s="1" t="n">
        <v>1.7394</v>
      </c>
      <c r="E264" s="1" t="n">
        <v>0.0682193</v>
      </c>
      <c r="F264" s="1" t="n">
        <v>0.000186139</v>
      </c>
      <c r="G264" s="1" t="s">
        <v>27</v>
      </c>
      <c r="H264" s="1" t="n">
        <v>137.8</v>
      </c>
      <c r="I264" s="1" t="n">
        <v>228.1</v>
      </c>
      <c r="J264" s="1" t="n">
        <v>0</v>
      </c>
      <c r="K264" s="1"/>
      <c r="L264" s="1" t="n">
        <v>0</v>
      </c>
      <c r="M264" s="1" t="n">
        <v>0</v>
      </c>
      <c r="N264" s="1" t="s">
        <v>232</v>
      </c>
      <c r="Z264" s="0" t="n">
        <f aca="false">I264-9</f>
        <v>219.1</v>
      </c>
      <c r="AB264" s="0" t="n">
        <f aca="false">IF(Z264&lt;0,Z264+360,Z264+0)</f>
        <v>219.1</v>
      </c>
    </row>
    <row r="265" customFormat="false" ht="15.8" hidden="false" customHeight="false" outlineLevel="0" collapsed="false">
      <c r="A265" s="1" t="n">
        <v>18</v>
      </c>
      <c r="B265" s="1" t="n">
        <v>9</v>
      </c>
      <c r="C265" s="1" t="n">
        <v>5.8</v>
      </c>
      <c r="D265" s="1" t="n">
        <v>1.3385</v>
      </c>
      <c r="E265" s="1" t="n">
        <v>0.200537</v>
      </c>
      <c r="F265" s="1" t="n">
        <v>0.000547171</v>
      </c>
      <c r="G265" s="1" t="s">
        <v>37</v>
      </c>
      <c r="H265" s="1" t="n">
        <v>32.7</v>
      </c>
      <c r="I265" s="1" t="n">
        <v>88.1</v>
      </c>
      <c r="J265" s="1" t="n">
        <v>-14.7</v>
      </c>
      <c r="K265" s="1" t="n">
        <v>137.8</v>
      </c>
      <c r="L265" s="1" t="n">
        <v>0</v>
      </c>
      <c r="M265" s="1" t="n">
        <v>0</v>
      </c>
      <c r="N265" s="1" t="s">
        <v>233</v>
      </c>
      <c r="Z265" s="0" t="n">
        <f aca="false">I265-9</f>
        <v>79.1</v>
      </c>
      <c r="AB265" s="0" t="n">
        <f aca="false">IF(Z265&lt;0,Z265+360,Z265+0)</f>
        <v>79.1</v>
      </c>
    </row>
    <row r="266" customFormat="false" ht="15.8" hidden="false" customHeight="false" outlineLevel="0" collapsed="false">
      <c r="A266" s="1" t="n">
        <v>18</v>
      </c>
      <c r="B266" s="1" t="n">
        <v>9</v>
      </c>
      <c r="C266" s="1" t="n">
        <v>3</v>
      </c>
      <c r="D266" s="1" t="n">
        <v>1.4086</v>
      </c>
      <c r="E266" s="1" t="n">
        <v>0.104227</v>
      </c>
      <c r="F266" s="1" t="n">
        <v>0.000284386</v>
      </c>
      <c r="G266" s="1" t="s">
        <v>27</v>
      </c>
      <c r="H266" s="1" t="n">
        <v>69.8</v>
      </c>
      <c r="I266" s="1" t="n">
        <v>10.8</v>
      </c>
      <c r="J266" s="1" t="n">
        <v>59</v>
      </c>
      <c r="K266" s="1"/>
      <c r="L266" s="1" t="n">
        <v>0</v>
      </c>
      <c r="M266" s="1" t="n">
        <v>0</v>
      </c>
      <c r="N266" s="1" t="s">
        <v>233</v>
      </c>
      <c r="Z266" s="0" t="n">
        <f aca="false">I266-9</f>
        <v>1.8</v>
      </c>
      <c r="AB266" s="0" t="n">
        <f aca="false">IF(Z266&lt;0,Z266+360,Z266+0)</f>
        <v>1.8</v>
      </c>
    </row>
    <row r="267" customFormat="false" ht="15.8" hidden="false" customHeight="false" outlineLevel="0" collapsed="false">
      <c r="A267" s="1" t="n">
        <v>18</v>
      </c>
      <c r="B267" s="1" t="n">
        <v>9</v>
      </c>
      <c r="C267" s="1" t="n">
        <v>2.1</v>
      </c>
      <c r="D267" s="1" t="n">
        <v>1.7927</v>
      </c>
      <c r="E267" s="1" t="n">
        <v>0.0708431</v>
      </c>
      <c r="F267" s="1" t="n">
        <v>0.00019223</v>
      </c>
      <c r="G267" s="1" t="s">
        <v>27</v>
      </c>
      <c r="H267" s="1" t="n">
        <v>118.3</v>
      </c>
      <c r="I267" s="1" t="n">
        <v>178.1</v>
      </c>
      <c r="J267" s="1" t="n">
        <v>16</v>
      </c>
      <c r="K267" s="1"/>
      <c r="L267" s="1" t="n">
        <v>0</v>
      </c>
      <c r="M267" s="1" t="n">
        <v>0</v>
      </c>
      <c r="N267" s="1" t="s">
        <v>233</v>
      </c>
      <c r="Z267" s="0" t="n">
        <f aca="false">I267-9</f>
        <v>169.1</v>
      </c>
      <c r="AB267" s="0" t="n">
        <f aca="false">IF(Z267&lt;0,Z267+360,Z267+0)</f>
        <v>169.1</v>
      </c>
    </row>
    <row r="268" customFormat="false" ht="15.8" hidden="false" customHeight="false" outlineLevel="0" collapsed="false">
      <c r="A268" s="1" t="n">
        <v>18</v>
      </c>
      <c r="B268" s="1" t="n">
        <v>8</v>
      </c>
      <c r="C268" s="1" t="n">
        <v>0.5</v>
      </c>
      <c r="D268" s="1" t="n">
        <v>1.0056</v>
      </c>
      <c r="E268" s="1" t="n">
        <v>0.015876</v>
      </c>
      <c r="F268" s="1" t="n">
        <v>4.33184E-005</v>
      </c>
      <c r="G268" s="1" t="s">
        <v>37</v>
      </c>
      <c r="H268" s="1" t="n">
        <v>4.5</v>
      </c>
      <c r="I268" s="1" t="n">
        <v>58.6</v>
      </c>
      <c r="J268" s="1" t="n">
        <v>0</v>
      </c>
      <c r="K268" s="1" t="n">
        <v>118.3</v>
      </c>
      <c r="L268" s="1" t="n">
        <v>0</v>
      </c>
      <c r="M268" s="1" t="n">
        <v>0</v>
      </c>
      <c r="N268" s="1" t="s">
        <v>234</v>
      </c>
      <c r="Z268" s="0" t="n">
        <f aca="false">I268-9</f>
        <v>49.6</v>
      </c>
      <c r="AB268" s="0" t="n">
        <f aca="false">IF(Z268&lt;0,Z268+360,Z268+0)</f>
        <v>49.6</v>
      </c>
    </row>
    <row r="269" customFormat="false" ht="15.8" hidden="false" customHeight="false" outlineLevel="0" collapsed="false">
      <c r="A269" s="1" t="n">
        <v>18</v>
      </c>
      <c r="B269" s="1" t="n">
        <v>8</v>
      </c>
      <c r="C269" s="1" t="n">
        <v>1.7</v>
      </c>
      <c r="D269" s="1" t="n">
        <v>1.1726</v>
      </c>
      <c r="E269" s="1" t="n">
        <v>0.0596011</v>
      </c>
      <c r="F269" s="1" t="n">
        <v>0.000162624</v>
      </c>
      <c r="G269" s="1" t="s">
        <v>27</v>
      </c>
      <c r="H269" s="1" t="n">
        <v>116.3</v>
      </c>
      <c r="I269" s="1" t="n">
        <v>282.2</v>
      </c>
      <c r="J269" s="1" t="n">
        <v>-48.5</v>
      </c>
      <c r="K269" s="1"/>
      <c r="L269" s="1" t="n">
        <v>0</v>
      </c>
      <c r="M269" s="1" t="n">
        <v>0</v>
      </c>
      <c r="N269" s="1" t="s">
        <v>234</v>
      </c>
      <c r="Z269" s="0" t="n">
        <f aca="false">I269-9</f>
        <v>273.2</v>
      </c>
      <c r="AB269" s="0" t="n">
        <f aca="false">IF(Z269&lt;0,Z269+360,Z269+0)</f>
        <v>273.2</v>
      </c>
    </row>
    <row r="270" customFormat="false" ht="15.8" hidden="false" customHeight="false" outlineLevel="0" collapsed="false">
      <c r="A270" s="1" t="n">
        <v>18</v>
      </c>
      <c r="B270" s="1" t="n">
        <v>7</v>
      </c>
      <c r="C270" s="1" t="n">
        <v>5.7</v>
      </c>
      <c r="D270" s="1" t="n">
        <v>1.1715</v>
      </c>
      <c r="E270" s="1" t="n">
        <v>0.195912</v>
      </c>
      <c r="F270" s="1" t="n">
        <v>0.000534553</v>
      </c>
      <c r="G270" s="1" t="s">
        <v>37</v>
      </c>
      <c r="H270" s="1" t="n">
        <v>39.6</v>
      </c>
      <c r="I270" s="1" t="n">
        <v>54.1</v>
      </c>
      <c r="J270" s="1" t="n">
        <v>0</v>
      </c>
      <c r="K270" s="1" t="n">
        <v>116.3</v>
      </c>
      <c r="L270" s="1" t="n">
        <v>0</v>
      </c>
      <c r="M270" s="1" t="n">
        <v>0</v>
      </c>
      <c r="N270" s="1" t="s">
        <v>235</v>
      </c>
      <c r="Z270" s="0" t="n">
        <f aca="false">I270-9</f>
        <v>45.1</v>
      </c>
      <c r="AB270" s="0" t="n">
        <f aca="false">IF(Z270&lt;0,Z270+360,Z270+0)</f>
        <v>45.1</v>
      </c>
    </row>
    <row r="271" customFormat="false" ht="15.8" hidden="false" customHeight="false" outlineLevel="0" collapsed="false">
      <c r="A271" s="1" t="n">
        <v>18</v>
      </c>
      <c r="B271" s="1" t="n">
        <v>8</v>
      </c>
      <c r="C271" s="1" t="n">
        <v>2.3</v>
      </c>
      <c r="D271" s="1" t="n">
        <v>1.1805</v>
      </c>
      <c r="E271" s="1" t="n">
        <v>0.0799644</v>
      </c>
      <c r="F271" s="1" t="n">
        <v>0.000218186</v>
      </c>
      <c r="G271" s="1" t="s">
        <v>27</v>
      </c>
      <c r="H271" s="1" t="n">
        <v>71.2</v>
      </c>
      <c r="I271" s="1" t="n">
        <v>331.1</v>
      </c>
      <c r="J271" s="1" t="n">
        <v>22</v>
      </c>
      <c r="K271" s="1"/>
      <c r="L271" s="1" t="n">
        <v>0</v>
      </c>
      <c r="M271" s="1" t="n">
        <v>0</v>
      </c>
      <c r="N271" s="1" t="s">
        <v>236</v>
      </c>
      <c r="Z271" s="0" t="n">
        <f aca="false">I271-9</f>
        <v>322.1</v>
      </c>
      <c r="AB271" s="0" t="n">
        <f aca="false">IF(Z271&lt;0,Z271+360,Z271+0)</f>
        <v>322.1</v>
      </c>
    </row>
    <row r="272" customFormat="false" ht="15.8" hidden="false" customHeight="false" outlineLevel="0" collapsed="false">
      <c r="A272" s="1" t="n">
        <v>18</v>
      </c>
      <c r="B272" s="1" t="n">
        <v>9</v>
      </c>
      <c r="C272" s="1" t="n">
        <v>1.7</v>
      </c>
      <c r="D272" s="1" t="n">
        <v>1.2192</v>
      </c>
      <c r="E272" s="1" t="n">
        <v>0.0879327</v>
      </c>
      <c r="F272" s="1" t="n">
        <v>0.000394069</v>
      </c>
      <c r="G272" s="1" t="s">
        <v>27</v>
      </c>
      <c r="H272" s="1" t="n">
        <v>31.7</v>
      </c>
      <c r="I272" s="1" t="n">
        <v>50.3</v>
      </c>
      <c r="J272" s="1" t="n">
        <v>49.7</v>
      </c>
      <c r="K272" s="1"/>
      <c r="L272" s="1" t="n">
        <v>0</v>
      </c>
      <c r="M272" s="1" t="n">
        <v>0</v>
      </c>
      <c r="N272" s="1" t="s">
        <v>237</v>
      </c>
      <c r="Z272" s="0" t="n">
        <f aca="false">I272-9</f>
        <v>41.3</v>
      </c>
      <c r="AB272" s="0" t="n">
        <f aca="false">IF(Z272&lt;0,Z272+360,Z272+0)</f>
        <v>41.3</v>
      </c>
    </row>
    <row r="273" customFormat="false" ht="15.8" hidden="false" customHeight="false" outlineLevel="0" collapsed="false">
      <c r="A273" s="1" t="n">
        <v>18</v>
      </c>
      <c r="B273" s="1" t="n">
        <v>9</v>
      </c>
      <c r="C273" s="1" t="n">
        <v>2.1</v>
      </c>
      <c r="D273" s="1" t="n">
        <v>1.2982</v>
      </c>
      <c r="E273" s="1" t="n">
        <v>0.0733205</v>
      </c>
      <c r="F273" s="1" t="n">
        <v>0.000200058</v>
      </c>
      <c r="G273" s="1" t="s">
        <v>27</v>
      </c>
      <c r="H273" s="1" t="n">
        <v>120.7</v>
      </c>
      <c r="I273" s="1" t="n">
        <v>200.9</v>
      </c>
      <c r="J273" s="1" t="n">
        <v>-26.7</v>
      </c>
      <c r="K273" s="1"/>
      <c r="L273" s="1" t="n">
        <v>0</v>
      </c>
      <c r="M273" s="1" t="n">
        <v>0</v>
      </c>
      <c r="N273" s="1" t="s">
        <v>237</v>
      </c>
      <c r="Z273" s="0" t="n">
        <f aca="false">I273-9</f>
        <v>191.9</v>
      </c>
      <c r="AB273" s="0" t="n">
        <f aca="false">IF(Z273&lt;0,Z273+360,Z273+0)</f>
        <v>191.9</v>
      </c>
    </row>
    <row r="274" customFormat="false" ht="15.8" hidden="false" customHeight="false" outlineLevel="0" collapsed="false">
      <c r="A274" s="1" t="n">
        <v>18</v>
      </c>
      <c r="B274" s="1" t="n">
        <v>8</v>
      </c>
      <c r="C274" s="1" t="n">
        <v>2.9</v>
      </c>
      <c r="D274" s="1" t="n">
        <v>1.1794</v>
      </c>
      <c r="E274" s="1" t="n">
        <v>0.0984242</v>
      </c>
      <c r="F274" s="1" t="n">
        <v>0.000268554</v>
      </c>
      <c r="G274" s="1" t="s">
        <v>37</v>
      </c>
      <c r="H274" s="1" t="n">
        <v>27.5</v>
      </c>
      <c r="I274" s="1" t="n">
        <v>91.3</v>
      </c>
      <c r="J274" s="1" t="n">
        <v>37.4</v>
      </c>
      <c r="K274" s="1" t="n">
        <v>120.7</v>
      </c>
      <c r="L274" s="1" t="n">
        <v>0</v>
      </c>
      <c r="M274" s="1" t="n">
        <v>0</v>
      </c>
      <c r="N274" s="1" t="s">
        <v>236</v>
      </c>
      <c r="Z274" s="0" t="n">
        <f aca="false">I274-9</f>
        <v>82.3</v>
      </c>
      <c r="AB274" s="0" t="n">
        <f aca="false">IF(Z274&lt;0,Z274+360,Z274+0)</f>
        <v>82.3</v>
      </c>
    </row>
    <row r="275" customFormat="false" ht="15.8" hidden="false" customHeight="false" outlineLevel="0" collapsed="false">
      <c r="A275" s="1" t="n">
        <v>18</v>
      </c>
      <c r="B275" s="1" t="n">
        <v>7</v>
      </c>
      <c r="C275" s="1" t="n">
        <v>1.1</v>
      </c>
      <c r="D275" s="1" t="n">
        <v>1.1971</v>
      </c>
      <c r="E275" s="1" t="n">
        <v>0.0374441</v>
      </c>
      <c r="F275" s="1" t="n">
        <v>0.000102168</v>
      </c>
      <c r="G275" s="1" t="s">
        <v>37</v>
      </c>
      <c r="H275" s="1" t="n">
        <v>14.9</v>
      </c>
      <c r="I275" s="1" t="n">
        <v>59.2</v>
      </c>
      <c r="J275" s="1" t="n">
        <v>54.2</v>
      </c>
      <c r="K275" s="1" t="n">
        <v>71.2</v>
      </c>
      <c r="L275" s="1" t="n">
        <v>0</v>
      </c>
      <c r="M275" s="1" t="n">
        <v>0</v>
      </c>
      <c r="N275" s="1" t="s">
        <v>235</v>
      </c>
      <c r="Z275" s="0" t="n">
        <f aca="false">I275-9</f>
        <v>50.2</v>
      </c>
      <c r="AB275" s="0" t="n">
        <f aca="false">IF(Z275&lt;0,Z275+360,Z275+0)</f>
        <v>50.2</v>
      </c>
    </row>
    <row r="276" customFormat="false" ht="15.8" hidden="false" customHeight="false" outlineLevel="0" collapsed="false">
      <c r="A276" s="1" t="n">
        <v>18</v>
      </c>
      <c r="B276" s="1" t="n">
        <v>6</v>
      </c>
      <c r="C276" s="1" t="n">
        <v>1.9</v>
      </c>
      <c r="D276" s="1" t="n">
        <v>1.0883</v>
      </c>
      <c r="E276" s="1" t="n">
        <v>0.0653659</v>
      </c>
      <c r="F276" s="1" t="n">
        <v>0.000178353</v>
      </c>
      <c r="G276" s="1" t="s">
        <v>37</v>
      </c>
      <c r="H276" s="1" t="n">
        <v>17.5</v>
      </c>
      <c r="I276" s="1" t="n">
        <v>59.5</v>
      </c>
      <c r="J276" s="1" t="n">
        <v>39.3</v>
      </c>
      <c r="K276" s="1" t="n">
        <v>39.6</v>
      </c>
      <c r="L276" s="1" t="n">
        <v>0</v>
      </c>
      <c r="M276" s="1" t="n">
        <v>0</v>
      </c>
      <c r="N276" s="1" t="s">
        <v>238</v>
      </c>
      <c r="Z276" s="0" t="n">
        <f aca="false">I276-9</f>
        <v>50.5</v>
      </c>
      <c r="AB276" s="0" t="n">
        <f aca="false">IF(Z276&lt;0,Z276+360,Z276+0)</f>
        <v>50.5</v>
      </c>
    </row>
    <row r="277" customFormat="false" ht="15.8" hidden="false" customHeight="false" outlineLevel="0" collapsed="false">
      <c r="A277" s="1" t="n">
        <v>18</v>
      </c>
      <c r="B277" s="1" t="n">
        <v>7</v>
      </c>
      <c r="C277" s="1" t="n">
        <v>1.9</v>
      </c>
      <c r="D277" s="1" t="n">
        <v>1.1049</v>
      </c>
      <c r="E277" s="1" t="n">
        <v>0.0650383</v>
      </c>
      <c r="F277" s="1" t="n">
        <v>0.000177459</v>
      </c>
      <c r="G277" s="1" t="s">
        <v>27</v>
      </c>
      <c r="H277" s="1" t="n">
        <v>31.1</v>
      </c>
      <c r="I277" s="1" t="n">
        <v>48.6</v>
      </c>
      <c r="J277" s="1" t="n">
        <v>0</v>
      </c>
      <c r="K277" s="1"/>
      <c r="L277" s="1" t="n">
        <v>0</v>
      </c>
      <c r="M277" s="1" t="n">
        <v>0</v>
      </c>
      <c r="N277" s="1" t="s">
        <v>239</v>
      </c>
      <c r="Z277" s="0" t="n">
        <f aca="false">I277-9</f>
        <v>39.6</v>
      </c>
      <c r="AB277" s="0" t="n">
        <f aca="false">IF(Z277&lt;0,Z277+360,Z277+0)</f>
        <v>39.6</v>
      </c>
    </row>
    <row r="278" customFormat="false" ht="15.8" hidden="false" customHeight="false" outlineLevel="0" collapsed="false">
      <c r="A278" s="1" t="n">
        <v>18</v>
      </c>
      <c r="B278" s="1" t="n">
        <v>8</v>
      </c>
      <c r="C278" s="1" t="n">
        <v>1.4</v>
      </c>
      <c r="D278" s="1" t="n">
        <v>1.0022</v>
      </c>
      <c r="E278" s="1" t="n">
        <v>0.0490857</v>
      </c>
      <c r="F278" s="1" t="n">
        <v>0.000133932</v>
      </c>
      <c r="G278" s="1" t="s">
        <v>27</v>
      </c>
      <c r="H278" s="1" t="n">
        <v>43.2</v>
      </c>
      <c r="I278" s="1" t="n">
        <v>308.8</v>
      </c>
      <c r="J278" s="1" t="n">
        <v>0</v>
      </c>
      <c r="K278" s="1"/>
      <c r="L278" s="1" t="n">
        <v>0</v>
      </c>
      <c r="M278" s="1" t="n">
        <v>0</v>
      </c>
      <c r="N278" s="1" t="s">
        <v>240</v>
      </c>
      <c r="Z278" s="0" t="n">
        <f aca="false">I278-9</f>
        <v>299.8</v>
      </c>
      <c r="AB278" s="0" t="n">
        <f aca="false">IF(Z278&lt;0,Z278+360,Z278+0)</f>
        <v>299.8</v>
      </c>
    </row>
    <row r="279" customFormat="false" ht="15.8" hidden="false" customHeight="false" outlineLevel="0" collapsed="false">
      <c r="A279" s="1" t="n">
        <v>18</v>
      </c>
      <c r="B279" s="1" t="n">
        <v>8</v>
      </c>
      <c r="C279" s="1" t="n">
        <v>1.4</v>
      </c>
      <c r="D279" s="1" t="n">
        <v>1.1575</v>
      </c>
      <c r="E279" s="1" t="n">
        <v>0.0466043</v>
      </c>
      <c r="F279" s="1" t="n">
        <v>0.000127162</v>
      </c>
      <c r="G279" s="1" t="s">
        <v>27</v>
      </c>
      <c r="H279" s="1" t="n">
        <v>87.6</v>
      </c>
      <c r="I279" s="1" t="n">
        <v>81.6</v>
      </c>
      <c r="J279" s="1" t="n">
        <v>18.4</v>
      </c>
      <c r="K279" s="1"/>
      <c r="L279" s="1" t="n">
        <v>0</v>
      </c>
      <c r="M279" s="1" t="n">
        <v>0</v>
      </c>
      <c r="N279" s="1" t="s">
        <v>240</v>
      </c>
      <c r="Z279" s="0" t="n">
        <f aca="false">I279-9</f>
        <v>72.6</v>
      </c>
      <c r="AB279" s="0" t="n">
        <f aca="false">IF(Z279&lt;0,Z279+360,Z279+0)</f>
        <v>72.6</v>
      </c>
    </row>
    <row r="280" customFormat="false" ht="15.8" hidden="false" customHeight="false" outlineLevel="0" collapsed="false">
      <c r="A280" s="1" t="n">
        <v>18</v>
      </c>
      <c r="B280" s="1" t="n">
        <v>7</v>
      </c>
      <c r="C280" s="1" t="n">
        <v>2.2</v>
      </c>
      <c r="D280" s="1" t="n">
        <v>1.217</v>
      </c>
      <c r="E280" s="1" t="n">
        <v>0.0752268</v>
      </c>
      <c r="F280" s="1" t="n">
        <v>0.000205259</v>
      </c>
      <c r="G280" s="1" t="s">
        <v>37</v>
      </c>
      <c r="H280" s="1" t="n">
        <v>35.7</v>
      </c>
      <c r="I280" s="1" t="n">
        <v>345.8</v>
      </c>
      <c r="J280" s="1" t="n">
        <v>24.2</v>
      </c>
      <c r="K280" s="1" t="n">
        <v>87.6</v>
      </c>
      <c r="L280" s="1" t="n">
        <v>0</v>
      </c>
      <c r="M280" s="1" t="n">
        <v>0</v>
      </c>
      <c r="N280" s="1" t="s">
        <v>239</v>
      </c>
      <c r="Z280" s="0" t="n">
        <f aca="false">I280-9</f>
        <v>336.8</v>
      </c>
      <c r="AB280" s="0" t="n">
        <f aca="false">IF(Z280&lt;0,Z280+360,Z280+0)</f>
        <v>336.8</v>
      </c>
    </row>
    <row r="281" customFormat="false" ht="15.8" hidden="false" customHeight="false" outlineLevel="0" collapsed="false">
      <c r="A281" s="1" t="n">
        <v>18</v>
      </c>
      <c r="B281" s="1" t="n">
        <v>6</v>
      </c>
      <c r="C281" s="1" t="n">
        <v>7.2</v>
      </c>
      <c r="D281" s="1" t="n">
        <v>1.1029</v>
      </c>
      <c r="E281" s="1" t="n">
        <v>0.248255</v>
      </c>
      <c r="F281" s="1" t="n">
        <v>0.000677371</v>
      </c>
      <c r="G281" s="1" t="s">
        <v>37</v>
      </c>
      <c r="H281" s="1" t="n">
        <v>36.5</v>
      </c>
      <c r="I281" s="1" t="n">
        <v>18.1</v>
      </c>
      <c r="J281" s="1" t="n">
        <v>6.5</v>
      </c>
      <c r="K281" s="1" t="n">
        <v>35.7</v>
      </c>
      <c r="L281" s="1" t="n">
        <v>0</v>
      </c>
      <c r="M281" s="1" t="n">
        <v>0</v>
      </c>
      <c r="N281" s="1" t="s">
        <v>238</v>
      </c>
      <c r="Z281" s="0" t="n">
        <f aca="false">I281-9</f>
        <v>9.1</v>
      </c>
      <c r="AB281" s="0" t="n">
        <f aca="false">IF(Z281&lt;0,Z281+360,Z281+0)</f>
        <v>9.1</v>
      </c>
    </row>
    <row r="282" customFormat="false" ht="15.8" hidden="false" customHeight="false" outlineLevel="0" collapsed="false">
      <c r="A282" s="1" t="n">
        <v>18</v>
      </c>
      <c r="B282" s="1" t="n">
        <v>7</v>
      </c>
      <c r="C282" s="1" t="n">
        <v>16.7</v>
      </c>
      <c r="D282" s="1" t="n">
        <v>1.119</v>
      </c>
      <c r="E282" s="1" t="n">
        <v>0.573286</v>
      </c>
      <c r="F282" s="1" t="n">
        <v>0.00156423</v>
      </c>
      <c r="G282" s="1" t="s">
        <v>27</v>
      </c>
      <c r="H282" s="1" t="n">
        <v>14.6</v>
      </c>
      <c r="I282" s="1" t="n">
        <v>208.2</v>
      </c>
      <c r="J282" s="1" t="n">
        <v>1.4</v>
      </c>
      <c r="K282" s="1"/>
      <c r="L282" s="1" t="n">
        <v>0</v>
      </c>
      <c r="M282" s="1" t="n">
        <v>0</v>
      </c>
      <c r="N282" s="1" t="s">
        <v>241</v>
      </c>
      <c r="Z282" s="0" t="n">
        <f aca="false">I282-9</f>
        <v>199.2</v>
      </c>
      <c r="AB282" s="0" t="n">
        <f aca="false">IF(Z282&lt;0,Z282+360,Z282+0)</f>
        <v>199.2</v>
      </c>
    </row>
    <row r="283" customFormat="false" ht="15.8" hidden="false" customHeight="false" outlineLevel="0" collapsed="false">
      <c r="A283" s="1" t="n">
        <v>18</v>
      </c>
      <c r="B283" s="1" t="n">
        <v>8</v>
      </c>
      <c r="C283" s="1" t="n">
        <v>4.5</v>
      </c>
      <c r="D283" s="1" t="n">
        <v>1.2237</v>
      </c>
      <c r="E283" s="1" t="n">
        <v>0.153653</v>
      </c>
      <c r="F283" s="1" t="n">
        <v>0.000419248</v>
      </c>
      <c r="G283" s="1" t="s">
        <v>27</v>
      </c>
      <c r="H283" s="1" t="n">
        <v>77.7</v>
      </c>
      <c r="I283" s="1" t="n">
        <v>273.5</v>
      </c>
      <c r="J283" s="1" t="n">
        <v>11.7</v>
      </c>
      <c r="K283" s="1"/>
      <c r="L283" s="1" t="n">
        <v>0</v>
      </c>
      <c r="M283" s="1" t="n">
        <v>0</v>
      </c>
      <c r="N283" s="1" t="s">
        <v>242</v>
      </c>
      <c r="Z283" s="0" t="n">
        <f aca="false">I283-9</f>
        <v>264.5</v>
      </c>
      <c r="AB283" s="0" t="n">
        <f aca="false">IF(Z283&lt;0,Z283+360,Z283+0)</f>
        <v>264.5</v>
      </c>
    </row>
    <row r="284" customFormat="false" ht="15.8" hidden="false" customHeight="false" outlineLevel="0" collapsed="false">
      <c r="A284" s="1" t="n">
        <v>18</v>
      </c>
      <c r="B284" s="1" t="n">
        <v>9</v>
      </c>
      <c r="C284" s="1" t="n">
        <v>1.6</v>
      </c>
      <c r="D284" s="1" t="n">
        <v>1.2554</v>
      </c>
      <c r="E284" s="1" t="n">
        <v>0.0538241</v>
      </c>
      <c r="F284" s="1" t="n">
        <v>0.000146861</v>
      </c>
      <c r="G284" s="1" t="s">
        <v>27</v>
      </c>
      <c r="H284" s="1" t="n">
        <v>52.3</v>
      </c>
      <c r="I284" s="1" t="n">
        <v>72.4</v>
      </c>
      <c r="J284" s="1" t="n">
        <v>36.3</v>
      </c>
      <c r="K284" s="1"/>
      <c r="L284" s="1" t="n">
        <v>0</v>
      </c>
      <c r="M284" s="1" t="n">
        <v>0</v>
      </c>
      <c r="N284" s="1" t="s">
        <v>243</v>
      </c>
      <c r="Z284" s="0" t="n">
        <f aca="false">I284-9</f>
        <v>63.4</v>
      </c>
      <c r="AB284" s="0" t="n">
        <f aca="false">IF(Z284&lt;0,Z284+360,Z284+0)</f>
        <v>63.4</v>
      </c>
    </row>
    <row r="285" customFormat="false" ht="15.8" hidden="false" customHeight="false" outlineLevel="0" collapsed="false">
      <c r="A285" s="1" t="n">
        <v>18</v>
      </c>
      <c r="B285" s="1" t="n">
        <v>9</v>
      </c>
      <c r="C285" s="1" t="n">
        <v>0.9</v>
      </c>
      <c r="D285" s="1" t="n">
        <v>1.0484</v>
      </c>
      <c r="E285" s="1" t="n">
        <v>0.0297408</v>
      </c>
      <c r="F285" s="1" t="n">
        <v>8.11489E-005</v>
      </c>
      <c r="G285" s="1" t="s">
        <v>27</v>
      </c>
      <c r="H285" s="1" t="n">
        <v>31.3</v>
      </c>
      <c r="I285" s="1" t="n">
        <v>149</v>
      </c>
      <c r="J285" s="1" t="n">
        <v>0</v>
      </c>
      <c r="K285" s="1"/>
      <c r="L285" s="1" t="n">
        <v>0</v>
      </c>
      <c r="M285" s="1" t="n">
        <v>0</v>
      </c>
      <c r="N285" s="1" t="s">
        <v>243</v>
      </c>
      <c r="Z285" s="0" t="n">
        <f aca="false">I285-9</f>
        <v>140</v>
      </c>
      <c r="AB285" s="0" t="n">
        <f aca="false">IF(Z285&lt;0,Z285+360,Z285+0)</f>
        <v>140</v>
      </c>
    </row>
    <row r="286" customFormat="false" ht="15.8" hidden="false" customHeight="false" outlineLevel="0" collapsed="false">
      <c r="A286" s="1" t="n">
        <v>18</v>
      </c>
      <c r="B286" s="1" t="n">
        <v>8</v>
      </c>
      <c r="C286" s="1" t="n">
        <v>2.8</v>
      </c>
      <c r="D286" s="1" t="n">
        <v>1.1809</v>
      </c>
      <c r="E286" s="1" t="n">
        <v>0.0958722</v>
      </c>
      <c r="F286" s="1" t="n">
        <v>0.00026159</v>
      </c>
      <c r="G286" s="1" t="s">
        <v>37</v>
      </c>
      <c r="H286" s="1" t="n">
        <v>60.8</v>
      </c>
      <c r="I286" s="1" t="n">
        <v>134.4</v>
      </c>
      <c r="J286" s="1" t="n">
        <v>28</v>
      </c>
      <c r="K286" s="1" t="n">
        <v>52.3</v>
      </c>
      <c r="L286" s="1" t="n">
        <v>0</v>
      </c>
      <c r="M286" s="1" t="n">
        <v>0</v>
      </c>
      <c r="N286" s="1" t="s">
        <v>242</v>
      </c>
      <c r="Z286" s="0" t="n">
        <f aca="false">I286-9</f>
        <v>125.4</v>
      </c>
      <c r="AB286" s="0" t="n">
        <f aca="false">IF(Z286&lt;0,Z286+360,Z286+0)</f>
        <v>125.4</v>
      </c>
    </row>
    <row r="287" customFormat="false" ht="15.8" hidden="false" customHeight="false" outlineLevel="0" collapsed="false">
      <c r="A287" s="1" t="n">
        <v>18</v>
      </c>
      <c r="B287" s="1" t="n">
        <v>7</v>
      </c>
      <c r="C287" s="1" t="n">
        <v>3.6</v>
      </c>
      <c r="D287" s="1" t="n">
        <v>1.1042</v>
      </c>
      <c r="E287" s="1" t="n">
        <v>0.122828</v>
      </c>
      <c r="F287" s="1" t="n">
        <v>0.000335142</v>
      </c>
      <c r="G287" s="1" t="s">
        <v>37</v>
      </c>
      <c r="H287" s="1" t="n">
        <v>24.9</v>
      </c>
      <c r="I287" s="1" t="n">
        <v>194.7</v>
      </c>
      <c r="J287" s="1" t="n">
        <v>6.5</v>
      </c>
      <c r="K287" s="1" t="n">
        <v>77.7</v>
      </c>
      <c r="L287" s="1" t="n">
        <v>0</v>
      </c>
      <c r="M287" s="1" t="n">
        <v>0</v>
      </c>
      <c r="N287" s="1" t="s">
        <v>241</v>
      </c>
      <c r="Z287" s="0" t="n">
        <f aca="false">I287-9</f>
        <v>185.7</v>
      </c>
      <c r="AB287" s="0" t="n">
        <f aca="false">IF(Z287&lt;0,Z287+360,Z287+0)</f>
        <v>185.7</v>
      </c>
    </row>
    <row r="288" customFormat="false" ht="15.8" hidden="false" customHeight="false" outlineLevel="0" collapsed="false">
      <c r="A288" s="1" t="n">
        <v>18</v>
      </c>
      <c r="B288" s="1" t="n">
        <v>6</v>
      </c>
      <c r="C288" s="1" t="n">
        <v>2.2</v>
      </c>
      <c r="D288" s="1" t="n">
        <v>1.0765</v>
      </c>
      <c r="E288" s="1" t="n">
        <v>0.0745083</v>
      </c>
      <c r="F288" s="1" t="n">
        <v>0.000203298</v>
      </c>
      <c r="G288" s="1" t="s">
        <v>37</v>
      </c>
      <c r="H288" s="1" t="n">
        <v>130.6</v>
      </c>
      <c r="I288" s="1" t="n">
        <v>219.6</v>
      </c>
      <c r="J288" s="1" t="n">
        <v>10.6</v>
      </c>
      <c r="K288" s="1" t="n">
        <v>24.9</v>
      </c>
      <c r="L288" s="1" t="n">
        <v>0</v>
      </c>
      <c r="M288" s="1" t="n">
        <v>0</v>
      </c>
      <c r="N288" s="1" t="s">
        <v>238</v>
      </c>
      <c r="Z288" s="0" t="n">
        <f aca="false">I288-9</f>
        <v>210.6</v>
      </c>
      <c r="AB288" s="0" t="n">
        <f aca="false">IF(Z288&lt;0,Z288+360,Z288+0)</f>
        <v>210.6</v>
      </c>
    </row>
    <row r="289" customFormat="false" ht="15.8" hidden="false" customHeight="false" outlineLevel="0" collapsed="false">
      <c r="A289" s="1" t="n">
        <v>18</v>
      </c>
      <c r="B289" s="1" t="n">
        <v>6</v>
      </c>
      <c r="C289" s="1" t="n">
        <v>6.3</v>
      </c>
      <c r="D289" s="1" t="n">
        <v>1.1566</v>
      </c>
      <c r="E289" s="1" t="n">
        <v>0.21728</v>
      </c>
      <c r="F289" s="1" t="n">
        <v>0.000592855</v>
      </c>
      <c r="G289" s="1" t="s">
        <v>27</v>
      </c>
      <c r="H289" s="1" t="n">
        <v>34.2</v>
      </c>
      <c r="I289" s="1" t="n">
        <v>354.7</v>
      </c>
      <c r="J289" s="1" t="n">
        <v>61.4</v>
      </c>
      <c r="K289" s="1"/>
      <c r="L289" s="1" t="n">
        <v>0</v>
      </c>
      <c r="M289" s="1" t="n">
        <v>0</v>
      </c>
      <c r="N289" s="1" t="s">
        <v>238</v>
      </c>
      <c r="Z289" s="0" t="n">
        <f aca="false">I289-9</f>
        <v>345.7</v>
      </c>
      <c r="AB289" s="0" t="n">
        <f aca="false">IF(Z289&lt;0,Z289+360,Z289+0)</f>
        <v>345.7</v>
      </c>
    </row>
    <row r="290" customFormat="false" ht="15.8" hidden="false" customHeight="false" outlineLevel="0" collapsed="false">
      <c r="A290" s="1" t="n">
        <v>18</v>
      </c>
      <c r="B290" s="1" t="n">
        <v>7</v>
      </c>
      <c r="C290" s="1" t="n">
        <v>4.5</v>
      </c>
      <c r="D290" s="1" t="n">
        <v>1.1025</v>
      </c>
      <c r="E290" s="1" t="n">
        <v>0.153823</v>
      </c>
      <c r="F290" s="1" t="n">
        <v>0.00041971</v>
      </c>
      <c r="G290" s="1" t="s">
        <v>27</v>
      </c>
      <c r="H290" s="1" t="n">
        <v>25.9</v>
      </c>
      <c r="I290" s="1" t="n">
        <v>177.7</v>
      </c>
      <c r="J290" s="1" t="n">
        <v>5.2</v>
      </c>
      <c r="K290" s="1"/>
      <c r="L290" s="1" t="n">
        <v>0</v>
      </c>
      <c r="M290" s="1" t="n">
        <v>0</v>
      </c>
      <c r="N290" s="1" t="s">
        <v>244</v>
      </c>
      <c r="Z290" s="0" t="n">
        <f aca="false">I290-9</f>
        <v>168.7</v>
      </c>
      <c r="AB290" s="0" t="n">
        <f aca="false">IF(Z290&lt;0,Z290+360,Z290+0)</f>
        <v>168.7</v>
      </c>
    </row>
    <row r="291" customFormat="false" ht="15.8" hidden="false" customHeight="false" outlineLevel="0" collapsed="false">
      <c r="A291" s="1" t="n">
        <v>18</v>
      </c>
      <c r="B291" s="1" t="n">
        <v>7</v>
      </c>
      <c r="C291" s="1" t="n">
        <v>2.4</v>
      </c>
      <c r="D291" s="1" t="n">
        <v>1.2938</v>
      </c>
      <c r="E291" s="1" t="n">
        <v>0.0812091</v>
      </c>
      <c r="F291" s="1" t="n">
        <v>0.000221582</v>
      </c>
      <c r="G291" s="1" t="s">
        <v>27</v>
      </c>
      <c r="H291" s="1" t="n">
        <v>60.4</v>
      </c>
      <c r="I291" s="1" t="n">
        <v>249.4</v>
      </c>
      <c r="J291" s="1" t="n">
        <v>0</v>
      </c>
      <c r="K291" s="1"/>
      <c r="L291" s="1" t="n">
        <v>0</v>
      </c>
      <c r="M291" s="1" t="n">
        <v>0</v>
      </c>
      <c r="N291" s="1" t="s">
        <v>244</v>
      </c>
      <c r="Z291" s="0" t="n">
        <f aca="false">I291-9</f>
        <v>240.4</v>
      </c>
      <c r="AB291" s="0" t="n">
        <f aca="false">IF(Z291&lt;0,Z291+360,Z291+0)</f>
        <v>240.4</v>
      </c>
    </row>
    <row r="292" customFormat="false" ht="15.8" hidden="false" customHeight="false" outlineLevel="0" collapsed="false">
      <c r="A292" s="1" t="n">
        <v>18</v>
      </c>
      <c r="B292" s="1" t="n">
        <v>6</v>
      </c>
      <c r="C292" s="1" t="n">
        <v>11</v>
      </c>
      <c r="D292" s="1" t="n">
        <v>1.2058</v>
      </c>
      <c r="E292" s="1" t="n">
        <v>0.375778</v>
      </c>
      <c r="F292" s="1" t="n">
        <v>0.00102532</v>
      </c>
      <c r="G292" s="1" t="s">
        <v>37</v>
      </c>
      <c r="H292" s="1" t="n">
        <v>110.8</v>
      </c>
      <c r="I292" s="1" t="n">
        <v>193</v>
      </c>
      <c r="J292" s="1" t="n">
        <v>26.6</v>
      </c>
      <c r="K292" s="1" t="n">
        <v>60.4</v>
      </c>
      <c r="L292" s="1" t="n">
        <v>0</v>
      </c>
      <c r="M292" s="1" t="n">
        <v>0</v>
      </c>
      <c r="N292" s="1" t="s">
        <v>238</v>
      </c>
      <c r="Z292" s="0" t="n">
        <f aca="false">I292-9</f>
        <v>184</v>
      </c>
      <c r="AB292" s="0" t="n">
        <f aca="false">IF(Z292&lt;0,Z292+360,Z292+0)</f>
        <v>184</v>
      </c>
    </row>
    <row r="293" customFormat="false" ht="15.8" hidden="false" customHeight="false" outlineLevel="0" collapsed="false">
      <c r="A293" s="1" t="n">
        <v>18</v>
      </c>
      <c r="B293" s="1" t="n">
        <v>5</v>
      </c>
      <c r="C293" s="1" t="n">
        <v>2.7</v>
      </c>
      <c r="D293" s="1" t="n">
        <v>1.1425</v>
      </c>
      <c r="E293" s="1" t="n">
        <v>0.0924953</v>
      </c>
      <c r="F293" s="1" t="n">
        <v>0.000252377</v>
      </c>
      <c r="G293" s="1" t="s">
        <v>37</v>
      </c>
      <c r="H293" s="1" t="n">
        <v>63.9</v>
      </c>
      <c r="I293" s="1" t="n">
        <v>36.9</v>
      </c>
      <c r="J293" s="1" t="n">
        <v>38.8</v>
      </c>
      <c r="K293" s="1" t="n">
        <v>130.6</v>
      </c>
      <c r="L293" s="1" t="n">
        <v>0</v>
      </c>
      <c r="M293" s="1" t="n">
        <v>0</v>
      </c>
      <c r="N293" s="1" t="s">
        <v>245</v>
      </c>
      <c r="Z293" s="0" t="n">
        <f aca="false">I293-9</f>
        <v>27.9</v>
      </c>
      <c r="AB293" s="0" t="n">
        <f aca="false">IF(Z293&lt;0,Z293+360,Z293+0)</f>
        <v>27.9</v>
      </c>
    </row>
    <row r="294" customFormat="false" ht="15.8" hidden="false" customHeight="false" outlineLevel="0" collapsed="false">
      <c r="A294" s="1" t="n">
        <v>18</v>
      </c>
      <c r="B294" s="1" t="n">
        <v>5</v>
      </c>
      <c r="C294" s="1" t="n">
        <v>7.6</v>
      </c>
      <c r="D294" s="1" t="n">
        <v>1.2961</v>
      </c>
      <c r="E294" s="1" t="n">
        <v>0.259041</v>
      </c>
      <c r="F294" s="1" t="n">
        <v>0.000706802</v>
      </c>
      <c r="G294" s="1" t="s">
        <v>27</v>
      </c>
      <c r="H294" s="1" t="n">
        <v>139.9</v>
      </c>
      <c r="I294" s="1" t="n">
        <v>157.4</v>
      </c>
      <c r="J294" s="1" t="n">
        <v>-3.6</v>
      </c>
      <c r="K294" s="1"/>
      <c r="L294" s="1" t="n">
        <v>0</v>
      </c>
      <c r="M294" s="1" t="n">
        <v>0</v>
      </c>
      <c r="N294" s="1" t="s">
        <v>245</v>
      </c>
      <c r="Z294" s="0" t="n">
        <f aca="false">I294-9</f>
        <v>148.4</v>
      </c>
      <c r="AB294" s="0" t="n">
        <f aca="false">IF(Z294&lt;0,Z294+360,Z294+0)</f>
        <v>148.4</v>
      </c>
    </row>
    <row r="295" customFormat="false" ht="15.8" hidden="false" customHeight="false" outlineLevel="0" collapsed="false">
      <c r="A295" s="1" t="n">
        <v>18</v>
      </c>
      <c r="B295" s="1" t="n">
        <v>6</v>
      </c>
      <c r="C295" s="1" t="n">
        <v>0.8</v>
      </c>
      <c r="D295" s="1" t="n">
        <v>1.0043</v>
      </c>
      <c r="E295" s="1" t="n">
        <v>0.0265034</v>
      </c>
      <c r="F295" s="1" t="n">
        <v>7.23155E-005</v>
      </c>
      <c r="G295" s="1" t="s">
        <v>27</v>
      </c>
      <c r="H295" s="1" t="n">
        <v>25</v>
      </c>
      <c r="I295" s="1" t="n">
        <v>18.2</v>
      </c>
      <c r="J295" s="1" t="n">
        <v>0</v>
      </c>
      <c r="K295" s="1"/>
      <c r="L295" s="1" t="n">
        <v>0</v>
      </c>
      <c r="M295" s="1" t="n">
        <v>0</v>
      </c>
      <c r="N295" s="1" t="s">
        <v>246</v>
      </c>
      <c r="Z295" s="0" t="n">
        <f aca="false">I295-9</f>
        <v>9.2</v>
      </c>
      <c r="AB295" s="0" t="n">
        <f aca="false">IF(Z295&lt;0,Z295+360,Z295+0)</f>
        <v>9.2</v>
      </c>
    </row>
    <row r="296" customFormat="false" ht="15.8" hidden="false" customHeight="false" outlineLevel="0" collapsed="false">
      <c r="A296" s="1" t="n">
        <v>18</v>
      </c>
      <c r="B296" s="1" t="n">
        <v>6</v>
      </c>
      <c r="C296" s="1" t="n">
        <v>2.1</v>
      </c>
      <c r="D296" s="1" t="n">
        <v>1.1686</v>
      </c>
      <c r="E296" s="1" t="n">
        <v>0.071549</v>
      </c>
      <c r="F296" s="1" t="n">
        <v>0.000195224</v>
      </c>
      <c r="G296" s="1" t="s">
        <v>27</v>
      </c>
      <c r="H296" s="1" t="n">
        <v>69.7</v>
      </c>
      <c r="I296" s="1" t="n">
        <v>279.2</v>
      </c>
      <c r="J296" s="1" t="n">
        <v>-59</v>
      </c>
      <c r="K296" s="1"/>
      <c r="L296" s="1" t="n">
        <v>0</v>
      </c>
      <c r="M296" s="1" t="n">
        <v>0</v>
      </c>
      <c r="N296" s="1" t="s">
        <v>246</v>
      </c>
      <c r="Z296" s="0" t="n">
        <f aca="false">I296-9</f>
        <v>270.2</v>
      </c>
      <c r="AB296" s="0" t="n">
        <f aca="false">IF(Z296&lt;0,Z296+360,Z296+0)</f>
        <v>270.2</v>
      </c>
    </row>
    <row r="297" customFormat="false" ht="15.8" hidden="false" customHeight="false" outlineLevel="0" collapsed="false">
      <c r="A297" s="1" t="n">
        <v>18</v>
      </c>
      <c r="B297" s="1" t="n">
        <v>5</v>
      </c>
      <c r="C297" s="1" t="n">
        <v>7.8</v>
      </c>
      <c r="D297" s="1" t="n">
        <v>1.1991</v>
      </c>
      <c r="E297" s="1" t="n">
        <v>0.267622</v>
      </c>
      <c r="F297" s="1" t="n">
        <v>0.000730216</v>
      </c>
      <c r="G297" s="1" t="s">
        <v>37</v>
      </c>
      <c r="H297" s="1" t="n">
        <v>73.7</v>
      </c>
      <c r="I297" s="1" t="n">
        <v>2.8</v>
      </c>
      <c r="J297" s="1" t="n">
        <v>-19.9</v>
      </c>
      <c r="K297" s="1" t="n">
        <v>69.7</v>
      </c>
      <c r="L297" s="1" t="n">
        <v>0</v>
      </c>
      <c r="M297" s="1" t="n">
        <v>0</v>
      </c>
      <c r="N297" s="1" t="s">
        <v>245</v>
      </c>
      <c r="Z297" s="0" t="n">
        <f aca="false">I297-9</f>
        <v>-6.2</v>
      </c>
      <c r="AB297" s="0" t="n">
        <f aca="false">IF(Z297&lt;0,Z297+360,Z297+0)</f>
        <v>353.8</v>
      </c>
    </row>
    <row r="298" customFormat="false" ht="15.8" hidden="false" customHeight="false" outlineLevel="0" collapsed="false">
      <c r="A298" s="1" t="n">
        <v>18</v>
      </c>
      <c r="B298" s="1" t="n">
        <v>4</v>
      </c>
      <c r="C298" s="1" t="n">
        <v>2.2</v>
      </c>
      <c r="D298" s="1" t="n">
        <v>1.1833</v>
      </c>
      <c r="E298" s="1" t="n">
        <v>0.0752223</v>
      </c>
      <c r="F298" s="1" t="n">
        <v>0.000205247</v>
      </c>
      <c r="G298" s="1" t="s">
        <v>37</v>
      </c>
      <c r="H298" s="1" t="n">
        <v>83.7</v>
      </c>
      <c r="I298" s="1" t="n">
        <v>312.9</v>
      </c>
      <c r="J298" s="1" t="n">
        <v>36.8</v>
      </c>
      <c r="K298" s="1" t="n">
        <v>139.9</v>
      </c>
      <c r="L298" s="1" t="n">
        <v>0</v>
      </c>
      <c r="M298" s="1" t="n">
        <v>0</v>
      </c>
      <c r="N298" s="1" t="s">
        <v>229</v>
      </c>
      <c r="Z298" s="0" t="n">
        <f aca="false">I298-9</f>
        <v>303.9</v>
      </c>
      <c r="AB298" s="0" t="n">
        <f aca="false">IF(Z298&lt;0,Z298+360,Z298+0)</f>
        <v>303.9</v>
      </c>
    </row>
    <row r="299" customFormat="false" ht="15.8" hidden="false" customHeight="false" outlineLevel="0" collapsed="false">
      <c r="A299" s="1" t="n">
        <v>18</v>
      </c>
      <c r="B299" s="1" t="n">
        <v>3</v>
      </c>
      <c r="C299" s="1" t="n">
        <v>3.8</v>
      </c>
      <c r="D299" s="1" t="n">
        <v>1.2061</v>
      </c>
      <c r="E299" s="1" t="n">
        <v>0.129561</v>
      </c>
      <c r="F299" s="1" t="n">
        <v>0.00035351</v>
      </c>
      <c r="G299" s="1" t="s">
        <v>37</v>
      </c>
      <c r="H299" s="1" t="n">
        <v>36.9</v>
      </c>
      <c r="I299" s="1" t="n">
        <v>156.8</v>
      </c>
      <c r="J299" s="1" t="n">
        <v>57.4</v>
      </c>
      <c r="K299" s="1" t="n">
        <v>83.7</v>
      </c>
      <c r="L299" s="1" t="n">
        <v>0</v>
      </c>
      <c r="M299" s="1" t="n">
        <v>0</v>
      </c>
      <c r="N299" s="1" t="s">
        <v>222</v>
      </c>
      <c r="Z299" s="0" t="n">
        <f aca="false">I299-9</f>
        <v>147.8</v>
      </c>
      <c r="AB299" s="0" t="n">
        <f aca="false">IF(Z299&lt;0,Z299+360,Z299+0)</f>
        <v>147.8</v>
      </c>
    </row>
    <row r="300" customFormat="false" ht="15.8" hidden="false" customHeight="false" outlineLevel="0" collapsed="false">
      <c r="A300" s="1" t="n">
        <v>18</v>
      </c>
      <c r="B300" s="1" t="n">
        <v>2</v>
      </c>
      <c r="C300" s="1" t="n">
        <v>2.1</v>
      </c>
      <c r="D300" s="1" t="n">
        <v>1.2305</v>
      </c>
      <c r="E300" s="1" t="n">
        <v>0.0709484</v>
      </c>
      <c r="F300" s="1" t="n">
        <v>0.000193585</v>
      </c>
      <c r="G300" s="1" t="s">
        <v>37</v>
      </c>
      <c r="H300" s="1" t="n">
        <v>23</v>
      </c>
      <c r="I300" s="1" t="n">
        <v>184.1</v>
      </c>
      <c r="J300" s="1" t="n">
        <v>26.1</v>
      </c>
      <c r="K300" s="1" t="n">
        <v>94.2</v>
      </c>
      <c r="L300" s="1" t="n">
        <v>0</v>
      </c>
      <c r="M300" s="1" t="n">
        <v>0</v>
      </c>
      <c r="N300" s="1" t="s">
        <v>221</v>
      </c>
      <c r="Z300" s="0" t="n">
        <f aca="false">I300-9</f>
        <v>175.1</v>
      </c>
      <c r="AB300" s="0" t="n">
        <f aca="false">IF(Z300&lt;0,Z300+360,Z300+0)</f>
        <v>175.1</v>
      </c>
    </row>
    <row r="301" customFormat="false" ht="15.8" hidden="false" customHeight="false" outlineLevel="0" collapsed="false">
      <c r="A301" s="1" t="n">
        <v>18</v>
      </c>
      <c r="B301" s="1" t="n">
        <v>1</v>
      </c>
      <c r="C301" s="1" t="n">
        <v>2.3</v>
      </c>
      <c r="D301" s="1" t="n">
        <v>1.1808</v>
      </c>
      <c r="E301" s="1" t="n">
        <v>0.0797601</v>
      </c>
      <c r="F301" s="1" t="n">
        <v>0.000217628</v>
      </c>
      <c r="G301" s="1" t="s">
        <v>37</v>
      </c>
      <c r="H301" s="1"/>
      <c r="I301" s="1" t="n">
        <v>166</v>
      </c>
      <c r="J301" s="1" t="n">
        <v>10.8</v>
      </c>
      <c r="K301" s="1" t="n">
        <v>23</v>
      </c>
      <c r="L301" s="1" t="n">
        <v>0</v>
      </c>
      <c r="M301" s="1" t="n">
        <v>0</v>
      </c>
      <c r="N301" s="1" t="s">
        <v>247</v>
      </c>
      <c r="Z301" s="0" t="n">
        <f aca="false">I301-9</f>
        <v>157</v>
      </c>
      <c r="AB301" s="0" t="n">
        <f aca="false">IF(Z301&lt;0,Z301+360,Z301+0)</f>
        <v>157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1589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2017-05-19T19:05:37Z</dcterms:created>
  <dc:language>en-US</dc:language>
  <dcterms:modified xsi:type="dcterms:W3CDTF">2017-09-27T21:48:09Z</dcterms:modified>
  <cp:revision>5</cp:revision>
</cp:coreProperties>
</file>