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<sst xmlns="http://schemas.openxmlformats.org/spreadsheetml/2006/main" count="1354" uniqueCount="390">
  <si>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</si>
  <si>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</si>
  <si>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</si>
  <si>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</si>
  <si>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</si>
  <si>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</si>
  <si>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</si>
  <si>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</si>
  <si>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</si>
  <si>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</si>
  <si>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</si>
  <si>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</si>
  <si>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</si>
  <si>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</si>
  <si>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</si>
  <si>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</si>
  <si>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</si>
  <si>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</si>
  <si>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</si>
  <si>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</si>
  <si>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</si>
  <si>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</si>
  <si>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</si>
  <si>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</si>
  <si>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</si>
  <si>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</si>
  <si>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</si>
  <si>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</si>
  <si>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(50.82, -67.72, -10.89)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</si>
  <si>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</si>
  <si>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</si>
  <si>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</si>
  <si>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</si>
  <si>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</si>
  <si>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</si>
  <si>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</si>
  <si>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</si>
  <si>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(49.29, -67.91, -10.56)</t>
  </si>
  <si>
    <t>[60:45]</t>
  </si>
  <si>
    <t>&gt;45 R</t>
  </si>
  <si>
    <t>-60,-45 R</t>
  </si>
  <si>
    <t>[30:45)</t>
  </si>
  <si>
    <t>(49.10, -68.02, -10.56)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</si>
  <si>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</si>
  <si>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</si>
  <si>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</si>
  <si>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</si>
  <si>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</si>
  <si>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</si>
  <si>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</si>
  <si>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</si>
  <si>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(48.04, -68.93, -9.90)</t>
  </si>
  <si>
    <t>[15:0]</t>
  </si>
  <si>
    <t>&gt;0 R</t>
  </si>
  <si>
    <t>-15,0 R</t>
  </si>
  <si>
    <t>[75:90)</t>
  </si>
  <si>
    <t>[0]</t>
  </si>
  <si>
    <t>&gt;-15 R</t>
  </si>
  <si>
    <t>0,15 R</t>
  </si>
  <si>
    <t>Branch</t>
  </si>
  <si>
    <t>(48.09, -68.14, -10.56)</t>
  </si>
  <si>
    <t>[0:15]</t>
  </si>
  <si>
    <t>&gt;-30 R</t>
  </si>
  <si>
    <t>15,30 R</t>
  </si>
  <si>
    <t>Sum</t>
  </si>
  <si>
    <t>(46.71, -65.50, -11.88)</t>
  </si>
  <si>
    <t>[15:30]</t>
  </si>
  <si>
    <t>&gt;-45 R</t>
  </si>
  <si>
    <t>30,45 R</t>
  </si>
  <si>
    <t>(45.82, -65.04, -12.21)</t>
  </si>
  <si>
    <t>[30:45]</t>
  </si>
  <si>
    <t>&gt;-60 R</t>
  </si>
  <si>
    <t>45,60 R</t>
  </si>
  <si>
    <t>(44.07, -64.52, -14.52)</t>
  </si>
  <si>
    <t>[45:60]</t>
  </si>
  <si>
    <t>&gt;-75 R</t>
  </si>
  <si>
    <t>60,75 R</t>
  </si>
  <si>
    <t>(42.22, -61.99, -17.16)</t>
  </si>
  <si>
    <t>[60:75]</t>
  </si>
  <si>
    <t> &gt;-90 R</t>
  </si>
  <si>
    <t> 75,90 R</t>
  </si>
  <si>
    <t>[75:90]</t>
  </si>
  <si>
    <t>&gt;-90 L</t>
  </si>
  <si>
    <t>90,75 L</t>
  </si>
  <si>
    <t>(42.66, -61.91, -16.83)</t>
  </si>
  <si>
    <t>&gt;-75 L</t>
  </si>
  <si>
    <t>75,60 L</t>
  </si>
  <si>
    <t>&gt;-60 L</t>
  </si>
  <si>
    <t>60,45 L</t>
  </si>
  <si>
    <t>&gt;-45 L</t>
  </si>
  <si>
    <t>45,30 L</t>
  </si>
  <si>
    <t>&gt;-30 L</t>
  </si>
  <si>
    <t>30,15 L</t>
  </si>
  <si>
    <t>&gt;-15 L</t>
  </si>
  <si>
    <t>15,0 L</t>
  </si>
  <si>
    <t>&gt;0 L</t>
  </si>
  <si>
    <t>0,-15 L</t>
  </si>
  <si>
    <t>(47.32, -68.08, -10.56)</t>
  </si>
  <si>
    <t>&gt;15 L</t>
  </si>
  <si>
    <t>-15,-30 L</t>
  </si>
  <si>
    <t>(46.16, -67.95, -10.89)</t>
  </si>
  <si>
    <t>&gt;30 L</t>
  </si>
  <si>
    <t>-30,-45 L</t>
  </si>
  <si>
    <t>&gt;45 L</t>
  </si>
  <si>
    <t>-45,-60 L</t>
  </si>
  <si>
    <t>(45.05, -69.77, -10.89)</t>
  </si>
  <si>
    <t>&gt;60 L</t>
  </si>
  <si>
    <t>-60,-75 L</t>
  </si>
  <si>
    <t>(43.45, -78.93, -11.88)</t>
  </si>
  <si>
    <t>&gt;75 L</t>
  </si>
  <si>
    <t>-75,-90 L</t>
  </si>
  <si>
    <t>(43.28, -80.19, -12.21)</t>
  </si>
  <si>
    <t>Total</t>
  </si>
  <si>
    <t>Count</t>
  </si>
  <si>
    <t>Total L</t>
  </si>
  <si>
    <t>(44.81, -69.17, -10.89)</t>
  </si>
  <si>
    <t>(34.90, -67.51, -10.56)</t>
  </si>
  <si>
    <t>(32.33, -67.64, -11.22)</t>
  </si>
  <si>
    <t>(31.82, -67.32, -11.88)</t>
  </si>
  <si>
    <t>(32.96, -67.41, -9.57)</t>
  </si>
  <si>
    <t>(28.91, -68.25, -9.24)</t>
  </si>
  <si>
    <t>(19.41, -67.85, -7.26)</t>
  </si>
  <si>
    <t>(18.43, -67.65, -6.93)</t>
  </si>
  <si>
    <t>(17.49, -67.11, -6.60)</t>
  </si>
  <si>
    <t>(17.06, -66.33, -5.61)</t>
  </si>
  <si>
    <t>(17.73, -66.98, -4.62)</t>
  </si>
  <si>
    <t>(17.14, -66.31, -4.95)</t>
  </si>
  <si>
    <t>(40.71, -67.01, -10.23)</t>
  </si>
  <si>
    <t>(40.39, -66.00, -9.90)</t>
  </si>
  <si>
    <t>(43.74, -69.28, -10.89)</t>
  </si>
  <si>
    <t>(43.36, -69.80, -10.89)</t>
  </si>
  <si>
    <t>(38.63, -71.55, -10.56)</t>
  </si>
  <si>
    <t>(34.07, -71.55, -9.90)</t>
  </si>
  <si>
    <t>(41.66, -71.15, -11.55)</t>
  </si>
  <si>
    <t>(41.76, -71.22, -12.54)</t>
  </si>
  <si>
    <t>(39.68, -72.34, -13.53)</t>
  </si>
  <si>
    <t>(39.45, -72.58, -13.20)</t>
  </si>
  <si>
    <t>(41.88, -71.53, -12.87)</t>
  </si>
  <si>
    <t>(41.98, -71.79, -13.53)</t>
  </si>
  <si>
    <t>(43.05, -71.56, -14.19)</t>
  </si>
  <si>
    <t>(44.28, -71.71, -14.19)</t>
  </si>
  <si>
    <t>(53.93, -66.46, -10.89)</t>
  </si>
  <si>
    <t>(55.17, -67.13, -10.56)</t>
  </si>
  <si>
    <t>(57.03, -68.03, -10.56)</t>
  </si>
  <si>
    <t>(57.18, -67.06, -10.56)</t>
  </si>
  <si>
    <t>(58.75, -66.98, -10.89)</t>
  </si>
  <si>
    <t>(56.23, -41.55, -11.55)</t>
  </si>
  <si>
    <t>(56.02, -40.54, -11.55)</t>
  </si>
  <si>
    <t>(57.74, -39.78, -10.89)</t>
  </si>
  <si>
    <t>(58.85, -38.57, -9.90)</t>
  </si>
  <si>
    <t>(59.15, -37.96, -9.57)</t>
  </si>
  <si>
    <t>(56.41, -39.94, -10.89)</t>
  </si>
  <si>
    <t>(58.39, -37.70, -11.55)</t>
  </si>
  <si>
    <t>(58.65, -37.31, -11.55)</t>
  </si>
  <si>
    <t>(62.23, -36.91, -12.21)</t>
  </si>
  <si>
    <t>(67.69, -36.15, -13.20)</t>
  </si>
  <si>
    <t>(55.36, -39.33, -10.89)</t>
  </si>
  <si>
    <t>(53.31, -39.38, -10.89)</t>
  </si>
  <si>
    <t>(52.49, -39.52, -10.23)</t>
  </si>
  <si>
    <t>(51.15, -39.60, -9.90)</t>
  </si>
  <si>
    <t>(48.87, -39.97, -10.23)</t>
  </si>
  <si>
    <t>(44.20, -40.57, -8.91)</t>
  </si>
  <si>
    <t>(41.63, -41.40, -8.58)</t>
  </si>
  <si>
    <t>(35.61, -41.54, -7.92)</t>
  </si>
  <si>
    <t>(35.05, -41.66, -7.92)</t>
  </si>
  <si>
    <t>(34.81, -42.20, -8.58)</t>
  </si>
  <si>
    <t>(36.76, -43.35, -8.91)</t>
  </si>
  <si>
    <t>(58.08, -50.84, -10.23)</t>
  </si>
  <si>
    <t>(57.37, -52.03, -9.57)</t>
  </si>
  <si>
    <t>(53.11, -51.90, -9.57)</t>
  </si>
  <si>
    <t>(48.59, -50.97, -9.57)</t>
  </si>
  <si>
    <t>(47.46, -51.27, -9.90)</t>
  </si>
  <si>
    <t>(49.50, -51.85, -9.24)</t>
  </si>
  <si>
    <t>(47.94, -52.85, -9.24)</t>
  </si>
  <si>
    <t>(44.99, -53.18, -9.57)</t>
  </si>
  <si>
    <t>(41.57, -54.55, -9.24)</t>
  </si>
  <si>
    <t>(37.08, -55.23, -9.24)</t>
  </si>
  <si>
    <t>(33.25, -55.02, -9.24)</t>
  </si>
  <si>
    <t>(31.98, -55.33, -9.24)</t>
  </si>
  <si>
    <t>(27.49, -55.09, -9.24)</t>
  </si>
  <si>
    <t>(22.77, -56.50, -8.91)</t>
  </si>
  <si>
    <t>(16.32, -57.28, -9.57)</t>
  </si>
  <si>
    <t>(13.98, -57.33, -9.24)</t>
  </si>
  <si>
    <t>(41.89, -53.45, -9.24)</t>
  </si>
  <si>
    <t>(40.70, -54.01, -9.24)</t>
  </si>
  <si>
    <t>(38.90, -54.52, -9.24)</t>
  </si>
  <si>
    <t>(62.39, -56.57, -10.23)</t>
  </si>
  <si>
    <t>(71.39, -55.66, -10.23)</t>
  </si>
  <si>
    <t>(68.81, -58.16, -12.21)</t>
  </si>
  <si>
    <t>(74.99, -53.40, -10.89)</t>
  </si>
  <si>
    <t>(78.13, -55.13, -13.20)</t>
  </si>
  <si>
    <t>(80.77, -52.81, -12.87)</t>
  </si>
  <si>
    <t>(80.87, -54.05, -13.86)</t>
  </si>
  <si>
    <t>(79.03, -55.73, -14.19)</t>
  </si>
  <si>
    <t>(80.07, -55.29, -13.86)</t>
  </si>
  <si>
    <t>(80.60, -55.06, -13.86)</t>
  </si>
  <si>
    <t>(80.74, -52.39, -11.88)</t>
  </si>
  <si>
    <t>(100.28, -45.15, -15.18)</t>
  </si>
  <si>
    <t>(97.40, -45.32, -15.18)</t>
  </si>
  <si>
    <t>(91.73, -47.06, -13.53)</t>
  </si>
  <si>
    <t>(87.64, -50.30, -12.87)</t>
  </si>
  <si>
    <t>(86.72, -50.64, -12.54)</t>
  </si>
  <si>
    <t>(86.02, -51.11, -12.54)</t>
  </si>
  <si>
    <t>(85.98, -51.53, -12.87)</t>
  </si>
  <si>
    <t>(83.82, -51.30, -11.88)</t>
  </si>
  <si>
    <t>(83.28, -50.74, -11.88)</t>
  </si>
  <si>
    <t>(83.22, -51.39, -11.88)</t>
  </si>
  <si>
    <t>(81.84, -51.67, -11.88)</t>
  </si>
  <si>
    <t>(76.68, -53.14, -10.89)</t>
  </si>
  <si>
    <t>(96.21, -54.99, -12.21)</t>
  </si>
  <si>
    <t>(96.54, -56.86, -12.54)</t>
  </si>
  <si>
    <t>(97.73, -55.82, -12.54)</t>
  </si>
  <si>
    <t>(98.45, -55.95, -12.87)</t>
  </si>
  <si>
    <t>(99.21, -56.23, -12.87)</t>
  </si>
  <si>
    <t>(98.02, -56.80, -12.54)</t>
  </si>
  <si>
    <t>(93.62, -54.56, -12.54)</t>
  </si>
  <si>
    <t>(88.41, -54.22, -11.22)</t>
  </si>
  <si>
    <t>(89.39, -53.50, -11.22)</t>
  </si>
  <si>
    <t>(98.71, -47.34, -10.23)</t>
  </si>
  <si>
    <t>(95.46, -48.72, -10.23)</t>
  </si>
  <si>
    <t>(95.07, -49.58, -10.23)</t>
  </si>
  <si>
    <t>(94.93, -49.56, -9.57)</t>
  </si>
  <si>
    <t>(94.58, -49.18, -8.91)</t>
  </si>
  <si>
    <t>(92.84, -51.00, -9.90)</t>
  </si>
  <si>
    <t>(86.66, -54.37, -10.89)</t>
  </si>
  <si>
    <t>(88.89, -55.55, -9.57)</t>
  </si>
  <si>
    <t>(85.59, -54.21, -10.89)</t>
  </si>
  <si>
    <t>(81.72, -54.86, -10.56)</t>
  </si>
  <si>
    <t>(81.32, -56.46, -9.90)</t>
  </si>
  <si>
    <t>(81.63, -59.66, -9.24)</t>
  </si>
  <si>
    <t>(79.12, -54.87, -10.89)</t>
  </si>
  <si>
    <t>(82.68, -56.42, -14.85)</t>
  </si>
  <si>
    <t>(80.86, -58.89, -12.87)</t>
  </si>
  <si>
    <t>(79.43, -58.21, -12.87)</t>
  </si>
  <si>
    <t>(75.83, -54.12, -10.56)</t>
  </si>
  <si>
    <t>(71.71, -54.84, -10.56)</t>
  </si>
  <si>
    <t>(83.53, -40.09, -7.26)</t>
  </si>
  <si>
    <t>(84.66, -41.02, -6.60)</t>
  </si>
  <si>
    <t>(86.63, -28.94, -3.96)</t>
  </si>
  <si>
    <t>(86.28, -30.75, -3.63)</t>
  </si>
  <si>
    <t>(87.51, -31.44, -2.97)</t>
  </si>
  <si>
    <t>(87.60, -32.91, -2.97)</t>
  </si>
  <si>
    <t>(88.91, -35.09, -2.97)</t>
  </si>
  <si>
    <t>(96.70, -30.75, -3.30)</t>
  </si>
  <si>
    <t>(91.95, -31.68, -3.63)</t>
  </si>
  <si>
    <t>(91.57, -33.80, -2.97)</t>
  </si>
  <si>
    <t>(90.50, -34.19, -2.97)</t>
  </si>
  <si>
    <t>(88.20, -37.90, -4.29)</t>
  </si>
  <si>
    <t>(91.99, -37.17, -4.29)</t>
  </si>
  <si>
    <t>(90.54, -37.06, -4.29)</t>
  </si>
  <si>
    <t>(89.51, -37.35, -4.29)</t>
  </si>
  <si>
    <t>(89.00, -37.82, -4.29)</t>
  </si>
  <si>
    <t>(85.93, -38.22, -5.61)</t>
  </si>
  <si>
    <t>(85.24, -42.28, -6.93)</t>
  </si>
  <si>
    <t>(101.20, -41.27, -6.93)</t>
  </si>
  <si>
    <t>(103.39, -41.61, -7.59)</t>
  </si>
  <si>
    <t>(100.14, -42.47, -6.60)</t>
  </si>
  <si>
    <t>(102.41, -43.16, -5.94)</t>
  </si>
  <si>
    <t>(108.45, -50.39, -2.31)</t>
  </si>
  <si>
    <t>(107.34, -50.45, -1.98)</t>
  </si>
  <si>
    <t>(104.43, -46.94, -3.96)</t>
  </si>
  <si>
    <t>(104.04, -45.86, -4.95)</t>
  </si>
  <si>
    <t>(103.51, -44.70, -4.95)</t>
  </si>
  <si>
    <t>(97.57, -43.08, -6.27)</t>
  </si>
  <si>
    <t>(97.70, -45.22, -6.60)</t>
  </si>
  <si>
    <t>(96.25, -42.71, -6.27)</t>
  </si>
  <si>
    <t>(95.88, -42.73, -6.27)</t>
  </si>
  <si>
    <t>(93.53, -41.65, -6.93)</t>
  </si>
  <si>
    <t>(106.19, -32.07, -5.94)</t>
  </si>
  <si>
    <t>(103.91, -32.17, -5.94)</t>
  </si>
  <si>
    <t>(102.92, -34.28, -5.61)</t>
  </si>
  <si>
    <t>(104.17, -34.35, -5.61)</t>
  </si>
  <si>
    <t>(100.85, -36.17, -5.61)</t>
  </si>
  <si>
    <t>(99.88, -36.73, -5.94)</t>
  </si>
  <si>
    <t>(99.15, -37.21, -5.94)</t>
  </si>
  <si>
    <t>(96.15, -38.79, -6.60)</t>
  </si>
  <si>
    <t>(95.48, -39.34, -6.60)</t>
  </si>
  <si>
    <t>(96.91, -40.61, -9.24)</t>
  </si>
  <si>
    <t>(96.01, -39.47, -7.59)</t>
  </si>
  <si>
    <t>(88.46, -42.04, -7.26)</t>
  </si>
  <si>
    <t>(86.08, -42.32, -6.93)</t>
  </si>
  <si>
    <t>(84.76, -43.05, -7.59)</t>
  </si>
  <si>
    <t>(81.63, -45.82, -7.92)</t>
  </si>
  <si>
    <t>(80.84, -46.12, -8.25)</t>
  </si>
  <si>
    <t>(80.05, -46.13, -8.91)</t>
  </si>
  <si>
    <t>(81.62, -46.81, -9.57)</t>
  </si>
  <si>
    <t>(84.68, -45.08, -10.89)</t>
  </si>
  <si>
    <t>(86.08, -45.32, -10.56)</t>
  </si>
  <si>
    <t>(87.70, -45.23, -10.56)</t>
  </si>
  <si>
    <t>(82.38, -46.15, -9.57)</t>
  </si>
  <si>
    <t>(77.43, -47.68, -9.57)</t>
  </si>
  <si>
    <t>(84.70, -41.75, -10.56)</t>
  </si>
  <si>
    <t>(80.56, -43.83, -10.23)</t>
  </si>
  <si>
    <t>(78.82, -48.05, -10.23)</t>
  </si>
  <si>
    <t>(78.70, -48.55, -10.23)</t>
  </si>
  <si>
    <t>(70.99, -52.48, -10.56)</t>
  </si>
  <si>
    <t>(70.48, -49.94, -8.91)</t>
  </si>
  <si>
    <t>(69.55, -49.01, -8.91)</t>
  </si>
  <si>
    <t>(70.63, -46.47, -10.56)</t>
  </si>
  <si>
    <t>(72.26, -44.72, -7.92)</t>
  </si>
  <si>
    <t>(73.85, -38.88, -5.94)</t>
  </si>
  <si>
    <t>(75.02, -31.95, -5.94)</t>
  </si>
  <si>
    <t>(75.84, -31.12, -6.27)</t>
  </si>
  <si>
    <t>(77.37, -30.20, -7.92)</t>
  </si>
  <si>
    <t>(76.20, -30.61, -6.93)</t>
  </si>
  <si>
    <t>(76.40, -30.19, -6.93)</t>
  </si>
  <si>
    <t>(77.48, -29.36, -6.27)</t>
  </si>
  <si>
    <t>(73.58, -40.09, -6.27)</t>
  </si>
  <si>
    <t>(71.46, -41.16, -5.94)</t>
  </si>
  <si>
    <t>(71.80, -40.37, -5.61)</t>
  </si>
  <si>
    <t>(69.43, -42.16, -5.94)</t>
  </si>
  <si>
    <t>(71.37, -39.74, -5.28)</t>
  </si>
  <si>
    <t>(72.01, -38.34, -4.62)</t>
  </si>
  <si>
    <t>(73.30, -35.23, -4.29)</t>
  </si>
  <si>
    <t>(75.74, -33.23, -3.30)</t>
  </si>
  <si>
    <t>(76.29, -33.28, -3.30)</t>
  </si>
  <si>
    <t>(71.77, -36.47, -4.29)</t>
  </si>
  <si>
    <t>(72.43, -34.23, -3.30)</t>
  </si>
  <si>
    <t>(70.54, -36.19, -3.63)</t>
  </si>
  <si>
    <t>(69.25, -36.48, -3.63)</t>
  </si>
  <si>
    <t>(66.77, -39.16, -2.64)</t>
  </si>
  <si>
    <t>(67.16, -39.43, -2.64)</t>
  </si>
  <si>
    <t>(68.15, -36.05, -3.30)</t>
  </si>
  <si>
    <t>(64.38, -32.95, -3.63)</t>
  </si>
  <si>
    <t>(59.49, -29.34, -2.64)</t>
  </si>
  <si>
    <t>(72.43, -43.25, -6.93)</t>
  </si>
  <si>
    <t>(71.97, -43.37, -7.26)</t>
  </si>
  <si>
    <t>(70.33, -53.96, -10.56)</t>
  </si>
  <si>
    <t>(62.19, -59.93, -13.20)</t>
  </si>
  <si>
    <t>(56.66, -61.78, -11.22)</t>
  </si>
  <si>
    <t>(57.08, -66.55, -9.90)</t>
  </si>
  <si>
    <t>(54.20, -59.45, -7.59)</t>
  </si>
  <si>
    <t>(47.84, -60.02, -4.29)</t>
  </si>
  <si>
    <t>(45.99, -60.31, -3.30)</t>
  </si>
  <si>
    <t>(44.93, -60.74, -2.31)</t>
  </si>
  <si>
    <t>(45.03, -60.24, -1.65)</t>
  </si>
  <si>
    <t>(43.77, -60.73, -2.31)</t>
  </si>
  <si>
    <t>(41.60, -59.40, -2.31)</t>
  </si>
  <si>
    <t>(40.08, -58.94, -1.98)</t>
  </si>
  <si>
    <t>(46.67, -60.58, -2.64)</t>
  </si>
  <si>
    <t>(52.79, -62.35, -3.96)</t>
  </si>
  <si>
    <t>(56.37, -62.03, -4.95)</t>
  </si>
  <si>
    <t>(47.81, -61.49, -2.64)</t>
  </si>
  <si>
    <t>(55.51, -60.47, -3.96)</t>
  </si>
  <si>
    <t>(62.62, -59.10, -4.29)</t>
  </si>
  <si>
    <t>(60.02, -58.16, -2.97)</t>
  </si>
  <si>
    <t>(54.25, -57.85, -2.64)</t>
  </si>
  <si>
    <t>(58.63, -57.83, -2.97)</t>
  </si>
  <si>
    <t>(56.73, -58.95, -2.31)</t>
  </si>
  <si>
    <t>(55.40, -59.27, -2.31)</t>
  </si>
  <si>
    <t>(51.24, -59.64, -1.98)</t>
  </si>
  <si>
    <t>(50.37, -59.64, -1.98)</t>
  </si>
  <si>
    <t>(66.15, -57.79, -4.62)</t>
  </si>
  <si>
    <t>(66.67, -57.91, -4.62)</t>
  </si>
  <si>
    <t>(68.61, -58.07, -5.28)</t>
  </si>
  <si>
    <t>(73.42, -56.92, -4.95)</t>
  </si>
  <si>
    <t>(54.85, -59.58, -7.59)</t>
  </si>
  <si>
    <t>(55.13, -59.00, -7.59)</t>
  </si>
  <si>
    <t>(54.56, -58.59, -6.93)</t>
  </si>
  <si>
    <t>(54.00, -61.32, -7.59)</t>
  </si>
  <si>
    <t>(50.87, -63.13, -7.59)</t>
  </si>
  <si>
    <t>(53.26, -61.94, -7.59)</t>
  </si>
  <si>
    <t>(57.04, -59.62, -8.58)</t>
  </si>
  <si>
    <t>(58.14, -58.47, -8.58)</t>
  </si>
  <si>
    <t>(58.32, -57.99, -7.92)</t>
  </si>
  <si>
    <t>(57.52, -55.77, -5.94)</t>
  </si>
  <si>
    <t>(55.31, -57.74, -5.28)</t>
  </si>
  <si>
    <t>(52.14, -57.67, -4.95)</t>
  </si>
  <si>
    <t>(51.08, -56.65, -4.95)</t>
  </si>
  <si>
    <t>(56.10, -55.17, -4.95)</t>
  </si>
  <si>
    <t>(56.20, -54.14, -5.28)</t>
  </si>
  <si>
    <t>(56.71, -53.79, -5.28)</t>
  </si>
  <si>
    <t>(55.84, -54.82, -4.95)</t>
  </si>
  <si>
    <t>(55.62, -54.59, -4.62)</t>
  </si>
  <si>
    <t>(53.97, -54.51, -3.96)</t>
  </si>
  <si>
    <t>(49.94, -56.50, -3.30)</t>
  </si>
  <si>
    <t>(48.80, -57.55, -2.64)</t>
  </si>
  <si>
    <t>(49.01, -58.29, -1.98)</t>
  </si>
  <si>
    <t>(46.03, -58.00, -2.64)</t>
  </si>
  <si>
    <t>(59.41, -60.44, -9.57)</t>
  </si>
  <si>
    <t>(72.11, -60.36, -11.88)</t>
  </si>
  <si>
    <t>(75.04, -59.85, -13.20)</t>
  </si>
  <si>
    <t>(75.28, -59.48, -12.87)</t>
  </si>
  <si>
    <t>(76.52, -59.27, -12.54)</t>
  </si>
  <si>
    <t>(71.10, -56.61, -11.55)</t>
  </si>
  <si>
    <t>(73.99, -56.26, -13.20)</t>
  </si>
  <si>
    <t>(73.40, -57.03, -13.53)</t>
  </si>
  <si>
    <t>(72.90, -55.08, -12.54)</t>
  </si>
  <si>
    <t>(73.77, -53.70, -12.54)</t>
  </si>
  <si>
    <t>(70.53, -56.38, -11.55)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</si>
</sst>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6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20.5918367346939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2</v>
      </c>
      <c r="C2" s="1" t="n">
        <v>1.4</v>
      </c>
      <c r="D2" s="1" t="n">
        <v>1.1527</v>
      </c>
      <c r="E2" s="1" t="n">
        <v>0.0463983</v>
      </c>
      <c r="F2" s="1" t="n">
        <v>0.000126599</v>
      </c>
      <c r="G2" s="1" t="s">
        <v>27</v>
      </c>
      <c r="H2" s="1" t="n">
        <v>81.9</v>
      </c>
      <c r="I2" s="1" t="n">
        <v>127.3</v>
      </c>
      <c r="J2" s="1" t="n">
        <v>57.5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53</v>
      </c>
      <c r="Q2" s="1" t="s">
        <v>29</v>
      </c>
      <c r="R2" s="1" t="n">
        <f aca="false">COUNTIF(J$2:J$1500,"&lt;-75")</f>
        <v>2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171.1</v>
      </c>
      <c r="W2" s="2" t="s">
        <v>31</v>
      </c>
      <c r="X2" s="0" t="n">
        <f aca="false">SUMIFS(C$2:C$1500,C$2:C$1500, "&gt;=0",J$2:J$1500, "&lt;-75",I$2:I$1500,"&lt;180")</f>
        <v>0</v>
      </c>
      <c r="Z2" s="0" t="n">
        <f aca="false">I2-35</f>
        <v>92.3</v>
      </c>
      <c r="AB2" s="0" t="n">
        <f aca="false">IF(Z2&lt;0,Z2+360,Z2+0)</f>
        <v>92.3</v>
      </c>
      <c r="AD2" s="1" t="n">
        <v>0</v>
      </c>
      <c r="AE2" s="1" t="n">
        <f aca="false">COUNTIF(AB$2:AB$1500,"&lt;15")</f>
        <v>35</v>
      </c>
      <c r="AF2" s="1"/>
      <c r="AG2" s="1" t="n">
        <v>0</v>
      </c>
      <c r="AH2" s="0" t="n">
        <f aca="false">SUMIFS(C$2:C$1500,C$2:C$1500, "&gt;=0",AB$2:AB$1500, "&lt;15")</f>
        <v>90.9</v>
      </c>
      <c r="AJ2" s="1" t="s">
        <v>29</v>
      </c>
      <c r="AK2" s="0" t="n">
        <f aca="false">SUMIF($J$2:$J$2000,"&lt;-75",$C$2:$C$2000)</f>
        <v>1.7</v>
      </c>
      <c r="AM2" s="1" t="s">
        <v>32</v>
      </c>
      <c r="AN2" s="0" t="n">
        <f aca="false">AE2+AE13+AE14+AE25</f>
        <v>109</v>
      </c>
      <c r="AO2" s="1" t="s">
        <v>32</v>
      </c>
      <c r="AP2" s="0" t="n">
        <f aca="false">R7+R8+R9</f>
        <v>367</v>
      </c>
      <c r="AR2" s="1" t="s">
        <v>32</v>
      </c>
      <c r="AS2" s="0" t="n">
        <f aca="false">AH2+AH13+AH14+AH25</f>
        <v>269</v>
      </c>
      <c r="AU2" s="0" t="n">
        <f aca="false">AK7+AK8+AK9</f>
        <v>934.8</v>
      </c>
    </row>
    <row r="3" customFormat="false" ht="15.8" hidden="false" customHeight="false" outlineLevel="0" collapsed="false">
      <c r="A3" s="1" t="n">
        <v>1</v>
      </c>
      <c r="B3" s="1" t="n">
        <v>2</v>
      </c>
      <c r="C3" s="1" t="n">
        <v>2.8</v>
      </c>
      <c r="D3" s="1" t="n">
        <v>1.3098</v>
      </c>
      <c r="E3" s="1" t="n">
        <v>0.0731061</v>
      </c>
      <c r="F3" s="1" t="n">
        <v>0.000167338</v>
      </c>
      <c r="G3" s="1" t="s">
        <v>27</v>
      </c>
      <c r="H3" s="1" t="n">
        <v>109.2</v>
      </c>
      <c r="I3" s="1" t="n">
        <v>87.1</v>
      </c>
      <c r="J3" s="1" t="n">
        <v>-38.8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37</v>
      </c>
      <c r="Q3" s="1" t="s">
        <v>33</v>
      </c>
      <c r="R3" s="1" t="n">
        <f aca="false">COUNTIF(J$2:J$1500,"&lt;-60")-R2</f>
        <v>5</v>
      </c>
      <c r="S3" s="2" t="s">
        <v>34</v>
      </c>
      <c r="T3" s="1" t="n">
        <f aca="false">COUNTIFS(J$2:J$1500, "&gt;60",I$2:I$1500, "&lt;180")-T2</f>
        <v>3</v>
      </c>
      <c r="U3" s="1" t="n">
        <v>15</v>
      </c>
      <c r="V3" s="0" t="n">
        <f aca="false">SUMIFS(C$2:C$1500,C$2:C$1500, "&gt;=0",I$2:I$1500, "&lt;30",I$2:I$1500,"&gt;=15")</f>
        <v>101.3</v>
      </c>
      <c r="W3" s="2" t="s">
        <v>35</v>
      </c>
      <c r="X3" s="0" t="n">
        <f aca="false">SUMIFS(C$2:C$1500,C$2:C$1500, "&gt;=0",J$2:J$1500, "&lt;-60",J$2:J$1500,"&gt;=-75",I$2:I$1500,"&lt;180")</f>
        <v>0</v>
      </c>
      <c r="Z3" s="0" t="n">
        <f aca="false">I3-35</f>
        <v>52.1</v>
      </c>
      <c r="AB3" s="0" t="n">
        <f aca="false">IF(Z3&lt;0,Z3+360,Z3+0)</f>
        <v>52.1</v>
      </c>
      <c r="AD3" s="1" t="n">
        <v>15</v>
      </c>
      <c r="AE3" s="1" t="n">
        <f aca="false">COUNTIF(AB$2:AB$1500,"&lt;30")-AE2</f>
        <v>28</v>
      </c>
      <c r="AF3" s="1"/>
      <c r="AG3" s="1" t="n">
        <v>15</v>
      </c>
      <c r="AH3" s="0" t="n">
        <f aca="false">SUMIFS(C$2:C$1500,C$2:C$1500, "&gt;=0",AB$2:AB$1500, "&lt;30",AB$2:AB$1500,"&gt;=15")</f>
        <v>48.3</v>
      </c>
      <c r="AJ3" s="1" t="s">
        <v>33</v>
      </c>
      <c r="AK3" s="0" t="n">
        <f aca="false">SUMIF($J$2:$J$2000,"&lt;-60",$C$2:$C$2000)-$AK$2</f>
        <v>7.6</v>
      </c>
      <c r="AM3" s="1" t="s">
        <v>36</v>
      </c>
      <c r="AN3" s="0" t="n">
        <f aca="false">AE3+AE12+AE15+AE24</f>
        <v>134</v>
      </c>
      <c r="AO3" s="1" t="s">
        <v>36</v>
      </c>
      <c r="AP3" s="0" t="n">
        <f aca="false">R10+R6</f>
        <v>145</v>
      </c>
      <c r="AR3" s="1" t="s">
        <v>36</v>
      </c>
      <c r="AS3" s="0" t="n">
        <f aca="false">AH3+AH12+AH15+AH24</f>
        <v>365.9</v>
      </c>
      <c r="AU3" s="0" t="n">
        <f aca="false">AK10+AK6</f>
        <v>317.299999999999</v>
      </c>
    </row>
    <row r="4" customFormat="false" ht="15.8" hidden="false" customHeight="false" outlineLevel="0" collapsed="false">
      <c r="A4" s="1" t="n">
        <v>1</v>
      </c>
      <c r="B4" s="1" t="n">
        <v>3</v>
      </c>
      <c r="C4" s="1" t="n">
        <v>1.3</v>
      </c>
      <c r="D4" s="1" t="n">
        <v>1.1503</v>
      </c>
      <c r="E4" s="1" t="n">
        <v>0.0254627</v>
      </c>
      <c r="F4" s="1" t="n">
        <v>4.00692E-005</v>
      </c>
      <c r="G4" s="1" t="s">
        <v>27</v>
      </c>
      <c r="H4" s="1" t="n">
        <v>129.5</v>
      </c>
      <c r="I4" s="1" t="n">
        <v>314.9</v>
      </c>
      <c r="J4" s="1" t="n">
        <v>-16.4</v>
      </c>
      <c r="K4" s="1"/>
      <c r="L4" s="1" t="n">
        <v>0</v>
      </c>
      <c r="M4" s="1" t="n">
        <v>0</v>
      </c>
      <c r="N4" s="1" t="s">
        <v>37</v>
      </c>
      <c r="O4" s="1" t="n">
        <v>30</v>
      </c>
      <c r="P4" s="1" t="n">
        <f aca="false">COUNTIF(I$2:I$1500,"&lt;45")-SUM(P2:P3)</f>
        <v>34</v>
      </c>
      <c r="Q4" s="4" t="s">
        <v>38</v>
      </c>
      <c r="R4" s="1" t="n">
        <f aca="false">COUNTIF(J$2:J$1500,"&lt;-45")-SUM(R2:R3)</f>
        <v>10</v>
      </c>
      <c r="S4" s="2" t="s">
        <v>39</v>
      </c>
      <c r="T4" s="1" t="n">
        <f aca="false">COUNTIFS(J$2:J$1500, "&gt;45",I$2:I$1500, "&lt;180")-SUM(T2:T3)</f>
        <v>12</v>
      </c>
      <c r="U4" s="1" t="n">
        <v>30</v>
      </c>
      <c r="V4" s="0" t="n">
        <f aca="false">SUMIFS(C$2:C$1500,C$2:C$1500, "&gt;=0",I$2:I$1500, "&lt;45",I$2:I$1500,"&gt;=30")</f>
        <v>85.9</v>
      </c>
      <c r="W4" s="2" t="s">
        <v>40</v>
      </c>
      <c r="X4" s="0" t="n">
        <f aca="false">SUMIFS(C$2:C$1500,C$2:C$1500, "&gt;=0",J$2:J$1500, "&lt;-45",J$2:J$1500,"&gt;=-60",I$2:I$1500,"&lt;180")</f>
        <v>8.3</v>
      </c>
      <c r="Z4" s="0" t="n">
        <f aca="false">I4-35</f>
        <v>279.9</v>
      </c>
      <c r="AB4" s="0" t="n">
        <f aca="false">IF(Z4&lt;0,Z4+360,Z4+0)</f>
        <v>279.9</v>
      </c>
      <c r="AD4" s="1" t="n">
        <v>30</v>
      </c>
      <c r="AE4" s="1" t="n">
        <f aca="false">COUNTIF(AB$2:AB$1500,"&lt;45")-SUM(AE2:AE3)</f>
        <v>22</v>
      </c>
      <c r="AF4" s="1"/>
      <c r="AG4" s="1" t="n">
        <v>30</v>
      </c>
      <c r="AH4" s="0" t="n">
        <f aca="false">SUMIFS(C$2:C$1500,C$2:C$1500, "&gt;=0",AB$2:AB$1500, "&lt;45",AB$2:AB$1500,"&gt;=30")</f>
        <v>50.4</v>
      </c>
      <c r="AJ4" s="4" t="s">
        <v>38</v>
      </c>
      <c r="AK4" s="0" t="n">
        <f aca="false">SUMIF($J$2:$J$2000,"&lt;-45",$C$2:$C$2000)-SUM($AK$2:$AK$3)</f>
        <v>18.4</v>
      </c>
      <c r="AM4" s="1" t="s">
        <v>41</v>
      </c>
      <c r="AN4" s="0" t="n">
        <f aca="false">AE4+AE11+AE16+AE23</f>
        <v>127</v>
      </c>
      <c r="AO4" s="1" t="s">
        <v>41</v>
      </c>
      <c r="AP4" s="0" t="n">
        <f aca="false">R11+R5</f>
        <v>61</v>
      </c>
      <c r="AR4" s="1" t="s">
        <v>41</v>
      </c>
      <c r="AS4" s="0" t="n">
        <f aca="false">AH4+AH11+AH16+AH23</f>
        <v>300.7</v>
      </c>
      <c r="AU4" s="0" t="n">
        <f aca="false">AK11+AK5</f>
        <v>106.7</v>
      </c>
    </row>
    <row r="5" customFormat="false" ht="15.8" hidden="false" customHeight="false" outlineLevel="0" collapsed="false">
      <c r="A5" s="1" t="n">
        <v>1</v>
      </c>
      <c r="B5" s="1" t="n">
        <v>4</v>
      </c>
      <c r="C5" s="1" t="n">
        <v>1.4</v>
      </c>
      <c r="D5" s="1" t="n">
        <v>1.0183</v>
      </c>
      <c r="E5" s="1" t="n">
        <v>0.0489915</v>
      </c>
      <c r="F5" s="1" t="n">
        <v>0.000133675</v>
      </c>
      <c r="G5" s="1" t="s">
        <v>27</v>
      </c>
      <c r="H5" s="1" t="n">
        <v>69.2</v>
      </c>
      <c r="I5" s="1" t="n">
        <v>278.9</v>
      </c>
      <c r="J5" s="1" t="n">
        <v>0</v>
      </c>
      <c r="K5" s="1"/>
      <c r="L5" s="1" t="n">
        <v>0</v>
      </c>
      <c r="M5" s="1" t="n">
        <v>0</v>
      </c>
      <c r="N5" s="1" t="s">
        <v>42</v>
      </c>
      <c r="O5" s="1" t="n">
        <v>45</v>
      </c>
      <c r="P5" s="1" t="n">
        <f aca="false">COUNTIF(I$2:I$1500,"&lt;60")-SUM(P2:P4)</f>
        <v>27</v>
      </c>
      <c r="Q5" s="1" t="s">
        <v>43</v>
      </c>
      <c r="R5" s="1" t="n">
        <f aca="false">COUNTIF(J$2:J$1500,"&lt;-30")-SUM(R2:R4)</f>
        <v>24</v>
      </c>
      <c r="S5" s="2" t="s">
        <v>44</v>
      </c>
      <c r="T5" s="1" t="n">
        <f aca="false">COUNTIFS(J$2:J$1500, "&gt;30",I$2:I$1500, "&lt;180")-SUM(T2:T4)</f>
        <v>21</v>
      </c>
      <c r="U5" s="1" t="n">
        <v>45</v>
      </c>
      <c r="V5" s="0" t="n">
        <f aca="false">SUMIFS(C$2:C$1500,C$2:C$1500, "&gt;=0",I$2:I$1500, "&lt;60",I$2:I$1500,"&gt;=45")</f>
        <v>58.5</v>
      </c>
      <c r="W5" s="2" t="s">
        <v>45</v>
      </c>
      <c r="X5" s="0" t="n">
        <f aca="false">SUMIFS(C$2:C$1500,C$2:C$1500, "&gt;=0",J$2:J$1500, "&lt;-30",J$2:J$1500,"&gt;=-45",I$2:I$1500,"&lt;180")</f>
        <v>27.5</v>
      </c>
      <c r="Z5" s="0" t="n">
        <f aca="false">I5-35</f>
        <v>243.9</v>
      </c>
      <c r="AB5" s="0" t="n">
        <f aca="false">IF(Z5&lt;0,Z5+360,Z5+0)</f>
        <v>243.9</v>
      </c>
      <c r="AD5" s="1" t="n">
        <v>45</v>
      </c>
      <c r="AE5" s="1" t="n">
        <f aca="false">COUNTIF(AB$2:AB$1500,"&lt;60")-SUM(AE2:AE4)</f>
        <v>5</v>
      </c>
      <c r="AF5" s="1"/>
      <c r="AG5" s="1" t="n">
        <v>45</v>
      </c>
      <c r="AH5" s="0" t="n">
        <f aca="false">SUMIFS(C$2:C$1500,C$2:C$1500, "&gt;=0",AB$2:AB$1500, "&lt;60",AB$2:AB$1500,"&gt;=45")</f>
        <v>20.9</v>
      </c>
      <c r="AJ5" s="1" t="s">
        <v>43</v>
      </c>
      <c r="AK5" s="0" t="n">
        <f aca="false">SUMIF($J$2:$J$2000,"&lt;-30",$C$2:$C$2000)-SUM($AK$2:$AK$4)</f>
        <v>50.5</v>
      </c>
      <c r="AM5" s="1" t="s">
        <v>46</v>
      </c>
      <c r="AN5" s="0" t="n">
        <f aca="false">AE5+AE10+AE17+AE22</f>
        <v>73</v>
      </c>
      <c r="AO5" s="1" t="s">
        <v>46</v>
      </c>
      <c r="AP5" s="0" t="n">
        <f aca="false">R12+R4</f>
        <v>26</v>
      </c>
      <c r="AR5" s="1" t="s">
        <v>46</v>
      </c>
      <c r="AS5" s="0" t="n">
        <f aca="false">AH5+AH10+AH17+AH22</f>
        <v>163.4</v>
      </c>
      <c r="AU5" s="0" t="n">
        <f aca="false">AK12+AK4</f>
        <v>39.6</v>
      </c>
    </row>
    <row r="6" customFormat="false" ht="15.8" hidden="false" customHeight="false" outlineLevel="0" collapsed="false">
      <c r="A6" s="1" t="n">
        <v>1</v>
      </c>
      <c r="B6" s="1" t="n">
        <v>4</v>
      </c>
      <c r="C6" s="1" t="n">
        <v>1.8</v>
      </c>
      <c r="D6" s="1" t="n">
        <v>1.1784</v>
      </c>
      <c r="E6" s="1" t="n">
        <v>0.0620546</v>
      </c>
      <c r="F6" s="1" t="n">
        <v>0.000169318</v>
      </c>
      <c r="G6" s="1" t="s">
        <v>27</v>
      </c>
      <c r="H6" s="1" t="n">
        <v>61.3</v>
      </c>
      <c r="I6" s="1" t="n">
        <v>151.8</v>
      </c>
      <c r="J6" s="1" t="n">
        <v>25.5</v>
      </c>
      <c r="K6" s="1"/>
      <c r="L6" s="1" t="n">
        <v>0</v>
      </c>
      <c r="M6" s="1" t="n">
        <v>0</v>
      </c>
      <c r="N6" s="1" t="s">
        <v>42</v>
      </c>
      <c r="O6" s="1" t="n">
        <v>60</v>
      </c>
      <c r="P6" s="1" t="n">
        <f aca="false">COUNTIF(I$2:I$1500,"&lt;75")-SUM(P2:P5)</f>
        <v>26</v>
      </c>
      <c r="Q6" s="1" t="s">
        <v>47</v>
      </c>
      <c r="R6" s="1" t="n">
        <f aca="false">COUNTIF(J$2:J$1500,"&lt;-15")-SUM(R2:R5)</f>
        <v>58</v>
      </c>
      <c r="S6" s="2" t="s">
        <v>48</v>
      </c>
      <c r="T6" s="1" t="n">
        <f aca="false">COUNTIFS(J$2:J$1500, "&gt;15",I$2:I$1500, "&lt;180")-SUM(T2:T5)</f>
        <v>49</v>
      </c>
      <c r="U6" s="1" t="n">
        <v>60</v>
      </c>
      <c r="V6" s="0" t="n">
        <f aca="false">SUMIFS(C$2:C$1500,C$2:C$1500, "&gt;=0",I$2:I$1500, "&lt;75",I$2:I$1500,"&gt;=60")</f>
        <v>49.9</v>
      </c>
      <c r="W6" s="2" t="s">
        <v>49</v>
      </c>
      <c r="X6" s="0" t="n">
        <f aca="false">SUMIFS(C$2:C$1500,C$2:C$1500, "&gt;=0",J$2:J$1500, "&lt;-15",J$2:J$1500,"&gt;=-30",I$2:I$1500,"&lt;180")</f>
        <v>70.4</v>
      </c>
      <c r="Z6" s="0" t="n">
        <f aca="false">I6-35</f>
        <v>116.8</v>
      </c>
      <c r="AB6" s="0" t="n">
        <f aca="false">IF(Z6&lt;0,Z6+360,Z6+0)</f>
        <v>116.8</v>
      </c>
      <c r="AD6" s="1" t="n">
        <v>60</v>
      </c>
      <c r="AE6" s="1" t="n">
        <f aca="false">COUNTIF(AB$2:AB$1500,"&lt;75")-SUM(AE2:AE5)</f>
        <v>16</v>
      </c>
      <c r="AF6" s="1"/>
      <c r="AG6" s="1" t="n">
        <v>60</v>
      </c>
      <c r="AH6" s="0" t="n">
        <f aca="false">SUMIFS(C$2:C$1500,C$2:C$1500, "&gt;=0",AB$2:AB$1500, "&lt;75",AB$2:AB$1500,"&gt;=60")</f>
        <v>44</v>
      </c>
      <c r="AJ6" s="1" t="s">
        <v>47</v>
      </c>
      <c r="AK6" s="0" t="n">
        <f aca="false">SUMIF($J$2:$J$2000,"&lt;-15",$C$2:$C$2000)-SUM($AK$2:$AK$5)</f>
        <v>121.6</v>
      </c>
      <c r="AM6" s="1" t="s">
        <v>50</v>
      </c>
      <c r="AN6" s="0" t="n">
        <f aca="false">AE6+AE9+AE18+AE21</f>
        <v>87</v>
      </c>
      <c r="AO6" s="1" t="s">
        <v>50</v>
      </c>
      <c r="AP6" s="0" t="n">
        <f aca="false">R13+R3</f>
        <v>8</v>
      </c>
      <c r="AR6" s="1" t="s">
        <v>50</v>
      </c>
      <c r="AS6" s="0" t="n">
        <f aca="false">AH6+AH9+AH18+AH21</f>
        <v>171</v>
      </c>
      <c r="AU6" s="0" t="n">
        <f aca="false">AK13+AK3</f>
        <v>11.7000000000001</v>
      </c>
    </row>
    <row r="7" customFormat="false" ht="15.8" hidden="false" customHeight="false" outlineLevel="0" collapsed="false">
      <c r="A7" s="1" t="n">
        <v>1</v>
      </c>
      <c r="B7" s="1" t="n">
        <v>6</v>
      </c>
      <c r="C7" s="1" t="n">
        <v>0.9</v>
      </c>
      <c r="D7" s="1" t="n">
        <v>1.1371</v>
      </c>
      <c r="E7" s="1" t="n">
        <v>0.0321272</v>
      </c>
      <c r="F7" s="1" t="n">
        <v>8.76602E-005</v>
      </c>
      <c r="G7" s="1" t="s">
        <v>27</v>
      </c>
      <c r="H7" s="1" t="n">
        <v>80.5</v>
      </c>
      <c r="I7" s="1" t="n">
        <v>4.1</v>
      </c>
      <c r="J7" s="1" t="n">
        <v>23.6</v>
      </c>
      <c r="K7" s="1"/>
      <c r="L7" s="1" t="n">
        <v>0</v>
      </c>
      <c r="M7" s="1" t="n">
        <v>0</v>
      </c>
      <c r="N7" s="1" t="s">
        <v>51</v>
      </c>
      <c r="O7" s="1" t="n">
        <v>75</v>
      </c>
      <c r="P7" s="1" t="n">
        <f aca="false">COUNTIF(I$2:I$1500,"&lt;90")-SUM(P2:P6)</f>
        <v>9</v>
      </c>
      <c r="Q7" s="1" t="s">
        <v>52</v>
      </c>
      <c r="R7" s="1" t="n">
        <f aca="false">COUNTIF(J$2:J$1500,"&lt;0")-SUM(R2:R6)</f>
        <v>75</v>
      </c>
      <c r="S7" s="2" t="s">
        <v>53</v>
      </c>
      <c r="T7" s="1" t="n">
        <f aca="false">COUNTIFS(J$2:J$1500, "&gt;0",I$2:I$1500, "&lt;180")-SUM(T2:T6)</f>
        <v>44</v>
      </c>
      <c r="U7" s="1" t="n">
        <v>75</v>
      </c>
      <c r="V7" s="0" t="n">
        <f aca="false">SUMIFS(C$2:C$1500,C$2:C$1500, "&gt;=0",I$2:I$1500, "&lt;90",I$2:I$1500,"&gt;=75")</f>
        <v>27.4</v>
      </c>
      <c r="W7" s="2" t="s">
        <v>54</v>
      </c>
      <c r="X7" s="0" t="n">
        <f aca="false">SUMIFS(C$2:C$1500,C$2:C$1500, "&gt;=0",J$2:J$1500, "&lt;0",J$2:J$1500,"&gt;=-15",I$2:I$1500,"&lt;180")</f>
        <v>173.7</v>
      </c>
      <c r="Z7" s="0" t="n">
        <f aca="false">I7-35</f>
        <v>-30.9</v>
      </c>
      <c r="AB7" s="0" t="n">
        <f aca="false">IF(Z7&lt;0,Z7+360,Z7+0)</f>
        <v>329.1</v>
      </c>
      <c r="AD7" s="1" t="n">
        <v>75</v>
      </c>
      <c r="AE7" s="1" t="n">
        <f aca="false">COUNTIF(AB$2:AB$1500,"&lt;90")-SUM(AE2:AE6)</f>
        <v>19</v>
      </c>
      <c r="AF7" s="1"/>
      <c r="AG7" s="1" t="n">
        <v>75</v>
      </c>
      <c r="AH7" s="0" t="n">
        <f aca="false">SUMIFS(C$2:C$1500,C$2:C$1500, "&gt;=0",AB$2:AB$1500, "&lt;90",AB$2:AB$1500,"&gt;=75")</f>
        <v>38.2</v>
      </c>
      <c r="AJ7" s="1" t="s">
        <v>52</v>
      </c>
      <c r="AK7" s="0" t="n">
        <f aca="false">SUMIF($J$2:$J$2000,"&lt;0",$C$2:$C$2000)-SUM($AK$2:$AK$6)</f>
        <v>309.9</v>
      </c>
      <c r="AM7" s="1" t="s">
        <v>55</v>
      </c>
      <c r="AN7" s="0" t="n">
        <f aca="false">AE7+AE8+AE19+AE20</f>
        <v>80</v>
      </c>
      <c r="AO7" s="1" t="s">
        <v>55</v>
      </c>
      <c r="AP7" s="0" t="n">
        <f aca="false">R14+R2</f>
        <v>3</v>
      </c>
      <c r="AR7" s="1" t="s">
        <v>55</v>
      </c>
      <c r="AS7" s="0" t="n">
        <f aca="false">AH7+AH8+AH19+AH20</f>
        <v>142.5</v>
      </c>
      <c r="AU7" s="0" t="n">
        <f aca="false">AK14+AK2</f>
        <v>2.39999999999982</v>
      </c>
    </row>
    <row r="8" customFormat="false" ht="15.8" hidden="false" customHeight="false" outlineLevel="0" collapsed="false">
      <c r="A8" s="1" t="n">
        <v>1</v>
      </c>
      <c r="B8" s="1" t="n">
        <v>6</v>
      </c>
      <c r="C8" s="1" t="n">
        <v>2.6</v>
      </c>
      <c r="D8" s="1" t="n">
        <v>1.3744</v>
      </c>
      <c r="E8" s="1" t="n">
        <v>0.087886</v>
      </c>
      <c r="F8" s="1" t="n">
        <v>0.0002398</v>
      </c>
      <c r="G8" s="1" t="s">
        <v>27</v>
      </c>
      <c r="H8" s="1" t="n">
        <v>58.6</v>
      </c>
      <c r="I8" s="1" t="n">
        <v>193.2</v>
      </c>
      <c r="J8" s="1" t="n">
        <v>32.1</v>
      </c>
      <c r="K8" s="1"/>
      <c r="L8" s="1" t="n">
        <v>0</v>
      </c>
      <c r="M8" s="1" t="n">
        <v>0</v>
      </c>
      <c r="N8" s="1" t="s">
        <v>51</v>
      </c>
      <c r="O8" s="1" t="n">
        <v>90</v>
      </c>
      <c r="P8" s="1" t="n">
        <f aca="false">COUNTIF(I$2:I$1500,"&lt;105")-SUM(P2:P7)</f>
        <v>13</v>
      </c>
      <c r="Q8" s="0" t="s">
        <v>56</v>
      </c>
      <c r="R8" s="1" t="n">
        <f aca="false">COUNTIF(J$2:J$1500,"=0")</f>
        <v>213</v>
      </c>
      <c r="S8" s="2" t="s">
        <v>57</v>
      </c>
      <c r="T8" s="1" t="n">
        <f aca="false">COUNTIFS(J$2:J$1500, "&gt;-15",I$2:I$1500, "&lt;180")-SUM(T2:T7)</f>
        <v>141</v>
      </c>
      <c r="U8" s="1" t="n">
        <v>90</v>
      </c>
      <c r="V8" s="0" t="n">
        <f aca="false">SUMIFS(C$2:C$1500,C$2:C$1500, "&gt;=0",I$2:I$1500, "&lt;105",I$2:I$1500,"&gt;=90")</f>
        <v>39.3</v>
      </c>
      <c r="W8" s="2" t="s">
        <v>58</v>
      </c>
      <c r="X8" s="0" t="n">
        <f aca="false">SUMIFS(C$2:C$1500,C$2:C$1500, "&gt;=0",J$2:J$1500, "&lt;15",J$2:J$1500,"&gt;=0",I$2:I$1500,"&lt;180")</f>
        <v>348.9</v>
      </c>
      <c r="Z8" s="0" t="n">
        <f aca="false">I8-35</f>
        <v>158.2</v>
      </c>
      <c r="AB8" s="0" t="n">
        <f aca="false">IF(Z8&lt;0,Z8+360,Z8+0)</f>
        <v>158.2</v>
      </c>
      <c r="AD8" s="1" t="n">
        <v>90</v>
      </c>
      <c r="AE8" s="1" t="n">
        <f aca="false">COUNTIF(AB$2:AB$1500,"&lt;105")-SUM(AE2:AE7)</f>
        <v>23</v>
      </c>
      <c r="AF8" s="1"/>
      <c r="AG8" s="1" t="n">
        <v>90</v>
      </c>
      <c r="AH8" s="0" t="n">
        <f aca="false">SUMIFS(C$2:C$1500,C$2:C$1500, "&gt;=0",AB$2:AB$1500, "&lt;105",AB$2:AB$1500,"&gt;=90")</f>
        <v>41.9</v>
      </c>
      <c r="AJ8" s="0" t="s">
        <v>56</v>
      </c>
      <c r="AK8" s="0" t="n">
        <f aca="false">SUMIF($J$2:$J$2000,"=0",$C$2:$C$2000)</f>
        <v>315.5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5</v>
      </c>
      <c r="C9" s="1" t="n">
        <v>1.2</v>
      </c>
      <c r="D9" s="1" t="n">
        <v>1.1251</v>
      </c>
      <c r="E9" s="1" t="n">
        <v>0.0399464</v>
      </c>
      <c r="F9" s="1" t="n">
        <v>0.000108995</v>
      </c>
      <c r="G9" s="1" t="s">
        <v>59</v>
      </c>
      <c r="H9" s="1" t="n">
        <v>82.4</v>
      </c>
      <c r="I9" s="1" t="n">
        <v>266.9</v>
      </c>
      <c r="J9" s="1" t="n">
        <v>39.6</v>
      </c>
      <c r="K9" s="1" t="n">
        <v>80.5</v>
      </c>
      <c r="L9" s="1" t="n">
        <v>0</v>
      </c>
      <c r="M9" s="1" t="n">
        <v>0</v>
      </c>
      <c r="N9" s="1" t="s">
        <v>60</v>
      </c>
      <c r="O9" s="1" t="n">
        <v>105</v>
      </c>
      <c r="P9" s="1" t="n">
        <f aca="false">COUNTIF(I$2:I$1500,"&lt;120")-SUM(P2:P8)</f>
        <v>16</v>
      </c>
      <c r="Q9" s="1" t="s">
        <v>61</v>
      </c>
      <c r="R9" s="1" t="n">
        <f aca="false">COUNTIF(J$2:J$1500,"&lt;15")-SUM(R2:R8)</f>
        <v>79</v>
      </c>
      <c r="S9" s="2" t="s">
        <v>62</v>
      </c>
      <c r="T9" s="1" t="n">
        <f aca="false">COUNTIFS(J$2:J$1500, "&gt;-30",I$2:I$1500, "&lt;180")-SUM(T2:T8)</f>
        <v>28</v>
      </c>
      <c r="U9" s="1" t="n">
        <v>105</v>
      </c>
      <c r="V9" s="0" t="n">
        <f aca="false">SUMIFS(C$2:C$1500,C$2:C$1500, "&gt;=0",I$2:I$1500, "&lt;120",I$2:I$1500,"&gt;=105")</f>
        <v>35</v>
      </c>
      <c r="W9" s="2" t="s">
        <v>63</v>
      </c>
      <c r="X9" s="0" t="n">
        <f aca="false">SUMIFS(C$2:C$1500,C$2:C$1500, "&gt;=0",J$2:J$1500, "&lt;30",J$2:J$1500,"&gt;=15",I$2:I$1500,"&lt;180")</f>
        <v>102.3</v>
      </c>
      <c r="Z9" s="0" t="n">
        <f aca="false">I9-35</f>
        <v>231.9</v>
      </c>
      <c r="AB9" s="0" t="n">
        <f aca="false">IF(Z9&lt;0,Z9+360,Z9+0)</f>
        <v>231.9</v>
      </c>
      <c r="AD9" s="1" t="n">
        <v>105</v>
      </c>
      <c r="AE9" s="1" t="n">
        <f aca="false">COUNTIF(AB$2:AB$1500,"&lt;120")-SUM(AE2:AE8)</f>
        <v>26</v>
      </c>
      <c r="AF9" s="1"/>
      <c r="AG9" s="1" t="n">
        <v>105</v>
      </c>
      <c r="AH9" s="0" t="n">
        <f aca="false">SUMIFS(C$2:C$1500,C$2:C$1500, "&gt;=0",AB$2:AB$1500, "&lt;120",AB$2:AB$1500,"&gt;=105")</f>
        <v>56.1</v>
      </c>
      <c r="AJ9" s="1" t="s">
        <v>61</v>
      </c>
      <c r="AK9" s="0" t="n">
        <f aca="false">SUMIF($J$2:$J$2000,"&lt;15",$C$2:$C$2000)-SUM($AK$2:$AK$8)</f>
        <v>309.4</v>
      </c>
      <c r="AM9" s="1" t="s">
        <v>64</v>
      </c>
      <c r="AN9" s="0" t="n">
        <f aca="false">SUM(AN2:AN7)</f>
        <v>610</v>
      </c>
      <c r="AO9" s="1" t="s">
        <v>64</v>
      </c>
      <c r="AP9" s="0" t="n">
        <f aca="false">SUM(AP2:AP7)</f>
        <v>610</v>
      </c>
      <c r="AR9" s="1" t="s">
        <v>64</v>
      </c>
      <c r="AS9" s="0" t="n">
        <f aca="false">SUM(AS2:AS7)</f>
        <v>1412.5</v>
      </c>
      <c r="AT9" s="1" t="s">
        <v>64</v>
      </c>
      <c r="AU9" s="0" t="n">
        <f aca="false">SUM(AU2:AU7)</f>
        <v>1412.5</v>
      </c>
    </row>
    <row r="10" customFormat="false" ht="15.8" hidden="false" customHeight="false" outlineLevel="0" collapsed="false">
      <c r="A10" s="1" t="n">
        <v>1</v>
      </c>
      <c r="B10" s="1" t="n">
        <v>7</v>
      </c>
      <c r="C10" s="1" t="n">
        <v>2.9</v>
      </c>
      <c r="D10" s="1" t="n">
        <v>1.2737</v>
      </c>
      <c r="E10" s="1" t="n">
        <v>0.0998317</v>
      </c>
      <c r="F10" s="1" t="n">
        <v>0.000272394</v>
      </c>
      <c r="G10" s="1" t="s">
        <v>27</v>
      </c>
      <c r="H10" s="1" t="n">
        <v>56</v>
      </c>
      <c r="I10" s="1" t="n">
        <v>52</v>
      </c>
      <c r="J10" s="1" t="n">
        <v>0</v>
      </c>
      <c r="K10" s="1"/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20</v>
      </c>
      <c r="Q10" s="1" t="s">
        <v>66</v>
      </c>
      <c r="R10" s="1" t="n">
        <f aca="false">COUNTIF(J$2:J$1500,"&lt;30")-SUM(R2:R9)</f>
        <v>87</v>
      </c>
      <c r="S10" s="2" t="s">
        <v>67</v>
      </c>
      <c r="T10" s="1" t="n">
        <f aca="false">COUNTIFS(J$2:J$1500, "&gt;-45",I$2:I$1500, "&lt;180")-SUM(T2:T9)</f>
        <v>12</v>
      </c>
      <c r="U10" s="1" t="n">
        <v>120</v>
      </c>
      <c r="V10" s="0" t="n">
        <f aca="false">SUMIFS(C$2:C$1500,C$2:C$1500, "&gt;=0",I$2:I$1500, "&lt;135",I$2:I$1500,"&gt;=120")</f>
        <v>37.9</v>
      </c>
      <c r="W10" s="2" t="s">
        <v>68</v>
      </c>
      <c r="X10" s="0" t="n">
        <f aca="false">SUMIFS(C$2:C$1500,C$2:C$1500, "&gt;=0",J$2:J$1500, "&lt;45",J$2:J$1500,"&gt;=30",I$2:I$1500,"&lt;180")</f>
        <v>36.1</v>
      </c>
      <c r="Z10" s="0" t="n">
        <f aca="false">I10-35</f>
        <v>17</v>
      </c>
      <c r="AB10" s="0" t="n">
        <f aca="false">IF(Z10&lt;0,Z10+360,Z10+0)</f>
        <v>17</v>
      </c>
      <c r="AD10" s="1" t="n">
        <v>120</v>
      </c>
      <c r="AE10" s="1" t="n">
        <f aca="false">COUNTIF(AB$2:AB$1500,"&lt;135")-SUM(AE2:AE9)</f>
        <v>22</v>
      </c>
      <c r="AF10" s="1"/>
      <c r="AG10" s="1" t="n">
        <v>120</v>
      </c>
      <c r="AH10" s="0" t="n">
        <f aca="false">SUMIFS(C$2:C$1500,C$2:C$1500, "&gt;=0",AB$2:AB$1500, "&lt;135",AB$2:AB$1500,"&gt;=120")</f>
        <v>37.3</v>
      </c>
      <c r="AJ10" s="1" t="s">
        <v>66</v>
      </c>
      <c r="AK10" s="0" t="n">
        <f aca="false">SUMIF($J$2:$J$2000,"&lt;30",$C$2:$C$2000)-SUM($AK$2:$AK$9)</f>
        <v>195.699999999999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8</v>
      </c>
      <c r="C11" s="1" t="n">
        <v>1.9</v>
      </c>
      <c r="D11" s="1" t="n">
        <v>1.7268</v>
      </c>
      <c r="E11" s="1" t="n">
        <v>0.0639288</v>
      </c>
      <c r="F11" s="1" t="n">
        <v>0.000174432</v>
      </c>
      <c r="G11" s="1" t="s">
        <v>27</v>
      </c>
      <c r="H11" s="1" t="n">
        <v>101.8</v>
      </c>
      <c r="I11" s="1" t="n">
        <v>61.8</v>
      </c>
      <c r="J11" s="1" t="n">
        <v>37.7</v>
      </c>
      <c r="K11" s="1"/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28</v>
      </c>
      <c r="Q11" s="1" t="s">
        <v>70</v>
      </c>
      <c r="R11" s="1" t="n">
        <f aca="false">COUNTIF(J$2:J$1500,"&lt;45")-SUM(R2:R10)</f>
        <v>37</v>
      </c>
      <c r="S11" s="2" t="s">
        <v>71</v>
      </c>
      <c r="T11" s="1" t="n">
        <f aca="false">COUNTIFS(J$2:J$1500, "&gt;-60",I$2:I$1500, "&lt;180")-SUM(T2:T10)</f>
        <v>5</v>
      </c>
      <c r="U11" s="1" t="n">
        <v>135</v>
      </c>
      <c r="V11" s="0" t="n">
        <f aca="false">SUMIFS(C$2:C$1500,C$2:C$1500, "&gt;=0",I$2:I$1500, "&lt;150",I$2:I$1500,"&gt;=135")</f>
        <v>57.4</v>
      </c>
      <c r="W11" s="2" t="s">
        <v>72</v>
      </c>
      <c r="X11" s="0" t="n">
        <f aca="false">SUMIFS(C$2:C$1500,C$2:C$1500, "&gt;=0",J$2:J$1500, "&lt;60",J$2:J$1500,"&gt;=45",I$2:I$1500,"&lt;180")</f>
        <v>15.4</v>
      </c>
      <c r="Z11" s="0" t="n">
        <f aca="false">I11-35</f>
        <v>26.8</v>
      </c>
      <c r="AB11" s="0" t="n">
        <f aca="false">IF(Z11&lt;0,Z11+360,Z11+0)</f>
        <v>26.8</v>
      </c>
      <c r="AD11" s="1" t="n">
        <v>135</v>
      </c>
      <c r="AE11" s="1" t="n">
        <f aca="false">COUNTIF(AB$2:AB$1500,"&lt;150")-SUM(AE2:AE10)</f>
        <v>41</v>
      </c>
      <c r="AF11" s="1"/>
      <c r="AG11" s="1" t="n">
        <v>135</v>
      </c>
      <c r="AH11" s="0" t="n">
        <f aca="false">SUMIFS(C$2:C$1500,C$2:C$1500, "&gt;=0",AB$2:AB$1500, "&lt;150",AB$2:AB$1500,"&gt;=135")</f>
        <v>131.8</v>
      </c>
      <c r="AJ11" s="1" t="s">
        <v>70</v>
      </c>
      <c r="AK11" s="0" t="n">
        <f aca="false">SUMIF($J$2:$J$2000,"&lt;45",$C$2:$C$2000)-SUM($AK$2:$AK$10)</f>
        <v>56.2000000000003</v>
      </c>
    </row>
    <row r="12" customFormat="false" ht="15.8" hidden="false" customHeight="false" outlineLevel="0" collapsed="false">
      <c r="A12" s="1" t="n">
        <v>1</v>
      </c>
      <c r="B12" s="1" t="n">
        <v>9</v>
      </c>
      <c r="C12" s="1" t="n">
        <v>0.7</v>
      </c>
      <c r="D12" s="1" t="n">
        <v>1.1232</v>
      </c>
      <c r="E12" s="1" t="n">
        <v>0.0235486</v>
      </c>
      <c r="F12" s="1" t="n">
        <v>6.42531E-005</v>
      </c>
      <c r="G12" s="1" t="s">
        <v>27</v>
      </c>
      <c r="H12" s="1" t="n">
        <v>89.4</v>
      </c>
      <c r="I12" s="1" t="n">
        <v>21.1</v>
      </c>
      <c r="J12" s="1" t="n">
        <v>-32.7</v>
      </c>
      <c r="K12" s="1"/>
      <c r="L12" s="1" t="n">
        <v>0</v>
      </c>
      <c r="M12" s="1" t="n">
        <v>0</v>
      </c>
      <c r="N12" s="1" t="s">
        <v>73</v>
      </c>
      <c r="O12" s="1" t="n">
        <v>150</v>
      </c>
      <c r="P12" s="1" t="n">
        <f aca="false">COUNTIF(I$2:I$1500,"&lt;165")-SUM(P2:P11)</f>
        <v>25</v>
      </c>
      <c r="Q12" s="1" t="s">
        <v>74</v>
      </c>
      <c r="R12" s="1" t="n">
        <f aca="false">COUNTIF(J$2:J$1500,"&lt;60")-SUM(R2:R11)</f>
        <v>16</v>
      </c>
      <c r="S12" s="2" t="s">
        <v>75</v>
      </c>
      <c r="T12" s="1" t="n">
        <f aca="false">COUNTIFS(J$2:J$1500, "&gt;-75",I$2:I$1500, "&lt;180")-SUM(T2:T11)</f>
        <v>0</v>
      </c>
      <c r="U12" s="1" t="n">
        <v>150</v>
      </c>
      <c r="V12" s="0" t="n">
        <f aca="false">SUMIFS(C$2:C$1500,C$2:C$1500, "&gt;=0",I$2:I$1500, "&lt;165",I$2:I$1500,"&gt;=150")</f>
        <v>47.2</v>
      </c>
      <c r="W12" s="2" t="s">
        <v>76</v>
      </c>
      <c r="X12" s="0" t="n">
        <f aca="false">SUMIFS(C$2:C$1500,C$2:C$1500, "&gt;=0",J$2:J$1500, "&lt;75",J$2:J$1500,"&gt;=60",I$2:I$1500,"&lt;180")</f>
        <v>4.1</v>
      </c>
      <c r="Z12" s="0" t="n">
        <f aca="false">I12-35</f>
        <v>-13.9</v>
      </c>
      <c r="AB12" s="0" t="n">
        <f aca="false">IF(Z12&lt;0,Z12+360,Z12+0)</f>
        <v>346.1</v>
      </c>
      <c r="AD12" s="1" t="n">
        <v>150</v>
      </c>
      <c r="AE12" s="1" t="n">
        <f aca="false">COUNTIF(AB$2:AB$1500,"&lt;165")-SUM(AE2:AE11)</f>
        <v>44</v>
      </c>
      <c r="AF12" s="1"/>
      <c r="AG12" s="1" t="n">
        <v>150</v>
      </c>
      <c r="AH12" s="0" t="n">
        <f aca="false">SUMIFS(C$2:C$1500,C$2:C$1500, "&gt;=0",AB$2:AB$1500, "&lt;165",AB$2:AB$1500,"&gt;=150")</f>
        <v>133.8</v>
      </c>
      <c r="AJ12" s="1" t="s">
        <v>74</v>
      </c>
      <c r="AK12" s="0" t="n">
        <f aca="false">SUMIF($J$2:$J$2000,"&lt;60",$C$2:$C$2000)-SUM($AK$2:$AK$11)</f>
        <v>21.2</v>
      </c>
    </row>
    <row r="13" customFormat="false" ht="15.8" hidden="false" customHeight="false" outlineLevel="0" collapsed="false">
      <c r="A13" s="1" t="n">
        <v>1</v>
      </c>
      <c r="B13" s="1" t="n">
        <v>11</v>
      </c>
      <c r="C13" s="1" t="n">
        <v>2.7</v>
      </c>
      <c r="D13" s="1" t="n">
        <v>1.3514</v>
      </c>
      <c r="E13" s="1" t="n">
        <v>0.0926268</v>
      </c>
      <c r="F13" s="1" t="n">
        <v>0.000252735</v>
      </c>
      <c r="G13" s="1" t="s">
        <v>27</v>
      </c>
      <c r="H13" s="1" t="n">
        <v>58.6</v>
      </c>
      <c r="I13" s="1" t="n">
        <v>211.8</v>
      </c>
      <c r="J13" s="1" t="n">
        <v>19.3</v>
      </c>
      <c r="K13" s="1"/>
      <c r="L13" s="1" t="n">
        <v>0</v>
      </c>
      <c r="M13" s="1" t="n">
        <v>0</v>
      </c>
      <c r="N13" s="1" t="s">
        <v>77</v>
      </c>
      <c r="O13" s="1" t="n">
        <v>165</v>
      </c>
      <c r="P13" s="1" t="n">
        <f aca="false">COUNTIF(I$2:I$1500,"&lt;180")-SUM(P2:P12)</f>
        <v>28</v>
      </c>
      <c r="Q13" s="1" t="s">
        <v>78</v>
      </c>
      <c r="R13" s="1" t="n">
        <f aca="false">COUNTIF(J$2:J$1500,"&lt;75")-SUM(R2:R12)</f>
        <v>3</v>
      </c>
      <c r="S13" s="2" t="s">
        <v>79</v>
      </c>
      <c r="T13" s="1" t="n">
        <f aca="false">COUNTIFS(J$2:J$1500, "&gt;-90",I$2:I$1500, "&lt;180")-SUM(T2:T12)</f>
        <v>0</v>
      </c>
      <c r="U13" s="1" t="n">
        <v>165</v>
      </c>
      <c r="V13" s="0" t="n">
        <f aca="false">SUMIFS(C$2:C$1500,C$2:C$1500, "&gt;=0",I$2:I$1500, "&lt;180",I$2:I$1500,"&gt;=165")</f>
        <v>76.5</v>
      </c>
      <c r="W13" s="2" t="s">
        <v>80</v>
      </c>
      <c r="X13" s="0" t="n">
        <f aca="false">SUMIFS(C$2:C$1500,C$2:C$1500, "&gt;=0",J$2:J$1500, "&lt;90",J$2:J$1500,"&gt;=75",I$2:I$1500,"&lt;180")</f>
        <v>0.7</v>
      </c>
      <c r="Z13" s="0" t="n">
        <f aca="false">I13-35</f>
        <v>176.8</v>
      </c>
      <c r="AB13" s="0" t="n">
        <f aca="false">IF(Z13&lt;0,Z13+360,Z13+0)</f>
        <v>176.8</v>
      </c>
      <c r="AD13" s="1" t="n">
        <v>165</v>
      </c>
      <c r="AE13" s="1" t="n">
        <f aca="false">COUNTIF(AB$2:AB$1500,"&lt;180")-SUM(AE2:AE12)</f>
        <v>22</v>
      </c>
      <c r="AF13" s="1"/>
      <c r="AG13" s="1" t="n">
        <v>165</v>
      </c>
      <c r="AH13" s="0" t="n">
        <f aca="false">SUMIFS(C$2:C$1500,C$2:C$1500, "&gt;=0",AB$2:AB$1500, "&lt;180",AB$2:AB$1500,"&gt;=165")</f>
        <v>52.3</v>
      </c>
      <c r="AJ13" s="1" t="s">
        <v>78</v>
      </c>
      <c r="AK13" s="0" t="n">
        <f aca="false">SUMIF($J$2:$J$2000,"&lt;75",$C$2:$C$2000)-SUM($AK$2:$AK$12)</f>
        <v>4.10000000000014</v>
      </c>
    </row>
    <row r="14" customFormat="false" ht="15.8" hidden="false" customHeight="false" outlineLevel="0" collapsed="false">
      <c r="A14" s="1" t="n">
        <v>1</v>
      </c>
      <c r="B14" s="1" t="n">
        <v>11</v>
      </c>
      <c r="C14" s="1" t="n">
        <v>4.3</v>
      </c>
      <c r="D14" s="1" t="n">
        <v>1.1141</v>
      </c>
      <c r="E14" s="1" t="n">
        <v>0.149003</v>
      </c>
      <c r="F14" s="1" t="n">
        <v>0.00040656</v>
      </c>
      <c r="G14" s="1" t="s">
        <v>27</v>
      </c>
      <c r="H14" s="1" t="n">
        <v>31.1</v>
      </c>
      <c r="I14" s="1" t="n">
        <v>193</v>
      </c>
      <c r="J14" s="1" t="n">
        <v>-4.9</v>
      </c>
      <c r="K14" s="1"/>
      <c r="L14" s="1" t="n">
        <v>0</v>
      </c>
      <c r="M14" s="1" t="n">
        <v>0</v>
      </c>
      <c r="N14" s="1" t="s">
        <v>77</v>
      </c>
      <c r="O14" s="1" t="n">
        <v>180</v>
      </c>
      <c r="P14" s="1" t="n">
        <f aca="false">COUNTIF(I$2:I$1500,"&lt;195")-SUM(P2:P13)</f>
        <v>53</v>
      </c>
      <c r="Q14" s="1" t="s">
        <v>81</v>
      </c>
      <c r="R14" s="1" t="n">
        <f aca="false">COUNTIF(J$2:J$1500,"&lt;=90")-SUM(R2:R13)</f>
        <v>1</v>
      </c>
      <c r="S14" s="2" t="s">
        <v>82</v>
      </c>
      <c r="T14" s="1" t="n">
        <f aca="false">COUNTIFS(J$2:J$1500, "&gt;-90",I$2:I$1500, "&gt;=180")-SUM(T15:T25)</f>
        <v>2</v>
      </c>
      <c r="U14" s="1" t="n">
        <v>180</v>
      </c>
      <c r="V14" s="0" t="n">
        <f aca="false">SUMIFS(C$2:C$1500,C$2:C$1500, "&gt;=0",I$2:I$1500, "&lt;195",I$2:I$1500,"&gt;=180")</f>
        <v>171.7</v>
      </c>
      <c r="W14" s="2" t="s">
        <v>83</v>
      </c>
      <c r="X14" s="0" t="n">
        <f aca="false">SUMIFS(C$2:C$1500,C$2:C$1500, "&gt;=0",J$2:J$1500, "&lt;90",J$2:J$1500,"&gt;=75",I$2:I$1500,"&gt;=180")</f>
        <v>0</v>
      </c>
      <c r="Z14" s="0" t="n">
        <f aca="false">I14-35</f>
        <v>158</v>
      </c>
      <c r="AB14" s="0" t="n">
        <f aca="false">IF(Z14&lt;0,Z14+360,Z14+0)</f>
        <v>158</v>
      </c>
      <c r="AD14" s="1" t="n">
        <v>180</v>
      </c>
      <c r="AE14" s="1" t="n">
        <f aca="false">COUNTIF(AB$2:AB$1500,"&lt;195")-SUM(AE2:AE13)</f>
        <v>19</v>
      </c>
      <c r="AF14" s="1"/>
      <c r="AG14" s="1" t="n">
        <v>180</v>
      </c>
      <c r="AH14" s="0" t="n">
        <f aca="false">SUMIFS(C$2:C$1500,C$2:C$1500, "&gt;=0",AB$2:AB$1500, "&lt;195",AB$2:AB$1500,"&gt;=180")</f>
        <v>34.3</v>
      </c>
      <c r="AJ14" s="1" t="s">
        <v>81</v>
      </c>
      <c r="AK14" s="0" t="n">
        <f aca="false">SUMIF($J$2:$J$2000,"&lt;90",$C$2:$C$2000)-SUM($AK$2:$AK$13)</f>
        <v>0.699999999999818</v>
      </c>
    </row>
    <row r="15" customFormat="false" ht="15.8" hidden="false" customHeight="false" outlineLevel="0" collapsed="false">
      <c r="A15" s="1" t="n">
        <v>1</v>
      </c>
      <c r="B15" s="1" t="n">
        <v>10</v>
      </c>
      <c r="C15" s="1" t="n">
        <v>0.7</v>
      </c>
      <c r="D15" s="1" t="n">
        <v>1.2144</v>
      </c>
      <c r="E15" s="1" t="n">
        <v>0.0234361</v>
      </c>
      <c r="F15" s="1" t="n">
        <v>6.39463E-005</v>
      </c>
      <c r="G15" s="1" t="s">
        <v>59</v>
      </c>
      <c r="H15" s="1" t="n">
        <v>56.7</v>
      </c>
      <c r="I15" s="1" t="n">
        <v>191</v>
      </c>
      <c r="J15" s="1" t="n">
        <v>-35.9</v>
      </c>
      <c r="K15" s="1" t="n">
        <v>58.6</v>
      </c>
      <c r="L15" s="1" t="n">
        <v>0</v>
      </c>
      <c r="M15" s="1" t="n">
        <v>0</v>
      </c>
      <c r="N15" s="1" t="s">
        <v>84</v>
      </c>
      <c r="O15" s="1" t="n">
        <v>195</v>
      </c>
      <c r="P15" s="1" t="n">
        <f aca="false">COUNTIF(I$2:I$1500,"&lt;210")-SUM(P2:P14)</f>
        <v>26</v>
      </c>
      <c r="R15" s="1"/>
      <c r="S15" s="2" t="s">
        <v>85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63.2</v>
      </c>
      <c r="W15" s="2" t="s">
        <v>86</v>
      </c>
      <c r="X15" s="0" t="n">
        <f aca="false">SUMIFS(C$2:C$1500,C$2:C$1500, "&gt;=0",J$2:J$1500, "&lt;75",J$2:J$1500,"&gt;=60",I$2:I$1500,"&gt;=180")</f>
        <v>0</v>
      </c>
      <c r="Z15" s="0" t="n">
        <f aca="false">I15-35</f>
        <v>156</v>
      </c>
      <c r="AB15" s="0" t="n">
        <f aca="false">IF(Z15&lt;0,Z15+360,Z15+0)</f>
        <v>156</v>
      </c>
      <c r="AD15" s="1" t="n">
        <v>195</v>
      </c>
      <c r="AE15" s="1" t="n">
        <f aca="false">COUNTIF(AB$2:AB$1500,"&lt;210")-SUM(AE2:AE14)</f>
        <v>17</v>
      </c>
      <c r="AF15" s="1"/>
      <c r="AG15" s="1" t="n">
        <v>195</v>
      </c>
      <c r="AH15" s="0" t="n">
        <f aca="false">SUMIFS(C$2:C$1500,C$2:C$1500, "&gt;=0",AB$2:AB$1500, "&lt;210",AB$2:AB$1500,"&gt;=195")</f>
        <v>28.5</v>
      </c>
    </row>
    <row r="16" customFormat="false" ht="15.8" hidden="false" customHeight="false" outlineLevel="0" collapsed="false">
      <c r="A16" s="1" t="n">
        <v>1</v>
      </c>
      <c r="B16" s="1" t="n">
        <v>10</v>
      </c>
      <c r="C16" s="1" t="n">
        <v>1.5</v>
      </c>
      <c r="D16" s="1" t="n">
        <v>1.2111</v>
      </c>
      <c r="E16" s="1" t="n">
        <v>0.0510449</v>
      </c>
      <c r="F16" s="1" t="n">
        <v>0.000139278</v>
      </c>
      <c r="G16" s="1" t="s">
        <v>27</v>
      </c>
      <c r="H16" s="1" t="n">
        <v>89</v>
      </c>
      <c r="I16" s="1" t="n">
        <v>59.7</v>
      </c>
      <c r="J16" s="1" t="n">
        <v>32.5</v>
      </c>
      <c r="K16" s="1"/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18</v>
      </c>
      <c r="S16" s="2" t="s">
        <v>87</v>
      </c>
      <c r="T16" s="1" t="n">
        <f aca="false">COUNTIFS(J$2:J$1500, "&gt;-60",I$2:I$1500, "&gt;=180")-SUM(T17:T25)</f>
        <v>5</v>
      </c>
      <c r="U16" s="1" t="n">
        <v>210</v>
      </c>
      <c r="V16" s="0" t="n">
        <f aca="false">SUMIFS(C$2:C$1500,C$2:C$1500, "&gt;=0",I$2:I$1500, "&lt;225",I$2:I$1500,"&gt;=210")</f>
        <v>37.4</v>
      </c>
      <c r="W16" s="2" t="s">
        <v>88</v>
      </c>
      <c r="X16" s="0" t="n">
        <f aca="false">SUMIFS(C$2:C$1500,C$2:C$1500, "&gt;=0",J$2:J$1500, "&lt;60",J$2:J$1500,"&gt;=45",I$2:I$1500,"&gt;=180")</f>
        <v>5.8</v>
      </c>
      <c r="Z16" s="0" t="n">
        <f aca="false">I16-35</f>
        <v>24.7</v>
      </c>
      <c r="AB16" s="0" t="n">
        <f aca="false">IF(Z16&lt;0,Z16+360,Z16+0)</f>
        <v>24.7</v>
      </c>
      <c r="AD16" s="1" t="n">
        <v>210</v>
      </c>
      <c r="AE16" s="1" t="n">
        <f aca="false">COUNTIF(AB$2:AB$1500,"&lt;225")-SUM(AE2:AE15)</f>
        <v>20</v>
      </c>
      <c r="AF16" s="1"/>
      <c r="AG16" s="1" t="n">
        <v>210</v>
      </c>
      <c r="AH16" s="0" t="n">
        <f aca="false">SUMIFS(C$2:C$1500,C$2:C$1500, "&gt;=0",AB$2:AB$1500, "&lt;225",AB$2:AB$1500,"&gt;=210")</f>
        <v>26.8</v>
      </c>
    </row>
    <row r="17" customFormat="false" ht="15.8" hidden="false" customHeight="false" outlineLevel="0" collapsed="false">
      <c r="A17" s="1" t="n">
        <v>1</v>
      </c>
      <c r="B17" s="1" t="n">
        <v>10</v>
      </c>
      <c r="C17" s="1" t="n">
        <v>5.4</v>
      </c>
      <c r="D17" s="1" t="n">
        <v>1.1209</v>
      </c>
      <c r="E17" s="1" t="n">
        <v>0.184699</v>
      </c>
      <c r="F17" s="1" t="n">
        <v>0.000503957</v>
      </c>
      <c r="G17" s="1" t="s">
        <v>27</v>
      </c>
      <c r="H17" s="1" t="n">
        <v>99.2</v>
      </c>
      <c r="I17" s="1" t="n">
        <v>10</v>
      </c>
      <c r="J17" s="1" t="n">
        <v>-7.9</v>
      </c>
      <c r="K17" s="1"/>
      <c r="L17" s="1" t="n">
        <v>0</v>
      </c>
      <c r="M17" s="1" t="n">
        <v>0</v>
      </c>
      <c r="N17" s="1" t="s">
        <v>84</v>
      </c>
      <c r="O17" s="1" t="n">
        <v>225</v>
      </c>
      <c r="P17" s="1" t="n">
        <f aca="false">COUNTIF(I$2:I$1500,"&lt;240")-SUM(P2:P16)</f>
        <v>21</v>
      </c>
      <c r="S17" s="2" t="s">
        <v>89</v>
      </c>
      <c r="T17" s="1" t="n">
        <f aca="false">COUNTIFS(J$2:J$1500, "&gt;-45",I$2:I$1500, "&gt;=180")-SUM(T18:T25)</f>
        <v>12</v>
      </c>
      <c r="U17" s="1" t="n">
        <v>225</v>
      </c>
      <c r="V17" s="0" t="n">
        <f aca="false">SUMIFS(C$2:C$1500,C$2:C$1500, "&gt;=0",I$2:I$1500, "&lt;240",I$2:I$1500,"&gt;=225")</f>
        <v>34.8</v>
      </c>
      <c r="W17" s="2" t="s">
        <v>90</v>
      </c>
      <c r="X17" s="0" t="n">
        <f aca="false">SUMIFS(C$2:C$1500,C$2:C$1500, "&gt;=0",J$2:J$1500, "&lt;45",J$2:J$1500,"&gt;=30",I$2:I$1500,"&gt;=180")</f>
        <v>20.1</v>
      </c>
      <c r="Z17" s="0" t="n">
        <f aca="false">I17-35</f>
        <v>-25</v>
      </c>
      <c r="AB17" s="0" t="n">
        <f aca="false">IF(Z17&lt;0,Z17+360,Z17+0)</f>
        <v>335</v>
      </c>
      <c r="AD17" s="1" t="n">
        <v>225</v>
      </c>
      <c r="AE17" s="1" t="n">
        <f aca="false">COUNTIF(AB$11:AB$1500,"&lt;240")-SUM(AE2:AE16)</f>
        <v>12</v>
      </c>
      <c r="AF17" s="1"/>
      <c r="AG17" s="1" t="n">
        <v>225</v>
      </c>
      <c r="AH17" s="0" t="n">
        <f aca="false">SUMIFS(C$2:C$1500,C$2:C$1500, "&gt;=0",AB$2:AB$1500, "&lt;240",AB$2:AB$1500,"&gt;=225")</f>
        <v>39.5</v>
      </c>
    </row>
    <row r="18" customFormat="false" ht="15.8" hidden="false" customHeight="false" outlineLevel="0" collapsed="false">
      <c r="A18" s="1" t="n">
        <v>1</v>
      </c>
      <c r="B18" s="1" t="n">
        <v>9</v>
      </c>
      <c r="C18" s="1" t="n">
        <v>4.8</v>
      </c>
      <c r="D18" s="1" t="n">
        <v>1.2697</v>
      </c>
      <c r="E18" s="1" t="n">
        <v>0.163932</v>
      </c>
      <c r="F18" s="1" t="n">
        <v>0.000447294</v>
      </c>
      <c r="G18" s="1" t="s">
        <v>59</v>
      </c>
      <c r="H18" s="1" t="n">
        <v>34.4</v>
      </c>
      <c r="I18" s="1" t="n">
        <v>118.3</v>
      </c>
      <c r="J18" s="1" t="n">
        <v>-37.8</v>
      </c>
      <c r="K18" s="1" t="n">
        <v>99.2</v>
      </c>
      <c r="L18" s="1" t="n">
        <v>0</v>
      </c>
      <c r="M18" s="1" t="n">
        <v>0</v>
      </c>
      <c r="N18" s="1" t="s">
        <v>73</v>
      </c>
      <c r="O18" s="1" t="n">
        <v>240</v>
      </c>
      <c r="P18" s="1" t="n">
        <f aca="false">COUNTIF(I$2:I$1500,"&lt;255")-SUM(P2:P17)</f>
        <v>17</v>
      </c>
      <c r="S18" s="2" t="s">
        <v>91</v>
      </c>
      <c r="T18" s="1" t="n">
        <f aca="false">COUNTIFS(J$2:J$1500, "&gt;-30",I$2:I$1500, "&gt;=180")-SUM(T19:T25)</f>
        <v>30</v>
      </c>
      <c r="U18" s="1" t="n">
        <v>240</v>
      </c>
      <c r="V18" s="0" t="n">
        <f aca="false">SUMIFS(C$2:C$1500,C$2:C$1500, "&gt;=0",I$2:I$1500, "&lt;255",I$2:I$1500,"&gt;=240")</f>
        <v>25.4</v>
      </c>
      <c r="W18" s="2" t="s">
        <v>92</v>
      </c>
      <c r="X18" s="0" t="n">
        <f aca="false">SUMIFS(C$2:C$1500,C$2:C$1500, "&gt;=0",J$2:J$1500, "&lt;30",J$2:J$1500,"&gt;=15",I$2:I$1500,"&gt;=180")</f>
        <v>93.4</v>
      </c>
      <c r="Z18" s="0" t="n">
        <f aca="false">I18-35</f>
        <v>83.3</v>
      </c>
      <c r="AB18" s="0" t="n">
        <f aca="false">IF(Z18&lt;0,Z18+360,Z18+0)</f>
        <v>83.3</v>
      </c>
      <c r="AD18" s="1" t="n">
        <v>240</v>
      </c>
      <c r="AE18" s="1" t="n">
        <f aca="false">COUNTIF(AB$2:AB$1500,"&lt;255")-SUM(AE2:AE17)</f>
        <v>21</v>
      </c>
      <c r="AF18" s="1"/>
      <c r="AG18" s="1" t="n">
        <v>240</v>
      </c>
      <c r="AH18" s="0" t="n">
        <f aca="false">SUMIFS(C$2:C$1500,C$2:C$1500, "&gt;=0",AB$2:AB$1500, "&lt;255",AB$2:AB$1500,"&gt;=240")</f>
        <v>35.3</v>
      </c>
    </row>
    <row r="19" customFormat="false" ht="15.8" hidden="false" customHeight="false" outlineLevel="0" collapsed="false">
      <c r="A19" s="1" t="n">
        <v>1</v>
      </c>
      <c r="B19" s="1" t="n">
        <v>8</v>
      </c>
      <c r="C19" s="1" t="n">
        <v>3.9</v>
      </c>
      <c r="D19" s="1" t="n">
        <v>1.3176</v>
      </c>
      <c r="E19" s="1" t="n">
        <v>0.132862</v>
      </c>
      <c r="F19" s="1" t="n">
        <v>0.000362518</v>
      </c>
      <c r="G19" s="1" t="s">
        <v>59</v>
      </c>
      <c r="H19" s="1" t="n">
        <v>34.7</v>
      </c>
      <c r="I19" s="1" t="n">
        <v>163.6</v>
      </c>
      <c r="J19" s="1" t="n">
        <v>-51.8</v>
      </c>
      <c r="K19" s="1" t="n">
        <v>89.4</v>
      </c>
      <c r="L19" s="1" t="n">
        <v>0</v>
      </c>
      <c r="M19" s="1" t="n">
        <v>0</v>
      </c>
      <c r="N19" s="1" t="s">
        <v>69</v>
      </c>
      <c r="O19" s="1" t="n">
        <v>255</v>
      </c>
      <c r="P19" s="1" t="n">
        <f aca="false">COUNTIF(I$2:I$1500,"&lt;270")-SUM(P2:P18)</f>
        <v>16</v>
      </c>
      <c r="S19" s="2" t="s">
        <v>93</v>
      </c>
      <c r="T19" s="1" t="n">
        <f aca="false">COUNTIFS(J$2:J$1500, "&gt;-15",I$2:I$1500, "&gt;=180")-SUM(T20:T25)</f>
        <v>147</v>
      </c>
      <c r="U19" s="1" t="n">
        <v>255</v>
      </c>
      <c r="V19" s="0" t="n">
        <f aca="false">SUMIFS(C$2:C$1500,C$2:C$1500, "&gt;=0",I$2:I$1500, "&lt;270",I$2:I$1500,"&gt;=255")</f>
        <v>34.6</v>
      </c>
      <c r="W19" s="2" t="s">
        <v>94</v>
      </c>
      <c r="X19" s="0" t="n">
        <f aca="false">SUMIFS(C$2:C$1500,C$2:C$1500, "&gt;=0",J$2:J$1500, "&lt;15",J$2:J$1500,"&gt;=0",I$2:I$1500,"&gt;=180")</f>
        <v>276</v>
      </c>
      <c r="Z19" s="0" t="n">
        <f aca="false">I19-35</f>
        <v>128.6</v>
      </c>
      <c r="AB19" s="0" t="n">
        <f aca="false">IF(Z19&lt;0,Z19+360,Z19+0)</f>
        <v>128.6</v>
      </c>
      <c r="AD19" s="1" t="n">
        <v>255</v>
      </c>
      <c r="AE19" s="1" t="n">
        <f aca="false">COUNTIF(AB$2:AB$1500,"&lt;270")-SUM(AE2:AE18)</f>
        <v>15</v>
      </c>
      <c r="AF19" s="1"/>
      <c r="AG19" s="1" t="n">
        <v>255</v>
      </c>
      <c r="AH19" s="0" t="n">
        <f aca="false">SUMIFS(C$2:C$1500,C$2:C$1500, "&gt;=0",AB$2:AB$1500, "&lt;270",AB$2:AB$1500,"&gt;=255")</f>
        <v>16.8</v>
      </c>
    </row>
    <row r="20" customFormat="false" ht="15.8" hidden="false" customHeight="false" outlineLevel="0" collapsed="false">
      <c r="A20" s="1" t="n">
        <v>1</v>
      </c>
      <c r="B20" s="1" t="n">
        <v>7</v>
      </c>
      <c r="C20" s="1" t="n">
        <v>1.4</v>
      </c>
      <c r="D20" s="1" t="n">
        <v>1.3493</v>
      </c>
      <c r="E20" s="1" t="n">
        <v>0.0489597</v>
      </c>
      <c r="F20" s="1" t="n">
        <v>0.000133588</v>
      </c>
      <c r="G20" s="1" t="s">
        <v>59</v>
      </c>
      <c r="H20" s="1" t="n">
        <v>46.3</v>
      </c>
      <c r="I20" s="1" t="n">
        <v>152.9</v>
      </c>
      <c r="J20" s="1" t="n">
        <v>-18.2</v>
      </c>
      <c r="K20" s="1" t="n">
        <v>101.8</v>
      </c>
      <c r="L20" s="1" t="n">
        <v>0</v>
      </c>
      <c r="M20" s="1" t="n">
        <v>0</v>
      </c>
      <c r="N20" s="1" t="s">
        <v>65</v>
      </c>
      <c r="O20" s="1" t="n">
        <v>270</v>
      </c>
      <c r="P20" s="1" t="n">
        <f aca="false">COUNTIF(I$2:I$1500,"&lt;285")-SUM(P2:P19)</f>
        <v>17</v>
      </c>
      <c r="S20" s="2" t="s">
        <v>95</v>
      </c>
      <c r="T20" s="1" t="n">
        <f aca="false">COUNTIFS(J$2:J$1500, "&gt;0",I$2:I$1500, "&gt;=180")-SUM(T21:T25)</f>
        <v>35</v>
      </c>
      <c r="U20" s="1" t="n">
        <v>270</v>
      </c>
      <c r="V20" s="0" t="n">
        <f aca="false">SUMIFS(C$2:C$1500,C$2:C$1500, "&gt;=0",I$2:I$1500, "&lt;285",I$2:I$1500,"&gt;=270")</f>
        <v>30.5</v>
      </c>
      <c r="W20" s="2" t="s">
        <v>96</v>
      </c>
      <c r="X20" s="0" t="n">
        <f aca="false">SUMIFS(C$2:C$1500,C$2:C$1500, "&gt;=0",J$2:J$1500, "&lt;0",J$2:J$1500,"&gt;=-15",I$2:I$1500,"&gt;=180")</f>
        <v>136.2</v>
      </c>
      <c r="Z20" s="0" t="n">
        <f aca="false">I20-35</f>
        <v>117.9</v>
      </c>
      <c r="AB20" s="0" t="n">
        <f aca="false">IF(Z20&lt;0,Z20+360,Z20+0)</f>
        <v>117.9</v>
      </c>
      <c r="AD20" s="1" t="n">
        <v>270</v>
      </c>
      <c r="AE20" s="1" t="n">
        <f aca="false">COUNTIF(AB$2:AB$1500,"&lt;285")-SUM(AE2:AE19)</f>
        <v>23</v>
      </c>
      <c r="AF20" s="1"/>
      <c r="AG20" s="1" t="n">
        <v>270</v>
      </c>
      <c r="AH20" s="0" t="n">
        <f aca="false">SUMIFS(C$2:C$1500,C$2:C$1500, "&gt;=0",AB$2:AB$1500, "&lt;285",AB$2:AB$1500,"&gt;=270")</f>
        <v>45.6</v>
      </c>
    </row>
    <row r="21" customFormat="false" ht="15.8" hidden="false" customHeight="false" outlineLevel="0" collapsed="false">
      <c r="A21" s="1" t="n">
        <v>1</v>
      </c>
      <c r="B21" s="1" t="n">
        <v>6</v>
      </c>
      <c r="C21" s="1" t="n">
        <v>4.3</v>
      </c>
      <c r="D21" s="1" t="n">
        <v>1.4342</v>
      </c>
      <c r="E21" s="1" t="n">
        <v>0.145937</v>
      </c>
      <c r="F21" s="1" t="n">
        <v>0.000398194</v>
      </c>
      <c r="G21" s="1" t="s">
        <v>59</v>
      </c>
      <c r="H21" s="1" t="n">
        <v>74.5</v>
      </c>
      <c r="I21" s="1" t="n">
        <v>103.3</v>
      </c>
      <c r="J21" s="1" t="n">
        <v>-26.4</v>
      </c>
      <c r="K21" s="1" t="n">
        <v>56</v>
      </c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18</v>
      </c>
      <c r="S21" s="2" t="s">
        <v>98</v>
      </c>
      <c r="T21" s="1" t="n">
        <f aca="false">COUNTIFS(J$2:J$1500, "&gt;15",I$2:I$1500, "&gt;=180")-SUM(T22:T25)</f>
        <v>38</v>
      </c>
      <c r="U21" s="1" t="n">
        <v>285</v>
      </c>
      <c r="V21" s="0" t="n">
        <f aca="false">SUMIFS(C$2:C$1500,C$2:C$1500, "&gt;=0",I$2:I$1500, "&lt;300",I$2:I$1500,"&gt;=285")</f>
        <v>30.9</v>
      </c>
      <c r="W21" s="2" t="s">
        <v>99</v>
      </c>
      <c r="X21" s="0" t="n">
        <f aca="false">SUMIFS(C$2:C$1500,C$2:C$1500, "&gt;=0",J$2:J$1500, "&lt;-15",J$2:J$1500,"&gt;=-30",I$2:I$1500,"&gt;=180")</f>
        <v>51.2</v>
      </c>
      <c r="Z21" s="0" t="n">
        <f aca="false">I21-35</f>
        <v>68.3</v>
      </c>
      <c r="AB21" s="0" t="n">
        <f aca="false">IF(Z21&lt;0,Z21+360,Z21+0)</f>
        <v>68.3</v>
      </c>
      <c r="AD21" s="1" t="n">
        <v>285</v>
      </c>
      <c r="AE21" s="1" t="n">
        <f aca="false">COUNTIF(AB$2:AB$1500,"&lt;300")-SUM(AE2:AE20)</f>
        <v>24</v>
      </c>
      <c r="AF21" s="1"/>
      <c r="AG21" s="1" t="n">
        <v>285</v>
      </c>
      <c r="AH21" s="0" t="n">
        <f aca="false">SUMIFS(C$2:C$1500,C$2:C$1500, "&gt;=0",AB$2:AB$1500, "&lt;300",AB$2:AB$1500,"&gt;=285")</f>
        <v>35.6</v>
      </c>
    </row>
    <row r="22" customFormat="false" ht="15.8" hidden="false" customHeight="false" outlineLevel="0" collapsed="false">
      <c r="A22" s="1" t="n">
        <v>1</v>
      </c>
      <c r="B22" s="1" t="n">
        <v>7</v>
      </c>
      <c r="C22" s="1" t="n">
        <v>2.1</v>
      </c>
      <c r="D22" s="1" t="n">
        <v>1.3532</v>
      </c>
      <c r="E22" s="1" t="n">
        <v>0.0705445</v>
      </c>
      <c r="F22" s="1" t="n">
        <v>0.000192483</v>
      </c>
      <c r="G22" s="1" t="s">
        <v>27</v>
      </c>
      <c r="H22" s="1" t="n">
        <v>91.4</v>
      </c>
      <c r="I22" s="1" t="n">
        <v>82.2</v>
      </c>
      <c r="J22" s="1" t="n">
        <v>0</v>
      </c>
      <c r="K22" s="1"/>
      <c r="L22" s="1" t="n">
        <v>0</v>
      </c>
      <c r="M22" s="1" t="n">
        <v>0</v>
      </c>
      <c r="N22" s="1" t="s">
        <v>100</v>
      </c>
      <c r="O22" s="1" t="n">
        <v>300</v>
      </c>
      <c r="P22" s="1" t="n">
        <f aca="false">COUNTIF(I$2:I$1500,"&lt;315")-SUM(P2:P21)</f>
        <v>19</v>
      </c>
      <c r="S22" s="2" t="s">
        <v>101</v>
      </c>
      <c r="T22" s="1" t="n">
        <f aca="false">COUNTIFS(J$2:J$1500, "&gt;30",I$2:I$1500, "&gt;=180")-SUM(T23:T25)</f>
        <v>16</v>
      </c>
      <c r="U22" s="1" t="n">
        <v>300</v>
      </c>
      <c r="V22" s="0" t="n">
        <f aca="false">SUMIFS(C$2:C$1500,C$2:C$1500, "&gt;=0",I$2:I$1500, "&lt;315",I$2:I$1500,"&gt;=300")</f>
        <v>35.2</v>
      </c>
      <c r="W22" s="2" t="s">
        <v>102</v>
      </c>
      <c r="X22" s="0" t="n">
        <f aca="false">SUMIFS(C$2:C$1500,C$2:C$1500, "&gt;=0",J$2:J$1500, "&lt;-30",J$2:J$1500,"&gt;=-45",I$2:I$1500,"&gt;=180")</f>
        <v>23</v>
      </c>
      <c r="Z22" s="0" t="n">
        <f aca="false">I22-35</f>
        <v>47.2</v>
      </c>
      <c r="AB22" s="0" t="n">
        <f aca="false">IF(Z22&lt;0,Z22+360,Z22+0)</f>
        <v>47.2</v>
      </c>
      <c r="AD22" s="1" t="n">
        <v>300</v>
      </c>
      <c r="AE22" s="1" t="n">
        <f aca="false">COUNTIF(AB$2:AB$1500,"&lt;315")-SUM(AE2:AE21)</f>
        <v>34</v>
      </c>
      <c r="AF22" s="1"/>
      <c r="AG22" s="1" t="n">
        <v>300</v>
      </c>
      <c r="AH22" s="0" t="n">
        <f aca="false">SUMIFS(C$2:C$1500,C$2:C$1500, "&gt;=0",AB$2:AB$1500, "&lt;315",AB$2:AB$1500,"&gt;=300")</f>
        <v>65.7</v>
      </c>
    </row>
    <row r="23" customFormat="false" ht="15.8" hidden="false" customHeight="false" outlineLevel="0" collapsed="false">
      <c r="A23" s="1" t="n">
        <v>1</v>
      </c>
      <c r="B23" s="1" t="n">
        <v>7</v>
      </c>
      <c r="C23" s="1" t="n">
        <v>1.8</v>
      </c>
      <c r="D23" s="1" t="n">
        <v>1.2484</v>
      </c>
      <c r="E23" s="1" t="n">
        <v>0.0600531</v>
      </c>
      <c r="F23" s="1" t="n">
        <v>0.000163857</v>
      </c>
      <c r="G23" s="1" t="s">
        <v>27</v>
      </c>
      <c r="H23" s="1" t="n">
        <v>12.6</v>
      </c>
      <c r="I23" s="1" t="n">
        <v>170.9</v>
      </c>
      <c r="J23" s="1" t="n">
        <v>-28.1</v>
      </c>
      <c r="K23" s="1"/>
      <c r="L23" s="1" t="n">
        <v>0</v>
      </c>
      <c r="M23" s="1" t="n">
        <v>0</v>
      </c>
      <c r="N23" s="1" t="s">
        <v>100</v>
      </c>
      <c r="O23" s="1" t="n">
        <v>315</v>
      </c>
      <c r="P23" s="1" t="n">
        <f aca="false">COUNTIF(I$2:I$1500,"&lt;330")-SUM(P2:P22)</f>
        <v>24</v>
      </c>
      <c r="S23" s="2" t="s">
        <v>103</v>
      </c>
      <c r="T23" s="1" t="n">
        <f aca="false">COUNTIFS(J$2:J$1500, "&gt;45",I$2:I$1500, "&gt;=180")-SUM(T24:T25)</f>
        <v>4</v>
      </c>
      <c r="U23" s="1" t="n">
        <v>315</v>
      </c>
      <c r="V23" s="0" t="n">
        <f aca="false">SUMIFS(C$2:C$1500,C$2:C$1500, "&gt;=0",I$2:I$1500, "&lt;330",I$2:I$1500,"&gt;=315")</f>
        <v>31.1</v>
      </c>
      <c r="W23" s="2" t="s">
        <v>104</v>
      </c>
      <c r="X23" s="0" t="n">
        <f aca="false">SUMIFS(C$2:C$1500,C$2:C$1500, "&gt;=0",J$2:J$1500, "&lt;-45",J$2:J$1500,"&gt;=-60",I$2:I$1500,"&gt;=180")</f>
        <v>10.1</v>
      </c>
      <c r="Z23" s="0" t="n">
        <f aca="false">I23-35</f>
        <v>135.9</v>
      </c>
      <c r="AB23" s="0" t="n">
        <f aca="false">IF(Z23&lt;0,Z23+360,Z23+0)</f>
        <v>135.9</v>
      </c>
      <c r="AD23" s="1" t="n">
        <v>315</v>
      </c>
      <c r="AE23" s="1" t="n">
        <f aca="false">COUNTIF(AB$2:AB$1500,"&lt;330")-SUM(AE2:AE22)</f>
        <v>44</v>
      </c>
      <c r="AF23" s="1"/>
      <c r="AG23" s="1" t="n">
        <v>315</v>
      </c>
      <c r="AH23" s="0" t="n">
        <f aca="false">SUMIFS(C$2:C$1500,C$2:C$1500, "&gt;=0",AB$2:AB$1500, "&lt;330",AB$2:AB$1500,"&gt;=315")</f>
        <v>91.7</v>
      </c>
    </row>
    <row r="24" customFormat="false" ht="15.8" hidden="false" customHeight="false" outlineLevel="0" collapsed="false">
      <c r="A24" s="1" t="n">
        <v>1</v>
      </c>
      <c r="B24" s="1" t="n">
        <v>9</v>
      </c>
      <c r="C24" s="1" t="n">
        <v>1</v>
      </c>
      <c r="D24" s="1" t="n">
        <v>1.2511</v>
      </c>
      <c r="E24" s="1" t="n">
        <v>0.0352985</v>
      </c>
      <c r="F24" s="1" t="n">
        <v>9.63131E-005</v>
      </c>
      <c r="G24" s="1" t="s">
        <v>27</v>
      </c>
      <c r="H24" s="1" t="n">
        <v>40.4</v>
      </c>
      <c r="I24" s="1" t="n">
        <v>325.6</v>
      </c>
      <c r="J24" s="1" t="n">
        <v>23.6</v>
      </c>
      <c r="K24" s="1"/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27</v>
      </c>
      <c r="S24" s="2" t="s">
        <v>106</v>
      </c>
      <c r="T24" s="1" t="n">
        <f aca="false">COUNTIFS(J$2:J$1500, "&gt;60",I$2:I$1500, "&gt;=180")-T25</f>
        <v>0</v>
      </c>
      <c r="U24" s="1" t="n">
        <v>330</v>
      </c>
      <c r="V24" s="0" t="n">
        <f aca="false">SUMIFS(C$2:C$1500,C$2:C$1500, "&gt;=0",I$2:I$1500, "&lt;345",I$2:I$1500,"&gt;=330")</f>
        <v>53.7</v>
      </c>
      <c r="W24" s="2" t="s">
        <v>107</v>
      </c>
      <c r="X24" s="0" t="n">
        <f aca="false">SUMIFS(C$2:C$1500,C$2:C$1500, "&gt;=0",J$2:J$1500, "&lt;-60",J$2:J$1500,"&gt;=-75",I$2:I$1500,"&gt;=180")</f>
        <v>7.6</v>
      </c>
      <c r="Z24" s="0" t="n">
        <f aca="false">I24-35</f>
        <v>290.6</v>
      </c>
      <c r="AB24" s="0" t="n">
        <f aca="false">IF(Z24&lt;0,Z24+360,Z24+0)</f>
        <v>290.6</v>
      </c>
      <c r="AD24" s="1" t="n">
        <v>330</v>
      </c>
      <c r="AE24" s="1" t="n">
        <f aca="false">COUNTIF(AB$2:AB$1500,"&lt;345")-SUM(AE2:AE23)</f>
        <v>45</v>
      </c>
      <c r="AF24" s="1"/>
      <c r="AG24" s="1" t="n">
        <v>330</v>
      </c>
      <c r="AH24" s="0" t="n">
        <f aca="false">SUMIFS(C$2:C$1500,C$2:C$1500, "&gt;=0",AB$2:AB$1500, "&lt;345",AB$2:AB$1500,"&gt;=330")</f>
        <v>155.3</v>
      </c>
    </row>
    <row r="25" customFormat="false" ht="15.8" hidden="false" customHeight="false" outlineLevel="0" collapsed="false">
      <c r="A25" s="1" t="n">
        <v>1</v>
      </c>
      <c r="B25" s="1" t="n">
        <v>10</v>
      </c>
      <c r="C25" s="1" t="n">
        <v>0.6</v>
      </c>
      <c r="D25" s="1" t="n">
        <v>1.1822</v>
      </c>
      <c r="E25" s="1" t="n">
        <v>0.021158</v>
      </c>
      <c r="F25" s="1" t="n">
        <v>5.77303E-005</v>
      </c>
      <c r="G25" s="1" t="s">
        <v>27</v>
      </c>
      <c r="H25" s="1" t="n">
        <v>80.9</v>
      </c>
      <c r="I25" s="1" t="n">
        <v>176.9</v>
      </c>
      <c r="J25" s="1" t="n">
        <v>-39.2</v>
      </c>
      <c r="K25" s="1"/>
      <c r="L25" s="1" t="n">
        <v>0</v>
      </c>
      <c r="M25" s="1" t="n">
        <v>0</v>
      </c>
      <c r="N25" s="1" t="s">
        <v>108</v>
      </c>
      <c r="O25" s="1" t="n">
        <v>345</v>
      </c>
      <c r="P25" s="1" t="n">
        <f aca="false">COUNTIF(I$2:I$1500,"&lt;=360")-SUM(P2:P24)</f>
        <v>38</v>
      </c>
      <c r="S25" s="2" t="s">
        <v>109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76.6</v>
      </c>
      <c r="W25" s="2" t="s">
        <v>110</v>
      </c>
      <c r="X25" s="0" t="n">
        <f aca="false">SUMIFS(C$2:C$1500,C$2:C$1500, "&gt;=0",J$2:J$1500, "&lt;-75",J$2:J$1500,"&gt;=-90",I$2:I$1500,"&gt;=180")</f>
        <v>1.7</v>
      </c>
      <c r="Z25" s="0" t="n">
        <f aca="false">I25-35</f>
        <v>141.9</v>
      </c>
      <c r="AB25" s="0" t="n">
        <f aca="false">IF(Z25&lt;0,Z25+360,Z25+0)</f>
        <v>141.9</v>
      </c>
      <c r="AD25" s="1" t="n">
        <v>345</v>
      </c>
      <c r="AE25" s="1" t="n">
        <f aca="false">COUNTIF(AB$2:AB$1500,"&lt;=360")-SUM(AE2:AE24)</f>
        <v>33</v>
      </c>
      <c r="AF25" s="1"/>
      <c r="AG25" s="1" t="n">
        <v>345</v>
      </c>
      <c r="AH25" s="0" t="n">
        <f aca="false">SUMIFS(C$2:C$1500,C$2:C$1500, "&gt;=0",AB$2:AB$1500, "&lt;=360",AB$2:AB$1500,"&gt;=345")</f>
        <v>91.5</v>
      </c>
    </row>
    <row r="26" customFormat="false" ht="15.8" hidden="false" customHeight="false" outlineLevel="0" collapsed="false">
      <c r="A26" s="1" t="n">
        <v>1</v>
      </c>
      <c r="B26" s="1" t="n">
        <v>11</v>
      </c>
      <c r="C26" s="1" t="n">
        <v>0.9</v>
      </c>
      <c r="D26" s="1" t="n">
        <v>1.2352</v>
      </c>
      <c r="E26" s="1" t="n">
        <v>0.0302562</v>
      </c>
      <c r="F26" s="1" t="n">
        <v>8.2555E-005</v>
      </c>
      <c r="G26" s="1" t="s">
        <v>27</v>
      </c>
      <c r="H26" s="1" t="n">
        <v>48.2</v>
      </c>
      <c r="I26" s="1" t="n">
        <v>312.2</v>
      </c>
      <c r="J26" s="1" t="n">
        <v>-27.5</v>
      </c>
      <c r="K26" s="1"/>
      <c r="L26" s="1" t="n">
        <v>0</v>
      </c>
      <c r="M26" s="1" t="n">
        <v>0</v>
      </c>
      <c r="N26" s="1" t="s">
        <v>111</v>
      </c>
      <c r="O26" s="1" t="s">
        <v>112</v>
      </c>
      <c r="P26" s="1" t="n">
        <f aca="false">SUM(P2:P25)</f>
        <v>610</v>
      </c>
      <c r="R26" s="1" t="n">
        <f aca="false">SUM(R2:R14)</f>
        <v>610</v>
      </c>
      <c r="S26" s="2"/>
      <c r="T26" s="1" t="n">
        <f aca="false">SUM(T2:T25)</f>
        <v>610</v>
      </c>
      <c r="U26" s="1" t="s">
        <v>112</v>
      </c>
      <c r="V26" s="0" t="n">
        <f aca="false">SUM(V2:V25)</f>
        <v>1412.5</v>
      </c>
      <c r="X26" s="0" t="n">
        <f aca="false">SUM(X2:X25)</f>
        <v>1412.5</v>
      </c>
      <c r="Z26" s="0" t="n">
        <f aca="false">I26-35</f>
        <v>277.2</v>
      </c>
      <c r="AB26" s="0" t="n">
        <f aca="false">IF(Z26&lt;0,Z26+360,Z26+0)</f>
        <v>277.2</v>
      </c>
      <c r="AD26" s="1" t="s">
        <v>112</v>
      </c>
      <c r="AE26" s="1" t="n">
        <f aca="false">SUM(AE2:AE25)</f>
        <v>610</v>
      </c>
      <c r="AF26" s="1"/>
      <c r="AG26" s="1" t="s">
        <v>112</v>
      </c>
      <c r="AH26" s="0" t="n">
        <f aca="false">SUM(AH2:AH25)</f>
        <v>1412.5</v>
      </c>
      <c r="AJ26" s="0" t="s">
        <v>64</v>
      </c>
      <c r="AK26" s="0" t="n">
        <f aca="false">SUM(AK2:AK14)</f>
        <v>1412.5</v>
      </c>
    </row>
    <row r="27" customFormat="false" ht="15.8" hidden="false" customHeight="false" outlineLevel="0" collapsed="false">
      <c r="A27" s="1" t="n">
        <v>1</v>
      </c>
      <c r="B27" s="1" t="n">
        <v>11</v>
      </c>
      <c r="C27" s="1" t="n">
        <v>1.5</v>
      </c>
      <c r="D27" s="1" t="n">
        <v>1.3816</v>
      </c>
      <c r="E27" s="1" t="n">
        <v>0.0506738</v>
      </c>
      <c r="F27" s="1" t="n">
        <v>0.000138265</v>
      </c>
      <c r="G27" s="1" t="s">
        <v>27</v>
      </c>
      <c r="H27" s="1" t="n">
        <v>30.2</v>
      </c>
      <c r="I27" s="1" t="n">
        <v>283.5</v>
      </c>
      <c r="J27" s="1" t="n">
        <v>-38.1</v>
      </c>
      <c r="K27" s="1"/>
      <c r="L27" s="1" t="n">
        <v>0</v>
      </c>
      <c r="M27" s="1" t="n">
        <v>0</v>
      </c>
      <c r="N27" s="1" t="s">
        <v>111</v>
      </c>
      <c r="O27" s="1" t="s">
        <v>113</v>
      </c>
      <c r="P27" s="1" t="n">
        <f aca="false">COUNT(I2:I1500)</f>
        <v>610</v>
      </c>
      <c r="R27" s="1" t="n">
        <f aca="false">COUNT(J2:J1500)</f>
        <v>610</v>
      </c>
      <c r="S27" s="2"/>
      <c r="U27" s="1" t="s">
        <v>114</v>
      </c>
      <c r="V27" s="0" t="n">
        <f aca="false">SUM(C2:C1000)</f>
        <v>1412.5</v>
      </c>
      <c r="Z27" s="0" t="n">
        <f aca="false">I27-35</f>
        <v>248.5</v>
      </c>
      <c r="AB27" s="0" t="n">
        <f aca="false">IF(Z27&lt;0,Z27+360,Z27+0)</f>
        <v>248.5</v>
      </c>
      <c r="AD27" s="1" t="s">
        <v>113</v>
      </c>
      <c r="AE27" s="1" t="n">
        <f aca="false">COUNT(Z2:Z1500)</f>
        <v>610</v>
      </c>
      <c r="AF27" s="1"/>
      <c r="AG27" s="1" t="s">
        <v>114</v>
      </c>
      <c r="AH27" s="0" t="n">
        <f aca="false">SUM(C2:C1200)</f>
        <v>1412.5</v>
      </c>
    </row>
    <row r="28" customFormat="false" ht="15.8" hidden="false" customHeight="false" outlineLevel="0" collapsed="false">
      <c r="A28" s="1" t="n">
        <v>1</v>
      </c>
      <c r="B28" s="1" t="n">
        <v>10</v>
      </c>
      <c r="C28" s="1" t="n">
        <v>2</v>
      </c>
      <c r="D28" s="1" t="n">
        <v>1.4974</v>
      </c>
      <c r="E28" s="1" t="n">
        <v>0.0672324</v>
      </c>
      <c r="F28" s="1" t="n">
        <v>0.000183446</v>
      </c>
      <c r="G28" s="1" t="s">
        <v>59</v>
      </c>
      <c r="H28" s="1" t="n">
        <v>8.7</v>
      </c>
      <c r="I28" s="1" t="n">
        <v>262.1</v>
      </c>
      <c r="J28" s="1" t="n">
        <v>-14.6</v>
      </c>
      <c r="K28" s="1" t="n">
        <v>48.2</v>
      </c>
      <c r="L28" s="1" t="n">
        <v>0</v>
      </c>
      <c r="M28" s="1" t="n">
        <v>0</v>
      </c>
      <c r="N28" s="1" t="s">
        <v>108</v>
      </c>
      <c r="Z28" s="0" t="n">
        <f aca="false">I28-35</f>
        <v>227.1</v>
      </c>
      <c r="AB28" s="0" t="n">
        <f aca="false">IF(Z28&lt;0,Z28+360,Z28+0)</f>
        <v>227.1</v>
      </c>
    </row>
    <row r="29" customFormat="false" ht="15.8" hidden="false" customHeight="false" outlineLevel="0" collapsed="false">
      <c r="A29" s="1" t="n">
        <v>1</v>
      </c>
      <c r="B29" s="1" t="n">
        <v>9</v>
      </c>
      <c r="C29" s="1" t="n">
        <v>12.5</v>
      </c>
      <c r="D29" s="1" t="n">
        <v>1.3381</v>
      </c>
      <c r="E29" s="1" t="n">
        <v>0.428849</v>
      </c>
      <c r="F29" s="1" t="n">
        <v>0.00117013</v>
      </c>
      <c r="G29" s="1" t="s">
        <v>59</v>
      </c>
      <c r="H29" s="1" t="n">
        <v>32.2</v>
      </c>
      <c r="I29" s="1" t="n">
        <v>260.1</v>
      </c>
      <c r="J29" s="1" t="n">
        <v>-6.1</v>
      </c>
      <c r="K29" s="1" t="n">
        <v>80.9</v>
      </c>
      <c r="L29" s="1" t="n">
        <v>0</v>
      </c>
      <c r="M29" s="1" t="n">
        <v>0</v>
      </c>
      <c r="N29" s="1" t="s">
        <v>105</v>
      </c>
      <c r="Z29" s="0" t="n">
        <f aca="false">I29-35</f>
        <v>225.1</v>
      </c>
      <c r="AB29" s="0" t="n">
        <f aca="false">IF(Z29&lt;0,Z29+360,Z29+0)</f>
        <v>225.1</v>
      </c>
    </row>
    <row r="30" customFormat="false" ht="15.8" hidden="false" customHeight="false" outlineLevel="0" collapsed="false">
      <c r="A30" s="1" t="n">
        <v>1</v>
      </c>
      <c r="B30" s="1" t="n">
        <v>8</v>
      </c>
      <c r="C30" s="1" t="n">
        <v>1.2</v>
      </c>
      <c r="D30" s="1" t="n">
        <v>1.8527</v>
      </c>
      <c r="E30" s="1" t="n">
        <v>0.041069</v>
      </c>
      <c r="F30" s="1" t="n">
        <v>0.000112058</v>
      </c>
      <c r="G30" s="1" t="s">
        <v>59</v>
      </c>
      <c r="H30" s="1" t="n">
        <v>69.7</v>
      </c>
      <c r="I30" s="1" t="n">
        <v>291.8</v>
      </c>
      <c r="J30" s="1" t="n">
        <v>0</v>
      </c>
      <c r="K30" s="1" t="n">
        <v>40.4</v>
      </c>
      <c r="L30" s="1" t="n">
        <v>0</v>
      </c>
      <c r="M30" s="1" t="n">
        <v>0</v>
      </c>
      <c r="N30" s="1" t="s">
        <v>115</v>
      </c>
      <c r="Z30" s="0" t="n">
        <f aca="false">I30-35</f>
        <v>256.8</v>
      </c>
      <c r="AB30" s="0" t="n">
        <f aca="false">IF(Z30&lt;0,Z30+360,Z30+0)</f>
        <v>256.8</v>
      </c>
    </row>
    <row r="31" customFormat="false" ht="15.8" hidden="false" customHeight="false" outlineLevel="0" collapsed="false">
      <c r="A31" s="1" t="n">
        <v>1</v>
      </c>
      <c r="B31" s="1" t="n">
        <v>11</v>
      </c>
      <c r="C31" s="1" t="n">
        <v>0.9</v>
      </c>
      <c r="D31" s="1" t="n">
        <v>1.0167</v>
      </c>
      <c r="E31" s="1" t="n">
        <v>0.0302103</v>
      </c>
      <c r="F31" s="1" t="n">
        <v>8.24298E-005</v>
      </c>
      <c r="G31" s="1" t="s">
        <v>27</v>
      </c>
      <c r="H31" s="1" t="n">
        <v>134.2</v>
      </c>
      <c r="I31" s="1" t="n">
        <v>319.1</v>
      </c>
      <c r="J31" s="1" t="n">
        <v>0</v>
      </c>
      <c r="K31" s="1"/>
      <c r="L31" s="1" t="n">
        <v>0</v>
      </c>
      <c r="M31" s="1" t="n">
        <v>0</v>
      </c>
      <c r="N31" s="1" t="s">
        <v>116</v>
      </c>
      <c r="Z31" s="0" t="n">
        <f aca="false">I31-35</f>
        <v>284.1</v>
      </c>
      <c r="AB31" s="0" t="n">
        <f aca="false">IF(Z31&lt;0,Z31+360,Z31+0)</f>
        <v>284.1</v>
      </c>
    </row>
    <row r="32" customFormat="false" ht="15.8" hidden="false" customHeight="false" outlineLevel="0" collapsed="false">
      <c r="A32" s="1" t="n">
        <v>1</v>
      </c>
      <c r="B32" s="1" t="n">
        <v>12</v>
      </c>
      <c r="C32" s="1" t="n">
        <v>2.8</v>
      </c>
      <c r="D32" s="1" t="n">
        <v>1.1834</v>
      </c>
      <c r="E32" s="1" t="n">
        <v>0.097474</v>
      </c>
      <c r="F32" s="1" t="n">
        <v>0.000265961</v>
      </c>
      <c r="G32" s="1" t="s">
        <v>27</v>
      </c>
      <c r="H32" s="1" t="n">
        <v>49.6</v>
      </c>
      <c r="I32" s="1" t="n">
        <v>214.6</v>
      </c>
      <c r="J32" s="1" t="n">
        <v>24.3</v>
      </c>
      <c r="K32" s="1"/>
      <c r="L32" s="1" t="n">
        <v>0</v>
      </c>
      <c r="M32" s="1" t="n">
        <v>0</v>
      </c>
      <c r="N32" s="1" t="s">
        <v>117</v>
      </c>
      <c r="Z32" s="0" t="n">
        <f aca="false">I32-35</f>
        <v>179.6</v>
      </c>
      <c r="AB32" s="0" t="n">
        <f aca="false">IF(Z32&lt;0,Z32+360,Z32+0)</f>
        <v>179.6</v>
      </c>
    </row>
    <row r="33" customFormat="false" ht="15.8" hidden="false" customHeight="false" outlineLevel="0" collapsed="false">
      <c r="A33" s="1" t="n">
        <v>1</v>
      </c>
      <c r="B33" s="1" t="n">
        <v>13</v>
      </c>
      <c r="C33" s="1" t="n">
        <v>2.2</v>
      </c>
      <c r="D33" s="1" t="n">
        <v>1.3396</v>
      </c>
      <c r="E33" s="1" t="n">
        <v>0.0745324</v>
      </c>
      <c r="F33" s="1" t="n">
        <v>0.000203364</v>
      </c>
      <c r="G33" s="1" t="s">
        <v>27</v>
      </c>
      <c r="H33" s="1" t="n">
        <v>102.6</v>
      </c>
      <c r="I33" s="1" t="n">
        <v>38.7</v>
      </c>
      <c r="J33" s="1" t="n">
        <v>0</v>
      </c>
      <c r="K33" s="1"/>
      <c r="L33" s="1" t="n">
        <v>0</v>
      </c>
      <c r="M33" s="1" t="n">
        <v>0</v>
      </c>
      <c r="N33" s="1" t="s">
        <v>118</v>
      </c>
      <c r="Z33" s="0" t="n">
        <f aca="false">I33-35</f>
        <v>3.7</v>
      </c>
      <c r="AB33" s="0" t="n">
        <f aca="false">IF(Z33&lt;0,Z33+360,Z33+0)</f>
        <v>3.7</v>
      </c>
    </row>
    <row r="34" customFormat="false" ht="15.8" hidden="false" customHeight="false" outlineLevel="0" collapsed="false">
      <c r="A34" s="1" t="n">
        <v>1</v>
      </c>
      <c r="B34" s="1" t="n">
        <v>13</v>
      </c>
      <c r="C34" s="1" t="n">
        <v>4.8</v>
      </c>
      <c r="D34" s="1" t="n">
        <v>1.7918</v>
      </c>
      <c r="E34" s="1" t="n">
        <v>0.164363</v>
      </c>
      <c r="F34" s="1" t="n">
        <v>0.000448469</v>
      </c>
      <c r="G34" s="1" t="s">
        <v>27</v>
      </c>
      <c r="H34" s="1" t="n">
        <v>56.3</v>
      </c>
      <c r="I34" s="1" t="n">
        <v>135</v>
      </c>
      <c r="J34" s="1" t="n">
        <v>7.1</v>
      </c>
      <c r="K34" s="1"/>
      <c r="L34" s="1" t="n">
        <v>0</v>
      </c>
      <c r="M34" s="1" t="n">
        <v>0</v>
      </c>
      <c r="N34" s="1" t="s">
        <v>118</v>
      </c>
      <c r="Z34" s="0" t="n">
        <f aca="false">I34-35</f>
        <v>100</v>
      </c>
      <c r="AB34" s="0" t="n">
        <f aca="false">IF(Z34&lt;0,Z34+360,Z34+0)</f>
        <v>100</v>
      </c>
    </row>
    <row r="35" customFormat="false" ht="15.8" hidden="false" customHeight="false" outlineLevel="0" collapsed="false">
      <c r="A35" s="1" t="n">
        <v>1</v>
      </c>
      <c r="B35" s="1" t="n">
        <v>13</v>
      </c>
      <c r="C35" s="1" t="n">
        <v>3.1</v>
      </c>
      <c r="D35" s="1" t="n">
        <v>1.2315</v>
      </c>
      <c r="E35" s="1" t="n">
        <v>0.107887</v>
      </c>
      <c r="F35" s="1" t="n">
        <v>0.000294374</v>
      </c>
      <c r="G35" s="1" t="s">
        <v>27</v>
      </c>
      <c r="H35" s="1" t="n">
        <v>61.5</v>
      </c>
      <c r="I35" s="1" t="n">
        <v>178</v>
      </c>
      <c r="J35" s="1" t="n">
        <v>7.4</v>
      </c>
      <c r="K35" s="1"/>
      <c r="L35" s="1" t="n">
        <v>0</v>
      </c>
      <c r="M35" s="1" t="n">
        <v>0</v>
      </c>
      <c r="N35" s="1" t="s">
        <v>118</v>
      </c>
      <c r="Z35" s="0" t="n">
        <f aca="false">I35-35</f>
        <v>143</v>
      </c>
      <c r="AB35" s="0" t="n">
        <f aca="false">IF(Z35&lt;0,Z35+360,Z35+0)</f>
        <v>143</v>
      </c>
    </row>
    <row r="36" customFormat="false" ht="15.8" hidden="false" customHeight="false" outlineLevel="0" collapsed="false">
      <c r="A36" s="1" t="n">
        <v>1</v>
      </c>
      <c r="B36" s="1" t="n">
        <v>12</v>
      </c>
      <c r="C36" s="1" t="n">
        <v>1</v>
      </c>
      <c r="D36" s="1" t="n">
        <v>1.1155</v>
      </c>
      <c r="E36" s="1" t="n">
        <v>0.0339494</v>
      </c>
      <c r="F36" s="1" t="n">
        <v>9.26322E-005</v>
      </c>
      <c r="G36" s="1" t="s">
        <v>59</v>
      </c>
      <c r="H36" s="1" t="n">
        <v>44.4</v>
      </c>
      <c r="I36" s="1" t="n">
        <v>147.8</v>
      </c>
      <c r="J36" s="1" t="n">
        <v>-48</v>
      </c>
      <c r="K36" s="1" t="n">
        <v>102.6</v>
      </c>
      <c r="L36" s="1" t="n">
        <v>0</v>
      </c>
      <c r="M36" s="1" t="n">
        <v>0</v>
      </c>
      <c r="N36" s="1" t="s">
        <v>117</v>
      </c>
      <c r="Z36" s="0" t="n">
        <f aca="false">I36-35</f>
        <v>112.8</v>
      </c>
      <c r="AB36" s="0" t="n">
        <f aca="false">IF(Z36&lt;0,Z36+360,Z36+0)</f>
        <v>112.8</v>
      </c>
    </row>
    <row r="37" customFormat="false" ht="15.8" hidden="false" customHeight="false" outlineLevel="0" collapsed="false">
      <c r="A37" s="1" t="n">
        <v>1</v>
      </c>
      <c r="B37" s="1" t="n">
        <v>12</v>
      </c>
      <c r="C37" s="1" t="n">
        <v>2</v>
      </c>
      <c r="D37" s="1" t="n">
        <v>1.4008</v>
      </c>
      <c r="E37" s="1" t="n">
        <v>0.0682515</v>
      </c>
      <c r="F37" s="1" t="n">
        <v>0.000186227</v>
      </c>
      <c r="G37" s="1" t="s">
        <v>27</v>
      </c>
      <c r="H37" s="1" t="n">
        <v>88.7</v>
      </c>
      <c r="I37" s="1" t="n">
        <v>308.2</v>
      </c>
      <c r="J37" s="1" t="n">
        <v>-68.3</v>
      </c>
      <c r="K37" s="1"/>
      <c r="L37" s="1" t="n">
        <v>0</v>
      </c>
      <c r="M37" s="1" t="n">
        <v>0</v>
      </c>
      <c r="N37" s="1" t="s">
        <v>117</v>
      </c>
      <c r="Z37" s="0" t="n">
        <f aca="false">I37-35</f>
        <v>273.2</v>
      </c>
      <c r="AB37" s="0" t="n">
        <f aca="false">IF(Z37&lt;0,Z37+360,Z37+0)</f>
        <v>273.2</v>
      </c>
    </row>
    <row r="38" customFormat="false" ht="15.8" hidden="false" customHeight="false" outlineLevel="0" collapsed="false">
      <c r="A38" s="1" t="n">
        <v>1</v>
      </c>
      <c r="B38" s="1" t="n">
        <v>11</v>
      </c>
      <c r="C38" s="1" t="n">
        <v>3.5</v>
      </c>
      <c r="D38" s="1" t="n">
        <v>1.3023</v>
      </c>
      <c r="E38" s="1" t="n">
        <v>0.118876</v>
      </c>
      <c r="F38" s="1" t="n">
        <v>0.000324358</v>
      </c>
      <c r="G38" s="1" t="s">
        <v>59</v>
      </c>
      <c r="H38" s="1" t="n">
        <v>11.3</v>
      </c>
      <c r="I38" s="1" t="n">
        <v>182.9</v>
      </c>
      <c r="J38" s="1" t="n">
        <v>-14.4</v>
      </c>
      <c r="K38" s="1" t="n">
        <v>88.7</v>
      </c>
      <c r="L38" s="1" t="n">
        <v>0</v>
      </c>
      <c r="M38" s="1" t="n">
        <v>0</v>
      </c>
      <c r="N38" s="1" t="s">
        <v>116</v>
      </c>
      <c r="Z38" s="0" t="n">
        <f aca="false">I38-35</f>
        <v>147.9</v>
      </c>
      <c r="AB38" s="0" t="n">
        <f aca="false">IF(Z38&lt;0,Z38+360,Z38+0)</f>
        <v>147.9</v>
      </c>
    </row>
    <row r="39" customFormat="false" ht="15.8" hidden="false" customHeight="false" outlineLevel="0" collapsed="false">
      <c r="A39" s="1" t="n">
        <v>1</v>
      </c>
      <c r="B39" s="1" t="n">
        <v>12</v>
      </c>
      <c r="C39" s="1" t="n">
        <v>1.5</v>
      </c>
      <c r="D39" s="1" t="n">
        <v>1.0331</v>
      </c>
      <c r="E39" s="1" t="n">
        <v>0.0521198</v>
      </c>
      <c r="F39" s="1" t="n">
        <v>0.000142211</v>
      </c>
      <c r="G39" s="1" t="s">
        <v>27</v>
      </c>
      <c r="H39" s="1" t="n">
        <v>59.6</v>
      </c>
      <c r="I39" s="1" t="n">
        <v>232.5</v>
      </c>
      <c r="J39" s="1" t="n">
        <v>0</v>
      </c>
      <c r="K39" s="1"/>
      <c r="L39" s="1" t="n">
        <v>0</v>
      </c>
      <c r="M39" s="1" t="n">
        <v>0</v>
      </c>
      <c r="N39" s="1" t="s">
        <v>119</v>
      </c>
      <c r="Z39" s="0" t="n">
        <f aca="false">I39-35</f>
        <v>197.5</v>
      </c>
      <c r="AB39" s="0" t="n">
        <f aca="false">IF(Z39&lt;0,Z39+360,Z39+0)</f>
        <v>197.5</v>
      </c>
    </row>
    <row r="40" customFormat="false" ht="15.8" hidden="false" customHeight="false" outlineLevel="0" collapsed="false">
      <c r="A40" s="1" t="n">
        <v>1</v>
      </c>
      <c r="B40" s="1" t="n">
        <v>13</v>
      </c>
      <c r="C40" s="1" t="n">
        <v>0.4</v>
      </c>
      <c r="D40" s="1" t="n">
        <v>1.0028</v>
      </c>
      <c r="E40" s="1" t="n">
        <v>0.0138855</v>
      </c>
      <c r="F40" s="1" t="n">
        <v>3.7887E-005</v>
      </c>
      <c r="G40" s="1" t="s">
        <v>27</v>
      </c>
      <c r="H40" s="1" t="n">
        <v>59.5</v>
      </c>
      <c r="I40" s="1" t="n">
        <v>251.1</v>
      </c>
      <c r="J40" s="1" t="n">
        <v>0</v>
      </c>
      <c r="K40" s="1"/>
      <c r="L40" s="1" t="n">
        <v>0</v>
      </c>
      <c r="M40" s="1" t="n">
        <v>0</v>
      </c>
      <c r="N40" s="1" t="s">
        <v>120</v>
      </c>
      <c r="Z40" s="0" t="n">
        <f aca="false">I40-35</f>
        <v>216.1</v>
      </c>
      <c r="AB40" s="0" t="n">
        <f aca="false">IF(Z40&lt;0,Z40+360,Z40+0)</f>
        <v>216.1</v>
      </c>
    </row>
    <row r="41" customFormat="false" ht="15.8" hidden="false" customHeight="false" outlineLevel="0" collapsed="false">
      <c r="A41" s="1" t="n">
        <v>1</v>
      </c>
      <c r="B41" s="1" t="n">
        <v>14</v>
      </c>
      <c r="C41" s="1" t="n">
        <v>0.7</v>
      </c>
      <c r="D41" s="1" t="n">
        <v>1.0016</v>
      </c>
      <c r="E41" s="1" t="n">
        <v>0.0229755</v>
      </c>
      <c r="F41" s="1" t="n">
        <v>6.26894E-005</v>
      </c>
      <c r="G41" s="1" t="s">
        <v>27</v>
      </c>
      <c r="H41" s="1" t="n">
        <v>86.9</v>
      </c>
      <c r="I41" s="1" t="n">
        <v>264.4</v>
      </c>
      <c r="J41" s="1" t="n">
        <v>0</v>
      </c>
      <c r="K41" s="1"/>
      <c r="L41" s="1" t="n">
        <v>0</v>
      </c>
      <c r="M41" s="1" t="n">
        <v>0</v>
      </c>
      <c r="N41" s="1" t="s">
        <v>121</v>
      </c>
      <c r="Z41" s="0" t="n">
        <f aca="false">I41-35</f>
        <v>229.4</v>
      </c>
      <c r="AB41" s="0" t="n">
        <f aca="false">IF(Z41&lt;0,Z41+360,Z41+0)</f>
        <v>229.4</v>
      </c>
    </row>
    <row r="42" customFormat="false" ht="15.8" hidden="false" customHeight="false" outlineLevel="0" collapsed="false">
      <c r="A42" s="1" t="n">
        <v>1</v>
      </c>
      <c r="B42" s="1" t="n">
        <v>15</v>
      </c>
      <c r="C42" s="1" t="n">
        <v>0.6</v>
      </c>
      <c r="D42" s="1" t="n">
        <v>1.0252</v>
      </c>
      <c r="E42" s="1" t="n">
        <v>0.0189492</v>
      </c>
      <c r="F42" s="1" t="n">
        <v>5.17036E-005</v>
      </c>
      <c r="G42" s="1" t="s">
        <v>27</v>
      </c>
      <c r="H42" s="1" t="n">
        <v>99.5</v>
      </c>
      <c r="I42" s="1" t="n">
        <v>68.6</v>
      </c>
      <c r="J42" s="1" t="n">
        <v>0</v>
      </c>
      <c r="K42" s="1"/>
      <c r="L42" s="1" t="n">
        <v>0</v>
      </c>
      <c r="M42" s="1" t="n">
        <v>0</v>
      </c>
      <c r="N42" s="1" t="s">
        <v>122</v>
      </c>
      <c r="Z42" s="0" t="n">
        <f aca="false">I42-35</f>
        <v>33.6</v>
      </c>
      <c r="AB42" s="0" t="n">
        <f aca="false">IF(Z42&lt;0,Z42+360,Z42+0)</f>
        <v>33.6</v>
      </c>
    </row>
    <row r="43" customFormat="false" ht="15.8" hidden="false" customHeight="false" outlineLevel="0" collapsed="false">
      <c r="A43" s="1" t="n">
        <v>1</v>
      </c>
      <c r="B43" s="1" t="n">
        <v>16</v>
      </c>
      <c r="C43" s="1" t="n">
        <v>0.6</v>
      </c>
      <c r="D43" s="1" t="n">
        <v>1.1787</v>
      </c>
      <c r="E43" s="1" t="n">
        <v>0.0207416</v>
      </c>
      <c r="F43" s="1" t="n">
        <v>5.65941E-005</v>
      </c>
      <c r="G43" s="1" t="s">
        <v>27</v>
      </c>
      <c r="H43" s="1" t="n">
        <v>33.5</v>
      </c>
      <c r="I43" s="1" t="n">
        <v>178.4</v>
      </c>
      <c r="J43" s="1" t="n">
        <v>40</v>
      </c>
      <c r="K43" s="1"/>
      <c r="L43" s="1" t="n">
        <v>0</v>
      </c>
      <c r="M43" s="1" t="n">
        <v>0</v>
      </c>
      <c r="N43" s="1" t="s">
        <v>123</v>
      </c>
      <c r="Z43" s="0" t="n">
        <f aca="false">I43-35</f>
        <v>143.4</v>
      </c>
      <c r="AB43" s="0" t="n">
        <f aca="false">IF(Z43&lt;0,Z43+360,Z43+0)</f>
        <v>143.4</v>
      </c>
    </row>
    <row r="44" customFormat="false" ht="15.8" hidden="false" customHeight="false" outlineLevel="0" collapsed="false">
      <c r="A44" s="1" t="n">
        <v>1</v>
      </c>
      <c r="B44" s="1" t="n">
        <v>17</v>
      </c>
      <c r="C44" s="1" t="n">
        <v>1.3</v>
      </c>
      <c r="D44" s="1" t="n">
        <v>1.3623</v>
      </c>
      <c r="E44" s="1" t="n">
        <v>0.0439134</v>
      </c>
      <c r="F44" s="1" t="n">
        <v>0.000119819</v>
      </c>
      <c r="G44" s="1" t="s">
        <v>27</v>
      </c>
      <c r="H44" s="1" t="n">
        <v>114.7</v>
      </c>
      <c r="I44" s="1" t="n">
        <v>223</v>
      </c>
      <c r="J44" s="1" t="n">
        <v>-20.5</v>
      </c>
      <c r="K44" s="1"/>
      <c r="L44" s="1" t="n">
        <v>0</v>
      </c>
      <c r="M44" s="1" t="n">
        <v>0</v>
      </c>
      <c r="N44" s="1" t="s">
        <v>124</v>
      </c>
      <c r="Z44" s="0" t="n">
        <f aca="false">I44-35</f>
        <v>188</v>
      </c>
      <c r="AB44" s="0" t="n">
        <f aca="false">IF(Z44&lt;0,Z44+360,Z44+0)</f>
        <v>188</v>
      </c>
    </row>
    <row r="45" customFormat="false" ht="15.8" hidden="false" customHeight="false" outlineLevel="0" collapsed="false">
      <c r="A45" s="1" t="n">
        <v>1</v>
      </c>
      <c r="B45" s="1" t="n">
        <v>17</v>
      </c>
      <c r="C45" s="1" t="n">
        <v>0.8</v>
      </c>
      <c r="D45" s="1" t="n">
        <v>1.0418</v>
      </c>
      <c r="E45" s="1" t="n">
        <v>0.0259188</v>
      </c>
      <c r="F45" s="1" t="n">
        <v>7.07204E-005</v>
      </c>
      <c r="G45" s="1" t="s">
        <v>27</v>
      </c>
      <c r="H45" s="1" t="n">
        <v>59.3</v>
      </c>
      <c r="I45" s="1" t="n">
        <v>158.8</v>
      </c>
      <c r="J45" s="1" t="n">
        <v>0</v>
      </c>
      <c r="K45" s="1"/>
      <c r="L45" s="1" t="n">
        <v>0</v>
      </c>
      <c r="M45" s="1" t="n">
        <v>0</v>
      </c>
      <c r="N45" s="1" t="s">
        <v>124</v>
      </c>
      <c r="Z45" s="0" t="n">
        <f aca="false">I45-35</f>
        <v>123.8</v>
      </c>
      <c r="AB45" s="0" t="n">
        <f aca="false">IF(Z45&lt;0,Z45+360,Z45+0)</f>
        <v>123.8</v>
      </c>
    </row>
    <row r="46" customFormat="false" ht="15.8" hidden="false" customHeight="false" outlineLevel="0" collapsed="false">
      <c r="A46" s="1" t="n">
        <v>1</v>
      </c>
      <c r="B46" s="1" t="n">
        <v>19</v>
      </c>
      <c r="C46" s="1" t="n">
        <v>0.5</v>
      </c>
      <c r="D46" s="1" t="n">
        <v>1.0008</v>
      </c>
      <c r="E46" s="1" t="n">
        <v>0.0167486</v>
      </c>
      <c r="F46" s="1" t="n">
        <v>4.56993E-005</v>
      </c>
      <c r="G46" s="1" t="s">
        <v>27</v>
      </c>
      <c r="H46" s="1" t="n">
        <v>54.1</v>
      </c>
      <c r="I46" s="1" t="n">
        <v>259.7</v>
      </c>
      <c r="J46" s="1" t="n">
        <v>0</v>
      </c>
      <c r="K46" s="1"/>
      <c r="L46" s="1" t="n">
        <v>0</v>
      </c>
      <c r="M46" s="1" t="n">
        <v>0</v>
      </c>
      <c r="N46" s="1" t="s">
        <v>125</v>
      </c>
      <c r="Z46" s="0" t="n">
        <f aca="false">I46-35</f>
        <v>224.7</v>
      </c>
      <c r="AB46" s="0" t="n">
        <f aca="false">IF(Z46&lt;0,Z46+360,Z46+0)</f>
        <v>224.7</v>
      </c>
    </row>
    <row r="47" customFormat="false" ht="15.8" hidden="false" customHeight="false" outlineLevel="0" collapsed="false">
      <c r="A47" s="1" t="n">
        <v>1</v>
      </c>
      <c r="B47" s="1" t="n">
        <v>19</v>
      </c>
      <c r="C47" s="1" t="n">
        <v>1</v>
      </c>
      <c r="D47" s="1" t="n">
        <v>1.2277</v>
      </c>
      <c r="E47" s="1" t="n">
        <v>0.0337252</v>
      </c>
      <c r="F47" s="1" t="n">
        <v>9.20203E-005</v>
      </c>
      <c r="G47" s="1" t="s">
        <v>27</v>
      </c>
      <c r="H47" s="1" t="n">
        <v>20.4</v>
      </c>
      <c r="I47" s="1" t="n">
        <v>307.8</v>
      </c>
      <c r="J47" s="1" t="n">
        <v>0</v>
      </c>
      <c r="K47" s="1"/>
      <c r="L47" s="1" t="n">
        <v>0</v>
      </c>
      <c r="M47" s="1" t="n">
        <v>0</v>
      </c>
      <c r="N47" s="1" t="s">
        <v>125</v>
      </c>
      <c r="Z47" s="0" t="n">
        <f aca="false">I47-35</f>
        <v>272.8</v>
      </c>
      <c r="AB47" s="0" t="n">
        <f aca="false">IF(Z47&lt;0,Z47+360,Z47+0)</f>
        <v>272.8</v>
      </c>
    </row>
    <row r="48" customFormat="false" ht="15.8" hidden="false" customHeight="false" outlineLevel="0" collapsed="false">
      <c r="A48" s="1" t="n">
        <v>1</v>
      </c>
      <c r="B48" s="1" t="n">
        <v>18</v>
      </c>
      <c r="C48" s="1" t="n">
        <v>1.1</v>
      </c>
      <c r="D48" s="1" t="n">
        <v>1.1908</v>
      </c>
      <c r="E48" s="1" t="n">
        <v>0.0390376</v>
      </c>
      <c r="F48" s="1" t="n">
        <v>0.000106515</v>
      </c>
      <c r="G48" s="1" t="s">
        <v>59</v>
      </c>
      <c r="H48" s="1" t="n">
        <v>67</v>
      </c>
      <c r="I48" s="1" t="n">
        <v>311.1</v>
      </c>
      <c r="J48" s="1" t="n">
        <v>20.2</v>
      </c>
      <c r="K48" s="1" t="n">
        <v>54.1</v>
      </c>
      <c r="L48" s="1" t="n">
        <v>0</v>
      </c>
      <c r="M48" s="1" t="n">
        <v>0</v>
      </c>
      <c r="N48" s="1" t="s">
        <v>126</v>
      </c>
      <c r="Z48" s="0" t="n">
        <f aca="false">I48-35</f>
        <v>276.1</v>
      </c>
      <c r="AB48" s="0" t="n">
        <f aca="false">IF(Z48&lt;0,Z48+360,Z48+0)</f>
        <v>276.1</v>
      </c>
    </row>
    <row r="49" customFormat="false" ht="15.8" hidden="false" customHeight="false" outlineLevel="0" collapsed="false">
      <c r="A49" s="1" t="n">
        <v>1</v>
      </c>
      <c r="B49" s="1" t="n">
        <v>18</v>
      </c>
      <c r="C49" s="1" t="n">
        <v>1.4</v>
      </c>
      <c r="D49" s="1" t="n">
        <v>1.2274</v>
      </c>
      <c r="E49" s="1" t="n">
        <v>0.0495591</v>
      </c>
      <c r="F49" s="1" t="n">
        <v>0.000135224</v>
      </c>
      <c r="G49" s="1" t="s">
        <v>27</v>
      </c>
      <c r="H49" s="1" t="n">
        <v>51</v>
      </c>
      <c r="I49" s="1" t="n">
        <v>58.3</v>
      </c>
      <c r="J49" s="1" t="n">
        <v>34.1</v>
      </c>
      <c r="K49" s="1"/>
      <c r="L49" s="1" t="n">
        <v>0</v>
      </c>
      <c r="M49" s="1" t="n">
        <v>0</v>
      </c>
      <c r="N49" s="1" t="s">
        <v>126</v>
      </c>
      <c r="Z49" s="0" t="n">
        <f aca="false">I49-35</f>
        <v>23.3</v>
      </c>
      <c r="AB49" s="0" t="n">
        <f aca="false">IF(Z49&lt;0,Z49+360,Z49+0)</f>
        <v>23.3</v>
      </c>
    </row>
    <row r="50" customFormat="false" ht="15.8" hidden="false" customHeight="false" outlineLevel="0" collapsed="false">
      <c r="A50" s="1" t="n">
        <v>1</v>
      </c>
      <c r="B50" s="1" t="n">
        <v>17</v>
      </c>
      <c r="C50" s="1" t="n">
        <v>0.7</v>
      </c>
      <c r="D50" s="1" t="n">
        <v>1</v>
      </c>
      <c r="E50" s="1" t="n">
        <v>0.0227934</v>
      </c>
      <c r="F50" s="1" t="n">
        <v>6.21926E-005</v>
      </c>
      <c r="G50" s="1" t="s">
        <v>59</v>
      </c>
      <c r="H50" s="1" t="n">
        <v>44</v>
      </c>
      <c r="I50" s="1" t="n">
        <v>15.9</v>
      </c>
      <c r="J50" s="1" t="n">
        <v>83.1</v>
      </c>
      <c r="K50" s="1" t="n">
        <v>67</v>
      </c>
      <c r="L50" s="1" t="n">
        <v>0</v>
      </c>
      <c r="M50" s="1" t="n">
        <v>0</v>
      </c>
      <c r="N50" s="1" t="s">
        <v>124</v>
      </c>
      <c r="Z50" s="0" t="n">
        <f aca="false">I50-35</f>
        <v>-19.1</v>
      </c>
      <c r="AB50" s="0" t="n">
        <f aca="false">IF(Z50&lt;0,Z50+360,Z50+0)</f>
        <v>340.9</v>
      </c>
    </row>
    <row r="51" customFormat="false" ht="15.8" hidden="false" customHeight="false" outlineLevel="0" collapsed="false">
      <c r="A51" s="1" t="n">
        <v>1</v>
      </c>
      <c r="B51" s="1" t="n">
        <v>16</v>
      </c>
      <c r="C51" s="1" t="n">
        <v>2.1</v>
      </c>
      <c r="D51" s="1" t="n">
        <v>1.5382</v>
      </c>
      <c r="E51" s="1" t="n">
        <v>0.070343</v>
      </c>
      <c r="F51" s="1" t="n">
        <v>0.000191933</v>
      </c>
      <c r="G51" s="1" t="s">
        <v>59</v>
      </c>
      <c r="H51" s="1" t="n">
        <v>40.4</v>
      </c>
      <c r="I51" s="1" t="n">
        <v>118.4</v>
      </c>
      <c r="J51" s="1" t="n">
        <v>47.9</v>
      </c>
      <c r="K51" s="1" t="n">
        <v>114.7</v>
      </c>
      <c r="L51" s="1" t="n">
        <v>0</v>
      </c>
      <c r="M51" s="1" t="n">
        <v>0</v>
      </c>
      <c r="N51" s="1" t="s">
        <v>123</v>
      </c>
      <c r="Z51" s="0" t="n">
        <f aca="false">I51-35</f>
        <v>83.4</v>
      </c>
      <c r="AB51" s="0" t="n">
        <f aca="false">IF(Z51&lt;0,Z51+360,Z51+0)</f>
        <v>83.4</v>
      </c>
    </row>
    <row r="52" customFormat="false" ht="15.8" hidden="false" customHeight="false" outlineLevel="0" collapsed="false">
      <c r="A52" s="1" t="n">
        <v>1</v>
      </c>
      <c r="B52" s="1" t="n">
        <v>15</v>
      </c>
      <c r="C52" s="1" t="n">
        <v>1.3</v>
      </c>
      <c r="D52" s="1" t="n">
        <v>1.1931</v>
      </c>
      <c r="E52" s="1" t="n">
        <v>0.0462092</v>
      </c>
      <c r="F52" s="1" t="n">
        <v>0.000126083</v>
      </c>
      <c r="G52" s="1" t="s">
        <v>59</v>
      </c>
      <c r="H52" s="1" t="n">
        <v>17.5</v>
      </c>
      <c r="I52" s="1" t="n">
        <v>150.3</v>
      </c>
      <c r="J52" s="1" t="n">
        <v>17</v>
      </c>
      <c r="K52" s="1" t="n">
        <v>40.4</v>
      </c>
      <c r="L52" s="1" t="n">
        <v>0</v>
      </c>
      <c r="M52" s="1" t="n">
        <v>0</v>
      </c>
      <c r="N52" s="1" t="s">
        <v>122</v>
      </c>
      <c r="Z52" s="0" t="n">
        <f aca="false">I52-35</f>
        <v>115.3</v>
      </c>
      <c r="AB52" s="0" t="n">
        <f aca="false">IF(Z52&lt;0,Z52+360,Z52+0)</f>
        <v>115.3</v>
      </c>
    </row>
    <row r="53" customFormat="false" ht="15.8" hidden="false" customHeight="false" outlineLevel="0" collapsed="false">
      <c r="A53" s="1" t="n">
        <v>1</v>
      </c>
      <c r="B53" s="1" t="n">
        <v>14</v>
      </c>
      <c r="C53" s="1" t="n">
        <v>1.2</v>
      </c>
      <c r="D53" s="1" t="n">
        <v>1.1393</v>
      </c>
      <c r="E53" s="1" t="n">
        <v>0.0412002</v>
      </c>
      <c r="F53" s="1" t="n">
        <v>0.000112416</v>
      </c>
      <c r="G53" s="1" t="s">
        <v>59</v>
      </c>
      <c r="H53" s="1" t="n">
        <v>10.7</v>
      </c>
      <c r="I53" s="1" t="n">
        <v>168.7</v>
      </c>
      <c r="J53" s="1" t="n">
        <v>18.2</v>
      </c>
      <c r="K53" s="1" t="n">
        <v>99.5</v>
      </c>
      <c r="L53" s="1" t="n">
        <v>0</v>
      </c>
      <c r="M53" s="1" t="n">
        <v>0</v>
      </c>
      <c r="N53" s="1" t="s">
        <v>121</v>
      </c>
      <c r="Z53" s="0" t="n">
        <f aca="false">I53-35</f>
        <v>133.7</v>
      </c>
      <c r="AB53" s="0" t="n">
        <f aca="false">IF(Z53&lt;0,Z53+360,Z53+0)</f>
        <v>133.7</v>
      </c>
    </row>
    <row r="54" customFormat="false" ht="15.8" hidden="false" customHeight="false" outlineLevel="0" collapsed="false">
      <c r="A54" s="1" t="n">
        <v>1</v>
      </c>
      <c r="B54" s="1" t="n">
        <v>13</v>
      </c>
      <c r="C54" s="1" t="n">
        <v>11.4</v>
      </c>
      <c r="D54" s="1" t="n">
        <v>1.1715</v>
      </c>
      <c r="E54" s="1" t="n">
        <v>0.390378</v>
      </c>
      <c r="F54" s="1" t="n">
        <v>0.00106516</v>
      </c>
      <c r="G54" s="1" t="s">
        <v>59</v>
      </c>
      <c r="H54" s="1" t="n">
        <v>15.7</v>
      </c>
      <c r="I54" s="1" t="n">
        <v>177.6</v>
      </c>
      <c r="J54" s="1" t="n">
        <v>11.8</v>
      </c>
      <c r="K54" s="1" t="n">
        <v>86.9</v>
      </c>
      <c r="L54" s="1" t="n">
        <v>0</v>
      </c>
      <c r="M54" s="1" t="n">
        <v>0</v>
      </c>
      <c r="N54" s="1" t="s">
        <v>120</v>
      </c>
      <c r="Z54" s="0" t="n">
        <f aca="false">I54-35</f>
        <v>142.6</v>
      </c>
      <c r="AB54" s="0" t="n">
        <f aca="false">IF(Z54&lt;0,Z54+360,Z54+0)</f>
        <v>142.6</v>
      </c>
    </row>
    <row r="55" customFormat="false" ht="15.8" hidden="false" customHeight="false" outlineLevel="0" collapsed="false">
      <c r="A55" s="1" t="n">
        <v>1</v>
      </c>
      <c r="B55" s="1" t="n">
        <v>12</v>
      </c>
      <c r="C55" s="1" t="n">
        <v>5.1</v>
      </c>
      <c r="D55" s="1" t="n">
        <v>1.2179</v>
      </c>
      <c r="E55" s="1" t="n">
        <v>0.173241</v>
      </c>
      <c r="F55" s="1" t="n">
        <v>0.000472694</v>
      </c>
      <c r="G55" s="1" t="s">
        <v>59</v>
      </c>
      <c r="H55" s="1" t="n">
        <v>26.4</v>
      </c>
      <c r="I55" s="1" t="n">
        <v>191.7</v>
      </c>
      <c r="J55" s="1" t="n">
        <v>4.6</v>
      </c>
      <c r="K55" s="1" t="n">
        <v>59.5</v>
      </c>
      <c r="L55" s="1" t="n">
        <v>0</v>
      </c>
      <c r="M55" s="1" t="n">
        <v>0</v>
      </c>
      <c r="N55" s="1" t="s">
        <v>119</v>
      </c>
      <c r="Z55" s="0" t="n">
        <f aca="false">I55-35</f>
        <v>156.7</v>
      </c>
      <c r="AB55" s="0" t="n">
        <f aca="false">IF(Z55&lt;0,Z55+360,Z55+0)</f>
        <v>156.7</v>
      </c>
    </row>
    <row r="56" customFormat="false" ht="15.8" hidden="false" customHeight="false" outlineLevel="0" collapsed="false">
      <c r="A56" s="1" t="n">
        <v>1</v>
      </c>
      <c r="B56" s="1" t="n">
        <v>11</v>
      </c>
      <c r="C56" s="1" t="n">
        <v>2.7</v>
      </c>
      <c r="D56" s="1" t="n">
        <v>1.2239</v>
      </c>
      <c r="E56" s="1" t="n">
        <v>0.0914333</v>
      </c>
      <c r="F56" s="1" t="n">
        <v>0.000249479</v>
      </c>
      <c r="G56" s="1" t="s">
        <v>59</v>
      </c>
      <c r="H56" s="1" t="n">
        <v>31.2</v>
      </c>
      <c r="I56" s="1" t="n">
        <v>177.1</v>
      </c>
      <c r="J56" s="1" t="n">
        <v>27</v>
      </c>
      <c r="K56" s="1" t="n">
        <v>59.6</v>
      </c>
      <c r="L56" s="1" t="n">
        <v>0</v>
      </c>
      <c r="M56" s="1" t="n">
        <v>0</v>
      </c>
      <c r="N56" s="1" t="s">
        <v>116</v>
      </c>
      <c r="Z56" s="0" t="n">
        <f aca="false">I56-35</f>
        <v>142.1</v>
      </c>
      <c r="AB56" s="0" t="n">
        <f aca="false">IF(Z56&lt;0,Z56+360,Z56+0)</f>
        <v>142.1</v>
      </c>
    </row>
    <row r="57" customFormat="false" ht="15.8" hidden="false" customHeight="false" outlineLevel="0" collapsed="false">
      <c r="A57" s="1" t="n">
        <v>1</v>
      </c>
      <c r="B57" s="1" t="n">
        <v>10</v>
      </c>
      <c r="C57" s="1" t="n">
        <v>7</v>
      </c>
      <c r="D57" s="1" t="n">
        <v>1.202</v>
      </c>
      <c r="E57" s="1" t="n">
        <v>0.240537</v>
      </c>
      <c r="F57" s="1" t="n">
        <v>0.000656313</v>
      </c>
      <c r="G57" s="1" t="s">
        <v>59</v>
      </c>
      <c r="H57" s="1" t="n">
        <v>43.5</v>
      </c>
      <c r="I57" s="1" t="n">
        <v>184.8</v>
      </c>
      <c r="J57" s="1" t="n">
        <v>-3.2</v>
      </c>
      <c r="K57" s="1" t="n">
        <v>134.2</v>
      </c>
      <c r="L57" s="1" t="n">
        <v>0</v>
      </c>
      <c r="M57" s="1" t="n">
        <v>0</v>
      </c>
      <c r="N57" s="1" t="s">
        <v>127</v>
      </c>
      <c r="Z57" s="0" t="n">
        <f aca="false">I57-35</f>
        <v>149.8</v>
      </c>
      <c r="AB57" s="0" t="n">
        <f aca="false">IF(Z57&lt;0,Z57+360,Z57+0)</f>
        <v>149.8</v>
      </c>
    </row>
    <row r="58" customFormat="false" ht="15.8" hidden="false" customHeight="false" outlineLevel="0" collapsed="false">
      <c r="A58" s="1" t="n">
        <v>1</v>
      </c>
      <c r="B58" s="1" t="n">
        <v>11</v>
      </c>
      <c r="C58" s="1" t="n">
        <v>1.2</v>
      </c>
      <c r="D58" s="1" t="n">
        <v>1.0869</v>
      </c>
      <c r="E58" s="1" t="n">
        <v>0.0419476</v>
      </c>
      <c r="F58" s="1" t="n">
        <v>0.000114455</v>
      </c>
      <c r="G58" s="1" t="s">
        <v>27</v>
      </c>
      <c r="H58" s="1" t="n">
        <v>63.9</v>
      </c>
      <c r="I58" s="1" t="n">
        <v>40.5</v>
      </c>
      <c r="J58" s="1" t="n">
        <v>17</v>
      </c>
      <c r="K58" s="1"/>
      <c r="L58" s="1" t="n">
        <v>0</v>
      </c>
      <c r="M58" s="1" t="n">
        <v>0</v>
      </c>
      <c r="N58" s="1" t="s">
        <v>128</v>
      </c>
      <c r="Z58" s="0" t="n">
        <f aca="false">I58-35</f>
        <v>5.5</v>
      </c>
      <c r="AB58" s="0" t="n">
        <f aca="false">IF(Z58&lt;0,Z58+360,Z58+0)</f>
        <v>5.5</v>
      </c>
    </row>
    <row r="59" customFormat="false" ht="15.8" hidden="false" customHeight="false" outlineLevel="0" collapsed="false">
      <c r="A59" s="1" t="n">
        <v>1</v>
      </c>
      <c r="B59" s="1" t="n">
        <v>11</v>
      </c>
      <c r="C59" s="1" t="n">
        <v>3.5</v>
      </c>
      <c r="D59" s="1" t="n">
        <v>1.419</v>
      </c>
      <c r="E59" s="1" t="n">
        <v>0.120038</v>
      </c>
      <c r="F59" s="1" t="n">
        <v>0.000327527</v>
      </c>
      <c r="G59" s="1" t="s">
        <v>27</v>
      </c>
      <c r="H59" s="1" t="n">
        <v>51.5</v>
      </c>
      <c r="I59" s="1" t="n">
        <v>159.6</v>
      </c>
      <c r="J59" s="1" t="n">
        <v>7.7</v>
      </c>
      <c r="K59" s="1"/>
      <c r="L59" s="1" t="n">
        <v>0</v>
      </c>
      <c r="M59" s="1" t="n">
        <v>0</v>
      </c>
      <c r="N59" s="1" t="s">
        <v>128</v>
      </c>
      <c r="Z59" s="0" t="n">
        <f aca="false">I59-35</f>
        <v>124.6</v>
      </c>
      <c r="AB59" s="0" t="n">
        <f aca="false">IF(Z59&lt;0,Z59+360,Z59+0)</f>
        <v>124.6</v>
      </c>
    </row>
    <row r="60" customFormat="false" ht="15.8" hidden="false" customHeight="false" outlineLevel="0" collapsed="false">
      <c r="A60" s="1" t="n">
        <v>1</v>
      </c>
      <c r="B60" s="1" t="n">
        <v>10</v>
      </c>
      <c r="C60" s="1" t="n">
        <v>1.3</v>
      </c>
      <c r="D60" s="1" t="n">
        <v>1.1608</v>
      </c>
      <c r="E60" s="1" t="n">
        <v>0.0443359</v>
      </c>
      <c r="F60" s="1" t="n">
        <v>0.000120972</v>
      </c>
      <c r="G60" s="1" t="s">
        <v>59</v>
      </c>
      <c r="H60" s="1" t="n">
        <v>35.2</v>
      </c>
      <c r="I60" s="1" t="n">
        <v>107.7</v>
      </c>
      <c r="J60" s="1" t="n">
        <v>17.2</v>
      </c>
      <c r="K60" s="1" t="n">
        <v>63.9</v>
      </c>
      <c r="L60" s="1" t="n">
        <v>0</v>
      </c>
      <c r="M60" s="1" t="n">
        <v>0</v>
      </c>
      <c r="N60" s="1" t="s">
        <v>127</v>
      </c>
      <c r="Z60" s="0" t="n">
        <f aca="false">I60-35</f>
        <v>72.7</v>
      </c>
      <c r="AB60" s="0" t="n">
        <f aca="false">IF(Z60&lt;0,Z60+360,Z60+0)</f>
        <v>72.7</v>
      </c>
    </row>
    <row r="61" customFormat="false" ht="15.8" hidden="false" customHeight="false" outlineLevel="0" collapsed="false">
      <c r="A61" s="1" t="n">
        <v>1</v>
      </c>
      <c r="B61" s="1" t="n">
        <v>9</v>
      </c>
      <c r="C61" s="1" t="n">
        <v>4.5</v>
      </c>
      <c r="D61" s="1" t="n">
        <v>1.1593</v>
      </c>
      <c r="E61" s="1" t="n">
        <v>0.152894</v>
      </c>
      <c r="F61" s="1" t="n">
        <v>0.000417176</v>
      </c>
      <c r="G61" s="1" t="s">
        <v>59</v>
      </c>
      <c r="H61" s="1" t="n">
        <v>43.6</v>
      </c>
      <c r="I61" s="1" t="n">
        <v>143.2</v>
      </c>
      <c r="J61" s="1" t="n">
        <v>9.9</v>
      </c>
      <c r="K61" s="1" t="n">
        <v>43.5</v>
      </c>
      <c r="L61" s="1" t="n">
        <v>0</v>
      </c>
      <c r="M61" s="1" t="n">
        <v>0</v>
      </c>
      <c r="N61" s="1" t="s">
        <v>129</v>
      </c>
      <c r="Z61" s="0" t="n">
        <f aca="false">I61-35</f>
        <v>108.2</v>
      </c>
      <c r="AB61" s="0" t="n">
        <f aca="false">IF(Z61&lt;0,Z61+360,Z61+0)</f>
        <v>108.2</v>
      </c>
    </row>
    <row r="62" customFormat="false" ht="15.8" hidden="false" customHeight="false" outlineLevel="0" collapsed="false">
      <c r="A62" s="1" t="n">
        <v>1</v>
      </c>
      <c r="B62" s="1" t="n">
        <v>10</v>
      </c>
      <c r="C62" s="1" t="n">
        <v>0.9</v>
      </c>
      <c r="D62" s="1" t="n">
        <v>1.172</v>
      </c>
      <c r="E62" s="1" t="n">
        <v>0.0316115</v>
      </c>
      <c r="F62" s="1" t="n">
        <v>8.62531E-005</v>
      </c>
      <c r="G62" s="1" t="s">
        <v>27</v>
      </c>
      <c r="H62" s="1" t="n">
        <v>58.6</v>
      </c>
      <c r="I62" s="1" t="n">
        <v>250.6</v>
      </c>
      <c r="J62" s="1" t="n">
        <v>57</v>
      </c>
      <c r="K62" s="1"/>
      <c r="L62" s="1" t="n">
        <v>0</v>
      </c>
      <c r="M62" s="1" t="n">
        <v>0</v>
      </c>
      <c r="N62" s="1" t="s">
        <v>130</v>
      </c>
      <c r="Z62" s="0" t="n">
        <f aca="false">I62-35</f>
        <v>215.6</v>
      </c>
      <c r="AB62" s="0" t="n">
        <f aca="false">IF(Z62&lt;0,Z62+360,Z62+0)</f>
        <v>215.6</v>
      </c>
    </row>
    <row r="63" customFormat="false" ht="15.8" hidden="false" customHeight="false" outlineLevel="0" collapsed="false">
      <c r="A63" s="1" t="n">
        <v>1</v>
      </c>
      <c r="B63" s="1" t="n">
        <v>12</v>
      </c>
      <c r="C63" s="1" t="n">
        <v>1.9</v>
      </c>
      <c r="D63" s="1" t="n">
        <v>1.2447</v>
      </c>
      <c r="E63" s="1" t="n">
        <v>0.063906</v>
      </c>
      <c r="F63" s="1" t="n">
        <v>0.00017437</v>
      </c>
      <c r="G63" s="1" t="s">
        <v>27</v>
      </c>
      <c r="H63" s="1" t="n">
        <v>84.2</v>
      </c>
      <c r="I63" s="1" t="n">
        <v>99.5</v>
      </c>
      <c r="J63" s="1" t="n">
        <v>12.7</v>
      </c>
      <c r="K63" s="1"/>
      <c r="L63" s="1" t="n">
        <v>0</v>
      </c>
      <c r="M63" s="1" t="n">
        <v>0</v>
      </c>
      <c r="N63" s="1" t="s">
        <v>131</v>
      </c>
      <c r="Z63" s="0" t="n">
        <f aca="false">I63-35</f>
        <v>64.5</v>
      </c>
      <c r="AB63" s="0" t="n">
        <f aca="false">IF(Z63&lt;0,Z63+360,Z63+0)</f>
        <v>64.5</v>
      </c>
    </row>
    <row r="64" customFormat="false" ht="15.8" hidden="false" customHeight="false" outlineLevel="0" collapsed="false">
      <c r="A64" s="1" t="n">
        <v>1</v>
      </c>
      <c r="B64" s="1" t="n">
        <v>12</v>
      </c>
      <c r="C64" s="1" t="n">
        <v>2.3</v>
      </c>
      <c r="D64" s="1" t="n">
        <v>1.3827</v>
      </c>
      <c r="E64" s="1" t="n">
        <v>0.0789555</v>
      </c>
      <c r="F64" s="1" t="n">
        <v>0.000215433</v>
      </c>
      <c r="G64" s="1" t="s">
        <v>27</v>
      </c>
      <c r="H64" s="1" t="n">
        <v>38.5</v>
      </c>
      <c r="I64" s="1" t="n">
        <v>148.1</v>
      </c>
      <c r="J64" s="1" t="n">
        <v>11.4</v>
      </c>
      <c r="K64" s="1"/>
      <c r="L64" s="1" t="n">
        <v>0</v>
      </c>
      <c r="M64" s="1" t="n">
        <v>0</v>
      </c>
      <c r="N64" s="1" t="s">
        <v>131</v>
      </c>
      <c r="Z64" s="0" t="n">
        <f aca="false">I64-35</f>
        <v>113.1</v>
      </c>
      <c r="AB64" s="0" t="n">
        <f aca="false">IF(Z64&lt;0,Z64+360,Z64+0)</f>
        <v>113.1</v>
      </c>
    </row>
    <row r="65" customFormat="false" ht="15.8" hidden="false" customHeight="false" outlineLevel="0" collapsed="false">
      <c r="A65" s="1" t="n">
        <v>1</v>
      </c>
      <c r="B65" s="1" t="n">
        <v>13</v>
      </c>
      <c r="C65" s="1" t="n">
        <v>0.8</v>
      </c>
      <c r="D65" s="1" t="n">
        <v>1.0094</v>
      </c>
      <c r="E65" s="1" t="n">
        <v>0.0285575</v>
      </c>
      <c r="F65" s="1" t="n">
        <v>7.79202E-005</v>
      </c>
      <c r="G65" s="1" t="s">
        <v>27</v>
      </c>
      <c r="H65" s="1" t="n">
        <v>127</v>
      </c>
      <c r="I65" s="1" t="n">
        <v>307.5</v>
      </c>
      <c r="J65" s="1" t="n">
        <v>0</v>
      </c>
      <c r="K65" s="1"/>
      <c r="L65" s="1" t="n">
        <v>0</v>
      </c>
      <c r="M65" s="1" t="n">
        <v>0</v>
      </c>
      <c r="N65" s="1" t="s">
        <v>132</v>
      </c>
      <c r="Z65" s="0" t="n">
        <f aca="false">I65-35</f>
        <v>272.5</v>
      </c>
      <c r="AB65" s="0" t="n">
        <f aca="false">IF(Z65&lt;0,Z65+360,Z65+0)</f>
        <v>272.5</v>
      </c>
    </row>
    <row r="66" customFormat="false" ht="15.8" hidden="false" customHeight="false" outlineLevel="0" collapsed="false">
      <c r="A66" s="1" t="n">
        <v>1</v>
      </c>
      <c r="B66" s="1" t="n">
        <v>13</v>
      </c>
      <c r="C66" s="1" t="n">
        <v>1.8</v>
      </c>
      <c r="D66" s="1" t="n">
        <v>1.209</v>
      </c>
      <c r="E66" s="1" t="n">
        <v>0.0601969</v>
      </c>
      <c r="F66" s="1" t="n">
        <v>0.000164249</v>
      </c>
      <c r="G66" s="1" t="s">
        <v>27</v>
      </c>
      <c r="H66" s="1" t="n">
        <v>31.4</v>
      </c>
      <c r="I66" s="1" t="n">
        <v>153.4</v>
      </c>
      <c r="J66" s="1" t="n">
        <v>27</v>
      </c>
      <c r="K66" s="1"/>
      <c r="L66" s="1" t="n">
        <v>0</v>
      </c>
      <c r="M66" s="1" t="n">
        <v>0</v>
      </c>
      <c r="N66" s="1" t="s">
        <v>132</v>
      </c>
      <c r="Z66" s="0" t="n">
        <f aca="false">I66-35</f>
        <v>118.4</v>
      </c>
      <c r="AB66" s="0" t="n">
        <f aca="false">IF(Z66&lt;0,Z66+360,Z66+0)</f>
        <v>118.4</v>
      </c>
    </row>
    <row r="67" customFormat="false" ht="15.8" hidden="false" customHeight="false" outlineLevel="0" collapsed="false">
      <c r="A67" s="1" t="n">
        <v>1</v>
      </c>
      <c r="B67" s="1" t="n">
        <v>12</v>
      </c>
      <c r="C67" s="1" t="n">
        <v>5.6</v>
      </c>
      <c r="D67" s="1" t="n">
        <v>1.2145</v>
      </c>
      <c r="E67" s="1" t="n">
        <v>0.19196</v>
      </c>
      <c r="F67" s="1" t="n">
        <v>0.000523768</v>
      </c>
      <c r="G67" s="1" t="s">
        <v>59</v>
      </c>
      <c r="H67" s="1" t="n">
        <v>12.1</v>
      </c>
      <c r="I67" s="1" t="n">
        <v>180</v>
      </c>
      <c r="J67" s="1" t="n">
        <v>8.2</v>
      </c>
      <c r="K67" s="1" t="n">
        <v>127</v>
      </c>
      <c r="L67" s="1" t="n">
        <v>0</v>
      </c>
      <c r="M67" s="1" t="n">
        <v>0</v>
      </c>
      <c r="N67" s="1" t="s">
        <v>131</v>
      </c>
      <c r="Z67" s="0" t="n">
        <f aca="false">I67-35</f>
        <v>145</v>
      </c>
      <c r="AB67" s="0" t="n">
        <f aca="false">IF(Z67&lt;0,Z67+360,Z67+0)</f>
        <v>145</v>
      </c>
    </row>
    <row r="68" customFormat="false" ht="15.8" hidden="false" customHeight="false" outlineLevel="0" collapsed="false">
      <c r="A68" s="1" t="n">
        <v>1</v>
      </c>
      <c r="B68" s="1" t="n">
        <v>11</v>
      </c>
      <c r="C68" s="1" t="n">
        <v>4.1</v>
      </c>
      <c r="D68" s="1" t="n">
        <v>1.2827</v>
      </c>
      <c r="E68" s="1" t="n">
        <v>0.141425</v>
      </c>
      <c r="F68" s="1" t="n">
        <v>0.000385884</v>
      </c>
      <c r="G68" s="1" t="s">
        <v>59</v>
      </c>
      <c r="H68" s="1" t="n">
        <v>46.4</v>
      </c>
      <c r="I68" s="1" t="n">
        <v>187.4</v>
      </c>
      <c r="J68" s="1" t="n">
        <v>17.9</v>
      </c>
      <c r="K68" s="1" t="n">
        <v>84.2</v>
      </c>
      <c r="L68" s="1" t="n">
        <v>0</v>
      </c>
      <c r="M68" s="1" t="n">
        <v>0</v>
      </c>
      <c r="N68" s="1" t="s">
        <v>133</v>
      </c>
      <c r="Z68" s="0" t="n">
        <f aca="false">I68-35</f>
        <v>152.4</v>
      </c>
      <c r="AB68" s="0" t="n">
        <f aca="false">IF(Z68&lt;0,Z68+360,Z68+0)</f>
        <v>152.4</v>
      </c>
    </row>
    <row r="69" customFormat="false" ht="15.8" hidden="false" customHeight="false" outlineLevel="0" collapsed="false">
      <c r="A69" s="1" t="n">
        <v>1</v>
      </c>
      <c r="B69" s="1" t="n">
        <v>12</v>
      </c>
      <c r="C69" s="1" t="n">
        <v>1.4</v>
      </c>
      <c r="D69" s="1" t="n">
        <v>1.2106</v>
      </c>
      <c r="E69" s="1" t="n">
        <v>0.047416</v>
      </c>
      <c r="F69" s="1" t="n">
        <v>0.000129376</v>
      </c>
      <c r="G69" s="1" t="s">
        <v>27</v>
      </c>
      <c r="H69" s="1" t="n">
        <v>96.7</v>
      </c>
      <c r="I69" s="1" t="n">
        <v>135.8</v>
      </c>
      <c r="J69" s="1" t="n">
        <v>0</v>
      </c>
      <c r="K69" s="1"/>
      <c r="L69" s="1" t="n">
        <v>0</v>
      </c>
      <c r="M69" s="1" t="n">
        <v>0</v>
      </c>
      <c r="N69" s="1" t="s">
        <v>134</v>
      </c>
      <c r="Z69" s="0" t="n">
        <f aca="false">I69-35</f>
        <v>100.8</v>
      </c>
      <c r="AB69" s="0" t="n">
        <f aca="false">IF(Z69&lt;0,Z69+360,Z69+0)</f>
        <v>100.8</v>
      </c>
    </row>
    <row r="70" customFormat="false" ht="15.8" hidden="false" customHeight="false" outlineLevel="0" collapsed="false">
      <c r="A70" s="1" t="n">
        <v>1</v>
      </c>
      <c r="B70" s="1" t="n">
        <v>14</v>
      </c>
      <c r="C70" s="1" t="n">
        <v>2.7</v>
      </c>
      <c r="D70" s="1" t="n">
        <v>1.7198</v>
      </c>
      <c r="E70" s="1" t="n">
        <v>0.092422</v>
      </c>
      <c r="F70" s="1" t="n">
        <v>0.000252177</v>
      </c>
      <c r="G70" s="1" t="s">
        <v>27</v>
      </c>
      <c r="H70" s="1" t="n">
        <v>116.5</v>
      </c>
      <c r="I70" s="1" t="n">
        <v>346</v>
      </c>
      <c r="J70" s="1" t="n">
        <v>-39.2</v>
      </c>
      <c r="K70" s="1"/>
      <c r="L70" s="1" t="n">
        <v>0</v>
      </c>
      <c r="M70" s="1" t="n">
        <v>0</v>
      </c>
      <c r="N70" s="1" t="s">
        <v>135</v>
      </c>
      <c r="Z70" s="0" t="n">
        <f aca="false">I70-35</f>
        <v>311</v>
      </c>
      <c r="AB70" s="0" t="n">
        <f aca="false">IF(Z70&lt;0,Z70+360,Z70+0)</f>
        <v>311</v>
      </c>
    </row>
    <row r="71" customFormat="false" ht="15.8" hidden="false" customHeight="false" outlineLevel="0" collapsed="false">
      <c r="A71" s="1" t="n">
        <v>1</v>
      </c>
      <c r="B71" s="1" t="n">
        <v>15</v>
      </c>
      <c r="C71" s="1" t="n">
        <v>1.1</v>
      </c>
      <c r="D71" s="1" t="n">
        <v>1.1568</v>
      </c>
      <c r="E71" s="1" t="n">
        <v>0.0389997</v>
      </c>
      <c r="F71" s="1" t="n">
        <v>0.000106412</v>
      </c>
      <c r="G71" s="1" t="s">
        <v>27</v>
      </c>
      <c r="H71" s="1" t="n">
        <v>32.6</v>
      </c>
      <c r="I71" s="1" t="n">
        <v>201.4</v>
      </c>
      <c r="J71" s="1" t="n">
        <v>19.6</v>
      </c>
      <c r="K71" s="1"/>
      <c r="L71" s="1" t="n">
        <v>0</v>
      </c>
      <c r="M71" s="1" t="n">
        <v>0</v>
      </c>
      <c r="N71" s="1" t="s">
        <v>136</v>
      </c>
      <c r="Z71" s="0" t="n">
        <f aca="false">I71-35</f>
        <v>166.4</v>
      </c>
      <c r="AB71" s="0" t="n">
        <f aca="false">IF(Z71&lt;0,Z71+360,Z71+0)</f>
        <v>166.4</v>
      </c>
    </row>
    <row r="72" customFormat="false" ht="15.8" hidden="false" customHeight="false" outlineLevel="0" collapsed="false">
      <c r="A72" s="1" t="n">
        <v>1</v>
      </c>
      <c r="B72" s="1" t="n">
        <v>15</v>
      </c>
      <c r="C72" s="1" t="n">
        <v>2.1</v>
      </c>
      <c r="D72" s="1" t="n">
        <v>1.1809</v>
      </c>
      <c r="E72" s="1" t="n">
        <v>0.0725884</v>
      </c>
      <c r="F72" s="1" t="n">
        <v>0.00019806</v>
      </c>
      <c r="G72" s="1" t="s">
        <v>27</v>
      </c>
      <c r="H72" s="1" t="n">
        <v>48.1</v>
      </c>
      <c r="I72" s="1" t="n">
        <v>265.7</v>
      </c>
      <c r="J72" s="1" t="n">
        <v>10.6</v>
      </c>
      <c r="K72" s="1"/>
      <c r="L72" s="1" t="n">
        <v>0</v>
      </c>
      <c r="M72" s="1" t="n">
        <v>0</v>
      </c>
      <c r="N72" s="1" t="s">
        <v>136</v>
      </c>
      <c r="Z72" s="0" t="n">
        <f aca="false">I72-35</f>
        <v>230.7</v>
      </c>
      <c r="AB72" s="0" t="n">
        <f aca="false">IF(Z72&lt;0,Z72+360,Z72+0)</f>
        <v>230.7</v>
      </c>
    </row>
    <row r="73" customFormat="false" ht="15.8" hidden="false" customHeight="false" outlineLevel="0" collapsed="false">
      <c r="A73" s="1" t="n">
        <v>1</v>
      </c>
      <c r="B73" s="1" t="n">
        <v>14</v>
      </c>
      <c r="C73" s="1" t="n">
        <v>0.6</v>
      </c>
      <c r="D73" s="1" t="n">
        <v>1.1983</v>
      </c>
      <c r="E73" s="1" t="n">
        <v>0.0192309</v>
      </c>
      <c r="F73" s="1" t="n">
        <v>5.24721E-005</v>
      </c>
      <c r="G73" s="1" t="s">
        <v>59</v>
      </c>
      <c r="H73" s="1" t="n">
        <v>65.1</v>
      </c>
      <c r="I73" s="1" t="n">
        <v>226.3</v>
      </c>
      <c r="J73" s="1" t="n">
        <v>44.8</v>
      </c>
      <c r="K73" s="1" t="n">
        <v>48.1</v>
      </c>
      <c r="L73" s="1" t="n">
        <v>0</v>
      </c>
      <c r="M73" s="1" t="n">
        <v>0</v>
      </c>
      <c r="N73" s="1" t="s">
        <v>135</v>
      </c>
      <c r="Z73" s="0" t="n">
        <f aca="false">I73-35</f>
        <v>191.3</v>
      </c>
      <c r="AB73" s="0" t="n">
        <f aca="false">IF(Z73&lt;0,Z73+360,Z73+0)</f>
        <v>191.3</v>
      </c>
    </row>
    <row r="74" customFormat="false" ht="15.8" hidden="false" customHeight="false" outlineLevel="0" collapsed="false">
      <c r="A74" s="1" t="n">
        <v>1</v>
      </c>
      <c r="B74" s="1" t="n">
        <v>13</v>
      </c>
      <c r="C74" s="1" t="n">
        <v>3</v>
      </c>
      <c r="D74" s="1" t="n">
        <v>1.2145</v>
      </c>
      <c r="E74" s="1" t="n">
        <v>0.101566</v>
      </c>
      <c r="F74" s="1" t="n">
        <v>0.000277125</v>
      </c>
      <c r="G74" s="1" t="s">
        <v>59</v>
      </c>
      <c r="H74" s="1" t="n">
        <v>79.6</v>
      </c>
      <c r="I74" s="1" t="n">
        <v>200.1</v>
      </c>
      <c r="J74" s="1" t="n">
        <v>-15.7</v>
      </c>
      <c r="K74" s="1" t="n">
        <v>116.5</v>
      </c>
      <c r="L74" s="1" t="n">
        <v>0</v>
      </c>
      <c r="M74" s="1" t="n">
        <v>0</v>
      </c>
      <c r="N74" s="1" t="s">
        <v>137</v>
      </c>
      <c r="Z74" s="0" t="n">
        <f aca="false">I74-35</f>
        <v>165.1</v>
      </c>
      <c r="AB74" s="0" t="n">
        <f aca="false">IF(Z74&lt;0,Z74+360,Z74+0)</f>
        <v>165.1</v>
      </c>
    </row>
    <row r="75" customFormat="false" ht="15.8" hidden="false" customHeight="false" outlineLevel="0" collapsed="false">
      <c r="A75" s="1" t="n">
        <v>1</v>
      </c>
      <c r="B75" s="1" t="n">
        <v>13</v>
      </c>
      <c r="C75" s="1" t="n">
        <v>1</v>
      </c>
      <c r="D75" s="1" t="n">
        <v>1.0467</v>
      </c>
      <c r="E75" s="1" t="n">
        <v>0.0329394</v>
      </c>
      <c r="F75" s="1" t="n">
        <v>8.98762E-005</v>
      </c>
      <c r="G75" s="1" t="s">
        <v>27</v>
      </c>
      <c r="H75" s="1" t="n">
        <v>77.2</v>
      </c>
      <c r="I75" s="1" t="n">
        <v>2.7</v>
      </c>
      <c r="J75" s="1" t="n">
        <v>0</v>
      </c>
      <c r="K75" s="1"/>
      <c r="L75" s="1" t="n">
        <v>0</v>
      </c>
      <c r="M75" s="1" t="n">
        <v>0</v>
      </c>
      <c r="N75" s="1" t="s">
        <v>137</v>
      </c>
      <c r="Z75" s="0" t="n">
        <f aca="false">I75-35</f>
        <v>-32.3</v>
      </c>
      <c r="AB75" s="0" t="n">
        <f aca="false">IF(Z75&lt;0,Z75+360,Z75+0)</f>
        <v>327.7</v>
      </c>
    </row>
    <row r="76" customFormat="false" ht="15.8" hidden="false" customHeight="false" outlineLevel="0" collapsed="false">
      <c r="A76" s="1" t="n">
        <v>1</v>
      </c>
      <c r="B76" s="1" t="n">
        <v>14</v>
      </c>
      <c r="C76" s="1" t="n">
        <v>1.2</v>
      </c>
      <c r="D76" s="1" t="n">
        <v>1.0501</v>
      </c>
      <c r="E76" s="1" t="n">
        <v>0.0409099</v>
      </c>
      <c r="F76" s="1" t="n">
        <v>0.000111624</v>
      </c>
      <c r="G76" s="1" t="s">
        <v>27</v>
      </c>
      <c r="H76" s="1" t="n">
        <v>76.7</v>
      </c>
      <c r="I76" s="1" t="n">
        <v>238.8</v>
      </c>
      <c r="J76" s="1" t="n">
        <v>0</v>
      </c>
      <c r="K76" s="1"/>
      <c r="L76" s="1" t="n">
        <v>0</v>
      </c>
      <c r="M76" s="1" t="n">
        <v>0</v>
      </c>
      <c r="N76" s="1" t="s">
        <v>138</v>
      </c>
      <c r="Z76" s="0" t="n">
        <f aca="false">I76-35</f>
        <v>203.8</v>
      </c>
      <c r="AB76" s="0" t="n">
        <f aca="false">IF(Z76&lt;0,Z76+360,Z76+0)</f>
        <v>203.8</v>
      </c>
    </row>
    <row r="77" customFormat="false" ht="15.8" hidden="false" customHeight="false" outlineLevel="0" collapsed="false">
      <c r="A77" s="1" t="n">
        <v>1</v>
      </c>
      <c r="B77" s="1" t="n">
        <v>15</v>
      </c>
      <c r="C77" s="1" t="n">
        <v>0.9</v>
      </c>
      <c r="D77" s="1" t="n">
        <v>1.1417</v>
      </c>
      <c r="E77" s="1" t="n">
        <v>0.0321144</v>
      </c>
      <c r="F77" s="1" t="n">
        <v>8.76253E-005</v>
      </c>
      <c r="G77" s="1" t="s">
        <v>27</v>
      </c>
      <c r="H77" s="1" t="n">
        <v>52.6</v>
      </c>
      <c r="I77" s="1" t="n">
        <v>56.9</v>
      </c>
      <c r="J77" s="1" t="n">
        <v>0</v>
      </c>
      <c r="K77" s="1"/>
      <c r="L77" s="1" t="n">
        <v>0</v>
      </c>
      <c r="M77" s="1" t="n">
        <v>0</v>
      </c>
      <c r="N77" s="1" t="s">
        <v>139</v>
      </c>
      <c r="Z77" s="0" t="n">
        <f aca="false">I77-35</f>
        <v>21.9</v>
      </c>
      <c r="AB77" s="0" t="n">
        <f aca="false">IF(Z77&lt;0,Z77+360,Z77+0)</f>
        <v>21.9</v>
      </c>
    </row>
    <row r="78" customFormat="false" ht="15.8" hidden="false" customHeight="false" outlineLevel="0" collapsed="false">
      <c r="A78" s="1" t="n">
        <v>1</v>
      </c>
      <c r="B78" s="1" t="n">
        <v>16</v>
      </c>
      <c r="C78" s="1" t="n">
        <v>0.5</v>
      </c>
      <c r="D78" s="1" t="n">
        <v>1.0007</v>
      </c>
      <c r="E78" s="1" t="n">
        <v>0.0182841</v>
      </c>
      <c r="F78" s="1" t="n">
        <v>4.98887E-005</v>
      </c>
      <c r="G78" s="1" t="s">
        <v>27</v>
      </c>
      <c r="H78" s="1" t="n">
        <v>27.9</v>
      </c>
      <c r="I78" s="1" t="n">
        <v>325</v>
      </c>
      <c r="J78" s="1" t="n">
        <v>0</v>
      </c>
      <c r="K78" s="1"/>
      <c r="L78" s="1" t="n">
        <v>0</v>
      </c>
      <c r="M78" s="1" t="n">
        <v>0</v>
      </c>
      <c r="N78" s="1" t="s">
        <v>140</v>
      </c>
      <c r="Z78" s="0" t="n">
        <f aca="false">I78-35</f>
        <v>290</v>
      </c>
      <c r="AB78" s="0" t="n">
        <f aca="false">IF(Z78&lt;0,Z78+360,Z78+0)</f>
        <v>290</v>
      </c>
    </row>
    <row r="79" customFormat="false" ht="15.8" hidden="false" customHeight="false" outlineLevel="0" collapsed="false">
      <c r="A79" s="1" t="n">
        <v>1</v>
      </c>
      <c r="B79" s="1" t="n">
        <v>16</v>
      </c>
      <c r="C79" s="1" t="n">
        <v>1.9</v>
      </c>
      <c r="D79" s="1" t="n">
        <v>1.2017</v>
      </c>
      <c r="E79" s="1" t="n">
        <v>0.0638791</v>
      </c>
      <c r="F79" s="1" t="n">
        <v>0.000174296</v>
      </c>
      <c r="G79" s="1" t="s">
        <v>27</v>
      </c>
      <c r="H79" s="1" t="n">
        <v>38.1</v>
      </c>
      <c r="I79" s="1" t="n">
        <v>29.3</v>
      </c>
      <c r="J79" s="1" t="n">
        <v>-12.3</v>
      </c>
      <c r="K79" s="1"/>
      <c r="L79" s="1" t="n">
        <v>0</v>
      </c>
      <c r="M79" s="1" t="n">
        <v>0</v>
      </c>
      <c r="N79" s="1" t="s">
        <v>140</v>
      </c>
      <c r="Z79" s="0" t="n">
        <f aca="false">I79-35</f>
        <v>-5.7</v>
      </c>
      <c r="AB79" s="0" t="n">
        <f aca="false">IF(Z79&lt;0,Z79+360,Z79+0)</f>
        <v>354.3</v>
      </c>
    </row>
    <row r="80" customFormat="false" ht="15.8" hidden="false" customHeight="false" outlineLevel="0" collapsed="false">
      <c r="A80" s="1" t="n">
        <v>1</v>
      </c>
      <c r="B80" s="1" t="n">
        <v>15</v>
      </c>
      <c r="C80" s="1" t="n">
        <v>1.3</v>
      </c>
      <c r="D80" s="1" t="n">
        <v>1.0251</v>
      </c>
      <c r="E80" s="1" t="n">
        <v>0.0436792</v>
      </c>
      <c r="F80" s="1" t="n">
        <v>0.00011918</v>
      </c>
      <c r="G80" s="1" t="s">
        <v>59</v>
      </c>
      <c r="H80" s="1" t="n">
        <v>36</v>
      </c>
      <c r="I80" s="1" t="n">
        <v>352.9</v>
      </c>
      <c r="J80" s="1" t="n">
        <v>0</v>
      </c>
      <c r="K80" s="1" t="n">
        <v>38.1</v>
      </c>
      <c r="L80" s="1" t="n">
        <v>0</v>
      </c>
      <c r="M80" s="1" t="n">
        <v>0</v>
      </c>
      <c r="N80" s="1" t="s">
        <v>139</v>
      </c>
      <c r="Z80" s="0" t="n">
        <f aca="false">I80-35</f>
        <v>317.9</v>
      </c>
      <c r="AB80" s="0" t="n">
        <f aca="false">IF(Z80&lt;0,Z80+360,Z80+0)</f>
        <v>317.9</v>
      </c>
    </row>
    <row r="81" customFormat="false" ht="15.8" hidden="false" customHeight="false" outlineLevel="0" collapsed="false">
      <c r="A81" s="1" t="n">
        <v>1</v>
      </c>
      <c r="B81" s="1" t="n">
        <v>14</v>
      </c>
      <c r="C81" s="1" t="n">
        <v>1.5</v>
      </c>
      <c r="D81" s="1" t="n">
        <v>1.2069</v>
      </c>
      <c r="E81" s="1" t="n">
        <v>0.0528683</v>
      </c>
      <c r="F81" s="1" t="n">
        <v>0.000144253</v>
      </c>
      <c r="G81" s="1" t="s">
        <v>59</v>
      </c>
      <c r="H81" s="1" t="n">
        <v>58</v>
      </c>
      <c r="I81" s="1" t="n">
        <v>12.1</v>
      </c>
      <c r="J81" s="1" t="n">
        <v>-31.1</v>
      </c>
      <c r="K81" s="1" t="n">
        <v>52.6</v>
      </c>
      <c r="L81" s="1" t="n">
        <v>0</v>
      </c>
      <c r="M81" s="1" t="n">
        <v>0</v>
      </c>
      <c r="N81" s="1" t="s">
        <v>138</v>
      </c>
      <c r="Z81" s="0" t="n">
        <f aca="false">I81-35</f>
        <v>-22.9</v>
      </c>
      <c r="AB81" s="0" t="n">
        <f aca="false">IF(Z81&lt;0,Z81+360,Z81+0)</f>
        <v>337.1</v>
      </c>
    </row>
    <row r="82" customFormat="false" ht="15.8" hidden="false" customHeight="false" outlineLevel="0" collapsed="false">
      <c r="A82" s="1" t="n">
        <v>1</v>
      </c>
      <c r="B82" s="1" t="n">
        <v>13</v>
      </c>
      <c r="C82" s="1" t="n">
        <v>0.8</v>
      </c>
      <c r="D82" s="1" t="n">
        <v>1.074</v>
      </c>
      <c r="E82" s="1" t="n">
        <v>0.0262535</v>
      </c>
      <c r="F82" s="1" t="n">
        <v>7.16337E-005</v>
      </c>
      <c r="G82" s="1" t="s">
        <v>59</v>
      </c>
      <c r="H82" s="1" t="n">
        <v>23.5</v>
      </c>
      <c r="I82" s="1" t="n">
        <v>291.4</v>
      </c>
      <c r="J82" s="1" t="n">
        <v>-67.8</v>
      </c>
      <c r="K82" s="1" t="n">
        <v>76.7</v>
      </c>
      <c r="L82" s="1" t="n">
        <v>0</v>
      </c>
      <c r="M82" s="1" t="n">
        <v>0</v>
      </c>
      <c r="N82" s="1" t="s">
        <v>137</v>
      </c>
      <c r="Z82" s="0" t="n">
        <f aca="false">I82-35</f>
        <v>256.4</v>
      </c>
      <c r="AB82" s="0" t="n">
        <f aca="false">IF(Z82&lt;0,Z82+360,Z82+0)</f>
        <v>256.4</v>
      </c>
    </row>
    <row r="83" customFormat="false" ht="15.8" hidden="false" customHeight="false" outlineLevel="0" collapsed="false">
      <c r="A83" s="1" t="n">
        <v>1</v>
      </c>
      <c r="B83" s="1" t="n">
        <v>12</v>
      </c>
      <c r="C83" s="1" t="n">
        <v>0.6</v>
      </c>
      <c r="D83" s="1" t="n">
        <v>1.196</v>
      </c>
      <c r="E83" s="1" t="n">
        <v>0.0193865</v>
      </c>
      <c r="F83" s="1" t="n">
        <v>5.28967E-005</v>
      </c>
      <c r="G83" s="1" t="s">
        <v>59</v>
      </c>
      <c r="H83" s="1" t="n">
        <v>40.3</v>
      </c>
      <c r="I83" s="1" t="n">
        <v>290.8</v>
      </c>
      <c r="J83" s="1" t="n">
        <v>-44.3</v>
      </c>
      <c r="K83" s="1" t="n">
        <v>79.6</v>
      </c>
      <c r="L83" s="1" t="n">
        <v>0</v>
      </c>
      <c r="M83" s="1" t="n">
        <v>0</v>
      </c>
      <c r="N83" s="1" t="s">
        <v>134</v>
      </c>
      <c r="Z83" s="0" t="n">
        <f aca="false">I83-35</f>
        <v>255.8</v>
      </c>
      <c r="AB83" s="0" t="n">
        <f aca="false">IF(Z83&lt;0,Z83+360,Z83+0)</f>
        <v>255.8</v>
      </c>
    </row>
    <row r="84" customFormat="false" ht="15.8" hidden="false" customHeight="false" outlineLevel="0" collapsed="false">
      <c r="A84" s="1" t="n">
        <v>1</v>
      </c>
      <c r="B84" s="1" t="n">
        <v>11</v>
      </c>
      <c r="C84" s="1" t="n">
        <v>1</v>
      </c>
      <c r="D84" s="1" t="n">
        <v>1.0207</v>
      </c>
      <c r="E84" s="1" t="n">
        <v>0.0348928</v>
      </c>
      <c r="F84" s="1" t="n">
        <v>9.52063E-005</v>
      </c>
      <c r="G84" s="1" t="s">
        <v>59</v>
      </c>
      <c r="H84" s="1" t="n">
        <v>75.3</v>
      </c>
      <c r="I84" s="1" t="n">
        <v>326.3</v>
      </c>
      <c r="J84" s="1" t="n">
        <v>-83.2</v>
      </c>
      <c r="K84" s="1" t="n">
        <v>96.7</v>
      </c>
      <c r="L84" s="1" t="n">
        <v>0</v>
      </c>
      <c r="M84" s="1" t="n">
        <v>0</v>
      </c>
      <c r="N84" s="1" t="s">
        <v>133</v>
      </c>
      <c r="Z84" s="0" t="n">
        <f aca="false">I84-35</f>
        <v>291.3</v>
      </c>
      <c r="AB84" s="0" t="n">
        <f aca="false">IF(Z84&lt;0,Z84+360,Z84+0)</f>
        <v>291.3</v>
      </c>
    </row>
    <row r="85" customFormat="false" ht="15.8" hidden="false" customHeight="false" outlineLevel="0" collapsed="false">
      <c r="A85" s="1" t="n">
        <v>1</v>
      </c>
      <c r="B85" s="1" t="n">
        <v>10</v>
      </c>
      <c r="C85" s="1" t="n">
        <v>3.2</v>
      </c>
      <c r="D85" s="1" t="n">
        <v>1.4041</v>
      </c>
      <c r="E85" s="1" t="n">
        <v>0.10943</v>
      </c>
      <c r="F85" s="1" t="n">
        <v>0.000298583</v>
      </c>
      <c r="G85" s="1" t="s">
        <v>59</v>
      </c>
      <c r="H85" s="1" t="n">
        <v>22.6</v>
      </c>
      <c r="I85" s="1" t="n">
        <v>218.5</v>
      </c>
      <c r="J85" s="1" t="n">
        <v>-16.9</v>
      </c>
      <c r="K85" s="1" t="n">
        <v>75.3</v>
      </c>
      <c r="L85" s="1" t="n">
        <v>0</v>
      </c>
      <c r="M85" s="1" t="n">
        <v>0</v>
      </c>
      <c r="N85" s="1" t="s">
        <v>130</v>
      </c>
      <c r="Z85" s="0" t="n">
        <f aca="false">I85-35</f>
        <v>183.5</v>
      </c>
      <c r="AB85" s="0" t="n">
        <f aca="false">IF(Z85&lt;0,Z85+360,Z85+0)</f>
        <v>183.5</v>
      </c>
    </row>
    <row r="86" customFormat="false" ht="15.8" hidden="false" customHeight="false" outlineLevel="0" collapsed="false">
      <c r="A86" s="1" t="n">
        <v>1</v>
      </c>
      <c r="B86" s="1" t="n">
        <v>9</v>
      </c>
      <c r="C86" s="1" t="n">
        <v>0.6</v>
      </c>
      <c r="D86" s="1" t="n">
        <v>1.016</v>
      </c>
      <c r="E86" s="1" t="n">
        <v>0.0222299</v>
      </c>
      <c r="F86" s="1" t="n">
        <v>6.0655E-005</v>
      </c>
      <c r="G86" s="1" t="s">
        <v>59</v>
      </c>
      <c r="H86" s="1" t="n">
        <v>47.8</v>
      </c>
      <c r="I86" s="1" t="n">
        <v>233.7</v>
      </c>
      <c r="J86" s="1" t="n">
        <v>0</v>
      </c>
      <c r="K86" s="1" t="n">
        <v>58.6</v>
      </c>
      <c r="L86" s="1" t="n">
        <v>0</v>
      </c>
      <c r="M86" s="1" t="n">
        <v>0</v>
      </c>
      <c r="N86" s="1" t="s">
        <v>129</v>
      </c>
      <c r="Z86" s="0" t="n">
        <f aca="false">I86-35</f>
        <v>198.7</v>
      </c>
      <c r="AB86" s="0" t="n">
        <f aca="false">IF(Z86&lt;0,Z86+360,Z86+0)</f>
        <v>198.7</v>
      </c>
    </row>
    <row r="87" customFormat="false" ht="15.8" hidden="false" customHeight="false" outlineLevel="0" collapsed="false">
      <c r="A87" s="1" t="n">
        <v>1</v>
      </c>
      <c r="B87" s="1" t="n">
        <v>8</v>
      </c>
      <c r="C87" s="1" t="n">
        <v>1.1</v>
      </c>
      <c r="D87" s="1" t="n">
        <v>1.0502</v>
      </c>
      <c r="E87" s="1" t="n">
        <v>0.0385625</v>
      </c>
      <c r="F87" s="1" t="n">
        <v>0.000105219</v>
      </c>
      <c r="G87" s="1" t="s">
        <v>59</v>
      </c>
      <c r="H87" s="1" t="n">
        <v>36.2</v>
      </c>
      <c r="I87" s="1" t="n">
        <v>185.9</v>
      </c>
      <c r="J87" s="1" t="n">
        <v>0</v>
      </c>
      <c r="K87" s="1" t="n">
        <v>47.8</v>
      </c>
      <c r="L87" s="1" t="n">
        <v>0</v>
      </c>
      <c r="M87" s="1" t="n">
        <v>0</v>
      </c>
      <c r="N87" s="1" t="s">
        <v>115</v>
      </c>
      <c r="Z87" s="0" t="n">
        <f aca="false">I87-35</f>
        <v>150.9</v>
      </c>
      <c r="AB87" s="0" t="n">
        <f aca="false">IF(Z87&lt;0,Z87+360,Z87+0)</f>
        <v>150.9</v>
      </c>
    </row>
    <row r="88" customFormat="false" ht="15.8" hidden="false" customHeight="false" outlineLevel="0" collapsed="false">
      <c r="A88" s="1" t="n">
        <v>1</v>
      </c>
      <c r="B88" s="1" t="n">
        <v>7</v>
      </c>
      <c r="C88" s="1" t="n">
        <v>1.9</v>
      </c>
      <c r="D88" s="1" t="n">
        <v>1.0649</v>
      </c>
      <c r="E88" s="1" t="n">
        <v>0.0665839</v>
      </c>
      <c r="F88" s="1" t="n">
        <v>0.000181677</v>
      </c>
      <c r="G88" s="1" t="s">
        <v>59</v>
      </c>
      <c r="H88" s="1" t="n">
        <v>50.4</v>
      </c>
      <c r="I88" s="1" t="n">
        <v>222.1</v>
      </c>
      <c r="J88" s="1" t="n">
        <v>0</v>
      </c>
      <c r="K88" s="1" t="n">
        <v>69.7</v>
      </c>
      <c r="L88" s="1" t="n">
        <v>0</v>
      </c>
      <c r="M88" s="1" t="n">
        <v>0</v>
      </c>
      <c r="N88" s="1" t="s">
        <v>100</v>
      </c>
      <c r="Z88" s="0" t="n">
        <f aca="false">I88-35</f>
        <v>187.1</v>
      </c>
      <c r="AB88" s="0" t="n">
        <f aca="false">IF(Z88&lt;0,Z88+360,Z88+0)</f>
        <v>187.1</v>
      </c>
    </row>
    <row r="89" customFormat="false" ht="15.8" hidden="false" customHeight="false" outlineLevel="0" collapsed="false">
      <c r="A89" s="1" t="n">
        <v>1</v>
      </c>
      <c r="B89" s="1" t="n">
        <v>6</v>
      </c>
      <c r="C89" s="1" t="n">
        <v>1.4</v>
      </c>
      <c r="D89" s="1" t="n">
        <v>1.1377</v>
      </c>
      <c r="E89" s="1" t="n">
        <v>0.0474112</v>
      </c>
      <c r="F89" s="1" t="n">
        <v>0.000129363</v>
      </c>
      <c r="G89" s="1" t="s">
        <v>59</v>
      </c>
      <c r="H89" s="1" t="n">
        <v>15.9</v>
      </c>
      <c r="I89" s="1" t="n">
        <v>173.6</v>
      </c>
      <c r="J89" s="1" t="n">
        <v>-15.8</v>
      </c>
      <c r="K89" s="1" t="n">
        <v>91.4</v>
      </c>
      <c r="L89" s="1" t="n">
        <v>0</v>
      </c>
      <c r="M89" s="1" t="n">
        <v>0</v>
      </c>
      <c r="N89" s="1" t="s">
        <v>97</v>
      </c>
      <c r="Z89" s="0" t="n">
        <f aca="false">I89-35</f>
        <v>138.6</v>
      </c>
      <c r="AB89" s="0" t="n">
        <f aca="false">IF(Z89&lt;0,Z89+360,Z89+0)</f>
        <v>138.6</v>
      </c>
    </row>
    <row r="90" customFormat="false" ht="15.8" hidden="false" customHeight="false" outlineLevel="0" collapsed="false">
      <c r="A90" s="1" t="n">
        <v>1</v>
      </c>
      <c r="B90" s="1" t="n">
        <v>5</v>
      </c>
      <c r="C90" s="1" t="n">
        <v>0.8</v>
      </c>
      <c r="D90" s="1" t="n">
        <v>1.0076</v>
      </c>
      <c r="E90" s="1" t="n">
        <v>0.0264647</v>
      </c>
      <c r="F90" s="1" t="n">
        <v>7.22098E-005</v>
      </c>
      <c r="G90" s="1" t="s">
        <v>59</v>
      </c>
      <c r="H90" s="1" t="n">
        <v>10.8</v>
      </c>
      <c r="I90" s="1" t="n">
        <v>175.9</v>
      </c>
      <c r="J90" s="1" t="n">
        <v>0</v>
      </c>
      <c r="K90" s="1" t="n">
        <v>74.5</v>
      </c>
      <c r="L90" s="1" t="n">
        <v>0</v>
      </c>
      <c r="M90" s="1" t="n">
        <v>0</v>
      </c>
      <c r="N90" s="1" t="s">
        <v>60</v>
      </c>
      <c r="Z90" s="0" t="n">
        <f aca="false">I90-35</f>
        <v>140.9</v>
      </c>
      <c r="AB90" s="0" t="n">
        <f aca="false">IF(Z90&lt;0,Z90+360,Z90+0)</f>
        <v>140.9</v>
      </c>
    </row>
    <row r="91" customFormat="false" ht="15.8" hidden="false" customHeight="false" outlineLevel="0" collapsed="false">
      <c r="A91" s="1" t="n">
        <v>1</v>
      </c>
      <c r="B91" s="1" t="n">
        <v>4</v>
      </c>
      <c r="C91" s="1" t="n">
        <v>1</v>
      </c>
      <c r="D91" s="1" t="n">
        <v>1.0041</v>
      </c>
      <c r="E91" s="1" t="n">
        <v>0.0351927</v>
      </c>
      <c r="F91" s="1" t="n">
        <v>9.60245E-005</v>
      </c>
      <c r="G91" s="1" t="s">
        <v>59</v>
      </c>
      <c r="H91" s="1" t="n">
        <v>23</v>
      </c>
      <c r="I91" s="1" t="n">
        <v>186.7</v>
      </c>
      <c r="J91" s="1" t="n">
        <v>0</v>
      </c>
      <c r="K91" s="1" t="n">
        <v>82.4</v>
      </c>
      <c r="L91" s="1" t="n">
        <v>0</v>
      </c>
      <c r="M91" s="1" t="n">
        <v>0</v>
      </c>
      <c r="N91" s="1" t="s">
        <v>42</v>
      </c>
      <c r="Z91" s="0" t="n">
        <f aca="false">I91-35</f>
        <v>151.7</v>
      </c>
      <c r="AB91" s="0" t="n">
        <f aca="false">IF(Z91&lt;0,Z91+360,Z91+0)</f>
        <v>151.7</v>
      </c>
    </row>
    <row r="92" customFormat="false" ht="15.8" hidden="false" customHeight="false" outlineLevel="0" collapsed="false">
      <c r="A92" s="1" t="n">
        <v>1</v>
      </c>
      <c r="B92" s="1" t="n">
        <v>3</v>
      </c>
      <c r="C92" s="1" t="n">
        <v>0.2</v>
      </c>
      <c r="D92" s="1" t="n">
        <v>1.0013</v>
      </c>
      <c r="E92" s="1" t="n">
        <v>0.0075525</v>
      </c>
      <c r="F92" s="1" t="n">
        <v>2.06072E-005</v>
      </c>
      <c r="G92" s="1" t="s">
        <v>59</v>
      </c>
      <c r="H92" s="1" t="n">
        <v>25.7</v>
      </c>
      <c r="I92" s="1" t="n">
        <v>209.7</v>
      </c>
      <c r="J92" s="1" t="n">
        <v>0</v>
      </c>
      <c r="K92" s="1" t="n">
        <v>69.2</v>
      </c>
      <c r="L92" s="1" t="n">
        <v>0</v>
      </c>
      <c r="M92" s="1" t="n">
        <v>0</v>
      </c>
      <c r="N92" s="1" t="s">
        <v>37</v>
      </c>
      <c r="Z92" s="0" t="n">
        <f aca="false">I92-35</f>
        <v>174.7</v>
      </c>
      <c r="AB92" s="0" t="n">
        <f aca="false">IF(Z92&lt;0,Z92+360,Z92+0)</f>
        <v>174.7</v>
      </c>
    </row>
    <row r="93" customFormat="false" ht="15.8" hidden="false" customHeight="false" outlineLevel="0" collapsed="false">
      <c r="A93" s="1" t="n">
        <v>1</v>
      </c>
      <c r="B93" s="1" t="n">
        <v>2</v>
      </c>
      <c r="C93" s="1" t="n">
        <v>1.8</v>
      </c>
      <c r="D93" s="1" t="n">
        <v>1.1358</v>
      </c>
      <c r="E93" s="1" t="n">
        <v>0.0611001</v>
      </c>
      <c r="F93" s="1" t="n">
        <v>0.000166714</v>
      </c>
      <c r="G93" s="1" t="s">
        <v>59</v>
      </c>
      <c r="H93" s="1" t="n">
        <v>19.4</v>
      </c>
      <c r="I93" s="1" t="n">
        <v>186.9</v>
      </c>
      <c r="J93" s="1" t="n">
        <v>12.1</v>
      </c>
      <c r="K93" s="1" t="n">
        <v>129.5</v>
      </c>
      <c r="L93" s="1" t="n">
        <v>0</v>
      </c>
      <c r="M93" s="1" t="n">
        <v>0</v>
      </c>
      <c r="N93" s="1" t="s">
        <v>28</v>
      </c>
      <c r="Z93" s="0" t="n">
        <f aca="false">I93-35</f>
        <v>151.9</v>
      </c>
      <c r="AB93" s="0" t="n">
        <f aca="false">IF(Z93&lt;0,Z93+360,Z93+0)</f>
        <v>151.9</v>
      </c>
    </row>
    <row r="94" customFormat="false" ht="15.8" hidden="false" customHeight="false" outlineLevel="0" collapsed="false">
      <c r="A94" s="1" t="n">
        <v>1</v>
      </c>
      <c r="B94" s="1" t="n">
        <v>1</v>
      </c>
      <c r="C94" s="1" t="n">
        <v>3.5</v>
      </c>
      <c r="D94" s="1" t="n">
        <v>1.0343</v>
      </c>
      <c r="E94" s="1" t="n">
        <v>0.119094</v>
      </c>
      <c r="F94" s="1" t="n">
        <v>0.000324951</v>
      </c>
      <c r="G94" s="1" t="s">
        <v>59</v>
      </c>
      <c r="H94" s="1"/>
      <c r="I94" s="1" t="n">
        <v>202.1</v>
      </c>
      <c r="J94" s="1" t="n">
        <v>0</v>
      </c>
      <c r="K94" s="1" t="n">
        <v>109.2</v>
      </c>
      <c r="L94" s="1" t="n">
        <v>0</v>
      </c>
      <c r="M94" s="1" t="n">
        <v>0</v>
      </c>
      <c r="N94" s="1" t="s">
        <v>141</v>
      </c>
      <c r="Z94" s="0" t="n">
        <f aca="false">I94-35</f>
        <v>167.1</v>
      </c>
      <c r="AB94" s="0" t="n">
        <f aca="false">IF(Z94&lt;0,Z94+360,Z94+0)</f>
        <v>167.1</v>
      </c>
    </row>
    <row r="95" customFormat="false" ht="15.8" hidden="false" customHeight="false" outlineLevel="0" collapsed="false">
      <c r="A95" s="1" t="n">
        <v>2</v>
      </c>
      <c r="B95" s="1" t="n">
        <v>1</v>
      </c>
      <c r="C95" s="1" t="n">
        <v>2.3</v>
      </c>
      <c r="D95" s="1" t="n">
        <v>2.067</v>
      </c>
      <c r="E95" s="1" t="n">
        <v>0.0789491</v>
      </c>
      <c r="F95" s="1" t="n">
        <v>0.000215415</v>
      </c>
      <c r="G95" s="1" t="s">
        <v>27</v>
      </c>
      <c r="H95" s="1"/>
      <c r="I95" s="1" t="n">
        <v>251.6</v>
      </c>
      <c r="J95" s="1" t="n">
        <v>36.3</v>
      </c>
      <c r="K95" s="1"/>
      <c r="L95" s="1" t="n">
        <v>0</v>
      </c>
      <c r="M95" s="1" t="n">
        <v>0</v>
      </c>
      <c r="N95" s="1" t="s">
        <v>142</v>
      </c>
      <c r="Z95" s="0" t="n">
        <f aca="false">I95-35</f>
        <v>216.6</v>
      </c>
      <c r="AB95" s="0" t="n">
        <f aca="false">IF(Z95&lt;0,Z95+360,Z95+0)</f>
        <v>216.6</v>
      </c>
    </row>
    <row r="96" customFormat="false" ht="15.8" hidden="false" customHeight="false" outlineLevel="0" collapsed="false">
      <c r="A96" s="1" t="n">
        <v>3</v>
      </c>
      <c r="B96" s="1" t="n">
        <v>2</v>
      </c>
      <c r="C96" s="1" t="n">
        <v>1.6</v>
      </c>
      <c r="D96" s="1" t="n">
        <v>1.305</v>
      </c>
      <c r="E96" s="1" t="n">
        <v>0.0537466</v>
      </c>
      <c r="F96" s="1" t="n">
        <v>0.00014665</v>
      </c>
      <c r="G96" s="1" t="s">
        <v>27</v>
      </c>
      <c r="H96" s="1" t="n">
        <v>68.5</v>
      </c>
      <c r="I96" s="1" t="n">
        <v>329.3</v>
      </c>
      <c r="J96" s="1" t="n">
        <v>15.9</v>
      </c>
      <c r="K96" s="1"/>
      <c r="L96" s="1" t="n">
        <v>0</v>
      </c>
      <c r="M96" s="1" t="n">
        <v>0</v>
      </c>
      <c r="N96" s="1" t="s">
        <v>143</v>
      </c>
      <c r="Z96" s="0" t="n">
        <f aca="false">I96-35</f>
        <v>294.3</v>
      </c>
      <c r="AB96" s="0" t="n">
        <f aca="false">IF(Z96&lt;0,Z96+360,Z96+0)</f>
        <v>294.3</v>
      </c>
    </row>
    <row r="97" customFormat="false" ht="15.8" hidden="false" customHeight="false" outlineLevel="0" collapsed="false">
      <c r="A97" s="1" t="n">
        <v>3</v>
      </c>
      <c r="B97" s="1" t="n">
        <v>2</v>
      </c>
      <c r="C97" s="1" t="n">
        <v>0.5</v>
      </c>
      <c r="D97" s="1" t="n">
        <v>1.0133</v>
      </c>
      <c r="E97" s="1" t="n">
        <v>0.0171939</v>
      </c>
      <c r="F97" s="1" t="n">
        <v>4.69141E-005</v>
      </c>
      <c r="G97" s="1" t="s">
        <v>27</v>
      </c>
      <c r="H97" s="1" t="n">
        <v>33.1</v>
      </c>
      <c r="I97" s="1" t="n">
        <v>228.6</v>
      </c>
      <c r="J97" s="1" t="n">
        <v>0</v>
      </c>
      <c r="K97" s="1"/>
      <c r="L97" s="1" t="n">
        <v>0</v>
      </c>
      <c r="M97" s="1" t="n">
        <v>0</v>
      </c>
      <c r="N97" s="1" t="s">
        <v>143</v>
      </c>
      <c r="Z97" s="0" t="n">
        <f aca="false">I97-35</f>
        <v>193.6</v>
      </c>
      <c r="AB97" s="0" t="n">
        <f aca="false">IF(Z97&lt;0,Z97+360,Z97+0)</f>
        <v>193.6</v>
      </c>
    </row>
    <row r="98" customFormat="false" ht="15.8" hidden="false" customHeight="false" outlineLevel="0" collapsed="false">
      <c r="A98" s="1" t="n">
        <v>3</v>
      </c>
      <c r="B98" s="1" t="n">
        <v>1</v>
      </c>
      <c r="C98" s="1" t="n">
        <v>1.4</v>
      </c>
      <c r="D98" s="1" t="n">
        <v>1.3823</v>
      </c>
      <c r="E98" s="1" t="n">
        <v>0.0465273</v>
      </c>
      <c r="F98" s="1" t="n">
        <v>0.000126951</v>
      </c>
      <c r="G98" s="1" t="s">
        <v>59</v>
      </c>
      <c r="H98" s="1"/>
      <c r="I98" s="1" t="n">
        <v>261.7</v>
      </c>
      <c r="J98" s="1" t="n">
        <v>0</v>
      </c>
      <c r="K98" s="1" t="n">
        <v>68.5</v>
      </c>
      <c r="L98" s="1" t="n">
        <v>0</v>
      </c>
      <c r="M98" s="1" t="n">
        <v>0</v>
      </c>
      <c r="N98" s="1" t="s">
        <v>144</v>
      </c>
      <c r="Z98" s="0" t="n">
        <f aca="false">I98-35</f>
        <v>226.7</v>
      </c>
      <c r="AB98" s="0" t="n">
        <f aca="false">IF(Z98&lt;0,Z98+360,Z98+0)</f>
        <v>226.7</v>
      </c>
    </row>
    <row r="99" customFormat="false" ht="15.8" hidden="false" customHeight="false" outlineLevel="0" collapsed="false">
      <c r="A99" s="1" t="n">
        <v>4</v>
      </c>
      <c r="B99" s="1" t="n">
        <v>1</v>
      </c>
      <c r="C99" s="1" t="n">
        <v>2.6</v>
      </c>
      <c r="D99" s="1" t="n">
        <v>1.044</v>
      </c>
      <c r="E99" s="1" t="n">
        <v>0.0886392</v>
      </c>
      <c r="F99" s="1" t="n">
        <v>0.000241855</v>
      </c>
      <c r="G99" s="1" t="s">
        <v>27</v>
      </c>
      <c r="H99" s="1"/>
      <c r="I99" s="1" t="n">
        <v>350.9</v>
      </c>
      <c r="J99" s="1" t="n">
        <v>0</v>
      </c>
      <c r="K99" s="1"/>
      <c r="L99" s="1" t="n">
        <v>0</v>
      </c>
      <c r="M99" s="1" t="n">
        <v>0</v>
      </c>
      <c r="N99" s="1" t="s">
        <v>145</v>
      </c>
      <c r="Z99" s="0" t="n">
        <f aca="false">I99-35</f>
        <v>315.9</v>
      </c>
      <c r="AB99" s="0" t="n">
        <f aca="false">IF(Z99&lt;0,Z99+360,Z99+0)</f>
        <v>315.9</v>
      </c>
    </row>
    <row r="100" customFormat="false" ht="15.8" hidden="false" customHeight="false" outlineLevel="0" collapsed="false">
      <c r="A100" s="1" t="n">
        <v>5</v>
      </c>
      <c r="B100" s="1" t="n">
        <v>3</v>
      </c>
      <c r="C100" s="1" t="n">
        <v>1.7</v>
      </c>
      <c r="D100" s="1" t="n">
        <v>1.1018</v>
      </c>
      <c r="E100" s="1" t="n">
        <v>0.059834</v>
      </c>
      <c r="F100" s="1" t="n">
        <v>0.000163259</v>
      </c>
      <c r="G100" s="1" t="s">
        <v>27</v>
      </c>
      <c r="H100" s="1" t="n">
        <v>108.3</v>
      </c>
      <c r="I100" s="1" t="n">
        <v>209.7</v>
      </c>
      <c r="J100" s="1" t="n">
        <v>0</v>
      </c>
      <c r="K100" s="1"/>
      <c r="L100" s="1" t="n">
        <v>0</v>
      </c>
      <c r="M100" s="1" t="n">
        <v>0</v>
      </c>
      <c r="N100" s="1" t="s">
        <v>146</v>
      </c>
      <c r="Z100" s="0" t="n">
        <f aca="false">I100-35</f>
        <v>174.7</v>
      </c>
      <c r="AB100" s="0" t="n">
        <f aca="false">IF(Z100&lt;0,Z100+360,Z100+0)</f>
        <v>174.7</v>
      </c>
    </row>
    <row r="101" customFormat="false" ht="15.8" hidden="false" customHeight="false" outlineLevel="0" collapsed="false">
      <c r="A101" s="1" t="n">
        <v>5</v>
      </c>
      <c r="B101" s="1" t="n">
        <v>4</v>
      </c>
      <c r="C101" s="1" t="n">
        <v>0.8</v>
      </c>
      <c r="D101" s="1" t="n">
        <v>1.1607</v>
      </c>
      <c r="E101" s="1" t="n">
        <v>0.0288617</v>
      </c>
      <c r="F101" s="1" t="n">
        <v>7.87502E-005</v>
      </c>
      <c r="G101" s="1" t="s">
        <v>27</v>
      </c>
      <c r="H101" s="1" t="n">
        <v>53.4</v>
      </c>
      <c r="I101" s="1" t="n">
        <v>149.5</v>
      </c>
      <c r="J101" s="1" t="n">
        <v>27.1</v>
      </c>
      <c r="K101" s="1"/>
      <c r="L101" s="1" t="n">
        <v>0</v>
      </c>
      <c r="M101" s="1" t="n">
        <v>0</v>
      </c>
      <c r="N101" s="1" t="s">
        <v>147</v>
      </c>
      <c r="Z101" s="0" t="n">
        <f aca="false">I101-35</f>
        <v>114.5</v>
      </c>
      <c r="AB101" s="0" t="n">
        <f aca="false">IF(Z101&lt;0,Z101+360,Z101+0)</f>
        <v>114.5</v>
      </c>
    </row>
    <row r="102" customFormat="false" ht="15.8" hidden="false" customHeight="false" outlineLevel="0" collapsed="false">
      <c r="A102" s="1" t="n">
        <v>5</v>
      </c>
      <c r="B102" s="1" t="n">
        <v>6</v>
      </c>
      <c r="C102" s="1" t="n">
        <v>1</v>
      </c>
      <c r="D102" s="1" t="n">
        <v>1.1132</v>
      </c>
      <c r="E102" s="1" t="n">
        <v>0.0354351</v>
      </c>
      <c r="F102" s="1" t="n">
        <v>9.66858E-005</v>
      </c>
      <c r="G102" s="1" t="s">
        <v>27</v>
      </c>
      <c r="H102" s="1" t="n">
        <v>20.8</v>
      </c>
      <c r="I102" s="1" t="n">
        <v>6.5</v>
      </c>
      <c r="J102" s="1" t="n">
        <v>20.8</v>
      </c>
      <c r="K102" s="1"/>
      <c r="L102" s="1" t="n">
        <v>0</v>
      </c>
      <c r="M102" s="1" t="n">
        <v>0</v>
      </c>
      <c r="N102" s="1" t="s">
        <v>148</v>
      </c>
      <c r="Z102" s="0" t="n">
        <f aca="false">I102-35</f>
        <v>-28.5</v>
      </c>
      <c r="AB102" s="0" t="n">
        <f aca="false">IF(Z102&lt;0,Z102+360,Z102+0)</f>
        <v>331.5</v>
      </c>
    </row>
    <row r="103" customFormat="false" ht="15.8" hidden="false" customHeight="false" outlineLevel="0" collapsed="false">
      <c r="A103" s="1" t="n">
        <v>5</v>
      </c>
      <c r="B103" s="1" t="n">
        <v>7</v>
      </c>
      <c r="C103" s="1" t="n">
        <v>0.5</v>
      </c>
      <c r="D103" s="1" t="n">
        <v>1.0056</v>
      </c>
      <c r="E103" s="1" t="n">
        <v>0.0169139</v>
      </c>
      <c r="F103" s="1" t="n">
        <v>4.61502E-005</v>
      </c>
      <c r="G103" s="1" t="s">
        <v>27</v>
      </c>
      <c r="H103" s="1" t="n">
        <v>81.2</v>
      </c>
      <c r="I103" s="1" t="n">
        <v>327.7</v>
      </c>
      <c r="J103" s="1" t="n">
        <v>0</v>
      </c>
      <c r="K103" s="1"/>
      <c r="L103" s="1" t="n">
        <v>0</v>
      </c>
      <c r="M103" s="1" t="n">
        <v>0</v>
      </c>
      <c r="N103" s="1" t="s">
        <v>149</v>
      </c>
      <c r="Z103" s="0" t="n">
        <f aca="false">I103-35</f>
        <v>292.7</v>
      </c>
      <c r="AB103" s="0" t="n">
        <f aca="false">IF(Z103&lt;0,Z103+360,Z103+0)</f>
        <v>292.7</v>
      </c>
    </row>
    <row r="104" customFormat="false" ht="15.8" hidden="false" customHeight="false" outlineLevel="0" collapsed="false">
      <c r="A104" s="1" t="n">
        <v>5</v>
      </c>
      <c r="B104" s="1" t="n">
        <v>8</v>
      </c>
      <c r="C104" s="1" t="n">
        <v>1.2</v>
      </c>
      <c r="D104" s="1" t="n">
        <v>1.1187</v>
      </c>
      <c r="E104" s="1" t="n">
        <v>0.041483</v>
      </c>
      <c r="F104" s="1" t="n">
        <v>0.000113188</v>
      </c>
      <c r="G104" s="1" t="s">
        <v>27</v>
      </c>
      <c r="H104" s="1" t="n">
        <v>70.4</v>
      </c>
      <c r="I104" s="1" t="n">
        <v>139.7</v>
      </c>
      <c r="J104" s="1" t="n">
        <v>17.8</v>
      </c>
      <c r="K104" s="1"/>
      <c r="L104" s="1" t="n">
        <v>0</v>
      </c>
      <c r="M104" s="1" t="n">
        <v>0</v>
      </c>
      <c r="N104" s="1" t="s">
        <v>150</v>
      </c>
      <c r="Z104" s="0" t="n">
        <f aca="false">I104-35</f>
        <v>104.7</v>
      </c>
      <c r="AB104" s="0" t="n">
        <f aca="false">IF(Z104&lt;0,Z104+360,Z104+0)</f>
        <v>104.7</v>
      </c>
    </row>
    <row r="105" customFormat="false" ht="15.8" hidden="false" customHeight="false" outlineLevel="0" collapsed="false">
      <c r="A105" s="1" t="n">
        <v>5</v>
      </c>
      <c r="B105" s="1" t="n">
        <v>8</v>
      </c>
      <c r="C105" s="1" t="n">
        <v>2.3</v>
      </c>
      <c r="D105" s="1" t="n">
        <v>1.3089</v>
      </c>
      <c r="E105" s="1" t="n">
        <v>0.0786068</v>
      </c>
      <c r="F105" s="1" t="n">
        <v>0.000214481</v>
      </c>
      <c r="G105" s="1" t="s">
        <v>27</v>
      </c>
      <c r="H105" s="1" t="n">
        <v>19.7</v>
      </c>
      <c r="I105" s="1" t="n">
        <v>42.3</v>
      </c>
      <c r="J105" s="1" t="n">
        <v>22.1</v>
      </c>
      <c r="K105" s="1"/>
      <c r="L105" s="1" t="n">
        <v>0</v>
      </c>
      <c r="M105" s="1" t="n">
        <v>0</v>
      </c>
      <c r="N105" s="1" t="s">
        <v>150</v>
      </c>
      <c r="Z105" s="0" t="n">
        <f aca="false">I105-35</f>
        <v>7.3</v>
      </c>
      <c r="AB105" s="0" t="n">
        <f aca="false">IF(Z105&lt;0,Z105+360,Z105+0)</f>
        <v>7.3</v>
      </c>
    </row>
    <row r="106" customFormat="false" ht="15.8" hidden="false" customHeight="false" outlineLevel="0" collapsed="false">
      <c r="A106" s="1" t="n">
        <v>5</v>
      </c>
      <c r="B106" s="1" t="n">
        <v>7</v>
      </c>
      <c r="C106" s="1" t="n">
        <v>0.9</v>
      </c>
      <c r="D106" s="1" t="n">
        <v>1.17</v>
      </c>
      <c r="E106" s="1" t="n">
        <v>0.0304426</v>
      </c>
      <c r="F106" s="1" t="n">
        <v>8.30636E-005</v>
      </c>
      <c r="G106" s="1" t="s">
        <v>59</v>
      </c>
      <c r="H106" s="1" t="n">
        <v>15.1</v>
      </c>
      <c r="I106" s="1" t="n">
        <v>63.4</v>
      </c>
      <c r="J106" s="1" t="n">
        <v>25.8</v>
      </c>
      <c r="K106" s="1" t="n">
        <v>70.4</v>
      </c>
      <c r="L106" s="1" t="n">
        <v>0</v>
      </c>
      <c r="M106" s="1" t="n">
        <v>0</v>
      </c>
      <c r="N106" s="1" t="s">
        <v>149</v>
      </c>
      <c r="Z106" s="0" t="n">
        <f aca="false">I106-35</f>
        <v>28.4</v>
      </c>
      <c r="AB106" s="0" t="n">
        <f aca="false">IF(Z106&lt;0,Z106+360,Z106+0)</f>
        <v>28.4</v>
      </c>
    </row>
    <row r="107" customFormat="false" ht="15.8" hidden="false" customHeight="false" outlineLevel="0" collapsed="false">
      <c r="A107" s="1" t="n">
        <v>5</v>
      </c>
      <c r="B107" s="1" t="n">
        <v>6</v>
      </c>
      <c r="C107" s="1" t="n">
        <v>2.2</v>
      </c>
      <c r="D107" s="1" t="n">
        <v>1.1788</v>
      </c>
      <c r="E107" s="1" t="n">
        <v>0.0770786</v>
      </c>
      <c r="F107" s="1" t="n">
        <v>0.000210312</v>
      </c>
      <c r="G107" s="1" t="s">
        <v>59</v>
      </c>
      <c r="H107" s="1" t="n">
        <v>49.4</v>
      </c>
      <c r="I107" s="1" t="n">
        <v>47.4</v>
      </c>
      <c r="J107" s="1" t="n">
        <v>31.3</v>
      </c>
      <c r="K107" s="1" t="n">
        <v>81.2</v>
      </c>
      <c r="L107" s="1" t="n">
        <v>0</v>
      </c>
      <c r="M107" s="1" t="n">
        <v>0</v>
      </c>
      <c r="N107" s="1" t="s">
        <v>148</v>
      </c>
      <c r="Z107" s="0" t="n">
        <f aca="false">I107-35</f>
        <v>12.4</v>
      </c>
      <c r="AB107" s="0" t="n">
        <f aca="false">IF(Z107&lt;0,Z107+360,Z107+0)</f>
        <v>12.4</v>
      </c>
    </row>
    <row r="108" customFormat="false" ht="15.8" hidden="false" customHeight="false" outlineLevel="0" collapsed="false">
      <c r="A108" s="1" t="n">
        <v>5</v>
      </c>
      <c r="B108" s="1" t="n">
        <v>5</v>
      </c>
      <c r="C108" s="1" t="n">
        <v>1.4</v>
      </c>
      <c r="D108" s="1" t="n">
        <v>1.0335</v>
      </c>
      <c r="E108" s="1" t="n">
        <v>0.0475384</v>
      </c>
      <c r="F108" s="1" t="n">
        <v>0.00012971</v>
      </c>
      <c r="G108" s="1" t="s">
        <v>59</v>
      </c>
      <c r="H108" s="1" t="n">
        <v>61.6</v>
      </c>
      <c r="I108" s="1" t="n">
        <v>7</v>
      </c>
      <c r="J108" s="1" t="n">
        <v>0</v>
      </c>
      <c r="K108" s="1" t="n">
        <v>49.4</v>
      </c>
      <c r="L108" s="1" t="n">
        <v>0</v>
      </c>
      <c r="M108" s="1" t="n">
        <v>0</v>
      </c>
      <c r="N108" s="1" t="s">
        <v>151</v>
      </c>
      <c r="Z108" s="0" t="n">
        <f aca="false">I108-35</f>
        <v>-28</v>
      </c>
      <c r="AB108" s="0" t="n">
        <f aca="false">IF(Z108&lt;0,Z108+360,Z108+0)</f>
        <v>332</v>
      </c>
    </row>
    <row r="109" customFormat="false" ht="15.8" hidden="false" customHeight="false" outlineLevel="0" collapsed="false">
      <c r="A109" s="1" t="n">
        <v>5</v>
      </c>
      <c r="B109" s="1" t="n">
        <v>7</v>
      </c>
      <c r="C109" s="1" t="n">
        <v>0.7</v>
      </c>
      <c r="D109" s="1" t="n">
        <v>1.0867</v>
      </c>
      <c r="E109" s="1" t="n">
        <v>0.0249256</v>
      </c>
      <c r="F109" s="1" t="n">
        <v>6.80103E-005</v>
      </c>
      <c r="G109" s="1" t="s">
        <v>27</v>
      </c>
      <c r="H109" s="1" t="n">
        <v>62.5</v>
      </c>
      <c r="I109" s="1" t="n">
        <v>326.3</v>
      </c>
      <c r="J109" s="1" t="n">
        <v>0</v>
      </c>
      <c r="K109" s="1"/>
      <c r="L109" s="1" t="n">
        <v>0</v>
      </c>
      <c r="M109" s="1" t="n">
        <v>0</v>
      </c>
      <c r="N109" s="1" t="s">
        <v>152</v>
      </c>
      <c r="Z109" s="0" t="n">
        <f aca="false">I109-35</f>
        <v>291.3</v>
      </c>
      <c r="AB109" s="0" t="n">
        <f aca="false">IF(Z109&lt;0,Z109+360,Z109+0)</f>
        <v>291.3</v>
      </c>
    </row>
    <row r="110" customFormat="false" ht="15.8" hidden="false" customHeight="false" outlineLevel="0" collapsed="false">
      <c r="A110" s="1" t="n">
        <v>5</v>
      </c>
      <c r="B110" s="1" t="n">
        <v>8</v>
      </c>
      <c r="C110" s="1" t="n">
        <v>1.3</v>
      </c>
      <c r="D110" s="1" t="n">
        <v>1.0891</v>
      </c>
      <c r="E110" s="1" t="n">
        <v>0.0445054</v>
      </c>
      <c r="F110" s="1" t="n">
        <v>0.000121435</v>
      </c>
      <c r="G110" s="1" t="s">
        <v>27</v>
      </c>
      <c r="H110" s="1" t="n">
        <v>139.6</v>
      </c>
      <c r="I110" s="1" t="n">
        <v>195.9</v>
      </c>
      <c r="J110" s="1" t="n">
        <v>0</v>
      </c>
      <c r="K110" s="1"/>
      <c r="L110" s="1" t="n">
        <v>0</v>
      </c>
      <c r="M110" s="1" t="n">
        <v>0</v>
      </c>
      <c r="N110" s="1" t="s">
        <v>153</v>
      </c>
      <c r="Z110" s="0" t="n">
        <f aca="false">I110-35</f>
        <v>160.9</v>
      </c>
      <c r="AB110" s="0" t="n">
        <f aca="false">IF(Z110&lt;0,Z110+360,Z110+0)</f>
        <v>160.9</v>
      </c>
    </row>
    <row r="111" customFormat="false" ht="15.8" hidden="false" customHeight="false" outlineLevel="0" collapsed="false">
      <c r="A111" s="1" t="n">
        <v>5</v>
      </c>
      <c r="B111" s="1" t="n">
        <v>9</v>
      </c>
      <c r="C111" s="1" t="n">
        <v>1</v>
      </c>
      <c r="D111" s="1" t="n">
        <v>1.0217</v>
      </c>
      <c r="E111" s="1" t="n">
        <v>0.0330218</v>
      </c>
      <c r="F111" s="1" t="n">
        <v>9.01012E-005</v>
      </c>
      <c r="G111" s="1" t="s">
        <v>27</v>
      </c>
      <c r="H111" s="1" t="n">
        <v>130.6</v>
      </c>
      <c r="I111" s="1" t="n">
        <v>137.8</v>
      </c>
      <c r="J111" s="1" t="n">
        <v>0</v>
      </c>
      <c r="K111" s="1"/>
      <c r="L111" s="1" t="n">
        <v>0</v>
      </c>
      <c r="M111" s="1" t="n">
        <v>0</v>
      </c>
      <c r="N111" s="1" t="s">
        <v>154</v>
      </c>
      <c r="Z111" s="0" t="n">
        <f aca="false">I111-35</f>
        <v>102.8</v>
      </c>
      <c r="AB111" s="0" t="n">
        <f aca="false">IF(Z111&lt;0,Z111+360,Z111+0)</f>
        <v>102.8</v>
      </c>
    </row>
    <row r="112" customFormat="false" ht="15.8" hidden="false" customHeight="false" outlineLevel="0" collapsed="false">
      <c r="A112" s="1" t="n">
        <v>5</v>
      </c>
      <c r="B112" s="1" t="n">
        <v>10</v>
      </c>
      <c r="C112" s="1" t="n">
        <v>0.5</v>
      </c>
      <c r="D112" s="1" t="n">
        <v>1.086</v>
      </c>
      <c r="E112" s="1" t="n">
        <v>0.0179425</v>
      </c>
      <c r="F112" s="1" t="n">
        <v>4.89567E-005</v>
      </c>
      <c r="G112" s="1" t="s">
        <v>27</v>
      </c>
      <c r="H112" s="1" t="n">
        <v>110.6</v>
      </c>
      <c r="I112" s="1" t="n">
        <v>256.9</v>
      </c>
      <c r="J112" s="1" t="n">
        <v>0</v>
      </c>
      <c r="K112" s="1"/>
      <c r="L112" s="1" t="n">
        <v>0</v>
      </c>
      <c r="M112" s="1" t="n">
        <v>0</v>
      </c>
      <c r="N112" s="1" t="s">
        <v>155</v>
      </c>
      <c r="Z112" s="0" t="n">
        <f aca="false">I112-35</f>
        <v>221.9</v>
      </c>
      <c r="AB112" s="0" t="n">
        <f aca="false">IF(Z112&lt;0,Z112+360,Z112+0)</f>
        <v>221.9</v>
      </c>
    </row>
    <row r="113" customFormat="false" ht="15.8" hidden="false" customHeight="false" outlineLevel="0" collapsed="false">
      <c r="A113" s="1" t="n">
        <v>5</v>
      </c>
      <c r="B113" s="1" t="n">
        <v>10</v>
      </c>
      <c r="C113" s="1" t="n">
        <v>1.7</v>
      </c>
      <c r="D113" s="1" t="n">
        <v>1.0582</v>
      </c>
      <c r="E113" s="1" t="n">
        <v>0.0571708</v>
      </c>
      <c r="F113" s="1" t="n">
        <v>0.000155992</v>
      </c>
      <c r="G113" s="1" t="s">
        <v>27</v>
      </c>
      <c r="H113" s="1" t="n">
        <v>12.8</v>
      </c>
      <c r="I113" s="1" t="n">
        <v>15.7</v>
      </c>
      <c r="J113" s="1" t="n">
        <v>0</v>
      </c>
      <c r="K113" s="1"/>
      <c r="L113" s="1" t="n">
        <v>0</v>
      </c>
      <c r="M113" s="1" t="n">
        <v>0</v>
      </c>
      <c r="N113" s="1" t="s">
        <v>155</v>
      </c>
      <c r="Z113" s="0" t="n">
        <f aca="false">I113-35</f>
        <v>-19.3</v>
      </c>
      <c r="AB113" s="0" t="n">
        <f aca="false">IF(Z113&lt;0,Z113+360,Z113+0)</f>
        <v>340.7</v>
      </c>
    </row>
    <row r="114" customFormat="false" ht="15.8" hidden="false" customHeight="false" outlineLevel="0" collapsed="false">
      <c r="A114" s="1" t="n">
        <v>5</v>
      </c>
      <c r="B114" s="1" t="n">
        <v>9</v>
      </c>
      <c r="C114" s="1" t="n">
        <v>6.5</v>
      </c>
      <c r="D114" s="1" t="n">
        <v>1.1618</v>
      </c>
      <c r="E114" s="1" t="n">
        <v>0.222966</v>
      </c>
      <c r="F114" s="1" t="n">
        <v>0.000608371</v>
      </c>
      <c r="G114" s="1" t="s">
        <v>59</v>
      </c>
      <c r="H114" s="1" t="n">
        <v>1.4</v>
      </c>
      <c r="I114" s="1" t="n">
        <v>7.9</v>
      </c>
      <c r="J114" s="1" t="n">
        <v>-10.2</v>
      </c>
      <c r="K114" s="1" t="n">
        <v>110.6</v>
      </c>
      <c r="L114" s="1" t="n">
        <v>0</v>
      </c>
      <c r="M114" s="1" t="n">
        <v>0</v>
      </c>
      <c r="N114" s="1" t="s">
        <v>154</v>
      </c>
      <c r="Z114" s="0" t="n">
        <f aca="false">I114-35</f>
        <v>-27.1</v>
      </c>
      <c r="AB114" s="0" t="n">
        <f aca="false">IF(Z114&lt;0,Z114+360,Z114+0)</f>
        <v>332.9</v>
      </c>
    </row>
    <row r="115" customFormat="false" ht="15.8" hidden="false" customHeight="false" outlineLevel="0" collapsed="false">
      <c r="A115" s="1" t="n">
        <v>5</v>
      </c>
      <c r="B115" s="1" t="n">
        <v>8</v>
      </c>
      <c r="C115" s="1" t="n">
        <v>4.1</v>
      </c>
      <c r="D115" s="1" t="n">
        <v>1.1252</v>
      </c>
      <c r="E115" s="1" t="n">
        <v>0.141303</v>
      </c>
      <c r="F115" s="1" t="n">
        <v>0.000385549</v>
      </c>
      <c r="G115" s="1" t="s">
        <v>59</v>
      </c>
      <c r="H115" s="1" t="n">
        <v>50.7</v>
      </c>
      <c r="I115" s="1" t="n">
        <v>6.4</v>
      </c>
      <c r="J115" s="1" t="n">
        <v>-10.4</v>
      </c>
      <c r="K115" s="1" t="n">
        <v>130.6</v>
      </c>
      <c r="L115" s="1" t="n">
        <v>0</v>
      </c>
      <c r="M115" s="1" t="n">
        <v>0</v>
      </c>
      <c r="N115" s="1" t="s">
        <v>153</v>
      </c>
      <c r="Z115" s="0" t="n">
        <f aca="false">I115-35</f>
        <v>-28.6</v>
      </c>
      <c r="AB115" s="0" t="n">
        <f aca="false">IF(Z115&lt;0,Z115+360,Z115+0)</f>
        <v>331.4</v>
      </c>
    </row>
    <row r="116" customFormat="false" ht="15.8" hidden="false" customHeight="false" outlineLevel="0" collapsed="false">
      <c r="A116" s="1" t="n">
        <v>5</v>
      </c>
      <c r="B116" s="1" t="n">
        <v>7</v>
      </c>
      <c r="C116" s="1" t="n">
        <v>0.5</v>
      </c>
      <c r="D116" s="1" t="n">
        <v>1.0054</v>
      </c>
      <c r="E116" s="1" t="n">
        <v>0.0162791</v>
      </c>
      <c r="F116" s="1" t="n">
        <v>4.44181E-005</v>
      </c>
      <c r="G116" s="1" t="s">
        <v>59</v>
      </c>
      <c r="H116" s="1" t="n">
        <v>29.9</v>
      </c>
      <c r="I116" s="1" t="n">
        <v>56.3</v>
      </c>
      <c r="J116" s="1" t="n">
        <v>0</v>
      </c>
      <c r="K116" s="1" t="n">
        <v>139.6</v>
      </c>
      <c r="L116" s="1" t="n">
        <v>0</v>
      </c>
      <c r="M116" s="1" t="n">
        <v>0</v>
      </c>
      <c r="N116" s="1" t="s">
        <v>152</v>
      </c>
      <c r="Z116" s="0" t="n">
        <f aca="false">I116-35</f>
        <v>21.3</v>
      </c>
      <c r="AB116" s="0" t="n">
        <f aca="false">IF(Z116&lt;0,Z116+360,Z116+0)</f>
        <v>21.3</v>
      </c>
    </row>
    <row r="117" customFormat="false" ht="15.8" hidden="false" customHeight="false" outlineLevel="0" collapsed="false">
      <c r="A117" s="1" t="n">
        <v>5</v>
      </c>
      <c r="B117" s="1" t="n">
        <v>6</v>
      </c>
      <c r="C117" s="1" t="n">
        <v>4</v>
      </c>
      <c r="D117" s="1" t="n">
        <v>1.1396</v>
      </c>
      <c r="E117" s="1" t="n">
        <v>0.136589</v>
      </c>
      <c r="F117" s="1" t="n">
        <v>0.000372689</v>
      </c>
      <c r="G117" s="1" t="s">
        <v>59</v>
      </c>
      <c r="H117" s="1" t="n">
        <v>120.8</v>
      </c>
      <c r="I117" s="1" t="n">
        <v>28.3</v>
      </c>
      <c r="J117" s="1" t="n">
        <v>-10.9</v>
      </c>
      <c r="K117" s="1" t="n">
        <v>62.5</v>
      </c>
      <c r="L117" s="1" t="n">
        <v>0</v>
      </c>
      <c r="M117" s="1" t="n">
        <v>0</v>
      </c>
      <c r="N117" s="1" t="s">
        <v>156</v>
      </c>
      <c r="Z117" s="0" t="n">
        <f aca="false">I117-35</f>
        <v>-6.7</v>
      </c>
      <c r="AB117" s="0" t="n">
        <f aca="false">IF(Z117&lt;0,Z117+360,Z117+0)</f>
        <v>353.3</v>
      </c>
    </row>
    <row r="118" customFormat="false" ht="15.8" hidden="false" customHeight="false" outlineLevel="0" collapsed="false">
      <c r="A118" s="1" t="n">
        <v>5</v>
      </c>
      <c r="B118" s="1" t="n">
        <v>7</v>
      </c>
      <c r="C118" s="1" t="n">
        <v>1.7</v>
      </c>
      <c r="D118" s="1" t="n">
        <v>1.081</v>
      </c>
      <c r="E118" s="1" t="n">
        <v>0.0566147</v>
      </c>
      <c r="F118" s="1" t="n">
        <v>0.000154475</v>
      </c>
      <c r="G118" s="1" t="s">
        <v>27</v>
      </c>
      <c r="H118" s="1" t="n">
        <v>141.3</v>
      </c>
      <c r="I118" s="1" t="n">
        <v>38.5</v>
      </c>
      <c r="J118" s="1" t="n">
        <v>12.5</v>
      </c>
      <c r="K118" s="1"/>
      <c r="L118" s="1" t="n">
        <v>0</v>
      </c>
      <c r="M118" s="1" t="n">
        <v>0</v>
      </c>
      <c r="N118" s="1" t="s">
        <v>157</v>
      </c>
      <c r="Z118" s="0" t="n">
        <f aca="false">I118-35</f>
        <v>3.5</v>
      </c>
      <c r="AB118" s="0" t="n">
        <f aca="false">IF(Z118&lt;0,Z118+360,Z118+0)</f>
        <v>3.5</v>
      </c>
    </row>
    <row r="119" customFormat="false" ht="15.8" hidden="false" customHeight="false" outlineLevel="0" collapsed="false">
      <c r="A119" s="1" t="n">
        <v>5</v>
      </c>
      <c r="B119" s="1" t="n">
        <v>8</v>
      </c>
      <c r="C119" s="1" t="n">
        <v>2.5</v>
      </c>
      <c r="D119" s="1" t="n">
        <v>1.3483</v>
      </c>
      <c r="E119" s="1" t="n">
        <v>0.0845818</v>
      </c>
      <c r="F119" s="1" t="n">
        <v>0.000230784</v>
      </c>
      <c r="G119" s="1" t="s">
        <v>27</v>
      </c>
      <c r="H119" s="1" t="n">
        <v>33.4</v>
      </c>
      <c r="I119" s="1" t="n">
        <v>223.2</v>
      </c>
      <c r="J119" s="1" t="n">
        <v>21.1</v>
      </c>
      <c r="K119" s="1"/>
      <c r="L119" s="1" t="n">
        <v>0</v>
      </c>
      <c r="M119" s="1" t="n">
        <v>0</v>
      </c>
      <c r="N119" s="1" t="s">
        <v>158</v>
      </c>
      <c r="Z119" s="0" t="n">
        <f aca="false">I119-35</f>
        <v>188.2</v>
      </c>
      <c r="AB119" s="0" t="n">
        <f aca="false">IF(Z119&lt;0,Z119+360,Z119+0)</f>
        <v>188.2</v>
      </c>
    </row>
    <row r="120" customFormat="false" ht="15.8" hidden="false" customHeight="false" outlineLevel="0" collapsed="false">
      <c r="A120" s="1" t="n">
        <v>5</v>
      </c>
      <c r="B120" s="1" t="n">
        <v>9</v>
      </c>
      <c r="C120" s="1" t="n">
        <v>9.9</v>
      </c>
      <c r="D120" s="1" t="n">
        <v>1.1044</v>
      </c>
      <c r="E120" s="1" t="n">
        <v>0.338788</v>
      </c>
      <c r="F120" s="1" t="n">
        <v>0.000924395</v>
      </c>
      <c r="G120" s="1" t="s">
        <v>27</v>
      </c>
      <c r="H120" s="1" t="n">
        <v>7</v>
      </c>
      <c r="I120" s="1" t="n">
        <v>187.9</v>
      </c>
      <c r="J120" s="1" t="n">
        <v>8.5</v>
      </c>
      <c r="K120" s="1"/>
      <c r="L120" s="1" t="n">
        <v>0</v>
      </c>
      <c r="M120" s="1" t="n">
        <v>0</v>
      </c>
      <c r="N120" s="1" t="s">
        <v>159</v>
      </c>
      <c r="Z120" s="0" t="n">
        <f aca="false">I120-35</f>
        <v>152.9</v>
      </c>
      <c r="AB120" s="0" t="n">
        <f aca="false">IF(Z120&lt;0,Z120+360,Z120+0)</f>
        <v>152.9</v>
      </c>
    </row>
    <row r="121" customFormat="false" ht="15.8" hidden="false" customHeight="false" outlineLevel="0" collapsed="false">
      <c r="A121" s="1" t="n">
        <v>5</v>
      </c>
      <c r="B121" s="1" t="n">
        <v>10</v>
      </c>
      <c r="C121" s="1" t="n">
        <v>0.9</v>
      </c>
      <c r="D121" s="1" t="n">
        <v>1.0116</v>
      </c>
      <c r="E121" s="1" t="n">
        <v>0.0295682</v>
      </c>
      <c r="F121" s="1" t="n">
        <v>8.06778E-005</v>
      </c>
      <c r="G121" s="1" t="s">
        <v>27</v>
      </c>
      <c r="H121" s="1" t="n">
        <v>80.7</v>
      </c>
      <c r="I121" s="1" t="n">
        <v>108.7</v>
      </c>
      <c r="J121" s="1" t="n">
        <v>0</v>
      </c>
      <c r="K121" s="1"/>
      <c r="L121" s="1" t="n">
        <v>0</v>
      </c>
      <c r="M121" s="1" t="n">
        <v>0</v>
      </c>
      <c r="N121" s="1" t="s">
        <v>160</v>
      </c>
      <c r="Z121" s="0" t="n">
        <f aca="false">I121-35</f>
        <v>73.7</v>
      </c>
      <c r="AB121" s="0" t="n">
        <f aca="false">IF(Z121&lt;0,Z121+360,Z121+0)</f>
        <v>73.7</v>
      </c>
    </row>
    <row r="122" customFormat="false" ht="15.8" hidden="false" customHeight="false" outlineLevel="0" collapsed="false">
      <c r="A122" s="1" t="n">
        <v>5</v>
      </c>
      <c r="B122" s="1" t="n">
        <v>11</v>
      </c>
      <c r="C122" s="1" t="n">
        <v>1.8</v>
      </c>
      <c r="D122" s="1" t="n">
        <v>1.1154</v>
      </c>
      <c r="E122" s="1" t="n">
        <v>0.0623557</v>
      </c>
      <c r="F122" s="1" t="n">
        <v>0.00017014</v>
      </c>
      <c r="G122" s="1" t="s">
        <v>27</v>
      </c>
      <c r="H122" s="1" t="n">
        <v>71.9</v>
      </c>
      <c r="I122" s="1" t="n">
        <v>254.5</v>
      </c>
      <c r="J122" s="1" t="n">
        <v>-11.7</v>
      </c>
      <c r="K122" s="1"/>
      <c r="L122" s="1" t="n">
        <v>0</v>
      </c>
      <c r="M122" s="1" t="n">
        <v>0</v>
      </c>
      <c r="N122" s="1" t="s">
        <v>161</v>
      </c>
      <c r="Z122" s="0" t="n">
        <f aca="false">I122-35</f>
        <v>219.5</v>
      </c>
      <c r="AB122" s="0" t="n">
        <f aca="false">IF(Z122&lt;0,Z122+360,Z122+0)</f>
        <v>219.5</v>
      </c>
    </row>
    <row r="123" customFormat="false" ht="15.8" hidden="false" customHeight="false" outlineLevel="0" collapsed="false">
      <c r="A123" s="1" t="n">
        <v>5</v>
      </c>
      <c r="B123" s="1" t="n">
        <v>11</v>
      </c>
      <c r="C123" s="1" t="n">
        <v>3.3</v>
      </c>
      <c r="D123" s="1" t="n">
        <v>1.3218</v>
      </c>
      <c r="E123" s="1" t="n">
        <v>0.114</v>
      </c>
      <c r="F123" s="1" t="n">
        <v>0.000311052</v>
      </c>
      <c r="G123" s="1" t="s">
        <v>27</v>
      </c>
      <c r="H123" s="1" t="n">
        <v>20.8</v>
      </c>
      <c r="I123" s="1" t="n">
        <v>173.5</v>
      </c>
      <c r="J123" s="1" t="n">
        <v>0</v>
      </c>
      <c r="K123" s="1"/>
      <c r="L123" s="1" t="n">
        <v>0</v>
      </c>
      <c r="M123" s="1" t="n">
        <v>0</v>
      </c>
      <c r="N123" s="1" t="s">
        <v>161</v>
      </c>
      <c r="Z123" s="0" t="n">
        <f aca="false">I123-35</f>
        <v>138.5</v>
      </c>
      <c r="AB123" s="0" t="n">
        <f aca="false">IF(Z123&lt;0,Z123+360,Z123+0)</f>
        <v>138.5</v>
      </c>
    </row>
    <row r="124" customFormat="false" ht="15.8" hidden="false" customHeight="false" outlineLevel="0" collapsed="false">
      <c r="A124" s="1" t="n">
        <v>5</v>
      </c>
      <c r="B124" s="1" t="n">
        <v>12</v>
      </c>
      <c r="C124" s="1" t="n">
        <v>1.7</v>
      </c>
      <c r="D124" s="1" t="n">
        <v>1.0645</v>
      </c>
      <c r="E124" s="1" t="n">
        <v>0.0568377</v>
      </c>
      <c r="F124" s="1" t="n">
        <v>0.000155084</v>
      </c>
      <c r="G124" s="1" t="s">
        <v>27</v>
      </c>
      <c r="H124" s="1" t="n">
        <v>127.7</v>
      </c>
      <c r="I124" s="1" t="n">
        <v>69.9</v>
      </c>
      <c r="J124" s="1" t="n">
        <v>0</v>
      </c>
      <c r="K124" s="1"/>
      <c r="L124" s="1" t="n">
        <v>0</v>
      </c>
      <c r="M124" s="1" t="n">
        <v>0</v>
      </c>
      <c r="N124" s="1" t="s">
        <v>162</v>
      </c>
      <c r="Z124" s="0" t="n">
        <f aca="false">I124-35</f>
        <v>34.9</v>
      </c>
      <c r="AB124" s="0" t="n">
        <f aca="false">IF(Z124&lt;0,Z124+360,Z124+0)</f>
        <v>34.9</v>
      </c>
    </row>
    <row r="125" customFormat="false" ht="15.8" hidden="false" customHeight="false" outlineLevel="0" collapsed="false">
      <c r="A125" s="1" t="n">
        <v>5</v>
      </c>
      <c r="B125" s="1" t="n">
        <v>13</v>
      </c>
      <c r="C125" s="1" t="n">
        <v>1.3</v>
      </c>
      <c r="D125" s="1" t="n">
        <v>1.1134</v>
      </c>
      <c r="E125" s="1" t="n">
        <v>0.0446907</v>
      </c>
      <c r="F125" s="1" t="n">
        <v>0.00012194</v>
      </c>
      <c r="G125" s="1" t="s">
        <v>27</v>
      </c>
      <c r="H125" s="1" t="n">
        <v>95.5</v>
      </c>
      <c r="I125" s="1" t="n">
        <v>70.6</v>
      </c>
      <c r="J125" s="1" t="n">
        <v>57.7</v>
      </c>
      <c r="K125" s="1"/>
      <c r="L125" s="1" t="n">
        <v>0</v>
      </c>
      <c r="M125" s="1" t="n">
        <v>0</v>
      </c>
      <c r="N125" s="1" t="s">
        <v>163</v>
      </c>
      <c r="Z125" s="0" t="n">
        <f aca="false">I125-35</f>
        <v>35.6</v>
      </c>
      <c r="AB125" s="0" t="n">
        <f aca="false">IF(Z125&lt;0,Z125+360,Z125+0)</f>
        <v>35.6</v>
      </c>
    </row>
    <row r="126" customFormat="false" ht="15.8" hidden="false" customHeight="false" outlineLevel="0" collapsed="false">
      <c r="A126" s="1" t="n">
        <v>5</v>
      </c>
      <c r="B126" s="1" t="n">
        <v>14</v>
      </c>
      <c r="C126" s="1" t="n">
        <v>3.7</v>
      </c>
      <c r="D126" s="1" t="n">
        <v>1.1756</v>
      </c>
      <c r="E126" s="1" t="n">
        <v>0.127917</v>
      </c>
      <c r="F126" s="1" t="n">
        <v>0.000349026</v>
      </c>
      <c r="G126" s="1" t="s">
        <v>27</v>
      </c>
      <c r="H126" s="1" t="n">
        <v>14.9</v>
      </c>
      <c r="I126" s="1" t="n">
        <v>183</v>
      </c>
      <c r="J126" s="1" t="n">
        <v>12</v>
      </c>
      <c r="K126" s="1"/>
      <c r="L126" s="1" t="n">
        <v>0</v>
      </c>
      <c r="M126" s="1" t="n">
        <v>0</v>
      </c>
      <c r="N126" s="1" t="s">
        <v>164</v>
      </c>
      <c r="Z126" s="0" t="n">
        <f aca="false">I126-35</f>
        <v>148</v>
      </c>
      <c r="AB126" s="0" t="n">
        <f aca="false">IF(Z126&lt;0,Z126+360,Z126+0)</f>
        <v>148</v>
      </c>
    </row>
    <row r="127" customFormat="false" ht="15.8" hidden="false" customHeight="false" outlineLevel="0" collapsed="false">
      <c r="A127" s="1" t="n">
        <v>5</v>
      </c>
      <c r="B127" s="1" t="n">
        <v>15</v>
      </c>
      <c r="C127" s="1" t="n">
        <v>4.6</v>
      </c>
      <c r="D127" s="1" t="n">
        <v>1.0675</v>
      </c>
      <c r="E127" s="1" t="n">
        <v>0.156181</v>
      </c>
      <c r="F127" s="1" t="n">
        <v>0.000426146</v>
      </c>
      <c r="G127" s="1" t="s">
        <v>27</v>
      </c>
      <c r="H127" s="1" t="n">
        <v>69.9</v>
      </c>
      <c r="I127" s="1" t="n">
        <v>187.1</v>
      </c>
      <c r="J127" s="1" t="n">
        <v>0</v>
      </c>
      <c r="K127" s="1"/>
      <c r="L127" s="1" t="n">
        <v>0</v>
      </c>
      <c r="M127" s="1" t="n">
        <v>0</v>
      </c>
      <c r="N127" s="1" t="s">
        <v>165</v>
      </c>
      <c r="Z127" s="0" t="n">
        <f aca="false">I127-35</f>
        <v>152.1</v>
      </c>
      <c r="AB127" s="0" t="n">
        <f aca="false">IF(Z127&lt;0,Z127+360,Z127+0)</f>
        <v>152.1</v>
      </c>
    </row>
    <row r="128" customFormat="false" ht="15.8" hidden="false" customHeight="false" outlineLevel="0" collapsed="false">
      <c r="A128" s="1" t="n">
        <v>5</v>
      </c>
      <c r="B128" s="1" t="n">
        <v>16</v>
      </c>
      <c r="C128" s="1" t="n">
        <v>1.9</v>
      </c>
      <c r="D128" s="1" t="n">
        <v>1.164</v>
      </c>
      <c r="E128" s="1" t="n">
        <v>0.0657165</v>
      </c>
      <c r="F128" s="1" t="n">
        <v>0.00017931</v>
      </c>
      <c r="G128" s="1" t="s">
        <v>27</v>
      </c>
      <c r="H128" s="1" t="n">
        <v>74.9</v>
      </c>
      <c r="I128" s="1" t="n">
        <v>45.8</v>
      </c>
      <c r="J128" s="1" t="n">
        <v>-11.6</v>
      </c>
      <c r="K128" s="1"/>
      <c r="L128" s="1" t="n">
        <v>0</v>
      </c>
      <c r="M128" s="1" t="n">
        <v>0</v>
      </c>
      <c r="N128" s="1" t="s">
        <v>166</v>
      </c>
      <c r="Z128" s="0" t="n">
        <f aca="false">I128-35</f>
        <v>10.8</v>
      </c>
      <c r="AB128" s="0" t="n">
        <f aca="false">IF(Z128&lt;0,Z128+360,Z128+0)</f>
        <v>10.8</v>
      </c>
    </row>
    <row r="129" customFormat="false" ht="15.8" hidden="false" customHeight="false" outlineLevel="0" collapsed="false">
      <c r="A129" s="1" t="n">
        <v>5</v>
      </c>
      <c r="B129" s="1" t="n">
        <v>16</v>
      </c>
      <c r="C129" s="1" t="n">
        <v>4.7</v>
      </c>
      <c r="D129" s="1" t="n">
        <v>1.1159</v>
      </c>
      <c r="E129" s="1" t="n">
        <v>0.162487</v>
      </c>
      <c r="F129" s="1" t="n">
        <v>0.000443351</v>
      </c>
      <c r="G129" s="1" t="s">
        <v>27</v>
      </c>
      <c r="H129" s="1" t="n">
        <v>41.2</v>
      </c>
      <c r="I129" s="1" t="n">
        <v>11.3</v>
      </c>
      <c r="J129" s="1" t="n">
        <v>-8.9</v>
      </c>
      <c r="K129" s="1"/>
      <c r="L129" s="1" t="n">
        <v>0</v>
      </c>
      <c r="M129" s="1" t="n">
        <v>0</v>
      </c>
      <c r="N129" s="1" t="s">
        <v>166</v>
      </c>
      <c r="Z129" s="0" t="n">
        <f aca="false">I129-35</f>
        <v>-23.7</v>
      </c>
      <c r="AB129" s="0" t="n">
        <f aca="false">IF(Z129&lt;0,Z129+360,Z129+0)</f>
        <v>336.3</v>
      </c>
    </row>
    <row r="130" customFormat="false" ht="15.8" hidden="false" customHeight="false" outlineLevel="0" collapsed="false">
      <c r="A130" s="1" t="n">
        <v>5</v>
      </c>
      <c r="B130" s="1" t="n">
        <v>15</v>
      </c>
      <c r="C130" s="1" t="n">
        <v>2.6</v>
      </c>
      <c r="D130" s="1" t="n">
        <v>1.1304</v>
      </c>
      <c r="E130" s="1" t="n">
        <v>0.088715</v>
      </c>
      <c r="F130" s="1" t="n">
        <v>0.000242062</v>
      </c>
      <c r="G130" s="1" t="s">
        <v>59</v>
      </c>
      <c r="H130" s="1" t="n">
        <v>79.7</v>
      </c>
      <c r="I130" s="1" t="n">
        <v>329.6</v>
      </c>
      <c r="J130" s="1" t="n">
        <v>-8.3</v>
      </c>
      <c r="K130" s="1" t="n">
        <v>74.9</v>
      </c>
      <c r="L130" s="1" t="n">
        <v>0</v>
      </c>
      <c r="M130" s="1" t="n">
        <v>0</v>
      </c>
      <c r="N130" s="1" t="s">
        <v>165</v>
      </c>
      <c r="Z130" s="0" t="n">
        <f aca="false">I130-35</f>
        <v>294.6</v>
      </c>
      <c r="AB130" s="0" t="n">
        <f aca="false">IF(Z130&lt;0,Z130+360,Z130+0)</f>
        <v>294.6</v>
      </c>
    </row>
    <row r="131" customFormat="false" ht="15.8" hidden="false" customHeight="false" outlineLevel="0" collapsed="false">
      <c r="A131" s="1" t="n">
        <v>5</v>
      </c>
      <c r="B131" s="1" t="n">
        <v>14</v>
      </c>
      <c r="C131" s="1" t="n">
        <v>0.9</v>
      </c>
      <c r="D131" s="1" t="n">
        <v>1.0745</v>
      </c>
      <c r="E131" s="1" t="n">
        <v>0.0325231</v>
      </c>
      <c r="F131" s="1" t="n">
        <v>8.87403E-005</v>
      </c>
      <c r="G131" s="1" t="s">
        <v>59</v>
      </c>
      <c r="H131" s="1" t="n">
        <v>67</v>
      </c>
      <c r="I131" s="1" t="n">
        <v>245.8</v>
      </c>
      <c r="J131" s="1" t="n">
        <v>-48.4</v>
      </c>
      <c r="K131" s="1" t="n">
        <v>79.7</v>
      </c>
      <c r="L131" s="1" t="n">
        <v>0</v>
      </c>
      <c r="M131" s="1" t="n">
        <v>0</v>
      </c>
      <c r="N131" s="1" t="s">
        <v>164</v>
      </c>
      <c r="Z131" s="0" t="n">
        <f aca="false">I131-35</f>
        <v>210.8</v>
      </c>
      <c r="AB131" s="0" t="n">
        <f aca="false">IF(Z131&lt;0,Z131+360,Z131+0)</f>
        <v>210.8</v>
      </c>
    </row>
    <row r="132" customFormat="false" ht="15.8" hidden="false" customHeight="false" outlineLevel="0" collapsed="false">
      <c r="A132" s="1" t="n">
        <v>5</v>
      </c>
      <c r="B132" s="1" t="n">
        <v>13</v>
      </c>
      <c r="C132" s="1" t="n">
        <v>0.6</v>
      </c>
      <c r="D132" s="1" t="n">
        <v>1.0072</v>
      </c>
      <c r="E132" s="1" t="n">
        <v>0.0200342</v>
      </c>
      <c r="F132" s="1" t="n">
        <v>5.4664E-005</v>
      </c>
      <c r="G132" s="1" t="s">
        <v>59</v>
      </c>
      <c r="H132" s="1" t="n">
        <v>12.3</v>
      </c>
      <c r="I132" s="1" t="n">
        <v>191.9</v>
      </c>
      <c r="J132" s="1" t="n">
        <v>0</v>
      </c>
      <c r="K132" s="1" t="n">
        <v>67</v>
      </c>
      <c r="L132" s="1" t="n">
        <v>0</v>
      </c>
      <c r="M132" s="1" t="n">
        <v>0</v>
      </c>
      <c r="N132" s="1" t="s">
        <v>163</v>
      </c>
      <c r="Z132" s="0" t="n">
        <f aca="false">I132-35</f>
        <v>156.9</v>
      </c>
      <c r="AB132" s="0" t="n">
        <f aca="false">IF(Z132&lt;0,Z132+360,Z132+0)</f>
        <v>156.9</v>
      </c>
    </row>
    <row r="133" customFormat="false" ht="15.8" hidden="false" customHeight="false" outlineLevel="0" collapsed="false">
      <c r="A133" s="1" t="n">
        <v>5</v>
      </c>
      <c r="B133" s="1" t="n">
        <v>12</v>
      </c>
      <c r="C133" s="1" t="n">
        <v>6.7</v>
      </c>
      <c r="D133" s="1" t="n">
        <v>1.1043</v>
      </c>
      <c r="E133" s="1" t="n">
        <v>0.229131</v>
      </c>
      <c r="F133" s="1" t="n">
        <v>0.000625192</v>
      </c>
      <c r="G133" s="1" t="s">
        <v>59</v>
      </c>
      <c r="H133" s="1" t="n">
        <v>16.5</v>
      </c>
      <c r="I133" s="1" t="n">
        <v>181.4</v>
      </c>
      <c r="J133" s="1" t="n">
        <v>6.3</v>
      </c>
      <c r="K133" s="1" t="n">
        <v>95.5</v>
      </c>
      <c r="L133" s="1" t="n">
        <v>0</v>
      </c>
      <c r="M133" s="1" t="n">
        <v>0</v>
      </c>
      <c r="N133" s="1" t="s">
        <v>162</v>
      </c>
      <c r="Z133" s="0" t="n">
        <f aca="false">I133-35</f>
        <v>146.4</v>
      </c>
      <c r="AB133" s="0" t="n">
        <f aca="false">IF(Z133&lt;0,Z133+360,Z133+0)</f>
        <v>146.4</v>
      </c>
    </row>
    <row r="134" customFormat="false" ht="15.8" hidden="false" customHeight="false" outlineLevel="0" collapsed="false">
      <c r="A134" s="1" t="n">
        <v>5</v>
      </c>
      <c r="B134" s="1" t="n">
        <v>11</v>
      </c>
      <c r="C134" s="1" t="n">
        <v>3</v>
      </c>
      <c r="D134" s="1" t="n">
        <v>1.1116</v>
      </c>
      <c r="E134" s="1" t="n">
        <v>0.103767</v>
      </c>
      <c r="F134" s="1" t="n">
        <v>0.000283132</v>
      </c>
      <c r="G134" s="1" t="s">
        <v>59</v>
      </c>
      <c r="H134" s="1" t="n">
        <v>13.5</v>
      </c>
      <c r="I134" s="1" t="n">
        <v>197.9</v>
      </c>
      <c r="J134" s="1" t="n">
        <v>7</v>
      </c>
      <c r="K134" s="1" t="n">
        <v>127.7</v>
      </c>
      <c r="L134" s="1" t="n">
        <v>0</v>
      </c>
      <c r="M134" s="1" t="n">
        <v>0</v>
      </c>
      <c r="N134" s="1" t="s">
        <v>161</v>
      </c>
      <c r="Z134" s="0" t="n">
        <f aca="false">I134-35</f>
        <v>162.9</v>
      </c>
      <c r="AB134" s="0" t="n">
        <f aca="false">IF(Z134&lt;0,Z134+360,Z134+0)</f>
        <v>162.9</v>
      </c>
    </row>
    <row r="135" customFormat="false" ht="15.8" hidden="false" customHeight="false" outlineLevel="0" collapsed="false">
      <c r="A135" s="1" t="n">
        <v>5</v>
      </c>
      <c r="B135" s="1" t="n">
        <v>10</v>
      </c>
      <c r="C135" s="1" t="n">
        <v>5.9</v>
      </c>
      <c r="D135" s="1" t="n">
        <v>1.2057</v>
      </c>
      <c r="E135" s="1" t="n">
        <v>0.202197</v>
      </c>
      <c r="F135" s="1" t="n">
        <v>0.0005517</v>
      </c>
      <c r="G135" s="1" t="s">
        <v>59</v>
      </c>
      <c r="H135" s="1" t="n">
        <v>23.9</v>
      </c>
      <c r="I135" s="1" t="n">
        <v>187.3</v>
      </c>
      <c r="J135" s="1" t="n">
        <v>15.7</v>
      </c>
      <c r="K135" s="1" t="n">
        <v>71.9</v>
      </c>
      <c r="L135" s="1" t="n">
        <v>0</v>
      </c>
      <c r="M135" s="1" t="n">
        <v>0</v>
      </c>
      <c r="N135" s="1" t="s">
        <v>160</v>
      </c>
      <c r="Z135" s="0" t="n">
        <f aca="false">I135-35</f>
        <v>152.3</v>
      </c>
      <c r="AB135" s="0" t="n">
        <f aca="false">IF(Z135&lt;0,Z135+360,Z135+0)</f>
        <v>152.3</v>
      </c>
    </row>
    <row r="136" customFormat="false" ht="15.8" hidden="false" customHeight="false" outlineLevel="0" collapsed="false">
      <c r="A136" s="1" t="n">
        <v>5</v>
      </c>
      <c r="B136" s="1" t="n">
        <v>9</v>
      </c>
      <c r="C136" s="1" t="n">
        <v>2.6</v>
      </c>
      <c r="D136" s="1" t="n">
        <v>1.1191</v>
      </c>
      <c r="E136" s="1" t="n">
        <v>0.0895763</v>
      </c>
      <c r="F136" s="1" t="n">
        <v>0.000244412</v>
      </c>
      <c r="G136" s="1" t="s">
        <v>59</v>
      </c>
      <c r="H136" s="1" t="n">
        <v>22.7</v>
      </c>
      <c r="I136" s="1" t="n">
        <v>189.2</v>
      </c>
      <c r="J136" s="1" t="n">
        <v>-8.1</v>
      </c>
      <c r="K136" s="1" t="n">
        <v>80.7</v>
      </c>
      <c r="L136" s="1" t="n">
        <v>0</v>
      </c>
      <c r="M136" s="1" t="n">
        <v>0</v>
      </c>
      <c r="N136" s="1" t="s">
        <v>159</v>
      </c>
      <c r="Z136" s="0" t="n">
        <f aca="false">I136-35</f>
        <v>154.2</v>
      </c>
      <c r="AB136" s="0" t="n">
        <f aca="false">IF(Z136&lt;0,Z136+360,Z136+0)</f>
        <v>154.2</v>
      </c>
    </row>
    <row r="137" customFormat="false" ht="15.8" hidden="false" customHeight="false" outlineLevel="0" collapsed="false">
      <c r="A137" s="1" t="n">
        <v>5</v>
      </c>
      <c r="B137" s="1" t="n">
        <v>8</v>
      </c>
      <c r="C137" s="1" t="n">
        <v>2</v>
      </c>
      <c r="D137" s="1" t="n">
        <v>1.4165</v>
      </c>
      <c r="E137" s="1" t="n">
        <v>0.0672437</v>
      </c>
      <c r="F137" s="1" t="n">
        <v>0.000183477</v>
      </c>
      <c r="G137" s="1" t="s">
        <v>59</v>
      </c>
      <c r="H137" s="1" t="n">
        <v>25.4</v>
      </c>
      <c r="I137" s="1" t="n">
        <v>183.3</v>
      </c>
      <c r="J137" s="1" t="n">
        <v>13.8</v>
      </c>
      <c r="K137" s="1" t="n">
        <v>22.7</v>
      </c>
      <c r="L137" s="1" t="n">
        <v>0</v>
      </c>
      <c r="M137" s="1" t="n">
        <v>0</v>
      </c>
      <c r="N137" s="1" t="s">
        <v>158</v>
      </c>
      <c r="Z137" s="0" t="n">
        <f aca="false">I137-35</f>
        <v>148.3</v>
      </c>
      <c r="AB137" s="0" t="n">
        <f aca="false">IF(Z137&lt;0,Z137+360,Z137+0)</f>
        <v>148.3</v>
      </c>
    </row>
    <row r="138" customFormat="false" ht="15.8" hidden="false" customHeight="false" outlineLevel="0" collapsed="false">
      <c r="A138" s="1" t="n">
        <v>5</v>
      </c>
      <c r="B138" s="1" t="n">
        <v>7</v>
      </c>
      <c r="C138" s="1" t="n">
        <v>1.3</v>
      </c>
      <c r="D138" s="1" t="n">
        <v>1.2275</v>
      </c>
      <c r="E138" s="1" t="n">
        <v>0.0446558</v>
      </c>
      <c r="F138" s="1" t="n">
        <v>0.000121845</v>
      </c>
      <c r="G138" s="1" t="s">
        <v>59</v>
      </c>
      <c r="H138" s="1" t="n">
        <v>39.2</v>
      </c>
      <c r="I138" s="1" t="n">
        <v>189.8</v>
      </c>
      <c r="J138" s="1" t="n">
        <v>38.5</v>
      </c>
      <c r="K138" s="1" t="n">
        <v>33.4</v>
      </c>
      <c r="L138" s="1" t="n">
        <v>0</v>
      </c>
      <c r="M138" s="1" t="n">
        <v>0</v>
      </c>
      <c r="N138" s="1" t="s">
        <v>157</v>
      </c>
      <c r="Z138" s="0" t="n">
        <f aca="false">I138-35</f>
        <v>154.8</v>
      </c>
      <c r="AB138" s="0" t="n">
        <f aca="false">IF(Z138&lt;0,Z138+360,Z138+0)</f>
        <v>154.8</v>
      </c>
    </row>
    <row r="139" customFormat="false" ht="15.8" hidden="false" customHeight="false" outlineLevel="0" collapsed="false">
      <c r="A139" s="1" t="n">
        <v>5</v>
      </c>
      <c r="B139" s="1" t="n">
        <v>6</v>
      </c>
      <c r="C139" s="1" t="n">
        <v>2.6</v>
      </c>
      <c r="D139" s="1" t="n">
        <v>1.2516</v>
      </c>
      <c r="E139" s="1" t="n">
        <v>0.0880851</v>
      </c>
      <c r="F139" s="1" t="n">
        <v>0.000240343</v>
      </c>
      <c r="G139" s="1" t="s">
        <v>59</v>
      </c>
      <c r="H139" s="1" t="n">
        <v>31.8</v>
      </c>
      <c r="I139" s="1" t="n">
        <v>181.5</v>
      </c>
      <c r="J139" s="1" t="n">
        <v>0</v>
      </c>
      <c r="K139" s="1" t="n">
        <v>141.3</v>
      </c>
      <c r="L139" s="1" t="n">
        <v>0</v>
      </c>
      <c r="M139" s="1" t="n">
        <v>0</v>
      </c>
      <c r="N139" s="1" t="s">
        <v>156</v>
      </c>
      <c r="Z139" s="0" t="n">
        <f aca="false">I139-35</f>
        <v>146.5</v>
      </c>
      <c r="AB139" s="0" t="n">
        <f aca="false">IF(Z139&lt;0,Z139+360,Z139+0)</f>
        <v>146.5</v>
      </c>
    </row>
    <row r="140" customFormat="false" ht="15.8" hidden="false" customHeight="false" outlineLevel="0" collapsed="false">
      <c r="A140" s="1" t="n">
        <v>5</v>
      </c>
      <c r="B140" s="1" t="n">
        <v>5</v>
      </c>
      <c r="C140" s="1" t="n">
        <v>1.2</v>
      </c>
      <c r="D140" s="1" t="n">
        <v>1.0021</v>
      </c>
      <c r="E140" s="1" t="n">
        <v>0.0416794</v>
      </c>
      <c r="F140" s="1" t="n">
        <v>0.000113724</v>
      </c>
      <c r="G140" s="1" t="s">
        <v>59</v>
      </c>
      <c r="H140" s="1" t="n">
        <v>92.2</v>
      </c>
      <c r="I140" s="1" t="n">
        <v>149.7</v>
      </c>
      <c r="J140" s="1" t="n">
        <v>0</v>
      </c>
      <c r="K140" s="1" t="n">
        <v>120.8</v>
      </c>
      <c r="L140" s="1" t="n">
        <v>0</v>
      </c>
      <c r="M140" s="1" t="n">
        <v>0</v>
      </c>
      <c r="N140" s="1" t="s">
        <v>151</v>
      </c>
      <c r="Z140" s="0" t="n">
        <f aca="false">I140-35</f>
        <v>114.7</v>
      </c>
      <c r="AB140" s="0" t="n">
        <f aca="false">IF(Z140&lt;0,Z140+360,Z140+0)</f>
        <v>114.7</v>
      </c>
    </row>
    <row r="141" customFormat="false" ht="15.8" hidden="false" customHeight="false" outlineLevel="0" collapsed="false">
      <c r="A141" s="1" t="n">
        <v>5</v>
      </c>
      <c r="B141" s="1" t="n">
        <v>4</v>
      </c>
      <c r="C141" s="1" t="n">
        <v>1.1</v>
      </c>
      <c r="D141" s="1" t="n">
        <v>1.0831</v>
      </c>
      <c r="E141" s="1" t="n">
        <v>0.0362034</v>
      </c>
      <c r="F141" s="1" t="n">
        <v>9.87822E-005</v>
      </c>
      <c r="G141" s="1" t="s">
        <v>59</v>
      </c>
      <c r="H141" s="1" t="n">
        <v>58.5</v>
      </c>
      <c r="I141" s="1" t="n">
        <v>56.8</v>
      </c>
      <c r="J141" s="1" t="n">
        <v>42.6</v>
      </c>
      <c r="K141" s="1" t="n">
        <v>92.2</v>
      </c>
      <c r="L141" s="1" t="n">
        <v>0</v>
      </c>
      <c r="M141" s="1" t="n">
        <v>0</v>
      </c>
      <c r="N141" s="1" t="s">
        <v>147</v>
      </c>
      <c r="Z141" s="0" t="n">
        <f aca="false">I141-35</f>
        <v>21.8</v>
      </c>
      <c r="AB141" s="0" t="n">
        <f aca="false">IF(Z141&lt;0,Z141+360,Z141+0)</f>
        <v>21.8</v>
      </c>
    </row>
    <row r="142" customFormat="false" ht="15.8" hidden="false" customHeight="false" outlineLevel="0" collapsed="false">
      <c r="A142" s="1" t="n">
        <v>5</v>
      </c>
      <c r="B142" s="1" t="n">
        <v>3</v>
      </c>
      <c r="C142" s="1" t="n">
        <v>1.1</v>
      </c>
      <c r="D142" s="1" t="n">
        <v>1.0808</v>
      </c>
      <c r="E142" s="1" t="n">
        <v>0.0383907</v>
      </c>
      <c r="F142" s="1" t="n">
        <v>0.00010475</v>
      </c>
      <c r="G142" s="1" t="s">
        <v>59</v>
      </c>
      <c r="H142" s="1" t="n">
        <v>7.9</v>
      </c>
      <c r="I142" s="1" t="n">
        <v>101.5</v>
      </c>
      <c r="J142" s="1" t="n">
        <v>0</v>
      </c>
      <c r="K142" s="1" t="n">
        <v>58.5</v>
      </c>
      <c r="L142" s="1" t="n">
        <v>0</v>
      </c>
      <c r="M142" s="1" t="n">
        <v>0</v>
      </c>
      <c r="N142" s="1" t="s">
        <v>146</v>
      </c>
      <c r="Z142" s="0" t="n">
        <f aca="false">I142-35</f>
        <v>66.5</v>
      </c>
      <c r="AB142" s="0" t="n">
        <f aca="false">IF(Z142&lt;0,Z142+360,Z142+0)</f>
        <v>66.5</v>
      </c>
    </row>
    <row r="143" customFormat="false" ht="15.8" hidden="false" customHeight="false" outlineLevel="0" collapsed="false">
      <c r="A143" s="1" t="n">
        <v>5</v>
      </c>
      <c r="B143" s="1" t="n">
        <v>2</v>
      </c>
      <c r="C143" s="1" t="n">
        <v>12.3</v>
      </c>
      <c r="D143" s="1" t="n">
        <v>1.2818</v>
      </c>
      <c r="E143" s="1" t="n">
        <v>0.420307</v>
      </c>
      <c r="F143" s="1" t="n">
        <v>0.00114682</v>
      </c>
      <c r="G143" s="1" t="s">
        <v>59</v>
      </c>
      <c r="H143" s="1" t="n">
        <v>26.8</v>
      </c>
      <c r="I143" s="1" t="n">
        <v>101.3</v>
      </c>
      <c r="J143" s="1" t="n">
        <v>-7.9</v>
      </c>
      <c r="K143" s="1" t="n">
        <v>108.3</v>
      </c>
      <c r="L143" s="1" t="n">
        <v>0</v>
      </c>
      <c r="M143" s="1" t="n">
        <v>0</v>
      </c>
      <c r="N143" s="1" t="s">
        <v>167</v>
      </c>
      <c r="Z143" s="0" t="n">
        <f aca="false">I143-35</f>
        <v>66.3</v>
      </c>
      <c r="AB143" s="0" t="n">
        <f aca="false">IF(Z143&lt;0,Z143+360,Z143+0)</f>
        <v>66.3</v>
      </c>
    </row>
    <row r="144" customFormat="false" ht="15.8" hidden="false" customHeight="false" outlineLevel="0" collapsed="false">
      <c r="A144" s="1" t="n">
        <v>5</v>
      </c>
      <c r="B144" s="1" t="n">
        <v>3</v>
      </c>
      <c r="C144" s="1" t="n">
        <v>1</v>
      </c>
      <c r="D144" s="1" t="n">
        <v>1.1537</v>
      </c>
      <c r="E144" s="1" t="n">
        <v>0.0346986</v>
      </c>
      <c r="F144" s="1" t="n">
        <v>9.46762E-005</v>
      </c>
      <c r="G144" s="1" t="s">
        <v>27</v>
      </c>
      <c r="H144" s="1" t="n">
        <v>41.8</v>
      </c>
      <c r="I144" s="1" t="n">
        <v>284.8</v>
      </c>
      <c r="J144" s="1" t="n">
        <v>22.1</v>
      </c>
      <c r="K144" s="1"/>
      <c r="L144" s="1" t="n">
        <v>0</v>
      </c>
      <c r="M144" s="1" t="n">
        <v>0</v>
      </c>
      <c r="N144" s="1" t="s">
        <v>168</v>
      </c>
      <c r="Z144" s="0" t="n">
        <f aca="false">I144-35</f>
        <v>249.8</v>
      </c>
      <c r="AB144" s="0" t="n">
        <f aca="false">IF(Z144&lt;0,Z144+360,Z144+0)</f>
        <v>249.8</v>
      </c>
    </row>
    <row r="145" customFormat="false" ht="15.8" hidden="false" customHeight="false" outlineLevel="0" collapsed="false">
      <c r="A145" s="1" t="n">
        <v>5</v>
      </c>
      <c r="B145" s="1" t="n">
        <v>4</v>
      </c>
      <c r="C145" s="1" t="n">
        <v>0.6</v>
      </c>
      <c r="D145" s="1" t="n">
        <v>1.001</v>
      </c>
      <c r="E145" s="1" t="n">
        <v>0.0217258</v>
      </c>
      <c r="F145" s="1" t="n">
        <v>5.92795E-005</v>
      </c>
      <c r="G145" s="1" t="s">
        <v>27</v>
      </c>
      <c r="H145" s="1" t="n">
        <v>135.4</v>
      </c>
      <c r="I145" s="1" t="n">
        <v>313.6</v>
      </c>
      <c r="J145" s="1" t="n">
        <v>0</v>
      </c>
      <c r="K145" s="1"/>
      <c r="L145" s="1" t="n">
        <v>0</v>
      </c>
      <c r="M145" s="1" t="n">
        <v>0</v>
      </c>
      <c r="N145" s="1" t="s">
        <v>169</v>
      </c>
      <c r="Z145" s="0" t="n">
        <f aca="false">I145-35</f>
        <v>278.6</v>
      </c>
      <c r="AB145" s="0" t="n">
        <f aca="false">IF(Z145&lt;0,Z145+360,Z145+0)</f>
        <v>278.6</v>
      </c>
    </row>
    <row r="146" customFormat="false" ht="15.8" hidden="false" customHeight="false" outlineLevel="0" collapsed="false">
      <c r="A146" s="1" t="n">
        <v>5</v>
      </c>
      <c r="B146" s="1" t="n">
        <v>6</v>
      </c>
      <c r="C146" s="1" t="n">
        <v>3.5</v>
      </c>
      <c r="D146" s="1" t="n">
        <v>1.139</v>
      </c>
      <c r="E146" s="1" t="n">
        <v>0.121453</v>
      </c>
      <c r="F146" s="1" t="n">
        <v>0.000331389</v>
      </c>
      <c r="G146" s="1" t="s">
        <v>27</v>
      </c>
      <c r="H146" s="1" t="n">
        <v>18.8</v>
      </c>
      <c r="I146" s="1" t="n">
        <v>116.9</v>
      </c>
      <c r="J146" s="1" t="n">
        <v>-18.6</v>
      </c>
      <c r="K146" s="1"/>
      <c r="L146" s="1" t="n">
        <v>0</v>
      </c>
      <c r="M146" s="1" t="n">
        <v>0</v>
      </c>
      <c r="N146" s="1" t="s">
        <v>170</v>
      </c>
      <c r="Z146" s="0" t="n">
        <f aca="false">I146-35</f>
        <v>81.9</v>
      </c>
      <c r="AB146" s="0" t="n">
        <f aca="false">IF(Z146&lt;0,Z146+360,Z146+0)</f>
        <v>81.9</v>
      </c>
    </row>
    <row r="147" customFormat="false" ht="15.8" hidden="false" customHeight="false" outlineLevel="0" collapsed="false">
      <c r="A147" s="1" t="n">
        <v>5</v>
      </c>
      <c r="B147" s="1" t="n">
        <v>7</v>
      </c>
      <c r="C147" s="1" t="n">
        <v>1.3</v>
      </c>
      <c r="D147" s="1" t="n">
        <v>1.0391</v>
      </c>
      <c r="E147" s="1" t="n">
        <v>0.0436487</v>
      </c>
      <c r="F147" s="1" t="n">
        <v>0.000119097</v>
      </c>
      <c r="G147" s="1" t="s">
        <v>27</v>
      </c>
      <c r="H147" s="1" t="n">
        <v>78</v>
      </c>
      <c r="I147" s="1" t="n">
        <v>117</v>
      </c>
      <c r="J147" s="1" t="n">
        <v>0</v>
      </c>
      <c r="K147" s="1"/>
      <c r="L147" s="1" t="n">
        <v>0</v>
      </c>
      <c r="M147" s="1" t="n">
        <v>0</v>
      </c>
      <c r="N147" s="1" t="s">
        <v>171</v>
      </c>
      <c r="Z147" s="0" t="n">
        <f aca="false">I147-35</f>
        <v>82</v>
      </c>
      <c r="AB147" s="0" t="n">
        <f aca="false">IF(Z147&lt;0,Z147+360,Z147+0)</f>
        <v>82</v>
      </c>
    </row>
    <row r="148" customFormat="false" ht="15.8" hidden="false" customHeight="false" outlineLevel="0" collapsed="false">
      <c r="A148" s="1" t="n">
        <v>5</v>
      </c>
      <c r="B148" s="1" t="n">
        <v>7</v>
      </c>
      <c r="C148" s="1" t="n">
        <v>5.7</v>
      </c>
      <c r="D148" s="1" t="n">
        <v>1.3783</v>
      </c>
      <c r="E148" s="1" t="n">
        <v>0.194826</v>
      </c>
      <c r="F148" s="1" t="n">
        <v>0.000531589</v>
      </c>
      <c r="G148" s="1" t="s">
        <v>27</v>
      </c>
      <c r="H148" s="1" t="n">
        <v>24.1</v>
      </c>
      <c r="I148" s="1" t="n">
        <v>170.7</v>
      </c>
      <c r="J148" s="1" t="n">
        <v>-9.2</v>
      </c>
      <c r="K148" s="1"/>
      <c r="L148" s="1" t="n">
        <v>0</v>
      </c>
      <c r="M148" s="1" t="n">
        <v>0</v>
      </c>
      <c r="N148" s="1" t="s">
        <v>171</v>
      </c>
      <c r="Z148" s="0" t="n">
        <f aca="false">I148-35</f>
        <v>135.7</v>
      </c>
      <c r="AB148" s="0" t="n">
        <f aca="false">IF(Z148&lt;0,Z148+360,Z148+0)</f>
        <v>135.7</v>
      </c>
    </row>
    <row r="149" customFormat="false" ht="15.8" hidden="false" customHeight="false" outlineLevel="0" collapsed="false">
      <c r="A149" s="1" t="n">
        <v>5</v>
      </c>
      <c r="B149" s="1" t="n">
        <v>6</v>
      </c>
      <c r="C149" s="1" t="n">
        <v>1.4</v>
      </c>
      <c r="D149" s="1" t="n">
        <v>1.1781</v>
      </c>
      <c r="E149" s="1" t="n">
        <v>0.049211</v>
      </c>
      <c r="F149" s="1" t="n">
        <v>0.000134274</v>
      </c>
      <c r="G149" s="1" t="s">
        <v>59</v>
      </c>
      <c r="H149" s="1" t="n">
        <v>56.3</v>
      </c>
      <c r="I149" s="1" t="n">
        <v>194.6</v>
      </c>
      <c r="J149" s="1" t="n">
        <v>-15.7</v>
      </c>
      <c r="K149" s="1" t="n">
        <v>78</v>
      </c>
      <c r="L149" s="1" t="n">
        <v>0</v>
      </c>
      <c r="M149" s="1" t="n">
        <v>0</v>
      </c>
      <c r="N149" s="1" t="s">
        <v>170</v>
      </c>
      <c r="Z149" s="0" t="n">
        <f aca="false">I149-35</f>
        <v>159.6</v>
      </c>
      <c r="AB149" s="0" t="n">
        <f aca="false">IF(Z149&lt;0,Z149+360,Z149+0)</f>
        <v>159.6</v>
      </c>
    </row>
    <row r="150" customFormat="false" ht="15.8" hidden="false" customHeight="false" outlineLevel="0" collapsed="false">
      <c r="A150" s="1" t="n">
        <v>5</v>
      </c>
      <c r="B150" s="1" t="n">
        <v>5</v>
      </c>
      <c r="C150" s="1" t="n">
        <v>1.4</v>
      </c>
      <c r="D150" s="1" t="n">
        <v>1.113</v>
      </c>
      <c r="E150" s="1" t="n">
        <v>0.0496399</v>
      </c>
      <c r="F150" s="1" t="n">
        <v>0.000135444</v>
      </c>
      <c r="G150" s="1" t="s">
        <v>59</v>
      </c>
      <c r="H150" s="1" t="n">
        <v>47.1</v>
      </c>
      <c r="I150" s="1" t="n">
        <v>136.1</v>
      </c>
      <c r="J150" s="1" t="n">
        <v>-14.7</v>
      </c>
      <c r="K150" s="1" t="n">
        <v>56.3</v>
      </c>
      <c r="L150" s="1" t="n">
        <v>0</v>
      </c>
      <c r="M150" s="1" t="n">
        <v>0</v>
      </c>
      <c r="N150" s="1" t="s">
        <v>172</v>
      </c>
      <c r="Z150" s="0" t="n">
        <f aca="false">I150-35</f>
        <v>101.1</v>
      </c>
      <c r="AB150" s="0" t="n">
        <f aca="false">IF(Z150&lt;0,Z150+360,Z150+0)</f>
        <v>101.1</v>
      </c>
    </row>
    <row r="151" customFormat="false" ht="15.8" hidden="false" customHeight="false" outlineLevel="0" collapsed="false">
      <c r="A151" s="1" t="n">
        <v>5</v>
      </c>
      <c r="B151" s="1" t="n">
        <v>6</v>
      </c>
      <c r="C151" s="1" t="n">
        <v>0.5</v>
      </c>
      <c r="D151" s="1" t="n">
        <v>1.0009</v>
      </c>
      <c r="E151" s="1" t="n">
        <v>0.0159358</v>
      </c>
      <c r="F151" s="1" t="n">
        <v>4.34813E-005</v>
      </c>
      <c r="G151" s="1" t="s">
        <v>27</v>
      </c>
      <c r="H151" s="1" t="n">
        <v>80.8</v>
      </c>
      <c r="I151" s="1" t="n">
        <v>293.6</v>
      </c>
      <c r="J151" s="1" t="n">
        <v>0</v>
      </c>
      <c r="K151" s="1"/>
      <c r="L151" s="1" t="n">
        <v>0</v>
      </c>
      <c r="M151" s="1" t="n">
        <v>0</v>
      </c>
      <c r="N151" s="1" t="s">
        <v>173</v>
      </c>
      <c r="Z151" s="0" t="n">
        <f aca="false">I151-35</f>
        <v>258.6</v>
      </c>
      <c r="AB151" s="0" t="n">
        <f aca="false">IF(Z151&lt;0,Z151+360,Z151+0)</f>
        <v>258.6</v>
      </c>
    </row>
    <row r="152" customFormat="false" ht="15.8" hidden="false" customHeight="false" outlineLevel="0" collapsed="false">
      <c r="A152" s="1" t="n">
        <v>5</v>
      </c>
      <c r="B152" s="1" t="n">
        <v>7</v>
      </c>
      <c r="C152" s="1" t="n">
        <v>2.7</v>
      </c>
      <c r="D152" s="1" t="n">
        <v>1.0511</v>
      </c>
      <c r="E152" s="1" t="n">
        <v>0.0915704</v>
      </c>
      <c r="F152" s="1" t="n">
        <v>0.000249853</v>
      </c>
      <c r="G152" s="1" t="s">
        <v>27</v>
      </c>
      <c r="H152" s="1" t="n">
        <v>31.2</v>
      </c>
      <c r="I152" s="1" t="n">
        <v>217</v>
      </c>
      <c r="J152" s="1" t="n">
        <v>0</v>
      </c>
      <c r="K152" s="1"/>
      <c r="L152" s="1" t="n">
        <v>0</v>
      </c>
      <c r="M152" s="1" t="n">
        <v>0</v>
      </c>
      <c r="N152" s="1" t="s">
        <v>174</v>
      </c>
      <c r="Z152" s="0" t="n">
        <f aca="false">I152-35</f>
        <v>182</v>
      </c>
      <c r="AB152" s="0" t="n">
        <f aca="false">IF(Z152&lt;0,Z152+360,Z152+0)</f>
        <v>182</v>
      </c>
    </row>
    <row r="153" customFormat="false" ht="15.8" hidden="false" customHeight="false" outlineLevel="0" collapsed="false">
      <c r="A153" s="1" t="n">
        <v>5</v>
      </c>
      <c r="B153" s="1" t="n">
        <v>9</v>
      </c>
      <c r="C153" s="1" t="n">
        <v>1.7</v>
      </c>
      <c r="D153" s="1" t="n">
        <v>1.0099</v>
      </c>
      <c r="E153" s="1" t="n">
        <v>0.0593516</v>
      </c>
      <c r="F153" s="1" t="n">
        <v>0.000161943</v>
      </c>
      <c r="G153" s="1" t="s">
        <v>27</v>
      </c>
      <c r="H153" s="1" t="n">
        <v>141.4</v>
      </c>
      <c r="I153" s="1" t="n">
        <v>35.4</v>
      </c>
      <c r="J153" s="1" t="n">
        <v>0</v>
      </c>
      <c r="K153" s="1"/>
      <c r="L153" s="1" t="n">
        <v>0</v>
      </c>
      <c r="M153" s="1" t="n">
        <v>0</v>
      </c>
      <c r="N153" s="1" t="s">
        <v>175</v>
      </c>
      <c r="Z153" s="0" t="n">
        <f aca="false">I153-35</f>
        <v>0.399999999999999</v>
      </c>
      <c r="AB153" s="0" t="n">
        <f aca="false">IF(Z153&lt;0,Z153+360,Z153+0)</f>
        <v>0.399999999999999</v>
      </c>
    </row>
    <row r="154" customFormat="false" ht="15.8" hidden="false" customHeight="false" outlineLevel="0" collapsed="false">
      <c r="A154" s="1" t="n">
        <v>5</v>
      </c>
      <c r="B154" s="1" t="n">
        <v>9</v>
      </c>
      <c r="C154" s="1" t="n">
        <v>1.1</v>
      </c>
      <c r="D154" s="1" t="n">
        <v>1.0896</v>
      </c>
      <c r="E154" s="1" t="n">
        <v>0.0383053</v>
      </c>
      <c r="F154" s="1" t="n">
        <v>0.000104517</v>
      </c>
      <c r="G154" s="1" t="s">
        <v>27</v>
      </c>
      <c r="H154" s="1" t="n">
        <v>94.4</v>
      </c>
      <c r="I154" s="1" t="n">
        <v>348.3</v>
      </c>
      <c r="J154" s="1" t="n">
        <v>0</v>
      </c>
      <c r="K154" s="1"/>
      <c r="L154" s="1" t="n">
        <v>0</v>
      </c>
      <c r="M154" s="1" t="n">
        <v>0</v>
      </c>
      <c r="N154" s="1" t="s">
        <v>175</v>
      </c>
      <c r="Z154" s="0" t="n">
        <f aca="false">I154-35</f>
        <v>313.3</v>
      </c>
      <c r="AB154" s="0" t="n">
        <f aca="false">IF(Z154&lt;0,Z154+360,Z154+0)</f>
        <v>313.3</v>
      </c>
    </row>
    <row r="155" customFormat="false" ht="15.8" hidden="false" customHeight="false" outlineLevel="0" collapsed="false">
      <c r="A155" s="1" t="n">
        <v>5</v>
      </c>
      <c r="B155" s="1" t="n">
        <v>10</v>
      </c>
      <c r="C155" s="1" t="n">
        <v>1.8</v>
      </c>
      <c r="D155" s="1" t="n">
        <v>1.033</v>
      </c>
      <c r="E155" s="1" t="n">
        <v>0.0630864</v>
      </c>
      <c r="F155" s="1" t="n">
        <v>0.000172133</v>
      </c>
      <c r="G155" s="1" t="s">
        <v>27</v>
      </c>
      <c r="H155" s="1" t="n">
        <v>11.4</v>
      </c>
      <c r="I155" s="1" t="n">
        <v>177.2</v>
      </c>
      <c r="J155" s="1" t="n">
        <v>0</v>
      </c>
      <c r="K155" s="1"/>
      <c r="L155" s="1" t="n">
        <v>0</v>
      </c>
      <c r="M155" s="1" t="n">
        <v>0</v>
      </c>
      <c r="N155" s="1" t="s">
        <v>176</v>
      </c>
      <c r="Z155" s="0" t="n">
        <f aca="false">I155-35</f>
        <v>142.2</v>
      </c>
      <c r="AB155" s="0" t="n">
        <f aca="false">IF(Z155&lt;0,Z155+360,Z155+0)</f>
        <v>142.2</v>
      </c>
    </row>
    <row r="156" customFormat="false" ht="15.8" hidden="false" customHeight="false" outlineLevel="0" collapsed="false">
      <c r="A156" s="1" t="n">
        <v>5</v>
      </c>
      <c r="B156" s="1" t="n">
        <v>11</v>
      </c>
      <c r="C156" s="1" t="n">
        <v>1.6</v>
      </c>
      <c r="D156" s="1" t="n">
        <v>1.3833</v>
      </c>
      <c r="E156" s="1" t="n">
        <v>0.0563521</v>
      </c>
      <c r="F156" s="1" t="n">
        <v>0.000153759</v>
      </c>
      <c r="G156" s="1" t="s">
        <v>27</v>
      </c>
      <c r="H156" s="1" t="n">
        <v>20.2</v>
      </c>
      <c r="I156" s="1" t="n">
        <v>156.7</v>
      </c>
      <c r="J156" s="1" t="n">
        <v>0</v>
      </c>
      <c r="K156" s="1"/>
      <c r="L156" s="1" t="n">
        <v>0</v>
      </c>
      <c r="M156" s="1" t="n">
        <v>0</v>
      </c>
      <c r="N156" s="1" t="s">
        <v>177</v>
      </c>
      <c r="Z156" s="0" t="n">
        <f aca="false">I156-35</f>
        <v>121.7</v>
      </c>
      <c r="AB156" s="0" t="n">
        <f aca="false">IF(Z156&lt;0,Z156+360,Z156+0)</f>
        <v>121.7</v>
      </c>
    </row>
    <row r="157" customFormat="false" ht="15.8" hidden="false" customHeight="false" outlineLevel="0" collapsed="false">
      <c r="A157" s="1" t="n">
        <v>5</v>
      </c>
      <c r="B157" s="1" t="n">
        <v>12</v>
      </c>
      <c r="C157" s="1" t="n">
        <v>1.2</v>
      </c>
      <c r="D157" s="1" t="n">
        <v>1.1608</v>
      </c>
      <c r="E157" s="1" t="n">
        <v>0.040957</v>
      </c>
      <c r="F157" s="1" t="n">
        <v>0.000111753</v>
      </c>
      <c r="G157" s="1" t="s">
        <v>27</v>
      </c>
      <c r="H157" s="1" t="n">
        <v>45.6</v>
      </c>
      <c r="I157" s="1" t="n">
        <v>236</v>
      </c>
      <c r="J157" s="1" t="n">
        <v>-18.7</v>
      </c>
      <c r="K157" s="1"/>
      <c r="L157" s="1" t="n">
        <v>0</v>
      </c>
      <c r="M157" s="1" t="n">
        <v>0</v>
      </c>
      <c r="N157" s="1" t="s">
        <v>178</v>
      </c>
      <c r="Z157" s="0" t="n">
        <f aca="false">I157-35</f>
        <v>201</v>
      </c>
      <c r="AB157" s="0" t="n">
        <f aca="false">IF(Z157&lt;0,Z157+360,Z157+0)</f>
        <v>201</v>
      </c>
    </row>
    <row r="158" customFormat="false" ht="15.8" hidden="false" customHeight="false" outlineLevel="0" collapsed="false">
      <c r="A158" s="1" t="n">
        <v>5</v>
      </c>
      <c r="B158" s="1" t="n">
        <v>13</v>
      </c>
      <c r="C158" s="1" t="n">
        <v>1.3</v>
      </c>
      <c r="D158" s="1" t="n">
        <v>1.1823</v>
      </c>
      <c r="E158" s="1" t="n">
        <v>0.0431502</v>
      </c>
      <c r="F158" s="1" t="n">
        <v>0.000117737</v>
      </c>
      <c r="G158" s="1" t="s">
        <v>27</v>
      </c>
      <c r="H158" s="1" t="n">
        <v>157.7</v>
      </c>
      <c r="I158" s="1" t="n">
        <v>343.7</v>
      </c>
      <c r="J158" s="1" t="n">
        <v>18.1</v>
      </c>
      <c r="K158" s="1"/>
      <c r="L158" s="1" t="n">
        <v>0</v>
      </c>
      <c r="M158" s="1" t="n">
        <v>0</v>
      </c>
      <c r="N158" s="1" t="s">
        <v>179</v>
      </c>
      <c r="Z158" s="0" t="n">
        <f aca="false">I158-35</f>
        <v>308.7</v>
      </c>
      <c r="AB158" s="0" t="n">
        <f aca="false">IF(Z158&lt;0,Z158+360,Z158+0)</f>
        <v>308.7</v>
      </c>
    </row>
    <row r="159" customFormat="false" ht="15.8" hidden="false" customHeight="false" outlineLevel="0" collapsed="false">
      <c r="A159" s="1" t="n">
        <v>5</v>
      </c>
      <c r="B159" s="1" t="n">
        <v>14</v>
      </c>
      <c r="C159" s="1" t="n">
        <v>2.2</v>
      </c>
      <c r="D159" s="1" t="n">
        <v>1.2103</v>
      </c>
      <c r="E159" s="1" t="n">
        <v>0.0747373</v>
      </c>
      <c r="F159" s="1" t="n">
        <v>0.000203923</v>
      </c>
      <c r="G159" s="1" t="s">
        <v>27</v>
      </c>
      <c r="H159" s="1" t="n">
        <v>73.8</v>
      </c>
      <c r="I159" s="1" t="n">
        <v>123.5</v>
      </c>
      <c r="J159" s="1" t="n">
        <v>33.3</v>
      </c>
      <c r="K159" s="1"/>
      <c r="L159" s="1" t="n">
        <v>0</v>
      </c>
      <c r="M159" s="1" t="n">
        <v>0</v>
      </c>
      <c r="N159" s="1" t="s">
        <v>180</v>
      </c>
      <c r="Z159" s="0" t="n">
        <f aca="false">I159-35</f>
        <v>88.5</v>
      </c>
      <c r="AB159" s="0" t="n">
        <f aca="false">IF(Z159&lt;0,Z159+360,Z159+0)</f>
        <v>88.5</v>
      </c>
    </row>
    <row r="160" customFormat="false" ht="15.8" hidden="false" customHeight="false" outlineLevel="0" collapsed="false">
      <c r="A160" s="1" t="n">
        <v>5</v>
      </c>
      <c r="B160" s="1" t="n">
        <v>15</v>
      </c>
      <c r="C160" s="1" t="n">
        <v>0.9</v>
      </c>
      <c r="D160" s="1" t="n">
        <v>1.0035</v>
      </c>
      <c r="E160" s="1" t="n">
        <v>0.0315792</v>
      </c>
      <c r="F160" s="1" t="n">
        <v>8.6165E-005</v>
      </c>
      <c r="G160" s="1" t="s">
        <v>27</v>
      </c>
      <c r="H160" s="1" t="n">
        <v>122.1</v>
      </c>
      <c r="I160" s="1" t="n">
        <v>64.7</v>
      </c>
      <c r="J160" s="1" t="n">
        <v>0</v>
      </c>
      <c r="K160" s="1"/>
      <c r="L160" s="1" t="n">
        <v>0</v>
      </c>
      <c r="M160" s="1" t="n">
        <v>0</v>
      </c>
      <c r="N160" s="1" t="s">
        <v>181</v>
      </c>
      <c r="Z160" s="0" t="n">
        <f aca="false">I160-35</f>
        <v>29.7</v>
      </c>
      <c r="AB160" s="0" t="n">
        <f aca="false">IF(Z160&lt;0,Z160+360,Z160+0)</f>
        <v>29.7</v>
      </c>
    </row>
    <row r="161" customFormat="false" ht="15.8" hidden="false" customHeight="false" outlineLevel="0" collapsed="false">
      <c r="A161" s="1" t="n">
        <v>5</v>
      </c>
      <c r="B161" s="1" t="n">
        <v>15</v>
      </c>
      <c r="C161" s="1" t="n">
        <v>1</v>
      </c>
      <c r="D161" s="1" t="n">
        <v>1.0131</v>
      </c>
      <c r="E161" s="1" t="n">
        <v>0.0350617</v>
      </c>
      <c r="F161" s="1" t="n">
        <v>9.56672E-005</v>
      </c>
      <c r="G161" s="1" t="s">
        <v>27</v>
      </c>
      <c r="H161" s="1" t="n">
        <v>75.5</v>
      </c>
      <c r="I161" s="1" t="n">
        <v>111.6</v>
      </c>
      <c r="J161" s="1" t="n">
        <v>0</v>
      </c>
      <c r="K161" s="1"/>
      <c r="L161" s="1" t="n">
        <v>0</v>
      </c>
      <c r="M161" s="1" t="n">
        <v>0</v>
      </c>
      <c r="N161" s="1" t="s">
        <v>181</v>
      </c>
      <c r="Z161" s="0" t="n">
        <f aca="false">I161-35</f>
        <v>76.6</v>
      </c>
      <c r="AB161" s="0" t="n">
        <f aca="false">IF(Z161&lt;0,Z161+360,Z161+0)</f>
        <v>76.6</v>
      </c>
    </row>
    <row r="162" customFormat="false" ht="15.8" hidden="false" customHeight="false" outlineLevel="0" collapsed="false">
      <c r="A162" s="1" t="n">
        <v>5</v>
      </c>
      <c r="B162" s="1" t="n">
        <v>16</v>
      </c>
      <c r="C162" s="1" t="n">
        <v>1.2</v>
      </c>
      <c r="D162" s="1" t="n">
        <v>1.1769</v>
      </c>
      <c r="E162" s="1" t="n">
        <v>0.0415265</v>
      </c>
      <c r="F162" s="1" t="n">
        <v>0.000113306</v>
      </c>
      <c r="G162" s="1" t="s">
        <v>27</v>
      </c>
      <c r="H162" s="1" t="n">
        <v>61.4</v>
      </c>
      <c r="I162" s="1" t="n">
        <v>139.5</v>
      </c>
      <c r="J162" s="1" t="n">
        <v>-39.9</v>
      </c>
      <c r="K162" s="1"/>
      <c r="L162" s="1" t="n">
        <v>0</v>
      </c>
      <c r="M162" s="1" t="n">
        <v>0</v>
      </c>
      <c r="N162" s="1" t="s">
        <v>182</v>
      </c>
      <c r="Z162" s="0" t="n">
        <f aca="false">I162-35</f>
        <v>104.5</v>
      </c>
      <c r="AB162" s="0" t="n">
        <f aca="false">IF(Z162&lt;0,Z162+360,Z162+0)</f>
        <v>104.5</v>
      </c>
    </row>
    <row r="163" customFormat="false" ht="15.8" hidden="false" customHeight="false" outlineLevel="0" collapsed="false">
      <c r="A163" s="1" t="n">
        <v>5</v>
      </c>
      <c r="B163" s="1" t="n">
        <v>16</v>
      </c>
      <c r="C163" s="1" t="n">
        <v>4.1</v>
      </c>
      <c r="D163" s="1" t="n">
        <v>2.9319</v>
      </c>
      <c r="E163" s="1" t="n">
        <v>0.142199</v>
      </c>
      <c r="F163" s="1" t="n">
        <v>0.000387995</v>
      </c>
      <c r="G163" s="1" t="s">
        <v>27</v>
      </c>
      <c r="H163" s="1" t="n">
        <v>58.8</v>
      </c>
      <c r="I163" s="1" t="n">
        <v>132.9</v>
      </c>
      <c r="J163" s="1" t="n">
        <v>-27.8</v>
      </c>
      <c r="K163" s="1"/>
      <c r="L163" s="1" t="n">
        <v>0</v>
      </c>
      <c r="M163" s="1" t="n">
        <v>0</v>
      </c>
      <c r="N163" s="1" t="s">
        <v>182</v>
      </c>
      <c r="Z163" s="0" t="n">
        <f aca="false">I163-35</f>
        <v>97.9</v>
      </c>
      <c r="AB163" s="0" t="n">
        <f aca="false">IF(Z163&lt;0,Z163+360,Z163+0)</f>
        <v>97.9</v>
      </c>
    </row>
    <row r="164" customFormat="false" ht="15.8" hidden="false" customHeight="false" outlineLevel="0" collapsed="false">
      <c r="A164" s="1" t="n">
        <v>5</v>
      </c>
      <c r="B164" s="1" t="n">
        <v>15</v>
      </c>
      <c r="C164" s="1" t="n">
        <v>2.8</v>
      </c>
      <c r="D164" s="1" t="n">
        <v>1.2034</v>
      </c>
      <c r="E164" s="1" t="n">
        <v>0.0973445</v>
      </c>
      <c r="F164" s="1" t="n">
        <v>0.000265608</v>
      </c>
      <c r="G164" s="1" t="s">
        <v>59</v>
      </c>
      <c r="H164" s="1" t="n">
        <v>15</v>
      </c>
      <c r="I164" s="1" t="n">
        <v>181.1</v>
      </c>
      <c r="J164" s="1" t="n">
        <v>8</v>
      </c>
      <c r="K164" s="1" t="n">
        <v>61.4</v>
      </c>
      <c r="L164" s="1" t="n">
        <v>0</v>
      </c>
      <c r="M164" s="1" t="n">
        <v>0</v>
      </c>
      <c r="N164" s="1" t="s">
        <v>181</v>
      </c>
      <c r="Z164" s="0" t="n">
        <f aca="false">I164-35</f>
        <v>146.1</v>
      </c>
      <c r="AB164" s="0" t="n">
        <f aca="false">IF(Z164&lt;0,Z164+360,Z164+0)</f>
        <v>146.1</v>
      </c>
    </row>
    <row r="165" customFormat="false" ht="15.8" hidden="false" customHeight="false" outlineLevel="0" collapsed="false">
      <c r="A165" s="1" t="n">
        <v>5</v>
      </c>
      <c r="B165" s="1" t="n">
        <v>14</v>
      </c>
      <c r="C165" s="1" t="n">
        <v>7.1</v>
      </c>
      <c r="D165" s="1" t="n">
        <v>1.0805</v>
      </c>
      <c r="E165" s="1" t="n">
        <v>0.241971</v>
      </c>
      <c r="F165" s="1" t="n">
        <v>0.000660227</v>
      </c>
      <c r="G165" s="1" t="s">
        <v>59</v>
      </c>
      <c r="H165" s="1" t="n">
        <v>13.6</v>
      </c>
      <c r="I165" s="1" t="n">
        <v>186.9</v>
      </c>
      <c r="J165" s="1" t="n">
        <v>-5.8</v>
      </c>
      <c r="K165" s="1" t="n">
        <v>122.1</v>
      </c>
      <c r="L165" s="1" t="n">
        <v>0</v>
      </c>
      <c r="M165" s="1" t="n">
        <v>0</v>
      </c>
      <c r="N165" s="1" t="s">
        <v>180</v>
      </c>
      <c r="Z165" s="0" t="n">
        <f aca="false">I165-35</f>
        <v>151.9</v>
      </c>
      <c r="AB165" s="0" t="n">
        <f aca="false">IF(Z165&lt;0,Z165+360,Z165+0)</f>
        <v>151.9</v>
      </c>
    </row>
    <row r="166" customFormat="false" ht="15.8" hidden="false" customHeight="false" outlineLevel="0" collapsed="false">
      <c r="A166" s="1" t="n">
        <v>5</v>
      </c>
      <c r="B166" s="1" t="n">
        <v>13</v>
      </c>
      <c r="C166" s="1" t="n">
        <v>5.5</v>
      </c>
      <c r="D166" s="1" t="n">
        <v>1.1227</v>
      </c>
      <c r="E166" s="1" t="n">
        <v>0.190241</v>
      </c>
      <c r="F166" s="1" t="n">
        <v>0.000519078</v>
      </c>
      <c r="G166" s="1" t="s">
        <v>59</v>
      </c>
      <c r="H166" s="1" t="n">
        <v>20</v>
      </c>
      <c r="I166" s="1" t="n">
        <v>196.6</v>
      </c>
      <c r="J166" s="1" t="n">
        <v>3.8</v>
      </c>
      <c r="K166" s="1" t="n">
        <v>73.8</v>
      </c>
      <c r="L166" s="1" t="n">
        <v>0</v>
      </c>
      <c r="M166" s="1" t="n">
        <v>0</v>
      </c>
      <c r="N166" s="1" t="s">
        <v>179</v>
      </c>
      <c r="Z166" s="0" t="n">
        <f aca="false">I166-35</f>
        <v>161.6</v>
      </c>
      <c r="AB166" s="0" t="n">
        <f aca="false">IF(Z166&lt;0,Z166+360,Z166+0)</f>
        <v>161.6</v>
      </c>
    </row>
    <row r="167" customFormat="false" ht="15.8" hidden="false" customHeight="false" outlineLevel="0" collapsed="false">
      <c r="A167" s="1" t="n">
        <v>5</v>
      </c>
      <c r="B167" s="1" t="n">
        <v>12</v>
      </c>
      <c r="C167" s="1" t="n">
        <v>5</v>
      </c>
      <c r="D167" s="1" t="n">
        <v>1.1212</v>
      </c>
      <c r="E167" s="1" t="n">
        <v>0.172686</v>
      </c>
      <c r="F167" s="1" t="n">
        <v>0.00047118</v>
      </c>
      <c r="G167" s="1" t="s">
        <v>59</v>
      </c>
      <c r="H167" s="1" t="n">
        <v>16.6</v>
      </c>
      <c r="I167" s="1" t="n">
        <v>176.9</v>
      </c>
      <c r="J167" s="1" t="n">
        <v>0</v>
      </c>
      <c r="K167" s="1" t="n">
        <v>157.7</v>
      </c>
      <c r="L167" s="1" t="n">
        <v>0</v>
      </c>
      <c r="M167" s="1" t="n">
        <v>0</v>
      </c>
      <c r="N167" s="1" t="s">
        <v>178</v>
      </c>
      <c r="Z167" s="0" t="n">
        <f aca="false">I167-35</f>
        <v>141.9</v>
      </c>
      <c r="AB167" s="0" t="n">
        <f aca="false">IF(Z167&lt;0,Z167+360,Z167+0)</f>
        <v>141.9</v>
      </c>
    </row>
    <row r="168" customFormat="false" ht="15.8" hidden="false" customHeight="false" outlineLevel="0" collapsed="false">
      <c r="A168" s="1" t="n">
        <v>5</v>
      </c>
      <c r="B168" s="1" t="n">
        <v>11</v>
      </c>
      <c r="C168" s="1" t="n">
        <v>1.3</v>
      </c>
      <c r="D168" s="1" t="n">
        <v>1.0288</v>
      </c>
      <c r="E168" s="1" t="n">
        <v>0.0459448</v>
      </c>
      <c r="F168" s="1" t="n">
        <v>0.000125362</v>
      </c>
      <c r="G168" s="1" t="s">
        <v>59</v>
      </c>
      <c r="H168" s="1" t="n">
        <v>16.7</v>
      </c>
      <c r="I168" s="1" t="n">
        <v>193.6</v>
      </c>
      <c r="J168" s="1" t="n">
        <v>0</v>
      </c>
      <c r="K168" s="1" t="n">
        <v>45.6</v>
      </c>
      <c r="L168" s="1" t="n">
        <v>0</v>
      </c>
      <c r="M168" s="1" t="n">
        <v>0</v>
      </c>
      <c r="N168" s="1" t="s">
        <v>177</v>
      </c>
      <c r="Z168" s="0" t="n">
        <f aca="false">I168-35</f>
        <v>158.6</v>
      </c>
      <c r="AB168" s="0" t="n">
        <f aca="false">IF(Z168&lt;0,Z168+360,Z168+0)</f>
        <v>158.6</v>
      </c>
    </row>
    <row r="169" customFormat="false" ht="15.8" hidden="false" customHeight="false" outlineLevel="0" collapsed="false">
      <c r="A169" s="1" t="n">
        <v>5</v>
      </c>
      <c r="B169" s="1" t="n">
        <v>10</v>
      </c>
      <c r="C169" s="1" t="n">
        <v>4.4</v>
      </c>
      <c r="D169" s="1" t="n">
        <v>1.15</v>
      </c>
      <c r="E169" s="1" t="n">
        <v>0.151278</v>
      </c>
      <c r="F169" s="1" t="n">
        <v>0.000412767</v>
      </c>
      <c r="G169" s="1" t="s">
        <v>59</v>
      </c>
      <c r="H169" s="1" t="n">
        <v>11.7</v>
      </c>
      <c r="I169" s="1" t="n">
        <v>176.9</v>
      </c>
      <c r="J169" s="1" t="n">
        <v>0</v>
      </c>
      <c r="K169" s="1" t="n">
        <v>20.2</v>
      </c>
      <c r="L169" s="1" t="n">
        <v>0</v>
      </c>
      <c r="M169" s="1" t="n">
        <v>0</v>
      </c>
      <c r="N169" s="1" t="s">
        <v>176</v>
      </c>
      <c r="Z169" s="0" t="n">
        <f aca="false">I169-35</f>
        <v>141.9</v>
      </c>
      <c r="AB169" s="0" t="n">
        <f aca="false">IF(Z169&lt;0,Z169+360,Z169+0)</f>
        <v>141.9</v>
      </c>
    </row>
    <row r="170" customFormat="false" ht="15.8" hidden="false" customHeight="false" outlineLevel="0" collapsed="false">
      <c r="A170" s="1" t="n">
        <v>5</v>
      </c>
      <c r="B170" s="1" t="n">
        <v>9</v>
      </c>
      <c r="C170" s="1" t="n">
        <v>4.8</v>
      </c>
      <c r="D170" s="1" t="n">
        <v>1.0648</v>
      </c>
      <c r="E170" s="1" t="n">
        <v>0.166026</v>
      </c>
      <c r="F170" s="1" t="n">
        <v>0.000453009</v>
      </c>
      <c r="G170" s="1" t="s">
        <v>59</v>
      </c>
      <c r="H170" s="1" t="n">
        <v>65.4</v>
      </c>
      <c r="I170" s="1" t="n">
        <v>188.6</v>
      </c>
      <c r="J170" s="1" t="n">
        <v>0</v>
      </c>
      <c r="K170" s="1" t="n">
        <v>11.7</v>
      </c>
      <c r="L170" s="1" t="n">
        <v>0</v>
      </c>
      <c r="M170" s="1" t="n">
        <v>0</v>
      </c>
      <c r="N170" s="1" t="s">
        <v>175</v>
      </c>
      <c r="Z170" s="0" t="n">
        <f aca="false">I170-35</f>
        <v>153.6</v>
      </c>
      <c r="AB170" s="0" t="n">
        <f aca="false">IF(Z170&lt;0,Z170+360,Z170+0)</f>
        <v>153.6</v>
      </c>
    </row>
    <row r="171" customFormat="false" ht="15.8" hidden="false" customHeight="false" outlineLevel="0" collapsed="false">
      <c r="A171" s="1" t="n">
        <v>5</v>
      </c>
      <c r="B171" s="1" t="n">
        <v>8</v>
      </c>
      <c r="C171" s="1" t="n">
        <v>1.6</v>
      </c>
      <c r="D171" s="1" t="n">
        <v>1.391</v>
      </c>
      <c r="E171" s="1" t="n">
        <v>0.0547</v>
      </c>
      <c r="F171" s="1" t="n">
        <v>0.000149251</v>
      </c>
      <c r="G171" s="1" t="s">
        <v>59</v>
      </c>
      <c r="H171" s="1" t="n">
        <v>69.1</v>
      </c>
      <c r="I171" s="1" t="n">
        <v>254</v>
      </c>
      <c r="J171" s="1" t="n">
        <v>0</v>
      </c>
      <c r="K171" s="1" t="n">
        <v>141.4</v>
      </c>
      <c r="L171" s="1" t="n">
        <v>0</v>
      </c>
      <c r="M171" s="1" t="n">
        <v>0</v>
      </c>
      <c r="N171" s="1" t="s">
        <v>183</v>
      </c>
      <c r="Z171" s="0" t="n">
        <f aca="false">I171-35</f>
        <v>219</v>
      </c>
      <c r="AB171" s="0" t="n">
        <f aca="false">IF(Z171&lt;0,Z171+360,Z171+0)</f>
        <v>219</v>
      </c>
    </row>
    <row r="172" customFormat="false" ht="15.8" hidden="false" customHeight="false" outlineLevel="0" collapsed="false">
      <c r="A172" s="1" t="n">
        <v>5</v>
      </c>
      <c r="B172" s="1" t="n">
        <v>9</v>
      </c>
      <c r="C172" s="1" t="n">
        <v>0.5</v>
      </c>
      <c r="D172" s="1" t="n">
        <v>1.0201</v>
      </c>
      <c r="E172" s="1" t="n">
        <v>0.0178063</v>
      </c>
      <c r="F172" s="1" t="n">
        <v>4.85851E-005</v>
      </c>
      <c r="G172" s="1" t="s">
        <v>27</v>
      </c>
      <c r="H172" s="1" t="n">
        <v>95.8</v>
      </c>
      <c r="I172" s="1" t="n">
        <v>301</v>
      </c>
      <c r="J172" s="1" t="n">
        <v>0</v>
      </c>
      <c r="K172" s="1"/>
      <c r="L172" s="1" t="n">
        <v>0</v>
      </c>
      <c r="M172" s="1" t="n">
        <v>0</v>
      </c>
      <c r="N172" s="1" t="s">
        <v>184</v>
      </c>
      <c r="Z172" s="0" t="n">
        <f aca="false">I172-35</f>
        <v>266</v>
      </c>
      <c r="AB172" s="0" t="n">
        <f aca="false">IF(Z172&lt;0,Z172+360,Z172+0)</f>
        <v>266</v>
      </c>
    </row>
    <row r="173" customFormat="false" ht="15.8" hidden="false" customHeight="false" outlineLevel="0" collapsed="false">
      <c r="A173" s="1" t="n">
        <v>5</v>
      </c>
      <c r="B173" s="1" t="n">
        <v>10</v>
      </c>
      <c r="C173" s="1" t="n">
        <v>0.8</v>
      </c>
      <c r="D173" s="1" t="n">
        <v>1.0601</v>
      </c>
      <c r="E173" s="1" t="n">
        <v>0.0266625</v>
      </c>
      <c r="F173" s="1" t="n">
        <v>7.27497E-005</v>
      </c>
      <c r="G173" s="1" t="s">
        <v>27</v>
      </c>
      <c r="H173" s="1" t="n">
        <v>120.9</v>
      </c>
      <c r="I173" s="1" t="n">
        <v>316.8</v>
      </c>
      <c r="J173" s="1" t="n">
        <v>0</v>
      </c>
      <c r="K173" s="1"/>
      <c r="L173" s="1" t="n">
        <v>0</v>
      </c>
      <c r="M173" s="1" t="n">
        <v>0</v>
      </c>
      <c r="N173" s="1" t="s">
        <v>185</v>
      </c>
      <c r="Z173" s="0" t="n">
        <f aca="false">I173-35</f>
        <v>281.8</v>
      </c>
      <c r="AB173" s="0" t="n">
        <f aca="false">IF(Z173&lt;0,Z173+360,Z173+0)</f>
        <v>281.8</v>
      </c>
    </row>
    <row r="174" customFormat="false" ht="15.8" hidden="false" customHeight="false" outlineLevel="0" collapsed="false">
      <c r="A174" s="1" t="n">
        <v>5</v>
      </c>
      <c r="B174" s="1" t="n">
        <v>10</v>
      </c>
      <c r="C174" s="1" t="n">
        <v>0.9</v>
      </c>
      <c r="D174" s="1" t="n">
        <v>1.0107</v>
      </c>
      <c r="E174" s="1" t="n">
        <v>0.0317732</v>
      </c>
      <c r="F174" s="1" t="n">
        <v>8.66943E-005</v>
      </c>
      <c r="G174" s="1" t="s">
        <v>27</v>
      </c>
      <c r="H174" s="1" t="n">
        <v>15.2</v>
      </c>
      <c r="I174" s="1" t="n">
        <v>180.7</v>
      </c>
      <c r="J174" s="1" t="n">
        <v>0</v>
      </c>
      <c r="K174" s="1"/>
      <c r="L174" s="1" t="n">
        <v>0</v>
      </c>
      <c r="M174" s="1" t="n">
        <v>0</v>
      </c>
      <c r="N174" s="1" t="s">
        <v>185</v>
      </c>
      <c r="Z174" s="0" t="n">
        <f aca="false">I174-35</f>
        <v>145.7</v>
      </c>
      <c r="AB174" s="0" t="n">
        <f aca="false">IF(Z174&lt;0,Z174+360,Z174+0)</f>
        <v>145.7</v>
      </c>
    </row>
    <row r="175" customFormat="false" ht="15.8" hidden="false" customHeight="false" outlineLevel="0" collapsed="false">
      <c r="A175" s="1" t="n">
        <v>5</v>
      </c>
      <c r="B175" s="1" t="n">
        <v>9</v>
      </c>
      <c r="C175" s="1" t="n">
        <v>1.9</v>
      </c>
      <c r="D175" s="1" t="n">
        <v>1.022</v>
      </c>
      <c r="E175" s="1" t="n">
        <v>0.0656177</v>
      </c>
      <c r="F175" s="1" t="n">
        <v>0.00017904</v>
      </c>
      <c r="G175" s="1" t="s">
        <v>59</v>
      </c>
      <c r="H175" s="1" t="n">
        <v>9.3</v>
      </c>
      <c r="I175" s="1" t="n">
        <v>195.9</v>
      </c>
      <c r="J175" s="1" t="n">
        <v>0</v>
      </c>
      <c r="K175" s="1" t="n">
        <v>120.9</v>
      </c>
      <c r="L175" s="1" t="n">
        <v>0</v>
      </c>
      <c r="M175" s="1" t="n">
        <v>0</v>
      </c>
      <c r="N175" s="1" t="s">
        <v>184</v>
      </c>
      <c r="Z175" s="0" t="n">
        <f aca="false">I175-35</f>
        <v>160.9</v>
      </c>
      <c r="AB175" s="0" t="n">
        <f aca="false">IF(Z175&lt;0,Z175+360,Z175+0)</f>
        <v>160.9</v>
      </c>
    </row>
    <row r="176" customFormat="false" ht="15.8" hidden="false" customHeight="false" outlineLevel="0" collapsed="false">
      <c r="A176" s="1" t="n">
        <v>5</v>
      </c>
      <c r="B176" s="1" t="n">
        <v>8</v>
      </c>
      <c r="C176" s="1" t="n">
        <v>1.4</v>
      </c>
      <c r="D176" s="1" t="n">
        <v>1.0307</v>
      </c>
      <c r="E176" s="1" t="n">
        <v>0.0462985</v>
      </c>
      <c r="F176" s="1" t="n">
        <v>0.000126327</v>
      </c>
      <c r="G176" s="1" t="s">
        <v>59</v>
      </c>
      <c r="H176" s="1" t="n">
        <v>21</v>
      </c>
      <c r="I176" s="1" t="n">
        <v>205.2</v>
      </c>
      <c r="J176" s="1" t="n">
        <v>0</v>
      </c>
      <c r="K176" s="1" t="n">
        <v>95.8</v>
      </c>
      <c r="L176" s="1" t="n">
        <v>0</v>
      </c>
      <c r="M176" s="1" t="n">
        <v>0</v>
      </c>
      <c r="N176" s="1" t="s">
        <v>183</v>
      </c>
      <c r="Z176" s="0" t="n">
        <f aca="false">I176-35</f>
        <v>170.2</v>
      </c>
      <c r="AB176" s="0" t="n">
        <f aca="false">IF(Z176&lt;0,Z176+360,Z176+0)</f>
        <v>170.2</v>
      </c>
    </row>
    <row r="177" customFormat="false" ht="15.8" hidden="false" customHeight="false" outlineLevel="0" collapsed="false">
      <c r="A177" s="1" t="n">
        <v>5</v>
      </c>
      <c r="B177" s="1" t="n">
        <v>7</v>
      </c>
      <c r="C177" s="1" t="n">
        <v>3.4</v>
      </c>
      <c r="D177" s="1" t="n">
        <v>1.0862</v>
      </c>
      <c r="E177" s="1" t="n">
        <v>0.116532</v>
      </c>
      <c r="F177" s="1" t="n">
        <v>0.000317962</v>
      </c>
      <c r="G177" s="1" t="s">
        <v>59</v>
      </c>
      <c r="H177" s="1" t="n">
        <v>12.5</v>
      </c>
      <c r="I177" s="1" t="n">
        <v>185</v>
      </c>
      <c r="J177" s="1" t="n">
        <v>6.1</v>
      </c>
      <c r="K177" s="1" t="n">
        <v>69.1</v>
      </c>
      <c r="L177" s="1" t="n">
        <v>0</v>
      </c>
      <c r="M177" s="1" t="n">
        <v>0</v>
      </c>
      <c r="N177" s="1" t="s">
        <v>174</v>
      </c>
      <c r="Z177" s="0" t="n">
        <f aca="false">I177-35</f>
        <v>150</v>
      </c>
      <c r="AB177" s="0" t="n">
        <f aca="false">IF(Z177&lt;0,Z177+360,Z177+0)</f>
        <v>150</v>
      </c>
    </row>
    <row r="178" customFormat="false" ht="15.8" hidden="false" customHeight="false" outlineLevel="0" collapsed="false">
      <c r="A178" s="1" t="n">
        <v>5</v>
      </c>
      <c r="B178" s="1" t="n">
        <v>6</v>
      </c>
      <c r="C178" s="1" t="n">
        <v>3.8</v>
      </c>
      <c r="D178" s="1" t="n">
        <v>1.2838</v>
      </c>
      <c r="E178" s="1" t="n">
        <v>0.131318</v>
      </c>
      <c r="F178" s="1" t="n">
        <v>0.000358306</v>
      </c>
      <c r="G178" s="1" t="s">
        <v>59</v>
      </c>
      <c r="H178" s="1" t="n">
        <v>27.1</v>
      </c>
      <c r="I178" s="1" t="n">
        <v>186.3</v>
      </c>
      <c r="J178" s="1" t="n">
        <v>-6.4</v>
      </c>
      <c r="K178" s="1" t="n">
        <v>31.2</v>
      </c>
      <c r="L178" s="1" t="n">
        <v>0</v>
      </c>
      <c r="M178" s="1" t="n">
        <v>0</v>
      </c>
      <c r="N178" s="1" t="s">
        <v>173</v>
      </c>
      <c r="Z178" s="0" t="n">
        <f aca="false">I178-35</f>
        <v>151.3</v>
      </c>
      <c r="AB178" s="0" t="n">
        <f aca="false">IF(Z178&lt;0,Z178+360,Z178+0)</f>
        <v>151.3</v>
      </c>
    </row>
    <row r="179" customFormat="false" ht="15.8" hidden="false" customHeight="false" outlineLevel="0" collapsed="false">
      <c r="A179" s="1" t="n">
        <v>5</v>
      </c>
      <c r="B179" s="1" t="n">
        <v>5</v>
      </c>
      <c r="C179" s="1" t="n">
        <v>1.9</v>
      </c>
      <c r="D179" s="1" t="n">
        <v>1.0336</v>
      </c>
      <c r="E179" s="1" t="n">
        <v>0.0657711</v>
      </c>
      <c r="F179" s="1" t="n">
        <v>0.000179459</v>
      </c>
      <c r="G179" s="1" t="s">
        <v>59</v>
      </c>
      <c r="H179" s="1" t="n">
        <v>34</v>
      </c>
      <c r="I179" s="1" t="n">
        <v>212.8</v>
      </c>
      <c r="J179" s="1" t="n">
        <v>0</v>
      </c>
      <c r="K179" s="1" t="n">
        <v>80.8</v>
      </c>
      <c r="L179" s="1" t="n">
        <v>0</v>
      </c>
      <c r="M179" s="1" t="n">
        <v>0</v>
      </c>
      <c r="N179" s="1" t="s">
        <v>172</v>
      </c>
      <c r="Z179" s="0" t="n">
        <f aca="false">I179-35</f>
        <v>177.8</v>
      </c>
      <c r="AB179" s="0" t="n">
        <f aca="false">IF(Z179&lt;0,Z179+360,Z179+0)</f>
        <v>177.8</v>
      </c>
    </row>
    <row r="180" customFormat="false" ht="15.8" hidden="false" customHeight="false" outlineLevel="0" collapsed="false">
      <c r="A180" s="1" t="n">
        <v>5</v>
      </c>
      <c r="B180" s="1" t="n">
        <v>4</v>
      </c>
      <c r="C180" s="1" t="n">
        <v>4.3</v>
      </c>
      <c r="D180" s="1" t="n">
        <v>1.1818</v>
      </c>
      <c r="E180" s="1" t="n">
        <v>0.147007</v>
      </c>
      <c r="F180" s="1" t="n">
        <v>0.000401114</v>
      </c>
      <c r="G180" s="1" t="s">
        <v>59</v>
      </c>
      <c r="H180" s="1" t="n">
        <v>5.3</v>
      </c>
      <c r="I180" s="1" t="n">
        <v>179.1</v>
      </c>
      <c r="J180" s="1" t="n">
        <v>5.2</v>
      </c>
      <c r="K180" s="1" t="n">
        <v>47.1</v>
      </c>
      <c r="L180" s="1" t="n">
        <v>0</v>
      </c>
      <c r="M180" s="1" t="n">
        <v>0</v>
      </c>
      <c r="N180" s="1" t="s">
        <v>169</v>
      </c>
      <c r="Z180" s="0" t="n">
        <f aca="false">I180-35</f>
        <v>144.1</v>
      </c>
      <c r="AB180" s="0" t="n">
        <f aca="false">IF(Z180&lt;0,Z180+360,Z180+0)</f>
        <v>144.1</v>
      </c>
    </row>
    <row r="181" customFormat="false" ht="15.8" hidden="false" customHeight="false" outlineLevel="0" collapsed="false">
      <c r="A181" s="1" t="n">
        <v>5</v>
      </c>
      <c r="B181" s="1" t="n">
        <v>3</v>
      </c>
      <c r="C181" s="1" t="n">
        <v>4.7</v>
      </c>
      <c r="D181" s="1" t="n">
        <v>1.1117</v>
      </c>
      <c r="E181" s="1" t="n">
        <v>0.162319</v>
      </c>
      <c r="F181" s="1" t="n">
        <v>0.000442893</v>
      </c>
      <c r="G181" s="1" t="s">
        <v>59</v>
      </c>
      <c r="H181" s="1" t="n">
        <v>63.8</v>
      </c>
      <c r="I181" s="1" t="n">
        <v>178.2</v>
      </c>
      <c r="J181" s="1" t="n">
        <v>0</v>
      </c>
      <c r="K181" s="1" t="n">
        <v>135.4</v>
      </c>
      <c r="L181" s="1" t="n">
        <v>0</v>
      </c>
      <c r="M181" s="1" t="n">
        <v>0</v>
      </c>
      <c r="N181" s="1" t="s">
        <v>168</v>
      </c>
      <c r="Z181" s="0" t="n">
        <f aca="false">I181-35</f>
        <v>143.2</v>
      </c>
      <c r="AB181" s="0" t="n">
        <f aca="false">IF(Z181&lt;0,Z181+360,Z181+0)</f>
        <v>143.2</v>
      </c>
    </row>
    <row r="182" customFormat="false" ht="15.8" hidden="false" customHeight="false" outlineLevel="0" collapsed="false">
      <c r="A182" s="1" t="n">
        <v>5</v>
      </c>
      <c r="B182" s="1" t="n">
        <v>2</v>
      </c>
      <c r="C182" s="1" t="n">
        <v>1.9</v>
      </c>
      <c r="D182" s="1" t="n">
        <v>1.2433</v>
      </c>
      <c r="E182" s="1" t="n">
        <v>0.0655857</v>
      </c>
      <c r="F182" s="1" t="n">
        <v>0.000178953</v>
      </c>
      <c r="G182" s="1" t="s">
        <v>59</v>
      </c>
      <c r="H182" s="1" t="n">
        <v>109.8</v>
      </c>
      <c r="I182" s="1" t="n">
        <v>239</v>
      </c>
      <c r="J182" s="1" t="n">
        <v>25.4</v>
      </c>
      <c r="K182" s="1" t="n">
        <v>63.8</v>
      </c>
      <c r="L182" s="1" t="n">
        <v>0</v>
      </c>
      <c r="M182" s="1" t="n">
        <v>0</v>
      </c>
      <c r="N182" s="1" t="s">
        <v>167</v>
      </c>
      <c r="Z182" s="0" t="n">
        <f aca="false">I182-35</f>
        <v>204</v>
      </c>
      <c r="AB182" s="0" t="n">
        <f aca="false">IF(Z182&lt;0,Z182+360,Z182+0)</f>
        <v>204</v>
      </c>
    </row>
    <row r="183" customFormat="false" ht="15.8" hidden="false" customHeight="false" outlineLevel="0" collapsed="false">
      <c r="A183" s="1" t="n">
        <v>5</v>
      </c>
      <c r="B183" s="1" t="n">
        <v>1</v>
      </c>
      <c r="C183" s="1" t="n">
        <v>8.2</v>
      </c>
      <c r="D183" s="1" t="n">
        <v>1.1407</v>
      </c>
      <c r="E183" s="1" t="n">
        <v>0.280465</v>
      </c>
      <c r="F183" s="1" t="n">
        <v>0.000765257</v>
      </c>
      <c r="G183" s="1" t="s">
        <v>59</v>
      </c>
      <c r="H183" s="1"/>
      <c r="I183" s="1" t="n">
        <v>127</v>
      </c>
      <c r="J183" s="1" t="n">
        <v>0</v>
      </c>
      <c r="K183" s="1" t="n">
        <v>109.8</v>
      </c>
      <c r="L183" s="1" t="n">
        <v>0</v>
      </c>
      <c r="M183" s="1" t="n">
        <v>0</v>
      </c>
      <c r="N183" s="1" t="s">
        <v>186</v>
      </c>
      <c r="Z183" s="0" t="n">
        <f aca="false">I183-35</f>
        <v>92</v>
      </c>
      <c r="AB183" s="0" t="n">
        <f aca="false">IF(Z183&lt;0,Z183+360,Z183+0)</f>
        <v>92</v>
      </c>
    </row>
    <row r="184" customFormat="false" ht="15.8" hidden="false" customHeight="false" outlineLevel="0" collapsed="false">
      <c r="A184" s="1" t="n">
        <v>6</v>
      </c>
      <c r="B184" s="1" t="n">
        <v>1</v>
      </c>
      <c r="C184" s="1" t="n">
        <v>2.1</v>
      </c>
      <c r="D184" s="1" t="n">
        <v>1.0538</v>
      </c>
      <c r="E184" s="1" t="n">
        <v>0.0720589</v>
      </c>
      <c r="F184" s="1" t="n">
        <v>0.000196615</v>
      </c>
      <c r="G184" s="1" t="s">
        <v>27</v>
      </c>
      <c r="H184" s="1"/>
      <c r="I184" s="1" t="n">
        <v>352.1</v>
      </c>
      <c r="J184" s="1" t="n">
        <v>0</v>
      </c>
      <c r="K184" s="1"/>
      <c r="L184" s="1" t="n">
        <v>0</v>
      </c>
      <c r="M184" s="1" t="n">
        <v>0</v>
      </c>
      <c r="N184" s="1" t="s">
        <v>187</v>
      </c>
      <c r="Z184" s="0" t="n">
        <f aca="false">I184-35</f>
        <v>317.1</v>
      </c>
      <c r="AB184" s="0" t="n">
        <f aca="false">IF(Z184&lt;0,Z184+360,Z184+0)</f>
        <v>317.1</v>
      </c>
    </row>
    <row r="185" customFormat="false" ht="15.8" hidden="false" customHeight="false" outlineLevel="0" collapsed="false">
      <c r="A185" s="1" t="n">
        <v>7</v>
      </c>
      <c r="B185" s="1" t="n">
        <v>1</v>
      </c>
      <c r="C185" s="1" t="n">
        <v>3.6</v>
      </c>
      <c r="D185" s="1" t="n">
        <v>1.3854</v>
      </c>
      <c r="E185" s="1" t="n">
        <v>0.121758</v>
      </c>
      <c r="F185" s="1" t="n">
        <v>0.000332221</v>
      </c>
      <c r="G185" s="1" t="s">
        <v>27</v>
      </c>
      <c r="H185" s="1"/>
      <c r="I185" s="1" t="n">
        <v>335.8</v>
      </c>
      <c r="J185" s="1" t="n">
        <v>-14.9</v>
      </c>
      <c r="K185" s="1"/>
      <c r="L185" s="1" t="n">
        <v>0</v>
      </c>
      <c r="M185" s="1" t="n">
        <v>0</v>
      </c>
      <c r="N185" s="1" t="s">
        <v>188</v>
      </c>
      <c r="Z185" s="0" t="n">
        <f aca="false">I185-35</f>
        <v>300.8</v>
      </c>
      <c r="AB185" s="0" t="n">
        <f aca="false">IF(Z185&lt;0,Z185+360,Z185+0)</f>
        <v>300.8</v>
      </c>
    </row>
    <row r="186" customFormat="false" ht="15.8" hidden="false" customHeight="false" outlineLevel="0" collapsed="false">
      <c r="A186" s="1" t="n">
        <v>8</v>
      </c>
      <c r="B186" s="1" t="n">
        <v>2</v>
      </c>
      <c r="C186" s="1" t="n">
        <v>1.5</v>
      </c>
      <c r="D186" s="1" t="n">
        <v>1.3342</v>
      </c>
      <c r="E186" s="1" t="n">
        <v>0.0402666</v>
      </c>
      <c r="F186" s="1" t="n">
        <v>8.87812E-005</v>
      </c>
      <c r="G186" s="1" t="s">
        <v>27</v>
      </c>
      <c r="H186" s="1" t="n">
        <v>113.6</v>
      </c>
      <c r="I186" s="1" t="n">
        <v>258.7</v>
      </c>
      <c r="J186" s="1" t="n">
        <v>-37.2</v>
      </c>
      <c r="K186" s="1"/>
      <c r="L186" s="1" t="n">
        <v>0</v>
      </c>
      <c r="M186" s="1" t="n">
        <v>0</v>
      </c>
      <c r="N186" s="1" t="s">
        <v>189</v>
      </c>
      <c r="Z186" s="0" t="n">
        <f aca="false">I186-35</f>
        <v>223.7</v>
      </c>
      <c r="AB186" s="0" t="n">
        <f aca="false">IF(Z186&lt;0,Z186+360,Z186+0)</f>
        <v>223.7</v>
      </c>
    </row>
    <row r="187" customFormat="false" ht="15.8" hidden="false" customHeight="false" outlineLevel="0" collapsed="false">
      <c r="A187" s="1" t="n">
        <v>8</v>
      </c>
      <c r="B187" s="1" t="n">
        <v>6</v>
      </c>
      <c r="C187" s="1" t="n">
        <v>1.6</v>
      </c>
      <c r="D187" s="1" t="n">
        <v>1.0379</v>
      </c>
      <c r="E187" s="1" t="n">
        <v>0.0542276</v>
      </c>
      <c r="F187" s="1" t="n">
        <v>0.000147962</v>
      </c>
      <c r="G187" s="1" t="s">
        <v>27</v>
      </c>
      <c r="H187" s="1" t="n">
        <v>17.5</v>
      </c>
      <c r="I187" s="1" t="n">
        <v>204.5</v>
      </c>
      <c r="J187" s="1" t="n">
        <v>0</v>
      </c>
      <c r="K187" s="1"/>
      <c r="L187" s="1" t="n">
        <v>0</v>
      </c>
      <c r="M187" s="1" t="n">
        <v>0</v>
      </c>
      <c r="N187" s="1" t="s">
        <v>190</v>
      </c>
      <c r="Z187" s="0" t="n">
        <f aca="false">I187-35</f>
        <v>169.5</v>
      </c>
      <c r="AB187" s="0" t="n">
        <f aca="false">IF(Z187&lt;0,Z187+360,Z187+0)</f>
        <v>169.5</v>
      </c>
    </row>
    <row r="188" customFormat="false" ht="15.8" hidden="false" customHeight="false" outlineLevel="0" collapsed="false">
      <c r="A188" s="1" t="n">
        <v>8</v>
      </c>
      <c r="B188" s="1" t="n">
        <v>6</v>
      </c>
      <c r="C188" s="1" t="n">
        <v>0.6</v>
      </c>
      <c r="D188" s="1" t="n">
        <v>1.1977</v>
      </c>
      <c r="E188" s="1" t="n">
        <v>0.0200248</v>
      </c>
      <c r="F188" s="1" t="n">
        <v>5.46384E-005</v>
      </c>
      <c r="G188" s="1" t="s">
        <v>27</v>
      </c>
      <c r="H188" s="1" t="n">
        <v>114.9</v>
      </c>
      <c r="I188" s="1" t="n">
        <v>340.5</v>
      </c>
      <c r="J188" s="1" t="n">
        <v>42.6</v>
      </c>
      <c r="K188" s="1"/>
      <c r="L188" s="1" t="n">
        <v>0</v>
      </c>
      <c r="M188" s="1" t="n">
        <v>0</v>
      </c>
      <c r="N188" s="1" t="s">
        <v>190</v>
      </c>
      <c r="Z188" s="0" t="n">
        <f aca="false">I188-35</f>
        <v>305.5</v>
      </c>
      <c r="AB188" s="0" t="n">
        <f aca="false">IF(Z188&lt;0,Z188+360,Z188+0)</f>
        <v>305.5</v>
      </c>
    </row>
    <row r="189" customFormat="false" ht="15.8" hidden="false" customHeight="false" outlineLevel="0" collapsed="false">
      <c r="A189" s="1" t="n">
        <v>8</v>
      </c>
      <c r="B189" s="1" t="n">
        <v>5</v>
      </c>
      <c r="C189" s="1" t="n">
        <v>5.4</v>
      </c>
      <c r="D189" s="1" t="n">
        <v>1.5334</v>
      </c>
      <c r="E189" s="1" t="n">
        <v>0.185431</v>
      </c>
      <c r="F189" s="1" t="n">
        <v>0.000505954</v>
      </c>
      <c r="G189" s="1" t="s">
        <v>59</v>
      </c>
      <c r="H189" s="1" t="n">
        <v>70.9</v>
      </c>
      <c r="I189" s="1" t="n">
        <v>221.2</v>
      </c>
      <c r="J189" s="1" t="n">
        <v>-5.4</v>
      </c>
      <c r="K189" s="1" t="n">
        <v>114.9</v>
      </c>
      <c r="L189" s="1" t="n">
        <v>0</v>
      </c>
      <c r="M189" s="1" t="n">
        <v>0</v>
      </c>
      <c r="N189" s="1" t="s">
        <v>191</v>
      </c>
      <c r="Z189" s="0" t="n">
        <f aca="false">I189-35</f>
        <v>186.2</v>
      </c>
      <c r="AB189" s="0" t="n">
        <f aca="false">IF(Z189&lt;0,Z189+360,Z189+0)</f>
        <v>186.2</v>
      </c>
    </row>
    <row r="190" customFormat="false" ht="15.8" hidden="false" customHeight="false" outlineLevel="0" collapsed="false">
      <c r="A190" s="1" t="n">
        <v>8</v>
      </c>
      <c r="B190" s="1" t="n">
        <v>6</v>
      </c>
      <c r="C190" s="1" t="n">
        <v>3.9</v>
      </c>
      <c r="D190" s="1" t="n">
        <v>1.2472</v>
      </c>
      <c r="E190" s="1" t="n">
        <v>0.134867</v>
      </c>
      <c r="F190" s="1" t="n">
        <v>0.000367989</v>
      </c>
      <c r="G190" s="1" t="s">
        <v>27</v>
      </c>
      <c r="H190" s="1" t="n">
        <v>90.5</v>
      </c>
      <c r="I190" s="1" t="n">
        <v>20.6</v>
      </c>
      <c r="J190" s="1" t="n">
        <v>-18.3</v>
      </c>
      <c r="K190" s="1"/>
      <c r="L190" s="1" t="n">
        <v>0</v>
      </c>
      <c r="M190" s="1" t="n">
        <v>0</v>
      </c>
      <c r="N190" s="1" t="s">
        <v>192</v>
      </c>
      <c r="Z190" s="0" t="n">
        <f aca="false">I190-35</f>
        <v>-14.4</v>
      </c>
      <c r="AB190" s="0" t="n">
        <f aca="false">IF(Z190&lt;0,Z190+360,Z190+0)</f>
        <v>345.6</v>
      </c>
    </row>
    <row r="191" customFormat="false" ht="15.8" hidden="false" customHeight="false" outlineLevel="0" collapsed="false">
      <c r="A191" s="1" t="n">
        <v>8</v>
      </c>
      <c r="B191" s="1" t="n">
        <v>6</v>
      </c>
      <c r="C191" s="1" t="n">
        <v>0.6</v>
      </c>
      <c r="D191" s="1" t="n">
        <v>1.083</v>
      </c>
      <c r="E191" s="1" t="n">
        <v>0.021387</v>
      </c>
      <c r="F191" s="1" t="n">
        <v>5.83553E-005</v>
      </c>
      <c r="G191" s="1" t="s">
        <v>27</v>
      </c>
      <c r="H191" s="1" t="n">
        <v>141</v>
      </c>
      <c r="I191" s="1" t="n">
        <v>99.8</v>
      </c>
      <c r="J191" s="1" t="n">
        <v>0</v>
      </c>
      <c r="K191" s="1"/>
      <c r="L191" s="1" t="n">
        <v>0</v>
      </c>
      <c r="M191" s="1" t="n">
        <v>0</v>
      </c>
      <c r="N191" s="1" t="s">
        <v>192</v>
      </c>
      <c r="Z191" s="0" t="n">
        <f aca="false">I191-35</f>
        <v>64.8</v>
      </c>
      <c r="AB191" s="0" t="n">
        <f aca="false">IF(Z191&lt;0,Z191+360,Z191+0)</f>
        <v>64.8</v>
      </c>
    </row>
    <row r="192" customFormat="false" ht="15.8" hidden="false" customHeight="false" outlineLevel="0" collapsed="false">
      <c r="A192" s="1" t="n">
        <v>8</v>
      </c>
      <c r="B192" s="1" t="n">
        <v>9</v>
      </c>
      <c r="C192" s="1" t="n">
        <v>2.5</v>
      </c>
      <c r="D192" s="1" t="n">
        <v>1.1705</v>
      </c>
      <c r="E192" s="1" t="n">
        <v>0.0858303</v>
      </c>
      <c r="F192" s="1" t="n">
        <v>0.000234191</v>
      </c>
      <c r="G192" s="1" t="s">
        <v>27</v>
      </c>
      <c r="H192" s="1" t="n">
        <v>18.4</v>
      </c>
      <c r="I192" s="1" t="n">
        <v>183.7</v>
      </c>
      <c r="J192" s="1" t="n">
        <v>-18</v>
      </c>
      <c r="K192" s="1"/>
      <c r="L192" s="1" t="n">
        <v>0</v>
      </c>
      <c r="M192" s="1" t="n">
        <v>0</v>
      </c>
      <c r="N192" s="1" t="s">
        <v>193</v>
      </c>
      <c r="Z192" s="0" t="n">
        <f aca="false">I192-35</f>
        <v>148.7</v>
      </c>
      <c r="AB192" s="0" t="n">
        <f aca="false">IF(Z192&lt;0,Z192+360,Z192+0)</f>
        <v>148.7</v>
      </c>
    </row>
    <row r="193" customFormat="false" ht="15.8" hidden="false" customHeight="false" outlineLevel="0" collapsed="false">
      <c r="A193" s="1" t="n">
        <v>8</v>
      </c>
      <c r="B193" s="1" t="n">
        <v>9</v>
      </c>
      <c r="C193" s="1" t="n">
        <v>0.6</v>
      </c>
      <c r="D193" s="1" t="n">
        <v>1.007</v>
      </c>
      <c r="E193" s="1" t="n">
        <v>0.0211166</v>
      </c>
      <c r="F193" s="1" t="n">
        <v>5.76173E-005</v>
      </c>
      <c r="G193" s="1" t="s">
        <v>27</v>
      </c>
      <c r="H193" s="1" t="n">
        <v>70.1</v>
      </c>
      <c r="I193" s="1" t="n">
        <v>272</v>
      </c>
      <c r="J193" s="1" t="n">
        <v>0</v>
      </c>
      <c r="K193" s="1"/>
      <c r="L193" s="1" t="n">
        <v>0</v>
      </c>
      <c r="M193" s="1" t="n">
        <v>0</v>
      </c>
      <c r="N193" s="1" t="s">
        <v>193</v>
      </c>
      <c r="Z193" s="0" t="n">
        <f aca="false">I193-35</f>
        <v>237</v>
      </c>
      <c r="AB193" s="0" t="n">
        <f aca="false">IF(Z193&lt;0,Z193+360,Z193+0)</f>
        <v>237</v>
      </c>
    </row>
    <row r="194" customFormat="false" ht="15.8" hidden="false" customHeight="false" outlineLevel="0" collapsed="false">
      <c r="A194" s="1" t="n">
        <v>8</v>
      </c>
      <c r="B194" s="1" t="n">
        <v>8</v>
      </c>
      <c r="C194" s="1" t="n">
        <v>1.3</v>
      </c>
      <c r="D194" s="1" t="n">
        <v>1.1461</v>
      </c>
      <c r="E194" s="1" t="n">
        <v>0.0460737</v>
      </c>
      <c r="F194" s="1" t="n">
        <v>0.000125714</v>
      </c>
      <c r="G194" s="1" t="s">
        <v>59</v>
      </c>
      <c r="H194" s="1" t="n">
        <v>16.4</v>
      </c>
      <c r="I194" s="1" t="n">
        <v>202.8</v>
      </c>
      <c r="J194" s="1" t="n">
        <v>-16.3</v>
      </c>
      <c r="K194" s="1" t="n">
        <v>70.1</v>
      </c>
      <c r="L194" s="1" t="n">
        <v>0</v>
      </c>
      <c r="M194" s="1" t="n">
        <v>0</v>
      </c>
      <c r="N194" s="1" t="s">
        <v>194</v>
      </c>
      <c r="Z194" s="0" t="n">
        <f aca="false">I194-35</f>
        <v>167.8</v>
      </c>
      <c r="AB194" s="0" t="n">
        <f aca="false">IF(Z194&lt;0,Z194+360,Z194+0)</f>
        <v>167.8</v>
      </c>
    </row>
    <row r="195" customFormat="false" ht="15.8" hidden="false" customHeight="false" outlineLevel="0" collapsed="false">
      <c r="A195" s="1" t="n">
        <v>8</v>
      </c>
      <c r="B195" s="1" t="n">
        <v>8</v>
      </c>
      <c r="C195" s="1" t="n">
        <v>0.8</v>
      </c>
      <c r="D195" s="1" t="n">
        <v>1.0584</v>
      </c>
      <c r="E195" s="1" t="n">
        <v>0.0282733</v>
      </c>
      <c r="F195" s="1" t="n">
        <v>7.71446E-005</v>
      </c>
      <c r="G195" s="1" t="s">
        <v>27</v>
      </c>
      <c r="H195" s="1" t="n">
        <v>78.1</v>
      </c>
      <c r="I195" s="1" t="n">
        <v>281.3</v>
      </c>
      <c r="J195" s="1" t="n">
        <v>0</v>
      </c>
      <c r="K195" s="1"/>
      <c r="L195" s="1" t="n">
        <v>0</v>
      </c>
      <c r="M195" s="1" t="n">
        <v>0</v>
      </c>
      <c r="N195" s="1" t="s">
        <v>194</v>
      </c>
      <c r="Z195" s="0" t="n">
        <f aca="false">I195-35</f>
        <v>246.3</v>
      </c>
      <c r="AB195" s="0" t="n">
        <f aca="false">IF(Z195&lt;0,Z195+360,Z195+0)</f>
        <v>246.3</v>
      </c>
    </row>
    <row r="196" customFormat="false" ht="15.8" hidden="false" customHeight="false" outlineLevel="0" collapsed="false">
      <c r="A196" s="1" t="n">
        <v>8</v>
      </c>
      <c r="B196" s="1" t="n">
        <v>7</v>
      </c>
      <c r="C196" s="1" t="n">
        <v>0.6</v>
      </c>
      <c r="D196" s="1" t="n">
        <v>1.0184</v>
      </c>
      <c r="E196" s="1" t="n">
        <v>0.0203167</v>
      </c>
      <c r="F196" s="1" t="n">
        <v>5.54347E-005</v>
      </c>
      <c r="G196" s="1" t="s">
        <v>59</v>
      </c>
      <c r="H196" s="1" t="n">
        <v>52.3</v>
      </c>
      <c r="I196" s="1" t="n">
        <v>203.2</v>
      </c>
      <c r="J196" s="1" t="n">
        <v>0</v>
      </c>
      <c r="K196" s="1" t="n">
        <v>78.1</v>
      </c>
      <c r="L196" s="1" t="n">
        <v>0</v>
      </c>
      <c r="M196" s="1" t="n">
        <v>0</v>
      </c>
      <c r="N196" s="1" t="s">
        <v>195</v>
      </c>
      <c r="Z196" s="0" t="n">
        <f aca="false">I196-35</f>
        <v>168.2</v>
      </c>
      <c r="AB196" s="0" t="n">
        <f aca="false">IF(Z196&lt;0,Z196+360,Z196+0)</f>
        <v>168.2</v>
      </c>
    </row>
    <row r="197" customFormat="false" ht="15.8" hidden="false" customHeight="false" outlineLevel="0" collapsed="false">
      <c r="A197" s="1" t="n">
        <v>8</v>
      </c>
      <c r="B197" s="1" t="n">
        <v>7</v>
      </c>
      <c r="C197" s="1" t="n">
        <v>0.8</v>
      </c>
      <c r="D197" s="1" t="n">
        <v>1.0183</v>
      </c>
      <c r="E197" s="1" t="n">
        <v>0.0277114</v>
      </c>
      <c r="F197" s="1" t="n">
        <v>7.56114E-005</v>
      </c>
      <c r="G197" s="1" t="s">
        <v>27</v>
      </c>
      <c r="H197" s="1" t="n">
        <v>46</v>
      </c>
      <c r="I197" s="1" t="n">
        <v>301.5</v>
      </c>
      <c r="J197" s="1" t="n">
        <v>0</v>
      </c>
      <c r="K197" s="1"/>
      <c r="L197" s="1" t="n">
        <v>0</v>
      </c>
      <c r="M197" s="1" t="n">
        <v>0</v>
      </c>
      <c r="N197" s="1" t="s">
        <v>195</v>
      </c>
      <c r="Z197" s="0" t="n">
        <f aca="false">I197-35</f>
        <v>266.5</v>
      </c>
      <c r="AB197" s="0" t="n">
        <f aca="false">IF(Z197&lt;0,Z197+360,Z197+0)</f>
        <v>266.5</v>
      </c>
    </row>
    <row r="198" customFormat="false" ht="15.8" hidden="false" customHeight="false" outlineLevel="0" collapsed="false">
      <c r="A198" s="1" t="n">
        <v>8</v>
      </c>
      <c r="B198" s="1" t="n">
        <v>7</v>
      </c>
      <c r="C198" s="1" t="n">
        <v>1.3</v>
      </c>
      <c r="D198" s="1" t="n">
        <v>1.1675</v>
      </c>
      <c r="E198" s="1" t="n">
        <v>0.0431453</v>
      </c>
      <c r="F198" s="1" t="n">
        <v>0.000117723</v>
      </c>
      <c r="G198" s="1" t="s">
        <v>27</v>
      </c>
      <c r="H198" s="1" t="n">
        <v>103.2</v>
      </c>
      <c r="I198" s="1" t="n">
        <v>359.4</v>
      </c>
      <c r="J198" s="1" t="n">
        <v>-17.8</v>
      </c>
      <c r="K198" s="1"/>
      <c r="L198" s="1" t="n">
        <v>0</v>
      </c>
      <c r="M198" s="1" t="n">
        <v>0</v>
      </c>
      <c r="N198" s="1" t="s">
        <v>195</v>
      </c>
      <c r="Z198" s="0" t="n">
        <f aca="false">I198-35</f>
        <v>324.4</v>
      </c>
      <c r="AB198" s="0" t="n">
        <f aca="false">IF(Z198&lt;0,Z198+360,Z198+0)</f>
        <v>324.4</v>
      </c>
    </row>
    <row r="199" customFormat="false" ht="15.8" hidden="false" customHeight="false" outlineLevel="0" collapsed="false">
      <c r="A199" s="1" t="n">
        <v>8</v>
      </c>
      <c r="B199" s="1" t="n">
        <v>6</v>
      </c>
      <c r="C199" s="1" t="n">
        <v>1.2</v>
      </c>
      <c r="D199" s="1" t="n">
        <v>1.1108</v>
      </c>
      <c r="E199" s="1" t="n">
        <v>0.0399239</v>
      </c>
      <c r="F199" s="1" t="n">
        <v>0.000108934</v>
      </c>
      <c r="G199" s="1" t="s">
        <v>59</v>
      </c>
      <c r="H199" s="1" t="n">
        <v>42.4</v>
      </c>
      <c r="I199" s="1" t="n">
        <v>255.5</v>
      </c>
      <c r="J199" s="1" t="n">
        <v>0</v>
      </c>
      <c r="K199" s="1" t="n">
        <v>103.2</v>
      </c>
      <c r="L199" s="1" t="n">
        <v>0</v>
      </c>
      <c r="M199" s="1" t="n">
        <v>0</v>
      </c>
      <c r="N199" s="1" t="s">
        <v>192</v>
      </c>
      <c r="Z199" s="0" t="n">
        <f aca="false">I199-35</f>
        <v>220.5</v>
      </c>
      <c r="AB199" s="0" t="n">
        <f aca="false">IF(Z199&lt;0,Z199+360,Z199+0)</f>
        <v>220.5</v>
      </c>
    </row>
    <row r="200" customFormat="false" ht="15.8" hidden="false" customHeight="false" outlineLevel="0" collapsed="false">
      <c r="A200" s="1" t="n">
        <v>8</v>
      </c>
      <c r="B200" s="1" t="n">
        <v>5</v>
      </c>
      <c r="C200" s="1" t="n">
        <v>3.3</v>
      </c>
      <c r="D200" s="1" t="n">
        <v>2.0741</v>
      </c>
      <c r="E200" s="1" t="n">
        <v>0.112686</v>
      </c>
      <c r="F200" s="1" t="n">
        <v>0.000307467</v>
      </c>
      <c r="G200" s="1" t="s">
        <v>59</v>
      </c>
      <c r="H200" s="1" t="n">
        <v>28</v>
      </c>
      <c r="I200" s="1" t="n">
        <v>274.6</v>
      </c>
      <c r="J200" s="1" t="n">
        <v>-38.7</v>
      </c>
      <c r="K200" s="1" t="n">
        <v>141</v>
      </c>
      <c r="L200" s="1" t="n">
        <v>0</v>
      </c>
      <c r="M200" s="1" t="n">
        <v>0</v>
      </c>
      <c r="N200" s="1" t="s">
        <v>191</v>
      </c>
      <c r="Z200" s="0" t="n">
        <f aca="false">I200-35</f>
        <v>239.6</v>
      </c>
      <c r="AB200" s="0" t="n">
        <f aca="false">IF(Z200&lt;0,Z200+360,Z200+0)</f>
        <v>239.6</v>
      </c>
    </row>
    <row r="201" customFormat="false" ht="15.8" hidden="false" customHeight="false" outlineLevel="0" collapsed="false">
      <c r="A201" s="1" t="n">
        <v>8</v>
      </c>
      <c r="B201" s="1" t="n">
        <v>4</v>
      </c>
      <c r="C201" s="1" t="n">
        <v>1.2</v>
      </c>
      <c r="D201" s="1" t="n">
        <v>1.0725</v>
      </c>
      <c r="E201" s="1" t="n">
        <v>0.0396602</v>
      </c>
      <c r="F201" s="1" t="n">
        <v>0.000108214</v>
      </c>
      <c r="G201" s="1" t="s">
        <v>59</v>
      </c>
      <c r="H201" s="1" t="n">
        <v>80.4</v>
      </c>
      <c r="I201" s="1" t="n">
        <v>273.5</v>
      </c>
      <c r="J201" s="1" t="n">
        <v>-66.6</v>
      </c>
      <c r="K201" s="1" t="n">
        <v>70.9</v>
      </c>
      <c r="L201" s="1" t="n">
        <v>0</v>
      </c>
      <c r="M201" s="1" t="n">
        <v>0</v>
      </c>
      <c r="N201" s="1" t="s">
        <v>196</v>
      </c>
      <c r="Z201" s="0" t="n">
        <f aca="false">I201-35</f>
        <v>238.5</v>
      </c>
      <c r="AB201" s="0" t="n">
        <f aca="false">IF(Z201&lt;0,Z201+360,Z201+0)</f>
        <v>238.5</v>
      </c>
    </row>
    <row r="202" customFormat="false" ht="15.8" hidden="false" customHeight="false" outlineLevel="0" collapsed="false">
      <c r="A202" s="1" t="n">
        <v>8</v>
      </c>
      <c r="B202" s="1" t="n">
        <v>13</v>
      </c>
      <c r="C202" s="1" t="n">
        <v>2.4</v>
      </c>
      <c r="D202" s="1" t="n">
        <v>1.1446</v>
      </c>
      <c r="E202" s="1" t="n">
        <v>0.0809651</v>
      </c>
      <c r="F202" s="1" t="n">
        <v>0.000220916</v>
      </c>
      <c r="G202" s="1" t="s">
        <v>27</v>
      </c>
      <c r="H202" s="1" t="n">
        <v>123.7</v>
      </c>
      <c r="I202" s="1" t="n">
        <v>239</v>
      </c>
      <c r="J202" s="1" t="n">
        <v>-9.2</v>
      </c>
      <c r="K202" s="1"/>
      <c r="L202" s="1" t="n">
        <v>0</v>
      </c>
      <c r="M202" s="1" t="n">
        <v>0</v>
      </c>
      <c r="N202" s="1" t="s">
        <v>197</v>
      </c>
      <c r="Z202" s="0" t="n">
        <f aca="false">I202-35</f>
        <v>204</v>
      </c>
      <c r="AB202" s="0" t="n">
        <f aca="false">IF(Z202&lt;0,Z202+360,Z202+0)</f>
        <v>204</v>
      </c>
    </row>
    <row r="203" customFormat="false" ht="15.8" hidden="false" customHeight="false" outlineLevel="0" collapsed="false">
      <c r="A203" s="1" t="n">
        <v>8</v>
      </c>
      <c r="B203" s="1" t="n">
        <v>13</v>
      </c>
      <c r="C203" s="1" t="n">
        <v>4.1</v>
      </c>
      <c r="D203" s="1" t="n">
        <v>1.2026</v>
      </c>
      <c r="E203" s="1" t="n">
        <v>0.142266</v>
      </c>
      <c r="F203" s="1" t="n">
        <v>0.000388177</v>
      </c>
      <c r="G203" s="1" t="s">
        <v>27</v>
      </c>
      <c r="H203" s="1" t="n">
        <v>23.3</v>
      </c>
      <c r="I203" s="1" t="n">
        <v>342.6</v>
      </c>
      <c r="J203" s="1" t="n">
        <v>-11</v>
      </c>
      <c r="K203" s="1"/>
      <c r="L203" s="1" t="n">
        <v>0</v>
      </c>
      <c r="M203" s="1" t="n">
        <v>0</v>
      </c>
      <c r="N203" s="1" t="s">
        <v>197</v>
      </c>
      <c r="Z203" s="0" t="n">
        <f aca="false">I203-35</f>
        <v>307.6</v>
      </c>
      <c r="AB203" s="0" t="n">
        <f aca="false">IF(Z203&lt;0,Z203+360,Z203+0)</f>
        <v>307.6</v>
      </c>
    </row>
    <row r="204" customFormat="false" ht="15.8" hidden="false" customHeight="false" outlineLevel="0" collapsed="false">
      <c r="A204" s="1" t="n">
        <v>8</v>
      </c>
      <c r="B204" s="1" t="n">
        <v>13</v>
      </c>
      <c r="C204" s="1" t="n">
        <v>2.2</v>
      </c>
      <c r="D204" s="1" t="n">
        <v>1.1552</v>
      </c>
      <c r="E204" s="1" t="n">
        <v>0.0759598</v>
      </c>
      <c r="F204" s="1" t="n">
        <v>0.000207259</v>
      </c>
      <c r="G204" s="1" t="s">
        <v>27</v>
      </c>
      <c r="H204" s="1" t="n">
        <v>23.4</v>
      </c>
      <c r="I204" s="1" t="n">
        <v>15.5</v>
      </c>
      <c r="J204" s="1" t="n">
        <v>20.1</v>
      </c>
      <c r="K204" s="1"/>
      <c r="L204" s="1" t="n">
        <v>0</v>
      </c>
      <c r="M204" s="1" t="n">
        <v>0</v>
      </c>
      <c r="N204" s="1" t="s">
        <v>197</v>
      </c>
      <c r="Z204" s="0" t="n">
        <f aca="false">I204-35</f>
        <v>-19.5</v>
      </c>
      <c r="AB204" s="0" t="n">
        <f aca="false">IF(Z204&lt;0,Z204+360,Z204+0)</f>
        <v>340.5</v>
      </c>
    </row>
    <row r="205" customFormat="false" ht="15.8" hidden="false" customHeight="false" outlineLevel="0" collapsed="false">
      <c r="A205" s="1" t="n">
        <v>8</v>
      </c>
      <c r="B205" s="1" t="n">
        <v>12</v>
      </c>
      <c r="C205" s="1" t="n">
        <v>3</v>
      </c>
      <c r="D205" s="1" t="n">
        <v>1.0364</v>
      </c>
      <c r="E205" s="1" t="n">
        <v>0.102556</v>
      </c>
      <c r="F205" s="1" t="n">
        <v>0.000279827</v>
      </c>
      <c r="G205" s="1" t="s">
        <v>59</v>
      </c>
      <c r="H205" s="1" t="n">
        <v>20.7</v>
      </c>
      <c r="I205" s="1" t="n">
        <v>3.3</v>
      </c>
      <c r="J205" s="1" t="n">
        <v>0</v>
      </c>
      <c r="K205" s="1" t="n">
        <v>123.7</v>
      </c>
      <c r="L205" s="1" t="n">
        <v>0</v>
      </c>
      <c r="M205" s="1" t="n">
        <v>0</v>
      </c>
      <c r="N205" s="1" t="s">
        <v>198</v>
      </c>
      <c r="Z205" s="0" t="n">
        <f aca="false">I205-35</f>
        <v>-31.7</v>
      </c>
      <c r="AB205" s="0" t="n">
        <f aca="false">IF(Z205&lt;0,Z205+360,Z205+0)</f>
        <v>328.3</v>
      </c>
    </row>
    <row r="206" customFormat="false" ht="15.8" hidden="false" customHeight="false" outlineLevel="0" collapsed="false">
      <c r="A206" s="1" t="n">
        <v>8</v>
      </c>
      <c r="B206" s="1" t="n">
        <v>12</v>
      </c>
      <c r="C206" s="1" t="n">
        <v>1.1</v>
      </c>
      <c r="D206" s="1" t="n">
        <v>1.3911</v>
      </c>
      <c r="E206" s="1" t="n">
        <v>0.0378239</v>
      </c>
      <c r="F206" s="1" t="n">
        <v>0.000103204</v>
      </c>
      <c r="G206" s="1" t="s">
        <v>27</v>
      </c>
      <c r="H206" s="1" t="n">
        <v>109.4</v>
      </c>
      <c r="I206" s="1" t="n">
        <v>272.6</v>
      </c>
      <c r="J206" s="1" t="n">
        <v>24.6</v>
      </c>
      <c r="K206" s="1"/>
      <c r="L206" s="1" t="n">
        <v>0</v>
      </c>
      <c r="M206" s="1" t="n">
        <v>0</v>
      </c>
      <c r="N206" s="1" t="s">
        <v>198</v>
      </c>
      <c r="Z206" s="0" t="n">
        <f aca="false">I206-35</f>
        <v>237.6</v>
      </c>
      <c r="AB206" s="0" t="n">
        <f aca="false">IF(Z206&lt;0,Z206+360,Z206+0)</f>
        <v>237.6</v>
      </c>
    </row>
    <row r="207" customFormat="false" ht="15.8" hidden="false" customHeight="false" outlineLevel="0" collapsed="false">
      <c r="A207" s="1" t="n">
        <v>8</v>
      </c>
      <c r="B207" s="1" t="n">
        <v>11</v>
      </c>
      <c r="C207" s="1" t="n">
        <v>7.5</v>
      </c>
      <c r="D207" s="1" t="n">
        <v>1.2127</v>
      </c>
      <c r="E207" s="1" t="n">
        <v>0.255841</v>
      </c>
      <c r="F207" s="1" t="n">
        <v>0.000698071</v>
      </c>
      <c r="G207" s="1" t="s">
        <v>59</v>
      </c>
      <c r="H207" s="1" t="n">
        <v>22.4</v>
      </c>
      <c r="I207" s="1" t="n">
        <v>17.1</v>
      </c>
      <c r="J207" s="1" t="n">
        <v>-15.6</v>
      </c>
      <c r="K207" s="1" t="n">
        <v>109.4</v>
      </c>
      <c r="L207" s="1" t="n">
        <v>0</v>
      </c>
      <c r="M207" s="1" t="n">
        <v>0</v>
      </c>
      <c r="N207" s="1" t="s">
        <v>199</v>
      </c>
      <c r="Z207" s="0" t="n">
        <f aca="false">I207-35</f>
        <v>-17.9</v>
      </c>
      <c r="AB207" s="0" t="n">
        <f aca="false">IF(Z207&lt;0,Z207+360,Z207+0)</f>
        <v>342.1</v>
      </c>
    </row>
    <row r="208" customFormat="false" ht="15.8" hidden="false" customHeight="false" outlineLevel="0" collapsed="false">
      <c r="A208" s="1" t="n">
        <v>8</v>
      </c>
      <c r="B208" s="1" t="n">
        <v>11</v>
      </c>
      <c r="C208" s="1" t="n">
        <v>0.8</v>
      </c>
      <c r="D208" s="1" t="n">
        <v>1.2391</v>
      </c>
      <c r="E208" s="1" t="n">
        <v>0.0291371</v>
      </c>
      <c r="F208" s="1" t="n">
        <v>7.95017E-005</v>
      </c>
      <c r="G208" s="1" t="s">
        <v>27</v>
      </c>
      <c r="H208" s="1" t="n">
        <v>63.3</v>
      </c>
      <c r="I208" s="1" t="n">
        <v>344.2</v>
      </c>
      <c r="J208" s="1" t="n">
        <v>28.8</v>
      </c>
      <c r="K208" s="1"/>
      <c r="L208" s="1" t="n">
        <v>0</v>
      </c>
      <c r="M208" s="1" t="n">
        <v>0</v>
      </c>
      <c r="N208" s="1" t="s">
        <v>199</v>
      </c>
      <c r="Z208" s="0" t="n">
        <f aca="false">I208-35</f>
        <v>309.2</v>
      </c>
      <c r="AB208" s="0" t="n">
        <f aca="false">IF(Z208&lt;0,Z208+360,Z208+0)</f>
        <v>309.2</v>
      </c>
    </row>
    <row r="209" customFormat="false" ht="15.8" hidden="false" customHeight="false" outlineLevel="0" collapsed="false">
      <c r="A209" s="1" t="n">
        <v>8</v>
      </c>
      <c r="B209" s="1" t="n">
        <v>10</v>
      </c>
      <c r="C209" s="1" t="n">
        <v>6.4</v>
      </c>
      <c r="D209" s="1" t="n">
        <v>1.2186</v>
      </c>
      <c r="E209" s="1" t="n">
        <v>0.21989</v>
      </c>
      <c r="F209" s="1" t="n">
        <v>0.000599977</v>
      </c>
      <c r="G209" s="1" t="s">
        <v>59</v>
      </c>
      <c r="H209" s="1" t="n">
        <v>21</v>
      </c>
      <c r="I209" s="1" t="n">
        <v>38.4</v>
      </c>
      <c r="J209" s="1" t="n">
        <v>-7.2</v>
      </c>
      <c r="K209" s="1" t="n">
        <v>63.3</v>
      </c>
      <c r="L209" s="1" t="n">
        <v>0</v>
      </c>
      <c r="M209" s="1" t="n">
        <v>0</v>
      </c>
      <c r="N209" s="1" t="s">
        <v>200</v>
      </c>
      <c r="Z209" s="0" t="n">
        <f aca="false">I209-35</f>
        <v>3.4</v>
      </c>
      <c r="AB209" s="0" t="n">
        <f aca="false">IF(Z209&lt;0,Z209+360,Z209+0)</f>
        <v>3.4</v>
      </c>
    </row>
    <row r="210" customFormat="false" ht="15.8" hidden="false" customHeight="false" outlineLevel="0" collapsed="false">
      <c r="A210" s="1" t="n">
        <v>8</v>
      </c>
      <c r="B210" s="1" t="n">
        <v>10</v>
      </c>
      <c r="C210" s="1" t="n">
        <v>0.6</v>
      </c>
      <c r="D210" s="1" t="n">
        <v>1.0438</v>
      </c>
      <c r="E210" s="1" t="n">
        <v>0.0195777</v>
      </c>
      <c r="F210" s="1" t="n">
        <v>5.34183E-005</v>
      </c>
      <c r="G210" s="1" t="s">
        <v>27</v>
      </c>
      <c r="H210" s="1" t="n">
        <v>44.5</v>
      </c>
      <c r="I210" s="1" t="n">
        <v>61.4</v>
      </c>
      <c r="J210" s="1" t="n">
        <v>0</v>
      </c>
      <c r="K210" s="1"/>
      <c r="L210" s="1" t="n">
        <v>0</v>
      </c>
      <c r="M210" s="1" t="n">
        <v>0</v>
      </c>
      <c r="N210" s="1" t="s">
        <v>200</v>
      </c>
      <c r="Z210" s="0" t="n">
        <f aca="false">I210-35</f>
        <v>26.4</v>
      </c>
      <c r="AB210" s="0" t="n">
        <f aca="false">IF(Z210&lt;0,Z210+360,Z210+0)</f>
        <v>26.4</v>
      </c>
    </row>
    <row r="211" customFormat="false" ht="15.8" hidden="false" customHeight="false" outlineLevel="0" collapsed="false">
      <c r="A211" s="1" t="n">
        <v>8</v>
      </c>
      <c r="B211" s="1" t="n">
        <v>9</v>
      </c>
      <c r="C211" s="1" t="n">
        <v>1.2</v>
      </c>
      <c r="D211" s="1" t="n">
        <v>1.1793</v>
      </c>
      <c r="E211" s="1" t="n">
        <v>0.0417065</v>
      </c>
      <c r="F211" s="1" t="n">
        <v>0.000113798</v>
      </c>
      <c r="G211" s="1" t="s">
        <v>59</v>
      </c>
      <c r="H211" s="1" t="n">
        <v>23</v>
      </c>
      <c r="I211" s="1" t="n">
        <v>20.3</v>
      </c>
      <c r="J211" s="1" t="n">
        <v>-18.7</v>
      </c>
      <c r="K211" s="1" t="n">
        <v>44.5</v>
      </c>
      <c r="L211" s="1" t="n">
        <v>0</v>
      </c>
      <c r="M211" s="1" t="n">
        <v>0</v>
      </c>
      <c r="N211" s="1" t="s">
        <v>201</v>
      </c>
      <c r="Z211" s="0" t="n">
        <f aca="false">I211-35</f>
        <v>-14.7</v>
      </c>
      <c r="AB211" s="0" t="n">
        <f aca="false">IF(Z211&lt;0,Z211+360,Z211+0)</f>
        <v>345.3</v>
      </c>
    </row>
    <row r="212" customFormat="false" ht="15.8" hidden="false" customHeight="false" outlineLevel="0" collapsed="false">
      <c r="A212" s="1" t="n">
        <v>8</v>
      </c>
      <c r="B212" s="1" t="n">
        <v>9</v>
      </c>
      <c r="C212" s="1" t="n">
        <v>1.5</v>
      </c>
      <c r="D212" s="1" t="n">
        <v>1.2405</v>
      </c>
      <c r="E212" s="1" t="n">
        <v>0.0527427</v>
      </c>
      <c r="F212" s="1" t="n">
        <v>0.00014391</v>
      </c>
      <c r="G212" s="1" t="s">
        <v>27</v>
      </c>
      <c r="H212" s="1" t="n">
        <v>124.9</v>
      </c>
      <c r="I212" s="1" t="n">
        <v>232.1</v>
      </c>
      <c r="J212" s="1" t="n">
        <v>-53</v>
      </c>
      <c r="K212" s="1"/>
      <c r="L212" s="1" t="n">
        <v>0</v>
      </c>
      <c r="M212" s="1" t="n">
        <v>0</v>
      </c>
      <c r="N212" s="1" t="s">
        <v>201</v>
      </c>
      <c r="Z212" s="0" t="n">
        <f aca="false">I212-35</f>
        <v>197.1</v>
      </c>
      <c r="AB212" s="0" t="n">
        <f aca="false">IF(Z212&lt;0,Z212+360,Z212+0)</f>
        <v>197.1</v>
      </c>
    </row>
    <row r="213" customFormat="false" ht="15.8" hidden="false" customHeight="false" outlineLevel="0" collapsed="false">
      <c r="A213" s="1" t="n">
        <v>8</v>
      </c>
      <c r="B213" s="1" t="n">
        <v>8</v>
      </c>
      <c r="C213" s="1" t="n">
        <v>0.9</v>
      </c>
      <c r="D213" s="1" t="n">
        <v>1.0221</v>
      </c>
      <c r="E213" s="1" t="n">
        <v>0.0294927</v>
      </c>
      <c r="F213" s="1" t="n">
        <v>8.04718E-005</v>
      </c>
      <c r="G213" s="1" t="s">
        <v>59</v>
      </c>
      <c r="H213" s="1" t="n">
        <v>33.1</v>
      </c>
      <c r="I213" s="1" t="n">
        <v>33.9</v>
      </c>
      <c r="J213" s="1" t="n">
        <v>0</v>
      </c>
      <c r="K213" s="1" t="n">
        <v>124.9</v>
      </c>
      <c r="L213" s="1" t="n">
        <v>0</v>
      </c>
      <c r="M213" s="1" t="n">
        <v>0</v>
      </c>
      <c r="N213" s="1" t="s">
        <v>202</v>
      </c>
      <c r="Z213" s="0" t="n">
        <f aca="false">I213-35</f>
        <v>-1.1</v>
      </c>
      <c r="AB213" s="0" t="n">
        <f aca="false">IF(Z213&lt;0,Z213+360,Z213+0)</f>
        <v>358.9</v>
      </c>
    </row>
    <row r="214" customFormat="false" ht="15.8" hidden="false" customHeight="false" outlineLevel="0" collapsed="false">
      <c r="A214" s="1" t="n">
        <v>8</v>
      </c>
      <c r="B214" s="1" t="n">
        <v>9</v>
      </c>
      <c r="C214" s="1" t="n">
        <v>2.2</v>
      </c>
      <c r="D214" s="1" t="n">
        <v>1.4527</v>
      </c>
      <c r="E214" s="1" t="n">
        <v>0.0762776</v>
      </c>
      <c r="F214" s="1" t="n">
        <v>0.000208126</v>
      </c>
      <c r="G214" s="1" t="s">
        <v>27</v>
      </c>
      <c r="H214" s="1" t="n">
        <v>35.7</v>
      </c>
      <c r="I214" s="1" t="n">
        <v>236.3</v>
      </c>
      <c r="J214" s="1" t="n">
        <v>-12.4</v>
      </c>
      <c r="K214" s="1"/>
      <c r="L214" s="1" t="n">
        <v>0</v>
      </c>
      <c r="M214" s="1" t="n">
        <v>0</v>
      </c>
      <c r="N214" s="1" t="s">
        <v>203</v>
      </c>
      <c r="Z214" s="0" t="n">
        <f aca="false">I214-35</f>
        <v>201.3</v>
      </c>
      <c r="AB214" s="0" t="n">
        <f aca="false">IF(Z214&lt;0,Z214+360,Z214+0)</f>
        <v>201.3</v>
      </c>
    </row>
    <row r="215" customFormat="false" ht="15.8" hidden="false" customHeight="false" outlineLevel="0" collapsed="false">
      <c r="A215" s="1" t="n">
        <v>8</v>
      </c>
      <c r="B215" s="1" t="n">
        <v>9</v>
      </c>
      <c r="C215" s="1" t="n">
        <v>1.6</v>
      </c>
      <c r="D215" s="1" t="n">
        <v>1.0301</v>
      </c>
      <c r="E215" s="1" t="n">
        <v>0.0540043</v>
      </c>
      <c r="F215" s="1" t="n">
        <v>0.000147353</v>
      </c>
      <c r="G215" s="1" t="s">
        <v>27</v>
      </c>
      <c r="H215" s="1" t="n">
        <v>59.2</v>
      </c>
      <c r="I215" s="1" t="n">
        <v>214.8</v>
      </c>
      <c r="J215" s="1" t="n">
        <v>0</v>
      </c>
      <c r="K215" s="1"/>
      <c r="L215" s="1" t="n">
        <v>0</v>
      </c>
      <c r="M215" s="1" t="n">
        <v>0</v>
      </c>
      <c r="N215" s="1" t="s">
        <v>203</v>
      </c>
      <c r="Z215" s="0" t="n">
        <f aca="false">I215-35</f>
        <v>179.8</v>
      </c>
      <c r="AB215" s="0" t="n">
        <f aca="false">IF(Z215&lt;0,Z215+360,Z215+0)</f>
        <v>179.8</v>
      </c>
    </row>
    <row r="216" customFormat="false" ht="15.8" hidden="false" customHeight="false" outlineLevel="0" collapsed="false">
      <c r="A216" s="1" t="n">
        <v>8</v>
      </c>
      <c r="B216" s="1" t="n">
        <v>8</v>
      </c>
      <c r="C216" s="1" t="n">
        <v>0.6</v>
      </c>
      <c r="D216" s="1" t="n">
        <v>1.2145</v>
      </c>
      <c r="E216" s="1" t="n">
        <v>0.0221455</v>
      </c>
      <c r="F216" s="1" t="n">
        <v>6.04249E-005</v>
      </c>
      <c r="G216" s="1" t="s">
        <v>59</v>
      </c>
      <c r="H216" s="1" t="n">
        <v>87.9</v>
      </c>
      <c r="I216" s="1" t="n">
        <v>264</v>
      </c>
      <c r="J216" s="1" t="n">
        <v>-38.4</v>
      </c>
      <c r="K216" s="1" t="n">
        <v>59.2</v>
      </c>
      <c r="L216" s="1" t="n">
        <v>0</v>
      </c>
      <c r="M216" s="1" t="n">
        <v>0</v>
      </c>
      <c r="N216" s="1" t="s">
        <v>202</v>
      </c>
      <c r="Z216" s="0" t="n">
        <f aca="false">I216-35</f>
        <v>229</v>
      </c>
      <c r="AB216" s="0" t="n">
        <f aca="false">IF(Z216&lt;0,Z216+360,Z216+0)</f>
        <v>229</v>
      </c>
    </row>
    <row r="217" customFormat="false" ht="15.8" hidden="false" customHeight="false" outlineLevel="0" collapsed="false">
      <c r="A217" s="1" t="n">
        <v>8</v>
      </c>
      <c r="B217" s="1" t="n">
        <v>7</v>
      </c>
      <c r="C217" s="1" t="n">
        <v>2.9</v>
      </c>
      <c r="D217" s="1" t="n">
        <v>1.2756</v>
      </c>
      <c r="E217" s="1" t="n">
        <v>0.100981</v>
      </c>
      <c r="F217" s="1" t="n">
        <v>0.000275529</v>
      </c>
      <c r="G217" s="1" t="s">
        <v>59</v>
      </c>
      <c r="H217" s="1" t="n">
        <v>17.2</v>
      </c>
      <c r="I217" s="1" t="n">
        <v>4.8</v>
      </c>
      <c r="J217" s="1" t="n">
        <v>-16.6</v>
      </c>
      <c r="K217" s="1" t="n">
        <v>87.9</v>
      </c>
      <c r="L217" s="1" t="n">
        <v>0</v>
      </c>
      <c r="M217" s="1" t="n">
        <v>0</v>
      </c>
      <c r="N217" s="1" t="s">
        <v>204</v>
      </c>
      <c r="Z217" s="0" t="n">
        <f aca="false">I217-35</f>
        <v>-30.2</v>
      </c>
      <c r="AB217" s="0" t="n">
        <f aca="false">IF(Z217&lt;0,Z217+360,Z217+0)</f>
        <v>329.8</v>
      </c>
    </row>
    <row r="218" customFormat="false" ht="15.8" hidden="false" customHeight="false" outlineLevel="0" collapsed="false">
      <c r="A218" s="1" t="n">
        <v>8</v>
      </c>
      <c r="B218" s="1" t="n">
        <v>8</v>
      </c>
      <c r="C218" s="1" t="n">
        <v>1.3</v>
      </c>
      <c r="D218" s="1" t="n">
        <v>1.2387</v>
      </c>
      <c r="E218" s="1" t="n">
        <v>0.0443553</v>
      </c>
      <c r="F218" s="1" t="n">
        <v>0.000121025</v>
      </c>
      <c r="G218" s="1" t="s">
        <v>27</v>
      </c>
      <c r="H218" s="1" t="n">
        <v>19.2</v>
      </c>
      <c r="I218" s="1" t="n">
        <v>139.5</v>
      </c>
      <c r="J218" s="1" t="n">
        <v>-18.4</v>
      </c>
      <c r="K218" s="1"/>
      <c r="L218" s="1" t="n">
        <v>0</v>
      </c>
      <c r="M218" s="1" t="n">
        <v>0</v>
      </c>
      <c r="N218" s="1" t="s">
        <v>205</v>
      </c>
      <c r="Z218" s="0" t="n">
        <f aca="false">I218-35</f>
        <v>104.5</v>
      </c>
      <c r="AB218" s="0" t="n">
        <f aca="false">IF(Z218&lt;0,Z218+360,Z218+0)</f>
        <v>104.5</v>
      </c>
    </row>
    <row r="219" customFormat="false" ht="15.8" hidden="false" customHeight="false" outlineLevel="0" collapsed="false">
      <c r="A219" s="1" t="n">
        <v>8</v>
      </c>
      <c r="B219" s="1" t="n">
        <v>8</v>
      </c>
      <c r="C219" s="1" t="n">
        <v>0.6</v>
      </c>
      <c r="D219" s="1" t="n">
        <v>1.1386</v>
      </c>
      <c r="E219" s="1" t="n">
        <v>0.0210266</v>
      </c>
      <c r="F219" s="1" t="n">
        <v>5.73717E-005</v>
      </c>
      <c r="G219" s="1" t="s">
        <v>27</v>
      </c>
      <c r="H219" s="1" t="n">
        <v>56.8</v>
      </c>
      <c r="I219" s="1" t="n">
        <v>180</v>
      </c>
      <c r="J219" s="1" t="n">
        <v>37.8</v>
      </c>
      <c r="K219" s="1"/>
      <c r="L219" s="1" t="n">
        <v>0</v>
      </c>
      <c r="M219" s="1" t="n">
        <v>0</v>
      </c>
      <c r="N219" s="1" t="s">
        <v>205</v>
      </c>
      <c r="Z219" s="0" t="n">
        <f aca="false">I219-35</f>
        <v>145</v>
      </c>
      <c r="AB219" s="0" t="n">
        <f aca="false">IF(Z219&lt;0,Z219+360,Z219+0)</f>
        <v>145</v>
      </c>
    </row>
    <row r="220" customFormat="false" ht="15.8" hidden="false" customHeight="false" outlineLevel="0" collapsed="false">
      <c r="A220" s="1" t="n">
        <v>8</v>
      </c>
      <c r="B220" s="1" t="n">
        <v>7</v>
      </c>
      <c r="C220" s="1" t="n">
        <v>0.8</v>
      </c>
      <c r="D220" s="1" t="n">
        <v>1.0199</v>
      </c>
      <c r="E220" s="1" t="n">
        <v>0.0269934</v>
      </c>
      <c r="F220" s="1" t="n">
        <v>7.36524E-005</v>
      </c>
      <c r="G220" s="1" t="s">
        <v>59</v>
      </c>
      <c r="H220" s="1" t="n">
        <v>124.6</v>
      </c>
      <c r="I220" s="1" t="n">
        <v>133.9</v>
      </c>
      <c r="J220" s="1" t="n">
        <v>0</v>
      </c>
      <c r="K220" s="1" t="n">
        <v>56.8</v>
      </c>
      <c r="L220" s="1" t="n">
        <v>0</v>
      </c>
      <c r="M220" s="1" t="n">
        <v>0</v>
      </c>
      <c r="N220" s="1" t="s">
        <v>204</v>
      </c>
      <c r="Z220" s="0" t="n">
        <f aca="false">I220-35</f>
        <v>98.9</v>
      </c>
      <c r="AB220" s="0" t="n">
        <f aca="false">IF(Z220&lt;0,Z220+360,Z220+0)</f>
        <v>98.9</v>
      </c>
    </row>
    <row r="221" customFormat="false" ht="15.8" hidden="false" customHeight="false" outlineLevel="0" collapsed="false">
      <c r="A221" s="1" t="n">
        <v>8</v>
      </c>
      <c r="B221" s="1" t="n">
        <v>6</v>
      </c>
      <c r="C221" s="1" t="n">
        <v>0.6</v>
      </c>
      <c r="D221" s="1" t="n">
        <v>1.0325</v>
      </c>
      <c r="E221" s="1" t="n">
        <v>0.0215339</v>
      </c>
      <c r="F221" s="1" t="n">
        <v>5.8756E-005</v>
      </c>
      <c r="G221" s="1" t="s">
        <v>59</v>
      </c>
      <c r="H221" s="1" t="n">
        <v>1.9</v>
      </c>
      <c r="I221" s="1" t="n">
        <v>9.3</v>
      </c>
      <c r="J221" s="1" t="n">
        <v>0</v>
      </c>
      <c r="K221" s="1" t="n">
        <v>124.6</v>
      </c>
      <c r="L221" s="1" t="n">
        <v>0</v>
      </c>
      <c r="M221" s="1" t="n">
        <v>0</v>
      </c>
      <c r="N221" s="1" t="s">
        <v>206</v>
      </c>
      <c r="Z221" s="0" t="n">
        <f aca="false">I221-35</f>
        <v>-25.7</v>
      </c>
      <c r="AB221" s="0" t="n">
        <f aca="false">IF(Z221&lt;0,Z221+360,Z221+0)</f>
        <v>334.3</v>
      </c>
    </row>
    <row r="222" customFormat="false" ht="15.8" hidden="false" customHeight="false" outlineLevel="0" collapsed="false">
      <c r="A222" s="1" t="n">
        <v>8</v>
      </c>
      <c r="B222" s="1" t="n">
        <v>6</v>
      </c>
      <c r="C222" s="1" t="n">
        <v>0.5</v>
      </c>
      <c r="D222" s="1" t="n">
        <v>1.008</v>
      </c>
      <c r="E222" s="1" t="n">
        <v>0.017388</v>
      </c>
      <c r="F222" s="1" t="n">
        <v>4.74437E-005</v>
      </c>
      <c r="G222" s="1" t="s">
        <v>27</v>
      </c>
      <c r="H222" s="1" t="n">
        <v>97.5</v>
      </c>
      <c r="I222" s="1" t="n">
        <v>273.7</v>
      </c>
      <c r="J222" s="1" t="n">
        <v>0</v>
      </c>
      <c r="K222" s="1"/>
      <c r="L222" s="1" t="n">
        <v>0</v>
      </c>
      <c r="M222" s="1" t="n">
        <v>0</v>
      </c>
      <c r="N222" s="1" t="s">
        <v>206</v>
      </c>
      <c r="Z222" s="0" t="n">
        <f aca="false">I222-35</f>
        <v>238.7</v>
      </c>
      <c r="AB222" s="0" t="n">
        <f aca="false">IF(Z222&lt;0,Z222+360,Z222+0)</f>
        <v>238.7</v>
      </c>
    </row>
    <row r="223" customFormat="false" ht="15.8" hidden="false" customHeight="false" outlineLevel="0" collapsed="false">
      <c r="A223" s="1" t="n">
        <v>8</v>
      </c>
      <c r="B223" s="1" t="n">
        <v>5</v>
      </c>
      <c r="C223" s="1" t="n">
        <v>1.4</v>
      </c>
      <c r="D223" s="1" t="n">
        <v>1.0275</v>
      </c>
      <c r="E223" s="1" t="n">
        <v>0.0493935</v>
      </c>
      <c r="F223" s="1" t="n">
        <v>0.000134772</v>
      </c>
      <c r="G223" s="1" t="s">
        <v>59</v>
      </c>
      <c r="H223" s="1" t="n">
        <v>21.9</v>
      </c>
      <c r="I223" s="1" t="n">
        <v>11.2</v>
      </c>
      <c r="J223" s="1" t="n">
        <v>0</v>
      </c>
      <c r="K223" s="1" t="n">
        <v>97.5</v>
      </c>
      <c r="L223" s="1" t="n">
        <v>0</v>
      </c>
      <c r="M223" s="1" t="n">
        <v>0</v>
      </c>
      <c r="N223" s="1" t="s">
        <v>207</v>
      </c>
      <c r="Z223" s="0" t="n">
        <f aca="false">I223-35</f>
        <v>-23.8</v>
      </c>
      <c r="AB223" s="0" t="n">
        <f aca="false">IF(Z223&lt;0,Z223+360,Z223+0)</f>
        <v>336.2</v>
      </c>
    </row>
    <row r="224" customFormat="false" ht="15.8" hidden="false" customHeight="false" outlineLevel="0" collapsed="false">
      <c r="A224" s="1" t="n">
        <v>8</v>
      </c>
      <c r="B224" s="1" t="n">
        <v>5</v>
      </c>
      <c r="C224" s="1" t="n">
        <v>0.9</v>
      </c>
      <c r="D224" s="1" t="n">
        <v>1.0272</v>
      </c>
      <c r="E224" s="1" t="n">
        <v>0.0301723</v>
      </c>
      <c r="F224" s="1" t="n">
        <v>8.23261E-005</v>
      </c>
      <c r="G224" s="1" t="s">
        <v>27</v>
      </c>
      <c r="H224" s="1" t="n">
        <v>90.9</v>
      </c>
      <c r="I224" s="1" t="n">
        <v>124.1</v>
      </c>
      <c r="J224" s="1" t="n">
        <v>0</v>
      </c>
      <c r="K224" s="1"/>
      <c r="L224" s="1" t="n">
        <v>0</v>
      </c>
      <c r="M224" s="1" t="n">
        <v>0</v>
      </c>
      <c r="N224" s="1" t="s">
        <v>207</v>
      </c>
      <c r="Z224" s="0" t="n">
        <f aca="false">I224-35</f>
        <v>89.1</v>
      </c>
      <c r="AB224" s="0" t="n">
        <f aca="false">IF(Z224&lt;0,Z224+360,Z224+0)</f>
        <v>89.1</v>
      </c>
    </row>
    <row r="225" customFormat="false" ht="15.8" hidden="false" customHeight="false" outlineLevel="0" collapsed="false">
      <c r="A225" s="1" t="n">
        <v>8</v>
      </c>
      <c r="B225" s="1" t="n">
        <v>4</v>
      </c>
      <c r="C225" s="1" t="n">
        <v>1.4</v>
      </c>
      <c r="D225" s="1" t="n">
        <v>1.0517</v>
      </c>
      <c r="E225" s="1" t="n">
        <v>0.0474862</v>
      </c>
      <c r="F225" s="1" t="n">
        <v>0.000129568</v>
      </c>
      <c r="G225" s="1" t="s">
        <v>59</v>
      </c>
      <c r="H225" s="1" t="n">
        <v>26.2</v>
      </c>
      <c r="I225" s="1" t="n">
        <v>33.2</v>
      </c>
      <c r="J225" s="1" t="n">
        <v>0</v>
      </c>
      <c r="K225" s="1" t="n">
        <v>90.9</v>
      </c>
      <c r="L225" s="1" t="n">
        <v>0</v>
      </c>
      <c r="M225" s="1" t="n">
        <v>0</v>
      </c>
      <c r="N225" s="1" t="s">
        <v>196</v>
      </c>
      <c r="Z225" s="0" t="n">
        <f aca="false">I225-35</f>
        <v>-1.8</v>
      </c>
      <c r="AB225" s="0" t="n">
        <f aca="false">IF(Z225&lt;0,Z225+360,Z225+0)</f>
        <v>358.2</v>
      </c>
    </row>
    <row r="226" customFormat="false" ht="15.8" hidden="false" customHeight="false" outlineLevel="0" collapsed="false">
      <c r="A226" s="1" t="n">
        <v>8</v>
      </c>
      <c r="B226" s="1" t="n">
        <v>3</v>
      </c>
      <c r="C226" s="1" t="n">
        <v>4.9</v>
      </c>
      <c r="D226" s="1" t="n">
        <v>1.1572</v>
      </c>
      <c r="E226" s="1" t="n">
        <v>0.16849</v>
      </c>
      <c r="F226" s="1" t="n">
        <v>0.00045973</v>
      </c>
      <c r="G226" s="1" t="s">
        <v>59</v>
      </c>
      <c r="H226" s="1" t="n">
        <v>13.6</v>
      </c>
      <c r="I226" s="1" t="n">
        <v>10.5</v>
      </c>
      <c r="J226" s="1" t="n">
        <v>-13.5</v>
      </c>
      <c r="K226" s="1" t="n">
        <v>80.4</v>
      </c>
      <c r="L226" s="1" t="n">
        <v>0</v>
      </c>
      <c r="M226" s="1" t="n">
        <v>0</v>
      </c>
      <c r="N226" s="1" t="s">
        <v>208</v>
      </c>
      <c r="Z226" s="0" t="n">
        <f aca="false">I226-35</f>
        <v>-24.5</v>
      </c>
      <c r="AB226" s="0" t="n">
        <f aca="false">IF(Z226&lt;0,Z226+360,Z226+0)</f>
        <v>335.5</v>
      </c>
    </row>
    <row r="227" customFormat="false" ht="15.8" hidden="false" customHeight="false" outlineLevel="0" collapsed="false">
      <c r="A227" s="1" t="n">
        <v>8</v>
      </c>
      <c r="B227" s="1" t="n">
        <v>3</v>
      </c>
      <c r="C227" s="1" t="n">
        <v>2</v>
      </c>
      <c r="D227" s="1" t="n">
        <v>1.1826</v>
      </c>
      <c r="E227" s="1" t="n">
        <v>0.0686603</v>
      </c>
      <c r="F227" s="1" t="n">
        <v>0.000187342</v>
      </c>
      <c r="G227" s="1" t="s">
        <v>27</v>
      </c>
      <c r="H227" s="1" t="n">
        <v>48.3</v>
      </c>
      <c r="I227" s="1" t="n">
        <v>325</v>
      </c>
      <c r="J227" s="1" t="n">
        <v>-22.9</v>
      </c>
      <c r="K227" s="1"/>
      <c r="L227" s="1" t="n">
        <v>0</v>
      </c>
      <c r="M227" s="1" t="n">
        <v>0</v>
      </c>
      <c r="N227" s="1" t="s">
        <v>208</v>
      </c>
      <c r="Z227" s="0" t="n">
        <f aca="false">I227-35</f>
        <v>290</v>
      </c>
      <c r="AB227" s="0" t="n">
        <f aca="false">IF(Z227&lt;0,Z227+360,Z227+0)</f>
        <v>290</v>
      </c>
    </row>
    <row r="228" customFormat="false" ht="15.8" hidden="false" customHeight="false" outlineLevel="0" collapsed="false">
      <c r="A228" s="1" t="n">
        <v>8</v>
      </c>
      <c r="B228" s="1" t="n">
        <v>2</v>
      </c>
      <c r="C228" s="1" t="n">
        <v>1.8</v>
      </c>
      <c r="D228" s="1" t="n">
        <v>1.0531</v>
      </c>
      <c r="E228" s="1" t="n">
        <v>0.0618544</v>
      </c>
      <c r="F228" s="1" t="n">
        <v>0.000168772</v>
      </c>
      <c r="G228" s="1" t="s">
        <v>59</v>
      </c>
      <c r="H228" s="1" t="n">
        <v>15.9</v>
      </c>
      <c r="I228" s="1" t="n">
        <v>8.7</v>
      </c>
      <c r="J228" s="1" t="n">
        <v>0</v>
      </c>
      <c r="K228" s="1" t="n">
        <v>48.3</v>
      </c>
      <c r="L228" s="1" t="n">
        <v>0</v>
      </c>
      <c r="M228" s="1" t="n">
        <v>0</v>
      </c>
      <c r="N228" s="1" t="s">
        <v>189</v>
      </c>
      <c r="Z228" s="0" t="n">
        <f aca="false">I228-35</f>
        <v>-26.3</v>
      </c>
      <c r="AB228" s="0" t="n">
        <f aca="false">IF(Z228&lt;0,Z228+360,Z228+0)</f>
        <v>333.7</v>
      </c>
    </row>
    <row r="229" customFormat="false" ht="15.8" hidden="false" customHeight="false" outlineLevel="0" collapsed="false">
      <c r="A229" s="1" t="n">
        <v>8</v>
      </c>
      <c r="B229" s="1" t="n">
        <v>10</v>
      </c>
      <c r="C229" s="1" t="n">
        <v>1.5</v>
      </c>
      <c r="D229" s="1" t="n">
        <v>1.3279</v>
      </c>
      <c r="E229" s="1" t="n">
        <v>0.0409501</v>
      </c>
      <c r="F229" s="1" t="n">
        <v>8.99709E-005</v>
      </c>
      <c r="G229" s="1" t="s">
        <v>27</v>
      </c>
      <c r="H229" s="1" t="n">
        <v>132.1</v>
      </c>
      <c r="I229" s="1" t="n">
        <v>192.2</v>
      </c>
      <c r="J229" s="1" t="n">
        <v>36.2</v>
      </c>
      <c r="K229" s="1"/>
      <c r="L229" s="1" t="n">
        <v>0</v>
      </c>
      <c r="M229" s="1" t="n">
        <v>0</v>
      </c>
      <c r="N229" s="1" t="s">
        <v>209</v>
      </c>
      <c r="Z229" s="0" t="n">
        <f aca="false">I229-35</f>
        <v>157.2</v>
      </c>
      <c r="AB229" s="0" t="n">
        <f aca="false">IF(Z229&lt;0,Z229+360,Z229+0)</f>
        <v>157.2</v>
      </c>
    </row>
    <row r="230" customFormat="false" ht="15.8" hidden="false" customHeight="false" outlineLevel="0" collapsed="false">
      <c r="A230" s="1" t="n">
        <v>8</v>
      </c>
      <c r="B230" s="1" t="n">
        <v>10</v>
      </c>
      <c r="C230" s="1" t="n">
        <v>1.2</v>
      </c>
      <c r="D230" s="1" t="n">
        <v>1.2003</v>
      </c>
      <c r="E230" s="1" t="n">
        <v>0.0346219</v>
      </c>
      <c r="F230" s="1" t="n">
        <v>7.71922E-005</v>
      </c>
      <c r="G230" s="1" t="s">
        <v>27</v>
      </c>
      <c r="H230" s="1" t="n">
        <v>15.5</v>
      </c>
      <c r="I230" s="1" t="n">
        <v>1.1</v>
      </c>
      <c r="J230" s="1" t="n">
        <v>18.6</v>
      </c>
      <c r="K230" s="1"/>
      <c r="L230" s="1" t="n">
        <v>0</v>
      </c>
      <c r="M230" s="1" t="n">
        <v>0</v>
      </c>
      <c r="N230" s="1" t="s">
        <v>209</v>
      </c>
      <c r="Z230" s="0" t="n">
        <f aca="false">I230-35</f>
        <v>-33.9</v>
      </c>
      <c r="AB230" s="0" t="n">
        <f aca="false">IF(Z230&lt;0,Z230+360,Z230+0)</f>
        <v>326.1</v>
      </c>
    </row>
    <row r="231" customFormat="false" ht="15.8" hidden="false" customHeight="false" outlineLevel="0" collapsed="false">
      <c r="A231" s="1" t="n">
        <v>8</v>
      </c>
      <c r="B231" s="1" t="n">
        <v>11</v>
      </c>
      <c r="C231" s="1" t="n">
        <v>1.5</v>
      </c>
      <c r="D231" s="1" t="n">
        <v>1.1599</v>
      </c>
      <c r="E231" s="1" t="n">
        <v>0.051657</v>
      </c>
      <c r="F231" s="1" t="n">
        <v>0.000140948</v>
      </c>
      <c r="G231" s="1" t="s">
        <v>27</v>
      </c>
      <c r="H231" s="1" t="n">
        <v>39</v>
      </c>
      <c r="I231" s="1" t="n">
        <v>240.3</v>
      </c>
      <c r="J231" s="1" t="n">
        <v>-14.7</v>
      </c>
      <c r="K231" s="1"/>
      <c r="L231" s="1" t="n">
        <v>0</v>
      </c>
      <c r="M231" s="1" t="n">
        <v>0</v>
      </c>
      <c r="N231" s="1" t="s">
        <v>210</v>
      </c>
      <c r="Z231" s="0" t="n">
        <f aca="false">I231-35</f>
        <v>205.3</v>
      </c>
      <c r="AB231" s="0" t="n">
        <f aca="false">IF(Z231&lt;0,Z231+360,Z231+0)</f>
        <v>205.3</v>
      </c>
    </row>
    <row r="232" customFormat="false" ht="15.8" hidden="false" customHeight="false" outlineLevel="0" collapsed="false">
      <c r="A232" s="1" t="n">
        <v>8</v>
      </c>
      <c r="B232" s="1" t="n">
        <v>11</v>
      </c>
      <c r="C232" s="1" t="n">
        <v>1.3</v>
      </c>
      <c r="D232" s="1" t="n">
        <v>1.2284</v>
      </c>
      <c r="E232" s="1" t="n">
        <v>0.0443759</v>
      </c>
      <c r="F232" s="1" t="n">
        <v>0.000121081</v>
      </c>
      <c r="G232" s="1" t="s">
        <v>27</v>
      </c>
      <c r="H232" s="1" t="n">
        <v>52.4</v>
      </c>
      <c r="I232" s="1" t="n">
        <v>333.4</v>
      </c>
      <c r="J232" s="1" t="n">
        <v>-18.3</v>
      </c>
      <c r="K232" s="1"/>
      <c r="L232" s="1" t="n">
        <v>0</v>
      </c>
      <c r="M232" s="1" t="n">
        <v>0</v>
      </c>
      <c r="N232" s="1" t="s">
        <v>210</v>
      </c>
      <c r="Z232" s="0" t="n">
        <f aca="false">I232-35</f>
        <v>298.4</v>
      </c>
      <c r="AB232" s="0" t="n">
        <f aca="false">IF(Z232&lt;0,Z232+360,Z232+0)</f>
        <v>298.4</v>
      </c>
    </row>
    <row r="233" customFormat="false" ht="15.8" hidden="false" customHeight="false" outlineLevel="0" collapsed="false">
      <c r="A233" s="1" t="n">
        <v>8</v>
      </c>
      <c r="B233" s="1" t="n">
        <v>11</v>
      </c>
      <c r="C233" s="1" t="n">
        <v>0.9</v>
      </c>
      <c r="D233" s="1" t="n">
        <v>1.0357</v>
      </c>
      <c r="E233" s="1" t="n">
        <v>0.0321197</v>
      </c>
      <c r="F233" s="1" t="n">
        <v>8.76397E-005</v>
      </c>
      <c r="G233" s="1" t="s">
        <v>27</v>
      </c>
      <c r="H233" s="1" t="n">
        <v>91.6</v>
      </c>
      <c r="I233" s="1" t="n">
        <v>188.3</v>
      </c>
      <c r="J233" s="1" t="n">
        <v>0</v>
      </c>
      <c r="K233" s="1"/>
      <c r="L233" s="1" t="n">
        <v>0</v>
      </c>
      <c r="M233" s="1" t="n">
        <v>0</v>
      </c>
      <c r="N233" s="1" t="s">
        <v>210</v>
      </c>
      <c r="Z233" s="0" t="n">
        <f aca="false">I233-35</f>
        <v>153.3</v>
      </c>
      <c r="AB233" s="0" t="n">
        <f aca="false">IF(Z233&lt;0,Z233+360,Z233+0)</f>
        <v>153.3</v>
      </c>
    </row>
    <row r="234" customFormat="false" ht="15.8" hidden="false" customHeight="false" outlineLevel="0" collapsed="false">
      <c r="A234" s="1" t="n">
        <v>8</v>
      </c>
      <c r="B234" s="1" t="n">
        <v>10</v>
      </c>
      <c r="C234" s="1" t="n">
        <v>2.1</v>
      </c>
      <c r="D234" s="1" t="n">
        <v>1.1022</v>
      </c>
      <c r="E234" s="1" t="n">
        <v>0.0726854</v>
      </c>
      <c r="F234" s="1" t="n">
        <v>0.000198325</v>
      </c>
      <c r="G234" s="1" t="s">
        <v>59</v>
      </c>
      <c r="H234" s="1" t="n">
        <v>72.2</v>
      </c>
      <c r="I234" s="1" t="n">
        <v>280</v>
      </c>
      <c r="J234" s="1" t="n">
        <v>-9.9</v>
      </c>
      <c r="K234" s="1" t="n">
        <v>91.6</v>
      </c>
      <c r="L234" s="1" t="n">
        <v>0</v>
      </c>
      <c r="M234" s="1" t="n">
        <v>0</v>
      </c>
      <c r="N234" s="1" t="s">
        <v>209</v>
      </c>
      <c r="Z234" s="0" t="n">
        <f aca="false">I234-35</f>
        <v>245</v>
      </c>
      <c r="AB234" s="0" t="n">
        <f aca="false">IF(Z234&lt;0,Z234+360,Z234+0)</f>
        <v>245</v>
      </c>
    </row>
    <row r="235" customFormat="false" ht="15.8" hidden="false" customHeight="false" outlineLevel="0" collapsed="false">
      <c r="A235" s="1" t="n">
        <v>8</v>
      </c>
      <c r="B235" s="1" t="n">
        <v>10</v>
      </c>
      <c r="C235" s="1" t="n">
        <v>5.2</v>
      </c>
      <c r="D235" s="1" t="n">
        <v>1.1607</v>
      </c>
      <c r="E235" s="1" t="n">
        <v>0.179545</v>
      </c>
      <c r="F235" s="1" t="n">
        <v>0.000489893</v>
      </c>
      <c r="G235" s="1" t="s">
        <v>27</v>
      </c>
      <c r="H235" s="1" t="n">
        <v>41.9</v>
      </c>
      <c r="I235" s="1" t="n">
        <v>32.4</v>
      </c>
      <c r="J235" s="1" t="n">
        <v>4.2</v>
      </c>
      <c r="K235" s="1"/>
      <c r="L235" s="1" t="n">
        <v>0</v>
      </c>
      <c r="M235" s="1" t="n">
        <v>0</v>
      </c>
      <c r="N235" s="1" t="s">
        <v>209</v>
      </c>
      <c r="Z235" s="0" t="n">
        <f aca="false">I235-35</f>
        <v>-2.6</v>
      </c>
      <c r="AB235" s="0" t="n">
        <f aca="false">IF(Z235&lt;0,Z235+360,Z235+0)</f>
        <v>357.4</v>
      </c>
    </row>
    <row r="236" customFormat="false" ht="15.8" hidden="false" customHeight="false" outlineLevel="0" collapsed="false">
      <c r="A236" s="1" t="n">
        <v>8</v>
      </c>
      <c r="B236" s="1" t="n">
        <v>11</v>
      </c>
      <c r="C236" s="1" t="n">
        <v>1.1</v>
      </c>
      <c r="D236" s="1" t="n">
        <v>1.7197</v>
      </c>
      <c r="E236" s="1" t="n">
        <v>0.0383646</v>
      </c>
      <c r="F236" s="1" t="n">
        <v>0.000104679</v>
      </c>
      <c r="G236" s="1" t="s">
        <v>27</v>
      </c>
      <c r="H236" s="1" t="n">
        <v>84.5</v>
      </c>
      <c r="I236" s="1" t="n">
        <v>247.3</v>
      </c>
      <c r="J236" s="1" t="n">
        <v>0</v>
      </c>
      <c r="K236" s="1"/>
      <c r="L236" s="1" t="n">
        <v>0</v>
      </c>
      <c r="M236" s="1" t="n">
        <v>0</v>
      </c>
      <c r="N236" s="1" t="s">
        <v>211</v>
      </c>
      <c r="Z236" s="0" t="n">
        <f aca="false">I236-35</f>
        <v>212.3</v>
      </c>
      <c r="AB236" s="0" t="n">
        <f aca="false">IF(Z236&lt;0,Z236+360,Z236+0)</f>
        <v>212.3</v>
      </c>
    </row>
    <row r="237" customFormat="false" ht="15.8" hidden="false" customHeight="false" outlineLevel="0" collapsed="false">
      <c r="A237" s="1" t="n">
        <v>8</v>
      </c>
      <c r="B237" s="1" t="n">
        <v>12</v>
      </c>
      <c r="C237" s="1" t="n">
        <v>0.5</v>
      </c>
      <c r="D237" s="1" t="n">
        <v>1.0111</v>
      </c>
      <c r="E237" s="1" t="n">
        <v>0.0155169</v>
      </c>
      <c r="F237" s="1" t="n">
        <v>4.23384E-005</v>
      </c>
      <c r="G237" s="1" t="s">
        <v>27</v>
      </c>
      <c r="H237" s="1" t="n">
        <v>121.3</v>
      </c>
      <c r="I237" s="1" t="n">
        <v>225</v>
      </c>
      <c r="J237" s="1" t="n">
        <v>0</v>
      </c>
      <c r="K237" s="1"/>
      <c r="L237" s="1" t="n">
        <v>0</v>
      </c>
      <c r="M237" s="1" t="n">
        <v>0</v>
      </c>
      <c r="N237" s="1" t="s">
        <v>212</v>
      </c>
      <c r="Z237" s="0" t="n">
        <f aca="false">I237-35</f>
        <v>190</v>
      </c>
      <c r="AB237" s="0" t="n">
        <f aca="false">IF(Z237&lt;0,Z237+360,Z237+0)</f>
        <v>190</v>
      </c>
    </row>
    <row r="238" customFormat="false" ht="15.8" hidden="false" customHeight="false" outlineLevel="0" collapsed="false">
      <c r="A238" s="1" t="n">
        <v>8</v>
      </c>
      <c r="B238" s="1" t="n">
        <v>13</v>
      </c>
      <c r="C238" s="1" t="n">
        <v>0.5</v>
      </c>
      <c r="D238" s="1" t="n">
        <v>1.0108</v>
      </c>
      <c r="E238" s="1" t="n">
        <v>0.0181568</v>
      </c>
      <c r="F238" s="1" t="n">
        <v>4.95415E-005</v>
      </c>
      <c r="G238" s="1" t="s">
        <v>27</v>
      </c>
      <c r="H238" s="1" t="n">
        <v>69.4</v>
      </c>
      <c r="I238" s="1" t="n">
        <v>270</v>
      </c>
      <c r="J238" s="1" t="n">
        <v>0</v>
      </c>
      <c r="K238" s="1"/>
      <c r="L238" s="1" t="n">
        <v>0</v>
      </c>
      <c r="M238" s="1" t="n">
        <v>0</v>
      </c>
      <c r="N238" s="1" t="s">
        <v>213</v>
      </c>
      <c r="Z238" s="0" t="n">
        <f aca="false">I238-35</f>
        <v>235</v>
      </c>
      <c r="AB238" s="0" t="n">
        <f aca="false">IF(Z238&lt;0,Z238+360,Z238+0)</f>
        <v>235</v>
      </c>
    </row>
    <row r="239" customFormat="false" ht="15.8" hidden="false" customHeight="false" outlineLevel="0" collapsed="false">
      <c r="A239" s="1" t="n">
        <v>8</v>
      </c>
      <c r="B239" s="1" t="n">
        <v>14</v>
      </c>
      <c r="C239" s="1" t="n">
        <v>0.4</v>
      </c>
      <c r="D239" s="1" t="n">
        <v>1.018</v>
      </c>
      <c r="E239" s="1" t="n">
        <v>0.0153566</v>
      </c>
      <c r="F239" s="1" t="n">
        <v>4.19009E-005</v>
      </c>
      <c r="G239" s="1" t="s">
        <v>27</v>
      </c>
      <c r="H239" s="1" t="n">
        <v>23.1</v>
      </c>
      <c r="I239" s="1" t="n">
        <v>224</v>
      </c>
      <c r="J239" s="1" t="n">
        <v>0</v>
      </c>
      <c r="K239" s="1"/>
      <c r="L239" s="1" t="n">
        <v>0</v>
      </c>
      <c r="M239" s="1" t="n">
        <v>0</v>
      </c>
      <c r="N239" s="1" t="s">
        <v>214</v>
      </c>
      <c r="Z239" s="0" t="n">
        <f aca="false">I239-35</f>
        <v>189</v>
      </c>
      <c r="AB239" s="0" t="n">
        <f aca="false">IF(Z239&lt;0,Z239+360,Z239+0)</f>
        <v>189</v>
      </c>
    </row>
    <row r="240" customFormat="false" ht="15.8" hidden="false" customHeight="false" outlineLevel="0" collapsed="false">
      <c r="A240" s="1" t="n">
        <v>8</v>
      </c>
      <c r="B240" s="1" t="n">
        <v>14</v>
      </c>
      <c r="C240" s="1" t="n">
        <v>2</v>
      </c>
      <c r="D240" s="1" t="n">
        <v>1.8563</v>
      </c>
      <c r="E240" s="1" t="n">
        <v>0.0687138</v>
      </c>
      <c r="F240" s="1" t="n">
        <v>0.000187488</v>
      </c>
      <c r="G240" s="1" t="s">
        <v>27</v>
      </c>
      <c r="H240" s="1" t="n">
        <v>63.9</v>
      </c>
      <c r="I240" s="1" t="n">
        <v>149.5</v>
      </c>
      <c r="J240" s="1" t="n">
        <v>66.5</v>
      </c>
      <c r="K240" s="1"/>
      <c r="L240" s="1" t="n">
        <v>0</v>
      </c>
      <c r="M240" s="1" t="n">
        <v>0</v>
      </c>
      <c r="N240" s="1" t="s">
        <v>214</v>
      </c>
      <c r="Z240" s="0" t="n">
        <f aca="false">I240-35</f>
        <v>114.5</v>
      </c>
      <c r="AB240" s="0" t="n">
        <f aca="false">IF(Z240&lt;0,Z240+360,Z240+0)</f>
        <v>114.5</v>
      </c>
    </row>
    <row r="241" customFormat="false" ht="15.8" hidden="false" customHeight="false" outlineLevel="0" collapsed="false">
      <c r="A241" s="1" t="n">
        <v>8</v>
      </c>
      <c r="B241" s="1" t="n">
        <v>13</v>
      </c>
      <c r="C241" s="1" t="n">
        <v>1.7</v>
      </c>
      <c r="D241" s="1" t="n">
        <v>1.266</v>
      </c>
      <c r="E241" s="1" t="n">
        <v>0.0589812</v>
      </c>
      <c r="F241" s="1" t="n">
        <v>0.000160932</v>
      </c>
      <c r="G241" s="1" t="s">
        <v>59</v>
      </c>
      <c r="H241" s="1" t="n">
        <v>132.2</v>
      </c>
      <c r="I241" s="1" t="n">
        <v>205.5</v>
      </c>
      <c r="J241" s="1" t="n">
        <v>14.1</v>
      </c>
      <c r="K241" s="1" t="n">
        <v>63.9</v>
      </c>
      <c r="L241" s="1" t="n">
        <v>0</v>
      </c>
      <c r="M241" s="1" t="n">
        <v>0</v>
      </c>
      <c r="N241" s="1" t="s">
        <v>213</v>
      </c>
      <c r="Z241" s="0" t="n">
        <f aca="false">I241-35</f>
        <v>170.5</v>
      </c>
      <c r="AB241" s="0" t="n">
        <f aca="false">IF(Z241&lt;0,Z241+360,Z241+0)</f>
        <v>170.5</v>
      </c>
    </row>
    <row r="242" customFormat="false" ht="15.8" hidden="false" customHeight="false" outlineLevel="0" collapsed="false">
      <c r="A242" s="1" t="n">
        <v>8</v>
      </c>
      <c r="B242" s="1" t="n">
        <v>13</v>
      </c>
      <c r="C242" s="1" t="n">
        <v>4.2</v>
      </c>
      <c r="D242" s="1" t="n">
        <v>1.7088</v>
      </c>
      <c r="E242" s="1" t="n">
        <v>0.143521</v>
      </c>
      <c r="F242" s="1" t="n">
        <v>0.000391603</v>
      </c>
      <c r="G242" s="1" t="s">
        <v>27</v>
      </c>
      <c r="H242" s="1" t="n">
        <v>85.4</v>
      </c>
      <c r="I242" s="1" t="n">
        <v>64.3</v>
      </c>
      <c r="J242" s="1" t="n">
        <v>-23.8</v>
      </c>
      <c r="K242" s="1"/>
      <c r="L242" s="1" t="n">
        <v>0</v>
      </c>
      <c r="M242" s="1" t="n">
        <v>0</v>
      </c>
      <c r="N242" s="1" t="s">
        <v>213</v>
      </c>
      <c r="Z242" s="0" t="n">
        <f aca="false">I242-35</f>
        <v>29.3</v>
      </c>
      <c r="AB242" s="0" t="n">
        <f aca="false">IF(Z242&lt;0,Z242+360,Z242+0)</f>
        <v>29.3</v>
      </c>
    </row>
    <row r="243" customFormat="false" ht="15.8" hidden="false" customHeight="false" outlineLevel="0" collapsed="false">
      <c r="A243" s="1" t="n">
        <v>8</v>
      </c>
      <c r="B243" s="1" t="n">
        <v>12</v>
      </c>
      <c r="C243" s="1" t="n">
        <v>0.8</v>
      </c>
      <c r="D243" s="1" t="n">
        <v>1.0533</v>
      </c>
      <c r="E243" s="1" t="n">
        <v>0.0290641</v>
      </c>
      <c r="F243" s="1" t="n">
        <v>7.93025E-005</v>
      </c>
      <c r="G243" s="1" t="s">
        <v>59</v>
      </c>
      <c r="H243" s="1" t="n">
        <v>26.3</v>
      </c>
      <c r="I243" s="1" t="n">
        <v>339.4</v>
      </c>
      <c r="J243" s="1" t="n">
        <v>0</v>
      </c>
      <c r="K243" s="1" t="n">
        <v>132.2</v>
      </c>
      <c r="L243" s="1" t="n">
        <v>0</v>
      </c>
      <c r="M243" s="1" t="n">
        <v>0</v>
      </c>
      <c r="N243" s="1" t="s">
        <v>212</v>
      </c>
      <c r="Z243" s="0" t="n">
        <f aca="false">I243-35</f>
        <v>304.4</v>
      </c>
      <c r="AB243" s="0" t="n">
        <f aca="false">IF(Z243&lt;0,Z243+360,Z243+0)</f>
        <v>304.4</v>
      </c>
    </row>
    <row r="244" customFormat="false" ht="15.8" hidden="false" customHeight="false" outlineLevel="0" collapsed="false">
      <c r="A244" s="1" t="n">
        <v>8</v>
      </c>
      <c r="B244" s="1" t="n">
        <v>11</v>
      </c>
      <c r="C244" s="1" t="n">
        <v>0.9</v>
      </c>
      <c r="D244" s="1" t="n">
        <v>1.1729</v>
      </c>
      <c r="E244" s="1" t="n">
        <v>0.0322964</v>
      </c>
      <c r="F244" s="1" t="n">
        <v>8.81219E-005</v>
      </c>
      <c r="G244" s="1" t="s">
        <v>59</v>
      </c>
      <c r="H244" s="1" t="n">
        <v>21.8</v>
      </c>
      <c r="I244" s="1" t="n">
        <v>349.7</v>
      </c>
      <c r="J244" s="1" t="n">
        <v>-24.3</v>
      </c>
      <c r="K244" s="1" t="n">
        <v>121.3</v>
      </c>
      <c r="L244" s="1" t="n">
        <v>0</v>
      </c>
      <c r="M244" s="1" t="n">
        <v>0</v>
      </c>
      <c r="N244" s="1" t="s">
        <v>211</v>
      </c>
      <c r="Z244" s="0" t="n">
        <f aca="false">I244-35</f>
        <v>314.7</v>
      </c>
      <c r="AB244" s="0" t="n">
        <f aca="false">IF(Z244&lt;0,Z244+360,Z244+0)</f>
        <v>314.7</v>
      </c>
    </row>
    <row r="245" customFormat="false" ht="15.8" hidden="false" customHeight="false" outlineLevel="0" collapsed="false">
      <c r="A245" s="1" t="n">
        <v>8</v>
      </c>
      <c r="B245" s="1" t="n">
        <v>10</v>
      </c>
      <c r="C245" s="1" t="n">
        <v>1.9</v>
      </c>
      <c r="D245" s="1" t="n">
        <v>1.08</v>
      </c>
      <c r="E245" s="1" t="n">
        <v>0.065233</v>
      </c>
      <c r="F245" s="1" t="n">
        <v>0.000177991</v>
      </c>
      <c r="G245" s="1" t="s">
        <v>59</v>
      </c>
      <c r="H245" s="1" t="n">
        <v>25.9</v>
      </c>
      <c r="I245" s="1" t="n">
        <v>331.7</v>
      </c>
      <c r="J245" s="1" t="n">
        <v>-10.8</v>
      </c>
      <c r="K245" s="1" t="n">
        <v>84.5</v>
      </c>
      <c r="L245" s="1" t="n">
        <v>0</v>
      </c>
      <c r="M245" s="1" t="n">
        <v>0</v>
      </c>
      <c r="N245" s="1" t="s">
        <v>209</v>
      </c>
      <c r="Z245" s="0" t="n">
        <f aca="false">I245-35</f>
        <v>296.7</v>
      </c>
      <c r="AB245" s="0" t="n">
        <f aca="false">IF(Z245&lt;0,Z245+360,Z245+0)</f>
        <v>296.7</v>
      </c>
    </row>
    <row r="246" customFormat="false" ht="15.8" hidden="false" customHeight="false" outlineLevel="0" collapsed="false">
      <c r="A246" s="1" t="n">
        <v>8</v>
      </c>
      <c r="B246" s="1" t="n">
        <v>9</v>
      </c>
      <c r="C246" s="1" t="n">
        <v>2.9</v>
      </c>
      <c r="D246" s="1" t="n">
        <v>1.1041</v>
      </c>
      <c r="E246" s="1" t="n">
        <v>0.100088</v>
      </c>
      <c r="F246" s="1" t="n">
        <v>0.000273093</v>
      </c>
      <c r="G246" s="1" t="s">
        <v>59</v>
      </c>
      <c r="H246" s="1" t="n">
        <v>22.1</v>
      </c>
      <c r="I246" s="1" t="n">
        <v>350.4</v>
      </c>
      <c r="J246" s="1" t="n">
        <v>7.2</v>
      </c>
      <c r="K246" s="1" t="n">
        <v>132.1</v>
      </c>
      <c r="L246" s="1" t="n">
        <v>0</v>
      </c>
      <c r="M246" s="1" t="n">
        <v>0</v>
      </c>
      <c r="N246" s="1" t="s">
        <v>215</v>
      </c>
      <c r="Z246" s="0" t="n">
        <f aca="false">I246-35</f>
        <v>315.4</v>
      </c>
      <c r="AB246" s="0" t="n">
        <f aca="false">IF(Z246&lt;0,Z246+360,Z246+0)</f>
        <v>315.4</v>
      </c>
    </row>
    <row r="247" customFormat="false" ht="15.8" hidden="false" customHeight="false" outlineLevel="0" collapsed="false">
      <c r="A247" s="1" t="n">
        <v>8</v>
      </c>
      <c r="B247" s="1" t="n">
        <v>9</v>
      </c>
      <c r="C247" s="1" t="n">
        <v>0.9</v>
      </c>
      <c r="D247" s="1" t="n">
        <v>1.2376</v>
      </c>
      <c r="E247" s="1" t="n">
        <v>0.0317849</v>
      </c>
      <c r="F247" s="1" t="n">
        <v>8.67263E-005</v>
      </c>
      <c r="G247" s="1" t="s">
        <v>27</v>
      </c>
      <c r="H247" s="1" t="n">
        <v>89.2</v>
      </c>
      <c r="I247" s="1" t="n">
        <v>56.3</v>
      </c>
      <c r="J247" s="1" t="n">
        <v>61.8</v>
      </c>
      <c r="K247" s="1"/>
      <c r="L247" s="1" t="n">
        <v>0</v>
      </c>
      <c r="M247" s="1" t="n">
        <v>0</v>
      </c>
      <c r="N247" s="1" t="s">
        <v>215</v>
      </c>
      <c r="Z247" s="0" t="n">
        <f aca="false">I247-35</f>
        <v>21.3</v>
      </c>
      <c r="AB247" s="0" t="n">
        <f aca="false">IF(Z247&lt;0,Z247+360,Z247+0)</f>
        <v>21.3</v>
      </c>
    </row>
    <row r="248" customFormat="false" ht="15.8" hidden="false" customHeight="false" outlineLevel="0" collapsed="false">
      <c r="A248" s="1" t="n">
        <v>8</v>
      </c>
      <c r="B248" s="1" t="n">
        <v>8</v>
      </c>
      <c r="C248" s="1" t="n">
        <v>6.4</v>
      </c>
      <c r="D248" s="1" t="n">
        <v>1.1928</v>
      </c>
      <c r="E248" s="1" t="n">
        <v>0.220519</v>
      </c>
      <c r="F248" s="1" t="n">
        <v>0.000601694</v>
      </c>
      <c r="G248" s="1" t="s">
        <v>59</v>
      </c>
      <c r="H248" s="1" t="n">
        <v>9.2</v>
      </c>
      <c r="I248" s="1" t="n">
        <v>356.3</v>
      </c>
      <c r="J248" s="1" t="n">
        <v>-14.2</v>
      </c>
      <c r="K248" s="1" t="n">
        <v>89.2</v>
      </c>
      <c r="L248" s="1" t="n">
        <v>0</v>
      </c>
      <c r="M248" s="1" t="n">
        <v>0</v>
      </c>
      <c r="N248" s="1" t="s">
        <v>216</v>
      </c>
      <c r="Z248" s="0" t="n">
        <f aca="false">I248-35</f>
        <v>321.3</v>
      </c>
      <c r="AB248" s="0" t="n">
        <f aca="false">IF(Z248&lt;0,Z248+360,Z248+0)</f>
        <v>321.3</v>
      </c>
    </row>
    <row r="249" customFormat="false" ht="15.8" hidden="false" customHeight="false" outlineLevel="0" collapsed="false">
      <c r="A249" s="1" t="n">
        <v>8</v>
      </c>
      <c r="B249" s="1" t="n">
        <v>9</v>
      </c>
      <c r="C249" s="1" t="n">
        <v>0.4</v>
      </c>
      <c r="D249" s="1" t="n">
        <v>1.0298</v>
      </c>
      <c r="E249" s="1" t="n">
        <v>0.0114997</v>
      </c>
      <c r="F249" s="1" t="n">
        <v>2.66643E-005</v>
      </c>
      <c r="G249" s="1" t="s">
        <v>27</v>
      </c>
      <c r="H249" s="1" t="n">
        <v>81.6</v>
      </c>
      <c r="I249" s="1" t="n">
        <v>117.8</v>
      </c>
      <c r="J249" s="1" t="n">
        <v>0</v>
      </c>
      <c r="K249" s="1"/>
      <c r="L249" s="1" t="n">
        <v>0</v>
      </c>
      <c r="M249" s="1" t="n">
        <v>0</v>
      </c>
      <c r="N249" s="1" t="s">
        <v>217</v>
      </c>
      <c r="Z249" s="0" t="n">
        <f aca="false">I249-35</f>
        <v>82.8</v>
      </c>
      <c r="AB249" s="0" t="n">
        <f aca="false">IF(Z249&lt;0,Z249+360,Z249+0)</f>
        <v>82.8</v>
      </c>
    </row>
    <row r="250" customFormat="false" ht="15.8" hidden="false" customHeight="false" outlineLevel="0" collapsed="false">
      <c r="A250" s="1" t="n">
        <v>8</v>
      </c>
      <c r="B250" s="1" t="n">
        <v>14</v>
      </c>
      <c r="C250" s="1" t="n">
        <v>1.6</v>
      </c>
      <c r="D250" s="1" t="n">
        <v>1.0921</v>
      </c>
      <c r="E250" s="1" t="n">
        <v>0.0541904</v>
      </c>
      <c r="F250" s="1" t="n">
        <v>0.00014786</v>
      </c>
      <c r="G250" s="1" t="s">
        <v>27</v>
      </c>
      <c r="H250" s="1" t="n">
        <v>37.2</v>
      </c>
      <c r="I250" s="1" t="n">
        <v>60.1</v>
      </c>
      <c r="J250" s="1" t="n">
        <v>0</v>
      </c>
      <c r="K250" s="1"/>
      <c r="L250" s="1" t="n">
        <v>0</v>
      </c>
      <c r="M250" s="1" t="n">
        <v>0</v>
      </c>
      <c r="N250" s="1" t="s">
        <v>218</v>
      </c>
      <c r="Z250" s="0" t="n">
        <f aca="false">I250-35</f>
        <v>25.1</v>
      </c>
      <c r="AB250" s="0" t="n">
        <f aca="false">IF(Z250&lt;0,Z250+360,Z250+0)</f>
        <v>25.1</v>
      </c>
    </row>
    <row r="251" customFormat="false" ht="15.8" hidden="false" customHeight="false" outlineLevel="0" collapsed="false">
      <c r="A251" s="1" t="n">
        <v>8</v>
      </c>
      <c r="B251" s="1" t="n">
        <v>14</v>
      </c>
      <c r="C251" s="1" t="n">
        <v>0.8</v>
      </c>
      <c r="D251" s="1" t="n">
        <v>1.0076</v>
      </c>
      <c r="E251" s="1" t="n">
        <v>0.0265258</v>
      </c>
      <c r="F251" s="1" t="n">
        <v>7.23765E-005</v>
      </c>
      <c r="G251" s="1" t="s">
        <v>27</v>
      </c>
      <c r="H251" s="1" t="n">
        <v>28.6</v>
      </c>
      <c r="I251" s="1" t="n">
        <v>354.3</v>
      </c>
      <c r="J251" s="1" t="n">
        <v>0</v>
      </c>
      <c r="K251" s="1"/>
      <c r="L251" s="1" t="n">
        <v>0</v>
      </c>
      <c r="M251" s="1" t="n">
        <v>0</v>
      </c>
      <c r="N251" s="1" t="s">
        <v>218</v>
      </c>
      <c r="Z251" s="0" t="n">
        <f aca="false">I251-35</f>
        <v>319.3</v>
      </c>
      <c r="AB251" s="0" t="n">
        <f aca="false">IF(Z251&lt;0,Z251+360,Z251+0)</f>
        <v>319.3</v>
      </c>
    </row>
    <row r="252" customFormat="false" ht="15.8" hidden="false" customHeight="false" outlineLevel="0" collapsed="false">
      <c r="A252" s="1" t="n">
        <v>8</v>
      </c>
      <c r="B252" s="1" t="n">
        <v>13</v>
      </c>
      <c r="C252" s="1" t="n">
        <v>4.2</v>
      </c>
      <c r="D252" s="1" t="n">
        <v>1.1792</v>
      </c>
      <c r="E252" s="1" t="n">
        <v>0.142775</v>
      </c>
      <c r="F252" s="1" t="n">
        <v>0.000389568</v>
      </c>
      <c r="G252" s="1" t="s">
        <v>59</v>
      </c>
      <c r="H252" s="1" t="n">
        <v>43.2</v>
      </c>
      <c r="I252" s="1" t="n">
        <v>22.9</v>
      </c>
      <c r="J252" s="1" t="n">
        <v>0</v>
      </c>
      <c r="K252" s="1" t="n">
        <v>37.2</v>
      </c>
      <c r="L252" s="1" t="n">
        <v>0</v>
      </c>
      <c r="M252" s="1" t="n">
        <v>0</v>
      </c>
      <c r="N252" s="1" t="s">
        <v>219</v>
      </c>
      <c r="Z252" s="0" t="n">
        <f aca="false">I252-35</f>
        <v>-12.1</v>
      </c>
      <c r="AB252" s="0" t="n">
        <f aca="false">IF(Z252&lt;0,Z252+360,Z252+0)</f>
        <v>347.9</v>
      </c>
    </row>
    <row r="253" customFormat="false" ht="15.8" hidden="false" customHeight="false" outlineLevel="0" collapsed="false">
      <c r="A253" s="1" t="n">
        <v>8</v>
      </c>
      <c r="B253" s="1" t="n">
        <v>13</v>
      </c>
      <c r="C253" s="1" t="n">
        <v>1.8</v>
      </c>
      <c r="D253" s="1" t="n">
        <v>1.2176</v>
      </c>
      <c r="E253" s="1" t="n">
        <v>0.0601287</v>
      </c>
      <c r="F253" s="1" t="n">
        <v>0.000164063</v>
      </c>
      <c r="G253" s="1" t="s">
        <v>27</v>
      </c>
      <c r="H253" s="1" t="n">
        <v>102.3</v>
      </c>
      <c r="I253" s="1" t="n">
        <v>168.8</v>
      </c>
      <c r="J253" s="1" t="n">
        <v>-13.2</v>
      </c>
      <c r="K253" s="1"/>
      <c r="L253" s="1" t="n">
        <v>0</v>
      </c>
      <c r="M253" s="1" t="n">
        <v>0</v>
      </c>
      <c r="N253" s="1" t="s">
        <v>219</v>
      </c>
      <c r="Z253" s="0" t="n">
        <f aca="false">I253-35</f>
        <v>133.8</v>
      </c>
      <c r="AB253" s="0" t="n">
        <f aca="false">IF(Z253&lt;0,Z253+360,Z253+0)</f>
        <v>133.8</v>
      </c>
    </row>
    <row r="254" customFormat="false" ht="15.8" hidden="false" customHeight="false" outlineLevel="0" collapsed="false">
      <c r="A254" s="1" t="n">
        <v>8</v>
      </c>
      <c r="B254" s="1" t="n">
        <v>12</v>
      </c>
      <c r="C254" s="1" t="n">
        <v>1.1</v>
      </c>
      <c r="D254" s="1" t="n">
        <v>1.1328</v>
      </c>
      <c r="E254" s="1" t="n">
        <v>0.0366292</v>
      </c>
      <c r="F254" s="1" t="n">
        <v>9.9944E-005</v>
      </c>
      <c r="G254" s="1" t="s">
        <v>59</v>
      </c>
      <c r="H254" s="1" t="n">
        <v>86.8</v>
      </c>
      <c r="I254" s="1" t="n">
        <v>66.1</v>
      </c>
      <c r="J254" s="1" t="n">
        <v>0</v>
      </c>
      <c r="K254" s="1" t="n">
        <v>102.3</v>
      </c>
      <c r="L254" s="1" t="n">
        <v>0</v>
      </c>
      <c r="M254" s="1" t="n">
        <v>0</v>
      </c>
      <c r="N254" s="1" t="s">
        <v>220</v>
      </c>
      <c r="Z254" s="0" t="n">
        <f aca="false">I254-35</f>
        <v>31.1</v>
      </c>
      <c r="AB254" s="0" t="n">
        <f aca="false">IF(Z254&lt;0,Z254+360,Z254+0)</f>
        <v>31.1</v>
      </c>
    </row>
    <row r="255" customFormat="false" ht="15.8" hidden="false" customHeight="false" outlineLevel="0" collapsed="false">
      <c r="A255" s="1" t="n">
        <v>8</v>
      </c>
      <c r="B255" s="1" t="n">
        <v>12</v>
      </c>
      <c r="C255" s="1" t="n">
        <v>0.8</v>
      </c>
      <c r="D255" s="1" t="n">
        <v>1.1828</v>
      </c>
      <c r="E255" s="1" t="n">
        <v>0.0277293</v>
      </c>
      <c r="F255" s="1" t="n">
        <v>7.56604E-005</v>
      </c>
      <c r="G255" s="1" t="s">
        <v>27</v>
      </c>
      <c r="H255" s="1" t="n">
        <v>83.3</v>
      </c>
      <c r="I255" s="1" t="n">
        <v>294.5</v>
      </c>
      <c r="J255" s="1" t="n">
        <v>0</v>
      </c>
      <c r="K255" s="1"/>
      <c r="L255" s="1" t="n">
        <v>0</v>
      </c>
      <c r="M255" s="1" t="n">
        <v>0</v>
      </c>
      <c r="N255" s="1" t="s">
        <v>220</v>
      </c>
      <c r="Z255" s="0" t="n">
        <f aca="false">I255-35</f>
        <v>259.5</v>
      </c>
      <c r="AB255" s="0" t="n">
        <f aca="false">IF(Z255&lt;0,Z255+360,Z255+0)</f>
        <v>259.5</v>
      </c>
    </row>
    <row r="256" customFormat="false" ht="15.8" hidden="false" customHeight="false" outlineLevel="0" collapsed="false">
      <c r="A256" s="1" t="n">
        <v>8</v>
      </c>
      <c r="B256" s="1" t="n">
        <v>12</v>
      </c>
      <c r="C256" s="1" t="n">
        <v>0.7</v>
      </c>
      <c r="D256" s="1" t="n">
        <v>1.1489</v>
      </c>
      <c r="E256" s="1" t="n">
        <v>0.0233154</v>
      </c>
      <c r="F256" s="1" t="n">
        <v>6.3617E-005</v>
      </c>
      <c r="G256" s="1" t="s">
        <v>27</v>
      </c>
      <c r="H256" s="1" t="n">
        <v>77.8</v>
      </c>
      <c r="I256" s="1" t="n">
        <v>354.7</v>
      </c>
      <c r="J256" s="1" t="n">
        <v>0</v>
      </c>
      <c r="K256" s="1"/>
      <c r="L256" s="1" t="n">
        <v>0</v>
      </c>
      <c r="M256" s="1" t="n">
        <v>0</v>
      </c>
      <c r="N256" s="1" t="s">
        <v>220</v>
      </c>
      <c r="Z256" s="0" t="n">
        <f aca="false">I256-35</f>
        <v>319.7</v>
      </c>
      <c r="AB256" s="0" t="n">
        <f aca="false">IF(Z256&lt;0,Z256+360,Z256+0)</f>
        <v>319.7</v>
      </c>
    </row>
    <row r="257" customFormat="false" ht="15.8" hidden="false" customHeight="false" outlineLevel="0" collapsed="false">
      <c r="A257" s="1" t="n">
        <v>8</v>
      </c>
      <c r="B257" s="1" t="n">
        <v>11</v>
      </c>
      <c r="C257" s="1" t="n">
        <v>0.7</v>
      </c>
      <c r="D257" s="1" t="n">
        <v>1</v>
      </c>
      <c r="E257" s="1" t="n">
        <v>0.023159</v>
      </c>
      <c r="F257" s="1" t="n">
        <v>6.31901E-005</v>
      </c>
      <c r="G257" s="1" t="s">
        <v>59</v>
      </c>
      <c r="H257" s="1" t="n">
        <v>88.4</v>
      </c>
      <c r="I257" s="1" t="n">
        <v>351.3</v>
      </c>
      <c r="J257" s="1" t="n">
        <v>-77.7</v>
      </c>
      <c r="K257" s="1" t="n">
        <v>86.8</v>
      </c>
      <c r="L257" s="1" t="n">
        <v>0</v>
      </c>
      <c r="M257" s="1" t="n">
        <v>0</v>
      </c>
      <c r="N257" s="1" t="s">
        <v>221</v>
      </c>
      <c r="Z257" s="0" t="n">
        <f aca="false">I257-35</f>
        <v>316.3</v>
      </c>
      <c r="AB257" s="0" t="n">
        <f aca="false">IF(Z257&lt;0,Z257+360,Z257+0)</f>
        <v>316.3</v>
      </c>
    </row>
    <row r="258" customFormat="false" ht="15.8" hidden="false" customHeight="false" outlineLevel="0" collapsed="false">
      <c r="A258" s="1" t="n">
        <v>8</v>
      </c>
      <c r="B258" s="1" t="n">
        <v>12</v>
      </c>
      <c r="C258" s="1" t="n">
        <v>3.1</v>
      </c>
      <c r="D258" s="1" t="n">
        <v>1.068</v>
      </c>
      <c r="E258" s="1" t="n">
        <v>0.10494</v>
      </c>
      <c r="F258" s="1" t="n">
        <v>0.000286333</v>
      </c>
      <c r="G258" s="1" t="s">
        <v>27</v>
      </c>
      <c r="H258" s="1" t="n">
        <v>79.7</v>
      </c>
      <c r="I258" s="1" t="n">
        <v>50.8</v>
      </c>
      <c r="J258" s="1" t="n">
        <v>6.6</v>
      </c>
      <c r="K258" s="1"/>
      <c r="L258" s="1" t="n">
        <v>0</v>
      </c>
      <c r="M258" s="1" t="n">
        <v>0</v>
      </c>
      <c r="N258" s="1" t="s">
        <v>222</v>
      </c>
      <c r="Z258" s="0" t="n">
        <f aca="false">I258-35</f>
        <v>15.8</v>
      </c>
      <c r="AB258" s="0" t="n">
        <f aca="false">IF(Z258&lt;0,Z258+360,Z258+0)</f>
        <v>15.8</v>
      </c>
    </row>
    <row r="259" customFormat="false" ht="15.8" hidden="false" customHeight="false" outlineLevel="0" collapsed="false">
      <c r="A259" s="1" t="n">
        <v>8</v>
      </c>
      <c r="B259" s="1" t="n">
        <v>12</v>
      </c>
      <c r="C259" s="1" t="n">
        <v>0.8</v>
      </c>
      <c r="D259" s="1" t="n">
        <v>1.0072</v>
      </c>
      <c r="E259" s="1" t="n">
        <v>0.0257247</v>
      </c>
      <c r="F259" s="1" t="n">
        <v>7.01907E-005</v>
      </c>
      <c r="G259" s="1" t="s">
        <v>27</v>
      </c>
      <c r="H259" s="1" t="n">
        <v>52.4</v>
      </c>
      <c r="I259" s="1" t="n">
        <v>140.9</v>
      </c>
      <c r="J259" s="1" t="n">
        <v>0</v>
      </c>
      <c r="K259" s="1"/>
      <c r="L259" s="1" t="n">
        <v>0</v>
      </c>
      <c r="M259" s="1" t="n">
        <v>0</v>
      </c>
      <c r="N259" s="1" t="s">
        <v>222</v>
      </c>
      <c r="Z259" s="0" t="n">
        <f aca="false">I259-35</f>
        <v>105.9</v>
      </c>
      <c r="AB259" s="0" t="n">
        <f aca="false">IF(Z259&lt;0,Z259+360,Z259+0)</f>
        <v>105.9</v>
      </c>
    </row>
    <row r="260" customFormat="false" ht="15.8" hidden="false" customHeight="false" outlineLevel="0" collapsed="false">
      <c r="A260" s="1" t="n">
        <v>8</v>
      </c>
      <c r="B260" s="1" t="n">
        <v>11</v>
      </c>
      <c r="C260" s="1" t="n">
        <v>1.1</v>
      </c>
      <c r="D260" s="1" t="n">
        <v>1.3374</v>
      </c>
      <c r="E260" s="1" t="n">
        <v>0.0384617</v>
      </c>
      <c r="F260" s="1" t="n">
        <v>0.000104944</v>
      </c>
      <c r="G260" s="1" t="s">
        <v>59</v>
      </c>
      <c r="H260" s="1" t="n">
        <v>89</v>
      </c>
      <c r="I260" s="1" t="n">
        <v>132.4</v>
      </c>
      <c r="J260" s="1" t="n">
        <v>51.9</v>
      </c>
      <c r="K260" s="1" t="n">
        <v>79.7</v>
      </c>
      <c r="L260" s="1" t="n">
        <v>0</v>
      </c>
      <c r="M260" s="1" t="n">
        <v>0</v>
      </c>
      <c r="N260" s="1" t="s">
        <v>221</v>
      </c>
      <c r="Z260" s="0" t="n">
        <f aca="false">I260-35</f>
        <v>97.4</v>
      </c>
      <c r="AB260" s="0" t="n">
        <f aca="false">IF(Z260&lt;0,Z260+360,Z260+0)</f>
        <v>97.4</v>
      </c>
    </row>
    <row r="261" customFormat="false" ht="15.8" hidden="false" customHeight="false" outlineLevel="0" collapsed="false">
      <c r="A261" s="1" t="n">
        <v>8</v>
      </c>
      <c r="B261" s="1" t="n">
        <v>10</v>
      </c>
      <c r="C261" s="1" t="n">
        <v>2.8</v>
      </c>
      <c r="D261" s="1" t="n">
        <v>1.0759</v>
      </c>
      <c r="E261" s="1" t="n">
        <v>0.0945988</v>
      </c>
      <c r="F261" s="1" t="n">
        <v>0.000258116</v>
      </c>
      <c r="G261" s="1" t="s">
        <v>59</v>
      </c>
      <c r="H261" s="1" t="n">
        <v>9.9</v>
      </c>
      <c r="I261" s="1" t="n">
        <v>34.5</v>
      </c>
      <c r="J261" s="1" t="n">
        <v>7.4</v>
      </c>
      <c r="K261" s="1" t="n">
        <v>89</v>
      </c>
      <c r="L261" s="1" t="n">
        <v>0</v>
      </c>
      <c r="M261" s="1" t="n">
        <v>0</v>
      </c>
      <c r="N261" s="1" t="s">
        <v>223</v>
      </c>
      <c r="Z261" s="0" t="n">
        <f aca="false">I261-35</f>
        <v>-0.5</v>
      </c>
      <c r="AB261" s="0" t="n">
        <f aca="false">IF(Z261&lt;0,Z261+360,Z261+0)</f>
        <v>359.5</v>
      </c>
    </row>
    <row r="262" customFormat="false" ht="15.8" hidden="false" customHeight="false" outlineLevel="0" collapsed="false">
      <c r="A262" s="1" t="n">
        <v>8</v>
      </c>
      <c r="B262" s="1" t="n">
        <v>10</v>
      </c>
      <c r="C262" s="1" t="n">
        <v>1.3</v>
      </c>
      <c r="D262" s="1" t="n">
        <v>1.4894</v>
      </c>
      <c r="E262" s="1" t="n">
        <v>0.0443824</v>
      </c>
      <c r="F262" s="1" t="n">
        <v>0.000121099</v>
      </c>
      <c r="G262" s="1" t="s">
        <v>27</v>
      </c>
      <c r="H262" s="1" t="n">
        <v>107.9</v>
      </c>
      <c r="I262" s="1" t="n">
        <v>144.7</v>
      </c>
      <c r="J262" s="1" t="n">
        <v>0</v>
      </c>
      <c r="K262" s="1"/>
      <c r="L262" s="1" t="n">
        <v>0</v>
      </c>
      <c r="M262" s="1" t="n">
        <v>0</v>
      </c>
      <c r="N262" s="1" t="s">
        <v>223</v>
      </c>
      <c r="Z262" s="0" t="n">
        <f aca="false">I262-35</f>
        <v>109.7</v>
      </c>
      <c r="AB262" s="0" t="n">
        <f aca="false">IF(Z262&lt;0,Z262+360,Z262+0)</f>
        <v>109.7</v>
      </c>
    </row>
    <row r="263" customFormat="false" ht="15.8" hidden="false" customHeight="false" outlineLevel="0" collapsed="false">
      <c r="A263" s="1" t="n">
        <v>8</v>
      </c>
      <c r="B263" s="1" t="n">
        <v>9</v>
      </c>
      <c r="C263" s="1" t="n">
        <v>5</v>
      </c>
      <c r="D263" s="1" t="n">
        <v>1.1187</v>
      </c>
      <c r="E263" s="1" t="n">
        <v>0.170905</v>
      </c>
      <c r="F263" s="1" t="n">
        <v>0.000466319</v>
      </c>
      <c r="G263" s="1" t="s">
        <v>59</v>
      </c>
      <c r="H263" s="1" t="n">
        <v>17.2</v>
      </c>
      <c r="I263" s="1" t="n">
        <v>36</v>
      </c>
      <c r="J263" s="1" t="n">
        <v>17.2</v>
      </c>
      <c r="K263" s="1" t="n">
        <v>107.9</v>
      </c>
      <c r="L263" s="1" t="n">
        <v>0</v>
      </c>
      <c r="M263" s="1" t="n">
        <v>0</v>
      </c>
      <c r="N263" s="1" t="s">
        <v>217</v>
      </c>
      <c r="Z263" s="0" t="n">
        <f aca="false">I263-35</f>
        <v>1</v>
      </c>
      <c r="AB263" s="0" t="n">
        <f aca="false">IF(Z263&lt;0,Z263+360,Z263+0)</f>
        <v>1</v>
      </c>
    </row>
    <row r="264" customFormat="false" ht="15.8" hidden="false" customHeight="false" outlineLevel="0" collapsed="false">
      <c r="A264" s="1" t="n">
        <v>8</v>
      </c>
      <c r="B264" s="1" t="n">
        <v>8</v>
      </c>
      <c r="C264" s="1" t="n">
        <v>1.2</v>
      </c>
      <c r="D264" s="1" t="n">
        <v>1.0146</v>
      </c>
      <c r="E264" s="1" t="n">
        <v>0.0424987</v>
      </c>
      <c r="F264" s="1" t="n">
        <v>0.000115959</v>
      </c>
      <c r="G264" s="1" t="s">
        <v>59</v>
      </c>
      <c r="H264" s="1" t="n">
        <v>32.7</v>
      </c>
      <c r="I264" s="1" t="n">
        <v>36.1</v>
      </c>
      <c r="J264" s="1" t="n">
        <v>0</v>
      </c>
      <c r="K264" s="1" t="n">
        <v>81.6</v>
      </c>
      <c r="L264" s="1" t="n">
        <v>0</v>
      </c>
      <c r="M264" s="1" t="n">
        <v>0</v>
      </c>
      <c r="N264" s="1" t="s">
        <v>216</v>
      </c>
      <c r="Z264" s="0" t="n">
        <f aca="false">I264-35</f>
        <v>1.1</v>
      </c>
      <c r="AB264" s="0" t="n">
        <f aca="false">IF(Z264&lt;0,Z264+360,Z264+0)</f>
        <v>1.1</v>
      </c>
    </row>
    <row r="265" customFormat="false" ht="15.8" hidden="false" customHeight="false" outlineLevel="0" collapsed="false">
      <c r="A265" s="1" t="n">
        <v>8</v>
      </c>
      <c r="B265" s="1" t="n">
        <v>7</v>
      </c>
      <c r="C265" s="1" t="n">
        <v>2</v>
      </c>
      <c r="D265" s="1" t="n">
        <v>1.1137</v>
      </c>
      <c r="E265" s="1" t="n">
        <v>0.068112</v>
      </c>
      <c r="F265" s="1" t="n">
        <v>0.000185846</v>
      </c>
      <c r="G265" s="1" t="s">
        <v>59</v>
      </c>
      <c r="H265" s="1" t="n">
        <v>17.3</v>
      </c>
      <c r="I265" s="1" t="n">
        <v>5</v>
      </c>
      <c r="J265" s="1" t="n">
        <v>-10.7</v>
      </c>
      <c r="K265" s="1" t="n">
        <v>32.7</v>
      </c>
      <c r="L265" s="1" t="n">
        <v>0</v>
      </c>
      <c r="M265" s="1" t="n">
        <v>0</v>
      </c>
      <c r="N265" s="1" t="s">
        <v>224</v>
      </c>
      <c r="Z265" s="0" t="n">
        <f aca="false">I265-35</f>
        <v>-30</v>
      </c>
      <c r="AB265" s="0" t="n">
        <f aca="false">IF(Z265&lt;0,Z265+360,Z265+0)</f>
        <v>330</v>
      </c>
    </row>
    <row r="266" customFormat="false" ht="15.8" hidden="false" customHeight="false" outlineLevel="0" collapsed="false">
      <c r="A266" s="1" t="n">
        <v>8</v>
      </c>
      <c r="B266" s="1" t="n">
        <v>8</v>
      </c>
      <c r="C266" s="1" t="n">
        <v>3.1</v>
      </c>
      <c r="D266" s="1" t="n">
        <v>1.2003</v>
      </c>
      <c r="E266" s="1" t="n">
        <v>0.106617</v>
      </c>
      <c r="F266" s="1" t="n">
        <v>0.000290908</v>
      </c>
      <c r="G266" s="1" t="s">
        <v>27</v>
      </c>
      <c r="H266" s="1" t="n">
        <v>30.8</v>
      </c>
      <c r="I266" s="1" t="n">
        <v>356.6</v>
      </c>
      <c r="J266" s="1" t="n">
        <v>7.3</v>
      </c>
      <c r="K266" s="1"/>
      <c r="L266" s="1" t="n">
        <v>0</v>
      </c>
      <c r="M266" s="1" t="n">
        <v>0</v>
      </c>
      <c r="N266" s="1" t="s">
        <v>225</v>
      </c>
      <c r="Z266" s="0" t="n">
        <f aca="false">I266-35</f>
        <v>321.6</v>
      </c>
      <c r="AB266" s="0" t="n">
        <f aca="false">IF(Z266&lt;0,Z266+360,Z266+0)</f>
        <v>321.6</v>
      </c>
    </row>
    <row r="267" customFormat="false" ht="15.8" hidden="false" customHeight="false" outlineLevel="0" collapsed="false">
      <c r="A267" s="1" t="n">
        <v>8</v>
      </c>
      <c r="B267" s="1" t="n">
        <v>8</v>
      </c>
      <c r="C267" s="1" t="n">
        <v>0.7</v>
      </c>
      <c r="D267" s="1" t="n">
        <v>1.001</v>
      </c>
      <c r="E267" s="1" t="n">
        <v>0.0226779</v>
      </c>
      <c r="F267" s="1" t="n">
        <v>6.18774E-005</v>
      </c>
      <c r="G267" s="1" t="s">
        <v>27</v>
      </c>
      <c r="H267" s="1" t="n">
        <v>27.8</v>
      </c>
      <c r="I267" s="1" t="n">
        <v>329.2</v>
      </c>
      <c r="J267" s="1" t="n">
        <v>0</v>
      </c>
      <c r="K267" s="1"/>
      <c r="L267" s="1" t="n">
        <v>0</v>
      </c>
      <c r="M267" s="1" t="n">
        <v>0</v>
      </c>
      <c r="N267" s="1" t="s">
        <v>225</v>
      </c>
      <c r="Z267" s="0" t="n">
        <f aca="false">I267-35</f>
        <v>294.2</v>
      </c>
      <c r="AB267" s="0" t="n">
        <f aca="false">IF(Z267&lt;0,Z267+360,Z267+0)</f>
        <v>294.2</v>
      </c>
    </row>
    <row r="268" customFormat="false" ht="15.8" hidden="false" customHeight="false" outlineLevel="0" collapsed="false">
      <c r="A268" s="1" t="n">
        <v>8</v>
      </c>
      <c r="B268" s="1" t="n">
        <v>8</v>
      </c>
      <c r="C268" s="1" t="n">
        <v>1.2</v>
      </c>
      <c r="D268" s="1" t="n">
        <v>1.3464</v>
      </c>
      <c r="E268" s="1" t="n">
        <v>0.0404513</v>
      </c>
      <c r="F268" s="1" t="n">
        <v>0.000110373</v>
      </c>
      <c r="G268" s="1" t="s">
        <v>27</v>
      </c>
      <c r="H268" s="1" t="n">
        <v>92.9</v>
      </c>
      <c r="I268" s="1" t="n">
        <v>198.8</v>
      </c>
      <c r="J268" s="1" t="n">
        <v>48.9</v>
      </c>
      <c r="K268" s="1"/>
      <c r="L268" s="1" t="n">
        <v>0</v>
      </c>
      <c r="M268" s="1" t="n">
        <v>0</v>
      </c>
      <c r="N268" s="1" t="s">
        <v>225</v>
      </c>
      <c r="Z268" s="0" t="n">
        <f aca="false">I268-35</f>
        <v>163.8</v>
      </c>
      <c r="AB268" s="0" t="n">
        <f aca="false">IF(Z268&lt;0,Z268+360,Z268+0)</f>
        <v>163.8</v>
      </c>
    </row>
    <row r="269" customFormat="false" ht="15.8" hidden="false" customHeight="false" outlineLevel="0" collapsed="false">
      <c r="A269" s="1" t="n">
        <v>8</v>
      </c>
      <c r="B269" s="1" t="n">
        <v>7</v>
      </c>
      <c r="C269" s="1" t="n">
        <v>4.3</v>
      </c>
      <c r="D269" s="1" t="n">
        <v>1.4958</v>
      </c>
      <c r="E269" s="1" t="n">
        <v>0.145872</v>
      </c>
      <c r="F269" s="1" t="n">
        <v>0.000398017</v>
      </c>
      <c r="G269" s="1" t="s">
        <v>59</v>
      </c>
      <c r="H269" s="1" t="n">
        <v>33.2</v>
      </c>
      <c r="I269" s="1" t="n">
        <v>332.1</v>
      </c>
      <c r="J269" s="1" t="n">
        <v>27.7</v>
      </c>
      <c r="K269" s="1" t="n">
        <v>92.9</v>
      </c>
      <c r="L269" s="1" t="n">
        <v>0</v>
      </c>
      <c r="M269" s="1" t="n">
        <v>0</v>
      </c>
      <c r="N269" s="1" t="s">
        <v>224</v>
      </c>
      <c r="Z269" s="0" t="n">
        <f aca="false">I269-35</f>
        <v>297.1</v>
      </c>
      <c r="AB269" s="0" t="n">
        <f aca="false">IF(Z269&lt;0,Z269+360,Z269+0)</f>
        <v>297.1</v>
      </c>
    </row>
    <row r="270" customFormat="false" ht="15.8" hidden="false" customHeight="false" outlineLevel="0" collapsed="false">
      <c r="A270" s="1" t="n">
        <v>8</v>
      </c>
      <c r="B270" s="1" t="n">
        <v>6</v>
      </c>
      <c r="C270" s="1" t="n">
        <v>1.1</v>
      </c>
      <c r="D270" s="1" t="n">
        <v>1.0112</v>
      </c>
      <c r="E270" s="1" t="n">
        <v>0.0375155</v>
      </c>
      <c r="F270" s="1" t="n">
        <v>0.000102362</v>
      </c>
      <c r="G270" s="1" t="s">
        <v>59</v>
      </c>
      <c r="H270" s="1" t="n">
        <v>18.9</v>
      </c>
      <c r="I270" s="1" t="n">
        <v>351.3</v>
      </c>
      <c r="J270" s="1" t="n">
        <v>0</v>
      </c>
      <c r="K270" s="1" t="n">
        <v>33.2</v>
      </c>
      <c r="L270" s="1" t="n">
        <v>0</v>
      </c>
      <c r="M270" s="1" t="n">
        <v>0</v>
      </c>
      <c r="N270" s="1" t="s">
        <v>226</v>
      </c>
      <c r="Z270" s="0" t="n">
        <f aca="false">I270-35</f>
        <v>316.3</v>
      </c>
      <c r="AB270" s="0" t="n">
        <f aca="false">IF(Z270&lt;0,Z270+360,Z270+0)</f>
        <v>316.3</v>
      </c>
    </row>
    <row r="271" customFormat="false" ht="15.8" hidden="false" customHeight="false" outlineLevel="0" collapsed="false">
      <c r="A271" s="1" t="n">
        <v>8</v>
      </c>
      <c r="B271" s="1" t="n">
        <v>6</v>
      </c>
      <c r="C271" s="1" t="n">
        <v>0.8</v>
      </c>
      <c r="D271" s="1" t="n">
        <v>1</v>
      </c>
      <c r="E271" s="1" t="n">
        <v>0.0289892</v>
      </c>
      <c r="F271" s="1" t="n">
        <v>7.90981E-005</v>
      </c>
      <c r="G271" s="1" t="s">
        <v>27</v>
      </c>
      <c r="H271" s="1" t="n">
        <v>52.3</v>
      </c>
      <c r="I271" s="1" t="n">
        <v>38.3</v>
      </c>
      <c r="J271" s="1" t="n">
        <v>-51.3</v>
      </c>
      <c r="K271" s="1"/>
      <c r="L271" s="1" t="n">
        <v>0</v>
      </c>
      <c r="M271" s="1" t="n">
        <v>0</v>
      </c>
      <c r="N271" s="1" t="s">
        <v>226</v>
      </c>
      <c r="Z271" s="0" t="n">
        <f aca="false">I271-35</f>
        <v>3.3</v>
      </c>
      <c r="AB271" s="0" t="n">
        <f aca="false">IF(Z271&lt;0,Z271+360,Z271+0)</f>
        <v>3.3</v>
      </c>
    </row>
    <row r="272" customFormat="false" ht="15.8" hidden="false" customHeight="false" outlineLevel="0" collapsed="false">
      <c r="A272" s="1" t="n">
        <v>8</v>
      </c>
      <c r="B272" s="1" t="n">
        <v>5</v>
      </c>
      <c r="C272" s="1" t="n">
        <v>4.4</v>
      </c>
      <c r="D272" s="1" t="n">
        <v>1.1081</v>
      </c>
      <c r="E272" s="1" t="n">
        <v>0.14956</v>
      </c>
      <c r="F272" s="1" t="n">
        <v>0.000408079</v>
      </c>
      <c r="G272" s="1" t="s">
        <v>59</v>
      </c>
      <c r="H272" s="1" t="n">
        <v>15.2</v>
      </c>
      <c r="I272" s="1" t="n">
        <v>9.6</v>
      </c>
      <c r="J272" s="1" t="n">
        <v>-4.8</v>
      </c>
      <c r="K272" s="1" t="n">
        <v>52.3</v>
      </c>
      <c r="L272" s="1" t="n">
        <v>0</v>
      </c>
      <c r="M272" s="1" t="n">
        <v>0</v>
      </c>
      <c r="N272" s="1" t="s">
        <v>227</v>
      </c>
      <c r="Z272" s="0" t="n">
        <f aca="false">I272-35</f>
        <v>-25.4</v>
      </c>
      <c r="AB272" s="0" t="n">
        <f aca="false">IF(Z272&lt;0,Z272+360,Z272+0)</f>
        <v>334.6</v>
      </c>
    </row>
    <row r="273" customFormat="false" ht="15.8" hidden="false" customHeight="false" outlineLevel="0" collapsed="false">
      <c r="A273" s="1" t="n">
        <v>8</v>
      </c>
      <c r="B273" s="1" t="n">
        <v>6</v>
      </c>
      <c r="C273" s="1" t="n">
        <v>0.8</v>
      </c>
      <c r="D273" s="1" t="n">
        <v>1.6861</v>
      </c>
      <c r="E273" s="1" t="n">
        <v>0.0270599</v>
      </c>
      <c r="F273" s="1" t="n">
        <v>7.38339E-005</v>
      </c>
      <c r="G273" s="1" t="s">
        <v>27</v>
      </c>
      <c r="H273" s="1" t="n">
        <v>96.4</v>
      </c>
      <c r="I273" s="1" t="n">
        <v>332.6</v>
      </c>
      <c r="J273" s="1" t="n">
        <v>-44.8</v>
      </c>
      <c r="K273" s="1"/>
      <c r="L273" s="1" t="n">
        <v>0</v>
      </c>
      <c r="M273" s="1" t="n">
        <v>0</v>
      </c>
      <c r="N273" s="1" t="s">
        <v>228</v>
      </c>
      <c r="Z273" s="0" t="n">
        <f aca="false">I273-35</f>
        <v>297.6</v>
      </c>
      <c r="AB273" s="0" t="n">
        <f aca="false">IF(Z273&lt;0,Z273+360,Z273+0)</f>
        <v>297.6</v>
      </c>
    </row>
    <row r="274" customFormat="false" ht="15.8" hidden="false" customHeight="false" outlineLevel="0" collapsed="false">
      <c r="A274" s="1" t="n">
        <v>8</v>
      </c>
      <c r="B274" s="1" t="n">
        <v>7</v>
      </c>
      <c r="C274" s="1" t="n">
        <v>6.2</v>
      </c>
      <c r="D274" s="1" t="n">
        <v>1.3759</v>
      </c>
      <c r="E274" s="1" t="n">
        <v>0.213664</v>
      </c>
      <c r="F274" s="1" t="n">
        <v>0.00058299</v>
      </c>
      <c r="G274" s="1" t="s">
        <v>27</v>
      </c>
      <c r="H274" s="1" t="n">
        <v>14.2</v>
      </c>
      <c r="I274" s="1" t="n">
        <v>261</v>
      </c>
      <c r="J274" s="1" t="n">
        <v>12.6</v>
      </c>
      <c r="K274" s="1"/>
      <c r="L274" s="1" t="n">
        <v>0</v>
      </c>
      <c r="M274" s="1" t="n">
        <v>0</v>
      </c>
      <c r="N274" s="1" t="s">
        <v>229</v>
      </c>
      <c r="Z274" s="0" t="n">
        <f aca="false">I274-35</f>
        <v>226</v>
      </c>
      <c r="AB274" s="0" t="n">
        <f aca="false">IF(Z274&lt;0,Z274+360,Z274+0)</f>
        <v>226</v>
      </c>
    </row>
    <row r="275" customFormat="false" ht="15.8" hidden="false" customHeight="false" outlineLevel="0" collapsed="false">
      <c r="A275" s="1" t="n">
        <v>8</v>
      </c>
      <c r="B275" s="1" t="n">
        <v>7</v>
      </c>
      <c r="C275" s="1" t="n">
        <v>0.3</v>
      </c>
      <c r="D275" s="1" t="n">
        <v>1.0014</v>
      </c>
      <c r="E275" s="1" t="n">
        <v>0.00977214</v>
      </c>
      <c r="F275" s="1" t="n">
        <v>2.66636E-005</v>
      </c>
      <c r="G275" s="1" t="s">
        <v>27</v>
      </c>
      <c r="H275" s="1" t="n">
        <v>52.9</v>
      </c>
      <c r="I275" s="1" t="n">
        <v>327.5</v>
      </c>
      <c r="J275" s="1" t="n">
        <v>0</v>
      </c>
      <c r="K275" s="1"/>
      <c r="L275" s="1" t="n">
        <v>0</v>
      </c>
      <c r="M275" s="1" t="n">
        <v>0</v>
      </c>
      <c r="N275" s="1" t="s">
        <v>229</v>
      </c>
      <c r="Z275" s="0" t="n">
        <f aca="false">I275-35</f>
        <v>292.5</v>
      </c>
      <c r="AB275" s="0" t="n">
        <f aca="false">IF(Z275&lt;0,Z275+360,Z275+0)</f>
        <v>292.5</v>
      </c>
    </row>
    <row r="276" customFormat="false" ht="15.8" hidden="false" customHeight="false" outlineLevel="0" collapsed="false">
      <c r="A276" s="1" t="n">
        <v>8</v>
      </c>
      <c r="B276" s="1" t="n">
        <v>6</v>
      </c>
      <c r="C276" s="1" t="n">
        <v>4.5</v>
      </c>
      <c r="D276" s="1" t="n">
        <v>1.3825</v>
      </c>
      <c r="E276" s="1" t="n">
        <v>0.156001</v>
      </c>
      <c r="F276" s="1" t="n">
        <v>0.000425654</v>
      </c>
      <c r="G276" s="1" t="s">
        <v>59</v>
      </c>
      <c r="H276" s="1" t="n">
        <v>21.4</v>
      </c>
      <c r="I276" s="1" t="n">
        <v>275.6</v>
      </c>
      <c r="J276" s="1" t="n">
        <v>11.6</v>
      </c>
      <c r="K276" s="1" t="n">
        <v>52.9</v>
      </c>
      <c r="L276" s="1" t="n">
        <v>0</v>
      </c>
      <c r="M276" s="1" t="n">
        <v>0</v>
      </c>
      <c r="N276" s="1" t="s">
        <v>228</v>
      </c>
      <c r="Z276" s="0" t="n">
        <f aca="false">I276-35</f>
        <v>240.6</v>
      </c>
      <c r="AB276" s="0" t="n">
        <f aca="false">IF(Z276&lt;0,Z276+360,Z276+0)</f>
        <v>240.6</v>
      </c>
    </row>
    <row r="277" customFormat="false" ht="15.8" hidden="false" customHeight="false" outlineLevel="0" collapsed="false">
      <c r="A277" s="1" t="n">
        <v>8</v>
      </c>
      <c r="B277" s="1" t="n">
        <v>5</v>
      </c>
      <c r="C277" s="1" t="n">
        <v>2.1</v>
      </c>
      <c r="D277" s="1" t="n">
        <v>1.1975</v>
      </c>
      <c r="E277" s="1" t="n">
        <v>0.0726769</v>
      </c>
      <c r="F277" s="1" t="n">
        <v>0.000198302</v>
      </c>
      <c r="G277" s="1" t="s">
        <v>59</v>
      </c>
      <c r="H277" s="1" t="n">
        <v>100.4</v>
      </c>
      <c r="I277" s="1" t="n">
        <v>255.9</v>
      </c>
      <c r="J277" s="1" t="n">
        <v>21.9</v>
      </c>
      <c r="K277" s="1" t="n">
        <v>96.4</v>
      </c>
      <c r="L277" s="1" t="n">
        <v>0</v>
      </c>
      <c r="M277" s="1" t="n">
        <v>0</v>
      </c>
      <c r="N277" s="1" t="s">
        <v>227</v>
      </c>
      <c r="Z277" s="0" t="n">
        <f aca="false">I277-35</f>
        <v>220.9</v>
      </c>
      <c r="AB277" s="0" t="n">
        <f aca="false">IF(Z277&lt;0,Z277+360,Z277+0)</f>
        <v>220.9</v>
      </c>
    </row>
    <row r="278" customFormat="false" ht="15.8" hidden="false" customHeight="false" outlineLevel="0" collapsed="false">
      <c r="A278" s="1" t="n">
        <v>8</v>
      </c>
      <c r="B278" s="1" t="n">
        <v>5</v>
      </c>
      <c r="C278" s="1" t="n">
        <v>1.1</v>
      </c>
      <c r="D278" s="1" t="n">
        <v>1.1314</v>
      </c>
      <c r="E278" s="1" t="n">
        <v>0.0377095</v>
      </c>
      <c r="F278" s="1" t="n">
        <v>0.000102892</v>
      </c>
      <c r="G278" s="1" t="s">
        <v>27</v>
      </c>
      <c r="H278" s="1" t="n">
        <v>26</v>
      </c>
      <c r="I278" s="1" t="n">
        <v>336.8</v>
      </c>
      <c r="J278" s="1" t="n">
        <v>19.8</v>
      </c>
      <c r="K278" s="1"/>
      <c r="L278" s="1" t="n">
        <v>0</v>
      </c>
      <c r="M278" s="1" t="n">
        <v>0</v>
      </c>
      <c r="N278" s="1" t="s">
        <v>227</v>
      </c>
      <c r="Z278" s="0" t="n">
        <f aca="false">I278-35</f>
        <v>301.8</v>
      </c>
      <c r="AB278" s="0" t="n">
        <f aca="false">IF(Z278&lt;0,Z278+360,Z278+0)</f>
        <v>301.8</v>
      </c>
    </row>
    <row r="279" customFormat="false" ht="15.8" hidden="false" customHeight="false" outlineLevel="0" collapsed="false">
      <c r="A279" s="1" t="n">
        <v>8</v>
      </c>
      <c r="B279" s="1" t="n">
        <v>4</v>
      </c>
      <c r="C279" s="1" t="n">
        <v>2.9</v>
      </c>
      <c r="D279" s="1" t="n">
        <v>1.1262</v>
      </c>
      <c r="E279" s="1" t="n">
        <v>0.101116</v>
      </c>
      <c r="F279" s="1" t="n">
        <v>0.000275898</v>
      </c>
      <c r="G279" s="1" t="s">
        <v>59</v>
      </c>
      <c r="H279" s="1" t="n">
        <v>18.3</v>
      </c>
      <c r="I279" s="1" t="n">
        <v>0.2</v>
      </c>
      <c r="J279" s="1" t="n">
        <v>7.2</v>
      </c>
      <c r="K279" s="1" t="n">
        <v>100.4</v>
      </c>
      <c r="L279" s="1" t="n">
        <v>0</v>
      </c>
      <c r="M279" s="1" t="n">
        <v>0</v>
      </c>
      <c r="N279" s="1" t="s">
        <v>230</v>
      </c>
      <c r="Z279" s="0" t="n">
        <f aca="false">I279-35</f>
        <v>-34.8</v>
      </c>
      <c r="AB279" s="0" t="n">
        <f aca="false">IF(Z279&lt;0,Z279+360,Z279+0)</f>
        <v>325.2</v>
      </c>
    </row>
    <row r="280" customFormat="false" ht="15.8" hidden="false" customHeight="false" outlineLevel="0" collapsed="false">
      <c r="A280" s="1" t="n">
        <v>8</v>
      </c>
      <c r="B280" s="1" t="n">
        <v>7</v>
      </c>
      <c r="C280" s="1" t="n">
        <v>1.1</v>
      </c>
      <c r="D280" s="1" t="n">
        <v>1.1503</v>
      </c>
      <c r="E280" s="1" t="n">
        <v>0.03623</v>
      </c>
      <c r="F280" s="1" t="n">
        <v>9.88547E-005</v>
      </c>
      <c r="G280" s="1" t="s">
        <v>27</v>
      </c>
      <c r="H280" s="1" t="n">
        <v>66.7</v>
      </c>
      <c r="I280" s="1" t="n">
        <v>338.3</v>
      </c>
      <c r="J280" s="1" t="n">
        <v>-21.1</v>
      </c>
      <c r="K280" s="1"/>
      <c r="L280" s="1" t="n">
        <v>0</v>
      </c>
      <c r="M280" s="1" t="n">
        <v>0</v>
      </c>
      <c r="N280" s="1" t="s">
        <v>231</v>
      </c>
      <c r="Z280" s="0" t="n">
        <f aca="false">I280-35</f>
        <v>303.3</v>
      </c>
      <c r="AB280" s="0" t="n">
        <f aca="false">IF(Z280&lt;0,Z280+360,Z280+0)</f>
        <v>303.3</v>
      </c>
    </row>
    <row r="281" customFormat="false" ht="15.8" hidden="false" customHeight="false" outlineLevel="0" collapsed="false">
      <c r="A281" s="1" t="n">
        <v>8</v>
      </c>
      <c r="B281" s="1" t="n">
        <v>7</v>
      </c>
      <c r="C281" s="1" t="n">
        <v>2.7</v>
      </c>
      <c r="D281" s="1" t="n">
        <v>1.2506</v>
      </c>
      <c r="E281" s="1" t="n">
        <v>0.0911394</v>
      </c>
      <c r="F281" s="1" t="n">
        <v>0.000248677</v>
      </c>
      <c r="G281" s="1" t="s">
        <v>27</v>
      </c>
      <c r="H281" s="1" t="n">
        <v>51.3</v>
      </c>
      <c r="I281" s="1" t="n">
        <v>22.3</v>
      </c>
      <c r="J281" s="1" t="n">
        <v>8.9</v>
      </c>
      <c r="K281" s="1"/>
      <c r="L281" s="1" t="n">
        <v>0</v>
      </c>
      <c r="M281" s="1" t="n">
        <v>0</v>
      </c>
      <c r="N281" s="1" t="s">
        <v>231</v>
      </c>
      <c r="Z281" s="0" t="n">
        <f aca="false">I281-35</f>
        <v>-12.7</v>
      </c>
      <c r="AB281" s="0" t="n">
        <f aca="false">IF(Z281&lt;0,Z281+360,Z281+0)</f>
        <v>347.3</v>
      </c>
    </row>
    <row r="282" customFormat="false" ht="15.8" hidden="false" customHeight="false" outlineLevel="0" collapsed="false">
      <c r="A282" s="1" t="n">
        <v>8</v>
      </c>
      <c r="B282" s="1" t="n">
        <v>6</v>
      </c>
      <c r="C282" s="1" t="n">
        <v>5.6</v>
      </c>
      <c r="D282" s="1" t="n">
        <v>1.5371</v>
      </c>
      <c r="E282" s="1" t="n">
        <v>0.192404</v>
      </c>
      <c r="F282" s="1" t="n">
        <v>0.000524982</v>
      </c>
      <c r="G282" s="1" t="s">
        <v>59</v>
      </c>
      <c r="H282" s="1" t="n">
        <v>80.7</v>
      </c>
      <c r="I282" s="1" t="n">
        <v>53.5</v>
      </c>
      <c r="J282" s="1" t="n">
        <v>-32.8</v>
      </c>
      <c r="K282" s="1" t="n">
        <v>66.7</v>
      </c>
      <c r="L282" s="1" t="n">
        <v>0</v>
      </c>
      <c r="M282" s="1" t="n">
        <v>0</v>
      </c>
      <c r="N282" s="1" t="s">
        <v>232</v>
      </c>
      <c r="Z282" s="0" t="n">
        <f aca="false">I282-35</f>
        <v>18.5</v>
      </c>
      <c r="AB282" s="0" t="n">
        <f aca="false">IF(Z282&lt;0,Z282+360,Z282+0)</f>
        <v>18.5</v>
      </c>
    </row>
    <row r="283" customFormat="false" ht="15.8" hidden="false" customHeight="false" outlineLevel="0" collapsed="false">
      <c r="A283" s="1" t="n">
        <v>8</v>
      </c>
      <c r="B283" s="1" t="n">
        <v>6</v>
      </c>
      <c r="C283" s="1" t="n">
        <v>1.9</v>
      </c>
      <c r="D283" s="1" t="n">
        <v>1.1706</v>
      </c>
      <c r="E283" s="1" t="n">
        <v>0.0646585</v>
      </c>
      <c r="F283" s="1" t="n">
        <v>0.000176423</v>
      </c>
      <c r="G283" s="1" t="s">
        <v>27</v>
      </c>
      <c r="H283" s="1" t="n">
        <v>44</v>
      </c>
      <c r="I283" s="1" t="n">
        <v>291.9</v>
      </c>
      <c r="J283" s="1" t="n">
        <v>-11.8</v>
      </c>
      <c r="K283" s="1"/>
      <c r="L283" s="1" t="n">
        <v>0</v>
      </c>
      <c r="M283" s="1" t="n">
        <v>0</v>
      </c>
      <c r="N283" s="1" t="s">
        <v>232</v>
      </c>
      <c r="Z283" s="0" t="n">
        <f aca="false">I283-35</f>
        <v>256.9</v>
      </c>
      <c r="AB283" s="0" t="n">
        <f aca="false">IF(Z283&lt;0,Z283+360,Z283+0)</f>
        <v>256.9</v>
      </c>
    </row>
    <row r="284" customFormat="false" ht="15.8" hidden="false" customHeight="false" outlineLevel="0" collapsed="false">
      <c r="A284" s="1" t="n">
        <v>8</v>
      </c>
      <c r="B284" s="1" t="n">
        <v>5</v>
      </c>
      <c r="C284" s="1" t="n">
        <v>1.6</v>
      </c>
      <c r="D284" s="1" t="n">
        <v>1.0269</v>
      </c>
      <c r="E284" s="1" t="n">
        <v>0.0556934</v>
      </c>
      <c r="F284" s="1" t="n">
        <v>0.000151961</v>
      </c>
      <c r="G284" s="1" t="s">
        <v>59</v>
      </c>
      <c r="H284" s="1" t="n">
        <v>64</v>
      </c>
      <c r="I284" s="1" t="n">
        <v>334.7</v>
      </c>
      <c r="J284" s="1" t="n">
        <v>0</v>
      </c>
      <c r="K284" s="1" t="n">
        <v>80.7</v>
      </c>
      <c r="L284" s="1" t="n">
        <v>0</v>
      </c>
      <c r="M284" s="1" t="n">
        <v>0</v>
      </c>
      <c r="N284" s="1" t="s">
        <v>233</v>
      </c>
      <c r="Z284" s="0" t="n">
        <f aca="false">I284-35</f>
        <v>299.7</v>
      </c>
      <c r="AB284" s="0" t="n">
        <f aca="false">IF(Z284&lt;0,Z284+360,Z284+0)</f>
        <v>299.7</v>
      </c>
    </row>
    <row r="285" customFormat="false" ht="15.8" hidden="false" customHeight="false" outlineLevel="0" collapsed="false">
      <c r="A285" s="1" t="n">
        <v>8</v>
      </c>
      <c r="B285" s="1" t="n">
        <v>5</v>
      </c>
      <c r="C285" s="1" t="n">
        <v>0.7</v>
      </c>
      <c r="D285" s="1" t="n">
        <v>1.1846</v>
      </c>
      <c r="E285" s="1" t="n">
        <v>0.0256198</v>
      </c>
      <c r="F285" s="1" t="n">
        <v>6.99045E-005</v>
      </c>
      <c r="G285" s="1" t="s">
        <v>27</v>
      </c>
      <c r="H285" s="1" t="n">
        <v>105</v>
      </c>
      <c r="I285" s="1" t="n">
        <v>185.8</v>
      </c>
      <c r="J285" s="1" t="n">
        <v>31.5</v>
      </c>
      <c r="K285" s="1"/>
      <c r="L285" s="1" t="n">
        <v>0</v>
      </c>
      <c r="M285" s="1" t="n">
        <v>0</v>
      </c>
      <c r="N285" s="1" t="s">
        <v>233</v>
      </c>
      <c r="Z285" s="0" t="n">
        <f aca="false">I285-35</f>
        <v>150.8</v>
      </c>
      <c r="AB285" s="0" t="n">
        <f aca="false">IF(Z285&lt;0,Z285+360,Z285+0)</f>
        <v>150.8</v>
      </c>
    </row>
    <row r="286" customFormat="false" ht="15.8" hidden="false" customHeight="false" outlineLevel="0" collapsed="false">
      <c r="A286" s="1" t="n">
        <v>8</v>
      </c>
      <c r="B286" s="1" t="n">
        <v>4</v>
      </c>
      <c r="C286" s="1" t="n">
        <v>6</v>
      </c>
      <c r="D286" s="1" t="n">
        <v>1.5287</v>
      </c>
      <c r="E286" s="1" t="n">
        <v>0.204139</v>
      </c>
      <c r="F286" s="1" t="n">
        <v>0.000557001</v>
      </c>
      <c r="G286" s="1" t="s">
        <v>59</v>
      </c>
      <c r="H286" s="1" t="n">
        <v>71.6</v>
      </c>
      <c r="I286" s="1" t="n">
        <v>275.2</v>
      </c>
      <c r="J286" s="1" t="n">
        <v>-30.6</v>
      </c>
      <c r="K286" s="1" t="n">
        <v>105</v>
      </c>
      <c r="L286" s="1" t="n">
        <v>0</v>
      </c>
      <c r="M286" s="1" t="n">
        <v>0</v>
      </c>
      <c r="N286" s="1" t="s">
        <v>230</v>
      </c>
      <c r="Z286" s="0" t="n">
        <f aca="false">I286-35</f>
        <v>240.2</v>
      </c>
      <c r="AB286" s="0" t="n">
        <f aca="false">IF(Z286&lt;0,Z286+360,Z286+0)</f>
        <v>240.2</v>
      </c>
    </row>
    <row r="287" customFormat="false" ht="15.8" hidden="false" customHeight="false" outlineLevel="0" collapsed="false">
      <c r="A287" s="1" t="n">
        <v>8</v>
      </c>
      <c r="B287" s="1" t="n">
        <v>3</v>
      </c>
      <c r="C287" s="1" t="n">
        <v>4.2</v>
      </c>
      <c r="D287" s="1" t="n">
        <v>1.2245</v>
      </c>
      <c r="E287" s="1" t="n">
        <v>0.142623</v>
      </c>
      <c r="F287" s="1" t="n">
        <v>0.000389153</v>
      </c>
      <c r="G287" s="1" t="s">
        <v>59</v>
      </c>
      <c r="H287" s="1" t="n">
        <v>35.3</v>
      </c>
      <c r="I287" s="1" t="n">
        <v>347.1</v>
      </c>
      <c r="J287" s="1" t="n">
        <v>-5.6</v>
      </c>
      <c r="K287" s="1" t="n">
        <v>71.6</v>
      </c>
      <c r="L287" s="1" t="n">
        <v>0</v>
      </c>
      <c r="M287" s="1" t="n">
        <v>0</v>
      </c>
      <c r="N287" s="1" t="s">
        <v>234</v>
      </c>
      <c r="Z287" s="0" t="n">
        <f aca="false">I287-35</f>
        <v>312.1</v>
      </c>
      <c r="AB287" s="0" t="n">
        <f aca="false">IF(Z287&lt;0,Z287+360,Z287+0)</f>
        <v>312.1</v>
      </c>
    </row>
    <row r="288" customFormat="false" ht="15.8" hidden="false" customHeight="false" outlineLevel="0" collapsed="false">
      <c r="A288" s="1" t="n">
        <v>8</v>
      </c>
      <c r="B288" s="1" t="n">
        <v>3</v>
      </c>
      <c r="C288" s="1" t="n">
        <v>1.8</v>
      </c>
      <c r="D288" s="1" t="n">
        <v>1.2871</v>
      </c>
      <c r="E288" s="1" t="n">
        <v>0.0628408</v>
      </c>
      <c r="F288" s="1" t="n">
        <v>0.000171463</v>
      </c>
      <c r="G288" s="1" t="s">
        <v>27</v>
      </c>
      <c r="H288" s="1" t="n">
        <v>63</v>
      </c>
      <c r="I288" s="1" t="n">
        <v>254</v>
      </c>
      <c r="J288" s="1" t="n">
        <v>13.4</v>
      </c>
      <c r="K288" s="1"/>
      <c r="L288" s="1" t="n">
        <v>0</v>
      </c>
      <c r="M288" s="1" t="n">
        <v>0</v>
      </c>
      <c r="N288" s="1" t="s">
        <v>234</v>
      </c>
      <c r="Z288" s="0" t="n">
        <f aca="false">I288-35</f>
        <v>219</v>
      </c>
      <c r="AB288" s="0" t="n">
        <f aca="false">IF(Z288&lt;0,Z288+360,Z288+0)</f>
        <v>219</v>
      </c>
    </row>
    <row r="289" customFormat="false" ht="15.8" hidden="false" customHeight="false" outlineLevel="0" collapsed="false">
      <c r="A289" s="1" t="n">
        <v>8</v>
      </c>
      <c r="B289" s="1" t="n">
        <v>2</v>
      </c>
      <c r="C289" s="1" t="n">
        <v>1.3</v>
      </c>
      <c r="D289" s="1" t="n">
        <v>1.1158</v>
      </c>
      <c r="E289" s="1" t="n">
        <v>0.0441902</v>
      </c>
      <c r="F289" s="1" t="n">
        <v>0.000120575</v>
      </c>
      <c r="G289" s="1" t="s">
        <v>59</v>
      </c>
      <c r="H289" s="1" t="n">
        <v>67.2</v>
      </c>
      <c r="I289" s="1" t="n">
        <v>319.4</v>
      </c>
      <c r="J289" s="1" t="n">
        <v>16.6</v>
      </c>
      <c r="K289" s="1" t="n">
        <v>63</v>
      </c>
      <c r="L289" s="1" t="n">
        <v>0</v>
      </c>
      <c r="M289" s="1" t="n">
        <v>0</v>
      </c>
      <c r="N289" s="1" t="s">
        <v>189</v>
      </c>
      <c r="Z289" s="0" t="n">
        <f aca="false">I289-35</f>
        <v>284.4</v>
      </c>
      <c r="AB289" s="0" t="n">
        <f aca="false">IF(Z289&lt;0,Z289+360,Z289+0)</f>
        <v>284.4</v>
      </c>
    </row>
    <row r="290" customFormat="false" ht="15.8" hidden="false" customHeight="false" outlineLevel="0" collapsed="false">
      <c r="A290" s="1" t="n">
        <v>8</v>
      </c>
      <c r="B290" s="1" t="n">
        <v>1</v>
      </c>
      <c r="C290" s="1" t="n">
        <v>3.9</v>
      </c>
      <c r="D290" s="1" t="n">
        <v>1.0794</v>
      </c>
      <c r="E290" s="1" t="n">
        <v>0.132955</v>
      </c>
      <c r="F290" s="1" t="n">
        <v>0.000362771</v>
      </c>
      <c r="G290" s="1" t="s">
        <v>59</v>
      </c>
      <c r="H290" s="1"/>
      <c r="I290" s="1" t="n">
        <v>23.7</v>
      </c>
      <c r="J290" s="1" t="n">
        <v>-5.3</v>
      </c>
      <c r="K290" s="1" t="n">
        <v>113.6</v>
      </c>
      <c r="L290" s="1" t="n">
        <v>0</v>
      </c>
      <c r="M290" s="1" t="n">
        <v>0</v>
      </c>
      <c r="N290" s="1" t="s">
        <v>235</v>
      </c>
      <c r="Z290" s="0" t="n">
        <f aca="false">I290-35</f>
        <v>-11.3</v>
      </c>
      <c r="AB290" s="0" t="n">
        <f aca="false">IF(Z290&lt;0,Z290+360,Z290+0)</f>
        <v>348.7</v>
      </c>
    </row>
    <row r="291" customFormat="false" ht="15.8" hidden="false" customHeight="false" outlineLevel="0" collapsed="false">
      <c r="A291" s="1" t="n">
        <v>9</v>
      </c>
      <c r="B291" s="1" t="n">
        <v>10</v>
      </c>
      <c r="C291" s="1" t="n">
        <v>6</v>
      </c>
      <c r="D291" s="1" t="n">
        <v>1.3749</v>
      </c>
      <c r="E291" s="1" t="n">
        <v>0.205052</v>
      </c>
      <c r="F291" s="1" t="n">
        <v>0.00055949</v>
      </c>
      <c r="G291" s="1" t="s">
        <v>27</v>
      </c>
      <c r="H291" s="1" t="n">
        <v>26.9</v>
      </c>
      <c r="I291" s="1" t="n">
        <v>152.3</v>
      </c>
      <c r="J291" s="1" t="n">
        <v>0</v>
      </c>
      <c r="K291" s="1"/>
      <c r="L291" s="1" t="n">
        <v>0</v>
      </c>
      <c r="M291" s="1" t="n">
        <v>0</v>
      </c>
      <c r="N291" s="1" t="s">
        <v>236</v>
      </c>
      <c r="Z291" s="0" t="n">
        <f aca="false">I291-35</f>
        <v>117.3</v>
      </c>
      <c r="AB291" s="0" t="n">
        <f aca="false">IF(Z291&lt;0,Z291+360,Z291+0)</f>
        <v>117.3</v>
      </c>
    </row>
    <row r="292" customFormat="false" ht="15.8" hidden="false" customHeight="false" outlineLevel="0" collapsed="false">
      <c r="A292" s="1" t="n">
        <v>9</v>
      </c>
      <c r="B292" s="1" t="n">
        <v>10</v>
      </c>
      <c r="C292" s="1" t="n">
        <v>1.8</v>
      </c>
      <c r="D292" s="1" t="n">
        <v>1.4059</v>
      </c>
      <c r="E292" s="1" t="n">
        <v>0.0612184</v>
      </c>
      <c r="F292" s="1" t="n">
        <v>0.000167037</v>
      </c>
      <c r="G292" s="1" t="s">
        <v>27</v>
      </c>
      <c r="H292" s="1" t="n">
        <v>122.8</v>
      </c>
      <c r="I292" s="1" t="n">
        <v>20.9</v>
      </c>
      <c r="J292" s="1" t="n">
        <v>15.1</v>
      </c>
      <c r="K292" s="1"/>
      <c r="L292" s="1" t="n">
        <v>0</v>
      </c>
      <c r="M292" s="1" t="n">
        <v>0</v>
      </c>
      <c r="N292" s="1" t="s">
        <v>236</v>
      </c>
      <c r="Z292" s="0" t="n">
        <f aca="false">I292-35</f>
        <v>-14.1</v>
      </c>
      <c r="AB292" s="0" t="n">
        <f aca="false">IF(Z292&lt;0,Z292+360,Z292+0)</f>
        <v>345.9</v>
      </c>
    </row>
    <row r="293" customFormat="false" ht="15.8" hidden="false" customHeight="false" outlineLevel="0" collapsed="false">
      <c r="A293" s="1" t="n">
        <v>9</v>
      </c>
      <c r="B293" s="1" t="n">
        <v>9</v>
      </c>
      <c r="C293" s="1" t="n">
        <v>1.9</v>
      </c>
      <c r="D293" s="1" t="n">
        <v>1.2132</v>
      </c>
      <c r="E293" s="1" t="n">
        <v>0.0942679</v>
      </c>
      <c r="F293" s="1" t="n">
        <v>0.000396651</v>
      </c>
      <c r="G293" s="1" t="s">
        <v>59</v>
      </c>
      <c r="H293" s="1" t="n">
        <v>45.2</v>
      </c>
      <c r="I293" s="1" t="n">
        <v>140.5</v>
      </c>
      <c r="J293" s="1" t="n">
        <v>-24.4</v>
      </c>
      <c r="K293" s="1" t="n">
        <v>122.8</v>
      </c>
      <c r="L293" s="1" t="n">
        <v>0</v>
      </c>
      <c r="M293" s="1" t="n">
        <v>0</v>
      </c>
      <c r="N293" s="1" t="s">
        <v>237</v>
      </c>
      <c r="Z293" s="0" t="n">
        <f aca="false">I293-35</f>
        <v>105.5</v>
      </c>
      <c r="AB293" s="0" t="n">
        <f aca="false">IF(Z293&lt;0,Z293+360,Z293+0)</f>
        <v>105.5</v>
      </c>
    </row>
    <row r="294" customFormat="false" ht="15.8" hidden="false" customHeight="false" outlineLevel="0" collapsed="false">
      <c r="A294" s="1" t="n">
        <v>9</v>
      </c>
      <c r="B294" s="1" t="n">
        <v>16</v>
      </c>
      <c r="C294" s="1" t="n">
        <v>4.9</v>
      </c>
      <c r="D294" s="1" t="n">
        <v>1.1998</v>
      </c>
      <c r="E294" s="1" t="n">
        <v>0.168561</v>
      </c>
      <c r="F294" s="1" t="n">
        <v>0.000459925</v>
      </c>
      <c r="G294" s="1" t="s">
        <v>27</v>
      </c>
      <c r="H294" s="1" t="n">
        <v>106.1</v>
      </c>
      <c r="I294" s="1" t="n">
        <v>184.6</v>
      </c>
      <c r="J294" s="1" t="n">
        <v>4.6</v>
      </c>
      <c r="K294" s="1"/>
      <c r="L294" s="1" t="n">
        <v>0</v>
      </c>
      <c r="M294" s="1" t="n">
        <v>0</v>
      </c>
      <c r="N294" s="1" t="s">
        <v>238</v>
      </c>
      <c r="Z294" s="0" t="n">
        <f aca="false">I294-35</f>
        <v>149.6</v>
      </c>
      <c r="AB294" s="0" t="n">
        <f aca="false">IF(Z294&lt;0,Z294+360,Z294+0)</f>
        <v>149.6</v>
      </c>
    </row>
    <row r="295" customFormat="false" ht="15.8" hidden="false" customHeight="false" outlineLevel="0" collapsed="false">
      <c r="A295" s="1" t="n">
        <v>9</v>
      </c>
      <c r="B295" s="1" t="n">
        <v>16</v>
      </c>
      <c r="C295" s="1" t="n">
        <v>4</v>
      </c>
      <c r="D295" s="1" t="n">
        <v>1.123</v>
      </c>
      <c r="E295" s="1" t="n">
        <v>0.138367</v>
      </c>
      <c r="F295" s="1" t="n">
        <v>0.000377539</v>
      </c>
      <c r="G295" s="1" t="s">
        <v>27</v>
      </c>
      <c r="H295" s="1" t="n">
        <v>62.5</v>
      </c>
      <c r="I295" s="1" t="n">
        <v>15.4</v>
      </c>
      <c r="J295" s="1" t="n">
        <v>-10.6</v>
      </c>
      <c r="K295" s="1"/>
      <c r="L295" s="1" t="n">
        <v>0</v>
      </c>
      <c r="M295" s="1" t="n">
        <v>0</v>
      </c>
      <c r="N295" s="1" t="s">
        <v>238</v>
      </c>
      <c r="Z295" s="0" t="n">
        <f aca="false">I295-35</f>
        <v>-19.6</v>
      </c>
      <c r="AB295" s="0" t="n">
        <f aca="false">IF(Z295&lt;0,Z295+360,Z295+0)</f>
        <v>340.4</v>
      </c>
    </row>
    <row r="296" customFormat="false" ht="15.8" hidden="false" customHeight="false" outlineLevel="0" collapsed="false">
      <c r="A296" s="1" t="n">
        <v>9</v>
      </c>
      <c r="B296" s="1" t="n">
        <v>15</v>
      </c>
      <c r="C296" s="1" t="n">
        <v>2.5</v>
      </c>
      <c r="D296" s="1" t="n">
        <v>1.3599</v>
      </c>
      <c r="E296" s="1" t="n">
        <v>0.0873958</v>
      </c>
      <c r="F296" s="1" t="n">
        <v>0.000238462</v>
      </c>
      <c r="G296" s="1" t="s">
        <v>59</v>
      </c>
      <c r="H296" s="1" t="n">
        <v>69.1</v>
      </c>
      <c r="I296" s="1" t="n">
        <v>79.1</v>
      </c>
      <c r="J296" s="1" t="n">
        <v>-10.1</v>
      </c>
      <c r="K296" s="1" t="n">
        <v>106.1</v>
      </c>
      <c r="L296" s="1" t="n">
        <v>0</v>
      </c>
      <c r="M296" s="1" t="n">
        <v>0</v>
      </c>
      <c r="N296" s="1" t="s">
        <v>239</v>
      </c>
      <c r="Z296" s="0" t="n">
        <f aca="false">I296-35</f>
        <v>44.1</v>
      </c>
      <c r="AB296" s="0" t="n">
        <f aca="false">IF(Z296&lt;0,Z296+360,Z296+0)</f>
        <v>44.1</v>
      </c>
    </row>
    <row r="297" customFormat="false" ht="15.8" hidden="false" customHeight="false" outlineLevel="0" collapsed="false">
      <c r="A297" s="1" t="n">
        <v>9</v>
      </c>
      <c r="B297" s="1" t="n">
        <v>15</v>
      </c>
      <c r="C297" s="1" t="n">
        <v>1.2</v>
      </c>
      <c r="D297" s="1" t="n">
        <v>1.1981</v>
      </c>
      <c r="E297" s="1" t="n">
        <v>0.0397555</v>
      </c>
      <c r="F297" s="1" t="n">
        <v>0.000108474</v>
      </c>
      <c r="G297" s="1" t="s">
        <v>27</v>
      </c>
      <c r="H297" s="1" t="n">
        <v>68.3</v>
      </c>
      <c r="I297" s="1" t="n">
        <v>153.4</v>
      </c>
      <c r="J297" s="1" t="n">
        <v>43</v>
      </c>
      <c r="K297" s="1"/>
      <c r="L297" s="1" t="n">
        <v>0</v>
      </c>
      <c r="M297" s="1" t="n">
        <v>0</v>
      </c>
      <c r="N297" s="1" t="s">
        <v>239</v>
      </c>
      <c r="Z297" s="0" t="n">
        <f aca="false">I297-35</f>
        <v>118.4</v>
      </c>
      <c r="AB297" s="0" t="n">
        <f aca="false">IF(Z297&lt;0,Z297+360,Z297+0)</f>
        <v>118.4</v>
      </c>
    </row>
    <row r="298" customFormat="false" ht="15.8" hidden="false" customHeight="false" outlineLevel="0" collapsed="false">
      <c r="A298" s="1" t="n">
        <v>9</v>
      </c>
      <c r="B298" s="1" t="n">
        <v>14</v>
      </c>
      <c r="C298" s="1" t="n">
        <v>1.9</v>
      </c>
      <c r="D298" s="1" t="n">
        <v>1.2345</v>
      </c>
      <c r="E298" s="1" t="n">
        <v>0.0656092</v>
      </c>
      <c r="F298" s="1" t="n">
        <v>0.000179017</v>
      </c>
      <c r="G298" s="1" t="s">
        <v>59</v>
      </c>
      <c r="H298" s="1" t="n">
        <v>60.3</v>
      </c>
      <c r="I298" s="1" t="n">
        <v>150.6</v>
      </c>
      <c r="J298" s="1" t="n">
        <v>-25.2</v>
      </c>
      <c r="K298" s="1" t="n">
        <v>69.1</v>
      </c>
      <c r="L298" s="1" t="n">
        <v>0</v>
      </c>
      <c r="M298" s="1" t="n">
        <v>0</v>
      </c>
      <c r="N298" s="1" t="s">
        <v>240</v>
      </c>
      <c r="Z298" s="0" t="n">
        <f aca="false">I298-35</f>
        <v>115.6</v>
      </c>
      <c r="AB298" s="0" t="n">
        <f aca="false">IF(Z298&lt;0,Z298+360,Z298+0)</f>
        <v>115.6</v>
      </c>
    </row>
    <row r="299" customFormat="false" ht="15.8" hidden="false" customHeight="false" outlineLevel="0" collapsed="false">
      <c r="A299" s="1" t="n">
        <v>9</v>
      </c>
      <c r="B299" s="1" t="n">
        <v>14</v>
      </c>
      <c r="C299" s="1" t="n">
        <v>2.7</v>
      </c>
      <c r="D299" s="1" t="n">
        <v>1.2374</v>
      </c>
      <c r="E299" s="1" t="n">
        <v>0.0938437</v>
      </c>
      <c r="F299" s="1" t="n">
        <v>0.000256056</v>
      </c>
      <c r="G299" s="1" t="s">
        <v>27</v>
      </c>
      <c r="H299" s="1" t="n">
        <v>52.4</v>
      </c>
      <c r="I299" s="1" t="n">
        <v>42</v>
      </c>
      <c r="J299" s="1" t="n">
        <v>8.6</v>
      </c>
      <c r="K299" s="1"/>
      <c r="L299" s="1" t="n">
        <v>0</v>
      </c>
      <c r="M299" s="1" t="n">
        <v>0</v>
      </c>
      <c r="N299" s="1" t="s">
        <v>240</v>
      </c>
      <c r="Z299" s="0" t="n">
        <f aca="false">I299-35</f>
        <v>7</v>
      </c>
      <c r="AB299" s="0" t="n">
        <f aca="false">IF(Z299&lt;0,Z299+360,Z299+0)</f>
        <v>7</v>
      </c>
    </row>
    <row r="300" customFormat="false" ht="15.8" hidden="false" customHeight="false" outlineLevel="0" collapsed="false">
      <c r="A300" s="1" t="n">
        <v>9</v>
      </c>
      <c r="B300" s="1" t="n">
        <v>13</v>
      </c>
      <c r="C300" s="1" t="n">
        <v>2</v>
      </c>
      <c r="D300" s="1" t="n">
        <v>1.3802</v>
      </c>
      <c r="E300" s="1" t="n">
        <v>0.0698794</v>
      </c>
      <c r="F300" s="1" t="n">
        <v>0.000190668</v>
      </c>
      <c r="G300" s="1" t="s">
        <v>59</v>
      </c>
      <c r="H300" s="1" t="n">
        <v>27.1</v>
      </c>
      <c r="I300" s="1" t="n">
        <v>93.8</v>
      </c>
      <c r="J300" s="1" t="n">
        <v>0</v>
      </c>
      <c r="K300" s="1" t="n">
        <v>60.3</v>
      </c>
      <c r="L300" s="1" t="n">
        <v>0</v>
      </c>
      <c r="M300" s="1" t="n">
        <v>0</v>
      </c>
      <c r="N300" s="1" t="s">
        <v>241</v>
      </c>
      <c r="Z300" s="0" t="n">
        <f aca="false">I300-35</f>
        <v>58.8</v>
      </c>
      <c r="AB300" s="0" t="n">
        <f aca="false">IF(Z300&lt;0,Z300+360,Z300+0)</f>
        <v>58.8</v>
      </c>
    </row>
    <row r="301" customFormat="false" ht="15.8" hidden="false" customHeight="false" outlineLevel="0" collapsed="false">
      <c r="A301" s="1" t="n">
        <v>9</v>
      </c>
      <c r="B301" s="1" t="n">
        <v>13</v>
      </c>
      <c r="C301" s="1" t="n">
        <v>1.1</v>
      </c>
      <c r="D301" s="1" t="n">
        <v>1.0051</v>
      </c>
      <c r="E301" s="1" t="n">
        <v>0.0393231</v>
      </c>
      <c r="F301" s="1" t="n">
        <v>0.000107294</v>
      </c>
      <c r="G301" s="1" t="s">
        <v>27</v>
      </c>
      <c r="H301" s="1" t="n">
        <v>37.1</v>
      </c>
      <c r="I301" s="1" t="n">
        <v>158.1</v>
      </c>
      <c r="J301" s="1" t="n">
        <v>0</v>
      </c>
      <c r="K301" s="1"/>
      <c r="L301" s="1" t="n">
        <v>0</v>
      </c>
      <c r="M301" s="1" t="n">
        <v>0</v>
      </c>
      <c r="N301" s="1" t="s">
        <v>241</v>
      </c>
      <c r="Z301" s="0" t="n">
        <f aca="false">I301-35</f>
        <v>123.1</v>
      </c>
      <c r="AB301" s="0" t="n">
        <f aca="false">IF(Z301&lt;0,Z301+360,Z301+0)</f>
        <v>123.1</v>
      </c>
    </row>
    <row r="302" customFormat="false" ht="15.8" hidden="false" customHeight="false" outlineLevel="0" collapsed="false">
      <c r="A302" s="1" t="n">
        <v>9</v>
      </c>
      <c r="B302" s="1" t="n">
        <v>12</v>
      </c>
      <c r="C302" s="1" t="n">
        <v>3.4</v>
      </c>
      <c r="D302" s="1" t="n">
        <v>1.3186</v>
      </c>
      <c r="E302" s="1" t="n">
        <v>0.115094</v>
      </c>
      <c r="F302" s="1" t="n">
        <v>0.000314038</v>
      </c>
      <c r="G302" s="1" t="s">
        <v>59</v>
      </c>
      <c r="H302" s="1" t="n">
        <v>50.1</v>
      </c>
      <c r="I302" s="1" t="n">
        <v>121</v>
      </c>
      <c r="J302" s="1" t="n">
        <v>0</v>
      </c>
      <c r="K302" s="1" t="n">
        <v>37.1</v>
      </c>
      <c r="L302" s="1" t="n">
        <v>0</v>
      </c>
      <c r="M302" s="1" t="n">
        <v>0</v>
      </c>
      <c r="N302" s="1" t="s">
        <v>242</v>
      </c>
      <c r="Z302" s="0" t="n">
        <f aca="false">I302-35</f>
        <v>86</v>
      </c>
      <c r="AB302" s="0" t="n">
        <f aca="false">IF(Z302&lt;0,Z302+360,Z302+0)</f>
        <v>86</v>
      </c>
    </row>
    <row r="303" customFormat="false" ht="15.8" hidden="false" customHeight="false" outlineLevel="0" collapsed="false">
      <c r="A303" s="1" t="n">
        <v>9</v>
      </c>
      <c r="B303" s="1" t="n">
        <v>16</v>
      </c>
      <c r="C303" s="1" t="n">
        <v>3.7</v>
      </c>
      <c r="D303" s="1" t="n">
        <v>1.2608</v>
      </c>
      <c r="E303" s="1" t="n">
        <v>0.125621</v>
      </c>
      <c r="F303" s="1" t="n">
        <v>0.000342763</v>
      </c>
      <c r="G303" s="1" t="s">
        <v>27</v>
      </c>
      <c r="H303" s="1" t="n">
        <v>3.1</v>
      </c>
      <c r="I303" s="1" t="n">
        <v>9.4</v>
      </c>
      <c r="J303" s="1" t="n">
        <v>6.5</v>
      </c>
      <c r="K303" s="1"/>
      <c r="L303" s="1" t="n">
        <v>0</v>
      </c>
      <c r="M303" s="1" t="n">
        <v>0</v>
      </c>
      <c r="N303" s="1" t="s">
        <v>243</v>
      </c>
      <c r="Z303" s="0" t="n">
        <f aca="false">I303-35</f>
        <v>-25.6</v>
      </c>
      <c r="AB303" s="0" t="n">
        <f aca="false">IF(Z303&lt;0,Z303+360,Z303+0)</f>
        <v>334.4</v>
      </c>
    </row>
    <row r="304" customFormat="false" ht="15.8" hidden="false" customHeight="false" outlineLevel="0" collapsed="false">
      <c r="A304" s="1" t="n">
        <v>9</v>
      </c>
      <c r="B304" s="1" t="n">
        <v>16</v>
      </c>
      <c r="C304" s="1" t="n">
        <v>0.8</v>
      </c>
      <c r="D304" s="1" t="n">
        <v>1.1619</v>
      </c>
      <c r="E304" s="1" t="n">
        <v>0.0265358</v>
      </c>
      <c r="F304" s="1" t="n">
        <v>7.24039E-005</v>
      </c>
      <c r="G304" s="1" t="s">
        <v>27</v>
      </c>
      <c r="H304" s="1" t="n">
        <v>66.7</v>
      </c>
      <c r="I304" s="1" t="n">
        <v>305.8</v>
      </c>
      <c r="J304" s="1" t="n">
        <v>29.7</v>
      </c>
      <c r="K304" s="1"/>
      <c r="L304" s="1" t="n">
        <v>0</v>
      </c>
      <c r="M304" s="1" t="n">
        <v>0</v>
      </c>
      <c r="N304" s="1" t="s">
        <v>243</v>
      </c>
      <c r="Z304" s="0" t="n">
        <f aca="false">I304-35</f>
        <v>270.8</v>
      </c>
      <c r="AB304" s="0" t="n">
        <f aca="false">IF(Z304&lt;0,Z304+360,Z304+0)</f>
        <v>270.8</v>
      </c>
    </row>
    <row r="305" customFormat="false" ht="15.8" hidden="false" customHeight="false" outlineLevel="0" collapsed="false">
      <c r="A305" s="1" t="n">
        <v>9</v>
      </c>
      <c r="B305" s="1" t="n">
        <v>15</v>
      </c>
      <c r="C305" s="1" t="n">
        <v>6.3</v>
      </c>
      <c r="D305" s="1" t="n">
        <v>1.3027</v>
      </c>
      <c r="E305" s="1" t="n">
        <v>0.216569</v>
      </c>
      <c r="F305" s="1" t="n">
        <v>0.000590916</v>
      </c>
      <c r="G305" s="1" t="s">
        <v>59</v>
      </c>
      <c r="H305" s="1" t="n">
        <v>71</v>
      </c>
      <c r="I305" s="1" t="n">
        <v>11.1</v>
      </c>
      <c r="J305" s="1" t="n">
        <v>3.9</v>
      </c>
      <c r="K305" s="1" t="n">
        <v>66.7</v>
      </c>
      <c r="L305" s="1" t="n">
        <v>0</v>
      </c>
      <c r="M305" s="1" t="n">
        <v>0</v>
      </c>
      <c r="N305" s="1" t="s">
        <v>244</v>
      </c>
      <c r="Z305" s="0" t="n">
        <f aca="false">I305-35</f>
        <v>-23.9</v>
      </c>
      <c r="AB305" s="0" t="n">
        <f aca="false">IF(Z305&lt;0,Z305+360,Z305+0)</f>
        <v>336.1</v>
      </c>
    </row>
    <row r="306" customFormat="false" ht="15.8" hidden="false" customHeight="false" outlineLevel="0" collapsed="false">
      <c r="A306" s="1" t="n">
        <v>9</v>
      </c>
      <c r="B306" s="1" t="n">
        <v>15</v>
      </c>
      <c r="C306" s="1" t="n">
        <v>2.4</v>
      </c>
      <c r="D306" s="1" t="n">
        <v>1.1679</v>
      </c>
      <c r="E306" s="1" t="n">
        <v>0.0829731</v>
      </c>
      <c r="F306" s="1" t="n">
        <v>0.000226395</v>
      </c>
      <c r="G306" s="1" t="s">
        <v>27</v>
      </c>
      <c r="H306" s="1" t="n">
        <v>55.2</v>
      </c>
      <c r="I306" s="1" t="n">
        <v>136.1</v>
      </c>
      <c r="J306" s="1" t="n">
        <v>-9.2</v>
      </c>
      <c r="K306" s="1"/>
      <c r="L306" s="1" t="n">
        <v>0</v>
      </c>
      <c r="M306" s="1" t="n">
        <v>0</v>
      </c>
      <c r="N306" s="1" t="s">
        <v>244</v>
      </c>
      <c r="Z306" s="0" t="n">
        <f aca="false">I306-35</f>
        <v>101.1</v>
      </c>
      <c r="AB306" s="0" t="n">
        <f aca="false">IF(Z306&lt;0,Z306+360,Z306+0)</f>
        <v>101.1</v>
      </c>
    </row>
    <row r="307" customFormat="false" ht="15.8" hidden="false" customHeight="false" outlineLevel="0" collapsed="false">
      <c r="A307" s="1" t="n">
        <v>9</v>
      </c>
      <c r="B307" s="1" t="n">
        <v>14</v>
      </c>
      <c r="C307" s="1" t="n">
        <v>2.6</v>
      </c>
      <c r="D307" s="1" t="n">
        <v>1.1554</v>
      </c>
      <c r="E307" s="1" t="n">
        <v>0.0895586</v>
      </c>
      <c r="F307" s="1" t="n">
        <v>0.000244364</v>
      </c>
      <c r="G307" s="1" t="s">
        <v>59</v>
      </c>
      <c r="H307" s="1" t="n">
        <v>61.6</v>
      </c>
      <c r="I307" s="1" t="n">
        <v>79.8</v>
      </c>
      <c r="J307" s="1" t="n">
        <v>-17</v>
      </c>
      <c r="K307" s="1" t="n">
        <v>71</v>
      </c>
      <c r="L307" s="1" t="n">
        <v>0</v>
      </c>
      <c r="M307" s="1" t="n">
        <v>0</v>
      </c>
      <c r="N307" s="1" t="s">
        <v>245</v>
      </c>
      <c r="Z307" s="0" t="n">
        <f aca="false">I307-35</f>
        <v>44.8</v>
      </c>
      <c r="AB307" s="0" t="n">
        <f aca="false">IF(Z307&lt;0,Z307+360,Z307+0)</f>
        <v>44.8</v>
      </c>
    </row>
    <row r="308" customFormat="false" ht="15.8" hidden="false" customHeight="false" outlineLevel="0" collapsed="false">
      <c r="A308" s="1" t="n">
        <v>9</v>
      </c>
      <c r="B308" s="1" t="n">
        <v>14</v>
      </c>
      <c r="C308" s="1" t="n">
        <v>2.2</v>
      </c>
      <c r="D308" s="1" t="n">
        <v>1.3775</v>
      </c>
      <c r="E308" s="1" t="n">
        <v>0.0757345</v>
      </c>
      <c r="F308" s="1" t="n">
        <v>0.000206644</v>
      </c>
      <c r="G308" s="1" t="s">
        <v>27</v>
      </c>
      <c r="H308" s="1" t="n">
        <v>24.3</v>
      </c>
      <c r="I308" s="1" t="n">
        <v>21</v>
      </c>
      <c r="J308" s="1" t="n">
        <v>24.3</v>
      </c>
      <c r="K308" s="1"/>
      <c r="L308" s="1" t="n">
        <v>0</v>
      </c>
      <c r="M308" s="1" t="n">
        <v>0</v>
      </c>
      <c r="N308" s="1" t="s">
        <v>245</v>
      </c>
      <c r="Z308" s="0" t="n">
        <f aca="false">I308-35</f>
        <v>-14</v>
      </c>
      <c r="AB308" s="0" t="n">
        <f aca="false">IF(Z308&lt;0,Z308+360,Z308+0)</f>
        <v>346</v>
      </c>
    </row>
    <row r="309" customFormat="false" ht="15.8" hidden="false" customHeight="false" outlineLevel="0" collapsed="false">
      <c r="A309" s="1" t="n">
        <v>9</v>
      </c>
      <c r="B309" s="1" t="n">
        <v>13</v>
      </c>
      <c r="C309" s="1" t="n">
        <v>1.1</v>
      </c>
      <c r="D309" s="1" t="n">
        <v>1.0117</v>
      </c>
      <c r="E309" s="1" t="n">
        <v>0.0393982</v>
      </c>
      <c r="F309" s="1" t="n">
        <v>0.000107499</v>
      </c>
      <c r="G309" s="1" t="s">
        <v>59</v>
      </c>
      <c r="H309" s="1" t="n">
        <v>10.1</v>
      </c>
      <c r="I309" s="1" t="n">
        <v>19.7</v>
      </c>
      <c r="J309" s="1" t="n">
        <v>0</v>
      </c>
      <c r="K309" s="1" t="n">
        <v>61.6</v>
      </c>
      <c r="L309" s="1" t="n">
        <v>0</v>
      </c>
      <c r="M309" s="1" t="n">
        <v>0</v>
      </c>
      <c r="N309" s="1" t="s">
        <v>246</v>
      </c>
      <c r="Z309" s="0" t="n">
        <f aca="false">I309-35</f>
        <v>-15.3</v>
      </c>
      <c r="AB309" s="0" t="n">
        <f aca="false">IF(Z309&lt;0,Z309+360,Z309+0)</f>
        <v>344.7</v>
      </c>
    </row>
    <row r="310" customFormat="false" ht="15.8" hidden="false" customHeight="false" outlineLevel="0" collapsed="false">
      <c r="A310" s="1" t="n">
        <v>9</v>
      </c>
      <c r="B310" s="1" t="n">
        <v>13</v>
      </c>
      <c r="C310" s="1" t="n">
        <v>1.9</v>
      </c>
      <c r="D310" s="1" t="n">
        <v>1.1746</v>
      </c>
      <c r="E310" s="1" t="n">
        <v>0.0664526</v>
      </c>
      <c r="F310" s="1" t="n">
        <v>0.000181318</v>
      </c>
      <c r="G310" s="1" t="s">
        <v>27</v>
      </c>
      <c r="H310" s="1" t="n">
        <v>94.7</v>
      </c>
      <c r="I310" s="1" t="n">
        <v>124.5</v>
      </c>
      <c r="J310" s="1" t="n">
        <v>-11.5</v>
      </c>
      <c r="K310" s="1"/>
      <c r="L310" s="1" t="n">
        <v>0</v>
      </c>
      <c r="M310" s="1" t="n">
        <v>0</v>
      </c>
      <c r="N310" s="1" t="s">
        <v>246</v>
      </c>
      <c r="Z310" s="0" t="n">
        <f aca="false">I310-35</f>
        <v>89.5</v>
      </c>
      <c r="AB310" s="0" t="n">
        <f aca="false">IF(Z310&lt;0,Z310+360,Z310+0)</f>
        <v>89.5</v>
      </c>
    </row>
    <row r="311" customFormat="false" ht="15.8" hidden="false" customHeight="false" outlineLevel="0" collapsed="false">
      <c r="A311" s="1" t="n">
        <v>9</v>
      </c>
      <c r="B311" s="1" t="n">
        <v>13</v>
      </c>
      <c r="C311" s="1" t="n">
        <v>1.9</v>
      </c>
      <c r="D311" s="1" t="n">
        <v>1.2637</v>
      </c>
      <c r="E311" s="1" t="n">
        <v>0.0660713</v>
      </c>
      <c r="F311" s="1" t="n">
        <v>0.000180278</v>
      </c>
      <c r="G311" s="1" t="s">
        <v>27</v>
      </c>
      <c r="H311" s="1" t="n">
        <v>143.4</v>
      </c>
      <c r="I311" s="1" t="n">
        <v>246.4</v>
      </c>
      <c r="J311" s="1" t="n">
        <v>0</v>
      </c>
      <c r="K311" s="1"/>
      <c r="L311" s="1" t="n">
        <v>0</v>
      </c>
      <c r="M311" s="1" t="n">
        <v>0</v>
      </c>
      <c r="N311" s="1" t="s">
        <v>246</v>
      </c>
      <c r="Z311" s="0" t="n">
        <f aca="false">I311-35</f>
        <v>211.4</v>
      </c>
      <c r="AB311" s="0" t="n">
        <f aca="false">IF(Z311&lt;0,Z311+360,Z311+0)</f>
        <v>211.4</v>
      </c>
    </row>
    <row r="312" customFormat="false" ht="15.8" hidden="false" customHeight="false" outlineLevel="0" collapsed="false">
      <c r="A312" s="1" t="n">
        <v>9</v>
      </c>
      <c r="B312" s="1" t="n">
        <v>12</v>
      </c>
      <c r="C312" s="1" t="n">
        <v>1.9</v>
      </c>
      <c r="D312" s="1" t="n">
        <v>1.0156</v>
      </c>
      <c r="E312" s="1" t="n">
        <v>0.0635006</v>
      </c>
      <c r="F312" s="1" t="n">
        <v>0.000173264</v>
      </c>
      <c r="G312" s="1" t="s">
        <v>59</v>
      </c>
      <c r="H312" s="1" t="n">
        <v>50.8</v>
      </c>
      <c r="I312" s="1" t="n">
        <v>29.8</v>
      </c>
      <c r="J312" s="1" t="n">
        <v>0</v>
      </c>
      <c r="K312" s="1" t="n">
        <v>143.4</v>
      </c>
      <c r="L312" s="1" t="n">
        <v>0</v>
      </c>
      <c r="M312" s="1" t="n">
        <v>0</v>
      </c>
      <c r="N312" s="1" t="s">
        <v>242</v>
      </c>
      <c r="Z312" s="0" t="n">
        <f aca="false">I312-35</f>
        <v>-5.2</v>
      </c>
      <c r="AB312" s="0" t="n">
        <f aca="false">IF(Z312&lt;0,Z312+360,Z312+0)</f>
        <v>354.8</v>
      </c>
    </row>
    <row r="313" customFormat="false" ht="15.8" hidden="false" customHeight="false" outlineLevel="0" collapsed="false">
      <c r="A313" s="1" t="n">
        <v>9</v>
      </c>
      <c r="B313" s="1" t="n">
        <v>11</v>
      </c>
      <c r="C313" s="1" t="n">
        <v>5.2</v>
      </c>
      <c r="D313" s="1" t="n">
        <v>1.6439</v>
      </c>
      <c r="E313" s="1" t="n">
        <v>0.179247</v>
      </c>
      <c r="F313" s="1" t="n">
        <v>0.000489083</v>
      </c>
      <c r="G313" s="1" t="s">
        <v>59</v>
      </c>
      <c r="H313" s="1" t="n">
        <v>59.5</v>
      </c>
      <c r="I313" s="1" t="n">
        <v>75.8</v>
      </c>
      <c r="J313" s="1" t="n">
        <v>24.5</v>
      </c>
      <c r="K313" s="1" t="n">
        <v>50.8</v>
      </c>
      <c r="L313" s="1" t="n">
        <v>0</v>
      </c>
      <c r="M313" s="1" t="n">
        <v>0</v>
      </c>
      <c r="N313" s="1" t="s">
        <v>247</v>
      </c>
      <c r="Z313" s="0" t="n">
        <f aca="false">I313-35</f>
        <v>40.8</v>
      </c>
      <c r="AB313" s="0" t="n">
        <f aca="false">IF(Z313&lt;0,Z313+360,Z313+0)</f>
        <v>40.8</v>
      </c>
    </row>
    <row r="314" customFormat="false" ht="15.8" hidden="false" customHeight="false" outlineLevel="0" collapsed="false">
      <c r="A314" s="1" t="n">
        <v>9</v>
      </c>
      <c r="B314" s="1" t="n">
        <v>15</v>
      </c>
      <c r="C314" s="1" t="n">
        <v>2.2</v>
      </c>
      <c r="D314" s="1" t="n">
        <v>1.0824</v>
      </c>
      <c r="E314" s="1" t="n">
        <v>0.075791</v>
      </c>
      <c r="F314" s="1" t="n">
        <v>0.000206798</v>
      </c>
      <c r="G314" s="1" t="s">
        <v>27</v>
      </c>
      <c r="H314" s="1" t="n">
        <v>6.2</v>
      </c>
      <c r="I314" s="1" t="n">
        <v>349.5</v>
      </c>
      <c r="J314" s="1" t="n">
        <v>0</v>
      </c>
      <c r="K314" s="1"/>
      <c r="L314" s="1" t="n">
        <v>0</v>
      </c>
      <c r="M314" s="1" t="n">
        <v>0</v>
      </c>
      <c r="N314" s="1" t="s">
        <v>248</v>
      </c>
      <c r="Z314" s="0" t="n">
        <f aca="false">I314-35</f>
        <v>314.5</v>
      </c>
      <c r="AB314" s="0" t="n">
        <f aca="false">IF(Z314&lt;0,Z314+360,Z314+0)</f>
        <v>314.5</v>
      </c>
    </row>
    <row r="315" customFormat="false" ht="15.8" hidden="false" customHeight="false" outlineLevel="0" collapsed="false">
      <c r="A315" s="1" t="n">
        <v>9</v>
      </c>
      <c r="B315" s="1" t="n">
        <v>15</v>
      </c>
      <c r="C315" s="1" t="n">
        <v>1.3</v>
      </c>
      <c r="D315" s="1" t="n">
        <v>1.018</v>
      </c>
      <c r="E315" s="1" t="n">
        <v>0.0450266</v>
      </c>
      <c r="F315" s="1" t="n">
        <v>0.000122857</v>
      </c>
      <c r="G315" s="1" t="s">
        <v>27</v>
      </c>
      <c r="H315" s="1" t="n">
        <v>46.9</v>
      </c>
      <c r="I315" s="1" t="n">
        <v>42.6</v>
      </c>
      <c r="J315" s="1" t="n">
        <v>0</v>
      </c>
      <c r="K315" s="1"/>
      <c r="L315" s="1" t="n">
        <v>0</v>
      </c>
      <c r="M315" s="1" t="n">
        <v>0</v>
      </c>
      <c r="N315" s="1" t="s">
        <v>248</v>
      </c>
      <c r="Z315" s="0" t="n">
        <f aca="false">I315-35</f>
        <v>7.6</v>
      </c>
      <c r="AB315" s="0" t="n">
        <f aca="false">IF(Z315&lt;0,Z315+360,Z315+0)</f>
        <v>7.6</v>
      </c>
    </row>
    <row r="316" customFormat="false" ht="15.8" hidden="false" customHeight="false" outlineLevel="0" collapsed="false">
      <c r="A316" s="1" t="n">
        <v>9</v>
      </c>
      <c r="B316" s="1" t="n">
        <v>14</v>
      </c>
      <c r="C316" s="1" t="n">
        <v>1.5</v>
      </c>
      <c r="D316" s="1" t="n">
        <v>1.0043</v>
      </c>
      <c r="E316" s="1" t="n">
        <v>0.0501272</v>
      </c>
      <c r="F316" s="1" t="n">
        <v>0.000136774</v>
      </c>
      <c r="G316" s="1" t="s">
        <v>59</v>
      </c>
      <c r="H316" s="1" t="n">
        <v>20.3</v>
      </c>
      <c r="I316" s="1" t="n">
        <v>355.7</v>
      </c>
      <c r="J316" s="1" t="n">
        <v>0</v>
      </c>
      <c r="K316" s="1" t="n">
        <v>46.9</v>
      </c>
      <c r="L316" s="1" t="n">
        <v>0</v>
      </c>
      <c r="M316" s="1" t="n">
        <v>0</v>
      </c>
      <c r="N316" s="1" t="s">
        <v>249</v>
      </c>
      <c r="Z316" s="0" t="n">
        <f aca="false">I316-35</f>
        <v>320.7</v>
      </c>
      <c r="AB316" s="0" t="n">
        <f aca="false">IF(Z316&lt;0,Z316+360,Z316+0)</f>
        <v>320.7</v>
      </c>
    </row>
    <row r="317" customFormat="false" ht="15.8" hidden="false" customHeight="false" outlineLevel="0" collapsed="false">
      <c r="A317" s="1" t="n">
        <v>9</v>
      </c>
      <c r="B317" s="1" t="n">
        <v>14</v>
      </c>
      <c r="C317" s="1" t="n">
        <v>2.8</v>
      </c>
      <c r="D317" s="1" t="n">
        <v>1.2884</v>
      </c>
      <c r="E317" s="1" t="n">
        <v>0.0950209</v>
      </c>
      <c r="F317" s="1" t="n">
        <v>0.000259268</v>
      </c>
      <c r="G317" s="1" t="s">
        <v>27</v>
      </c>
      <c r="H317" s="1" t="n">
        <v>33.2</v>
      </c>
      <c r="I317" s="1" t="n">
        <v>48.1</v>
      </c>
      <c r="J317" s="1" t="n">
        <v>8.8</v>
      </c>
      <c r="K317" s="1"/>
      <c r="L317" s="1" t="n">
        <v>0</v>
      </c>
      <c r="M317" s="1" t="n">
        <v>0</v>
      </c>
      <c r="N317" s="1" t="s">
        <v>249</v>
      </c>
      <c r="Z317" s="0" t="n">
        <f aca="false">I317-35</f>
        <v>13.1</v>
      </c>
      <c r="AB317" s="0" t="n">
        <f aca="false">IF(Z317&lt;0,Z317+360,Z317+0)</f>
        <v>13.1</v>
      </c>
    </row>
    <row r="318" customFormat="false" ht="15.8" hidden="false" customHeight="false" outlineLevel="0" collapsed="false">
      <c r="A318" s="1" t="n">
        <v>9</v>
      </c>
      <c r="B318" s="1" t="n">
        <v>13</v>
      </c>
      <c r="C318" s="1" t="n">
        <v>1.1</v>
      </c>
      <c r="D318" s="1" t="n">
        <v>1.0228</v>
      </c>
      <c r="E318" s="1" t="n">
        <v>0.0374323</v>
      </c>
      <c r="F318" s="1" t="n">
        <v>0.000102135</v>
      </c>
      <c r="G318" s="1" t="s">
        <v>59</v>
      </c>
      <c r="H318" s="1" t="n">
        <v>26.4</v>
      </c>
      <c r="I318" s="1" t="n">
        <v>16</v>
      </c>
      <c r="J318" s="1" t="n">
        <v>0</v>
      </c>
      <c r="K318" s="1" t="n">
        <v>33.2</v>
      </c>
      <c r="L318" s="1" t="n">
        <v>0</v>
      </c>
      <c r="M318" s="1" t="n">
        <v>0</v>
      </c>
      <c r="N318" s="1" t="s">
        <v>250</v>
      </c>
      <c r="Z318" s="0" t="n">
        <f aca="false">I318-35</f>
        <v>-19</v>
      </c>
      <c r="AB318" s="0" t="n">
        <f aca="false">IF(Z318&lt;0,Z318+360,Z318+0)</f>
        <v>341</v>
      </c>
    </row>
    <row r="319" customFormat="false" ht="15.8" hidden="false" customHeight="false" outlineLevel="0" collapsed="false">
      <c r="A319" s="1" t="n">
        <v>9</v>
      </c>
      <c r="B319" s="1" t="n">
        <v>13</v>
      </c>
      <c r="C319" s="1" t="n">
        <v>1.8</v>
      </c>
      <c r="D319" s="1" t="n">
        <v>1.1829</v>
      </c>
      <c r="E319" s="1" t="n">
        <v>0.0608526</v>
      </c>
      <c r="F319" s="1" t="n">
        <v>0.000166038</v>
      </c>
      <c r="G319" s="1" t="s">
        <v>27</v>
      </c>
      <c r="H319" s="1" t="n">
        <v>55.9</v>
      </c>
      <c r="I319" s="1" t="n">
        <v>98.4</v>
      </c>
      <c r="J319" s="1" t="n">
        <v>0</v>
      </c>
      <c r="K319" s="1"/>
      <c r="L319" s="1" t="n">
        <v>0</v>
      </c>
      <c r="M319" s="1" t="n">
        <v>0</v>
      </c>
      <c r="N319" s="1" t="s">
        <v>250</v>
      </c>
      <c r="Z319" s="0" t="n">
        <f aca="false">I319-35</f>
        <v>63.4</v>
      </c>
      <c r="AB319" s="0" t="n">
        <f aca="false">IF(Z319&lt;0,Z319+360,Z319+0)</f>
        <v>63.4</v>
      </c>
    </row>
    <row r="320" customFormat="false" ht="15.8" hidden="false" customHeight="false" outlineLevel="0" collapsed="false">
      <c r="A320" s="1" t="n">
        <v>9</v>
      </c>
      <c r="B320" s="1" t="n">
        <v>12</v>
      </c>
      <c r="C320" s="1" t="n">
        <v>0.7</v>
      </c>
      <c r="D320" s="1" t="n">
        <v>1.0088</v>
      </c>
      <c r="E320" s="1" t="n">
        <v>0.0240482</v>
      </c>
      <c r="F320" s="1" t="n">
        <v>6.56162E-005</v>
      </c>
      <c r="G320" s="1" t="s">
        <v>59</v>
      </c>
      <c r="H320" s="1" t="n">
        <v>37</v>
      </c>
      <c r="I320" s="1" t="n">
        <v>42.5</v>
      </c>
      <c r="J320" s="1" t="n">
        <v>0</v>
      </c>
      <c r="K320" s="1" t="n">
        <v>55.9</v>
      </c>
      <c r="L320" s="1" t="n">
        <v>0</v>
      </c>
      <c r="M320" s="1" t="n">
        <v>0</v>
      </c>
      <c r="N320" s="1" t="s">
        <v>251</v>
      </c>
      <c r="Z320" s="0" t="n">
        <f aca="false">I320-35</f>
        <v>7.5</v>
      </c>
      <c r="AB320" s="0" t="n">
        <f aca="false">IF(Z320&lt;0,Z320+360,Z320+0)</f>
        <v>7.5</v>
      </c>
    </row>
    <row r="321" customFormat="false" ht="15.8" hidden="false" customHeight="false" outlineLevel="0" collapsed="false">
      <c r="A321" s="1" t="n">
        <v>9</v>
      </c>
      <c r="B321" s="1" t="n">
        <v>12</v>
      </c>
      <c r="C321" s="1" t="n">
        <v>1.9</v>
      </c>
      <c r="D321" s="1" t="n">
        <v>1.229</v>
      </c>
      <c r="E321" s="1" t="n">
        <v>0.0645221</v>
      </c>
      <c r="F321" s="1" t="n">
        <v>0.000176051</v>
      </c>
      <c r="G321" s="1" t="s">
        <v>27</v>
      </c>
      <c r="H321" s="1" t="n">
        <v>54.1</v>
      </c>
      <c r="I321" s="1" t="n">
        <v>316</v>
      </c>
      <c r="J321" s="1" t="n">
        <v>25.5</v>
      </c>
      <c r="K321" s="1"/>
      <c r="L321" s="1" t="n">
        <v>0</v>
      </c>
      <c r="M321" s="1" t="n">
        <v>0</v>
      </c>
      <c r="N321" s="1" t="s">
        <v>251</v>
      </c>
      <c r="Z321" s="0" t="n">
        <f aca="false">I321-35</f>
        <v>281</v>
      </c>
      <c r="AB321" s="0" t="n">
        <f aca="false">IF(Z321&lt;0,Z321+360,Z321+0)</f>
        <v>281</v>
      </c>
    </row>
    <row r="322" customFormat="false" ht="15.8" hidden="false" customHeight="false" outlineLevel="0" collapsed="false">
      <c r="A322" s="1" t="n">
        <v>9</v>
      </c>
      <c r="B322" s="1" t="n">
        <v>11</v>
      </c>
      <c r="C322" s="1" t="n">
        <v>0.8</v>
      </c>
      <c r="D322" s="1" t="n">
        <v>1.0007</v>
      </c>
      <c r="E322" s="1" t="n">
        <v>0.027462</v>
      </c>
      <c r="F322" s="1" t="n">
        <v>7.4931E-005</v>
      </c>
      <c r="G322" s="1" t="s">
        <v>59</v>
      </c>
      <c r="H322" s="1" t="n">
        <v>30</v>
      </c>
      <c r="I322" s="1" t="n">
        <v>5.5</v>
      </c>
      <c r="J322" s="1" t="n">
        <v>0</v>
      </c>
      <c r="K322" s="1" t="n">
        <v>54.1</v>
      </c>
      <c r="L322" s="1" t="n">
        <v>0</v>
      </c>
      <c r="M322" s="1" t="n">
        <v>0</v>
      </c>
      <c r="N322" s="1" t="s">
        <v>247</v>
      </c>
      <c r="Z322" s="0" t="n">
        <f aca="false">I322-35</f>
        <v>-29.5</v>
      </c>
      <c r="AB322" s="0" t="n">
        <f aca="false">IF(Z322&lt;0,Z322+360,Z322+0)</f>
        <v>330.5</v>
      </c>
    </row>
    <row r="323" customFormat="false" ht="15.8" hidden="false" customHeight="false" outlineLevel="0" collapsed="false">
      <c r="A323" s="1" t="n">
        <v>9</v>
      </c>
      <c r="B323" s="1" t="n">
        <v>10</v>
      </c>
      <c r="C323" s="1" t="n">
        <v>3.2</v>
      </c>
      <c r="D323" s="1" t="n">
        <v>1.2241</v>
      </c>
      <c r="E323" s="1" t="n">
        <v>0.111074</v>
      </c>
      <c r="F323" s="1" t="n">
        <v>0.00030307</v>
      </c>
      <c r="G323" s="1" t="s">
        <v>59</v>
      </c>
      <c r="H323" s="1" t="n">
        <v>53.2</v>
      </c>
      <c r="I323" s="1" t="n">
        <v>8.2</v>
      </c>
      <c r="J323" s="1" t="n">
        <v>29.9</v>
      </c>
      <c r="K323" s="1" t="n">
        <v>59.5</v>
      </c>
      <c r="L323" s="1" t="n">
        <v>0</v>
      </c>
      <c r="M323" s="1" t="n">
        <v>0</v>
      </c>
      <c r="N323" s="1" t="s">
        <v>252</v>
      </c>
      <c r="Z323" s="0" t="n">
        <f aca="false">I323-35</f>
        <v>-26.8</v>
      </c>
      <c r="AB323" s="0" t="n">
        <f aca="false">IF(Z323&lt;0,Z323+360,Z323+0)</f>
        <v>333.2</v>
      </c>
    </row>
    <row r="324" customFormat="false" ht="15.8" hidden="false" customHeight="false" outlineLevel="0" collapsed="false">
      <c r="A324" s="1" t="n">
        <v>9</v>
      </c>
      <c r="B324" s="1" t="n">
        <v>10</v>
      </c>
      <c r="C324" s="1" t="n">
        <v>0.9</v>
      </c>
      <c r="D324" s="1" t="n">
        <v>1.1315</v>
      </c>
      <c r="E324" s="1" t="n">
        <v>0.0302958</v>
      </c>
      <c r="F324" s="1" t="n">
        <v>8.2663E-005</v>
      </c>
      <c r="G324" s="1" t="s">
        <v>27</v>
      </c>
      <c r="H324" s="1" t="n">
        <v>80.8</v>
      </c>
      <c r="I324" s="1" t="n">
        <v>153.4</v>
      </c>
      <c r="J324" s="1" t="n">
        <v>25</v>
      </c>
      <c r="K324" s="1"/>
      <c r="L324" s="1" t="n">
        <v>0</v>
      </c>
      <c r="M324" s="1" t="n">
        <v>0</v>
      </c>
      <c r="N324" s="1" t="s">
        <v>252</v>
      </c>
      <c r="Z324" s="0" t="n">
        <f aca="false">I324-35</f>
        <v>118.4</v>
      </c>
      <c r="AB324" s="0" t="n">
        <f aca="false">IF(Z324&lt;0,Z324+360,Z324+0)</f>
        <v>118.4</v>
      </c>
    </row>
    <row r="325" customFormat="false" ht="15.8" hidden="false" customHeight="false" outlineLevel="0" collapsed="false">
      <c r="A325" s="1" t="n">
        <v>9</v>
      </c>
      <c r="B325" s="1" t="n">
        <v>9</v>
      </c>
      <c r="C325" s="1" t="n">
        <v>4.1</v>
      </c>
      <c r="D325" s="1" t="n">
        <v>1.2735</v>
      </c>
      <c r="E325" s="1" t="n">
        <v>0.140935</v>
      </c>
      <c r="F325" s="1" t="n">
        <v>0.000384546</v>
      </c>
      <c r="G325" s="1" t="s">
        <v>59</v>
      </c>
      <c r="H325" s="1" t="n">
        <v>47.7</v>
      </c>
      <c r="I325" s="1" t="n">
        <v>65.4</v>
      </c>
      <c r="J325" s="1" t="n">
        <v>17.9</v>
      </c>
      <c r="K325" s="1" t="n">
        <v>80.8</v>
      </c>
      <c r="L325" s="1" t="n">
        <v>0</v>
      </c>
      <c r="M325" s="1" t="n">
        <v>0</v>
      </c>
      <c r="N325" s="1" t="s">
        <v>237</v>
      </c>
      <c r="Z325" s="0" t="n">
        <f aca="false">I325-35</f>
        <v>30.4</v>
      </c>
      <c r="AB325" s="0" t="n">
        <f aca="false">IF(Z325&lt;0,Z325+360,Z325+0)</f>
        <v>30.4</v>
      </c>
    </row>
    <row r="326" customFormat="false" ht="15.8" hidden="false" customHeight="false" outlineLevel="0" collapsed="false">
      <c r="A326" s="1" t="n">
        <v>9</v>
      </c>
      <c r="B326" s="1" t="n">
        <v>8</v>
      </c>
      <c r="C326" s="1" t="n">
        <v>1.6</v>
      </c>
      <c r="D326" s="1" t="n">
        <v>1.1386</v>
      </c>
      <c r="E326" s="1" t="n">
        <v>0.0559035</v>
      </c>
      <c r="F326" s="1" t="n">
        <v>0.000152535</v>
      </c>
      <c r="G326" s="1" t="s">
        <v>59</v>
      </c>
      <c r="H326" s="1" t="n">
        <v>55.7</v>
      </c>
      <c r="I326" s="1" t="n">
        <v>114.8</v>
      </c>
      <c r="J326" s="1" t="n">
        <v>13.3</v>
      </c>
      <c r="K326" s="1" t="n">
        <v>47.7</v>
      </c>
      <c r="L326" s="1" t="n">
        <v>0</v>
      </c>
      <c r="M326" s="1" t="n">
        <v>0</v>
      </c>
      <c r="N326" s="1" t="s">
        <v>253</v>
      </c>
      <c r="Z326" s="0" t="n">
        <f aca="false">I326-35</f>
        <v>79.8</v>
      </c>
      <c r="AB326" s="0" t="n">
        <f aca="false">IF(Z326&lt;0,Z326+360,Z326+0)</f>
        <v>79.8</v>
      </c>
    </row>
    <row r="327" customFormat="false" ht="15.8" hidden="false" customHeight="false" outlineLevel="0" collapsed="false">
      <c r="A327" s="1" t="n">
        <v>9</v>
      </c>
      <c r="B327" s="1" t="n">
        <v>16</v>
      </c>
      <c r="C327" s="1" t="n">
        <v>2.1</v>
      </c>
      <c r="D327" s="1" t="n">
        <v>1.4012</v>
      </c>
      <c r="E327" s="1" t="n">
        <v>0.0728992</v>
      </c>
      <c r="F327" s="1" t="n">
        <v>0.000198908</v>
      </c>
      <c r="G327" s="1" t="s">
        <v>27</v>
      </c>
      <c r="H327" s="1" t="n">
        <v>74.4</v>
      </c>
      <c r="I327" s="1" t="n">
        <v>119.6</v>
      </c>
      <c r="J327" s="1" t="n">
        <v>12.6</v>
      </c>
      <c r="K327" s="1"/>
      <c r="L327" s="1" t="n">
        <v>0</v>
      </c>
      <c r="M327" s="1" t="n">
        <v>0</v>
      </c>
      <c r="N327" s="1" t="s">
        <v>254</v>
      </c>
      <c r="Z327" s="0" t="n">
        <f aca="false">I327-35</f>
        <v>84.6</v>
      </c>
      <c r="AB327" s="0" t="n">
        <f aca="false">IF(Z327&lt;0,Z327+360,Z327+0)</f>
        <v>84.6</v>
      </c>
    </row>
    <row r="328" customFormat="false" ht="15.8" hidden="false" customHeight="false" outlineLevel="0" collapsed="false">
      <c r="A328" s="1" t="n">
        <v>9</v>
      </c>
      <c r="B328" s="1" t="n">
        <v>17</v>
      </c>
      <c r="C328" s="1" t="n">
        <v>1.8</v>
      </c>
      <c r="D328" s="1" t="n">
        <v>1.1149</v>
      </c>
      <c r="E328" s="1" t="n">
        <v>0.0608611</v>
      </c>
      <c r="F328" s="1" t="n">
        <v>0.000166062</v>
      </c>
      <c r="G328" s="1" t="s">
        <v>27</v>
      </c>
      <c r="H328" s="1" t="n">
        <v>18.2</v>
      </c>
      <c r="I328" s="1" t="n">
        <v>343.7</v>
      </c>
      <c r="J328" s="1" t="n">
        <v>0</v>
      </c>
      <c r="K328" s="1"/>
      <c r="L328" s="1" t="n">
        <v>0</v>
      </c>
      <c r="M328" s="1" t="n">
        <v>0</v>
      </c>
      <c r="N328" s="1" t="s">
        <v>255</v>
      </c>
      <c r="Z328" s="0" t="n">
        <f aca="false">I328-35</f>
        <v>308.7</v>
      </c>
      <c r="AB328" s="0" t="n">
        <f aca="false">IF(Z328&lt;0,Z328+360,Z328+0)</f>
        <v>308.7</v>
      </c>
    </row>
    <row r="329" customFormat="false" ht="15.8" hidden="false" customHeight="false" outlineLevel="0" collapsed="false">
      <c r="A329" s="1" t="n">
        <v>9</v>
      </c>
      <c r="B329" s="1" t="n">
        <v>17</v>
      </c>
      <c r="C329" s="1" t="n">
        <v>1</v>
      </c>
      <c r="D329" s="1" t="n">
        <v>1.1896</v>
      </c>
      <c r="E329" s="1" t="n">
        <v>0.0356871</v>
      </c>
      <c r="F329" s="1" t="n">
        <v>9.73735E-005</v>
      </c>
      <c r="G329" s="1" t="s">
        <v>27</v>
      </c>
      <c r="H329" s="1" t="n">
        <v>139.1</v>
      </c>
      <c r="I329" s="1" t="n">
        <v>184.6</v>
      </c>
      <c r="J329" s="1" t="n">
        <v>-22.2</v>
      </c>
      <c r="K329" s="1"/>
      <c r="L329" s="1" t="n">
        <v>0</v>
      </c>
      <c r="M329" s="1" t="n">
        <v>0</v>
      </c>
      <c r="N329" s="1" t="s">
        <v>255</v>
      </c>
      <c r="Z329" s="0" t="n">
        <f aca="false">I329-35</f>
        <v>149.6</v>
      </c>
      <c r="AB329" s="0" t="n">
        <f aca="false">IF(Z329&lt;0,Z329+360,Z329+0)</f>
        <v>149.6</v>
      </c>
    </row>
    <row r="330" customFormat="false" ht="15.8" hidden="false" customHeight="false" outlineLevel="0" collapsed="false">
      <c r="A330" s="1" t="n">
        <v>9</v>
      </c>
      <c r="B330" s="1" t="n">
        <v>16</v>
      </c>
      <c r="C330" s="1" t="n">
        <v>2.7</v>
      </c>
      <c r="D330" s="1" t="n">
        <v>1.1822</v>
      </c>
      <c r="E330" s="1" t="n">
        <v>0.0938697</v>
      </c>
      <c r="F330" s="1" t="n">
        <v>0.000256127</v>
      </c>
      <c r="G330" s="1" t="s">
        <v>59</v>
      </c>
      <c r="H330" s="1" t="n">
        <v>55.8</v>
      </c>
      <c r="I330" s="1" t="n">
        <v>351.2</v>
      </c>
      <c r="J330" s="1" t="n">
        <v>-16.6</v>
      </c>
      <c r="K330" s="1" t="n">
        <v>139.1</v>
      </c>
      <c r="L330" s="1" t="n">
        <v>0</v>
      </c>
      <c r="M330" s="1" t="n">
        <v>0</v>
      </c>
      <c r="N330" s="1" t="s">
        <v>254</v>
      </c>
      <c r="Z330" s="0" t="n">
        <f aca="false">I330-35</f>
        <v>316.2</v>
      </c>
      <c r="AB330" s="0" t="n">
        <f aca="false">IF(Z330&lt;0,Z330+360,Z330+0)</f>
        <v>316.2</v>
      </c>
    </row>
    <row r="331" customFormat="false" ht="15.8" hidden="false" customHeight="false" outlineLevel="0" collapsed="false">
      <c r="A331" s="1" t="n">
        <v>9</v>
      </c>
      <c r="B331" s="1" t="n">
        <v>15</v>
      </c>
      <c r="C331" s="1" t="n">
        <v>1.8</v>
      </c>
      <c r="D331" s="1" t="n">
        <v>1.0928</v>
      </c>
      <c r="E331" s="1" t="n">
        <v>0.0610423</v>
      </c>
      <c r="F331" s="1" t="n">
        <v>0.000166556</v>
      </c>
      <c r="G331" s="1" t="s">
        <v>59</v>
      </c>
      <c r="H331" s="1" t="n">
        <v>35.2</v>
      </c>
      <c r="I331" s="1" t="n">
        <v>48.7</v>
      </c>
      <c r="J331" s="1" t="n">
        <v>-11.7</v>
      </c>
      <c r="K331" s="1" t="n">
        <v>74.4</v>
      </c>
      <c r="L331" s="1" t="n">
        <v>0</v>
      </c>
      <c r="M331" s="1" t="n">
        <v>0</v>
      </c>
      <c r="N331" s="1" t="s">
        <v>256</v>
      </c>
      <c r="Z331" s="0" t="n">
        <f aca="false">I331-35</f>
        <v>13.7</v>
      </c>
      <c r="AB331" s="0" t="n">
        <f aca="false">IF(Z331&lt;0,Z331+360,Z331+0)</f>
        <v>13.7</v>
      </c>
    </row>
    <row r="332" customFormat="false" ht="15.8" hidden="false" customHeight="false" outlineLevel="0" collapsed="false">
      <c r="A332" s="1" t="n">
        <v>9</v>
      </c>
      <c r="B332" s="1" t="n">
        <v>16</v>
      </c>
      <c r="C332" s="1" t="n">
        <v>4.2</v>
      </c>
      <c r="D332" s="1" t="n">
        <v>1.408</v>
      </c>
      <c r="E332" s="1" t="n">
        <v>0.145123</v>
      </c>
      <c r="F332" s="1" t="n">
        <v>0.000395973</v>
      </c>
      <c r="G332" s="1" t="s">
        <v>27</v>
      </c>
      <c r="H332" s="1" t="n">
        <v>61.3</v>
      </c>
      <c r="I332" s="1" t="n">
        <v>38.1</v>
      </c>
      <c r="J332" s="1" t="n">
        <v>-12.7</v>
      </c>
      <c r="K332" s="1"/>
      <c r="L332" s="1" t="n">
        <v>0</v>
      </c>
      <c r="M332" s="1" t="n">
        <v>0</v>
      </c>
      <c r="N332" s="1" t="s">
        <v>257</v>
      </c>
      <c r="Z332" s="0" t="n">
        <f aca="false">I332-35</f>
        <v>3.1</v>
      </c>
      <c r="AB332" s="0" t="n">
        <f aca="false">IF(Z332&lt;0,Z332+360,Z332+0)</f>
        <v>3.1</v>
      </c>
    </row>
    <row r="333" customFormat="false" ht="15.8" hidden="false" customHeight="false" outlineLevel="0" collapsed="false">
      <c r="A333" s="1" t="n">
        <v>9</v>
      </c>
      <c r="B333" s="1" t="n">
        <v>21</v>
      </c>
      <c r="C333" s="1" t="n">
        <v>4.9</v>
      </c>
      <c r="D333" s="1" t="n">
        <v>1.2731</v>
      </c>
      <c r="E333" s="1" t="n">
        <v>0.167953</v>
      </c>
      <c r="F333" s="1" t="n">
        <v>0.000458266</v>
      </c>
      <c r="G333" s="1" t="s">
        <v>27</v>
      </c>
      <c r="H333" s="1" t="n">
        <v>82.3</v>
      </c>
      <c r="I333" s="1" t="n">
        <v>285.7</v>
      </c>
      <c r="J333" s="1" t="n">
        <v>14.9</v>
      </c>
      <c r="K333" s="1"/>
      <c r="L333" s="1" t="n">
        <v>0</v>
      </c>
      <c r="M333" s="1" t="n">
        <v>0</v>
      </c>
      <c r="N333" s="1" t="s">
        <v>258</v>
      </c>
      <c r="Z333" s="0" t="n">
        <f aca="false">I333-35</f>
        <v>250.7</v>
      </c>
      <c r="AB333" s="0" t="n">
        <f aca="false">IF(Z333&lt;0,Z333+360,Z333+0)</f>
        <v>250.7</v>
      </c>
    </row>
    <row r="334" customFormat="false" ht="15.8" hidden="false" customHeight="false" outlineLevel="0" collapsed="false">
      <c r="A334" s="1" t="n">
        <v>9</v>
      </c>
      <c r="B334" s="1" t="n">
        <v>21</v>
      </c>
      <c r="C334" s="1" t="n">
        <v>1.8</v>
      </c>
      <c r="D334" s="1" t="n">
        <v>1.0316</v>
      </c>
      <c r="E334" s="1" t="n">
        <v>0.0630605</v>
      </c>
      <c r="F334" s="1" t="n">
        <v>0.000172063</v>
      </c>
      <c r="G334" s="1" t="s">
        <v>27</v>
      </c>
      <c r="H334" s="1" t="n">
        <v>17.1</v>
      </c>
      <c r="I334" s="1" t="n">
        <v>7.4</v>
      </c>
      <c r="J334" s="1" t="n">
        <v>0</v>
      </c>
      <c r="K334" s="1"/>
      <c r="L334" s="1" t="n">
        <v>0</v>
      </c>
      <c r="M334" s="1" t="n">
        <v>0</v>
      </c>
      <c r="N334" s="1" t="s">
        <v>258</v>
      </c>
      <c r="Z334" s="0" t="n">
        <f aca="false">I334-35</f>
        <v>-27.6</v>
      </c>
      <c r="AB334" s="0" t="n">
        <f aca="false">IF(Z334&lt;0,Z334+360,Z334+0)</f>
        <v>332.4</v>
      </c>
    </row>
    <row r="335" customFormat="false" ht="15.8" hidden="false" customHeight="false" outlineLevel="0" collapsed="false">
      <c r="A335" s="1" t="n">
        <v>9</v>
      </c>
      <c r="B335" s="1" t="n">
        <v>20</v>
      </c>
      <c r="C335" s="1" t="n">
        <v>1.3</v>
      </c>
      <c r="D335" s="1" t="n">
        <v>1.0785</v>
      </c>
      <c r="E335" s="1" t="n">
        <v>0.0429856</v>
      </c>
      <c r="F335" s="1" t="n">
        <v>0.000117288</v>
      </c>
      <c r="G335" s="1" t="s">
        <v>59</v>
      </c>
      <c r="H335" s="1" t="n">
        <v>65.6</v>
      </c>
      <c r="I335" s="1" t="n">
        <v>2.8</v>
      </c>
      <c r="J335" s="1" t="n">
        <v>-16.5</v>
      </c>
      <c r="K335" s="1" t="n">
        <v>82.3</v>
      </c>
      <c r="L335" s="1" t="n">
        <v>0</v>
      </c>
      <c r="M335" s="1" t="n">
        <v>0</v>
      </c>
      <c r="N335" s="1" t="s">
        <v>259</v>
      </c>
      <c r="Z335" s="0" t="n">
        <f aca="false">I335-35</f>
        <v>-32.2</v>
      </c>
      <c r="AB335" s="0" t="n">
        <f aca="false">IF(Z335&lt;0,Z335+360,Z335+0)</f>
        <v>327.8</v>
      </c>
    </row>
    <row r="336" customFormat="false" ht="15.8" hidden="false" customHeight="false" outlineLevel="0" collapsed="false">
      <c r="A336" s="1" t="n">
        <v>9</v>
      </c>
      <c r="B336" s="1" t="n">
        <v>20</v>
      </c>
      <c r="C336" s="1" t="n">
        <v>2.7</v>
      </c>
      <c r="D336" s="1" t="n">
        <v>1.1659</v>
      </c>
      <c r="E336" s="1" t="n">
        <v>0.0917892</v>
      </c>
      <c r="F336" s="1" t="n">
        <v>0.00025045</v>
      </c>
      <c r="G336" s="1" t="s">
        <v>27</v>
      </c>
      <c r="H336" s="1" t="n">
        <v>76.7</v>
      </c>
      <c r="I336" s="1" t="n">
        <v>230.7</v>
      </c>
      <c r="J336" s="1" t="n">
        <v>8.3</v>
      </c>
      <c r="K336" s="1"/>
      <c r="L336" s="1" t="n">
        <v>0</v>
      </c>
      <c r="M336" s="1" t="n">
        <v>0</v>
      </c>
      <c r="N336" s="1" t="s">
        <v>259</v>
      </c>
      <c r="Z336" s="0" t="n">
        <f aca="false">I336-35</f>
        <v>195.7</v>
      </c>
      <c r="AB336" s="0" t="n">
        <f aca="false">IF(Z336&lt;0,Z336+360,Z336+0)</f>
        <v>195.7</v>
      </c>
    </row>
    <row r="337" customFormat="false" ht="15.8" hidden="false" customHeight="false" outlineLevel="0" collapsed="false">
      <c r="A337" s="1" t="n">
        <v>9</v>
      </c>
      <c r="B337" s="1" t="n">
        <v>19</v>
      </c>
      <c r="C337" s="1" t="n">
        <v>6.3</v>
      </c>
      <c r="D337" s="1" t="n">
        <v>1.265</v>
      </c>
      <c r="E337" s="1" t="n">
        <v>0.215231</v>
      </c>
      <c r="F337" s="1" t="n">
        <v>0.000587265</v>
      </c>
      <c r="G337" s="1" t="s">
        <v>59</v>
      </c>
      <c r="H337" s="1" t="n">
        <v>23.8</v>
      </c>
      <c r="I337" s="1" t="n">
        <v>309.6</v>
      </c>
      <c r="J337" s="1" t="n">
        <v>23.5</v>
      </c>
      <c r="K337" s="1" t="n">
        <v>76.7</v>
      </c>
      <c r="L337" s="1" t="n">
        <v>0</v>
      </c>
      <c r="M337" s="1" t="n">
        <v>0</v>
      </c>
      <c r="N337" s="1" t="s">
        <v>260</v>
      </c>
      <c r="Z337" s="0" t="n">
        <f aca="false">I337-35</f>
        <v>274.6</v>
      </c>
      <c r="AB337" s="0" t="n">
        <f aca="false">IF(Z337&lt;0,Z337+360,Z337+0)</f>
        <v>274.6</v>
      </c>
    </row>
    <row r="338" customFormat="false" ht="15.8" hidden="false" customHeight="false" outlineLevel="0" collapsed="false">
      <c r="A338" s="1" t="n">
        <v>9</v>
      </c>
      <c r="B338" s="1" t="n">
        <v>19</v>
      </c>
      <c r="C338" s="1" t="n">
        <v>0.7</v>
      </c>
      <c r="D338" s="1" t="n">
        <v>1.0195</v>
      </c>
      <c r="E338" s="1" t="n">
        <v>0.0253649</v>
      </c>
      <c r="F338" s="1" t="n">
        <v>6.92091E-005</v>
      </c>
      <c r="G338" s="1" t="s">
        <v>27</v>
      </c>
      <c r="H338" s="1" t="n">
        <v>99.9</v>
      </c>
      <c r="I338" s="1" t="n">
        <v>186.9</v>
      </c>
      <c r="J338" s="1" t="n">
        <v>0</v>
      </c>
      <c r="K338" s="1"/>
      <c r="L338" s="1" t="n">
        <v>0</v>
      </c>
      <c r="M338" s="1" t="n">
        <v>0</v>
      </c>
      <c r="N338" s="1" t="s">
        <v>260</v>
      </c>
      <c r="Z338" s="0" t="n">
        <f aca="false">I338-35</f>
        <v>151.9</v>
      </c>
      <c r="AB338" s="0" t="n">
        <f aca="false">IF(Z338&lt;0,Z338+360,Z338+0)</f>
        <v>151.9</v>
      </c>
    </row>
    <row r="339" customFormat="false" ht="15.8" hidden="false" customHeight="false" outlineLevel="0" collapsed="false">
      <c r="A339" s="1" t="n">
        <v>9</v>
      </c>
      <c r="B339" s="1" t="n">
        <v>18</v>
      </c>
      <c r="C339" s="1" t="n">
        <v>2.1</v>
      </c>
      <c r="D339" s="1" t="n">
        <v>1.3844</v>
      </c>
      <c r="E339" s="1" t="n">
        <v>0.0720187</v>
      </c>
      <c r="F339" s="1" t="n">
        <v>0.000196505</v>
      </c>
      <c r="G339" s="1" t="s">
        <v>59</v>
      </c>
      <c r="H339" s="1" t="n">
        <v>40.9</v>
      </c>
      <c r="I339" s="1" t="n">
        <v>290</v>
      </c>
      <c r="J339" s="1" t="n">
        <v>40.7</v>
      </c>
      <c r="K339" s="1" t="n">
        <v>99.9</v>
      </c>
      <c r="L339" s="1" t="n">
        <v>0</v>
      </c>
      <c r="M339" s="1" t="n">
        <v>0</v>
      </c>
      <c r="N339" s="1" t="s">
        <v>261</v>
      </c>
      <c r="Z339" s="0" t="n">
        <f aca="false">I339-35</f>
        <v>255</v>
      </c>
      <c r="AB339" s="0" t="n">
        <f aca="false">IF(Z339&lt;0,Z339+360,Z339+0)</f>
        <v>255</v>
      </c>
    </row>
    <row r="340" customFormat="false" ht="15.8" hidden="false" customHeight="false" outlineLevel="0" collapsed="false">
      <c r="A340" s="1" t="n">
        <v>9</v>
      </c>
      <c r="B340" s="1" t="n">
        <v>18</v>
      </c>
      <c r="C340" s="1" t="n">
        <v>1.6</v>
      </c>
      <c r="D340" s="1" t="n">
        <v>1.1262</v>
      </c>
      <c r="E340" s="1" t="n">
        <v>0.0557302</v>
      </c>
      <c r="F340" s="1" t="n">
        <v>0.000152062</v>
      </c>
      <c r="G340" s="1" t="s">
        <v>27</v>
      </c>
      <c r="H340" s="1" t="n">
        <v>97.2</v>
      </c>
      <c r="I340" s="1" t="n">
        <v>197.2</v>
      </c>
      <c r="J340" s="1" t="n">
        <v>13.2</v>
      </c>
      <c r="K340" s="1"/>
      <c r="L340" s="1" t="n">
        <v>0</v>
      </c>
      <c r="M340" s="1" t="n">
        <v>0</v>
      </c>
      <c r="N340" s="1" t="s">
        <v>261</v>
      </c>
      <c r="Z340" s="0" t="n">
        <f aca="false">I340-35</f>
        <v>162.2</v>
      </c>
      <c r="AB340" s="0" t="n">
        <f aca="false">IF(Z340&lt;0,Z340+360,Z340+0)</f>
        <v>162.2</v>
      </c>
    </row>
    <row r="341" customFormat="false" ht="15.8" hidden="false" customHeight="false" outlineLevel="0" collapsed="false">
      <c r="A341" s="1" t="n">
        <v>9</v>
      </c>
      <c r="B341" s="1" t="n">
        <v>18</v>
      </c>
      <c r="C341" s="1" t="n">
        <v>0.8</v>
      </c>
      <c r="D341" s="1" t="n">
        <v>1.1814</v>
      </c>
      <c r="E341" s="1" t="n">
        <v>0.028125</v>
      </c>
      <c r="F341" s="1" t="n">
        <v>7.67399E-005</v>
      </c>
      <c r="G341" s="1" t="s">
        <v>27</v>
      </c>
      <c r="H341" s="1" t="n">
        <v>84.9</v>
      </c>
      <c r="I341" s="1" t="n">
        <v>18.8</v>
      </c>
      <c r="J341" s="1" t="n">
        <v>-28.4</v>
      </c>
      <c r="K341" s="1"/>
      <c r="L341" s="1" t="n">
        <v>0</v>
      </c>
      <c r="M341" s="1" t="n">
        <v>0</v>
      </c>
      <c r="N341" s="1" t="s">
        <v>261</v>
      </c>
      <c r="Z341" s="0" t="n">
        <f aca="false">I341-35</f>
        <v>-16.2</v>
      </c>
      <c r="AB341" s="0" t="n">
        <f aca="false">IF(Z341&lt;0,Z341+360,Z341+0)</f>
        <v>343.8</v>
      </c>
    </row>
    <row r="342" customFormat="false" ht="15.8" hidden="false" customHeight="false" outlineLevel="0" collapsed="false">
      <c r="A342" s="1" t="n">
        <v>9</v>
      </c>
      <c r="B342" s="1" t="n">
        <v>17</v>
      </c>
      <c r="C342" s="1" t="n">
        <v>1.7</v>
      </c>
      <c r="D342" s="1" t="n">
        <v>1.346</v>
      </c>
      <c r="E342" s="1" t="n">
        <v>0.0592797</v>
      </c>
      <c r="F342" s="1" t="n">
        <v>0.000161747</v>
      </c>
      <c r="G342" s="1" t="s">
        <v>59</v>
      </c>
      <c r="H342" s="1" t="n">
        <v>29.5</v>
      </c>
      <c r="I342" s="1" t="n">
        <v>294.6</v>
      </c>
      <c r="J342" s="1" t="n">
        <v>0</v>
      </c>
      <c r="K342" s="1" t="n">
        <v>97.2</v>
      </c>
      <c r="L342" s="1" t="n">
        <v>0</v>
      </c>
      <c r="M342" s="1" t="n">
        <v>0</v>
      </c>
      <c r="N342" s="1" t="s">
        <v>262</v>
      </c>
      <c r="Z342" s="0" t="n">
        <f aca="false">I342-35</f>
        <v>259.6</v>
      </c>
      <c r="AB342" s="0" t="n">
        <f aca="false">IF(Z342&lt;0,Z342+360,Z342+0)</f>
        <v>259.6</v>
      </c>
    </row>
    <row r="343" customFormat="false" ht="15.8" hidden="false" customHeight="false" outlineLevel="0" collapsed="false">
      <c r="A343" s="1" t="n">
        <v>9</v>
      </c>
      <c r="B343" s="1" t="n">
        <v>17</v>
      </c>
      <c r="C343" s="1" t="n">
        <v>1</v>
      </c>
      <c r="D343" s="1" t="n">
        <v>1.1642</v>
      </c>
      <c r="E343" s="1" t="n">
        <v>0.0328075</v>
      </c>
      <c r="F343" s="1" t="n">
        <v>8.95163E-005</v>
      </c>
      <c r="G343" s="1" t="s">
        <v>27</v>
      </c>
      <c r="H343" s="1" t="n">
        <v>63.7</v>
      </c>
      <c r="I343" s="1" t="n">
        <v>16.9</v>
      </c>
      <c r="J343" s="1" t="n">
        <v>23.7</v>
      </c>
      <c r="K343" s="1"/>
      <c r="L343" s="1" t="n">
        <v>0</v>
      </c>
      <c r="M343" s="1" t="n">
        <v>0</v>
      </c>
      <c r="N343" s="1" t="s">
        <v>262</v>
      </c>
      <c r="Z343" s="0" t="n">
        <f aca="false">I343-35</f>
        <v>-18.1</v>
      </c>
      <c r="AB343" s="0" t="n">
        <f aca="false">IF(Z343&lt;0,Z343+360,Z343+0)</f>
        <v>341.9</v>
      </c>
    </row>
    <row r="344" customFormat="false" ht="15.8" hidden="false" customHeight="false" outlineLevel="0" collapsed="false">
      <c r="A344" s="1" t="n">
        <v>9</v>
      </c>
      <c r="B344" s="1" t="n">
        <v>16</v>
      </c>
      <c r="C344" s="1" t="n">
        <v>2.7</v>
      </c>
      <c r="D344" s="1" t="n">
        <v>1.2815</v>
      </c>
      <c r="E344" s="1" t="n">
        <v>0.093621</v>
      </c>
      <c r="F344" s="1" t="n">
        <v>0.000255448</v>
      </c>
      <c r="G344" s="1" t="s">
        <v>59</v>
      </c>
      <c r="H344" s="1" t="n">
        <v>37</v>
      </c>
      <c r="I344" s="1" t="n">
        <v>305.3</v>
      </c>
      <c r="J344" s="1" t="n">
        <v>27.7</v>
      </c>
      <c r="K344" s="1" t="n">
        <v>63.7</v>
      </c>
      <c r="L344" s="1" t="n">
        <v>0</v>
      </c>
      <c r="M344" s="1" t="n">
        <v>0</v>
      </c>
      <c r="N344" s="1" t="s">
        <v>257</v>
      </c>
      <c r="Z344" s="0" t="n">
        <f aca="false">I344-35</f>
        <v>270.3</v>
      </c>
      <c r="AB344" s="0" t="n">
        <f aca="false">IF(Z344&lt;0,Z344+360,Z344+0)</f>
        <v>270.3</v>
      </c>
    </row>
    <row r="345" customFormat="false" ht="15.8" hidden="false" customHeight="false" outlineLevel="0" collapsed="false">
      <c r="A345" s="1" t="n">
        <v>9</v>
      </c>
      <c r="B345" s="1" t="n">
        <v>15</v>
      </c>
      <c r="C345" s="1" t="n">
        <v>2.9</v>
      </c>
      <c r="D345" s="1" t="n">
        <v>1.162</v>
      </c>
      <c r="E345" s="1" t="n">
        <v>0.0980996</v>
      </c>
      <c r="F345" s="1" t="n">
        <v>0.000267668</v>
      </c>
      <c r="G345" s="1" t="s">
        <v>59</v>
      </c>
      <c r="H345" s="1" t="n">
        <v>37.5</v>
      </c>
      <c r="I345" s="1" t="n">
        <v>343.1</v>
      </c>
      <c r="J345" s="1" t="n">
        <v>15.5</v>
      </c>
      <c r="K345" s="1" t="n">
        <v>61.3</v>
      </c>
      <c r="L345" s="1" t="n">
        <v>0</v>
      </c>
      <c r="M345" s="1" t="n">
        <v>0</v>
      </c>
      <c r="N345" s="1" t="s">
        <v>256</v>
      </c>
      <c r="Z345" s="0" t="n">
        <f aca="false">I345-35</f>
        <v>308.1</v>
      </c>
      <c r="AB345" s="0" t="n">
        <f aca="false">IF(Z345&lt;0,Z345+360,Z345+0)</f>
        <v>308.1</v>
      </c>
    </row>
    <row r="346" customFormat="false" ht="15.8" hidden="false" customHeight="false" outlineLevel="0" collapsed="false">
      <c r="A346" s="1" t="n">
        <v>9</v>
      </c>
      <c r="B346" s="1" t="n">
        <v>14</v>
      </c>
      <c r="C346" s="1" t="n">
        <v>2.8</v>
      </c>
      <c r="D346" s="1" t="n">
        <v>1.06</v>
      </c>
      <c r="E346" s="1" t="n">
        <v>0.09696</v>
      </c>
      <c r="F346" s="1" t="n">
        <v>0.000264559</v>
      </c>
      <c r="G346" s="1" t="s">
        <v>59</v>
      </c>
      <c r="H346" s="1" t="n">
        <v>29.8</v>
      </c>
      <c r="I346" s="1" t="n">
        <v>13.3</v>
      </c>
      <c r="J346" s="1" t="n">
        <v>-7.1</v>
      </c>
      <c r="K346" s="1" t="n">
        <v>37.5</v>
      </c>
      <c r="L346" s="1" t="n">
        <v>0</v>
      </c>
      <c r="M346" s="1" t="n">
        <v>0</v>
      </c>
      <c r="N346" s="1" t="s">
        <v>263</v>
      </c>
      <c r="Z346" s="0" t="n">
        <f aca="false">I346-35</f>
        <v>-21.7</v>
      </c>
      <c r="AB346" s="0" t="n">
        <f aca="false">IF(Z346&lt;0,Z346+360,Z346+0)</f>
        <v>338.3</v>
      </c>
    </row>
    <row r="347" customFormat="false" ht="15.8" hidden="false" customHeight="false" outlineLevel="0" collapsed="false">
      <c r="A347" s="1" t="n">
        <v>9</v>
      </c>
      <c r="B347" s="1" t="n">
        <v>15</v>
      </c>
      <c r="C347" s="1" t="n">
        <v>0.8</v>
      </c>
      <c r="D347" s="1" t="n">
        <v>1.0249</v>
      </c>
      <c r="E347" s="1" t="n">
        <v>0.0258799</v>
      </c>
      <c r="F347" s="1" t="n">
        <v>7.06142E-005</v>
      </c>
      <c r="G347" s="1" t="s">
        <v>27</v>
      </c>
      <c r="H347" s="1" t="n">
        <v>37</v>
      </c>
      <c r="I347" s="1" t="n">
        <v>309.6</v>
      </c>
      <c r="J347" s="1" t="n">
        <v>0</v>
      </c>
      <c r="K347" s="1"/>
      <c r="L347" s="1" t="n">
        <v>0</v>
      </c>
      <c r="M347" s="1" t="n">
        <v>0</v>
      </c>
      <c r="N347" s="1" t="s">
        <v>264</v>
      </c>
      <c r="Z347" s="0" t="n">
        <f aca="false">I347-35</f>
        <v>274.6</v>
      </c>
      <c r="AB347" s="0" t="n">
        <f aca="false">IF(Z347&lt;0,Z347+360,Z347+0)</f>
        <v>274.6</v>
      </c>
    </row>
    <row r="348" customFormat="false" ht="15.8" hidden="false" customHeight="false" outlineLevel="0" collapsed="false">
      <c r="A348" s="1" t="n">
        <v>9</v>
      </c>
      <c r="B348" s="1" t="n">
        <v>15</v>
      </c>
      <c r="C348" s="1" t="n">
        <v>1.1</v>
      </c>
      <c r="D348" s="1" t="n">
        <v>1.2062</v>
      </c>
      <c r="E348" s="1" t="n">
        <v>0.0387826</v>
      </c>
      <c r="F348" s="1" t="n">
        <v>0.00010582</v>
      </c>
      <c r="G348" s="1" t="s">
        <v>27</v>
      </c>
      <c r="H348" s="1" t="n">
        <v>134.9</v>
      </c>
      <c r="I348" s="1" t="n">
        <v>125</v>
      </c>
      <c r="J348" s="1" t="n">
        <v>44.7</v>
      </c>
      <c r="K348" s="1"/>
      <c r="L348" s="1" t="n">
        <v>0</v>
      </c>
      <c r="M348" s="1" t="n">
        <v>0</v>
      </c>
      <c r="N348" s="1" t="s">
        <v>264</v>
      </c>
      <c r="Z348" s="0" t="n">
        <f aca="false">I348-35</f>
        <v>90</v>
      </c>
      <c r="AB348" s="0" t="n">
        <f aca="false">IF(Z348&lt;0,Z348+360,Z348+0)</f>
        <v>90</v>
      </c>
    </row>
    <row r="349" customFormat="false" ht="15.8" hidden="false" customHeight="false" outlineLevel="0" collapsed="false">
      <c r="A349" s="1" t="n">
        <v>9</v>
      </c>
      <c r="B349" s="1" t="n">
        <v>14</v>
      </c>
      <c r="C349" s="1" t="n">
        <v>3.4</v>
      </c>
      <c r="D349" s="1" t="n">
        <v>1.5683</v>
      </c>
      <c r="E349" s="1" t="n">
        <v>0.116603</v>
      </c>
      <c r="F349" s="1" t="n">
        <v>0.000318155</v>
      </c>
      <c r="G349" s="1" t="s">
        <v>59</v>
      </c>
      <c r="H349" s="1" t="n">
        <v>71</v>
      </c>
      <c r="I349" s="1" t="n">
        <v>273.5</v>
      </c>
      <c r="J349" s="1" t="n">
        <v>-8.8</v>
      </c>
      <c r="K349" s="1" t="n">
        <v>134.9</v>
      </c>
      <c r="L349" s="1" t="n">
        <v>0</v>
      </c>
      <c r="M349" s="1" t="n">
        <v>0</v>
      </c>
      <c r="N349" s="1" t="s">
        <v>263</v>
      </c>
      <c r="Z349" s="0" t="n">
        <f aca="false">I349-35</f>
        <v>238.5</v>
      </c>
      <c r="AB349" s="0" t="n">
        <f aca="false">IF(Z349&lt;0,Z349+360,Z349+0)</f>
        <v>238.5</v>
      </c>
    </row>
    <row r="350" customFormat="false" ht="15.8" hidden="false" customHeight="false" outlineLevel="0" collapsed="false">
      <c r="A350" s="1" t="n">
        <v>9</v>
      </c>
      <c r="B350" s="1" t="n">
        <v>13</v>
      </c>
      <c r="C350" s="1" t="n">
        <v>1.4</v>
      </c>
      <c r="D350" s="1" t="n">
        <v>1.0186</v>
      </c>
      <c r="E350" s="1" t="n">
        <v>0.0479074</v>
      </c>
      <c r="F350" s="1" t="n">
        <v>0.000130717</v>
      </c>
      <c r="G350" s="1" t="s">
        <v>59</v>
      </c>
      <c r="H350" s="1" t="n">
        <v>19.1</v>
      </c>
      <c r="I350" s="1" t="n">
        <v>344.3</v>
      </c>
      <c r="J350" s="1" t="n">
        <v>0</v>
      </c>
      <c r="K350" s="1" t="n">
        <v>71</v>
      </c>
      <c r="L350" s="1" t="n">
        <v>0</v>
      </c>
      <c r="M350" s="1" t="n">
        <v>0</v>
      </c>
      <c r="N350" s="1" t="s">
        <v>265</v>
      </c>
      <c r="Z350" s="0" t="n">
        <f aca="false">I350-35</f>
        <v>309.3</v>
      </c>
      <c r="AB350" s="0" t="n">
        <f aca="false">IF(Z350&lt;0,Z350+360,Z350+0)</f>
        <v>309.3</v>
      </c>
    </row>
    <row r="351" customFormat="false" ht="15.8" hidden="false" customHeight="false" outlineLevel="0" collapsed="false">
      <c r="A351" s="1" t="n">
        <v>9</v>
      </c>
      <c r="B351" s="1" t="n">
        <v>13</v>
      </c>
      <c r="C351" s="1" t="n">
        <v>2.8</v>
      </c>
      <c r="D351" s="1" t="n">
        <v>1.7646</v>
      </c>
      <c r="E351" s="1" t="n">
        <v>0.0944934</v>
      </c>
      <c r="F351" s="1" t="n">
        <v>0.000257829</v>
      </c>
      <c r="G351" s="1" t="s">
        <v>27</v>
      </c>
      <c r="H351" s="1" t="n">
        <v>47.7</v>
      </c>
      <c r="I351" s="1" t="n">
        <v>32.8</v>
      </c>
      <c r="J351" s="1" t="n">
        <v>39.3</v>
      </c>
      <c r="K351" s="1"/>
      <c r="L351" s="1" t="n">
        <v>0</v>
      </c>
      <c r="M351" s="1" t="n">
        <v>0</v>
      </c>
      <c r="N351" s="1" t="s">
        <v>265</v>
      </c>
      <c r="Z351" s="0" t="n">
        <f aca="false">I351-35</f>
        <v>-2.2</v>
      </c>
      <c r="AB351" s="0" t="n">
        <f aca="false">IF(Z351&lt;0,Z351+360,Z351+0)</f>
        <v>357.8</v>
      </c>
    </row>
    <row r="352" customFormat="false" ht="15.8" hidden="false" customHeight="false" outlineLevel="0" collapsed="false">
      <c r="A352" s="1" t="n">
        <v>9</v>
      </c>
      <c r="B352" s="1" t="n">
        <v>12</v>
      </c>
      <c r="C352" s="1" t="n">
        <v>0.4</v>
      </c>
      <c r="D352" s="1" t="n">
        <v>1.0024</v>
      </c>
      <c r="E352" s="1" t="n">
        <v>0.0127762</v>
      </c>
      <c r="F352" s="1" t="n">
        <v>3.48602E-005</v>
      </c>
      <c r="G352" s="1" t="s">
        <v>59</v>
      </c>
      <c r="H352" s="1" t="n">
        <v>31.2</v>
      </c>
      <c r="I352" s="1" t="n">
        <v>3.4</v>
      </c>
      <c r="J352" s="1" t="n">
        <v>0</v>
      </c>
      <c r="K352" s="1" t="n">
        <v>47.7</v>
      </c>
      <c r="L352" s="1" t="n">
        <v>0</v>
      </c>
      <c r="M352" s="1" t="n">
        <v>0</v>
      </c>
      <c r="N352" s="1" t="s">
        <v>266</v>
      </c>
      <c r="Z352" s="0" t="n">
        <f aca="false">I352-35</f>
        <v>-31.6</v>
      </c>
      <c r="AB352" s="0" t="n">
        <f aca="false">IF(Z352&lt;0,Z352+360,Z352+0)</f>
        <v>328.4</v>
      </c>
    </row>
    <row r="353" customFormat="false" ht="15.8" hidden="false" customHeight="false" outlineLevel="0" collapsed="false">
      <c r="A353" s="1" t="n">
        <v>9</v>
      </c>
      <c r="B353" s="1" t="n">
        <v>12</v>
      </c>
      <c r="C353" s="1" t="n">
        <v>0.7</v>
      </c>
      <c r="D353" s="1" t="n">
        <v>1.0641</v>
      </c>
      <c r="E353" s="1" t="n">
        <v>0.0247849</v>
      </c>
      <c r="F353" s="1" t="n">
        <v>6.76264E-005</v>
      </c>
      <c r="G353" s="1" t="s">
        <v>27</v>
      </c>
      <c r="H353" s="1" t="n">
        <v>110.9</v>
      </c>
      <c r="I353" s="1" t="n">
        <v>223.7</v>
      </c>
      <c r="J353" s="1" t="n">
        <v>0</v>
      </c>
      <c r="K353" s="1"/>
      <c r="L353" s="1" t="n">
        <v>0</v>
      </c>
      <c r="M353" s="1" t="n">
        <v>0</v>
      </c>
      <c r="N353" s="1" t="s">
        <v>266</v>
      </c>
      <c r="Z353" s="0" t="n">
        <f aca="false">I353-35</f>
        <v>188.7</v>
      </c>
      <c r="AB353" s="0" t="n">
        <f aca="false">IF(Z353&lt;0,Z353+360,Z353+0)</f>
        <v>188.7</v>
      </c>
    </row>
    <row r="354" customFormat="false" ht="15.8" hidden="false" customHeight="false" outlineLevel="0" collapsed="false">
      <c r="A354" s="1" t="n">
        <v>9</v>
      </c>
      <c r="B354" s="1" t="n">
        <v>11</v>
      </c>
      <c r="C354" s="1" t="n">
        <v>3</v>
      </c>
      <c r="D354" s="1" t="n">
        <v>1.1257</v>
      </c>
      <c r="E354" s="1" t="n">
        <v>0.103079</v>
      </c>
      <c r="F354" s="1" t="n">
        <v>0.000281255</v>
      </c>
      <c r="G354" s="1" t="s">
        <v>59</v>
      </c>
      <c r="H354" s="1" t="n">
        <v>30.6</v>
      </c>
      <c r="I354" s="1" t="n">
        <v>335.3</v>
      </c>
      <c r="J354" s="1" t="n">
        <v>14.3</v>
      </c>
      <c r="K354" s="1" t="n">
        <v>110.9</v>
      </c>
      <c r="L354" s="1" t="n">
        <v>0</v>
      </c>
      <c r="M354" s="1" t="n">
        <v>0</v>
      </c>
      <c r="N354" s="1" t="s">
        <v>267</v>
      </c>
      <c r="Z354" s="0" t="n">
        <f aca="false">I354-35</f>
        <v>300.3</v>
      </c>
      <c r="AB354" s="0" t="n">
        <f aca="false">IF(Z354&lt;0,Z354+360,Z354+0)</f>
        <v>300.3</v>
      </c>
    </row>
    <row r="355" customFormat="false" ht="15.8" hidden="false" customHeight="false" outlineLevel="0" collapsed="false">
      <c r="A355" s="1" t="n">
        <v>9</v>
      </c>
      <c r="B355" s="1" t="n">
        <v>19</v>
      </c>
      <c r="C355" s="1" t="n">
        <v>2.1</v>
      </c>
      <c r="D355" s="1" t="n">
        <v>1.064</v>
      </c>
      <c r="E355" s="1" t="n">
        <v>0.0722578</v>
      </c>
      <c r="F355" s="1" t="n">
        <v>0.000197158</v>
      </c>
      <c r="G355" s="1" t="s">
        <v>27</v>
      </c>
      <c r="H355" s="1" t="n">
        <v>24.5</v>
      </c>
      <c r="I355" s="1" t="n">
        <v>25.1</v>
      </c>
      <c r="J355" s="1" t="n">
        <v>-9.6</v>
      </c>
      <c r="K355" s="1"/>
      <c r="L355" s="1" t="n">
        <v>0</v>
      </c>
      <c r="M355" s="1" t="n">
        <v>0</v>
      </c>
      <c r="N355" s="1" t="s">
        <v>268</v>
      </c>
      <c r="Z355" s="0" t="n">
        <f aca="false">I355-35</f>
        <v>-9.9</v>
      </c>
      <c r="AB355" s="0" t="n">
        <f aca="false">IF(Z355&lt;0,Z355+360,Z355+0)</f>
        <v>350.1</v>
      </c>
    </row>
    <row r="356" customFormat="false" ht="15.8" hidden="false" customHeight="false" outlineLevel="0" collapsed="false">
      <c r="A356" s="1" t="n">
        <v>9</v>
      </c>
      <c r="B356" s="1" t="n">
        <v>19</v>
      </c>
      <c r="C356" s="1" t="n">
        <v>4.1</v>
      </c>
      <c r="D356" s="1" t="n">
        <v>1.1941</v>
      </c>
      <c r="E356" s="1" t="n">
        <v>0.142013</v>
      </c>
      <c r="F356" s="1" t="n">
        <v>0.000387488</v>
      </c>
      <c r="G356" s="1" t="s">
        <v>27</v>
      </c>
      <c r="H356" s="1" t="n">
        <v>14</v>
      </c>
      <c r="I356" s="1" t="n">
        <v>15.4</v>
      </c>
      <c r="J356" s="1" t="n">
        <v>5.5</v>
      </c>
      <c r="K356" s="1"/>
      <c r="L356" s="1" t="n">
        <v>0</v>
      </c>
      <c r="M356" s="1" t="n">
        <v>0</v>
      </c>
      <c r="N356" s="1" t="s">
        <v>268</v>
      </c>
      <c r="Z356" s="0" t="n">
        <f aca="false">I356-35</f>
        <v>-19.6</v>
      </c>
      <c r="AB356" s="0" t="n">
        <f aca="false">IF(Z356&lt;0,Z356+360,Z356+0)</f>
        <v>340.4</v>
      </c>
    </row>
    <row r="357" customFormat="false" ht="15.8" hidden="false" customHeight="false" outlineLevel="0" collapsed="false">
      <c r="A357" s="1" t="n">
        <v>9</v>
      </c>
      <c r="B357" s="1" t="n">
        <v>18</v>
      </c>
      <c r="C357" s="1" t="n">
        <v>2.4</v>
      </c>
      <c r="D357" s="1" t="n">
        <v>1.0722</v>
      </c>
      <c r="E357" s="1" t="n">
        <v>0.0839382</v>
      </c>
      <c r="F357" s="1" t="n">
        <v>0.000229028</v>
      </c>
      <c r="G357" s="1" t="s">
        <v>59</v>
      </c>
      <c r="H357" s="1" t="n">
        <v>62.9</v>
      </c>
      <c r="I357" s="1" t="n">
        <v>2.5</v>
      </c>
      <c r="J357" s="1" t="n">
        <v>0</v>
      </c>
      <c r="K357" s="1" t="n">
        <v>24.5</v>
      </c>
      <c r="L357" s="1" t="n">
        <v>0</v>
      </c>
      <c r="M357" s="1" t="n">
        <v>0</v>
      </c>
      <c r="N357" s="1" t="s">
        <v>269</v>
      </c>
      <c r="Z357" s="0" t="n">
        <f aca="false">I357-35</f>
        <v>-32.5</v>
      </c>
      <c r="AB357" s="0" t="n">
        <f aca="false">IF(Z357&lt;0,Z357+360,Z357+0)</f>
        <v>327.5</v>
      </c>
    </row>
    <row r="358" customFormat="false" ht="15.8" hidden="false" customHeight="false" outlineLevel="0" collapsed="false">
      <c r="A358" s="1" t="n">
        <v>9</v>
      </c>
      <c r="B358" s="1" t="n">
        <v>18</v>
      </c>
      <c r="C358" s="1" t="n">
        <v>2.7</v>
      </c>
      <c r="D358" s="1" t="n">
        <v>1.1554</v>
      </c>
      <c r="E358" s="1" t="n">
        <v>0.093265</v>
      </c>
      <c r="F358" s="1" t="n">
        <v>0.000254477</v>
      </c>
      <c r="G358" s="1" t="s">
        <v>27</v>
      </c>
      <c r="H358" s="1" t="n">
        <v>95.7</v>
      </c>
      <c r="I358" s="1" t="n">
        <v>158.8</v>
      </c>
      <c r="J358" s="1" t="n">
        <v>16.3</v>
      </c>
      <c r="K358" s="1"/>
      <c r="L358" s="1" t="n">
        <v>0</v>
      </c>
      <c r="M358" s="1" t="n">
        <v>0</v>
      </c>
      <c r="N358" s="1" t="s">
        <v>269</v>
      </c>
      <c r="Z358" s="0" t="n">
        <f aca="false">I358-35</f>
        <v>123.8</v>
      </c>
      <c r="AB358" s="0" t="n">
        <f aca="false">IF(Z358&lt;0,Z358+360,Z358+0)</f>
        <v>123.8</v>
      </c>
    </row>
    <row r="359" customFormat="false" ht="15.8" hidden="false" customHeight="false" outlineLevel="0" collapsed="false">
      <c r="A359" s="1" t="n">
        <v>9</v>
      </c>
      <c r="B359" s="1" t="n">
        <v>18</v>
      </c>
      <c r="C359" s="1" t="n">
        <v>2.4</v>
      </c>
      <c r="D359" s="1" t="n">
        <v>1.1416</v>
      </c>
      <c r="E359" s="1" t="n">
        <v>0.0826637</v>
      </c>
      <c r="F359" s="1" t="n">
        <v>0.000225551</v>
      </c>
      <c r="G359" s="1" t="s">
        <v>27</v>
      </c>
      <c r="H359" s="1" t="n">
        <v>18.7</v>
      </c>
      <c r="I359" s="1" t="n">
        <v>57.4</v>
      </c>
      <c r="J359" s="1" t="n">
        <v>9</v>
      </c>
      <c r="K359" s="1"/>
      <c r="L359" s="1" t="n">
        <v>0</v>
      </c>
      <c r="M359" s="1" t="n">
        <v>0</v>
      </c>
      <c r="N359" s="1" t="s">
        <v>269</v>
      </c>
      <c r="Z359" s="0" t="n">
        <f aca="false">I359-35</f>
        <v>22.4</v>
      </c>
      <c r="AB359" s="0" t="n">
        <f aca="false">IF(Z359&lt;0,Z359+360,Z359+0)</f>
        <v>22.4</v>
      </c>
    </row>
    <row r="360" customFormat="false" ht="15.8" hidden="false" customHeight="false" outlineLevel="0" collapsed="false">
      <c r="A360" s="1" t="n">
        <v>9</v>
      </c>
      <c r="B360" s="1" t="n">
        <v>17</v>
      </c>
      <c r="C360" s="1" t="n">
        <v>2.6</v>
      </c>
      <c r="D360" s="1" t="n">
        <v>1.0901</v>
      </c>
      <c r="E360" s="1" t="n">
        <v>0.0881083</v>
      </c>
      <c r="F360" s="1" t="n">
        <v>0.000240407</v>
      </c>
      <c r="G360" s="1" t="s">
        <v>59</v>
      </c>
      <c r="H360" s="1" t="n">
        <v>24.1</v>
      </c>
      <c r="I360" s="1" t="n">
        <v>65.1</v>
      </c>
      <c r="J360" s="1" t="n">
        <v>-8</v>
      </c>
      <c r="K360" s="1" t="n">
        <v>95.7</v>
      </c>
      <c r="L360" s="1" t="n">
        <v>0</v>
      </c>
      <c r="M360" s="1" t="n">
        <v>0</v>
      </c>
      <c r="N360" s="1" t="s">
        <v>270</v>
      </c>
      <c r="Z360" s="0" t="n">
        <f aca="false">I360-35</f>
        <v>30.1</v>
      </c>
      <c r="AB360" s="0" t="n">
        <f aca="false">IF(Z360&lt;0,Z360+360,Z360+0)</f>
        <v>30.1</v>
      </c>
    </row>
    <row r="361" customFormat="false" ht="15.8" hidden="false" customHeight="false" outlineLevel="0" collapsed="false">
      <c r="A361" s="1" t="n">
        <v>9</v>
      </c>
      <c r="B361" s="1" t="n">
        <v>17</v>
      </c>
      <c r="C361" s="1" t="n">
        <v>4</v>
      </c>
      <c r="D361" s="1" t="n">
        <v>2.0172</v>
      </c>
      <c r="E361" s="1" t="n">
        <v>0.136772</v>
      </c>
      <c r="F361" s="1" t="n">
        <v>0.000373187</v>
      </c>
      <c r="G361" s="1" t="s">
        <v>27</v>
      </c>
      <c r="H361" s="1" t="n">
        <v>66.6</v>
      </c>
      <c r="I361" s="1" t="n">
        <v>107.4</v>
      </c>
      <c r="J361" s="1" t="n">
        <v>19.5</v>
      </c>
      <c r="K361" s="1"/>
      <c r="L361" s="1" t="n">
        <v>0</v>
      </c>
      <c r="M361" s="1" t="n">
        <v>0</v>
      </c>
      <c r="N361" s="1" t="s">
        <v>270</v>
      </c>
      <c r="Z361" s="0" t="n">
        <f aca="false">I361-35</f>
        <v>72.4</v>
      </c>
      <c r="AB361" s="0" t="n">
        <f aca="false">IF(Z361&lt;0,Z361+360,Z361+0)</f>
        <v>72.4</v>
      </c>
    </row>
    <row r="362" customFormat="false" ht="15.8" hidden="false" customHeight="false" outlineLevel="0" collapsed="false">
      <c r="A362" s="1" t="n">
        <v>9</v>
      </c>
      <c r="B362" s="1" t="n">
        <v>18</v>
      </c>
      <c r="C362" s="1" t="n">
        <v>3.8</v>
      </c>
      <c r="D362" s="1" t="n">
        <v>1.2217</v>
      </c>
      <c r="E362" s="1" t="n">
        <v>0.129058</v>
      </c>
      <c r="F362" s="1" t="n">
        <v>0.000352139</v>
      </c>
      <c r="G362" s="1" t="s">
        <v>27</v>
      </c>
      <c r="H362" s="1" t="n">
        <v>14.3</v>
      </c>
      <c r="I362" s="1" t="n">
        <v>4.2</v>
      </c>
      <c r="J362" s="1" t="n">
        <v>-12.4</v>
      </c>
      <c r="K362" s="1"/>
      <c r="L362" s="1" t="n">
        <v>0</v>
      </c>
      <c r="M362" s="1" t="n">
        <v>0</v>
      </c>
      <c r="N362" s="1" t="s">
        <v>271</v>
      </c>
      <c r="Z362" s="0" t="n">
        <f aca="false">I362-35</f>
        <v>-30.8</v>
      </c>
      <c r="AB362" s="0" t="n">
        <f aca="false">IF(Z362&lt;0,Z362+360,Z362+0)</f>
        <v>329.2</v>
      </c>
    </row>
    <row r="363" customFormat="false" ht="15.8" hidden="false" customHeight="false" outlineLevel="0" collapsed="false">
      <c r="A363" s="1" t="n">
        <v>9</v>
      </c>
      <c r="B363" s="1" t="n">
        <v>18</v>
      </c>
      <c r="C363" s="1" t="n">
        <v>3.7</v>
      </c>
      <c r="D363" s="1" t="n">
        <v>1.1779</v>
      </c>
      <c r="E363" s="1" t="n">
        <v>0.125399</v>
      </c>
      <c r="F363" s="1" t="n">
        <v>0.000342155</v>
      </c>
      <c r="G363" s="1" t="s">
        <v>27</v>
      </c>
      <c r="H363" s="1" t="n">
        <v>24.9</v>
      </c>
      <c r="I363" s="1" t="n">
        <v>21.9</v>
      </c>
      <c r="J363" s="1" t="n">
        <v>0</v>
      </c>
      <c r="K363" s="1"/>
      <c r="L363" s="1" t="n">
        <v>0</v>
      </c>
      <c r="M363" s="1" t="n">
        <v>0</v>
      </c>
      <c r="N363" s="1" t="s">
        <v>271</v>
      </c>
      <c r="Z363" s="0" t="n">
        <f aca="false">I363-35</f>
        <v>-13.1</v>
      </c>
      <c r="AB363" s="0" t="n">
        <f aca="false">IF(Z363&lt;0,Z363+360,Z363+0)</f>
        <v>346.9</v>
      </c>
    </row>
    <row r="364" customFormat="false" ht="15.8" hidden="false" customHeight="false" outlineLevel="0" collapsed="false">
      <c r="A364" s="1" t="n">
        <v>9</v>
      </c>
      <c r="B364" s="1" t="n">
        <v>17</v>
      </c>
      <c r="C364" s="1" t="n">
        <v>1.2</v>
      </c>
      <c r="D364" s="1" t="n">
        <v>1.0008</v>
      </c>
      <c r="E364" s="1" t="n">
        <v>0.0427534</v>
      </c>
      <c r="F364" s="1" t="n">
        <v>0.000116654</v>
      </c>
      <c r="G364" s="1" t="s">
        <v>59</v>
      </c>
      <c r="H364" s="1" t="n">
        <v>45.3</v>
      </c>
      <c r="I364" s="1" t="n">
        <v>357</v>
      </c>
      <c r="J364" s="1" t="n">
        <v>0</v>
      </c>
      <c r="K364" s="1" t="n">
        <v>24.9</v>
      </c>
      <c r="L364" s="1" t="n">
        <v>0</v>
      </c>
      <c r="M364" s="1" t="n">
        <v>0</v>
      </c>
      <c r="N364" s="1" t="s">
        <v>270</v>
      </c>
      <c r="Z364" s="0" t="n">
        <f aca="false">I364-35</f>
        <v>322</v>
      </c>
      <c r="AB364" s="0" t="n">
        <f aca="false">IF(Z364&lt;0,Z364+360,Z364+0)</f>
        <v>322</v>
      </c>
    </row>
    <row r="365" customFormat="false" ht="15.8" hidden="false" customHeight="false" outlineLevel="0" collapsed="false">
      <c r="A365" s="1" t="n">
        <v>9</v>
      </c>
      <c r="B365" s="1" t="n">
        <v>16</v>
      </c>
      <c r="C365" s="1" t="n">
        <v>3.1</v>
      </c>
      <c r="D365" s="1" t="n">
        <v>1.1155</v>
      </c>
      <c r="E365" s="1" t="n">
        <v>0.107265</v>
      </c>
      <c r="F365" s="1" t="n">
        <v>0.000292677</v>
      </c>
      <c r="G365" s="1" t="s">
        <v>59</v>
      </c>
      <c r="H365" s="1" t="n">
        <v>20.5</v>
      </c>
      <c r="I365" s="1" t="n">
        <v>42.3</v>
      </c>
      <c r="J365" s="1" t="n">
        <v>0</v>
      </c>
      <c r="K365" s="1" t="n">
        <v>66.6</v>
      </c>
      <c r="L365" s="1" t="n">
        <v>0</v>
      </c>
      <c r="M365" s="1" t="n">
        <v>0</v>
      </c>
      <c r="N365" s="1" t="s">
        <v>272</v>
      </c>
      <c r="Z365" s="0" t="n">
        <f aca="false">I365-35</f>
        <v>7.3</v>
      </c>
      <c r="AB365" s="0" t="n">
        <f aca="false">IF(Z365&lt;0,Z365+360,Z365+0)</f>
        <v>7.3</v>
      </c>
    </row>
    <row r="366" customFormat="false" ht="15.8" hidden="false" customHeight="false" outlineLevel="0" collapsed="false">
      <c r="A366" s="1" t="n">
        <v>9</v>
      </c>
      <c r="B366" s="1" t="n">
        <v>16</v>
      </c>
      <c r="C366" s="1" t="n">
        <v>1.2</v>
      </c>
      <c r="D366" s="1" t="n">
        <v>1.0948</v>
      </c>
      <c r="E366" s="1" t="n">
        <v>0.041565</v>
      </c>
      <c r="F366" s="1" t="n">
        <v>0.000113412</v>
      </c>
      <c r="G366" s="1" t="s">
        <v>27</v>
      </c>
      <c r="H366" s="1" t="n">
        <v>123.5</v>
      </c>
      <c r="I366" s="1" t="n">
        <v>163.8</v>
      </c>
      <c r="J366" s="1" t="n">
        <v>17.3</v>
      </c>
      <c r="K366" s="1"/>
      <c r="L366" s="1" t="n">
        <v>0</v>
      </c>
      <c r="M366" s="1" t="n">
        <v>0</v>
      </c>
      <c r="N366" s="1" t="s">
        <v>272</v>
      </c>
      <c r="Z366" s="0" t="n">
        <f aca="false">I366-35</f>
        <v>128.8</v>
      </c>
      <c r="AB366" s="0" t="n">
        <f aca="false">IF(Z366&lt;0,Z366+360,Z366+0)</f>
        <v>128.8</v>
      </c>
    </row>
    <row r="367" customFormat="false" ht="15.8" hidden="false" customHeight="false" outlineLevel="0" collapsed="false">
      <c r="A367" s="1" t="n">
        <v>9</v>
      </c>
      <c r="B367" s="1" t="n">
        <v>15</v>
      </c>
      <c r="C367" s="1" t="n">
        <v>1.3</v>
      </c>
      <c r="D367" s="1" t="n">
        <v>1.0831</v>
      </c>
      <c r="E367" s="1" t="n">
        <v>0.0433431</v>
      </c>
      <c r="F367" s="1" t="n">
        <v>0.000118263</v>
      </c>
      <c r="G367" s="1" t="s">
        <v>59</v>
      </c>
      <c r="H367" s="1" t="n">
        <v>16.8</v>
      </c>
      <c r="I367" s="1" t="n">
        <v>29.8</v>
      </c>
      <c r="J367" s="1" t="n">
        <v>16.4</v>
      </c>
      <c r="K367" s="1" t="n">
        <v>123.5</v>
      </c>
      <c r="L367" s="1" t="n">
        <v>0</v>
      </c>
      <c r="M367" s="1" t="n">
        <v>0</v>
      </c>
      <c r="N367" s="1" t="s">
        <v>273</v>
      </c>
      <c r="Z367" s="0" t="n">
        <f aca="false">I367-35</f>
        <v>-5.2</v>
      </c>
      <c r="AB367" s="0" t="n">
        <f aca="false">IF(Z367&lt;0,Z367+360,Z367+0)</f>
        <v>354.8</v>
      </c>
    </row>
    <row r="368" customFormat="false" ht="15.8" hidden="false" customHeight="false" outlineLevel="0" collapsed="false">
      <c r="A368" s="1" t="n">
        <v>9</v>
      </c>
      <c r="B368" s="1" t="n">
        <v>15</v>
      </c>
      <c r="C368" s="1" t="n">
        <v>1.3</v>
      </c>
      <c r="D368" s="1" t="n">
        <v>1.2317</v>
      </c>
      <c r="E368" s="1" t="n">
        <v>0.0430287</v>
      </c>
      <c r="F368" s="1" t="n">
        <v>0.000117405</v>
      </c>
      <c r="G368" s="1" t="s">
        <v>27</v>
      </c>
      <c r="H368" s="1" t="n">
        <v>131.8</v>
      </c>
      <c r="I368" s="1" t="n">
        <v>242.4</v>
      </c>
      <c r="J368" s="1" t="n">
        <v>40.4</v>
      </c>
      <c r="K368" s="1"/>
      <c r="L368" s="1" t="n">
        <v>0</v>
      </c>
      <c r="M368" s="1" t="n">
        <v>0</v>
      </c>
      <c r="N368" s="1" t="s">
        <v>273</v>
      </c>
      <c r="Z368" s="0" t="n">
        <f aca="false">I368-35</f>
        <v>207.4</v>
      </c>
      <c r="AB368" s="0" t="n">
        <f aca="false">IF(Z368&lt;0,Z368+360,Z368+0)</f>
        <v>207.4</v>
      </c>
    </row>
    <row r="369" customFormat="false" ht="15.8" hidden="false" customHeight="false" outlineLevel="0" collapsed="false">
      <c r="A369" s="1" t="n">
        <v>9</v>
      </c>
      <c r="B369" s="1" t="n">
        <v>14</v>
      </c>
      <c r="C369" s="1" t="n">
        <v>0.9</v>
      </c>
      <c r="D369" s="1" t="n">
        <v>1.0179</v>
      </c>
      <c r="E369" s="1" t="n">
        <v>0.0305313</v>
      </c>
      <c r="F369" s="1" t="n">
        <v>8.33056E-005</v>
      </c>
      <c r="G369" s="1" t="s">
        <v>59</v>
      </c>
      <c r="H369" s="1" t="n">
        <v>12.3</v>
      </c>
      <c r="I369" s="1" t="n">
        <v>33.3</v>
      </c>
      <c r="J369" s="1" t="n">
        <v>0</v>
      </c>
      <c r="K369" s="1" t="n">
        <v>131.8</v>
      </c>
      <c r="L369" s="1" t="n">
        <v>0</v>
      </c>
      <c r="M369" s="1" t="n">
        <v>0</v>
      </c>
      <c r="N369" s="1" t="s">
        <v>274</v>
      </c>
      <c r="Z369" s="0" t="n">
        <f aca="false">I369-35</f>
        <v>-1.7</v>
      </c>
      <c r="AB369" s="0" t="n">
        <f aca="false">IF(Z369&lt;0,Z369+360,Z369+0)</f>
        <v>358.3</v>
      </c>
    </row>
    <row r="370" customFormat="false" ht="15.8" hidden="false" customHeight="false" outlineLevel="0" collapsed="false">
      <c r="A370" s="1" t="n">
        <v>9</v>
      </c>
      <c r="B370" s="1" t="n">
        <v>14</v>
      </c>
      <c r="C370" s="1" t="n">
        <v>2.7</v>
      </c>
      <c r="D370" s="1" t="n">
        <v>1.2441</v>
      </c>
      <c r="E370" s="1" t="n">
        <v>0.0934854</v>
      </c>
      <c r="F370" s="1" t="n">
        <v>0.000255078</v>
      </c>
      <c r="G370" s="1" t="s">
        <v>27</v>
      </c>
      <c r="H370" s="1" t="n">
        <v>47.8</v>
      </c>
      <c r="I370" s="1" t="n">
        <v>357.8</v>
      </c>
      <c r="J370" s="1" t="n">
        <v>-26.9</v>
      </c>
      <c r="K370" s="1"/>
      <c r="L370" s="1" t="n">
        <v>0</v>
      </c>
      <c r="M370" s="1" t="n">
        <v>0</v>
      </c>
      <c r="N370" s="1" t="s">
        <v>274</v>
      </c>
      <c r="Z370" s="0" t="n">
        <f aca="false">I370-35</f>
        <v>322.8</v>
      </c>
      <c r="AB370" s="0" t="n">
        <f aca="false">IF(Z370&lt;0,Z370+360,Z370+0)</f>
        <v>322.8</v>
      </c>
    </row>
    <row r="371" customFormat="false" ht="15.8" hidden="false" customHeight="false" outlineLevel="0" collapsed="false">
      <c r="A371" s="1" t="n">
        <v>9</v>
      </c>
      <c r="B371" s="1" t="n">
        <v>13</v>
      </c>
      <c r="C371" s="1" t="n">
        <v>3.9</v>
      </c>
      <c r="D371" s="1" t="n">
        <v>1.1153</v>
      </c>
      <c r="E371" s="1" t="n">
        <v>0.132184</v>
      </c>
      <c r="F371" s="1" t="n">
        <v>0.000360669</v>
      </c>
      <c r="G371" s="1" t="s">
        <v>59</v>
      </c>
      <c r="H371" s="1" t="n">
        <v>15.9</v>
      </c>
      <c r="I371" s="1" t="n">
        <v>27.8</v>
      </c>
      <c r="J371" s="1" t="n">
        <v>11</v>
      </c>
      <c r="K371" s="1" t="n">
        <v>47.8</v>
      </c>
      <c r="L371" s="1" t="n">
        <v>0</v>
      </c>
      <c r="M371" s="1" t="n">
        <v>0</v>
      </c>
      <c r="N371" s="1" t="s">
        <v>275</v>
      </c>
      <c r="Z371" s="0" t="n">
        <f aca="false">I371-35</f>
        <v>-7.2</v>
      </c>
      <c r="AB371" s="0" t="n">
        <f aca="false">IF(Z371&lt;0,Z371+360,Z371+0)</f>
        <v>352.8</v>
      </c>
    </row>
    <row r="372" customFormat="false" ht="15.8" hidden="false" customHeight="false" outlineLevel="0" collapsed="false">
      <c r="A372" s="1" t="n">
        <v>9</v>
      </c>
      <c r="B372" s="1" t="n">
        <v>13</v>
      </c>
      <c r="C372" s="1" t="n">
        <v>1.6</v>
      </c>
      <c r="D372" s="1" t="n">
        <v>1.1345</v>
      </c>
      <c r="E372" s="1" t="n">
        <v>0.0564735</v>
      </c>
      <c r="F372" s="1" t="n">
        <v>0.00015409</v>
      </c>
      <c r="G372" s="1" t="s">
        <v>27</v>
      </c>
      <c r="H372" s="1" t="n">
        <v>105.9</v>
      </c>
      <c r="I372" s="1" t="n">
        <v>145.7</v>
      </c>
      <c r="J372" s="1" t="n">
        <v>-13.1</v>
      </c>
      <c r="K372" s="1"/>
      <c r="L372" s="1" t="n">
        <v>0</v>
      </c>
      <c r="M372" s="1" t="n">
        <v>0</v>
      </c>
      <c r="N372" s="1" t="s">
        <v>275</v>
      </c>
      <c r="Z372" s="0" t="n">
        <f aca="false">I372-35</f>
        <v>110.7</v>
      </c>
      <c r="AB372" s="0" t="n">
        <f aca="false">IF(Z372&lt;0,Z372+360,Z372+0)</f>
        <v>110.7</v>
      </c>
    </row>
    <row r="373" customFormat="false" ht="15.8" hidden="false" customHeight="false" outlineLevel="0" collapsed="false">
      <c r="A373" s="1" t="n">
        <v>9</v>
      </c>
      <c r="B373" s="1" t="n">
        <v>12</v>
      </c>
      <c r="C373" s="1" t="n">
        <v>0.9</v>
      </c>
      <c r="D373" s="1" t="n">
        <v>1.0231</v>
      </c>
      <c r="E373" s="1" t="n">
        <v>0.0301992</v>
      </c>
      <c r="F373" s="1" t="n">
        <v>8.23997E-005</v>
      </c>
      <c r="G373" s="1" t="s">
        <v>59</v>
      </c>
      <c r="H373" s="1" t="n">
        <v>12.2</v>
      </c>
      <c r="I373" s="1" t="n">
        <v>39.3</v>
      </c>
      <c r="J373" s="1" t="n">
        <v>0</v>
      </c>
      <c r="K373" s="1" t="n">
        <v>105.9</v>
      </c>
      <c r="L373" s="1" t="n">
        <v>0</v>
      </c>
      <c r="M373" s="1" t="n">
        <v>0</v>
      </c>
      <c r="N373" s="1" t="s">
        <v>276</v>
      </c>
      <c r="Z373" s="0" t="n">
        <f aca="false">I373-35</f>
        <v>4.3</v>
      </c>
      <c r="AB373" s="0" t="n">
        <f aca="false">IF(Z373&lt;0,Z373+360,Z373+0)</f>
        <v>4.3</v>
      </c>
    </row>
    <row r="374" customFormat="false" ht="15.8" hidden="false" customHeight="false" outlineLevel="0" collapsed="false">
      <c r="A374" s="1" t="n">
        <v>9</v>
      </c>
      <c r="B374" s="1" t="n">
        <v>14</v>
      </c>
      <c r="C374" s="1" t="n">
        <v>1.3</v>
      </c>
      <c r="D374" s="1" t="n">
        <v>1.0582</v>
      </c>
      <c r="E374" s="1" t="n">
        <v>0.0440024</v>
      </c>
      <c r="F374" s="1" t="n">
        <v>0.000120062</v>
      </c>
      <c r="G374" s="1" t="s">
        <v>27</v>
      </c>
      <c r="H374" s="1" t="n">
        <v>64.5</v>
      </c>
      <c r="I374" s="1" t="n">
        <v>357.4</v>
      </c>
      <c r="J374" s="1" t="n">
        <v>0</v>
      </c>
      <c r="K374" s="1"/>
      <c r="L374" s="1" t="n">
        <v>0</v>
      </c>
      <c r="M374" s="1" t="n">
        <v>0</v>
      </c>
      <c r="N374" s="1" t="s">
        <v>277</v>
      </c>
      <c r="Z374" s="0" t="n">
        <f aca="false">I374-35</f>
        <v>322.4</v>
      </c>
      <c r="AB374" s="0" t="n">
        <f aca="false">IF(Z374&lt;0,Z374+360,Z374+0)</f>
        <v>322.4</v>
      </c>
    </row>
    <row r="375" customFormat="false" ht="15.8" hidden="false" customHeight="false" outlineLevel="0" collapsed="false">
      <c r="A375" s="1" t="n">
        <v>9</v>
      </c>
      <c r="B375" s="1" t="n">
        <v>14</v>
      </c>
      <c r="C375" s="1" t="n">
        <v>0.8</v>
      </c>
      <c r="D375" s="1" t="n">
        <v>1.0284</v>
      </c>
      <c r="E375" s="1" t="n">
        <v>0.0258094</v>
      </c>
      <c r="F375" s="1" t="n">
        <v>7.04217E-005</v>
      </c>
      <c r="G375" s="1" t="s">
        <v>27</v>
      </c>
      <c r="H375" s="1" t="n">
        <v>59.8</v>
      </c>
      <c r="I375" s="1" t="n">
        <v>267.4</v>
      </c>
      <c r="J375" s="1" t="n">
        <v>0</v>
      </c>
      <c r="K375" s="1"/>
      <c r="L375" s="1" t="n">
        <v>0</v>
      </c>
      <c r="M375" s="1" t="n">
        <v>0</v>
      </c>
      <c r="N375" s="1" t="s">
        <v>277</v>
      </c>
      <c r="Z375" s="0" t="n">
        <f aca="false">I375-35</f>
        <v>232.4</v>
      </c>
      <c r="AB375" s="0" t="n">
        <f aca="false">IF(Z375&lt;0,Z375+360,Z375+0)</f>
        <v>232.4</v>
      </c>
    </row>
    <row r="376" customFormat="false" ht="15.8" hidden="false" customHeight="false" outlineLevel="0" collapsed="false">
      <c r="A376" s="1" t="n">
        <v>9</v>
      </c>
      <c r="B376" s="1" t="n">
        <v>13</v>
      </c>
      <c r="C376" s="1" t="n">
        <v>4.3</v>
      </c>
      <c r="D376" s="1" t="n">
        <v>1.9692</v>
      </c>
      <c r="E376" s="1" t="n">
        <v>0.148496</v>
      </c>
      <c r="F376" s="1" t="n">
        <v>0.000405176</v>
      </c>
      <c r="G376" s="1" t="s">
        <v>59</v>
      </c>
      <c r="H376" s="1" t="n">
        <v>24.8</v>
      </c>
      <c r="I376" s="1" t="n">
        <v>308</v>
      </c>
      <c r="J376" s="1" t="n">
        <v>-48.6</v>
      </c>
      <c r="K376" s="1" t="n">
        <v>64.5</v>
      </c>
      <c r="L376" s="1" t="n">
        <v>0</v>
      </c>
      <c r="M376" s="1" t="n">
        <v>0</v>
      </c>
      <c r="N376" s="1" t="s">
        <v>278</v>
      </c>
      <c r="Z376" s="0" t="n">
        <f aca="false">I376-35</f>
        <v>273</v>
      </c>
      <c r="AB376" s="0" t="n">
        <f aca="false">IF(Z376&lt;0,Z376+360,Z376+0)</f>
        <v>273</v>
      </c>
    </row>
    <row r="377" customFormat="false" ht="15.8" hidden="false" customHeight="false" outlineLevel="0" collapsed="false">
      <c r="A377" s="1" t="n">
        <v>9</v>
      </c>
      <c r="B377" s="1" t="n">
        <v>13</v>
      </c>
      <c r="C377" s="1" t="n">
        <v>0.6</v>
      </c>
      <c r="D377" s="1" t="n">
        <v>1.0009</v>
      </c>
      <c r="E377" s="1" t="n">
        <v>0.0194917</v>
      </c>
      <c r="F377" s="1" t="n">
        <v>5.31839E-005</v>
      </c>
      <c r="G377" s="1" t="s">
        <v>27</v>
      </c>
      <c r="H377" s="1" t="n">
        <v>62.1</v>
      </c>
      <c r="I377" s="1" t="n">
        <v>2.2</v>
      </c>
      <c r="J377" s="1" t="n">
        <v>0</v>
      </c>
      <c r="K377" s="1"/>
      <c r="L377" s="1" t="n">
        <v>0</v>
      </c>
      <c r="M377" s="1" t="n">
        <v>0</v>
      </c>
      <c r="N377" s="1" t="s">
        <v>278</v>
      </c>
      <c r="Z377" s="0" t="n">
        <f aca="false">I377-35</f>
        <v>-32.8</v>
      </c>
      <c r="AB377" s="0" t="n">
        <f aca="false">IF(Z377&lt;0,Z377+360,Z377+0)</f>
        <v>327.2</v>
      </c>
    </row>
    <row r="378" customFormat="false" ht="15.8" hidden="false" customHeight="false" outlineLevel="0" collapsed="false">
      <c r="A378" s="1" t="n">
        <v>9</v>
      </c>
      <c r="B378" s="1" t="n">
        <v>12</v>
      </c>
      <c r="C378" s="1" t="n">
        <v>1.3</v>
      </c>
      <c r="D378" s="1" t="n">
        <v>1.1322</v>
      </c>
      <c r="E378" s="1" t="n">
        <v>0.0439764</v>
      </c>
      <c r="F378" s="1" t="n">
        <v>0.000119991</v>
      </c>
      <c r="G378" s="1" t="s">
        <v>59</v>
      </c>
      <c r="H378" s="1" t="n">
        <v>83.1</v>
      </c>
      <c r="I378" s="1" t="n">
        <v>346.2</v>
      </c>
      <c r="J378" s="1" t="n">
        <v>-60.9</v>
      </c>
      <c r="K378" s="1" t="n">
        <v>62.1</v>
      </c>
      <c r="L378" s="1" t="n">
        <v>0</v>
      </c>
      <c r="M378" s="1" t="n">
        <v>0</v>
      </c>
      <c r="N378" s="1" t="s">
        <v>276</v>
      </c>
      <c r="Z378" s="0" t="n">
        <f aca="false">I378-35</f>
        <v>311.2</v>
      </c>
      <c r="AB378" s="0" t="n">
        <f aca="false">IF(Z378&lt;0,Z378+360,Z378+0)</f>
        <v>311.2</v>
      </c>
    </row>
    <row r="379" customFormat="false" ht="15.8" hidden="false" customHeight="false" outlineLevel="0" collapsed="false">
      <c r="A379" s="1" t="n">
        <v>9</v>
      </c>
      <c r="B379" s="1" t="n">
        <v>11</v>
      </c>
      <c r="C379" s="1" t="n">
        <v>3.7</v>
      </c>
      <c r="D379" s="1" t="n">
        <v>1.2161</v>
      </c>
      <c r="E379" s="1" t="n">
        <v>0.127018</v>
      </c>
      <c r="F379" s="1" t="n">
        <v>0.000346574</v>
      </c>
      <c r="G379" s="1" t="s">
        <v>59</v>
      </c>
      <c r="H379" s="1" t="n">
        <v>45.3</v>
      </c>
      <c r="I379" s="1" t="n">
        <v>49.8</v>
      </c>
      <c r="J379" s="1" t="n">
        <v>6.2</v>
      </c>
      <c r="K379" s="1" t="n">
        <v>83.1</v>
      </c>
      <c r="L379" s="1" t="n">
        <v>0</v>
      </c>
      <c r="M379" s="1" t="n">
        <v>0</v>
      </c>
      <c r="N379" s="1" t="s">
        <v>267</v>
      </c>
      <c r="Z379" s="0" t="n">
        <f aca="false">I379-35</f>
        <v>14.8</v>
      </c>
      <c r="AB379" s="0" t="n">
        <f aca="false">IF(Z379&lt;0,Z379+360,Z379+0)</f>
        <v>14.8</v>
      </c>
    </row>
    <row r="380" customFormat="false" ht="15.8" hidden="false" customHeight="false" outlineLevel="0" collapsed="false">
      <c r="A380" s="1" t="n">
        <v>9</v>
      </c>
      <c r="B380" s="1" t="n">
        <v>10</v>
      </c>
      <c r="C380" s="1" t="n">
        <v>5.3</v>
      </c>
      <c r="D380" s="1" t="n">
        <v>1.0494</v>
      </c>
      <c r="E380" s="1" t="n">
        <v>0.183148</v>
      </c>
      <c r="F380" s="1" t="n">
        <v>0.000499726</v>
      </c>
      <c r="G380" s="1" t="s">
        <v>59</v>
      </c>
      <c r="H380" s="1" t="n">
        <v>11.8</v>
      </c>
      <c r="I380" s="1" t="n">
        <v>4.4</v>
      </c>
      <c r="J380" s="1" t="n">
        <v>3.7</v>
      </c>
      <c r="K380" s="1" t="n">
        <v>45.3</v>
      </c>
      <c r="L380" s="1" t="n">
        <v>0</v>
      </c>
      <c r="M380" s="1" t="n">
        <v>0</v>
      </c>
      <c r="N380" s="1" t="s">
        <v>279</v>
      </c>
      <c r="Z380" s="0" t="n">
        <f aca="false">I380-35</f>
        <v>-30.6</v>
      </c>
      <c r="AB380" s="0" t="n">
        <f aca="false">IF(Z380&lt;0,Z380+360,Z380+0)</f>
        <v>329.4</v>
      </c>
    </row>
    <row r="381" customFormat="false" ht="15.8" hidden="false" customHeight="false" outlineLevel="0" collapsed="false">
      <c r="A381" s="1" t="n">
        <v>9</v>
      </c>
      <c r="B381" s="1" t="n">
        <v>10</v>
      </c>
      <c r="C381" s="1" t="n">
        <v>0.7</v>
      </c>
      <c r="D381" s="1" t="n">
        <v>1.0083</v>
      </c>
      <c r="E381" s="1" t="n">
        <v>0.0227552</v>
      </c>
      <c r="F381" s="1" t="n">
        <v>6.20883E-005</v>
      </c>
      <c r="G381" s="1" t="s">
        <v>27</v>
      </c>
      <c r="H381" s="1" t="n">
        <v>56.6</v>
      </c>
      <c r="I381" s="1" t="n">
        <v>310.3</v>
      </c>
      <c r="J381" s="1" t="n">
        <v>0</v>
      </c>
      <c r="K381" s="1"/>
      <c r="L381" s="1" t="n">
        <v>0</v>
      </c>
      <c r="M381" s="1" t="n">
        <v>0</v>
      </c>
      <c r="N381" s="1" t="s">
        <v>279</v>
      </c>
      <c r="Z381" s="0" t="n">
        <f aca="false">I381-35</f>
        <v>275.3</v>
      </c>
      <c r="AB381" s="0" t="n">
        <f aca="false">IF(Z381&lt;0,Z381+360,Z381+0)</f>
        <v>275.3</v>
      </c>
    </row>
    <row r="382" customFormat="false" ht="15.8" hidden="false" customHeight="false" outlineLevel="0" collapsed="false">
      <c r="A382" s="1" t="n">
        <v>9</v>
      </c>
      <c r="B382" s="1" t="n">
        <v>9</v>
      </c>
      <c r="C382" s="1" t="n">
        <v>2.6</v>
      </c>
      <c r="D382" s="1" t="n">
        <v>1.068</v>
      </c>
      <c r="E382" s="1" t="n">
        <v>0.0885269</v>
      </c>
      <c r="F382" s="1" t="n">
        <v>0.000241549</v>
      </c>
      <c r="G382" s="1" t="s">
        <v>59</v>
      </c>
      <c r="H382" s="1" t="n">
        <v>11.7</v>
      </c>
      <c r="I382" s="1" t="n">
        <v>6.5</v>
      </c>
      <c r="J382" s="1" t="n">
        <v>-7.8</v>
      </c>
      <c r="K382" s="1" t="n">
        <v>56.6</v>
      </c>
      <c r="L382" s="1" t="n">
        <v>0</v>
      </c>
      <c r="M382" s="1" t="n">
        <v>0</v>
      </c>
      <c r="N382" s="1" t="s">
        <v>280</v>
      </c>
      <c r="Z382" s="0" t="n">
        <f aca="false">I382-35</f>
        <v>-28.5</v>
      </c>
      <c r="AB382" s="0" t="n">
        <f aca="false">IF(Z382&lt;0,Z382+360,Z382+0)</f>
        <v>331.5</v>
      </c>
    </row>
    <row r="383" customFormat="false" ht="15.8" hidden="false" customHeight="false" outlineLevel="0" collapsed="false">
      <c r="A383" s="1" t="n">
        <v>9</v>
      </c>
      <c r="B383" s="1" t="n">
        <v>9</v>
      </c>
      <c r="C383" s="1" t="n">
        <v>1.1</v>
      </c>
      <c r="D383" s="1" t="n">
        <v>1.0065</v>
      </c>
      <c r="E383" s="1" t="n">
        <v>0.0381306</v>
      </c>
      <c r="F383" s="1" t="n">
        <v>0.000104041</v>
      </c>
      <c r="G383" s="1" t="s">
        <v>27</v>
      </c>
      <c r="H383" s="1" t="n">
        <v>40</v>
      </c>
      <c r="I383" s="1" t="n">
        <v>317.8</v>
      </c>
      <c r="J383" s="1" t="n">
        <v>0</v>
      </c>
      <c r="K383" s="1"/>
      <c r="L383" s="1" t="n">
        <v>0</v>
      </c>
      <c r="M383" s="1" t="n">
        <v>0</v>
      </c>
      <c r="N383" s="1" t="s">
        <v>280</v>
      </c>
      <c r="Z383" s="0" t="n">
        <f aca="false">I383-35</f>
        <v>282.8</v>
      </c>
      <c r="AB383" s="0" t="n">
        <f aca="false">IF(Z383&lt;0,Z383+360,Z383+0)</f>
        <v>282.8</v>
      </c>
    </row>
    <row r="384" customFormat="false" ht="15.8" hidden="false" customHeight="false" outlineLevel="0" collapsed="false">
      <c r="A384" s="1" t="n">
        <v>9</v>
      </c>
      <c r="B384" s="1" t="n">
        <v>8</v>
      </c>
      <c r="C384" s="1" t="n">
        <v>0.8</v>
      </c>
      <c r="D384" s="1" t="n">
        <v>1.0045</v>
      </c>
      <c r="E384" s="1" t="n">
        <v>0.0289677</v>
      </c>
      <c r="F384" s="1" t="n">
        <v>7.90395E-005</v>
      </c>
      <c r="G384" s="1" t="s">
        <v>59</v>
      </c>
      <c r="H384" s="1" t="n">
        <v>66.3</v>
      </c>
      <c r="I384" s="1" t="n">
        <v>357.8</v>
      </c>
      <c r="J384" s="1" t="n">
        <v>0</v>
      </c>
      <c r="K384" s="1" t="n">
        <v>40</v>
      </c>
      <c r="L384" s="1" t="n">
        <v>0</v>
      </c>
      <c r="M384" s="1" t="n">
        <v>0</v>
      </c>
      <c r="N384" s="1" t="s">
        <v>253</v>
      </c>
      <c r="Z384" s="0" t="n">
        <f aca="false">I384-35</f>
        <v>322.8</v>
      </c>
      <c r="AB384" s="0" t="n">
        <f aca="false">IF(Z384&lt;0,Z384+360,Z384+0)</f>
        <v>322.8</v>
      </c>
    </row>
    <row r="385" customFormat="false" ht="15.8" hidden="false" customHeight="false" outlineLevel="0" collapsed="false">
      <c r="A385" s="1" t="n">
        <v>9</v>
      </c>
      <c r="B385" s="1" t="n">
        <v>7</v>
      </c>
      <c r="C385" s="1" t="n">
        <v>1.2</v>
      </c>
      <c r="D385" s="1" t="n">
        <v>1.0823</v>
      </c>
      <c r="E385" s="1" t="n">
        <v>0.0414889</v>
      </c>
      <c r="F385" s="1" t="n">
        <v>0.000113204</v>
      </c>
      <c r="G385" s="1" t="s">
        <v>59</v>
      </c>
      <c r="H385" s="1" t="n">
        <v>35.1</v>
      </c>
      <c r="I385" s="1" t="n">
        <v>57.8</v>
      </c>
      <c r="J385" s="1" t="n">
        <v>36.2</v>
      </c>
      <c r="K385" s="1" t="n">
        <v>66.3</v>
      </c>
      <c r="L385" s="1" t="n">
        <v>0</v>
      </c>
      <c r="M385" s="1" t="n">
        <v>0</v>
      </c>
      <c r="N385" s="1" t="s">
        <v>281</v>
      </c>
      <c r="Z385" s="0" t="n">
        <f aca="false">I385-35</f>
        <v>22.8</v>
      </c>
      <c r="AB385" s="0" t="n">
        <f aca="false">IF(Z385&lt;0,Z385+360,Z385+0)</f>
        <v>22.8</v>
      </c>
    </row>
    <row r="386" customFormat="false" ht="15.8" hidden="false" customHeight="false" outlineLevel="0" collapsed="false">
      <c r="A386" s="1" t="n">
        <v>9</v>
      </c>
      <c r="B386" s="1" t="n">
        <v>7</v>
      </c>
      <c r="C386" s="1" t="n">
        <v>3.5</v>
      </c>
      <c r="D386" s="1" t="n">
        <v>1.1795</v>
      </c>
      <c r="E386" s="1" t="n">
        <v>0.121623</v>
      </c>
      <c r="F386" s="1" t="n">
        <v>0.000331853</v>
      </c>
      <c r="G386" s="1" t="s">
        <v>27</v>
      </c>
      <c r="H386" s="1" t="n">
        <v>53.2</v>
      </c>
      <c r="I386" s="1" t="n">
        <v>348.5</v>
      </c>
      <c r="J386" s="1" t="n">
        <v>0</v>
      </c>
      <c r="K386" s="1"/>
      <c r="L386" s="1" t="n">
        <v>0</v>
      </c>
      <c r="M386" s="1" t="n">
        <v>0</v>
      </c>
      <c r="N386" s="1" t="s">
        <v>281</v>
      </c>
      <c r="Z386" s="0" t="n">
        <f aca="false">I386-35</f>
        <v>313.5</v>
      </c>
      <c r="AB386" s="0" t="n">
        <f aca="false">IF(Z386&lt;0,Z386+360,Z386+0)</f>
        <v>313.5</v>
      </c>
    </row>
    <row r="387" customFormat="false" ht="15.8" hidden="false" customHeight="false" outlineLevel="0" collapsed="false">
      <c r="A387" s="1" t="n">
        <v>9</v>
      </c>
      <c r="B387" s="1" t="n">
        <v>6</v>
      </c>
      <c r="C387" s="1" t="n">
        <v>4.7</v>
      </c>
      <c r="D387" s="1" t="n">
        <v>1.121</v>
      </c>
      <c r="E387" s="1" t="n">
        <v>0.161278</v>
      </c>
      <c r="F387" s="1" t="n">
        <v>0.000440053</v>
      </c>
      <c r="G387" s="1" t="s">
        <v>59</v>
      </c>
      <c r="H387" s="1" t="n">
        <v>25.9</v>
      </c>
      <c r="I387" s="1" t="n">
        <v>41.5</v>
      </c>
      <c r="J387" s="1" t="n">
        <v>4.5</v>
      </c>
      <c r="K387" s="1" t="n">
        <v>53.2</v>
      </c>
      <c r="L387" s="1" t="n">
        <v>0</v>
      </c>
      <c r="M387" s="1" t="n">
        <v>0</v>
      </c>
      <c r="N387" s="1" t="s">
        <v>282</v>
      </c>
      <c r="Z387" s="0" t="n">
        <f aca="false">I387-35</f>
        <v>6.5</v>
      </c>
      <c r="AB387" s="0" t="n">
        <f aca="false">IF(Z387&lt;0,Z387+360,Z387+0)</f>
        <v>6.5</v>
      </c>
    </row>
    <row r="388" customFormat="false" ht="15.8" hidden="false" customHeight="false" outlineLevel="0" collapsed="false">
      <c r="A388" s="1" t="n">
        <v>9</v>
      </c>
      <c r="B388" s="1" t="n">
        <v>6</v>
      </c>
      <c r="C388" s="1" t="n">
        <v>1.8</v>
      </c>
      <c r="D388" s="1" t="n">
        <v>1.0994</v>
      </c>
      <c r="E388" s="1" t="n">
        <v>0.0621414</v>
      </c>
      <c r="F388" s="1" t="n">
        <v>0.000169555</v>
      </c>
      <c r="G388" s="1" t="s">
        <v>27</v>
      </c>
      <c r="H388" s="1" t="n">
        <v>61.1</v>
      </c>
      <c r="I388" s="1" t="n">
        <v>318</v>
      </c>
      <c r="J388" s="1" t="n">
        <v>11.5</v>
      </c>
      <c r="K388" s="1"/>
      <c r="L388" s="1" t="n">
        <v>0</v>
      </c>
      <c r="M388" s="1" t="n">
        <v>0</v>
      </c>
      <c r="N388" s="1" t="s">
        <v>282</v>
      </c>
      <c r="Z388" s="0" t="n">
        <f aca="false">I388-35</f>
        <v>283</v>
      </c>
      <c r="AB388" s="0" t="n">
        <f aca="false">IF(Z388&lt;0,Z388+360,Z388+0)</f>
        <v>283</v>
      </c>
    </row>
    <row r="389" customFormat="false" ht="15.8" hidden="false" customHeight="false" outlineLevel="0" collapsed="false">
      <c r="A389" s="1" t="n">
        <v>9</v>
      </c>
      <c r="B389" s="1" t="n">
        <v>5</v>
      </c>
      <c r="C389" s="1" t="n">
        <v>1</v>
      </c>
      <c r="D389" s="1" t="n">
        <v>1.1462</v>
      </c>
      <c r="E389" s="1" t="n">
        <v>0.0355847</v>
      </c>
      <c r="F389" s="1" t="n">
        <v>9.7094E-005</v>
      </c>
      <c r="G389" s="1" t="s">
        <v>59</v>
      </c>
      <c r="H389" s="1" t="n">
        <v>25.6</v>
      </c>
      <c r="I389" s="1" t="n">
        <v>21.2</v>
      </c>
      <c r="J389" s="1" t="n">
        <v>21.4</v>
      </c>
      <c r="K389" s="1" t="n">
        <v>61.1</v>
      </c>
      <c r="L389" s="1" t="n">
        <v>0</v>
      </c>
      <c r="M389" s="1" t="n">
        <v>0</v>
      </c>
      <c r="N389" s="1" t="s">
        <v>283</v>
      </c>
      <c r="Z389" s="0" t="n">
        <f aca="false">I389-35</f>
        <v>-13.8</v>
      </c>
      <c r="AB389" s="0" t="n">
        <f aca="false">IF(Z389&lt;0,Z389+360,Z389+0)</f>
        <v>346.2</v>
      </c>
    </row>
    <row r="390" customFormat="false" ht="15.8" hidden="false" customHeight="false" outlineLevel="0" collapsed="false">
      <c r="A390" s="1" t="n">
        <v>9</v>
      </c>
      <c r="B390" s="1" t="n">
        <v>5</v>
      </c>
      <c r="C390" s="1" t="n">
        <v>4.9</v>
      </c>
      <c r="D390" s="1" t="n">
        <v>1.1562</v>
      </c>
      <c r="E390" s="1" t="n">
        <v>0.166924</v>
      </c>
      <c r="F390" s="1" t="n">
        <v>0.000455457</v>
      </c>
      <c r="G390" s="1" t="s">
        <v>27</v>
      </c>
      <c r="H390" s="1" t="n">
        <v>125.7</v>
      </c>
      <c r="I390" s="1" t="n">
        <v>191.1</v>
      </c>
      <c r="J390" s="1" t="n">
        <v>13.6</v>
      </c>
      <c r="K390" s="1"/>
      <c r="L390" s="1" t="n">
        <v>0</v>
      </c>
      <c r="M390" s="1" t="n">
        <v>0</v>
      </c>
      <c r="N390" s="1" t="s">
        <v>283</v>
      </c>
      <c r="Z390" s="0" t="n">
        <f aca="false">I390-35</f>
        <v>156.1</v>
      </c>
      <c r="AB390" s="0" t="n">
        <f aca="false">IF(Z390&lt;0,Z390+360,Z390+0)</f>
        <v>156.1</v>
      </c>
    </row>
    <row r="391" customFormat="false" ht="15.8" hidden="false" customHeight="false" outlineLevel="0" collapsed="false">
      <c r="A391" s="1" t="n">
        <v>9</v>
      </c>
      <c r="B391" s="1" t="n">
        <v>5</v>
      </c>
      <c r="C391" s="1" t="n">
        <v>1</v>
      </c>
      <c r="D391" s="1" t="n">
        <v>1.0269</v>
      </c>
      <c r="E391" s="1" t="n">
        <v>0.0352638</v>
      </c>
      <c r="F391" s="1" t="n">
        <v>9.62186E-005</v>
      </c>
      <c r="G391" s="1" t="s">
        <v>27</v>
      </c>
      <c r="H391" s="1" t="n">
        <v>74.7</v>
      </c>
      <c r="I391" s="1" t="n">
        <v>290.4</v>
      </c>
      <c r="J391" s="1" t="n">
        <v>0</v>
      </c>
      <c r="K391" s="1"/>
      <c r="L391" s="1" t="n">
        <v>0</v>
      </c>
      <c r="M391" s="1" t="n">
        <v>0</v>
      </c>
      <c r="N391" s="1" t="s">
        <v>283</v>
      </c>
      <c r="Z391" s="0" t="n">
        <f aca="false">I391-35</f>
        <v>255.4</v>
      </c>
      <c r="AB391" s="0" t="n">
        <f aca="false">IF(Z391&lt;0,Z391+360,Z391+0)</f>
        <v>255.4</v>
      </c>
    </row>
    <row r="392" customFormat="false" ht="15.8" hidden="false" customHeight="false" outlineLevel="0" collapsed="false">
      <c r="A392" s="1" t="n">
        <v>9</v>
      </c>
      <c r="B392" s="1" t="n">
        <v>4</v>
      </c>
      <c r="C392" s="1" t="n">
        <v>1.3</v>
      </c>
      <c r="D392" s="1" t="n">
        <v>1.2994</v>
      </c>
      <c r="E392" s="1" t="n">
        <v>0.0459811</v>
      </c>
      <c r="F392" s="1" t="n">
        <v>0.000125461</v>
      </c>
      <c r="G392" s="1" t="s">
        <v>59</v>
      </c>
      <c r="H392" s="1" t="n">
        <v>38.4</v>
      </c>
      <c r="I392" s="1" t="n">
        <v>0.4</v>
      </c>
      <c r="J392" s="1" t="n">
        <v>39.8</v>
      </c>
      <c r="K392" s="1" t="n">
        <v>125.7</v>
      </c>
      <c r="L392" s="1" t="n">
        <v>0</v>
      </c>
      <c r="M392" s="1" t="n">
        <v>0</v>
      </c>
      <c r="N392" s="1" t="s">
        <v>284</v>
      </c>
      <c r="Z392" s="0" t="n">
        <f aca="false">I392-35</f>
        <v>-34.6</v>
      </c>
      <c r="AB392" s="0" t="n">
        <f aca="false">IF(Z392&lt;0,Z392+360,Z392+0)</f>
        <v>325.4</v>
      </c>
    </row>
    <row r="393" customFormat="false" ht="15.8" hidden="false" customHeight="false" outlineLevel="0" collapsed="false">
      <c r="A393" s="1" t="n">
        <v>9</v>
      </c>
      <c r="B393" s="1" t="n">
        <v>5</v>
      </c>
      <c r="C393" s="1" t="n">
        <v>2.4</v>
      </c>
      <c r="D393" s="1" t="n">
        <v>1.4651</v>
      </c>
      <c r="E393" s="1" t="n">
        <v>0.0833754</v>
      </c>
      <c r="F393" s="1" t="n">
        <v>0.000227493</v>
      </c>
      <c r="G393" s="1" t="s">
        <v>27</v>
      </c>
      <c r="H393" s="1" t="n">
        <v>43.1</v>
      </c>
      <c r="I393" s="1" t="n">
        <v>298.5</v>
      </c>
      <c r="J393" s="1" t="n">
        <v>-52.7</v>
      </c>
      <c r="K393" s="1"/>
      <c r="L393" s="1" t="n">
        <v>0</v>
      </c>
      <c r="M393" s="1" t="n">
        <v>0</v>
      </c>
      <c r="N393" s="1" t="s">
        <v>285</v>
      </c>
      <c r="Z393" s="0" t="n">
        <f aca="false">I393-35</f>
        <v>263.5</v>
      </c>
      <c r="AB393" s="0" t="n">
        <f aca="false">IF(Z393&lt;0,Z393+360,Z393+0)</f>
        <v>263.5</v>
      </c>
    </row>
    <row r="394" customFormat="false" ht="15.8" hidden="false" customHeight="false" outlineLevel="0" collapsed="false">
      <c r="A394" s="1" t="n">
        <v>9</v>
      </c>
      <c r="B394" s="1" t="n">
        <v>7</v>
      </c>
      <c r="C394" s="1" t="n">
        <v>0.9</v>
      </c>
      <c r="D394" s="1" t="n">
        <v>1.0582</v>
      </c>
      <c r="E394" s="1" t="n">
        <v>0.0302534</v>
      </c>
      <c r="F394" s="1" t="n">
        <v>8.25474E-005</v>
      </c>
      <c r="G394" s="1" t="s">
        <v>27</v>
      </c>
      <c r="H394" s="1" t="n">
        <v>133.4</v>
      </c>
      <c r="I394" s="1" t="n">
        <v>165.6</v>
      </c>
      <c r="J394" s="1" t="n">
        <v>0</v>
      </c>
      <c r="K394" s="1"/>
      <c r="L394" s="1" t="n">
        <v>0</v>
      </c>
      <c r="M394" s="1" t="n">
        <v>0</v>
      </c>
      <c r="N394" s="1" t="s">
        <v>286</v>
      </c>
      <c r="Z394" s="0" t="n">
        <f aca="false">I394-35</f>
        <v>130.6</v>
      </c>
      <c r="AB394" s="0" t="n">
        <f aca="false">IF(Z394&lt;0,Z394+360,Z394+0)</f>
        <v>130.6</v>
      </c>
    </row>
    <row r="395" customFormat="false" ht="15.8" hidden="false" customHeight="false" outlineLevel="0" collapsed="false">
      <c r="A395" s="1" t="n">
        <v>9</v>
      </c>
      <c r="B395" s="1" t="n">
        <v>7</v>
      </c>
      <c r="C395" s="1" t="n">
        <v>6</v>
      </c>
      <c r="D395" s="1" t="n">
        <v>1.3889</v>
      </c>
      <c r="E395" s="1" t="n">
        <v>0.205491</v>
      </c>
      <c r="F395" s="1" t="n">
        <v>0.00056069</v>
      </c>
      <c r="G395" s="1" t="s">
        <v>27</v>
      </c>
      <c r="H395" s="1" t="n">
        <v>73.3</v>
      </c>
      <c r="I395" s="1" t="n">
        <v>307.1</v>
      </c>
      <c r="J395" s="1" t="n">
        <v>-13.3</v>
      </c>
      <c r="K395" s="1"/>
      <c r="L395" s="1" t="n">
        <v>0</v>
      </c>
      <c r="M395" s="1" t="n">
        <v>0</v>
      </c>
      <c r="N395" s="1" t="s">
        <v>286</v>
      </c>
      <c r="Z395" s="0" t="n">
        <f aca="false">I395-35</f>
        <v>272.1</v>
      </c>
      <c r="AB395" s="0" t="n">
        <f aca="false">IF(Z395&lt;0,Z395+360,Z395+0)</f>
        <v>272.1</v>
      </c>
    </row>
    <row r="396" customFormat="false" ht="15.8" hidden="false" customHeight="false" outlineLevel="0" collapsed="false">
      <c r="A396" s="1" t="n">
        <v>9</v>
      </c>
      <c r="B396" s="1" t="n">
        <v>8</v>
      </c>
      <c r="C396" s="1" t="n">
        <v>5.8</v>
      </c>
      <c r="D396" s="1" t="n">
        <v>1.3917</v>
      </c>
      <c r="E396" s="1" t="n">
        <v>0.197792</v>
      </c>
      <c r="F396" s="1" t="n">
        <v>0.000539683</v>
      </c>
      <c r="G396" s="1" t="s">
        <v>27</v>
      </c>
      <c r="H396" s="1" t="n">
        <v>28.9</v>
      </c>
      <c r="I396" s="1" t="n">
        <v>331.7</v>
      </c>
      <c r="J396" s="1" t="n">
        <v>-9.2</v>
      </c>
      <c r="K396" s="1"/>
      <c r="L396" s="1" t="n">
        <v>0</v>
      </c>
      <c r="M396" s="1" t="n">
        <v>0</v>
      </c>
      <c r="N396" s="1" t="s">
        <v>287</v>
      </c>
      <c r="Z396" s="0" t="n">
        <f aca="false">I396-35</f>
        <v>296.7</v>
      </c>
      <c r="AB396" s="0" t="n">
        <f aca="false">IF(Z396&lt;0,Z396+360,Z396+0)</f>
        <v>296.7</v>
      </c>
    </row>
    <row r="397" customFormat="false" ht="15.8" hidden="false" customHeight="false" outlineLevel="0" collapsed="false">
      <c r="A397" s="1" t="n">
        <v>9</v>
      </c>
      <c r="B397" s="1" t="n">
        <v>9</v>
      </c>
      <c r="C397" s="1" t="n">
        <v>1</v>
      </c>
      <c r="D397" s="1" t="n">
        <v>1.191</v>
      </c>
      <c r="E397" s="1" t="n">
        <v>0.0330632</v>
      </c>
      <c r="F397" s="1" t="n">
        <v>9.02142E-005</v>
      </c>
      <c r="G397" s="1" t="s">
        <v>27</v>
      </c>
      <c r="H397" s="1" t="n">
        <v>85.1</v>
      </c>
      <c r="I397" s="1" t="n">
        <v>278.5</v>
      </c>
      <c r="J397" s="1" t="n">
        <v>24.1</v>
      </c>
      <c r="K397" s="1"/>
      <c r="L397" s="1" t="n">
        <v>0</v>
      </c>
      <c r="M397" s="1" t="n">
        <v>0</v>
      </c>
      <c r="N397" s="1" t="s">
        <v>288</v>
      </c>
      <c r="Z397" s="0" t="n">
        <f aca="false">I397-35</f>
        <v>243.5</v>
      </c>
      <c r="AB397" s="0" t="n">
        <f aca="false">IF(Z397&lt;0,Z397+360,Z397+0)</f>
        <v>243.5</v>
      </c>
    </row>
    <row r="398" customFormat="false" ht="15.8" hidden="false" customHeight="false" outlineLevel="0" collapsed="false">
      <c r="A398" s="1" t="n">
        <v>9</v>
      </c>
      <c r="B398" s="1" t="n">
        <v>9</v>
      </c>
      <c r="C398" s="1" t="n">
        <v>1.5</v>
      </c>
      <c r="D398" s="1" t="n">
        <v>1.1986</v>
      </c>
      <c r="E398" s="1" t="n">
        <v>0.0500599</v>
      </c>
      <c r="F398" s="1" t="n">
        <v>0.00013659</v>
      </c>
      <c r="G398" s="1" t="s">
        <v>27</v>
      </c>
      <c r="H398" s="1" t="n">
        <v>125.5</v>
      </c>
      <c r="I398" s="1" t="n">
        <v>178.2</v>
      </c>
      <c r="J398" s="1" t="n">
        <v>54.4</v>
      </c>
      <c r="K398" s="1"/>
      <c r="L398" s="1" t="n">
        <v>0</v>
      </c>
      <c r="M398" s="1" t="n">
        <v>0</v>
      </c>
      <c r="N398" s="1" t="s">
        <v>288</v>
      </c>
      <c r="Z398" s="0" t="n">
        <f aca="false">I398-35</f>
        <v>143.2</v>
      </c>
      <c r="AB398" s="0" t="n">
        <f aca="false">IF(Z398&lt;0,Z398+360,Z398+0)</f>
        <v>143.2</v>
      </c>
    </row>
    <row r="399" customFormat="false" ht="15.8" hidden="false" customHeight="false" outlineLevel="0" collapsed="false">
      <c r="A399" s="1" t="n">
        <v>9</v>
      </c>
      <c r="B399" s="1" t="n">
        <v>9</v>
      </c>
      <c r="C399" s="1" t="n">
        <v>4.6</v>
      </c>
      <c r="D399" s="1" t="n">
        <v>1.3177</v>
      </c>
      <c r="E399" s="1" t="n">
        <v>0.156363</v>
      </c>
      <c r="F399" s="1" t="n">
        <v>0.000426641</v>
      </c>
      <c r="G399" s="1" t="s">
        <v>27</v>
      </c>
      <c r="H399" s="1" t="n">
        <v>1.6</v>
      </c>
      <c r="I399" s="1" t="n">
        <v>1.4</v>
      </c>
      <c r="J399" s="1" t="n">
        <v>0</v>
      </c>
      <c r="K399" s="1"/>
      <c r="L399" s="1" t="n">
        <v>0</v>
      </c>
      <c r="M399" s="1" t="n">
        <v>0</v>
      </c>
      <c r="N399" s="1" t="s">
        <v>288</v>
      </c>
      <c r="Z399" s="0" t="n">
        <f aca="false">I399-35</f>
        <v>-33.6</v>
      </c>
      <c r="AB399" s="0" t="n">
        <f aca="false">IF(Z399&lt;0,Z399+360,Z399+0)</f>
        <v>326.4</v>
      </c>
    </row>
    <row r="400" customFormat="false" ht="15.8" hidden="false" customHeight="false" outlineLevel="0" collapsed="false">
      <c r="A400" s="1" t="n">
        <v>9</v>
      </c>
      <c r="B400" s="1" t="n">
        <v>8</v>
      </c>
      <c r="C400" s="1" t="n">
        <v>1.7</v>
      </c>
      <c r="D400" s="1" t="n">
        <v>1.0407</v>
      </c>
      <c r="E400" s="1" t="n">
        <v>0.0581137</v>
      </c>
      <c r="F400" s="1" t="n">
        <v>0.000158565</v>
      </c>
      <c r="G400" s="1" t="s">
        <v>59</v>
      </c>
      <c r="H400" s="1" t="n">
        <v>18.3</v>
      </c>
      <c r="I400" s="1" t="n">
        <v>3.1</v>
      </c>
      <c r="J400" s="1" t="n">
        <v>0</v>
      </c>
      <c r="K400" s="1" t="n">
        <v>125.5</v>
      </c>
      <c r="L400" s="1" t="n">
        <v>0</v>
      </c>
      <c r="M400" s="1" t="n">
        <v>0</v>
      </c>
      <c r="N400" s="1" t="s">
        <v>287</v>
      </c>
      <c r="Z400" s="0" t="n">
        <f aca="false">I400-35</f>
        <v>-31.9</v>
      </c>
      <c r="AB400" s="0" t="n">
        <f aca="false">IF(Z400&lt;0,Z400+360,Z400+0)</f>
        <v>328.1</v>
      </c>
    </row>
    <row r="401" customFormat="false" ht="15.8" hidden="false" customHeight="false" outlineLevel="0" collapsed="false">
      <c r="A401" s="1" t="n">
        <v>9</v>
      </c>
      <c r="B401" s="1" t="n">
        <v>7</v>
      </c>
      <c r="C401" s="1" t="n">
        <v>1.6</v>
      </c>
      <c r="D401" s="1" t="n">
        <v>1.1072</v>
      </c>
      <c r="E401" s="1" t="n">
        <v>0.0552544</v>
      </c>
      <c r="F401" s="1" t="n">
        <v>0.000150764</v>
      </c>
      <c r="G401" s="1" t="s">
        <v>59</v>
      </c>
      <c r="H401" s="1" t="n">
        <v>52.7</v>
      </c>
      <c r="I401" s="1" t="n">
        <v>350.2</v>
      </c>
      <c r="J401" s="1" t="n">
        <v>13.1</v>
      </c>
      <c r="K401" s="1" t="n">
        <v>28.9</v>
      </c>
      <c r="L401" s="1" t="n">
        <v>0</v>
      </c>
      <c r="M401" s="1" t="n">
        <v>0</v>
      </c>
      <c r="N401" s="1" t="s">
        <v>286</v>
      </c>
      <c r="Z401" s="0" t="n">
        <f aca="false">I401-35</f>
        <v>315.2</v>
      </c>
      <c r="AB401" s="0" t="n">
        <f aca="false">IF(Z401&lt;0,Z401+360,Z401+0)</f>
        <v>315.2</v>
      </c>
    </row>
    <row r="402" customFormat="false" ht="15.8" hidden="false" customHeight="false" outlineLevel="0" collapsed="false">
      <c r="A402" s="1" t="n">
        <v>9</v>
      </c>
      <c r="B402" s="1" t="n">
        <v>6</v>
      </c>
      <c r="C402" s="1" t="n">
        <v>3.8</v>
      </c>
      <c r="D402" s="1" t="n">
        <v>1.3336</v>
      </c>
      <c r="E402" s="1" t="n">
        <v>0.130853</v>
      </c>
      <c r="F402" s="1" t="n">
        <v>0.000357037</v>
      </c>
      <c r="G402" s="1" t="s">
        <v>59</v>
      </c>
      <c r="H402" s="1" t="n">
        <v>31.5</v>
      </c>
      <c r="I402" s="1" t="n">
        <v>24.9</v>
      </c>
      <c r="J402" s="1" t="n">
        <v>-27.5</v>
      </c>
      <c r="K402" s="1" t="n">
        <v>133.4</v>
      </c>
      <c r="L402" s="1" t="n">
        <v>0</v>
      </c>
      <c r="M402" s="1" t="n">
        <v>0</v>
      </c>
      <c r="N402" s="1" t="s">
        <v>289</v>
      </c>
      <c r="Z402" s="0" t="n">
        <f aca="false">I402-35</f>
        <v>-10.1</v>
      </c>
      <c r="AB402" s="0" t="n">
        <f aca="false">IF(Z402&lt;0,Z402+360,Z402+0)</f>
        <v>349.9</v>
      </c>
    </row>
    <row r="403" customFormat="false" ht="15.8" hidden="false" customHeight="false" outlineLevel="0" collapsed="false">
      <c r="A403" s="1" t="n">
        <v>9</v>
      </c>
      <c r="B403" s="1" t="n">
        <v>6</v>
      </c>
      <c r="C403" s="1" t="n">
        <v>8.8</v>
      </c>
      <c r="D403" s="1" t="n">
        <v>1.1877</v>
      </c>
      <c r="E403" s="1" t="n">
        <v>0.300841</v>
      </c>
      <c r="F403" s="1" t="n">
        <v>0.000820855</v>
      </c>
      <c r="G403" s="1" t="s">
        <v>27</v>
      </c>
      <c r="H403" s="1" t="n">
        <v>14.3</v>
      </c>
      <c r="I403" s="1" t="n">
        <v>26.9</v>
      </c>
      <c r="J403" s="1" t="n">
        <v>2.6</v>
      </c>
      <c r="K403" s="1"/>
      <c r="L403" s="1" t="n">
        <v>0</v>
      </c>
      <c r="M403" s="1" t="n">
        <v>0</v>
      </c>
      <c r="N403" s="1" t="s">
        <v>289</v>
      </c>
      <c r="Z403" s="0" t="n">
        <f aca="false">I403-35</f>
        <v>-8.1</v>
      </c>
      <c r="AB403" s="0" t="n">
        <f aca="false">IF(Z403&lt;0,Z403+360,Z403+0)</f>
        <v>351.9</v>
      </c>
    </row>
    <row r="404" customFormat="false" ht="15.8" hidden="false" customHeight="false" outlineLevel="0" collapsed="false">
      <c r="A404" s="1" t="n">
        <v>9</v>
      </c>
      <c r="B404" s="1" t="n">
        <v>5</v>
      </c>
      <c r="C404" s="1" t="n">
        <v>1</v>
      </c>
      <c r="D404" s="1" t="n">
        <v>1.0333</v>
      </c>
      <c r="E404" s="1" t="n">
        <v>0.0353572</v>
      </c>
      <c r="F404" s="1" t="n">
        <v>9.64733E-005</v>
      </c>
      <c r="G404" s="1" t="s">
        <v>59</v>
      </c>
      <c r="H404" s="1" t="n">
        <v>66.1</v>
      </c>
      <c r="I404" s="1" t="n">
        <v>41</v>
      </c>
      <c r="J404" s="1" t="n">
        <v>0</v>
      </c>
      <c r="K404" s="1" t="n">
        <v>31.5</v>
      </c>
      <c r="L404" s="1" t="n">
        <v>0</v>
      </c>
      <c r="M404" s="1" t="n">
        <v>0</v>
      </c>
      <c r="N404" s="1" t="s">
        <v>285</v>
      </c>
      <c r="Z404" s="0" t="n">
        <f aca="false">I404-35</f>
        <v>6</v>
      </c>
      <c r="AB404" s="0" t="n">
        <f aca="false">IF(Z404&lt;0,Z404+360,Z404+0)</f>
        <v>6</v>
      </c>
    </row>
    <row r="405" customFormat="false" ht="15.8" hidden="false" customHeight="false" outlineLevel="0" collapsed="false">
      <c r="A405" s="1" t="n">
        <v>9</v>
      </c>
      <c r="B405" s="1" t="n">
        <v>4</v>
      </c>
      <c r="C405" s="1" t="n">
        <v>2.1</v>
      </c>
      <c r="D405" s="1" t="n">
        <v>1.1627</v>
      </c>
      <c r="E405" s="1" t="n">
        <v>0.0731142</v>
      </c>
      <c r="F405" s="1" t="n">
        <v>0.000199495</v>
      </c>
      <c r="G405" s="1" t="s">
        <v>59</v>
      </c>
      <c r="H405" s="1" t="n">
        <v>62.6</v>
      </c>
      <c r="I405" s="1" t="n">
        <v>336.7</v>
      </c>
      <c r="J405" s="1" t="n">
        <v>-21.1</v>
      </c>
      <c r="K405" s="1" t="n">
        <v>66.1</v>
      </c>
      <c r="L405" s="1" t="n">
        <v>0</v>
      </c>
      <c r="M405" s="1" t="n">
        <v>0</v>
      </c>
      <c r="N405" s="1" t="s">
        <v>284</v>
      </c>
      <c r="Z405" s="0" t="n">
        <f aca="false">I405-35</f>
        <v>301.7</v>
      </c>
      <c r="AB405" s="0" t="n">
        <f aca="false">IF(Z405&lt;0,Z405+360,Z405+0)</f>
        <v>301.7</v>
      </c>
    </row>
    <row r="406" customFormat="false" ht="15.8" hidden="false" customHeight="false" outlineLevel="0" collapsed="false">
      <c r="A406" s="1" t="n">
        <v>9</v>
      </c>
      <c r="B406" s="1" t="n">
        <v>3</v>
      </c>
      <c r="C406" s="1" t="n">
        <v>3.7</v>
      </c>
      <c r="D406" s="1" t="n">
        <v>1.1784</v>
      </c>
      <c r="E406" s="1" t="n">
        <v>0.12606</v>
      </c>
      <c r="F406" s="1" t="n">
        <v>0.000343958</v>
      </c>
      <c r="G406" s="1" t="s">
        <v>59</v>
      </c>
      <c r="H406" s="1" t="n">
        <v>7.9</v>
      </c>
      <c r="I406" s="1" t="n">
        <v>30.7</v>
      </c>
      <c r="J406" s="1" t="n">
        <v>12.2</v>
      </c>
      <c r="K406" s="1" t="n">
        <v>62.6</v>
      </c>
      <c r="L406" s="1" t="n">
        <v>0</v>
      </c>
      <c r="M406" s="1" t="n">
        <v>0</v>
      </c>
      <c r="N406" s="1" t="s">
        <v>290</v>
      </c>
      <c r="Z406" s="0" t="n">
        <f aca="false">I406-35</f>
        <v>-4.3</v>
      </c>
      <c r="AB406" s="0" t="n">
        <f aca="false">IF(Z406&lt;0,Z406+360,Z406+0)</f>
        <v>355.7</v>
      </c>
    </row>
    <row r="407" customFormat="false" ht="15.8" hidden="false" customHeight="false" outlineLevel="0" collapsed="false">
      <c r="A407" s="1" t="n">
        <v>9</v>
      </c>
      <c r="B407" s="1" t="n">
        <v>6</v>
      </c>
      <c r="C407" s="1" t="n">
        <v>0.8</v>
      </c>
      <c r="D407" s="1" t="n">
        <v>1.2044</v>
      </c>
      <c r="E407" s="1" t="n">
        <v>0.0278001</v>
      </c>
      <c r="F407" s="1" t="n">
        <v>7.58535E-005</v>
      </c>
      <c r="G407" s="1" t="s">
        <v>27</v>
      </c>
      <c r="H407" s="1" t="n">
        <v>54.7</v>
      </c>
      <c r="I407" s="1" t="n">
        <v>341.6</v>
      </c>
      <c r="J407" s="1" t="n">
        <v>29.4</v>
      </c>
      <c r="K407" s="1"/>
      <c r="L407" s="1" t="n">
        <v>0</v>
      </c>
      <c r="M407" s="1" t="n">
        <v>0</v>
      </c>
      <c r="N407" s="1" t="s">
        <v>291</v>
      </c>
      <c r="Z407" s="0" t="n">
        <f aca="false">I407-35</f>
        <v>306.6</v>
      </c>
      <c r="AB407" s="0" t="n">
        <f aca="false">IF(Z407&lt;0,Z407+360,Z407+0)</f>
        <v>306.6</v>
      </c>
    </row>
    <row r="408" customFormat="false" ht="15.8" hidden="false" customHeight="false" outlineLevel="0" collapsed="false">
      <c r="A408" s="1" t="n">
        <v>9</v>
      </c>
      <c r="B408" s="1" t="n">
        <v>6</v>
      </c>
      <c r="C408" s="1" t="n">
        <v>0.6</v>
      </c>
      <c r="D408" s="1" t="n">
        <v>1.0549</v>
      </c>
      <c r="E408" s="1" t="n">
        <v>0.0195045</v>
      </c>
      <c r="F408" s="1" t="n">
        <v>5.32188E-005</v>
      </c>
      <c r="G408" s="1" t="s">
        <v>27</v>
      </c>
      <c r="H408" s="1" t="n">
        <v>27.6</v>
      </c>
      <c r="I408" s="1" t="n">
        <v>54.1</v>
      </c>
      <c r="J408" s="1" t="n">
        <v>0</v>
      </c>
      <c r="K408" s="1"/>
      <c r="L408" s="1" t="n">
        <v>0</v>
      </c>
      <c r="M408" s="1" t="n">
        <v>0</v>
      </c>
      <c r="N408" s="1" t="s">
        <v>291</v>
      </c>
      <c r="Z408" s="0" t="n">
        <f aca="false">I408-35</f>
        <v>19.1</v>
      </c>
      <c r="AB408" s="0" t="n">
        <f aca="false">IF(Z408&lt;0,Z408+360,Z408+0)</f>
        <v>19.1</v>
      </c>
    </row>
    <row r="409" customFormat="false" ht="15.8" hidden="false" customHeight="false" outlineLevel="0" collapsed="false">
      <c r="A409" s="1" t="n">
        <v>9</v>
      </c>
      <c r="B409" s="1" t="n">
        <v>5</v>
      </c>
      <c r="C409" s="1" t="n">
        <v>5.5</v>
      </c>
      <c r="D409" s="1" t="n">
        <v>1.1796</v>
      </c>
      <c r="E409" s="1" t="n">
        <v>0.187814</v>
      </c>
      <c r="F409" s="1" t="n">
        <v>0.000512458</v>
      </c>
      <c r="G409" s="1" t="s">
        <v>59</v>
      </c>
      <c r="H409" s="1" t="n">
        <v>41</v>
      </c>
      <c r="I409" s="1" t="n">
        <v>26.7</v>
      </c>
      <c r="J409" s="1" t="n">
        <v>-4.1</v>
      </c>
      <c r="K409" s="1" t="n">
        <v>54.7</v>
      </c>
      <c r="L409" s="1" t="n">
        <v>0</v>
      </c>
      <c r="M409" s="1" t="n">
        <v>0</v>
      </c>
      <c r="N409" s="1" t="s">
        <v>292</v>
      </c>
      <c r="Z409" s="0" t="n">
        <f aca="false">I409-35</f>
        <v>-8.3</v>
      </c>
      <c r="AB409" s="0" t="n">
        <f aca="false">IF(Z409&lt;0,Z409+360,Z409+0)</f>
        <v>351.7</v>
      </c>
    </row>
    <row r="410" customFormat="false" ht="15.8" hidden="false" customHeight="false" outlineLevel="0" collapsed="false">
      <c r="A410" s="1" t="n">
        <v>9</v>
      </c>
      <c r="B410" s="1" t="n">
        <v>5</v>
      </c>
      <c r="C410" s="1" t="n">
        <v>1</v>
      </c>
      <c r="D410" s="1" t="n">
        <v>1.1667</v>
      </c>
      <c r="E410" s="1" t="n">
        <v>0.0336239</v>
      </c>
      <c r="F410" s="1" t="n">
        <v>9.17439E-005</v>
      </c>
      <c r="G410" s="1" t="s">
        <v>27</v>
      </c>
      <c r="H410" s="1" t="n">
        <v>81.4</v>
      </c>
      <c r="I410" s="1" t="n">
        <v>346.9</v>
      </c>
      <c r="J410" s="1" t="n">
        <v>-23.1</v>
      </c>
      <c r="K410" s="1"/>
      <c r="L410" s="1" t="n">
        <v>0</v>
      </c>
      <c r="M410" s="1" t="n">
        <v>0</v>
      </c>
      <c r="N410" s="1" t="s">
        <v>292</v>
      </c>
      <c r="Z410" s="0" t="n">
        <f aca="false">I410-35</f>
        <v>311.9</v>
      </c>
      <c r="AB410" s="0" t="n">
        <f aca="false">IF(Z410&lt;0,Z410+360,Z410+0)</f>
        <v>311.9</v>
      </c>
    </row>
    <row r="411" customFormat="false" ht="15.8" hidden="false" customHeight="false" outlineLevel="0" collapsed="false">
      <c r="A411" s="1" t="n">
        <v>9</v>
      </c>
      <c r="B411" s="1" t="n">
        <v>4</v>
      </c>
      <c r="C411" s="1" t="n">
        <v>5.2</v>
      </c>
      <c r="D411" s="1" t="n">
        <v>1.1445</v>
      </c>
      <c r="E411" s="1" t="n">
        <v>0.178791</v>
      </c>
      <c r="F411" s="1" t="n">
        <v>0.000487838</v>
      </c>
      <c r="G411" s="1" t="s">
        <v>59</v>
      </c>
      <c r="H411" s="1" t="n">
        <v>82.8</v>
      </c>
      <c r="I411" s="1" t="n">
        <v>67.6</v>
      </c>
      <c r="J411" s="1" t="n">
        <v>0</v>
      </c>
      <c r="K411" s="1" t="n">
        <v>81.4</v>
      </c>
      <c r="L411" s="1" t="n">
        <v>0</v>
      </c>
      <c r="M411" s="1" t="n">
        <v>0</v>
      </c>
      <c r="N411" s="1" t="s">
        <v>293</v>
      </c>
      <c r="Z411" s="0" t="n">
        <f aca="false">I411-35</f>
        <v>32.6</v>
      </c>
      <c r="AB411" s="0" t="n">
        <f aca="false">IF(Z411&lt;0,Z411+360,Z411+0)</f>
        <v>32.6</v>
      </c>
    </row>
    <row r="412" customFormat="false" ht="15.8" hidden="false" customHeight="false" outlineLevel="0" collapsed="false">
      <c r="A412" s="1" t="n">
        <v>9</v>
      </c>
      <c r="B412" s="1" t="n">
        <v>5</v>
      </c>
      <c r="C412" s="1" t="n">
        <v>1.1</v>
      </c>
      <c r="D412" s="1" t="n">
        <v>1.3011</v>
      </c>
      <c r="E412" s="1" t="n">
        <v>0.0393862</v>
      </c>
      <c r="F412" s="1" t="n">
        <v>0.000107467</v>
      </c>
      <c r="G412" s="1" t="s">
        <v>27</v>
      </c>
      <c r="H412" s="1" t="n">
        <v>23.2</v>
      </c>
      <c r="I412" s="1" t="n">
        <v>248.9</v>
      </c>
      <c r="J412" s="1" t="n">
        <v>-21.9</v>
      </c>
      <c r="K412" s="1"/>
      <c r="L412" s="1" t="n">
        <v>0</v>
      </c>
      <c r="M412" s="1" t="n">
        <v>0</v>
      </c>
      <c r="N412" s="1" t="s">
        <v>294</v>
      </c>
      <c r="Z412" s="0" t="n">
        <f aca="false">I412-35</f>
        <v>213.9</v>
      </c>
      <c r="AB412" s="0" t="n">
        <f aca="false">IF(Z412&lt;0,Z412+360,Z412+0)</f>
        <v>213.9</v>
      </c>
    </row>
    <row r="413" customFormat="false" ht="15.8" hidden="false" customHeight="false" outlineLevel="0" collapsed="false">
      <c r="A413" s="1" t="n">
        <v>9</v>
      </c>
      <c r="B413" s="1" t="n">
        <v>5</v>
      </c>
      <c r="C413" s="1" t="n">
        <v>1.1</v>
      </c>
      <c r="D413" s="1" t="n">
        <v>1.1512</v>
      </c>
      <c r="E413" s="1" t="n">
        <v>0.0372282</v>
      </c>
      <c r="F413" s="1" t="n">
        <v>0.000101579</v>
      </c>
      <c r="G413" s="1" t="s">
        <v>27</v>
      </c>
      <c r="H413" s="1" t="n">
        <v>77.1</v>
      </c>
      <c r="I413" s="1" t="n">
        <v>332.8</v>
      </c>
      <c r="J413" s="1" t="n">
        <v>-20.5</v>
      </c>
      <c r="K413" s="1"/>
      <c r="L413" s="1" t="n">
        <v>0</v>
      </c>
      <c r="M413" s="1" t="n">
        <v>0</v>
      </c>
      <c r="N413" s="1" t="s">
        <v>294</v>
      </c>
      <c r="Z413" s="0" t="n">
        <f aca="false">I413-35</f>
        <v>297.8</v>
      </c>
      <c r="AB413" s="0" t="n">
        <f aca="false">IF(Z413&lt;0,Z413+360,Z413+0)</f>
        <v>297.8</v>
      </c>
    </row>
    <row r="414" customFormat="false" ht="15.8" hidden="false" customHeight="false" outlineLevel="0" collapsed="false">
      <c r="A414" s="1" t="n">
        <v>9</v>
      </c>
      <c r="B414" s="1" t="n">
        <v>4</v>
      </c>
      <c r="C414" s="1" t="n">
        <v>0.5</v>
      </c>
      <c r="D414" s="1" t="n">
        <v>1.0465</v>
      </c>
      <c r="E414" s="1" t="n">
        <v>0.0185227</v>
      </c>
      <c r="F414" s="1" t="n">
        <v>5.05399E-005</v>
      </c>
      <c r="G414" s="1" t="s">
        <v>59</v>
      </c>
      <c r="H414" s="1" t="n">
        <v>89.1</v>
      </c>
      <c r="I414" s="1" t="n">
        <v>256.6</v>
      </c>
      <c r="J414" s="1" t="n">
        <v>0</v>
      </c>
      <c r="K414" s="1" t="n">
        <v>77.1</v>
      </c>
      <c r="L414" s="1" t="n">
        <v>0</v>
      </c>
      <c r="M414" s="1" t="n">
        <v>0</v>
      </c>
      <c r="N414" s="1" t="s">
        <v>293</v>
      </c>
      <c r="Z414" s="0" t="n">
        <f aca="false">I414-35</f>
        <v>221.6</v>
      </c>
      <c r="AB414" s="0" t="n">
        <f aca="false">IF(Z414&lt;0,Z414+360,Z414+0)</f>
        <v>221.6</v>
      </c>
    </row>
    <row r="415" customFormat="false" ht="15.8" hidden="false" customHeight="false" outlineLevel="0" collapsed="false">
      <c r="A415" s="1" t="n">
        <v>9</v>
      </c>
      <c r="B415" s="1" t="n">
        <v>3</v>
      </c>
      <c r="C415" s="1" t="n">
        <v>1.8</v>
      </c>
      <c r="D415" s="1" t="n">
        <v>1.138</v>
      </c>
      <c r="E415" s="1" t="n">
        <v>0.061906</v>
      </c>
      <c r="F415" s="1" t="n">
        <v>0.000168913</v>
      </c>
      <c r="G415" s="1" t="s">
        <v>59</v>
      </c>
      <c r="H415" s="1" t="n">
        <v>59</v>
      </c>
      <c r="I415" s="1" t="n">
        <v>345.5</v>
      </c>
      <c r="J415" s="1" t="n">
        <v>-24.6</v>
      </c>
      <c r="K415" s="1" t="n">
        <v>89.1</v>
      </c>
      <c r="L415" s="1" t="n">
        <v>0</v>
      </c>
      <c r="M415" s="1" t="n">
        <v>0</v>
      </c>
      <c r="N415" s="1" t="s">
        <v>290</v>
      </c>
      <c r="Z415" s="0" t="n">
        <f aca="false">I415-35</f>
        <v>310.5</v>
      </c>
      <c r="AB415" s="0" t="n">
        <f aca="false">IF(Z415&lt;0,Z415+360,Z415+0)</f>
        <v>310.5</v>
      </c>
    </row>
    <row r="416" customFormat="false" ht="15.8" hidden="false" customHeight="false" outlineLevel="0" collapsed="false">
      <c r="A416" s="1" t="n">
        <v>9</v>
      </c>
      <c r="B416" s="1" t="n">
        <v>2</v>
      </c>
      <c r="C416" s="1" t="n">
        <v>8.7</v>
      </c>
      <c r="D416" s="1" t="n">
        <v>1.0718</v>
      </c>
      <c r="E416" s="1" t="n">
        <v>0.29718</v>
      </c>
      <c r="F416" s="1" t="n">
        <v>0.000810866</v>
      </c>
      <c r="G416" s="1" t="s">
        <v>59</v>
      </c>
      <c r="H416" s="1" t="n">
        <v>30.2</v>
      </c>
      <c r="I416" s="1" t="n">
        <v>36.7</v>
      </c>
      <c r="J416" s="1" t="n">
        <v>7</v>
      </c>
      <c r="K416" s="1" t="n">
        <v>59</v>
      </c>
      <c r="L416" s="1" t="n">
        <v>0</v>
      </c>
      <c r="M416" s="1" t="n">
        <v>0</v>
      </c>
      <c r="N416" s="1" t="s">
        <v>295</v>
      </c>
      <c r="Z416" s="0" t="n">
        <f aca="false">I416-35</f>
        <v>1.7</v>
      </c>
      <c r="AB416" s="0" t="n">
        <f aca="false">IF(Z416&lt;0,Z416+360,Z416+0)</f>
        <v>1.7</v>
      </c>
    </row>
    <row r="417" customFormat="false" ht="15.8" hidden="false" customHeight="false" outlineLevel="0" collapsed="false">
      <c r="A417" s="1" t="n">
        <v>9</v>
      </c>
      <c r="B417" s="1" t="n">
        <v>3</v>
      </c>
      <c r="C417" s="1" t="n">
        <v>2</v>
      </c>
      <c r="D417" s="1" t="n">
        <v>1.1993</v>
      </c>
      <c r="E417" s="1" t="n">
        <v>0.0694692</v>
      </c>
      <c r="F417" s="1" t="n">
        <v>0.000189549</v>
      </c>
      <c r="G417" s="1" t="s">
        <v>27</v>
      </c>
      <c r="H417" s="1" t="n">
        <v>68.9</v>
      </c>
      <c r="I417" s="1" t="n">
        <v>15.3</v>
      </c>
      <c r="J417" s="1" t="n">
        <v>35.9</v>
      </c>
      <c r="K417" s="1"/>
      <c r="L417" s="1" t="n">
        <v>0</v>
      </c>
      <c r="M417" s="1" t="n">
        <v>0</v>
      </c>
      <c r="N417" s="1" t="s">
        <v>296</v>
      </c>
      <c r="Z417" s="0" t="n">
        <f aca="false">I417-35</f>
        <v>-19.7</v>
      </c>
      <c r="AB417" s="0" t="n">
        <f aca="false">IF(Z417&lt;0,Z417+360,Z417+0)</f>
        <v>340.3</v>
      </c>
    </row>
    <row r="418" customFormat="false" ht="15.8" hidden="false" customHeight="false" outlineLevel="0" collapsed="false">
      <c r="A418" s="1" t="n">
        <v>9</v>
      </c>
      <c r="B418" s="1" t="n">
        <v>4</v>
      </c>
      <c r="C418" s="1" t="n">
        <v>0.8</v>
      </c>
      <c r="D418" s="1" t="n">
        <v>1.0116</v>
      </c>
      <c r="E418" s="1" t="n">
        <v>0.0269729</v>
      </c>
      <c r="F418" s="1" t="n">
        <v>7.35964E-005</v>
      </c>
      <c r="G418" s="1" t="s">
        <v>27</v>
      </c>
      <c r="H418" s="1" t="n">
        <v>50.2</v>
      </c>
      <c r="I418" s="1" t="n">
        <v>184.8</v>
      </c>
      <c r="J418" s="1" t="n">
        <v>0</v>
      </c>
      <c r="K418" s="1"/>
      <c r="L418" s="1" t="n">
        <v>0</v>
      </c>
      <c r="M418" s="1" t="n">
        <v>0</v>
      </c>
      <c r="N418" s="1" t="s">
        <v>297</v>
      </c>
      <c r="Z418" s="0" t="n">
        <f aca="false">I418-35</f>
        <v>149.8</v>
      </c>
      <c r="AB418" s="0" t="n">
        <f aca="false">IF(Z418&lt;0,Z418+360,Z418+0)</f>
        <v>149.8</v>
      </c>
    </row>
    <row r="419" customFormat="false" ht="15.8" hidden="false" customHeight="false" outlineLevel="0" collapsed="false">
      <c r="A419" s="1" t="n">
        <v>9</v>
      </c>
      <c r="B419" s="1" t="n">
        <v>5</v>
      </c>
      <c r="C419" s="1" t="n">
        <v>1.1</v>
      </c>
      <c r="D419" s="1" t="n">
        <v>1.0197</v>
      </c>
      <c r="E419" s="1" t="n">
        <v>0.0372105</v>
      </c>
      <c r="F419" s="1" t="n">
        <v>0.00010153</v>
      </c>
      <c r="G419" s="1" t="s">
        <v>27</v>
      </c>
      <c r="H419" s="1" t="n">
        <v>130.1</v>
      </c>
      <c r="I419" s="1" t="n">
        <v>205.5</v>
      </c>
      <c r="J419" s="1" t="n">
        <v>0</v>
      </c>
      <c r="K419" s="1"/>
      <c r="L419" s="1" t="n">
        <v>0</v>
      </c>
      <c r="M419" s="1" t="n">
        <v>0</v>
      </c>
      <c r="N419" s="1" t="s">
        <v>298</v>
      </c>
      <c r="Z419" s="0" t="n">
        <f aca="false">I419-35</f>
        <v>170.5</v>
      </c>
      <c r="AB419" s="0" t="n">
        <f aca="false">IF(Z419&lt;0,Z419+360,Z419+0)</f>
        <v>170.5</v>
      </c>
    </row>
    <row r="420" customFormat="false" ht="15.8" hidden="false" customHeight="false" outlineLevel="0" collapsed="false">
      <c r="A420" s="1" t="n">
        <v>9</v>
      </c>
      <c r="B420" s="1" t="n">
        <v>5</v>
      </c>
      <c r="C420" s="1" t="n">
        <v>2.2</v>
      </c>
      <c r="D420" s="1" t="n">
        <v>1.1464</v>
      </c>
      <c r="E420" s="1" t="n">
        <v>0.0770377</v>
      </c>
      <c r="F420" s="1" t="n">
        <v>0.0002102</v>
      </c>
      <c r="G420" s="1" t="s">
        <v>27</v>
      </c>
      <c r="H420" s="1" t="n">
        <v>104.7</v>
      </c>
      <c r="I420" s="1" t="n">
        <v>180.6</v>
      </c>
      <c r="J420" s="1" t="n">
        <v>-9.7</v>
      </c>
      <c r="K420" s="1"/>
      <c r="L420" s="1" t="n">
        <v>0</v>
      </c>
      <c r="M420" s="1" t="n">
        <v>0</v>
      </c>
      <c r="N420" s="1" t="s">
        <v>298</v>
      </c>
      <c r="Z420" s="0" t="n">
        <f aca="false">I420-35</f>
        <v>145.6</v>
      </c>
      <c r="AB420" s="0" t="n">
        <f aca="false">IF(Z420&lt;0,Z420+360,Z420+0)</f>
        <v>145.6</v>
      </c>
    </row>
    <row r="421" customFormat="false" ht="15.8" hidden="false" customHeight="false" outlineLevel="0" collapsed="false">
      <c r="A421" s="1" t="n">
        <v>9</v>
      </c>
      <c r="B421" s="1" t="n">
        <v>5</v>
      </c>
      <c r="C421" s="1" t="n">
        <v>2.5</v>
      </c>
      <c r="D421" s="1" t="n">
        <v>1.1338</v>
      </c>
      <c r="E421" s="1" t="n">
        <v>0.0858325</v>
      </c>
      <c r="F421" s="1" t="n">
        <v>0.000234197</v>
      </c>
      <c r="G421" s="1" t="s">
        <v>27</v>
      </c>
      <c r="H421" s="1" t="n">
        <v>45.3</v>
      </c>
      <c r="I421" s="1" t="n">
        <v>24.5</v>
      </c>
      <c r="J421" s="1" t="n">
        <v>-8.6</v>
      </c>
      <c r="K421" s="1"/>
      <c r="L421" s="1" t="n">
        <v>0</v>
      </c>
      <c r="M421" s="1" t="n">
        <v>0</v>
      </c>
      <c r="N421" s="1" t="s">
        <v>298</v>
      </c>
      <c r="Z421" s="0" t="n">
        <f aca="false">I421-35</f>
        <v>-10.5</v>
      </c>
      <c r="AB421" s="0" t="n">
        <f aca="false">IF(Z421&lt;0,Z421+360,Z421+0)</f>
        <v>349.5</v>
      </c>
    </row>
    <row r="422" customFormat="false" ht="15.8" hidden="false" customHeight="false" outlineLevel="0" collapsed="false">
      <c r="A422" s="1" t="n">
        <v>9</v>
      </c>
      <c r="B422" s="1" t="n">
        <v>4</v>
      </c>
      <c r="C422" s="1" t="n">
        <v>4.4</v>
      </c>
      <c r="D422" s="1" t="n">
        <v>1.3603</v>
      </c>
      <c r="E422" s="1" t="n">
        <v>0.149703</v>
      </c>
      <c r="F422" s="1" t="n">
        <v>0.00040847</v>
      </c>
      <c r="G422" s="1" t="s">
        <v>59</v>
      </c>
      <c r="H422" s="1" t="n">
        <v>71.1</v>
      </c>
      <c r="I422" s="1" t="n">
        <v>66.9</v>
      </c>
      <c r="J422" s="1" t="n">
        <v>-30.9</v>
      </c>
      <c r="K422" s="1" t="n">
        <v>130.1</v>
      </c>
      <c r="L422" s="1" t="n">
        <v>0</v>
      </c>
      <c r="M422" s="1" t="n">
        <v>0</v>
      </c>
      <c r="N422" s="1" t="s">
        <v>297</v>
      </c>
      <c r="Z422" s="0" t="n">
        <f aca="false">I422-35</f>
        <v>31.9</v>
      </c>
      <c r="AB422" s="0" t="n">
        <f aca="false">IF(Z422&lt;0,Z422+360,Z422+0)</f>
        <v>31.9</v>
      </c>
    </row>
    <row r="423" customFormat="false" ht="15.8" hidden="false" customHeight="false" outlineLevel="0" collapsed="false">
      <c r="A423" s="1" t="n">
        <v>9</v>
      </c>
      <c r="B423" s="1" t="n">
        <v>5</v>
      </c>
      <c r="C423" s="1" t="n">
        <v>3</v>
      </c>
      <c r="D423" s="1" t="n">
        <v>1.1122</v>
      </c>
      <c r="E423" s="1" t="n">
        <v>0.101536</v>
      </c>
      <c r="F423" s="1" t="n">
        <v>0.000277045</v>
      </c>
      <c r="G423" s="1" t="s">
        <v>27</v>
      </c>
      <c r="H423" s="1" t="n">
        <v>55.7</v>
      </c>
      <c r="I423" s="1" t="n">
        <v>1.4</v>
      </c>
      <c r="J423" s="1" t="n">
        <v>7.1</v>
      </c>
      <c r="K423" s="1"/>
      <c r="L423" s="1" t="n">
        <v>0</v>
      </c>
      <c r="M423" s="1" t="n">
        <v>0</v>
      </c>
      <c r="N423" s="1" t="s">
        <v>299</v>
      </c>
      <c r="Z423" s="0" t="n">
        <f aca="false">I423-35</f>
        <v>-33.6</v>
      </c>
      <c r="AB423" s="0" t="n">
        <f aca="false">IF(Z423&lt;0,Z423+360,Z423+0)</f>
        <v>326.4</v>
      </c>
    </row>
    <row r="424" customFormat="false" ht="15.8" hidden="false" customHeight="false" outlineLevel="0" collapsed="false">
      <c r="A424" s="1" t="n">
        <v>9</v>
      </c>
      <c r="B424" s="1" t="n">
        <v>10</v>
      </c>
      <c r="C424" s="1" t="n">
        <v>1</v>
      </c>
      <c r="D424" s="1" t="n">
        <v>1.0833</v>
      </c>
      <c r="E424" s="1" t="n">
        <v>0.0342481</v>
      </c>
      <c r="F424" s="1" t="n">
        <v>9.34471E-005</v>
      </c>
      <c r="G424" s="1" t="s">
        <v>27</v>
      </c>
      <c r="H424" s="1" t="n">
        <v>86.1</v>
      </c>
      <c r="I424" s="1" t="n">
        <v>163.5</v>
      </c>
      <c r="J424" s="1" t="n">
        <v>0</v>
      </c>
      <c r="K424" s="1"/>
      <c r="L424" s="1" t="n">
        <v>0</v>
      </c>
      <c r="M424" s="1" t="n">
        <v>0</v>
      </c>
      <c r="N424" s="1" t="s">
        <v>300</v>
      </c>
      <c r="Z424" s="0" t="n">
        <f aca="false">I424-35</f>
        <v>128.5</v>
      </c>
      <c r="AB424" s="0" t="n">
        <f aca="false">IF(Z424&lt;0,Z424+360,Z424+0)</f>
        <v>128.5</v>
      </c>
    </row>
    <row r="425" customFormat="false" ht="15.8" hidden="false" customHeight="false" outlineLevel="0" collapsed="false">
      <c r="A425" s="1" t="n">
        <v>9</v>
      </c>
      <c r="B425" s="1" t="n">
        <v>11</v>
      </c>
      <c r="C425" s="1" t="n">
        <v>2.4</v>
      </c>
      <c r="D425" s="1" t="n">
        <v>1.4222</v>
      </c>
      <c r="E425" s="1" t="n">
        <v>0.0810188</v>
      </c>
      <c r="F425" s="1" t="n">
        <v>0.000221063</v>
      </c>
      <c r="G425" s="1" t="s">
        <v>27</v>
      </c>
      <c r="H425" s="1" t="n">
        <v>63.1</v>
      </c>
      <c r="I425" s="1" t="n">
        <v>142.9</v>
      </c>
      <c r="J425" s="1" t="n">
        <v>11.5</v>
      </c>
      <c r="K425" s="1"/>
      <c r="L425" s="1" t="n">
        <v>0</v>
      </c>
      <c r="M425" s="1" t="n">
        <v>0</v>
      </c>
      <c r="N425" s="1" t="s">
        <v>301</v>
      </c>
      <c r="Z425" s="0" t="n">
        <f aca="false">I425-35</f>
        <v>107.9</v>
      </c>
      <c r="AB425" s="0" t="n">
        <f aca="false">IF(Z425&lt;0,Z425+360,Z425+0)</f>
        <v>107.9</v>
      </c>
    </row>
    <row r="426" customFormat="false" ht="15.8" hidden="false" customHeight="false" outlineLevel="0" collapsed="false">
      <c r="A426" s="1" t="n">
        <v>9</v>
      </c>
      <c r="B426" s="1" t="n">
        <v>12</v>
      </c>
      <c r="C426" s="1" t="n">
        <v>1.2</v>
      </c>
      <c r="D426" s="1" t="n">
        <v>1.1761</v>
      </c>
      <c r="E426" s="1" t="n">
        <v>0.0394586</v>
      </c>
      <c r="F426" s="1" t="n">
        <v>0.000107664</v>
      </c>
      <c r="G426" s="1" t="s">
        <v>27</v>
      </c>
      <c r="H426" s="1" t="n">
        <v>87.8</v>
      </c>
      <c r="I426" s="1" t="n">
        <v>323.7</v>
      </c>
      <c r="J426" s="1" t="n">
        <v>19.7</v>
      </c>
      <c r="K426" s="1"/>
      <c r="L426" s="1" t="n">
        <v>0</v>
      </c>
      <c r="M426" s="1" t="n">
        <v>0</v>
      </c>
      <c r="N426" s="1" t="s">
        <v>302</v>
      </c>
      <c r="Z426" s="0" t="n">
        <f aca="false">I426-35</f>
        <v>288.7</v>
      </c>
      <c r="AB426" s="0" t="n">
        <f aca="false">IF(Z426&lt;0,Z426+360,Z426+0)</f>
        <v>288.7</v>
      </c>
    </row>
    <row r="427" customFormat="false" ht="15.8" hidden="false" customHeight="false" outlineLevel="0" collapsed="false">
      <c r="A427" s="1" t="n">
        <v>9</v>
      </c>
      <c r="B427" s="1" t="n">
        <v>12</v>
      </c>
      <c r="C427" s="1" t="n">
        <v>4.7</v>
      </c>
      <c r="D427" s="1" t="n">
        <v>1.7226</v>
      </c>
      <c r="E427" s="1" t="n">
        <v>0.162433</v>
      </c>
      <c r="F427" s="1" t="n">
        <v>0.000443203</v>
      </c>
      <c r="G427" s="1" t="s">
        <v>27</v>
      </c>
      <c r="H427" s="1" t="n">
        <v>48.5</v>
      </c>
      <c r="I427" s="1" t="n">
        <v>65.4</v>
      </c>
      <c r="J427" s="1" t="n">
        <v>28.7</v>
      </c>
      <c r="K427" s="1"/>
      <c r="L427" s="1" t="n">
        <v>0</v>
      </c>
      <c r="M427" s="1" t="n">
        <v>0</v>
      </c>
      <c r="N427" s="1" t="s">
        <v>302</v>
      </c>
      <c r="Z427" s="0" t="n">
        <f aca="false">I427-35</f>
        <v>30.4</v>
      </c>
      <c r="AB427" s="0" t="n">
        <f aca="false">IF(Z427&lt;0,Z427+360,Z427+0)</f>
        <v>30.4</v>
      </c>
    </row>
    <row r="428" customFormat="false" ht="15.8" hidden="false" customHeight="false" outlineLevel="0" collapsed="false">
      <c r="A428" s="1" t="n">
        <v>9</v>
      </c>
      <c r="B428" s="1" t="n">
        <v>14</v>
      </c>
      <c r="C428" s="1" t="n">
        <v>1.2</v>
      </c>
      <c r="D428" s="1" t="n">
        <v>1.183</v>
      </c>
      <c r="E428" s="1" t="n">
        <v>0.0413901</v>
      </c>
      <c r="F428" s="1" t="n">
        <v>0.000112934</v>
      </c>
      <c r="G428" s="1" t="s">
        <v>27</v>
      </c>
      <c r="H428" s="1" t="n">
        <v>92.7</v>
      </c>
      <c r="I428" s="1" t="n">
        <v>157.8</v>
      </c>
      <c r="J428" s="1" t="n">
        <v>-40.3</v>
      </c>
      <c r="K428" s="1"/>
      <c r="L428" s="1" t="n">
        <v>0</v>
      </c>
      <c r="M428" s="1" t="n">
        <v>0</v>
      </c>
      <c r="N428" s="1" t="s">
        <v>303</v>
      </c>
      <c r="Z428" s="0" t="n">
        <f aca="false">I428-35</f>
        <v>122.8</v>
      </c>
      <c r="AB428" s="0" t="n">
        <f aca="false">IF(Z428&lt;0,Z428+360,Z428+0)</f>
        <v>122.8</v>
      </c>
    </row>
    <row r="429" customFormat="false" ht="15.8" hidden="false" customHeight="false" outlineLevel="0" collapsed="false">
      <c r="A429" s="1" t="n">
        <v>9</v>
      </c>
      <c r="B429" s="1" t="n">
        <v>14</v>
      </c>
      <c r="C429" s="1" t="n">
        <v>1.1</v>
      </c>
      <c r="D429" s="1" t="n">
        <v>1.3639</v>
      </c>
      <c r="E429" s="1" t="n">
        <v>0.0375538</v>
      </c>
      <c r="F429" s="1" t="n">
        <v>0.000102467</v>
      </c>
      <c r="G429" s="1" t="s">
        <v>27</v>
      </c>
      <c r="H429" s="1" t="n">
        <v>28.5</v>
      </c>
      <c r="I429" s="1" t="n">
        <v>349.7</v>
      </c>
      <c r="J429" s="1" t="n">
        <v>-24.3</v>
      </c>
      <c r="K429" s="1"/>
      <c r="L429" s="1" t="n">
        <v>0</v>
      </c>
      <c r="M429" s="1" t="n">
        <v>0</v>
      </c>
      <c r="N429" s="1" t="s">
        <v>303</v>
      </c>
      <c r="Z429" s="0" t="n">
        <f aca="false">I429-35</f>
        <v>314.7</v>
      </c>
      <c r="AB429" s="0" t="n">
        <f aca="false">IF(Z429&lt;0,Z429+360,Z429+0)</f>
        <v>314.7</v>
      </c>
    </row>
    <row r="430" customFormat="false" ht="15.8" hidden="false" customHeight="false" outlineLevel="0" collapsed="false">
      <c r="A430" s="1" t="n">
        <v>9</v>
      </c>
      <c r="B430" s="1" t="n">
        <v>13</v>
      </c>
      <c r="C430" s="1" t="n">
        <v>1.9</v>
      </c>
      <c r="D430" s="1" t="n">
        <v>1.224</v>
      </c>
      <c r="E430" s="1" t="n">
        <v>0.0667868</v>
      </c>
      <c r="F430" s="1" t="n">
        <v>0.00018223</v>
      </c>
      <c r="G430" s="1" t="s">
        <v>59</v>
      </c>
      <c r="H430" s="1" t="n">
        <v>27.5</v>
      </c>
      <c r="I430" s="1" t="n">
        <v>18.9</v>
      </c>
      <c r="J430" s="1" t="n">
        <v>-38.5</v>
      </c>
      <c r="K430" s="1" t="n">
        <v>92.7</v>
      </c>
      <c r="L430" s="1" t="n">
        <v>0</v>
      </c>
      <c r="M430" s="1" t="n">
        <v>0</v>
      </c>
      <c r="N430" s="1" t="s">
        <v>304</v>
      </c>
      <c r="Z430" s="0" t="n">
        <f aca="false">I430-35</f>
        <v>-16.1</v>
      </c>
      <c r="AB430" s="0" t="n">
        <f aca="false">IF(Z430&lt;0,Z430+360,Z430+0)</f>
        <v>343.9</v>
      </c>
    </row>
    <row r="431" customFormat="false" ht="15.8" hidden="false" customHeight="false" outlineLevel="0" collapsed="false">
      <c r="A431" s="1" t="n">
        <v>9</v>
      </c>
      <c r="B431" s="1" t="n">
        <v>14</v>
      </c>
      <c r="C431" s="1" t="n">
        <v>3.4</v>
      </c>
      <c r="D431" s="1" t="n">
        <v>1.2482</v>
      </c>
      <c r="E431" s="1" t="n">
        <v>0.117592</v>
      </c>
      <c r="F431" s="1" t="n">
        <v>0.000320855</v>
      </c>
      <c r="G431" s="1" t="s">
        <v>27</v>
      </c>
      <c r="H431" s="1" t="n">
        <v>121.6</v>
      </c>
      <c r="I431" s="1" t="n">
        <v>186.1</v>
      </c>
      <c r="J431" s="1" t="n">
        <v>-13.9</v>
      </c>
      <c r="K431" s="1"/>
      <c r="L431" s="1" t="n">
        <v>0</v>
      </c>
      <c r="M431" s="1" t="n">
        <v>0</v>
      </c>
      <c r="N431" s="1" t="s">
        <v>305</v>
      </c>
      <c r="Z431" s="0" t="n">
        <f aca="false">I431-35</f>
        <v>151.1</v>
      </c>
      <c r="AB431" s="0" t="n">
        <f aca="false">IF(Z431&lt;0,Z431+360,Z431+0)</f>
        <v>151.1</v>
      </c>
    </row>
    <row r="432" customFormat="false" ht="15.8" hidden="false" customHeight="false" outlineLevel="0" collapsed="false">
      <c r="A432" s="1" t="n">
        <v>9</v>
      </c>
      <c r="B432" s="1" t="n">
        <v>15</v>
      </c>
      <c r="C432" s="1" t="n">
        <v>0.7</v>
      </c>
      <c r="D432" s="1" t="n">
        <v>1.0051</v>
      </c>
      <c r="E432" s="1" t="n">
        <v>0.0248261</v>
      </c>
      <c r="F432" s="1" t="n">
        <v>6.77389E-005</v>
      </c>
      <c r="G432" s="1" t="s">
        <v>27</v>
      </c>
      <c r="H432" s="1" t="n">
        <v>45.1</v>
      </c>
      <c r="I432" s="1" t="n">
        <v>359.1</v>
      </c>
      <c r="J432" s="1" t="n">
        <v>0</v>
      </c>
      <c r="K432" s="1"/>
      <c r="L432" s="1" t="n">
        <v>0</v>
      </c>
      <c r="M432" s="1" t="n">
        <v>0</v>
      </c>
      <c r="N432" s="1" t="s">
        <v>306</v>
      </c>
      <c r="Z432" s="0" t="n">
        <f aca="false">I432-35</f>
        <v>324.1</v>
      </c>
      <c r="AB432" s="0" t="n">
        <f aca="false">IF(Z432&lt;0,Z432+360,Z432+0)</f>
        <v>324.1</v>
      </c>
    </row>
    <row r="433" customFormat="false" ht="15.8" hidden="false" customHeight="false" outlineLevel="0" collapsed="false">
      <c r="A433" s="1" t="n">
        <v>9</v>
      </c>
      <c r="B433" s="1" t="n">
        <v>15</v>
      </c>
      <c r="C433" s="1" t="n">
        <v>2.7</v>
      </c>
      <c r="D433" s="1" t="n">
        <v>1.1622</v>
      </c>
      <c r="E433" s="1" t="n">
        <v>0.0941973</v>
      </c>
      <c r="F433" s="1" t="n">
        <v>0.000257021</v>
      </c>
      <c r="G433" s="1" t="s">
        <v>27</v>
      </c>
      <c r="H433" s="1" t="n">
        <v>17.9</v>
      </c>
      <c r="I433" s="1" t="n">
        <v>39.7</v>
      </c>
      <c r="J433" s="1" t="n">
        <v>8</v>
      </c>
      <c r="K433" s="1"/>
      <c r="L433" s="1" t="n">
        <v>0</v>
      </c>
      <c r="M433" s="1" t="n">
        <v>0</v>
      </c>
      <c r="N433" s="1" t="s">
        <v>306</v>
      </c>
      <c r="Z433" s="0" t="n">
        <f aca="false">I433-35</f>
        <v>4.7</v>
      </c>
      <c r="AB433" s="0" t="n">
        <f aca="false">IF(Z433&lt;0,Z433+360,Z433+0)</f>
        <v>4.7</v>
      </c>
    </row>
    <row r="434" customFormat="false" ht="15.8" hidden="false" customHeight="false" outlineLevel="0" collapsed="false">
      <c r="A434" s="1" t="n">
        <v>9</v>
      </c>
      <c r="B434" s="1" t="n">
        <v>14</v>
      </c>
      <c r="C434" s="1" t="n">
        <v>1.7</v>
      </c>
      <c r="D434" s="1" t="n">
        <v>1.1277</v>
      </c>
      <c r="E434" s="1" t="n">
        <v>0.058529</v>
      </c>
      <c r="F434" s="1" t="n">
        <v>0.000159698</v>
      </c>
      <c r="G434" s="1" t="s">
        <v>59</v>
      </c>
      <c r="H434" s="1" t="n">
        <v>36</v>
      </c>
      <c r="I434" s="1" t="n">
        <v>37.5</v>
      </c>
      <c r="J434" s="1" t="n">
        <v>25.9</v>
      </c>
      <c r="K434" s="1" t="n">
        <v>45.1</v>
      </c>
      <c r="L434" s="1" t="n">
        <v>0</v>
      </c>
      <c r="M434" s="1" t="n">
        <v>0</v>
      </c>
      <c r="N434" s="1" t="s">
        <v>305</v>
      </c>
      <c r="Z434" s="0" t="n">
        <f aca="false">I434-35</f>
        <v>2.5</v>
      </c>
      <c r="AB434" s="0" t="n">
        <f aca="false">IF(Z434&lt;0,Z434+360,Z434+0)</f>
        <v>2.5</v>
      </c>
    </row>
    <row r="435" customFormat="false" ht="15.8" hidden="false" customHeight="false" outlineLevel="0" collapsed="false">
      <c r="A435" s="1" t="n">
        <v>9</v>
      </c>
      <c r="B435" s="1" t="n">
        <v>13</v>
      </c>
      <c r="C435" s="1" t="n">
        <v>0.5</v>
      </c>
      <c r="D435" s="1" t="n">
        <v>1.0113</v>
      </c>
      <c r="E435" s="1" t="n">
        <v>0.0160791</v>
      </c>
      <c r="F435" s="1" t="n">
        <v>4.38724E-005</v>
      </c>
      <c r="G435" s="1" t="s">
        <v>59</v>
      </c>
      <c r="H435" s="1" t="n">
        <v>47.1</v>
      </c>
      <c r="I435" s="1" t="n">
        <v>63.4</v>
      </c>
      <c r="J435" s="1" t="n">
        <v>0</v>
      </c>
      <c r="K435" s="1" t="n">
        <v>121.6</v>
      </c>
      <c r="L435" s="1" t="n">
        <v>0</v>
      </c>
      <c r="M435" s="1" t="n">
        <v>0</v>
      </c>
      <c r="N435" s="1" t="s">
        <v>304</v>
      </c>
      <c r="Z435" s="0" t="n">
        <f aca="false">I435-35</f>
        <v>28.4</v>
      </c>
      <c r="AB435" s="0" t="n">
        <f aca="false">IF(Z435&lt;0,Z435+360,Z435+0)</f>
        <v>28.4</v>
      </c>
    </row>
    <row r="436" customFormat="false" ht="15.8" hidden="false" customHeight="false" outlineLevel="0" collapsed="false">
      <c r="A436" s="1" t="n">
        <v>9</v>
      </c>
      <c r="B436" s="1" t="n">
        <v>12</v>
      </c>
      <c r="C436" s="1" t="n">
        <v>0.9</v>
      </c>
      <c r="D436" s="1" t="n">
        <v>1.0399</v>
      </c>
      <c r="E436" s="1" t="n">
        <v>0.0324531</v>
      </c>
      <c r="F436" s="1" t="n">
        <v>8.85493E-005</v>
      </c>
      <c r="G436" s="1" t="s">
        <v>59</v>
      </c>
      <c r="H436" s="1" t="n">
        <v>31.7</v>
      </c>
      <c r="I436" s="1" t="n">
        <v>54.9</v>
      </c>
      <c r="J436" s="1" t="n">
        <v>-46.5</v>
      </c>
      <c r="K436" s="1" t="n">
        <v>47.1</v>
      </c>
      <c r="L436" s="1" t="n">
        <v>0</v>
      </c>
      <c r="M436" s="1" t="n">
        <v>0</v>
      </c>
      <c r="N436" s="1" t="s">
        <v>302</v>
      </c>
      <c r="Z436" s="0" t="n">
        <f aca="false">I436-35</f>
        <v>19.9</v>
      </c>
      <c r="AB436" s="0" t="n">
        <f aca="false">IF(Z436&lt;0,Z436+360,Z436+0)</f>
        <v>19.9</v>
      </c>
    </row>
    <row r="437" customFormat="false" ht="15.8" hidden="false" customHeight="false" outlineLevel="0" collapsed="false">
      <c r="A437" s="1" t="n">
        <v>9</v>
      </c>
      <c r="B437" s="1" t="n">
        <v>11</v>
      </c>
      <c r="C437" s="1" t="n">
        <v>1.3</v>
      </c>
      <c r="D437" s="1" t="n">
        <v>1.1066</v>
      </c>
      <c r="E437" s="1" t="n">
        <v>0.0459553</v>
      </c>
      <c r="F437" s="1" t="n">
        <v>0.000125391</v>
      </c>
      <c r="G437" s="1" t="s">
        <v>59</v>
      </c>
      <c r="H437" s="1" t="n">
        <v>38</v>
      </c>
      <c r="I437" s="1" t="n">
        <v>45.4</v>
      </c>
      <c r="J437" s="1" t="n">
        <v>-15.8</v>
      </c>
      <c r="K437" s="1" t="n">
        <v>87.8</v>
      </c>
      <c r="L437" s="1" t="n">
        <v>0</v>
      </c>
      <c r="M437" s="1" t="n">
        <v>0</v>
      </c>
      <c r="N437" s="1" t="s">
        <v>301</v>
      </c>
      <c r="Z437" s="0" t="n">
        <f aca="false">I437-35</f>
        <v>10.4</v>
      </c>
      <c r="AB437" s="0" t="n">
        <f aca="false">IF(Z437&lt;0,Z437+360,Z437+0)</f>
        <v>10.4</v>
      </c>
    </row>
    <row r="438" customFormat="false" ht="15.8" hidden="false" customHeight="false" outlineLevel="0" collapsed="false">
      <c r="A438" s="1" t="n">
        <v>9</v>
      </c>
      <c r="B438" s="1" t="n">
        <v>10</v>
      </c>
      <c r="C438" s="1" t="n">
        <v>8.9</v>
      </c>
      <c r="D438" s="1" t="n">
        <v>1.2708</v>
      </c>
      <c r="E438" s="1" t="n">
        <v>0.306237</v>
      </c>
      <c r="F438" s="1" t="n">
        <v>0.000835579</v>
      </c>
      <c r="G438" s="1" t="s">
        <v>59</v>
      </c>
      <c r="H438" s="1" t="n">
        <v>15.2</v>
      </c>
      <c r="I438" s="1" t="n">
        <v>80.4</v>
      </c>
      <c r="J438" s="1" t="n">
        <v>0</v>
      </c>
      <c r="K438" s="1" t="n">
        <v>63.1</v>
      </c>
      <c r="L438" s="1" t="n">
        <v>0</v>
      </c>
      <c r="M438" s="1" t="n">
        <v>0</v>
      </c>
      <c r="N438" s="1" t="s">
        <v>300</v>
      </c>
      <c r="Z438" s="0" t="n">
        <f aca="false">I438-35</f>
        <v>45.4</v>
      </c>
      <c r="AB438" s="0" t="n">
        <f aca="false">IF(Z438&lt;0,Z438+360,Z438+0)</f>
        <v>45.4</v>
      </c>
    </row>
    <row r="439" customFormat="false" ht="15.8" hidden="false" customHeight="false" outlineLevel="0" collapsed="false">
      <c r="A439" s="1" t="n">
        <v>9</v>
      </c>
      <c r="B439" s="1" t="n">
        <v>9</v>
      </c>
      <c r="C439" s="1" t="n">
        <v>1.6</v>
      </c>
      <c r="D439" s="1" t="n">
        <v>1.2321</v>
      </c>
      <c r="E439" s="1" t="n">
        <v>0.0542984</v>
      </c>
      <c r="F439" s="1" t="n">
        <v>0.000148155</v>
      </c>
      <c r="G439" s="1" t="s">
        <v>59</v>
      </c>
      <c r="H439" s="1" t="n">
        <v>55.3</v>
      </c>
      <c r="I439" s="1" t="n">
        <v>77.5</v>
      </c>
      <c r="J439" s="1" t="n">
        <v>14.9</v>
      </c>
      <c r="K439" s="1" t="n">
        <v>86.1</v>
      </c>
      <c r="L439" s="1" t="n">
        <v>0</v>
      </c>
      <c r="M439" s="1" t="n">
        <v>0</v>
      </c>
      <c r="N439" s="1" t="s">
        <v>307</v>
      </c>
      <c r="Z439" s="0" t="n">
        <f aca="false">I439-35</f>
        <v>42.5</v>
      </c>
      <c r="AB439" s="0" t="n">
        <f aca="false">IF(Z439&lt;0,Z439+360,Z439+0)</f>
        <v>42.5</v>
      </c>
    </row>
    <row r="440" customFormat="false" ht="15.8" hidden="false" customHeight="false" outlineLevel="0" collapsed="false">
      <c r="A440" s="1" t="n">
        <v>9</v>
      </c>
      <c r="B440" s="1" t="n">
        <v>9</v>
      </c>
      <c r="C440" s="1" t="n">
        <v>1.4</v>
      </c>
      <c r="D440" s="1" t="n">
        <v>1.1316</v>
      </c>
      <c r="E440" s="1" t="n">
        <v>0.0474684</v>
      </c>
      <c r="F440" s="1" t="n">
        <v>0.000129519</v>
      </c>
      <c r="G440" s="1" t="s">
        <v>27</v>
      </c>
      <c r="H440" s="1" t="n">
        <v>108.9</v>
      </c>
      <c r="I440" s="1" t="n">
        <v>138.1</v>
      </c>
      <c r="J440" s="1" t="n">
        <v>54</v>
      </c>
      <c r="K440" s="1"/>
      <c r="L440" s="1" t="n">
        <v>0</v>
      </c>
      <c r="M440" s="1" t="n">
        <v>0</v>
      </c>
      <c r="N440" s="1" t="s">
        <v>307</v>
      </c>
      <c r="Z440" s="0" t="n">
        <f aca="false">I440-35</f>
        <v>103.1</v>
      </c>
      <c r="AB440" s="0" t="n">
        <f aca="false">IF(Z440&lt;0,Z440+360,Z440+0)</f>
        <v>103.1</v>
      </c>
    </row>
    <row r="441" customFormat="false" ht="15.8" hidden="false" customHeight="false" outlineLevel="0" collapsed="false">
      <c r="A441" s="1" t="n">
        <v>9</v>
      </c>
      <c r="B441" s="1" t="n">
        <v>8</v>
      </c>
      <c r="C441" s="1" t="n">
        <v>3.1</v>
      </c>
      <c r="D441" s="1" t="n">
        <v>1.2911</v>
      </c>
      <c r="E441" s="1" t="n">
        <v>0.106169</v>
      </c>
      <c r="F441" s="1" t="n">
        <v>0.000289686</v>
      </c>
      <c r="G441" s="1" t="s">
        <v>59</v>
      </c>
      <c r="H441" s="1" t="n">
        <v>91.4</v>
      </c>
      <c r="I441" s="1" t="n">
        <v>26.7</v>
      </c>
      <c r="J441" s="1" t="n">
        <v>-7.9</v>
      </c>
      <c r="K441" s="1" t="n">
        <v>108.9</v>
      </c>
      <c r="L441" s="1" t="n">
        <v>0</v>
      </c>
      <c r="M441" s="1" t="n">
        <v>0</v>
      </c>
      <c r="N441" s="1" t="s">
        <v>308</v>
      </c>
      <c r="Z441" s="0" t="n">
        <f aca="false">I441-35</f>
        <v>-8.3</v>
      </c>
      <c r="AB441" s="0" t="n">
        <f aca="false">IF(Z441&lt;0,Z441+360,Z441+0)</f>
        <v>351.7</v>
      </c>
    </row>
    <row r="442" customFormat="false" ht="15.8" hidden="false" customHeight="false" outlineLevel="0" collapsed="false">
      <c r="A442" s="1" t="n">
        <v>9</v>
      </c>
      <c r="B442" s="1" t="n">
        <v>9</v>
      </c>
      <c r="C442" s="1" t="n">
        <v>1.4</v>
      </c>
      <c r="D442" s="1" t="n">
        <v>1.0407</v>
      </c>
      <c r="E442" s="1" t="n">
        <v>0.0495691</v>
      </c>
      <c r="F442" s="1" t="n">
        <v>0.000135251</v>
      </c>
      <c r="G442" s="1" t="s">
        <v>27</v>
      </c>
      <c r="H442" s="1" t="n">
        <v>58.1</v>
      </c>
      <c r="I442" s="1" t="n">
        <v>10.9</v>
      </c>
      <c r="J442" s="1" t="n">
        <v>0</v>
      </c>
      <c r="K442" s="1"/>
      <c r="L442" s="1" t="n">
        <v>0</v>
      </c>
      <c r="M442" s="1" t="n">
        <v>0</v>
      </c>
      <c r="N442" s="1" t="s">
        <v>309</v>
      </c>
      <c r="Z442" s="0" t="n">
        <f aca="false">I442-35</f>
        <v>-24.1</v>
      </c>
      <c r="AB442" s="0" t="n">
        <f aca="false">IF(Z442&lt;0,Z442+360,Z442+0)</f>
        <v>335.9</v>
      </c>
    </row>
    <row r="443" customFormat="false" ht="15.8" hidden="false" customHeight="false" outlineLevel="0" collapsed="false">
      <c r="A443" s="1" t="n">
        <v>9</v>
      </c>
      <c r="B443" s="1" t="n">
        <v>11</v>
      </c>
      <c r="C443" s="1" t="n">
        <v>1.9</v>
      </c>
      <c r="D443" s="1" t="n">
        <v>1.1617</v>
      </c>
      <c r="E443" s="1" t="n">
        <v>0.063828</v>
      </c>
      <c r="F443" s="1" t="n">
        <v>0.000174157</v>
      </c>
      <c r="G443" s="1" t="s">
        <v>27</v>
      </c>
      <c r="H443" s="1" t="n">
        <v>78.3</v>
      </c>
      <c r="I443" s="1" t="n">
        <v>160.3</v>
      </c>
      <c r="J443" s="1" t="n">
        <v>24.3</v>
      </c>
      <c r="K443" s="1"/>
      <c r="L443" s="1" t="n">
        <v>0</v>
      </c>
      <c r="M443" s="1" t="n">
        <v>0</v>
      </c>
      <c r="N443" s="1" t="s">
        <v>310</v>
      </c>
      <c r="Z443" s="0" t="n">
        <f aca="false">I443-35</f>
        <v>125.3</v>
      </c>
      <c r="AB443" s="0" t="n">
        <f aca="false">IF(Z443&lt;0,Z443+360,Z443+0)</f>
        <v>125.3</v>
      </c>
    </row>
    <row r="444" customFormat="false" ht="15.8" hidden="false" customHeight="false" outlineLevel="0" collapsed="false">
      <c r="A444" s="1" t="n">
        <v>9</v>
      </c>
      <c r="B444" s="1" t="n">
        <v>11</v>
      </c>
      <c r="C444" s="1" t="n">
        <v>1.5</v>
      </c>
      <c r="D444" s="1" t="n">
        <v>1.1592</v>
      </c>
      <c r="E444" s="1" t="n">
        <v>0.050773</v>
      </c>
      <c r="F444" s="1" t="n">
        <v>0.000138536</v>
      </c>
      <c r="G444" s="1" t="s">
        <v>27</v>
      </c>
      <c r="H444" s="1" t="n">
        <v>85.9</v>
      </c>
      <c r="I444" s="1" t="n">
        <v>323.9</v>
      </c>
      <c r="J444" s="1" t="n">
        <v>-31.1</v>
      </c>
      <c r="K444" s="1"/>
      <c r="L444" s="1" t="n">
        <v>0</v>
      </c>
      <c r="M444" s="1" t="n">
        <v>0</v>
      </c>
      <c r="N444" s="1" t="s">
        <v>310</v>
      </c>
      <c r="Z444" s="0" t="n">
        <f aca="false">I444-35</f>
        <v>288.9</v>
      </c>
      <c r="AB444" s="0" t="n">
        <f aca="false">IF(Z444&lt;0,Z444+360,Z444+0)</f>
        <v>288.9</v>
      </c>
    </row>
    <row r="445" customFormat="false" ht="15.8" hidden="false" customHeight="false" outlineLevel="0" collapsed="false">
      <c r="A445" s="1" t="n">
        <v>9</v>
      </c>
      <c r="B445" s="1" t="n">
        <v>11</v>
      </c>
      <c r="C445" s="1" t="n">
        <v>1.6</v>
      </c>
      <c r="D445" s="1" t="n">
        <v>1.0213</v>
      </c>
      <c r="E445" s="1" t="n">
        <v>0.0538666</v>
      </c>
      <c r="F445" s="1" t="n">
        <v>0.000146977</v>
      </c>
      <c r="G445" s="1" t="s">
        <v>27</v>
      </c>
      <c r="H445" s="1" t="n">
        <v>20.6</v>
      </c>
      <c r="I445" s="1" t="n">
        <v>248.3</v>
      </c>
      <c r="J445" s="1" t="n">
        <v>0</v>
      </c>
      <c r="K445" s="1"/>
      <c r="L445" s="1" t="n">
        <v>0</v>
      </c>
      <c r="M445" s="1" t="n">
        <v>0</v>
      </c>
      <c r="N445" s="1" t="s">
        <v>310</v>
      </c>
      <c r="Z445" s="0" t="n">
        <f aca="false">I445-35</f>
        <v>213.3</v>
      </c>
      <c r="AB445" s="0" t="n">
        <f aca="false">IF(Z445&lt;0,Z445+360,Z445+0)</f>
        <v>213.3</v>
      </c>
    </row>
    <row r="446" customFormat="false" ht="15.8" hidden="false" customHeight="false" outlineLevel="0" collapsed="false">
      <c r="A446" s="1" t="n">
        <v>9</v>
      </c>
      <c r="B446" s="1" t="n">
        <v>10</v>
      </c>
      <c r="C446" s="1" t="n">
        <v>4.1</v>
      </c>
      <c r="D446" s="1" t="n">
        <v>1.286</v>
      </c>
      <c r="E446" s="1" t="n">
        <v>0.139701</v>
      </c>
      <c r="F446" s="1" t="n">
        <v>0.000381179</v>
      </c>
      <c r="G446" s="1" t="s">
        <v>59</v>
      </c>
      <c r="H446" s="1" t="n">
        <v>110</v>
      </c>
      <c r="I446" s="1" t="n">
        <v>231.4</v>
      </c>
      <c r="J446" s="1" t="n">
        <v>-12</v>
      </c>
      <c r="K446" s="1" t="n">
        <v>85.9</v>
      </c>
      <c r="L446" s="1" t="n">
        <v>0</v>
      </c>
      <c r="M446" s="1" t="n">
        <v>0</v>
      </c>
      <c r="N446" s="1" t="s">
        <v>311</v>
      </c>
      <c r="Z446" s="0" t="n">
        <f aca="false">I446-35</f>
        <v>196.4</v>
      </c>
      <c r="AB446" s="0" t="n">
        <f aca="false">IF(Z446&lt;0,Z446+360,Z446+0)</f>
        <v>196.4</v>
      </c>
    </row>
    <row r="447" customFormat="false" ht="15.8" hidden="false" customHeight="false" outlineLevel="0" collapsed="false">
      <c r="A447" s="1" t="n">
        <v>9</v>
      </c>
      <c r="B447" s="1" t="n">
        <v>11</v>
      </c>
      <c r="C447" s="1" t="n">
        <v>0.7</v>
      </c>
      <c r="D447" s="1" t="n">
        <v>1.0151</v>
      </c>
      <c r="E447" s="1" t="n">
        <v>0.0257072</v>
      </c>
      <c r="F447" s="1" t="n">
        <v>7.0143E-005</v>
      </c>
      <c r="G447" s="1" t="s">
        <v>27</v>
      </c>
      <c r="H447" s="1" t="n">
        <v>98.6</v>
      </c>
      <c r="I447" s="1" t="n">
        <v>325.8</v>
      </c>
      <c r="J447" s="1" t="n">
        <v>0</v>
      </c>
      <c r="K447" s="1"/>
      <c r="L447" s="1" t="n">
        <v>0</v>
      </c>
      <c r="M447" s="1" t="n">
        <v>0</v>
      </c>
      <c r="N447" s="1" t="s">
        <v>312</v>
      </c>
      <c r="Z447" s="0" t="n">
        <f aca="false">I447-35</f>
        <v>290.8</v>
      </c>
      <c r="AB447" s="0" t="n">
        <f aca="false">IF(Z447&lt;0,Z447+360,Z447+0)</f>
        <v>290.8</v>
      </c>
    </row>
    <row r="448" customFormat="false" ht="15.8" hidden="false" customHeight="false" outlineLevel="0" collapsed="false">
      <c r="A448" s="1" t="n">
        <v>9</v>
      </c>
      <c r="B448" s="1" t="n">
        <v>13</v>
      </c>
      <c r="C448" s="1" t="n">
        <v>0.8</v>
      </c>
      <c r="D448" s="1" t="n">
        <v>1.0168</v>
      </c>
      <c r="E448" s="1" t="n">
        <v>0.0266708</v>
      </c>
      <c r="F448" s="1" t="n">
        <v>7.27723E-005</v>
      </c>
      <c r="G448" s="1" t="s">
        <v>27</v>
      </c>
      <c r="H448" s="1" t="n">
        <v>37.1</v>
      </c>
      <c r="I448" s="1" t="n">
        <v>76</v>
      </c>
      <c r="J448" s="1" t="n">
        <v>0</v>
      </c>
      <c r="K448" s="1"/>
      <c r="L448" s="1" t="n">
        <v>0</v>
      </c>
      <c r="M448" s="1" t="n">
        <v>0</v>
      </c>
      <c r="N448" s="1" t="s">
        <v>313</v>
      </c>
      <c r="Z448" s="0" t="n">
        <f aca="false">I448-35</f>
        <v>41</v>
      </c>
      <c r="AB448" s="0" t="n">
        <f aca="false">IF(Z448&lt;0,Z448+360,Z448+0)</f>
        <v>41</v>
      </c>
    </row>
    <row r="449" customFormat="false" ht="15.8" hidden="false" customHeight="false" outlineLevel="0" collapsed="false">
      <c r="A449" s="1" t="n">
        <v>9</v>
      </c>
      <c r="B449" s="1" t="n">
        <v>14</v>
      </c>
      <c r="C449" s="1" t="n">
        <v>1.4</v>
      </c>
      <c r="D449" s="1" t="n">
        <v>1.282</v>
      </c>
      <c r="E449" s="1" t="n">
        <v>0.0486273</v>
      </c>
      <c r="F449" s="1" t="n">
        <v>0.000132681</v>
      </c>
      <c r="G449" s="1" t="s">
        <v>27</v>
      </c>
      <c r="H449" s="1" t="n">
        <v>103.6</v>
      </c>
      <c r="I449" s="1" t="n">
        <v>150.3</v>
      </c>
      <c r="J449" s="1" t="n">
        <v>17.4</v>
      </c>
      <c r="K449" s="1"/>
      <c r="L449" s="1" t="n">
        <v>0</v>
      </c>
      <c r="M449" s="1" t="n">
        <v>0</v>
      </c>
      <c r="N449" s="1" t="s">
        <v>314</v>
      </c>
      <c r="Z449" s="0" t="n">
        <f aca="false">I449-35</f>
        <v>115.3</v>
      </c>
      <c r="AB449" s="0" t="n">
        <f aca="false">IF(Z449&lt;0,Z449+360,Z449+0)</f>
        <v>115.3</v>
      </c>
    </row>
    <row r="450" customFormat="false" ht="15.8" hidden="false" customHeight="false" outlineLevel="0" collapsed="false">
      <c r="A450" s="1" t="n">
        <v>9</v>
      </c>
      <c r="B450" s="1" t="n">
        <v>15</v>
      </c>
      <c r="C450" s="1" t="n">
        <v>1.6</v>
      </c>
      <c r="D450" s="1" t="n">
        <v>1.3835</v>
      </c>
      <c r="E450" s="1" t="n">
        <v>0.0550808</v>
      </c>
      <c r="F450" s="1" t="n">
        <v>0.00015029</v>
      </c>
      <c r="G450" s="1" t="s">
        <v>27</v>
      </c>
      <c r="H450" s="1" t="n">
        <v>17.4</v>
      </c>
      <c r="I450" s="1" t="n">
        <v>0</v>
      </c>
      <c r="J450" s="1" t="n">
        <v>-16.5</v>
      </c>
      <c r="K450" s="1"/>
      <c r="L450" s="1" t="n">
        <v>0</v>
      </c>
      <c r="M450" s="1" t="n">
        <v>0</v>
      </c>
      <c r="N450" s="1" t="s">
        <v>315</v>
      </c>
      <c r="Z450" s="0" t="n">
        <f aca="false">I450-35</f>
        <v>-35</v>
      </c>
      <c r="AB450" s="0" t="n">
        <f aca="false">IF(Z450&lt;0,Z450+360,Z450+0)</f>
        <v>325</v>
      </c>
    </row>
    <row r="451" customFormat="false" ht="15.8" hidden="false" customHeight="false" outlineLevel="0" collapsed="false">
      <c r="A451" s="1" t="n">
        <v>9</v>
      </c>
      <c r="B451" s="1" t="n">
        <v>15</v>
      </c>
      <c r="C451" s="1" t="n">
        <v>1.5</v>
      </c>
      <c r="D451" s="1" t="n">
        <v>1.3497</v>
      </c>
      <c r="E451" s="1" t="n">
        <v>0.0531291</v>
      </c>
      <c r="F451" s="1" t="n">
        <v>0.000144965</v>
      </c>
      <c r="G451" s="1" t="s">
        <v>27</v>
      </c>
      <c r="H451" s="1" t="n">
        <v>109</v>
      </c>
      <c r="I451" s="1" t="n">
        <v>124.3</v>
      </c>
      <c r="J451" s="1" t="n">
        <v>59.6</v>
      </c>
      <c r="K451" s="1"/>
      <c r="L451" s="1" t="n">
        <v>0</v>
      </c>
      <c r="M451" s="1" t="n">
        <v>0</v>
      </c>
      <c r="N451" s="1" t="s">
        <v>315</v>
      </c>
      <c r="Z451" s="0" t="n">
        <f aca="false">I451-35</f>
        <v>89.3</v>
      </c>
      <c r="AB451" s="0" t="n">
        <f aca="false">IF(Z451&lt;0,Z451+360,Z451+0)</f>
        <v>89.3</v>
      </c>
    </row>
    <row r="452" customFormat="false" ht="15.8" hidden="false" customHeight="false" outlineLevel="0" collapsed="false">
      <c r="A452" s="1" t="n">
        <v>9</v>
      </c>
      <c r="B452" s="1" t="n">
        <v>14</v>
      </c>
      <c r="C452" s="1" t="n">
        <v>0.5</v>
      </c>
      <c r="D452" s="1" t="n">
        <v>1.0002</v>
      </c>
      <c r="E452" s="1" t="n">
        <v>0.0188094</v>
      </c>
      <c r="F452" s="1" t="n">
        <v>5.1322E-005</v>
      </c>
      <c r="G452" s="1" t="s">
        <v>59</v>
      </c>
      <c r="H452" s="1" t="n">
        <v>47.7</v>
      </c>
      <c r="I452" s="1" t="n">
        <v>354.3</v>
      </c>
      <c r="J452" s="1" t="n">
        <v>0</v>
      </c>
      <c r="K452" s="1" t="n">
        <v>109</v>
      </c>
      <c r="L452" s="1" t="n">
        <v>0</v>
      </c>
      <c r="M452" s="1" t="n">
        <v>0</v>
      </c>
      <c r="N452" s="1" t="s">
        <v>314</v>
      </c>
      <c r="Z452" s="0" t="n">
        <f aca="false">I452-35</f>
        <v>319.3</v>
      </c>
      <c r="AB452" s="0" t="n">
        <f aca="false">IF(Z452&lt;0,Z452+360,Z452+0)</f>
        <v>319.3</v>
      </c>
    </row>
    <row r="453" customFormat="false" ht="15.8" hidden="false" customHeight="false" outlineLevel="0" collapsed="false">
      <c r="A453" s="1" t="n">
        <v>9</v>
      </c>
      <c r="B453" s="1" t="n">
        <v>13</v>
      </c>
      <c r="C453" s="1" t="n">
        <v>4</v>
      </c>
      <c r="D453" s="1" t="n">
        <v>1.1996</v>
      </c>
      <c r="E453" s="1" t="n">
        <v>0.136358</v>
      </c>
      <c r="F453" s="1" t="n">
        <v>0.000372057</v>
      </c>
      <c r="G453" s="1" t="s">
        <v>59</v>
      </c>
      <c r="H453" s="1" t="n">
        <v>17.4</v>
      </c>
      <c r="I453" s="1" t="n">
        <v>39.4</v>
      </c>
      <c r="J453" s="1" t="n">
        <v>17.4</v>
      </c>
      <c r="K453" s="1" t="n">
        <v>103.6</v>
      </c>
      <c r="L453" s="1" t="n">
        <v>0</v>
      </c>
      <c r="M453" s="1" t="n">
        <v>0</v>
      </c>
      <c r="N453" s="1" t="s">
        <v>313</v>
      </c>
      <c r="Z453" s="0" t="n">
        <f aca="false">I453-35</f>
        <v>4.4</v>
      </c>
      <c r="AB453" s="0" t="n">
        <f aca="false">IF(Z453&lt;0,Z453+360,Z453+0)</f>
        <v>4.4</v>
      </c>
    </row>
    <row r="454" customFormat="false" ht="15.8" hidden="false" customHeight="false" outlineLevel="0" collapsed="false">
      <c r="A454" s="1" t="n">
        <v>9</v>
      </c>
      <c r="B454" s="1" t="n">
        <v>12</v>
      </c>
      <c r="C454" s="1" t="n">
        <v>2</v>
      </c>
      <c r="D454" s="1" t="n">
        <v>1.0292</v>
      </c>
      <c r="E454" s="1" t="n">
        <v>0.0692943</v>
      </c>
      <c r="F454" s="1" t="n">
        <v>0.000189072</v>
      </c>
      <c r="G454" s="1" t="s">
        <v>59</v>
      </c>
      <c r="H454" s="1" t="n">
        <v>58.9</v>
      </c>
      <c r="I454" s="1" t="n">
        <v>38.9</v>
      </c>
      <c r="J454" s="1" t="n">
        <v>0</v>
      </c>
      <c r="K454" s="1" t="n">
        <v>37.1</v>
      </c>
      <c r="L454" s="1" t="n">
        <v>0</v>
      </c>
      <c r="M454" s="1" t="n">
        <v>0</v>
      </c>
      <c r="N454" s="1" t="s">
        <v>316</v>
      </c>
      <c r="Z454" s="0" t="n">
        <f aca="false">I454-35</f>
        <v>3.9</v>
      </c>
      <c r="AB454" s="0" t="n">
        <f aca="false">IF(Z454&lt;0,Z454+360,Z454+0)</f>
        <v>3.9</v>
      </c>
    </row>
    <row r="455" customFormat="false" ht="15.8" hidden="false" customHeight="false" outlineLevel="0" collapsed="false">
      <c r="A455" s="1" t="n">
        <v>9</v>
      </c>
      <c r="B455" s="1" t="n">
        <v>14</v>
      </c>
      <c r="C455" s="1" t="n">
        <v>1</v>
      </c>
      <c r="D455" s="1" t="n">
        <v>1.2067</v>
      </c>
      <c r="E455" s="1" t="n">
        <v>0.0341385</v>
      </c>
      <c r="F455" s="1" t="n">
        <v>9.31481E-005</v>
      </c>
      <c r="G455" s="1" t="s">
        <v>27</v>
      </c>
      <c r="H455" s="1" t="n">
        <v>110.3</v>
      </c>
      <c r="I455" s="1" t="n">
        <v>290.3</v>
      </c>
      <c r="J455" s="1" t="n">
        <v>23.6</v>
      </c>
      <c r="K455" s="1"/>
      <c r="L455" s="1" t="n">
        <v>0</v>
      </c>
      <c r="M455" s="1" t="n">
        <v>0</v>
      </c>
      <c r="N455" s="1" t="s">
        <v>317</v>
      </c>
      <c r="Z455" s="0" t="n">
        <f aca="false">I455-35</f>
        <v>255.3</v>
      </c>
      <c r="AB455" s="0" t="n">
        <f aca="false">IF(Z455&lt;0,Z455+360,Z455+0)</f>
        <v>255.3</v>
      </c>
    </row>
    <row r="456" customFormat="false" ht="15.8" hidden="false" customHeight="false" outlineLevel="0" collapsed="false">
      <c r="A456" s="1" t="n">
        <v>9</v>
      </c>
      <c r="B456" s="1" t="n">
        <v>14</v>
      </c>
      <c r="C456" s="1" t="n">
        <v>2.3</v>
      </c>
      <c r="D456" s="1" t="n">
        <v>1.2915</v>
      </c>
      <c r="E456" s="1" t="n">
        <v>0.0801041</v>
      </c>
      <c r="F456" s="1" t="n">
        <v>0.000218567</v>
      </c>
      <c r="G456" s="1" t="s">
        <v>27</v>
      </c>
      <c r="H456" s="1" t="n">
        <v>36.1</v>
      </c>
      <c r="I456" s="1" t="n">
        <v>10.4</v>
      </c>
      <c r="J456" s="1" t="n">
        <v>0</v>
      </c>
      <c r="K456" s="1"/>
      <c r="L456" s="1" t="n">
        <v>0</v>
      </c>
      <c r="M456" s="1" t="n">
        <v>0</v>
      </c>
      <c r="N456" s="1" t="s">
        <v>317</v>
      </c>
      <c r="Z456" s="0" t="n">
        <f aca="false">I456-35</f>
        <v>-24.6</v>
      </c>
      <c r="AB456" s="0" t="n">
        <f aca="false">IF(Z456&lt;0,Z456+360,Z456+0)</f>
        <v>335.4</v>
      </c>
    </row>
    <row r="457" customFormat="false" ht="15.8" hidden="false" customHeight="false" outlineLevel="0" collapsed="false">
      <c r="A457" s="1" t="n">
        <v>9</v>
      </c>
      <c r="B457" s="1" t="n">
        <v>13</v>
      </c>
      <c r="C457" s="1" t="n">
        <v>3.4</v>
      </c>
      <c r="D457" s="1" t="n">
        <v>1.2192</v>
      </c>
      <c r="E457" s="1" t="n">
        <v>0.115055</v>
      </c>
      <c r="F457" s="1" t="n">
        <v>0.000313931</v>
      </c>
      <c r="G457" s="1" t="s">
        <v>59</v>
      </c>
      <c r="H457" s="1" t="n">
        <v>113.9</v>
      </c>
      <c r="I457" s="1" t="n">
        <v>46</v>
      </c>
      <c r="J457" s="1" t="n">
        <v>6.9</v>
      </c>
      <c r="K457" s="1" t="n">
        <v>110.3</v>
      </c>
      <c r="L457" s="1" t="n">
        <v>0</v>
      </c>
      <c r="M457" s="1" t="n">
        <v>0</v>
      </c>
      <c r="N457" s="1" t="s">
        <v>318</v>
      </c>
      <c r="Z457" s="0" t="n">
        <f aca="false">I457-35</f>
        <v>11</v>
      </c>
      <c r="AB457" s="0" t="n">
        <f aca="false">IF(Z457&lt;0,Z457+360,Z457+0)</f>
        <v>11</v>
      </c>
    </row>
    <row r="458" customFormat="false" ht="15.8" hidden="false" customHeight="false" outlineLevel="0" collapsed="false">
      <c r="A458" s="1" t="n">
        <v>9</v>
      </c>
      <c r="B458" s="1" t="n">
        <v>14</v>
      </c>
      <c r="C458" s="1" t="n">
        <v>4.5</v>
      </c>
      <c r="D458" s="1" t="n">
        <v>1.3482</v>
      </c>
      <c r="E458" s="1" t="n">
        <v>0.153535</v>
      </c>
      <c r="F458" s="1" t="n">
        <v>0.000418926</v>
      </c>
      <c r="G458" s="1" t="s">
        <v>27</v>
      </c>
      <c r="H458" s="1" t="n">
        <v>124.3</v>
      </c>
      <c r="I458" s="1" t="n">
        <v>316.9</v>
      </c>
      <c r="J458" s="1" t="n">
        <v>5.7</v>
      </c>
      <c r="K458" s="1"/>
      <c r="L458" s="1" t="n">
        <v>0</v>
      </c>
      <c r="M458" s="1" t="n">
        <v>0</v>
      </c>
      <c r="N458" s="1" t="s">
        <v>319</v>
      </c>
      <c r="Z458" s="0" t="n">
        <f aca="false">I458-35</f>
        <v>281.9</v>
      </c>
      <c r="AB458" s="0" t="n">
        <f aca="false">IF(Z458&lt;0,Z458+360,Z458+0)</f>
        <v>281.9</v>
      </c>
    </row>
    <row r="459" customFormat="false" ht="15.8" hidden="false" customHeight="false" outlineLevel="0" collapsed="false">
      <c r="A459" s="1" t="n">
        <v>9</v>
      </c>
      <c r="B459" s="1" t="n">
        <v>15</v>
      </c>
      <c r="C459" s="1" t="n">
        <v>1.4</v>
      </c>
      <c r="D459" s="1" t="n">
        <v>1.2008</v>
      </c>
      <c r="E459" s="1" t="n">
        <v>0.0471904</v>
      </c>
      <c r="F459" s="1" t="n">
        <v>0.000128761</v>
      </c>
      <c r="G459" s="1" t="s">
        <v>27</v>
      </c>
      <c r="H459" s="1" t="n">
        <v>93.5</v>
      </c>
      <c r="I459" s="1" t="n">
        <v>138.2</v>
      </c>
      <c r="J459" s="1" t="n">
        <v>-16.7</v>
      </c>
      <c r="K459" s="1"/>
      <c r="L459" s="1" t="n">
        <v>0</v>
      </c>
      <c r="M459" s="1" t="n">
        <v>0</v>
      </c>
      <c r="N459" s="1" t="s">
        <v>320</v>
      </c>
      <c r="Z459" s="0" t="n">
        <f aca="false">I459-35</f>
        <v>103.2</v>
      </c>
      <c r="AB459" s="0" t="n">
        <f aca="false">IF(Z459&lt;0,Z459+360,Z459+0)</f>
        <v>103.2</v>
      </c>
    </row>
    <row r="460" customFormat="false" ht="15.8" hidden="false" customHeight="false" outlineLevel="0" collapsed="false">
      <c r="A460" s="1" t="n">
        <v>9</v>
      </c>
      <c r="B460" s="1" t="n">
        <v>16</v>
      </c>
      <c r="C460" s="1" t="n">
        <v>0.8</v>
      </c>
      <c r="D460" s="1" t="n">
        <v>1.0374</v>
      </c>
      <c r="E460" s="1" t="n">
        <v>0.028766</v>
      </c>
      <c r="F460" s="1" t="n">
        <v>7.84891E-005</v>
      </c>
      <c r="G460" s="1" t="s">
        <v>27</v>
      </c>
      <c r="H460" s="1" t="n">
        <v>1.9</v>
      </c>
      <c r="I460" s="1" t="n">
        <v>328.2</v>
      </c>
      <c r="J460" s="1" t="n">
        <v>0</v>
      </c>
      <c r="K460" s="1"/>
      <c r="L460" s="1" t="n">
        <v>0</v>
      </c>
      <c r="M460" s="1" t="n">
        <v>0</v>
      </c>
      <c r="N460" s="1" t="s">
        <v>321</v>
      </c>
      <c r="Z460" s="0" t="n">
        <f aca="false">I460-35</f>
        <v>293.2</v>
      </c>
      <c r="AB460" s="0" t="n">
        <f aca="false">IF(Z460&lt;0,Z460+360,Z460+0)</f>
        <v>293.2</v>
      </c>
    </row>
    <row r="461" customFormat="false" ht="15.8" hidden="false" customHeight="false" outlineLevel="0" collapsed="false">
      <c r="A461" s="1" t="n">
        <v>9</v>
      </c>
      <c r="B461" s="1" t="n">
        <v>16</v>
      </c>
      <c r="C461" s="1" t="n">
        <v>1.2</v>
      </c>
      <c r="D461" s="1" t="n">
        <v>1.2358</v>
      </c>
      <c r="E461" s="1" t="n">
        <v>0.0406197</v>
      </c>
      <c r="F461" s="1" t="n">
        <v>0.000110832</v>
      </c>
      <c r="G461" s="1" t="s">
        <v>27</v>
      </c>
      <c r="H461" s="1" t="n">
        <v>79.8</v>
      </c>
      <c r="I461" s="1" t="n">
        <v>247.2</v>
      </c>
      <c r="J461" s="1" t="n">
        <v>-20.1</v>
      </c>
      <c r="K461" s="1"/>
      <c r="L461" s="1" t="n">
        <v>0</v>
      </c>
      <c r="M461" s="1" t="n">
        <v>0</v>
      </c>
      <c r="N461" s="1" t="s">
        <v>321</v>
      </c>
      <c r="Z461" s="0" t="n">
        <f aca="false">I461-35</f>
        <v>212.2</v>
      </c>
      <c r="AB461" s="0" t="n">
        <f aca="false">IF(Z461&lt;0,Z461+360,Z461+0)</f>
        <v>212.2</v>
      </c>
    </row>
    <row r="462" customFormat="false" ht="15.8" hidden="false" customHeight="false" outlineLevel="0" collapsed="false">
      <c r="A462" s="1" t="n">
        <v>9</v>
      </c>
      <c r="B462" s="1" t="n">
        <v>15</v>
      </c>
      <c r="C462" s="1" t="n">
        <v>0.5</v>
      </c>
      <c r="D462" s="1" t="n">
        <v>1.065</v>
      </c>
      <c r="E462" s="1" t="n">
        <v>0.0172438</v>
      </c>
      <c r="F462" s="1" t="n">
        <v>4.70504E-005</v>
      </c>
      <c r="G462" s="1" t="s">
        <v>59</v>
      </c>
      <c r="H462" s="1" t="n">
        <v>98.7</v>
      </c>
      <c r="I462" s="1" t="n">
        <v>326.3</v>
      </c>
      <c r="J462" s="1" t="n">
        <v>0</v>
      </c>
      <c r="K462" s="1" t="n">
        <v>79.8</v>
      </c>
      <c r="L462" s="1" t="n">
        <v>0</v>
      </c>
      <c r="M462" s="1" t="n">
        <v>0</v>
      </c>
      <c r="N462" s="1" t="s">
        <v>320</v>
      </c>
      <c r="Z462" s="0" t="n">
        <f aca="false">I462-35</f>
        <v>291.3</v>
      </c>
      <c r="AB462" s="0" t="n">
        <f aca="false">IF(Z462&lt;0,Z462+360,Z462+0)</f>
        <v>291.3</v>
      </c>
    </row>
    <row r="463" customFormat="false" ht="15.8" hidden="false" customHeight="false" outlineLevel="0" collapsed="false">
      <c r="A463" s="1" t="n">
        <v>9</v>
      </c>
      <c r="B463" s="1" t="n">
        <v>14</v>
      </c>
      <c r="C463" s="1" t="n">
        <v>4.7</v>
      </c>
      <c r="D463" s="1" t="n">
        <v>1.2547</v>
      </c>
      <c r="E463" s="1" t="n">
        <v>0.16284</v>
      </c>
      <c r="F463" s="1" t="n">
        <v>0.000444315</v>
      </c>
      <c r="G463" s="1" t="s">
        <v>59</v>
      </c>
      <c r="H463" s="1" t="n">
        <v>37.6</v>
      </c>
      <c r="I463" s="1" t="n">
        <v>227.3</v>
      </c>
      <c r="J463" s="1" t="n">
        <v>15.2</v>
      </c>
      <c r="K463" s="1" t="n">
        <v>98.7</v>
      </c>
      <c r="L463" s="1" t="n">
        <v>0</v>
      </c>
      <c r="M463" s="1" t="n">
        <v>0</v>
      </c>
      <c r="N463" s="1" t="s">
        <v>319</v>
      </c>
      <c r="Z463" s="0" t="n">
        <f aca="false">I463-35</f>
        <v>192.3</v>
      </c>
      <c r="AB463" s="0" t="n">
        <f aca="false">IF(Z463&lt;0,Z463+360,Z463+0)</f>
        <v>192.3</v>
      </c>
    </row>
    <row r="464" customFormat="false" ht="15.8" hidden="false" customHeight="false" outlineLevel="0" collapsed="false">
      <c r="A464" s="1" t="n">
        <v>9</v>
      </c>
      <c r="B464" s="1" t="n">
        <v>15</v>
      </c>
      <c r="C464" s="1" t="n">
        <v>1.6</v>
      </c>
      <c r="D464" s="1" t="n">
        <v>1.0566</v>
      </c>
      <c r="E464" s="1" t="n">
        <v>0.0558905</v>
      </c>
      <c r="F464" s="1" t="n">
        <v>0.000152499</v>
      </c>
      <c r="G464" s="1" t="s">
        <v>27</v>
      </c>
      <c r="H464" s="1" t="n">
        <v>42.2</v>
      </c>
      <c r="I464" s="1" t="n">
        <v>198.6</v>
      </c>
      <c r="J464" s="1" t="n">
        <v>0</v>
      </c>
      <c r="K464" s="1"/>
      <c r="L464" s="1" t="n">
        <v>0</v>
      </c>
      <c r="M464" s="1" t="n">
        <v>0</v>
      </c>
      <c r="N464" s="1" t="s">
        <v>322</v>
      </c>
      <c r="Z464" s="0" t="n">
        <f aca="false">I464-35</f>
        <v>163.6</v>
      </c>
      <c r="AB464" s="0" t="n">
        <f aca="false">IF(Z464&lt;0,Z464+360,Z464+0)</f>
        <v>163.6</v>
      </c>
    </row>
    <row r="465" customFormat="false" ht="15.8" hidden="false" customHeight="false" outlineLevel="0" collapsed="false">
      <c r="A465" s="1" t="n">
        <v>9</v>
      </c>
      <c r="B465" s="1" t="n">
        <v>16</v>
      </c>
      <c r="C465" s="1" t="n">
        <v>1</v>
      </c>
      <c r="D465" s="1" t="n">
        <v>1.2577</v>
      </c>
      <c r="E465" s="1" t="n">
        <v>0.0358101</v>
      </c>
      <c r="F465" s="1" t="n">
        <v>9.77091E-005</v>
      </c>
      <c r="G465" s="1" t="s">
        <v>27</v>
      </c>
      <c r="H465" s="1" t="n">
        <v>111.7</v>
      </c>
      <c r="I465" s="1" t="n">
        <v>275</v>
      </c>
      <c r="J465" s="1" t="n">
        <v>-52.6</v>
      </c>
      <c r="K465" s="1"/>
      <c r="L465" s="1" t="n">
        <v>0</v>
      </c>
      <c r="M465" s="1" t="n">
        <v>0</v>
      </c>
      <c r="N465" s="1" t="s">
        <v>323</v>
      </c>
      <c r="Z465" s="0" t="n">
        <f aca="false">I465-35</f>
        <v>240</v>
      </c>
      <c r="AB465" s="0" t="n">
        <f aca="false">IF(Z465&lt;0,Z465+360,Z465+0)</f>
        <v>240</v>
      </c>
    </row>
    <row r="466" customFormat="false" ht="15.8" hidden="false" customHeight="false" outlineLevel="0" collapsed="false">
      <c r="A466" s="1" t="n">
        <v>9</v>
      </c>
      <c r="B466" s="1" t="n">
        <v>17</v>
      </c>
      <c r="C466" s="1" t="n">
        <v>1</v>
      </c>
      <c r="D466" s="1" t="n">
        <v>1.0303</v>
      </c>
      <c r="E466" s="1" t="n">
        <v>0.0326297</v>
      </c>
      <c r="F466" s="1" t="n">
        <v>8.90313E-005</v>
      </c>
      <c r="G466" s="1" t="s">
        <v>27</v>
      </c>
      <c r="H466" s="1" t="n">
        <v>72.1</v>
      </c>
      <c r="I466" s="1" t="n">
        <v>215.4</v>
      </c>
      <c r="J466" s="1" t="n">
        <v>0</v>
      </c>
      <c r="K466" s="1"/>
      <c r="L466" s="1" t="n">
        <v>0</v>
      </c>
      <c r="M466" s="1" t="n">
        <v>0</v>
      </c>
      <c r="N466" s="1" t="s">
        <v>324</v>
      </c>
      <c r="Z466" s="0" t="n">
        <f aca="false">I466-35</f>
        <v>180.4</v>
      </c>
      <c r="AB466" s="0" t="n">
        <f aca="false">IF(Z466&lt;0,Z466+360,Z466+0)</f>
        <v>180.4</v>
      </c>
    </row>
    <row r="467" customFormat="false" ht="15.8" hidden="false" customHeight="false" outlineLevel="0" collapsed="false">
      <c r="A467" s="1" t="n">
        <v>9</v>
      </c>
      <c r="B467" s="1" t="n">
        <v>17</v>
      </c>
      <c r="C467" s="1" t="n">
        <v>2</v>
      </c>
      <c r="D467" s="1" t="n">
        <v>1.3377</v>
      </c>
      <c r="E467" s="1" t="n">
        <v>0.0677038</v>
      </c>
      <c r="F467" s="1" t="n">
        <v>0.000184732</v>
      </c>
      <c r="G467" s="1" t="s">
        <v>27</v>
      </c>
      <c r="H467" s="1" t="n">
        <v>91.9</v>
      </c>
      <c r="I467" s="1" t="n">
        <v>51.6</v>
      </c>
      <c r="J467" s="1" t="n">
        <v>0</v>
      </c>
      <c r="K467" s="1"/>
      <c r="L467" s="1" t="n">
        <v>0</v>
      </c>
      <c r="M467" s="1" t="n">
        <v>0</v>
      </c>
      <c r="N467" s="1" t="s">
        <v>324</v>
      </c>
      <c r="Z467" s="0" t="n">
        <f aca="false">I467-35</f>
        <v>16.6</v>
      </c>
      <c r="AB467" s="0" t="n">
        <f aca="false">IF(Z467&lt;0,Z467+360,Z467+0)</f>
        <v>16.6</v>
      </c>
    </row>
    <row r="468" customFormat="false" ht="15.8" hidden="false" customHeight="false" outlineLevel="0" collapsed="false">
      <c r="A468" s="1" t="n">
        <v>9</v>
      </c>
      <c r="B468" s="1" t="n">
        <v>16</v>
      </c>
      <c r="C468" s="1" t="n">
        <v>7.7</v>
      </c>
      <c r="D468" s="1" t="n">
        <v>1.2576</v>
      </c>
      <c r="E468" s="1" t="n">
        <v>0.265596</v>
      </c>
      <c r="F468" s="1" t="n">
        <v>0.000724689</v>
      </c>
      <c r="G468" s="1" t="s">
        <v>59</v>
      </c>
      <c r="H468" s="1" t="n">
        <v>13.5</v>
      </c>
      <c r="I468" s="1" t="n">
        <v>143.5</v>
      </c>
      <c r="J468" s="1" t="n">
        <v>9.2</v>
      </c>
      <c r="K468" s="1" t="n">
        <v>91.9</v>
      </c>
      <c r="L468" s="1" t="n">
        <v>0</v>
      </c>
      <c r="M468" s="1" t="n">
        <v>0</v>
      </c>
      <c r="N468" s="1" t="s">
        <v>323</v>
      </c>
      <c r="Z468" s="0" t="n">
        <f aca="false">I468-35</f>
        <v>108.5</v>
      </c>
      <c r="AB468" s="0" t="n">
        <f aca="false">IF(Z468&lt;0,Z468+360,Z468+0)</f>
        <v>108.5</v>
      </c>
    </row>
    <row r="469" customFormat="false" ht="15.8" hidden="false" customHeight="false" outlineLevel="0" collapsed="false">
      <c r="A469" s="1" t="n">
        <v>9</v>
      </c>
      <c r="B469" s="1" t="n">
        <v>15</v>
      </c>
      <c r="C469" s="1" t="n">
        <v>5.2</v>
      </c>
      <c r="D469" s="1" t="n">
        <v>1.0631</v>
      </c>
      <c r="E469" s="1" t="n">
        <v>0.178179</v>
      </c>
      <c r="F469" s="1" t="n">
        <v>0.000486167</v>
      </c>
      <c r="G469" s="1" t="s">
        <v>59</v>
      </c>
      <c r="H469" s="1" t="n">
        <v>26.6</v>
      </c>
      <c r="I469" s="1" t="n">
        <v>140.5</v>
      </c>
      <c r="J469" s="1" t="n">
        <v>-3.9</v>
      </c>
      <c r="K469" s="1" t="n">
        <v>111.7</v>
      </c>
      <c r="L469" s="1" t="n">
        <v>0</v>
      </c>
      <c r="M469" s="1" t="n">
        <v>0</v>
      </c>
      <c r="N469" s="1" t="s">
        <v>322</v>
      </c>
      <c r="Z469" s="0" t="n">
        <f aca="false">I469-35</f>
        <v>105.5</v>
      </c>
      <c r="AB469" s="0" t="n">
        <f aca="false">IF(Z469&lt;0,Z469+360,Z469+0)</f>
        <v>105.5</v>
      </c>
    </row>
    <row r="470" customFormat="false" ht="15.8" hidden="false" customHeight="false" outlineLevel="0" collapsed="false">
      <c r="A470" s="1" t="n">
        <v>9</v>
      </c>
      <c r="B470" s="1" t="n">
        <v>14</v>
      </c>
      <c r="C470" s="1" t="n">
        <v>1.4</v>
      </c>
      <c r="D470" s="1" t="n">
        <v>1.1514</v>
      </c>
      <c r="E470" s="1" t="n">
        <v>0.0484356</v>
      </c>
      <c r="F470" s="1" t="n">
        <v>0.000132158</v>
      </c>
      <c r="G470" s="1" t="s">
        <v>59</v>
      </c>
      <c r="H470" s="1" t="n">
        <v>36.6</v>
      </c>
      <c r="I470" s="1" t="n">
        <v>158.9</v>
      </c>
      <c r="J470" s="1" t="n">
        <v>15.6</v>
      </c>
      <c r="K470" s="1" t="n">
        <v>42.2</v>
      </c>
      <c r="L470" s="1" t="n">
        <v>0</v>
      </c>
      <c r="M470" s="1" t="n">
        <v>0</v>
      </c>
      <c r="N470" s="1" t="s">
        <v>319</v>
      </c>
      <c r="Z470" s="0" t="n">
        <f aca="false">I470-35</f>
        <v>123.9</v>
      </c>
      <c r="AB470" s="0" t="n">
        <f aca="false">IF(Z470&lt;0,Z470+360,Z470+0)</f>
        <v>123.9</v>
      </c>
    </row>
    <row r="471" customFormat="false" ht="15.8" hidden="false" customHeight="false" outlineLevel="0" collapsed="false">
      <c r="A471" s="1" t="n">
        <v>9</v>
      </c>
      <c r="B471" s="1" t="n">
        <v>13</v>
      </c>
      <c r="C471" s="1" t="n">
        <v>1.3</v>
      </c>
      <c r="D471" s="1" t="n">
        <v>1.009</v>
      </c>
      <c r="E471" s="1" t="n">
        <v>0.0456266</v>
      </c>
      <c r="F471" s="1" t="n">
        <v>0.000124494</v>
      </c>
      <c r="G471" s="1" t="s">
        <v>59</v>
      </c>
      <c r="H471" s="1" t="n">
        <v>36.5</v>
      </c>
      <c r="I471" s="1" t="n">
        <v>192.4</v>
      </c>
      <c r="J471" s="1" t="n">
        <v>0</v>
      </c>
      <c r="K471" s="1" t="n">
        <v>124.3</v>
      </c>
      <c r="L471" s="1" t="n">
        <v>0</v>
      </c>
      <c r="M471" s="1" t="n">
        <v>0</v>
      </c>
      <c r="N471" s="1" t="s">
        <v>318</v>
      </c>
      <c r="Z471" s="0" t="n">
        <f aca="false">I471-35</f>
        <v>157.4</v>
      </c>
      <c r="AB471" s="0" t="n">
        <f aca="false">IF(Z471&lt;0,Z471+360,Z471+0)</f>
        <v>157.4</v>
      </c>
    </row>
    <row r="472" customFormat="false" ht="15.8" hidden="false" customHeight="false" outlineLevel="0" collapsed="false">
      <c r="A472" s="1" t="n">
        <v>9</v>
      </c>
      <c r="B472" s="1" t="n">
        <v>12</v>
      </c>
      <c r="C472" s="1" t="n">
        <v>1.7</v>
      </c>
      <c r="D472" s="1" t="n">
        <v>1.1717</v>
      </c>
      <c r="E472" s="1" t="n">
        <v>0.0572559</v>
      </c>
      <c r="F472" s="1" t="n">
        <v>0.000156225</v>
      </c>
      <c r="G472" s="1" t="s">
        <v>59</v>
      </c>
      <c r="H472" s="1" t="n">
        <v>68</v>
      </c>
      <c r="I472" s="1" t="n">
        <v>167.5</v>
      </c>
      <c r="J472" s="1" t="n">
        <v>27.6</v>
      </c>
      <c r="K472" s="1" t="n">
        <v>113.9</v>
      </c>
      <c r="L472" s="1" t="n">
        <v>0</v>
      </c>
      <c r="M472" s="1" t="n">
        <v>0</v>
      </c>
      <c r="N472" s="1" t="s">
        <v>316</v>
      </c>
      <c r="Z472" s="0" t="n">
        <f aca="false">I472-35</f>
        <v>132.5</v>
      </c>
      <c r="AB472" s="0" t="n">
        <f aca="false">IF(Z472&lt;0,Z472+360,Z472+0)</f>
        <v>132.5</v>
      </c>
    </row>
    <row r="473" customFormat="false" ht="15.8" hidden="false" customHeight="false" outlineLevel="0" collapsed="false">
      <c r="A473" s="1" t="n">
        <v>9</v>
      </c>
      <c r="B473" s="1" t="n">
        <v>11</v>
      </c>
      <c r="C473" s="1" t="n">
        <v>2.5</v>
      </c>
      <c r="D473" s="1" t="n">
        <v>1.3049</v>
      </c>
      <c r="E473" s="1" t="n">
        <v>0.0859504</v>
      </c>
      <c r="F473" s="1" t="n">
        <v>0.000234519</v>
      </c>
      <c r="G473" s="1" t="s">
        <v>59</v>
      </c>
      <c r="H473" s="1" t="n">
        <v>33.4</v>
      </c>
      <c r="I473" s="1" t="n">
        <v>97.3</v>
      </c>
      <c r="J473" s="1" t="n">
        <v>9.9</v>
      </c>
      <c r="K473" s="1" t="n">
        <v>68</v>
      </c>
      <c r="L473" s="1" t="n">
        <v>0</v>
      </c>
      <c r="M473" s="1" t="n">
        <v>0</v>
      </c>
      <c r="N473" s="1" t="s">
        <v>312</v>
      </c>
      <c r="Z473" s="0" t="n">
        <f aca="false">I473-35</f>
        <v>62.3</v>
      </c>
      <c r="AB473" s="0" t="n">
        <f aca="false">IF(Z473&lt;0,Z473+360,Z473+0)</f>
        <v>62.3</v>
      </c>
    </row>
    <row r="474" customFormat="false" ht="15.8" hidden="false" customHeight="false" outlineLevel="0" collapsed="false">
      <c r="A474" s="1" t="n">
        <v>9</v>
      </c>
      <c r="B474" s="1" t="n">
        <v>10</v>
      </c>
      <c r="C474" s="1" t="n">
        <v>2</v>
      </c>
      <c r="D474" s="1" t="n">
        <v>1.1667</v>
      </c>
      <c r="E474" s="1" t="n">
        <v>0.0669617</v>
      </c>
      <c r="F474" s="1" t="n">
        <v>0.000182707</v>
      </c>
      <c r="G474" s="1" t="s">
        <v>59</v>
      </c>
      <c r="H474" s="1" t="n">
        <v>54.1</v>
      </c>
      <c r="I474" s="1" t="n">
        <v>65.3</v>
      </c>
      <c r="J474" s="1" t="n">
        <v>23.2</v>
      </c>
      <c r="K474" s="1" t="n">
        <v>98.6</v>
      </c>
      <c r="L474" s="1" t="n">
        <v>0</v>
      </c>
      <c r="M474" s="1" t="n">
        <v>0</v>
      </c>
      <c r="N474" s="1" t="s">
        <v>311</v>
      </c>
      <c r="Z474" s="0" t="n">
        <f aca="false">I474-35</f>
        <v>30.3</v>
      </c>
      <c r="AB474" s="0" t="n">
        <f aca="false">IF(Z474&lt;0,Z474+360,Z474+0)</f>
        <v>30.3</v>
      </c>
    </row>
    <row r="475" customFormat="false" ht="15.8" hidden="false" customHeight="false" outlineLevel="0" collapsed="false">
      <c r="A475" s="1" t="n">
        <v>9</v>
      </c>
      <c r="B475" s="1" t="n">
        <v>9</v>
      </c>
      <c r="C475" s="1" t="n">
        <v>1</v>
      </c>
      <c r="D475" s="1" t="n">
        <v>1.1711</v>
      </c>
      <c r="E475" s="1" t="n">
        <v>0.0336017</v>
      </c>
      <c r="F475" s="1" t="n">
        <v>9.16834E-005</v>
      </c>
      <c r="G475" s="1" t="s">
        <v>59</v>
      </c>
      <c r="H475" s="1" t="n">
        <v>53.6</v>
      </c>
      <c r="I475" s="1" t="n">
        <v>124.6</v>
      </c>
      <c r="J475" s="1" t="n">
        <v>23.2</v>
      </c>
      <c r="K475" s="1" t="n">
        <v>110</v>
      </c>
      <c r="L475" s="1" t="n">
        <v>0</v>
      </c>
      <c r="M475" s="1" t="n">
        <v>0</v>
      </c>
      <c r="N475" s="1" t="s">
        <v>309</v>
      </c>
      <c r="Z475" s="0" t="n">
        <f aca="false">I475-35</f>
        <v>89.6</v>
      </c>
      <c r="AB475" s="0" t="n">
        <f aca="false">IF(Z475&lt;0,Z475+360,Z475+0)</f>
        <v>89.6</v>
      </c>
    </row>
    <row r="476" customFormat="false" ht="15.8" hidden="false" customHeight="false" outlineLevel="0" collapsed="false">
      <c r="A476" s="1" t="n">
        <v>9</v>
      </c>
      <c r="B476" s="1" t="n">
        <v>8</v>
      </c>
      <c r="C476" s="1" t="n">
        <v>1.2</v>
      </c>
      <c r="D476" s="1" t="n">
        <v>1.2605</v>
      </c>
      <c r="E476" s="1" t="n">
        <v>0.039651</v>
      </c>
      <c r="F476" s="1" t="n">
        <v>0.000108189</v>
      </c>
      <c r="G476" s="1" t="s">
        <v>59</v>
      </c>
      <c r="H476" s="1" t="n">
        <v>44.7</v>
      </c>
      <c r="I476" s="1" t="n">
        <v>66.4</v>
      </c>
      <c r="J476" s="1" t="n">
        <v>21.1</v>
      </c>
      <c r="K476" s="1" t="n">
        <v>58.1</v>
      </c>
      <c r="L476" s="1" t="n">
        <v>0</v>
      </c>
      <c r="M476" s="1" t="n">
        <v>0</v>
      </c>
      <c r="N476" s="1" t="s">
        <v>308</v>
      </c>
      <c r="Z476" s="0" t="n">
        <f aca="false">I476-35</f>
        <v>31.4</v>
      </c>
      <c r="AB476" s="0" t="n">
        <f aca="false">IF(Z476&lt;0,Z476+360,Z476+0)</f>
        <v>31.4</v>
      </c>
    </row>
    <row r="477" customFormat="false" ht="15.8" hidden="false" customHeight="false" outlineLevel="0" collapsed="false">
      <c r="A477" s="1" t="n">
        <v>9</v>
      </c>
      <c r="B477" s="1" t="n">
        <v>7</v>
      </c>
      <c r="C477" s="1" t="n">
        <v>4.3</v>
      </c>
      <c r="D477" s="1" t="n">
        <v>1.7268</v>
      </c>
      <c r="E477" s="1" t="n">
        <v>0.148782</v>
      </c>
      <c r="F477" s="1" t="n">
        <v>0.000405957</v>
      </c>
      <c r="G477" s="1" t="s">
        <v>59</v>
      </c>
      <c r="H477" s="1" t="n">
        <v>84.7</v>
      </c>
      <c r="I477" s="1" t="n">
        <v>114.9</v>
      </c>
      <c r="J477" s="1" t="n">
        <v>23.2</v>
      </c>
      <c r="K477" s="1" t="n">
        <v>91.4</v>
      </c>
      <c r="L477" s="1" t="n">
        <v>0</v>
      </c>
      <c r="M477" s="1" t="n">
        <v>0</v>
      </c>
      <c r="N477" s="1" t="s">
        <v>325</v>
      </c>
      <c r="Z477" s="0" t="n">
        <f aca="false">I477-35</f>
        <v>79.9</v>
      </c>
      <c r="AB477" s="0" t="n">
        <f aca="false">IF(Z477&lt;0,Z477+360,Z477+0)</f>
        <v>79.9</v>
      </c>
    </row>
    <row r="478" customFormat="false" ht="15.8" hidden="false" customHeight="false" outlineLevel="0" collapsed="false">
      <c r="A478" s="1" t="n">
        <v>9</v>
      </c>
      <c r="B478" s="1" t="n">
        <v>7</v>
      </c>
      <c r="C478" s="1" t="n">
        <v>1.7</v>
      </c>
      <c r="D478" s="1" t="n">
        <v>1.4019</v>
      </c>
      <c r="E478" s="1" t="n">
        <v>0.0575819</v>
      </c>
      <c r="F478" s="1" t="n">
        <v>0.000157114</v>
      </c>
      <c r="G478" s="1" t="s">
        <v>27</v>
      </c>
      <c r="H478" s="1" t="n">
        <v>84.1</v>
      </c>
      <c r="I478" s="1" t="n">
        <v>322.2</v>
      </c>
      <c r="J478" s="1" t="n">
        <v>-33.4</v>
      </c>
      <c r="K478" s="1"/>
      <c r="L478" s="1" t="n">
        <v>0</v>
      </c>
      <c r="M478" s="1" t="n">
        <v>0</v>
      </c>
      <c r="N478" s="1" t="s">
        <v>325</v>
      </c>
      <c r="Z478" s="0" t="n">
        <f aca="false">I478-35</f>
        <v>287.2</v>
      </c>
      <c r="AB478" s="0" t="n">
        <f aca="false">IF(Z478&lt;0,Z478+360,Z478+0)</f>
        <v>287.2</v>
      </c>
    </row>
    <row r="479" customFormat="false" ht="15.8" hidden="false" customHeight="false" outlineLevel="0" collapsed="false">
      <c r="A479" s="1" t="n">
        <v>9</v>
      </c>
      <c r="B479" s="1" t="n">
        <v>6</v>
      </c>
      <c r="C479" s="1" t="n">
        <v>0.7</v>
      </c>
      <c r="D479" s="1" t="n">
        <v>1.1535</v>
      </c>
      <c r="E479" s="1" t="n">
        <v>0.0228388</v>
      </c>
      <c r="F479" s="1" t="n">
        <v>6.23164E-005</v>
      </c>
      <c r="G479" s="1" t="s">
        <v>59</v>
      </c>
      <c r="H479" s="1" t="n">
        <v>73.6</v>
      </c>
      <c r="I479" s="1" t="n">
        <v>14.7</v>
      </c>
      <c r="J479" s="1" t="n">
        <v>34.9</v>
      </c>
      <c r="K479" s="1" t="n">
        <v>84.7</v>
      </c>
      <c r="L479" s="1" t="n">
        <v>0</v>
      </c>
      <c r="M479" s="1" t="n">
        <v>0</v>
      </c>
      <c r="N479" s="1" t="s">
        <v>326</v>
      </c>
      <c r="Z479" s="0" t="n">
        <f aca="false">I479-35</f>
        <v>-20.3</v>
      </c>
      <c r="AB479" s="0" t="n">
        <f aca="false">IF(Z479&lt;0,Z479+360,Z479+0)</f>
        <v>339.7</v>
      </c>
    </row>
    <row r="480" customFormat="false" ht="15.8" hidden="false" customHeight="false" outlineLevel="0" collapsed="false">
      <c r="A480" s="1" t="n">
        <v>9</v>
      </c>
      <c r="B480" s="1" t="n">
        <v>6</v>
      </c>
      <c r="C480" s="1" t="n">
        <v>1</v>
      </c>
      <c r="D480" s="1" t="n">
        <v>1.1631</v>
      </c>
      <c r="E480" s="1" t="n">
        <v>0.0328605</v>
      </c>
      <c r="F480" s="1" t="n">
        <v>8.96609E-005</v>
      </c>
      <c r="G480" s="1" t="s">
        <v>27</v>
      </c>
      <c r="H480" s="1" t="n">
        <v>25.7</v>
      </c>
      <c r="I480" s="1" t="n">
        <v>130.2</v>
      </c>
      <c r="J480" s="1" t="n">
        <v>23.6</v>
      </c>
      <c r="K480" s="1"/>
      <c r="L480" s="1" t="n">
        <v>0</v>
      </c>
      <c r="M480" s="1" t="n">
        <v>0</v>
      </c>
      <c r="N480" s="1" t="s">
        <v>326</v>
      </c>
      <c r="Z480" s="0" t="n">
        <f aca="false">I480-35</f>
        <v>95.2</v>
      </c>
      <c r="AB480" s="0" t="n">
        <f aca="false">IF(Z480&lt;0,Z480+360,Z480+0)</f>
        <v>95.2</v>
      </c>
    </row>
    <row r="481" customFormat="false" ht="15.8" hidden="false" customHeight="false" outlineLevel="0" collapsed="false">
      <c r="A481" s="1" t="n">
        <v>9</v>
      </c>
      <c r="B481" s="1" t="n">
        <v>5</v>
      </c>
      <c r="C481" s="1" t="n">
        <v>2.1</v>
      </c>
      <c r="D481" s="1" t="n">
        <v>1.41</v>
      </c>
      <c r="E481" s="1" t="n">
        <v>0.0736085</v>
      </c>
      <c r="F481" s="1" t="n">
        <v>0.000200843</v>
      </c>
      <c r="G481" s="1" t="s">
        <v>59</v>
      </c>
      <c r="H481" s="1" t="n">
        <v>44.2</v>
      </c>
      <c r="I481" s="1" t="n">
        <v>101.9</v>
      </c>
      <c r="J481" s="1" t="n">
        <v>25.7</v>
      </c>
      <c r="K481" s="1" t="n">
        <v>73.6</v>
      </c>
      <c r="L481" s="1" t="n">
        <v>0</v>
      </c>
      <c r="M481" s="1" t="n">
        <v>0</v>
      </c>
      <c r="N481" s="1" t="s">
        <v>299</v>
      </c>
      <c r="Z481" s="0" t="n">
        <f aca="false">I481-35</f>
        <v>66.9</v>
      </c>
      <c r="AB481" s="0" t="n">
        <f aca="false">IF(Z481&lt;0,Z481+360,Z481+0)</f>
        <v>66.9</v>
      </c>
    </row>
    <row r="482" customFormat="false" ht="15.8" hidden="false" customHeight="false" outlineLevel="0" collapsed="false">
      <c r="A482" s="1" t="n">
        <v>9</v>
      </c>
      <c r="B482" s="1" t="n">
        <v>4</v>
      </c>
      <c r="C482" s="1" t="n">
        <v>6.1</v>
      </c>
      <c r="D482" s="1" t="n">
        <v>1.1835</v>
      </c>
      <c r="E482" s="1" t="n">
        <v>0.209697</v>
      </c>
      <c r="F482" s="1" t="n">
        <v>0.000572166</v>
      </c>
      <c r="G482" s="1" t="s">
        <v>59</v>
      </c>
      <c r="H482" s="1" t="n">
        <v>77.2</v>
      </c>
      <c r="I482" s="1" t="n">
        <v>57.7</v>
      </c>
      <c r="J482" s="1" t="n">
        <v>11</v>
      </c>
      <c r="K482" s="1" t="n">
        <v>55.7</v>
      </c>
      <c r="L482" s="1" t="n">
        <v>0</v>
      </c>
      <c r="M482" s="1" t="n">
        <v>0</v>
      </c>
      <c r="N482" s="1" t="s">
        <v>297</v>
      </c>
      <c r="Z482" s="0" t="n">
        <f aca="false">I482-35</f>
        <v>22.7</v>
      </c>
      <c r="AB482" s="0" t="n">
        <f aca="false">IF(Z482&lt;0,Z482+360,Z482+0)</f>
        <v>22.7</v>
      </c>
    </row>
    <row r="483" customFormat="false" ht="15.8" hidden="false" customHeight="false" outlineLevel="0" collapsed="false">
      <c r="A483" s="1" t="n">
        <v>9</v>
      </c>
      <c r="B483" s="1" t="n">
        <v>3</v>
      </c>
      <c r="C483" s="1" t="n">
        <v>1.3</v>
      </c>
      <c r="D483" s="1" t="n">
        <v>1.0141</v>
      </c>
      <c r="E483" s="1" t="n">
        <v>0.0458863</v>
      </c>
      <c r="F483" s="1" t="n">
        <v>0.000125202</v>
      </c>
      <c r="G483" s="1" t="s">
        <v>59</v>
      </c>
      <c r="H483" s="1" t="n">
        <v>45.2</v>
      </c>
      <c r="I483" s="1" t="n">
        <v>134.7</v>
      </c>
      <c r="J483" s="1" t="n">
        <v>0</v>
      </c>
      <c r="K483" s="1" t="n">
        <v>77.2</v>
      </c>
      <c r="L483" s="1" t="n">
        <v>0</v>
      </c>
      <c r="M483" s="1" t="n">
        <v>0</v>
      </c>
      <c r="N483" s="1" t="s">
        <v>296</v>
      </c>
      <c r="Z483" s="0" t="n">
        <f aca="false">I483-35</f>
        <v>99.7</v>
      </c>
      <c r="AB483" s="0" t="n">
        <f aca="false">IF(Z483&lt;0,Z483+360,Z483+0)</f>
        <v>99.7</v>
      </c>
    </row>
    <row r="484" customFormat="false" ht="15.8" hidden="false" customHeight="false" outlineLevel="0" collapsed="false">
      <c r="A484" s="1" t="n">
        <v>9</v>
      </c>
      <c r="B484" s="1" t="n">
        <v>2</v>
      </c>
      <c r="C484" s="1" t="n">
        <v>3.7</v>
      </c>
      <c r="D484" s="1" t="n">
        <v>1.191</v>
      </c>
      <c r="E484" s="1" t="n">
        <v>0.125182</v>
      </c>
      <c r="F484" s="1" t="n">
        <v>0.000341565</v>
      </c>
      <c r="G484" s="1" t="s">
        <v>59</v>
      </c>
      <c r="H484" s="1" t="n">
        <v>46.6</v>
      </c>
      <c r="I484" s="1" t="n">
        <v>101.5</v>
      </c>
      <c r="J484" s="1" t="n">
        <v>32.6</v>
      </c>
      <c r="K484" s="1" t="n">
        <v>68.9</v>
      </c>
      <c r="L484" s="1" t="n">
        <v>0</v>
      </c>
      <c r="M484" s="1" t="n">
        <v>0</v>
      </c>
      <c r="N484" s="1" t="s">
        <v>295</v>
      </c>
      <c r="Z484" s="0" t="n">
        <f aca="false">I484-35</f>
        <v>66.5</v>
      </c>
      <c r="AB484" s="0" t="n">
        <f aca="false">IF(Z484&lt;0,Z484+360,Z484+0)</f>
        <v>66.5</v>
      </c>
    </row>
    <row r="485" customFormat="false" ht="15.8" hidden="false" customHeight="false" outlineLevel="0" collapsed="false">
      <c r="A485" s="1" t="n">
        <v>9</v>
      </c>
      <c r="B485" s="1" t="n">
        <v>1</v>
      </c>
      <c r="C485" s="1" t="n">
        <v>1.7</v>
      </c>
      <c r="D485" s="1" t="n">
        <v>1.0318</v>
      </c>
      <c r="E485" s="1" t="n">
        <v>0.0573867</v>
      </c>
      <c r="F485" s="1" t="n">
        <v>0.000156582</v>
      </c>
      <c r="G485" s="1" t="s">
        <v>59</v>
      </c>
      <c r="H485" s="1"/>
      <c r="I485" s="1" t="n">
        <v>66.1</v>
      </c>
      <c r="J485" s="1" t="n">
        <v>0</v>
      </c>
      <c r="K485" s="1" t="n">
        <v>46.6</v>
      </c>
      <c r="L485" s="1" t="n">
        <v>0</v>
      </c>
      <c r="M485" s="1" t="n">
        <v>0</v>
      </c>
      <c r="N485" s="1" t="s">
        <v>327</v>
      </c>
      <c r="Z485" s="0" t="n">
        <f aca="false">I485-35</f>
        <v>31.1</v>
      </c>
      <c r="AB485" s="0" t="n">
        <f aca="false">IF(Z485&lt;0,Z485+360,Z485+0)</f>
        <v>31.1</v>
      </c>
    </row>
    <row r="486" customFormat="false" ht="15.8" hidden="false" customHeight="false" outlineLevel="0" collapsed="false">
      <c r="A486" s="1" t="n">
        <v>10</v>
      </c>
      <c r="B486" s="1" t="n">
        <v>1</v>
      </c>
      <c r="C486" s="1" t="n">
        <v>1.2</v>
      </c>
      <c r="D486" s="1" t="n">
        <v>1.1712</v>
      </c>
      <c r="E486" s="1" t="n">
        <v>0.0419293</v>
      </c>
      <c r="F486" s="1" t="n">
        <v>0.000114406</v>
      </c>
      <c r="G486" s="1" t="s">
        <v>27</v>
      </c>
      <c r="H486" s="1"/>
      <c r="I486" s="1" t="n">
        <v>108.6</v>
      </c>
      <c r="J486" s="1" t="n">
        <v>-18.4</v>
      </c>
      <c r="K486" s="1"/>
      <c r="L486" s="1" t="n">
        <v>0</v>
      </c>
      <c r="M486" s="1" t="n">
        <v>0</v>
      </c>
      <c r="N486" s="1" t="s">
        <v>328</v>
      </c>
      <c r="Z486" s="0" t="n">
        <f aca="false">I486-35</f>
        <v>73.6</v>
      </c>
      <c r="AB486" s="0" t="n">
        <f aca="false">IF(Z486&lt;0,Z486+360,Z486+0)</f>
        <v>73.6</v>
      </c>
    </row>
    <row r="487" customFormat="false" ht="15.8" hidden="false" customHeight="false" outlineLevel="0" collapsed="false">
      <c r="A487" s="1" t="n">
        <v>11</v>
      </c>
      <c r="B487" s="1" t="n">
        <v>1</v>
      </c>
      <c r="C487" s="1" t="n">
        <v>1.7</v>
      </c>
      <c r="D487" s="1" t="n">
        <v>1.5058</v>
      </c>
      <c r="E487" s="1" t="n">
        <v>0.0596813</v>
      </c>
      <c r="F487" s="1" t="n">
        <v>0.000162843</v>
      </c>
      <c r="G487" s="1" t="s">
        <v>27</v>
      </c>
      <c r="H487" s="1"/>
      <c r="I487" s="1" t="n">
        <v>50.2</v>
      </c>
      <c r="J487" s="1" t="n">
        <v>-58.9</v>
      </c>
      <c r="K487" s="1"/>
      <c r="L487" s="1" t="n">
        <v>0</v>
      </c>
      <c r="M487" s="1" t="n">
        <v>0</v>
      </c>
      <c r="N487" s="1" t="s">
        <v>329</v>
      </c>
      <c r="Z487" s="0" t="n">
        <f aca="false">I487-35</f>
        <v>15.2</v>
      </c>
      <c r="AB487" s="0" t="n">
        <f aca="false">IF(Z487&lt;0,Z487+360,Z487+0)</f>
        <v>15.2</v>
      </c>
    </row>
    <row r="488" customFormat="false" ht="15.8" hidden="false" customHeight="false" outlineLevel="0" collapsed="false">
      <c r="A488" s="1" t="n">
        <v>12</v>
      </c>
      <c r="B488" s="1" t="n">
        <v>1</v>
      </c>
      <c r="C488" s="1" t="n">
        <v>1.6</v>
      </c>
      <c r="D488" s="1" t="n">
        <v>1.2399</v>
      </c>
      <c r="E488" s="1" t="n">
        <v>0.0556647</v>
      </c>
      <c r="F488" s="1" t="n">
        <v>0.000151883</v>
      </c>
      <c r="G488" s="1" t="s">
        <v>27</v>
      </c>
      <c r="H488" s="1"/>
      <c r="I488" s="1" t="n">
        <v>133.5</v>
      </c>
      <c r="J488" s="1" t="n">
        <v>49.1</v>
      </c>
      <c r="K488" s="1"/>
      <c r="L488" s="1" t="n">
        <v>0</v>
      </c>
      <c r="M488" s="1" t="n">
        <v>0</v>
      </c>
      <c r="N488" s="1" t="s">
        <v>330</v>
      </c>
      <c r="Z488" s="0" t="n">
        <f aca="false">I488-35</f>
        <v>98.5</v>
      </c>
      <c r="AB488" s="0" t="n">
        <f aca="false">IF(Z488&lt;0,Z488+360,Z488+0)</f>
        <v>98.5</v>
      </c>
    </row>
    <row r="489" customFormat="false" ht="15.8" hidden="false" customHeight="false" outlineLevel="0" collapsed="false">
      <c r="A489" s="1" t="n">
        <v>13</v>
      </c>
      <c r="B489" s="1" t="n">
        <v>5</v>
      </c>
      <c r="C489" s="1" t="n">
        <v>0.7</v>
      </c>
      <c r="D489" s="1" t="n">
        <v>1.0459</v>
      </c>
      <c r="E489" s="1" t="n">
        <v>0.0246883</v>
      </c>
      <c r="F489" s="1" t="n">
        <v>6.7363E-005</v>
      </c>
      <c r="G489" s="1" t="s">
        <v>27</v>
      </c>
      <c r="H489" s="1" t="n">
        <v>44.1</v>
      </c>
      <c r="I489" s="1" t="n">
        <v>124.5</v>
      </c>
      <c r="J489" s="1" t="n">
        <v>0</v>
      </c>
      <c r="K489" s="1"/>
      <c r="L489" s="1" t="n">
        <v>0</v>
      </c>
      <c r="M489" s="1" t="n">
        <v>0</v>
      </c>
      <c r="N489" s="1" t="s">
        <v>331</v>
      </c>
      <c r="Z489" s="0" t="n">
        <f aca="false">I489-35</f>
        <v>89.5</v>
      </c>
      <c r="AB489" s="0" t="n">
        <f aca="false">IF(Z489&lt;0,Z489+360,Z489+0)</f>
        <v>89.5</v>
      </c>
    </row>
    <row r="490" customFormat="false" ht="15.8" hidden="false" customHeight="false" outlineLevel="0" collapsed="false">
      <c r="A490" s="1" t="n">
        <v>13</v>
      </c>
      <c r="B490" s="1" t="n">
        <v>6</v>
      </c>
      <c r="C490" s="1" t="n">
        <v>0.8</v>
      </c>
      <c r="D490" s="1" t="n">
        <v>1.0096</v>
      </c>
      <c r="E490" s="1" t="n">
        <v>0.0273718</v>
      </c>
      <c r="F490" s="1" t="n">
        <v>7.46848E-005</v>
      </c>
      <c r="G490" s="1" t="s">
        <v>27</v>
      </c>
      <c r="H490" s="1" t="n">
        <v>76.7</v>
      </c>
      <c r="I490" s="1" t="n">
        <v>110.2</v>
      </c>
      <c r="J490" s="1" t="n">
        <v>0</v>
      </c>
      <c r="K490" s="1"/>
      <c r="L490" s="1" t="n">
        <v>0</v>
      </c>
      <c r="M490" s="1" t="n">
        <v>0</v>
      </c>
      <c r="N490" s="1" t="s">
        <v>332</v>
      </c>
      <c r="Z490" s="0" t="n">
        <f aca="false">I490-35</f>
        <v>75.2</v>
      </c>
      <c r="AB490" s="0" t="n">
        <f aca="false">IF(Z490&lt;0,Z490+360,Z490+0)</f>
        <v>75.2</v>
      </c>
    </row>
    <row r="491" customFormat="false" ht="15.8" hidden="false" customHeight="false" outlineLevel="0" collapsed="false">
      <c r="A491" s="1" t="n">
        <v>13</v>
      </c>
      <c r="B491" s="1" t="n">
        <v>7</v>
      </c>
      <c r="C491" s="1" t="n">
        <v>5.2</v>
      </c>
      <c r="D491" s="1" t="n">
        <v>3.8253</v>
      </c>
      <c r="E491" s="1" t="n">
        <v>0.178424</v>
      </c>
      <c r="F491" s="1" t="n">
        <v>0.000486835</v>
      </c>
      <c r="G491" s="1" t="s">
        <v>27</v>
      </c>
      <c r="H491" s="1" t="n">
        <v>143.3</v>
      </c>
      <c r="I491" s="1" t="n">
        <v>45.3</v>
      </c>
      <c r="J491" s="1" t="n">
        <v>-14</v>
      </c>
      <c r="K491" s="1"/>
      <c r="L491" s="1" t="n">
        <v>0</v>
      </c>
      <c r="M491" s="1" t="n">
        <v>0</v>
      </c>
      <c r="N491" s="1" t="s">
        <v>333</v>
      </c>
      <c r="Z491" s="0" t="n">
        <f aca="false">I491-35</f>
        <v>10.3</v>
      </c>
      <c r="AB491" s="0" t="n">
        <f aca="false">IF(Z491&lt;0,Z491+360,Z491+0)</f>
        <v>10.3</v>
      </c>
    </row>
    <row r="492" customFormat="false" ht="15.8" hidden="false" customHeight="false" outlineLevel="0" collapsed="false">
      <c r="A492" s="1" t="n">
        <v>13</v>
      </c>
      <c r="B492" s="1" t="n">
        <v>9</v>
      </c>
      <c r="C492" s="1" t="n">
        <v>1</v>
      </c>
      <c r="D492" s="1" t="n">
        <v>1.0852</v>
      </c>
      <c r="E492" s="1" t="n">
        <v>0.0350054</v>
      </c>
      <c r="F492" s="1" t="n">
        <v>9.55136E-005</v>
      </c>
      <c r="G492" s="1" t="s">
        <v>27</v>
      </c>
      <c r="H492" s="1" t="n">
        <v>42.1</v>
      </c>
      <c r="I492" s="1" t="n">
        <v>228</v>
      </c>
      <c r="J492" s="1" t="n">
        <v>20.5</v>
      </c>
      <c r="K492" s="1"/>
      <c r="L492" s="1" t="n">
        <v>0</v>
      </c>
      <c r="M492" s="1" t="n">
        <v>0</v>
      </c>
      <c r="N492" s="1" t="s">
        <v>334</v>
      </c>
      <c r="Z492" s="0" t="n">
        <f aca="false">I492-35</f>
        <v>193</v>
      </c>
      <c r="AB492" s="0" t="n">
        <f aca="false">IF(Z492&lt;0,Z492+360,Z492+0)</f>
        <v>193</v>
      </c>
    </row>
    <row r="493" customFormat="false" ht="15.8" hidden="false" customHeight="false" outlineLevel="0" collapsed="false">
      <c r="A493" s="1" t="n">
        <v>13</v>
      </c>
      <c r="B493" s="1" t="n">
        <v>10</v>
      </c>
      <c r="C493" s="1" t="n">
        <v>1.5</v>
      </c>
      <c r="D493" s="1" t="n">
        <v>1.39</v>
      </c>
      <c r="E493" s="1" t="n">
        <v>0.0527362</v>
      </c>
      <c r="F493" s="1" t="n">
        <v>0.000143893</v>
      </c>
      <c r="G493" s="1" t="s">
        <v>27</v>
      </c>
      <c r="H493" s="1" t="n">
        <v>72.1</v>
      </c>
      <c r="I493" s="1" t="n">
        <v>161.9</v>
      </c>
      <c r="J493" s="1" t="n">
        <v>17.4</v>
      </c>
      <c r="K493" s="1"/>
      <c r="L493" s="1" t="n">
        <v>0</v>
      </c>
      <c r="M493" s="1" t="n">
        <v>0</v>
      </c>
      <c r="N493" s="1" t="s">
        <v>335</v>
      </c>
      <c r="Z493" s="0" t="n">
        <f aca="false">I493-35</f>
        <v>126.9</v>
      </c>
      <c r="AB493" s="0" t="n">
        <f aca="false">IF(Z493&lt;0,Z493+360,Z493+0)</f>
        <v>126.9</v>
      </c>
    </row>
    <row r="494" customFormat="false" ht="15.8" hidden="false" customHeight="false" outlineLevel="0" collapsed="false">
      <c r="A494" s="1" t="n">
        <v>13</v>
      </c>
      <c r="B494" s="1" t="n">
        <v>10</v>
      </c>
      <c r="C494" s="1" t="n">
        <v>3.7</v>
      </c>
      <c r="D494" s="1" t="n">
        <v>1.3063</v>
      </c>
      <c r="E494" s="1" t="n">
        <v>0.128372</v>
      </c>
      <c r="F494" s="1" t="n">
        <v>0.000350266</v>
      </c>
      <c r="G494" s="1" t="s">
        <v>27</v>
      </c>
      <c r="H494" s="1" t="n">
        <v>100.3</v>
      </c>
      <c r="I494" s="1" t="n">
        <v>349.2</v>
      </c>
      <c r="J494" s="1" t="n">
        <v>-13.3</v>
      </c>
      <c r="K494" s="1"/>
      <c r="L494" s="1" t="n">
        <v>0</v>
      </c>
      <c r="M494" s="1" t="n">
        <v>0</v>
      </c>
      <c r="N494" s="1" t="s">
        <v>335</v>
      </c>
      <c r="Z494" s="0" t="n">
        <f aca="false">I494-35</f>
        <v>314.2</v>
      </c>
      <c r="AB494" s="0" t="n">
        <f aca="false">IF(Z494&lt;0,Z494+360,Z494+0)</f>
        <v>314.2</v>
      </c>
    </row>
    <row r="495" customFormat="false" ht="15.8" hidden="false" customHeight="false" outlineLevel="0" collapsed="false">
      <c r="A495" s="1" t="n">
        <v>13</v>
      </c>
      <c r="B495" s="1" t="n">
        <v>9</v>
      </c>
      <c r="C495" s="1" t="n">
        <v>0.9</v>
      </c>
      <c r="D495" s="1" t="n">
        <v>1.0872</v>
      </c>
      <c r="E495" s="1" t="n">
        <v>0.0311283</v>
      </c>
      <c r="F495" s="1" t="n">
        <v>8.49347E-005</v>
      </c>
      <c r="G495" s="1" t="s">
        <v>59</v>
      </c>
      <c r="H495" s="1" t="n">
        <v>91.4</v>
      </c>
      <c r="I495" s="1" t="n">
        <v>78.9</v>
      </c>
      <c r="J495" s="1" t="n">
        <v>52.2</v>
      </c>
      <c r="K495" s="1" t="n">
        <v>100.3</v>
      </c>
      <c r="L495" s="1" t="n">
        <v>0</v>
      </c>
      <c r="M495" s="1" t="n">
        <v>0</v>
      </c>
      <c r="N495" s="1" t="s">
        <v>334</v>
      </c>
      <c r="Z495" s="0" t="n">
        <f aca="false">I495-35</f>
        <v>43.9</v>
      </c>
      <c r="AB495" s="0" t="n">
        <f aca="false">IF(Z495&lt;0,Z495+360,Z495+0)</f>
        <v>43.9</v>
      </c>
    </row>
    <row r="496" customFormat="false" ht="15.8" hidden="false" customHeight="false" outlineLevel="0" collapsed="false">
      <c r="A496" s="1" t="n">
        <v>13</v>
      </c>
      <c r="B496" s="1" t="n">
        <v>10</v>
      </c>
      <c r="C496" s="1" t="n">
        <v>1.6</v>
      </c>
      <c r="D496" s="1" t="n">
        <v>1.1459</v>
      </c>
      <c r="E496" s="1" t="n">
        <v>0.0564328</v>
      </c>
      <c r="F496" s="1" t="n">
        <v>0.000153979</v>
      </c>
      <c r="G496" s="1" t="s">
        <v>27</v>
      </c>
      <c r="H496" s="1" t="n">
        <v>109.1</v>
      </c>
      <c r="I496" s="1" t="n">
        <v>289.1</v>
      </c>
      <c r="J496" s="1" t="n">
        <v>-13.3</v>
      </c>
      <c r="K496" s="1"/>
      <c r="L496" s="1" t="n">
        <v>0</v>
      </c>
      <c r="M496" s="1" t="n">
        <v>0</v>
      </c>
      <c r="N496" s="1" t="s">
        <v>336</v>
      </c>
      <c r="Z496" s="0" t="n">
        <f aca="false">I496-35</f>
        <v>254.1</v>
      </c>
      <c r="AB496" s="0" t="n">
        <f aca="false">IF(Z496&lt;0,Z496+360,Z496+0)</f>
        <v>254.1</v>
      </c>
    </row>
    <row r="497" customFormat="false" ht="15.8" hidden="false" customHeight="false" outlineLevel="0" collapsed="false">
      <c r="A497" s="1" t="n">
        <v>13</v>
      </c>
      <c r="B497" s="1" t="n">
        <v>11</v>
      </c>
      <c r="C497" s="1" t="n">
        <v>0.9</v>
      </c>
      <c r="D497" s="1" t="n">
        <v>1.1958</v>
      </c>
      <c r="E497" s="1" t="n">
        <v>0.0320265</v>
      </c>
      <c r="F497" s="1" t="n">
        <v>8.73855E-005</v>
      </c>
      <c r="G497" s="1" t="s">
        <v>27</v>
      </c>
      <c r="H497" s="1" t="n">
        <v>51.3</v>
      </c>
      <c r="I497" s="1" t="n">
        <v>97.2</v>
      </c>
      <c r="J497" s="1" t="n">
        <v>0</v>
      </c>
      <c r="K497" s="1"/>
      <c r="L497" s="1" t="n">
        <v>0</v>
      </c>
      <c r="M497" s="1" t="n">
        <v>0</v>
      </c>
      <c r="N497" s="1" t="s">
        <v>337</v>
      </c>
      <c r="Z497" s="0" t="n">
        <f aca="false">I497-35</f>
        <v>62.2</v>
      </c>
      <c r="AB497" s="0" t="n">
        <f aca="false">IF(Z497&lt;0,Z497+360,Z497+0)</f>
        <v>62.2</v>
      </c>
    </row>
    <row r="498" customFormat="false" ht="15.8" hidden="false" customHeight="false" outlineLevel="0" collapsed="false">
      <c r="A498" s="1" t="n">
        <v>13</v>
      </c>
      <c r="B498" s="1" t="n">
        <v>12</v>
      </c>
      <c r="C498" s="1" t="n">
        <v>1</v>
      </c>
      <c r="D498" s="1" t="n">
        <v>1.0906</v>
      </c>
      <c r="E498" s="1" t="n">
        <v>0.0341205</v>
      </c>
      <c r="F498" s="1" t="n">
        <v>9.3099E-005</v>
      </c>
      <c r="G498" s="1" t="s">
        <v>27</v>
      </c>
      <c r="H498" s="1" t="n">
        <v>60.4</v>
      </c>
      <c r="I498" s="1" t="n">
        <v>104</v>
      </c>
      <c r="J498" s="1" t="n">
        <v>46.3</v>
      </c>
      <c r="K498" s="1"/>
      <c r="L498" s="1" t="n">
        <v>0</v>
      </c>
      <c r="M498" s="1" t="n">
        <v>0</v>
      </c>
      <c r="N498" s="1" t="s">
        <v>338</v>
      </c>
      <c r="Z498" s="0" t="n">
        <f aca="false">I498-35</f>
        <v>69</v>
      </c>
      <c r="AB498" s="0" t="n">
        <f aca="false">IF(Z498&lt;0,Z498+360,Z498+0)</f>
        <v>69</v>
      </c>
    </row>
    <row r="499" customFormat="false" ht="15.8" hidden="false" customHeight="false" outlineLevel="0" collapsed="false">
      <c r="A499" s="1" t="n">
        <v>13</v>
      </c>
      <c r="B499" s="1" t="n">
        <v>12</v>
      </c>
      <c r="C499" s="1" t="n">
        <v>1.1</v>
      </c>
      <c r="D499" s="1" t="n">
        <v>1.1742</v>
      </c>
      <c r="E499" s="1" t="n">
        <v>0.0383449</v>
      </c>
      <c r="F499" s="1" t="n">
        <v>0.000104625</v>
      </c>
      <c r="G499" s="1" t="s">
        <v>27</v>
      </c>
      <c r="H499" s="1" t="n">
        <v>52.4</v>
      </c>
      <c r="I499" s="1" t="n">
        <v>205.3</v>
      </c>
      <c r="J499" s="1" t="n">
        <v>-20.3</v>
      </c>
      <c r="K499" s="1"/>
      <c r="L499" s="1" t="n">
        <v>0</v>
      </c>
      <c r="M499" s="1" t="n">
        <v>0</v>
      </c>
      <c r="N499" s="1" t="s">
        <v>338</v>
      </c>
      <c r="Z499" s="0" t="n">
        <f aca="false">I499-35</f>
        <v>170.3</v>
      </c>
      <c r="AB499" s="0" t="n">
        <f aca="false">IF(Z499&lt;0,Z499+360,Z499+0)</f>
        <v>170.3</v>
      </c>
    </row>
    <row r="500" customFormat="false" ht="15.8" hidden="false" customHeight="false" outlineLevel="0" collapsed="false">
      <c r="A500" s="1" t="n">
        <v>13</v>
      </c>
      <c r="B500" s="1" t="n">
        <v>11</v>
      </c>
      <c r="C500" s="1" t="n">
        <v>1.9</v>
      </c>
      <c r="D500" s="1" t="n">
        <v>1.1682</v>
      </c>
      <c r="E500" s="1" t="n">
        <v>0.0648425</v>
      </c>
      <c r="F500" s="1" t="n">
        <v>0.000176925</v>
      </c>
      <c r="G500" s="1" t="s">
        <v>59</v>
      </c>
      <c r="H500" s="1" t="n">
        <v>18.7</v>
      </c>
      <c r="I500" s="1" t="n">
        <v>163.2</v>
      </c>
      <c r="J500" s="1" t="n">
        <v>11.8</v>
      </c>
      <c r="K500" s="1" t="n">
        <v>60.4</v>
      </c>
      <c r="L500" s="1" t="n">
        <v>0</v>
      </c>
      <c r="M500" s="1" t="n">
        <v>0</v>
      </c>
      <c r="N500" s="1" t="s">
        <v>337</v>
      </c>
      <c r="Z500" s="0" t="n">
        <f aca="false">I500-35</f>
        <v>128.2</v>
      </c>
      <c r="AB500" s="0" t="n">
        <f aca="false">IF(Z500&lt;0,Z500+360,Z500+0)</f>
        <v>128.2</v>
      </c>
    </row>
    <row r="501" customFormat="false" ht="15.8" hidden="false" customHeight="false" outlineLevel="0" collapsed="false">
      <c r="A501" s="1" t="n">
        <v>13</v>
      </c>
      <c r="B501" s="1" t="n">
        <v>10</v>
      </c>
      <c r="C501" s="1" t="n">
        <v>2.6</v>
      </c>
      <c r="D501" s="1" t="n">
        <v>1.035</v>
      </c>
      <c r="E501" s="1" t="n">
        <v>0.0904068</v>
      </c>
      <c r="F501" s="1" t="n">
        <v>0.000246678</v>
      </c>
      <c r="G501" s="1" t="s">
        <v>59</v>
      </c>
      <c r="H501" s="1" t="n">
        <v>31</v>
      </c>
      <c r="I501" s="1" t="n">
        <v>148.5</v>
      </c>
      <c r="J501" s="1" t="n">
        <v>0</v>
      </c>
      <c r="K501" s="1" t="n">
        <v>51.3</v>
      </c>
      <c r="L501" s="1" t="n">
        <v>0</v>
      </c>
      <c r="M501" s="1" t="n">
        <v>0</v>
      </c>
      <c r="N501" s="1" t="s">
        <v>336</v>
      </c>
      <c r="Z501" s="0" t="n">
        <f aca="false">I501-35</f>
        <v>113.5</v>
      </c>
      <c r="AB501" s="0" t="n">
        <f aca="false">IF(Z501&lt;0,Z501+360,Z501+0)</f>
        <v>113.5</v>
      </c>
    </row>
    <row r="502" customFormat="false" ht="15.8" hidden="false" customHeight="false" outlineLevel="0" collapsed="false">
      <c r="A502" s="1" t="n">
        <v>13</v>
      </c>
      <c r="B502" s="1" t="n">
        <v>9</v>
      </c>
      <c r="C502" s="1" t="n">
        <v>1.2</v>
      </c>
      <c r="D502" s="1" t="n">
        <v>1.0232</v>
      </c>
      <c r="E502" s="1" t="n">
        <v>0.0405875</v>
      </c>
      <c r="F502" s="1" t="n">
        <v>0.000110744</v>
      </c>
      <c r="G502" s="1" t="s">
        <v>59</v>
      </c>
      <c r="H502" s="1" t="n">
        <v>12.2</v>
      </c>
      <c r="I502" s="1" t="n">
        <v>179.5</v>
      </c>
      <c r="J502" s="1" t="n">
        <v>0</v>
      </c>
      <c r="K502" s="1" t="n">
        <v>109.1</v>
      </c>
      <c r="L502" s="1" t="n">
        <v>0</v>
      </c>
      <c r="M502" s="1" t="n">
        <v>0</v>
      </c>
      <c r="N502" s="1" t="s">
        <v>334</v>
      </c>
      <c r="Z502" s="0" t="n">
        <f aca="false">I502-35</f>
        <v>144.5</v>
      </c>
      <c r="AB502" s="0" t="n">
        <f aca="false">IF(Z502&lt;0,Z502+360,Z502+0)</f>
        <v>144.5</v>
      </c>
    </row>
    <row r="503" customFormat="false" ht="15.8" hidden="false" customHeight="false" outlineLevel="0" collapsed="false">
      <c r="A503" s="1" t="n">
        <v>13</v>
      </c>
      <c r="B503" s="1" t="n">
        <v>8</v>
      </c>
      <c r="C503" s="1" t="n">
        <v>2</v>
      </c>
      <c r="D503" s="1" t="n">
        <v>1.0982</v>
      </c>
      <c r="E503" s="1" t="n">
        <v>0.0672045</v>
      </c>
      <c r="F503" s="1" t="n">
        <v>0.00018337</v>
      </c>
      <c r="G503" s="1" t="s">
        <v>59</v>
      </c>
      <c r="H503" s="1" t="n">
        <v>122</v>
      </c>
      <c r="I503" s="1" t="n">
        <v>185.4</v>
      </c>
      <c r="J503" s="1" t="n">
        <v>10.7</v>
      </c>
      <c r="K503" s="1" t="n">
        <v>91.4</v>
      </c>
      <c r="L503" s="1" t="n">
        <v>0</v>
      </c>
      <c r="M503" s="1" t="n">
        <v>0</v>
      </c>
      <c r="N503" s="1" t="s">
        <v>339</v>
      </c>
      <c r="Z503" s="0" t="n">
        <f aca="false">I503-35</f>
        <v>150.4</v>
      </c>
      <c r="AB503" s="0" t="n">
        <f aca="false">IF(Z503&lt;0,Z503+360,Z503+0)</f>
        <v>150.4</v>
      </c>
    </row>
    <row r="504" customFormat="false" ht="15.8" hidden="false" customHeight="false" outlineLevel="0" collapsed="false">
      <c r="A504" s="1" t="n">
        <v>13</v>
      </c>
      <c r="B504" s="1" t="n">
        <v>10</v>
      </c>
      <c r="C504" s="1" t="n">
        <v>1.4</v>
      </c>
      <c r="D504" s="1" t="n">
        <v>1.4978</v>
      </c>
      <c r="E504" s="1" t="n">
        <v>0.0482156</v>
      </c>
      <c r="F504" s="1" t="n">
        <v>0.000131558</v>
      </c>
      <c r="G504" s="1" t="s">
        <v>27</v>
      </c>
      <c r="H504" s="1" t="n">
        <v>133.5</v>
      </c>
      <c r="I504" s="1" t="n">
        <v>125.5</v>
      </c>
      <c r="J504" s="1" t="n">
        <v>0</v>
      </c>
      <c r="K504" s="1"/>
      <c r="L504" s="1" t="n">
        <v>0</v>
      </c>
      <c r="M504" s="1" t="n">
        <v>0</v>
      </c>
      <c r="N504" s="1" t="s">
        <v>340</v>
      </c>
      <c r="Z504" s="0" t="n">
        <f aca="false">I504-35</f>
        <v>90.5</v>
      </c>
      <c r="AB504" s="0" t="n">
        <f aca="false">IF(Z504&lt;0,Z504+360,Z504+0)</f>
        <v>90.5</v>
      </c>
    </row>
    <row r="505" customFormat="false" ht="15.8" hidden="false" customHeight="false" outlineLevel="0" collapsed="false">
      <c r="A505" s="1" t="n">
        <v>13</v>
      </c>
      <c r="B505" s="1" t="n">
        <v>11</v>
      </c>
      <c r="C505" s="1" t="n">
        <v>1.4</v>
      </c>
      <c r="D505" s="1" t="n">
        <v>1.165</v>
      </c>
      <c r="E505" s="1" t="n">
        <v>0.0475477</v>
      </c>
      <c r="F505" s="1" t="n">
        <v>0.000129736</v>
      </c>
      <c r="G505" s="1" t="s">
        <v>27</v>
      </c>
      <c r="H505" s="1" t="n">
        <v>36.3</v>
      </c>
      <c r="I505" s="1" t="n">
        <v>346.8</v>
      </c>
      <c r="J505" s="1" t="n">
        <v>16.1</v>
      </c>
      <c r="K505" s="1"/>
      <c r="L505" s="1" t="n">
        <v>0</v>
      </c>
      <c r="M505" s="1" t="n">
        <v>0</v>
      </c>
      <c r="N505" s="1" t="s">
        <v>341</v>
      </c>
      <c r="Z505" s="0" t="n">
        <f aca="false">I505-35</f>
        <v>311.8</v>
      </c>
      <c r="AB505" s="0" t="n">
        <f aca="false">IF(Z505&lt;0,Z505+360,Z505+0)</f>
        <v>311.8</v>
      </c>
    </row>
    <row r="506" customFormat="false" ht="15.8" hidden="false" customHeight="false" outlineLevel="0" collapsed="false">
      <c r="A506" s="1" t="n">
        <v>13</v>
      </c>
      <c r="B506" s="1" t="n">
        <v>11</v>
      </c>
      <c r="C506" s="1" t="n">
        <v>12.3</v>
      </c>
      <c r="D506" s="1" t="n">
        <v>1.1697</v>
      </c>
      <c r="E506" s="1" t="n">
        <v>0.420865</v>
      </c>
      <c r="F506" s="1" t="n">
        <v>0.00114835</v>
      </c>
      <c r="G506" s="1" t="s">
        <v>27</v>
      </c>
      <c r="H506" s="1" t="n">
        <v>2.9</v>
      </c>
      <c r="I506" s="1" t="n">
        <v>6.2</v>
      </c>
      <c r="J506" s="1" t="n">
        <v>-12.7</v>
      </c>
      <c r="K506" s="1"/>
      <c r="L506" s="1" t="n">
        <v>0</v>
      </c>
      <c r="M506" s="1" t="n">
        <v>0</v>
      </c>
      <c r="N506" s="1" t="s">
        <v>341</v>
      </c>
      <c r="Z506" s="0" t="n">
        <f aca="false">I506-35</f>
        <v>-28.8</v>
      </c>
      <c r="AB506" s="0" t="n">
        <f aca="false">IF(Z506&lt;0,Z506+360,Z506+0)</f>
        <v>331.2</v>
      </c>
    </row>
    <row r="507" customFormat="false" ht="15.8" hidden="false" customHeight="false" outlineLevel="0" collapsed="false">
      <c r="A507" s="1" t="n">
        <v>13</v>
      </c>
      <c r="B507" s="1" t="n">
        <v>10</v>
      </c>
      <c r="C507" s="1" t="n">
        <v>4.3</v>
      </c>
      <c r="D507" s="1" t="n">
        <v>1.163</v>
      </c>
      <c r="E507" s="1" t="n">
        <v>0.148651</v>
      </c>
      <c r="F507" s="1" t="n">
        <v>0.0004056</v>
      </c>
      <c r="G507" s="1" t="s">
        <v>59</v>
      </c>
      <c r="H507" s="1" t="n">
        <v>14.4</v>
      </c>
      <c r="I507" s="1" t="n">
        <v>5.1</v>
      </c>
      <c r="J507" s="1" t="n">
        <v>-15.4</v>
      </c>
      <c r="K507" s="1" t="n">
        <v>36.3</v>
      </c>
      <c r="L507" s="1" t="n">
        <v>0</v>
      </c>
      <c r="M507" s="1" t="n">
        <v>0</v>
      </c>
      <c r="N507" s="1" t="s">
        <v>340</v>
      </c>
      <c r="Z507" s="0" t="n">
        <f aca="false">I507-35</f>
        <v>-29.9</v>
      </c>
      <c r="AB507" s="0" t="n">
        <f aca="false">IF(Z507&lt;0,Z507+360,Z507+0)</f>
        <v>330.1</v>
      </c>
    </row>
    <row r="508" customFormat="false" ht="15.8" hidden="false" customHeight="false" outlineLevel="0" collapsed="false">
      <c r="A508" s="1" t="n">
        <v>13</v>
      </c>
      <c r="B508" s="1" t="n">
        <v>9</v>
      </c>
      <c r="C508" s="1" t="n">
        <v>6.6</v>
      </c>
      <c r="D508" s="1" t="n">
        <v>1.2711</v>
      </c>
      <c r="E508" s="1" t="n">
        <v>0.227977</v>
      </c>
      <c r="F508" s="1" t="n">
        <v>0.000622044</v>
      </c>
      <c r="G508" s="1" t="s">
        <v>59</v>
      </c>
      <c r="H508" s="1" t="n">
        <v>32.2</v>
      </c>
      <c r="I508" s="1" t="n">
        <v>350.2</v>
      </c>
      <c r="J508" s="1" t="n">
        <v>-14.6</v>
      </c>
      <c r="K508" s="1" t="n">
        <v>133.5</v>
      </c>
      <c r="L508" s="1" t="n">
        <v>0</v>
      </c>
      <c r="M508" s="1" t="n">
        <v>0</v>
      </c>
      <c r="N508" s="1" t="s">
        <v>342</v>
      </c>
      <c r="Z508" s="0" t="n">
        <f aca="false">I508-35</f>
        <v>315.2</v>
      </c>
      <c r="AB508" s="0" t="n">
        <f aca="false">IF(Z508&lt;0,Z508+360,Z508+0)</f>
        <v>315.2</v>
      </c>
    </row>
    <row r="509" customFormat="false" ht="15.8" hidden="false" customHeight="false" outlineLevel="0" collapsed="false">
      <c r="A509" s="1" t="n">
        <v>13</v>
      </c>
      <c r="B509" s="1" t="n">
        <v>9</v>
      </c>
      <c r="C509" s="1" t="n">
        <v>8.1</v>
      </c>
      <c r="D509" s="1" t="n">
        <v>1.1615</v>
      </c>
      <c r="E509" s="1" t="n">
        <v>0.27849</v>
      </c>
      <c r="F509" s="1" t="n">
        <v>0.00075987</v>
      </c>
      <c r="G509" s="1" t="s">
        <v>27</v>
      </c>
      <c r="H509" s="1" t="n">
        <v>114.5</v>
      </c>
      <c r="I509" s="1" t="n">
        <v>206.7</v>
      </c>
      <c r="J509" s="1" t="n">
        <v>2.7</v>
      </c>
      <c r="K509" s="1"/>
      <c r="L509" s="1" t="n">
        <v>0</v>
      </c>
      <c r="M509" s="1" t="n">
        <v>0</v>
      </c>
      <c r="N509" s="1" t="s">
        <v>342</v>
      </c>
      <c r="Z509" s="0" t="n">
        <f aca="false">I509-35</f>
        <v>171.7</v>
      </c>
      <c r="AB509" s="0" t="n">
        <f aca="false">IF(Z509&lt;0,Z509+360,Z509+0)</f>
        <v>171.7</v>
      </c>
    </row>
    <row r="510" customFormat="false" ht="15.8" hidden="false" customHeight="false" outlineLevel="0" collapsed="false">
      <c r="A510" s="1" t="n">
        <v>13</v>
      </c>
      <c r="B510" s="1" t="n">
        <v>10</v>
      </c>
      <c r="C510" s="1" t="n">
        <v>1.1</v>
      </c>
      <c r="D510" s="1" t="n">
        <v>1.0899</v>
      </c>
      <c r="E510" s="1" t="n">
        <v>0.0388237</v>
      </c>
      <c r="F510" s="1" t="n">
        <v>0.000105932</v>
      </c>
      <c r="G510" s="1" t="s">
        <v>27</v>
      </c>
      <c r="H510" s="1" t="n">
        <v>14.7</v>
      </c>
      <c r="I510" s="1" t="n">
        <v>356.4</v>
      </c>
      <c r="J510" s="1" t="n">
        <v>0</v>
      </c>
      <c r="K510" s="1"/>
      <c r="L510" s="1" t="n">
        <v>0</v>
      </c>
      <c r="M510" s="1" t="n">
        <v>0</v>
      </c>
      <c r="N510" s="1" t="s">
        <v>343</v>
      </c>
      <c r="Z510" s="0" t="n">
        <f aca="false">I510-35</f>
        <v>321.4</v>
      </c>
      <c r="AB510" s="0" t="n">
        <f aca="false">IF(Z510&lt;0,Z510+360,Z510+0)</f>
        <v>321.4</v>
      </c>
    </row>
    <row r="511" customFormat="false" ht="15.8" hidden="false" customHeight="false" outlineLevel="0" collapsed="false">
      <c r="A511" s="1" t="n">
        <v>13</v>
      </c>
      <c r="B511" s="1" t="n">
        <v>11</v>
      </c>
      <c r="C511" s="1" t="n">
        <v>1</v>
      </c>
      <c r="D511" s="1" t="n">
        <v>1.2378</v>
      </c>
      <c r="E511" s="1" t="n">
        <v>0.0351669</v>
      </c>
      <c r="F511" s="1" t="n">
        <v>9.59542E-005</v>
      </c>
      <c r="G511" s="1" t="s">
        <v>27</v>
      </c>
      <c r="H511" s="1" t="n">
        <v>40.6</v>
      </c>
      <c r="I511" s="1" t="n">
        <v>339</v>
      </c>
      <c r="J511" s="1" t="n">
        <v>23.5</v>
      </c>
      <c r="K511" s="1"/>
      <c r="L511" s="1" t="n">
        <v>0</v>
      </c>
      <c r="M511" s="1" t="n">
        <v>0</v>
      </c>
      <c r="N511" s="1" t="s">
        <v>344</v>
      </c>
      <c r="Z511" s="0" t="n">
        <f aca="false">I511-35</f>
        <v>304</v>
      </c>
      <c r="AB511" s="0" t="n">
        <f aca="false">IF(Z511&lt;0,Z511+360,Z511+0)</f>
        <v>304</v>
      </c>
    </row>
    <row r="512" customFormat="false" ht="15.8" hidden="false" customHeight="false" outlineLevel="0" collapsed="false">
      <c r="A512" s="1" t="n">
        <v>13</v>
      </c>
      <c r="B512" s="1" t="n">
        <v>13</v>
      </c>
      <c r="C512" s="1" t="n">
        <v>0.6</v>
      </c>
      <c r="D512" s="1" t="n">
        <v>1.1735</v>
      </c>
      <c r="E512" s="1" t="n">
        <v>0.0220068</v>
      </c>
      <c r="F512" s="1" t="n">
        <v>6.00463E-005</v>
      </c>
      <c r="G512" s="1" t="s">
        <v>27</v>
      </c>
      <c r="H512" s="1" t="n">
        <v>102</v>
      </c>
      <c r="I512" s="1" t="n">
        <v>301.7</v>
      </c>
      <c r="J512" s="1" t="n">
        <v>37.1</v>
      </c>
      <c r="K512" s="1"/>
      <c r="L512" s="1" t="n">
        <v>0</v>
      </c>
      <c r="M512" s="1" t="n">
        <v>0</v>
      </c>
      <c r="N512" s="1" t="s">
        <v>345</v>
      </c>
      <c r="Z512" s="0" t="n">
        <f aca="false">I512-35</f>
        <v>266.7</v>
      </c>
      <c r="AB512" s="0" t="n">
        <f aca="false">IF(Z512&lt;0,Z512+360,Z512+0)</f>
        <v>266.7</v>
      </c>
    </row>
    <row r="513" customFormat="false" ht="15.8" hidden="false" customHeight="false" outlineLevel="0" collapsed="false">
      <c r="A513" s="1" t="n">
        <v>13</v>
      </c>
      <c r="B513" s="1" t="n">
        <v>15</v>
      </c>
      <c r="C513" s="1" t="n">
        <v>0.8</v>
      </c>
      <c r="D513" s="1" t="n">
        <v>1.2048</v>
      </c>
      <c r="E513" s="1" t="n">
        <v>0.0258302</v>
      </c>
      <c r="F513" s="1" t="n">
        <v>7.04786E-005</v>
      </c>
      <c r="G513" s="1" t="s">
        <v>27</v>
      </c>
      <c r="H513" s="1" t="n">
        <v>79.6</v>
      </c>
      <c r="I513" s="1" t="n">
        <v>260.5</v>
      </c>
      <c r="J513" s="1" t="n">
        <v>31.9</v>
      </c>
      <c r="K513" s="1"/>
      <c r="L513" s="1" t="n">
        <v>0</v>
      </c>
      <c r="M513" s="1" t="n">
        <v>0</v>
      </c>
      <c r="N513" s="1" t="s">
        <v>346</v>
      </c>
      <c r="Z513" s="0" t="n">
        <f aca="false">I513-35</f>
        <v>225.5</v>
      </c>
      <c r="AB513" s="0" t="n">
        <f aca="false">IF(Z513&lt;0,Z513+360,Z513+0)</f>
        <v>225.5</v>
      </c>
    </row>
    <row r="514" customFormat="false" ht="15.8" hidden="false" customHeight="false" outlineLevel="0" collapsed="false">
      <c r="A514" s="1" t="n">
        <v>13</v>
      </c>
      <c r="B514" s="1" t="n">
        <v>15</v>
      </c>
      <c r="C514" s="1" t="n">
        <v>2.1</v>
      </c>
      <c r="D514" s="1" t="n">
        <v>1.0411</v>
      </c>
      <c r="E514" s="1" t="n">
        <v>0.0723485</v>
      </c>
      <c r="F514" s="1" t="n">
        <v>0.000197405</v>
      </c>
      <c r="G514" s="1" t="s">
        <v>27</v>
      </c>
      <c r="H514" s="1" t="n">
        <v>6.7</v>
      </c>
      <c r="I514" s="1" t="n">
        <v>175.1</v>
      </c>
      <c r="J514" s="1" t="n">
        <v>0</v>
      </c>
      <c r="K514" s="1"/>
      <c r="L514" s="1" t="n">
        <v>0</v>
      </c>
      <c r="M514" s="1" t="n">
        <v>0</v>
      </c>
      <c r="N514" s="1" t="s">
        <v>346</v>
      </c>
      <c r="Z514" s="0" t="n">
        <f aca="false">I514-35</f>
        <v>140.1</v>
      </c>
      <c r="AB514" s="0" t="n">
        <f aca="false">IF(Z514&lt;0,Z514+360,Z514+0)</f>
        <v>140.1</v>
      </c>
    </row>
    <row r="515" customFormat="false" ht="15.8" hidden="false" customHeight="false" outlineLevel="0" collapsed="false">
      <c r="A515" s="1" t="n">
        <v>13</v>
      </c>
      <c r="B515" s="1" t="n">
        <v>14</v>
      </c>
      <c r="C515" s="1" t="n">
        <v>5.6</v>
      </c>
      <c r="D515" s="1" t="n">
        <v>1.2832</v>
      </c>
      <c r="E515" s="1" t="n">
        <v>0.193111</v>
      </c>
      <c r="F515" s="1" t="n">
        <v>0.000526909</v>
      </c>
      <c r="G515" s="1" t="s">
        <v>59</v>
      </c>
      <c r="H515" s="1" t="n">
        <v>14</v>
      </c>
      <c r="I515" s="1" t="n">
        <v>180.1</v>
      </c>
      <c r="J515" s="1" t="n">
        <v>4.3</v>
      </c>
      <c r="K515" s="1" t="n">
        <v>79.6</v>
      </c>
      <c r="L515" s="1" t="n">
        <v>0</v>
      </c>
      <c r="M515" s="1" t="n">
        <v>0</v>
      </c>
      <c r="N515" s="1" t="s">
        <v>347</v>
      </c>
      <c r="Z515" s="0" t="n">
        <f aca="false">I515-35</f>
        <v>145.1</v>
      </c>
      <c r="AB515" s="0" t="n">
        <f aca="false">IF(Z515&lt;0,Z515+360,Z515+0)</f>
        <v>145.1</v>
      </c>
    </row>
    <row r="516" customFormat="false" ht="15.8" hidden="false" customHeight="false" outlineLevel="0" collapsed="false">
      <c r="A516" s="1" t="n">
        <v>13</v>
      </c>
      <c r="B516" s="1" t="n">
        <v>15</v>
      </c>
      <c r="C516" s="1" t="n">
        <v>1.2</v>
      </c>
      <c r="D516" s="1" t="n">
        <v>1.0163</v>
      </c>
      <c r="E516" s="1" t="n">
        <v>0.0425992</v>
      </c>
      <c r="F516" s="1" t="n">
        <v>0.000116233</v>
      </c>
      <c r="G516" s="1" t="s">
        <v>27</v>
      </c>
      <c r="H516" s="1" t="n">
        <v>146.2</v>
      </c>
      <c r="I516" s="1" t="n">
        <v>0.5</v>
      </c>
      <c r="J516" s="1" t="n">
        <v>0</v>
      </c>
      <c r="K516" s="1"/>
      <c r="L516" s="1" t="n">
        <v>0</v>
      </c>
      <c r="M516" s="1" t="n">
        <v>0</v>
      </c>
      <c r="N516" s="1" t="s">
        <v>348</v>
      </c>
      <c r="Z516" s="0" t="n">
        <f aca="false">I516-35</f>
        <v>-34.5</v>
      </c>
      <c r="AB516" s="0" t="n">
        <f aca="false">IF(Z516&lt;0,Z516+360,Z516+0)</f>
        <v>325.5</v>
      </c>
    </row>
    <row r="517" customFormat="false" ht="15.8" hidden="false" customHeight="false" outlineLevel="0" collapsed="false">
      <c r="A517" s="1" t="n">
        <v>13</v>
      </c>
      <c r="B517" s="1" t="n">
        <v>16</v>
      </c>
      <c r="C517" s="1" t="n">
        <v>0.9</v>
      </c>
      <c r="D517" s="1" t="n">
        <v>1.0362</v>
      </c>
      <c r="E517" s="1" t="n">
        <v>0.0304048</v>
      </c>
      <c r="F517" s="1" t="n">
        <v>8.29606E-005</v>
      </c>
      <c r="G517" s="1" t="s">
        <v>27</v>
      </c>
      <c r="H517" s="1" t="n">
        <v>51.6</v>
      </c>
      <c r="I517" s="1" t="n">
        <v>142.3</v>
      </c>
      <c r="J517" s="1" t="n">
        <v>0</v>
      </c>
      <c r="K517" s="1"/>
      <c r="L517" s="1" t="n">
        <v>0</v>
      </c>
      <c r="M517" s="1" t="n">
        <v>0</v>
      </c>
      <c r="N517" s="1" t="s">
        <v>349</v>
      </c>
      <c r="Z517" s="0" t="n">
        <f aca="false">I517-35</f>
        <v>107.3</v>
      </c>
      <c r="AB517" s="0" t="n">
        <f aca="false">IF(Z517&lt;0,Z517+360,Z517+0)</f>
        <v>107.3</v>
      </c>
    </row>
    <row r="518" customFormat="false" ht="15.8" hidden="false" customHeight="false" outlineLevel="0" collapsed="false">
      <c r="A518" s="1" t="n">
        <v>13</v>
      </c>
      <c r="B518" s="1" t="n">
        <v>17</v>
      </c>
      <c r="C518" s="1" t="n">
        <v>1.3</v>
      </c>
      <c r="D518" s="1" t="n">
        <v>1.0272</v>
      </c>
      <c r="E518" s="1" t="n">
        <v>0.0443079</v>
      </c>
      <c r="F518" s="1" t="n">
        <v>0.000120896</v>
      </c>
      <c r="G518" s="1" t="s">
        <v>27</v>
      </c>
      <c r="H518" s="1" t="n">
        <v>129.6</v>
      </c>
      <c r="I518" s="1" t="n">
        <v>314.6</v>
      </c>
      <c r="J518" s="1" t="n">
        <v>0</v>
      </c>
      <c r="K518" s="1"/>
      <c r="L518" s="1" t="n">
        <v>0</v>
      </c>
      <c r="M518" s="1" t="n">
        <v>0</v>
      </c>
      <c r="N518" s="1" t="s">
        <v>350</v>
      </c>
      <c r="Z518" s="0" t="n">
        <f aca="false">I518-35</f>
        <v>279.6</v>
      </c>
      <c r="AB518" s="0" t="n">
        <f aca="false">IF(Z518&lt;0,Z518+360,Z518+0)</f>
        <v>279.6</v>
      </c>
    </row>
    <row r="519" customFormat="false" ht="15.8" hidden="false" customHeight="false" outlineLevel="0" collapsed="false">
      <c r="A519" s="1" t="n">
        <v>13</v>
      </c>
      <c r="B519" s="1" t="n">
        <v>18</v>
      </c>
      <c r="C519" s="1" t="n">
        <v>0.8</v>
      </c>
      <c r="D519" s="1" t="n">
        <v>1.0047</v>
      </c>
      <c r="E519" s="1" t="n">
        <v>0.0257276</v>
      </c>
      <c r="F519" s="1" t="n">
        <v>7.01985E-005</v>
      </c>
      <c r="G519" s="1" t="s">
        <v>27</v>
      </c>
      <c r="H519" s="1" t="n">
        <v>116.9</v>
      </c>
      <c r="I519" s="1" t="n">
        <v>63.1</v>
      </c>
      <c r="J519" s="1" t="n">
        <v>0</v>
      </c>
      <c r="K519" s="1"/>
      <c r="L519" s="1" t="n">
        <v>0</v>
      </c>
      <c r="M519" s="1" t="n">
        <v>0</v>
      </c>
      <c r="N519" s="1" t="s">
        <v>351</v>
      </c>
      <c r="Z519" s="0" t="n">
        <f aca="false">I519-35</f>
        <v>28.1</v>
      </c>
      <c r="AB519" s="0" t="n">
        <f aca="false">IF(Z519&lt;0,Z519+360,Z519+0)</f>
        <v>28.1</v>
      </c>
    </row>
    <row r="520" customFormat="false" ht="15.8" hidden="false" customHeight="false" outlineLevel="0" collapsed="false">
      <c r="A520" s="1" t="n">
        <v>13</v>
      </c>
      <c r="B520" s="1" t="n">
        <v>18</v>
      </c>
      <c r="C520" s="1" t="n">
        <v>2.6</v>
      </c>
      <c r="D520" s="1" t="n">
        <v>1.2992</v>
      </c>
      <c r="E520" s="1" t="n">
        <v>0.0888931</v>
      </c>
      <c r="F520" s="1" t="n">
        <v>0.000242548</v>
      </c>
      <c r="G520" s="1" t="s">
        <v>27</v>
      </c>
      <c r="H520" s="1" t="n">
        <v>33.8</v>
      </c>
      <c r="I520" s="1" t="n">
        <v>212.5</v>
      </c>
      <c r="J520" s="1" t="n">
        <v>9.5</v>
      </c>
      <c r="K520" s="1"/>
      <c r="L520" s="1" t="n">
        <v>0</v>
      </c>
      <c r="M520" s="1" t="n">
        <v>0</v>
      </c>
      <c r="N520" s="1" t="s">
        <v>351</v>
      </c>
      <c r="Z520" s="0" t="n">
        <f aca="false">I520-35</f>
        <v>177.5</v>
      </c>
      <c r="AB520" s="0" t="n">
        <f aca="false">IF(Z520&lt;0,Z520+360,Z520+0)</f>
        <v>177.5</v>
      </c>
    </row>
    <row r="521" customFormat="false" ht="15.8" hidden="false" customHeight="false" outlineLevel="0" collapsed="false">
      <c r="A521" s="1" t="n">
        <v>13</v>
      </c>
      <c r="B521" s="1" t="n">
        <v>17</v>
      </c>
      <c r="C521" s="1" t="n">
        <v>0.9</v>
      </c>
      <c r="D521" s="1" t="n">
        <v>1.0266</v>
      </c>
      <c r="E521" s="1" t="n">
        <v>0.0307329</v>
      </c>
      <c r="F521" s="1" t="n">
        <v>8.38558E-005</v>
      </c>
      <c r="G521" s="1" t="s">
        <v>59</v>
      </c>
      <c r="H521" s="1" t="n">
        <v>6.7</v>
      </c>
      <c r="I521" s="1" t="n">
        <v>180</v>
      </c>
      <c r="J521" s="1" t="n">
        <v>0</v>
      </c>
      <c r="K521" s="1" t="n">
        <v>116.9</v>
      </c>
      <c r="L521" s="1" t="n">
        <v>0</v>
      </c>
      <c r="M521" s="1" t="n">
        <v>0</v>
      </c>
      <c r="N521" s="1" t="s">
        <v>350</v>
      </c>
      <c r="Z521" s="0" t="n">
        <f aca="false">I521-35</f>
        <v>145</v>
      </c>
      <c r="AB521" s="0" t="n">
        <f aca="false">IF(Z521&lt;0,Z521+360,Z521+0)</f>
        <v>145</v>
      </c>
    </row>
    <row r="522" customFormat="false" ht="15.8" hidden="false" customHeight="false" outlineLevel="0" collapsed="false">
      <c r="A522" s="1" t="n">
        <v>13</v>
      </c>
      <c r="B522" s="1" t="n">
        <v>16</v>
      </c>
      <c r="C522" s="1" t="n">
        <v>5.5</v>
      </c>
      <c r="D522" s="1" t="n">
        <v>1.3151</v>
      </c>
      <c r="E522" s="1" t="n">
        <v>0.188792</v>
      </c>
      <c r="F522" s="1" t="n">
        <v>0.000515126</v>
      </c>
      <c r="G522" s="1" t="s">
        <v>59</v>
      </c>
      <c r="H522" s="1" t="n">
        <v>9.9</v>
      </c>
      <c r="I522" s="1" t="n">
        <v>185</v>
      </c>
      <c r="J522" s="1" t="n">
        <v>4.5</v>
      </c>
      <c r="K522" s="1" t="n">
        <v>129.6</v>
      </c>
      <c r="L522" s="1" t="n">
        <v>0</v>
      </c>
      <c r="M522" s="1" t="n">
        <v>0</v>
      </c>
      <c r="N522" s="1" t="s">
        <v>349</v>
      </c>
      <c r="Z522" s="0" t="n">
        <f aca="false">I522-35</f>
        <v>150</v>
      </c>
      <c r="AB522" s="0" t="n">
        <f aca="false">IF(Z522&lt;0,Z522+360,Z522+0)</f>
        <v>150</v>
      </c>
    </row>
    <row r="523" customFormat="false" ht="15.8" hidden="false" customHeight="false" outlineLevel="0" collapsed="false">
      <c r="A523" s="1" t="n">
        <v>13</v>
      </c>
      <c r="B523" s="1" t="n">
        <v>15</v>
      </c>
      <c r="C523" s="1" t="n">
        <v>1.4</v>
      </c>
      <c r="D523" s="1" t="n">
        <v>1.0278</v>
      </c>
      <c r="E523" s="1" t="n">
        <v>0.048322</v>
      </c>
      <c r="F523" s="1" t="n">
        <v>0.000131848</v>
      </c>
      <c r="G523" s="1" t="s">
        <v>59</v>
      </c>
      <c r="H523" s="1" t="n">
        <v>23.3</v>
      </c>
      <c r="I523" s="1" t="n">
        <v>193.8</v>
      </c>
      <c r="J523" s="1" t="n">
        <v>0</v>
      </c>
      <c r="K523" s="1" t="n">
        <v>51.6</v>
      </c>
      <c r="L523" s="1" t="n">
        <v>0</v>
      </c>
      <c r="M523" s="1" t="n">
        <v>0</v>
      </c>
      <c r="N523" s="1" t="s">
        <v>348</v>
      </c>
      <c r="Z523" s="0" t="n">
        <f aca="false">I523-35</f>
        <v>158.8</v>
      </c>
      <c r="AB523" s="0" t="n">
        <f aca="false">IF(Z523&lt;0,Z523+360,Z523+0)</f>
        <v>158.8</v>
      </c>
    </row>
    <row r="524" customFormat="false" ht="15.8" hidden="false" customHeight="false" outlineLevel="0" collapsed="false">
      <c r="A524" s="1" t="n">
        <v>13</v>
      </c>
      <c r="B524" s="1" t="n">
        <v>14</v>
      </c>
      <c r="C524" s="1" t="n">
        <v>2.7</v>
      </c>
      <c r="D524" s="1" t="n">
        <v>1.1613</v>
      </c>
      <c r="E524" s="1" t="n">
        <v>0.0915075</v>
      </c>
      <c r="F524" s="1" t="n">
        <v>0.000249681</v>
      </c>
      <c r="G524" s="1" t="s">
        <v>59</v>
      </c>
      <c r="H524" s="1" t="n">
        <v>46.1</v>
      </c>
      <c r="I524" s="1" t="n">
        <v>210.4</v>
      </c>
      <c r="J524" s="1" t="n">
        <v>16.7</v>
      </c>
      <c r="K524" s="1" t="n">
        <v>146.2</v>
      </c>
      <c r="L524" s="1" t="n">
        <v>0</v>
      </c>
      <c r="M524" s="1" t="n">
        <v>0</v>
      </c>
      <c r="N524" s="1" t="s">
        <v>347</v>
      </c>
      <c r="Z524" s="0" t="n">
        <f aca="false">I524-35</f>
        <v>175.4</v>
      </c>
      <c r="AB524" s="0" t="n">
        <f aca="false">IF(Z524&lt;0,Z524+360,Z524+0)</f>
        <v>175.4</v>
      </c>
    </row>
    <row r="525" customFormat="false" ht="15.8" hidden="false" customHeight="false" outlineLevel="0" collapsed="false">
      <c r="A525" s="1" t="n">
        <v>13</v>
      </c>
      <c r="B525" s="1" t="n">
        <v>13</v>
      </c>
      <c r="C525" s="1" t="n">
        <v>1.5</v>
      </c>
      <c r="D525" s="1" t="n">
        <v>1.0127</v>
      </c>
      <c r="E525" s="1" t="n">
        <v>0.0498255</v>
      </c>
      <c r="F525" s="1" t="n">
        <v>0.00013595</v>
      </c>
      <c r="G525" s="1" t="s">
        <v>59</v>
      </c>
      <c r="H525" s="1" t="n">
        <v>22.3</v>
      </c>
      <c r="I525" s="1" t="n">
        <v>166.8</v>
      </c>
      <c r="J525" s="1" t="n">
        <v>0</v>
      </c>
      <c r="K525" s="1" t="n">
        <v>46.1</v>
      </c>
      <c r="L525" s="1" t="n">
        <v>0</v>
      </c>
      <c r="M525" s="1" t="n">
        <v>0</v>
      </c>
      <c r="N525" s="1" t="s">
        <v>345</v>
      </c>
      <c r="Z525" s="0" t="n">
        <f aca="false">I525-35</f>
        <v>131.8</v>
      </c>
      <c r="AB525" s="0" t="n">
        <f aca="false">IF(Z525&lt;0,Z525+360,Z525+0)</f>
        <v>131.8</v>
      </c>
    </row>
    <row r="526" customFormat="false" ht="15.8" hidden="false" customHeight="false" outlineLevel="0" collapsed="false">
      <c r="A526" s="1" t="n">
        <v>13</v>
      </c>
      <c r="B526" s="1" t="n">
        <v>12</v>
      </c>
      <c r="C526" s="1" t="n">
        <v>8.4</v>
      </c>
      <c r="D526" s="1" t="n">
        <v>1.3156</v>
      </c>
      <c r="E526" s="1" t="n">
        <v>0.286544</v>
      </c>
      <c r="F526" s="1" t="n">
        <v>0.000781844</v>
      </c>
      <c r="G526" s="1" t="s">
        <v>59</v>
      </c>
      <c r="H526" s="1" t="n">
        <v>160.6</v>
      </c>
      <c r="I526" s="1" t="n">
        <v>183.5</v>
      </c>
      <c r="J526" s="1" t="n">
        <v>15.1</v>
      </c>
      <c r="K526" s="1" t="n">
        <v>102</v>
      </c>
      <c r="L526" s="1" t="n">
        <v>0</v>
      </c>
      <c r="M526" s="1" t="n">
        <v>0</v>
      </c>
      <c r="N526" s="1" t="s">
        <v>352</v>
      </c>
      <c r="Z526" s="0" t="n">
        <f aca="false">I526-35</f>
        <v>148.5</v>
      </c>
      <c r="AB526" s="0" t="n">
        <f aca="false">IF(Z526&lt;0,Z526+360,Z526+0)</f>
        <v>148.5</v>
      </c>
    </row>
    <row r="527" customFormat="false" ht="15.8" hidden="false" customHeight="false" outlineLevel="0" collapsed="false">
      <c r="A527" s="1" t="n">
        <v>13</v>
      </c>
      <c r="B527" s="1" t="n">
        <v>13</v>
      </c>
      <c r="C527" s="1" t="n">
        <v>1.3</v>
      </c>
      <c r="D527" s="1" t="n">
        <v>1.1204</v>
      </c>
      <c r="E527" s="1" t="n">
        <v>0.0442824</v>
      </c>
      <c r="F527" s="1" t="n">
        <v>0.000120826</v>
      </c>
      <c r="G527" s="1" t="s">
        <v>27</v>
      </c>
      <c r="H527" s="1" t="n">
        <v>60.1</v>
      </c>
      <c r="I527" s="1" t="n">
        <v>288.4</v>
      </c>
      <c r="J527" s="1" t="n">
        <v>16.6</v>
      </c>
      <c r="K527" s="1"/>
      <c r="L527" s="1" t="n">
        <v>0</v>
      </c>
      <c r="M527" s="1" t="n">
        <v>0</v>
      </c>
      <c r="N527" s="1" t="s">
        <v>353</v>
      </c>
      <c r="Z527" s="0" t="n">
        <f aca="false">I527-35</f>
        <v>253.4</v>
      </c>
      <c r="AB527" s="0" t="n">
        <f aca="false">IF(Z527&lt;0,Z527+360,Z527+0)</f>
        <v>253.4</v>
      </c>
    </row>
    <row r="528" customFormat="false" ht="15.8" hidden="false" customHeight="false" outlineLevel="0" collapsed="false">
      <c r="A528" s="1" t="n">
        <v>13</v>
      </c>
      <c r="B528" s="1" t="n">
        <v>14</v>
      </c>
      <c r="C528" s="1" t="n">
        <v>2.8</v>
      </c>
      <c r="D528" s="1" t="n">
        <v>1.3821</v>
      </c>
      <c r="E528" s="1" t="n">
        <v>0.0972401</v>
      </c>
      <c r="F528" s="1" t="n">
        <v>0.000265323</v>
      </c>
      <c r="G528" s="1" t="s">
        <v>27</v>
      </c>
      <c r="H528" s="1" t="n">
        <v>39</v>
      </c>
      <c r="I528" s="1" t="n">
        <v>6.1</v>
      </c>
      <c r="J528" s="1" t="n">
        <v>18.8</v>
      </c>
      <c r="K528" s="1"/>
      <c r="L528" s="1" t="n">
        <v>0</v>
      </c>
      <c r="M528" s="1" t="n">
        <v>0</v>
      </c>
      <c r="N528" s="1" t="s">
        <v>354</v>
      </c>
      <c r="Z528" s="0" t="n">
        <f aca="false">I528-35</f>
        <v>-28.9</v>
      </c>
      <c r="AB528" s="0" t="n">
        <f aca="false">IF(Z528&lt;0,Z528+360,Z528+0)</f>
        <v>331.1</v>
      </c>
    </row>
    <row r="529" customFormat="false" ht="15.8" hidden="false" customHeight="false" outlineLevel="0" collapsed="false">
      <c r="A529" s="1" t="n">
        <v>13</v>
      </c>
      <c r="B529" s="1" t="n">
        <v>15</v>
      </c>
      <c r="C529" s="1" t="n">
        <v>3.1</v>
      </c>
      <c r="D529" s="1" t="n">
        <v>1.2169</v>
      </c>
      <c r="E529" s="1" t="n">
        <v>0.105734</v>
      </c>
      <c r="F529" s="1" t="n">
        <v>0.000288499</v>
      </c>
      <c r="G529" s="1" t="s">
        <v>27</v>
      </c>
      <c r="H529" s="1" t="n">
        <v>161</v>
      </c>
      <c r="I529" s="1" t="n">
        <v>195.5</v>
      </c>
      <c r="J529" s="1" t="n">
        <v>15.1</v>
      </c>
      <c r="K529" s="1"/>
      <c r="L529" s="1" t="n">
        <v>0</v>
      </c>
      <c r="M529" s="1" t="n">
        <v>0</v>
      </c>
      <c r="N529" s="1" t="s">
        <v>355</v>
      </c>
      <c r="Z529" s="0" t="n">
        <f aca="false">I529-35</f>
        <v>160.5</v>
      </c>
      <c r="AB529" s="0" t="n">
        <f aca="false">IF(Z529&lt;0,Z529+360,Z529+0)</f>
        <v>160.5</v>
      </c>
    </row>
    <row r="530" customFormat="false" ht="15.8" hidden="false" customHeight="false" outlineLevel="0" collapsed="false">
      <c r="A530" s="1" t="n">
        <v>13</v>
      </c>
      <c r="B530" s="1" t="n">
        <v>15</v>
      </c>
      <c r="C530" s="1" t="n">
        <v>9.8</v>
      </c>
      <c r="D530" s="1" t="n">
        <v>1.1278</v>
      </c>
      <c r="E530" s="1" t="n">
        <v>0.336068</v>
      </c>
      <c r="F530" s="1" t="n">
        <v>0.000916974</v>
      </c>
      <c r="G530" s="1" t="s">
        <v>27</v>
      </c>
      <c r="H530" s="1" t="n">
        <v>15.9</v>
      </c>
      <c r="I530" s="1" t="n">
        <v>7.6</v>
      </c>
      <c r="J530" s="1" t="n">
        <v>-10.9</v>
      </c>
      <c r="K530" s="1"/>
      <c r="L530" s="1" t="n">
        <v>0</v>
      </c>
      <c r="M530" s="1" t="n">
        <v>0</v>
      </c>
      <c r="N530" s="1" t="s">
        <v>355</v>
      </c>
      <c r="Z530" s="0" t="n">
        <f aca="false">I530-35</f>
        <v>-27.4</v>
      </c>
      <c r="AB530" s="0" t="n">
        <f aca="false">IF(Z530&lt;0,Z530+360,Z530+0)</f>
        <v>332.6</v>
      </c>
    </row>
    <row r="531" customFormat="false" ht="15.8" hidden="false" customHeight="false" outlineLevel="0" collapsed="false">
      <c r="A531" s="1" t="n">
        <v>13</v>
      </c>
      <c r="B531" s="1" t="n">
        <v>14</v>
      </c>
      <c r="C531" s="1" t="n">
        <v>5.3</v>
      </c>
      <c r="D531" s="1" t="n">
        <v>1.0714</v>
      </c>
      <c r="E531" s="1" t="n">
        <v>0.181859</v>
      </c>
      <c r="F531" s="1" t="n">
        <v>0.00049621</v>
      </c>
      <c r="G531" s="1" t="s">
        <v>59</v>
      </c>
      <c r="H531" s="1" t="n">
        <v>28.9</v>
      </c>
      <c r="I531" s="1" t="n">
        <v>13.5</v>
      </c>
      <c r="J531" s="1" t="n">
        <v>3.8</v>
      </c>
      <c r="K531" s="1" t="n">
        <v>161</v>
      </c>
      <c r="L531" s="1" t="n">
        <v>0</v>
      </c>
      <c r="M531" s="1" t="n">
        <v>0</v>
      </c>
      <c r="N531" s="1" t="s">
        <v>354</v>
      </c>
      <c r="Z531" s="0" t="n">
        <f aca="false">I531-35</f>
        <v>-21.5</v>
      </c>
      <c r="AB531" s="0" t="n">
        <f aca="false">IF(Z531&lt;0,Z531+360,Z531+0)</f>
        <v>338.5</v>
      </c>
    </row>
    <row r="532" customFormat="false" ht="15.8" hidden="false" customHeight="false" outlineLevel="0" collapsed="false">
      <c r="A532" s="1" t="n">
        <v>13</v>
      </c>
      <c r="B532" s="1" t="n">
        <v>13</v>
      </c>
      <c r="C532" s="1" t="n">
        <v>2.3</v>
      </c>
      <c r="D532" s="1" t="n">
        <v>1.1201</v>
      </c>
      <c r="E532" s="1" t="n">
        <v>0.0790527</v>
      </c>
      <c r="F532" s="1" t="n">
        <v>0.000215698</v>
      </c>
      <c r="G532" s="1" t="s">
        <v>59</v>
      </c>
      <c r="H532" s="1" t="n">
        <v>20.3</v>
      </c>
      <c r="I532" s="1" t="n">
        <v>355.2</v>
      </c>
      <c r="J532" s="1" t="n">
        <v>-18.7</v>
      </c>
      <c r="K532" s="1" t="n">
        <v>39</v>
      </c>
      <c r="L532" s="1" t="n">
        <v>0</v>
      </c>
      <c r="M532" s="1" t="n">
        <v>0</v>
      </c>
      <c r="N532" s="1" t="s">
        <v>353</v>
      </c>
      <c r="Z532" s="0" t="n">
        <f aca="false">I532-35</f>
        <v>320.2</v>
      </c>
      <c r="AB532" s="0" t="n">
        <f aca="false">IF(Z532&lt;0,Z532+360,Z532+0)</f>
        <v>320.2</v>
      </c>
    </row>
    <row r="533" customFormat="false" ht="15.8" hidden="false" customHeight="false" outlineLevel="0" collapsed="false">
      <c r="A533" s="1" t="n">
        <v>13</v>
      </c>
      <c r="B533" s="1" t="n">
        <v>12</v>
      </c>
      <c r="C533" s="1" t="n">
        <v>0.6</v>
      </c>
      <c r="D533" s="1" t="n">
        <v>1.035</v>
      </c>
      <c r="E533" s="1" t="n">
        <v>0.0190727</v>
      </c>
      <c r="F533" s="1" t="n">
        <v>5.20405E-005</v>
      </c>
      <c r="G533" s="1" t="s">
        <v>59</v>
      </c>
      <c r="H533" s="1" t="n">
        <v>33.6</v>
      </c>
      <c r="I533" s="1" t="n">
        <v>347.1</v>
      </c>
      <c r="J533" s="1" t="n">
        <v>0</v>
      </c>
      <c r="K533" s="1" t="n">
        <v>60.1</v>
      </c>
      <c r="L533" s="1" t="n">
        <v>0</v>
      </c>
      <c r="M533" s="1" t="n">
        <v>0</v>
      </c>
      <c r="N533" s="1" t="s">
        <v>352</v>
      </c>
      <c r="Z533" s="0" t="n">
        <f aca="false">I533-35</f>
        <v>312.1</v>
      </c>
      <c r="AB533" s="0" t="n">
        <f aca="false">IF(Z533&lt;0,Z533+360,Z533+0)</f>
        <v>312.1</v>
      </c>
    </row>
    <row r="534" customFormat="false" ht="15.8" hidden="false" customHeight="false" outlineLevel="0" collapsed="false">
      <c r="A534" s="1" t="n">
        <v>13</v>
      </c>
      <c r="B534" s="1" t="n">
        <v>11</v>
      </c>
      <c r="C534" s="1" t="n">
        <v>4.2</v>
      </c>
      <c r="D534" s="1" t="n">
        <v>1.1004</v>
      </c>
      <c r="E534" s="1" t="n">
        <v>0.142647</v>
      </c>
      <c r="F534" s="1" t="n">
        <v>0.000389217</v>
      </c>
      <c r="G534" s="1" t="s">
        <v>59</v>
      </c>
      <c r="H534" s="1" t="n">
        <v>9.6</v>
      </c>
      <c r="I534" s="1" t="n">
        <v>20.3</v>
      </c>
      <c r="J534" s="1" t="n">
        <v>-5</v>
      </c>
      <c r="K534" s="1" t="n">
        <v>160.6</v>
      </c>
      <c r="L534" s="1" t="n">
        <v>0</v>
      </c>
      <c r="M534" s="1" t="n">
        <v>0</v>
      </c>
      <c r="N534" s="1" t="s">
        <v>344</v>
      </c>
      <c r="Z534" s="0" t="n">
        <f aca="false">I534-35</f>
        <v>-14.7</v>
      </c>
      <c r="AB534" s="0" t="n">
        <f aca="false">IF(Z534&lt;0,Z534+360,Z534+0)</f>
        <v>345.3</v>
      </c>
    </row>
    <row r="535" customFormat="false" ht="15.8" hidden="false" customHeight="false" outlineLevel="0" collapsed="false">
      <c r="A535" s="1" t="n">
        <v>13</v>
      </c>
      <c r="B535" s="1" t="n">
        <v>10</v>
      </c>
      <c r="C535" s="1" t="n">
        <v>8.7</v>
      </c>
      <c r="D535" s="1" t="n">
        <v>1.2063</v>
      </c>
      <c r="E535" s="1" t="n">
        <v>0.299634</v>
      </c>
      <c r="F535" s="1" t="n">
        <v>0.000817563</v>
      </c>
      <c r="G535" s="1" t="s">
        <v>59</v>
      </c>
      <c r="H535" s="1" t="n">
        <v>7.8</v>
      </c>
      <c r="I535" s="1" t="n">
        <v>11</v>
      </c>
      <c r="J535" s="1" t="n">
        <v>-2.6</v>
      </c>
      <c r="K535" s="1" t="n">
        <v>40.6</v>
      </c>
      <c r="L535" s="1" t="n">
        <v>0</v>
      </c>
      <c r="M535" s="1" t="n">
        <v>0</v>
      </c>
      <c r="N535" s="1" t="s">
        <v>343</v>
      </c>
      <c r="Z535" s="0" t="n">
        <f aca="false">I535-35</f>
        <v>-24</v>
      </c>
      <c r="AB535" s="0" t="n">
        <f aca="false">IF(Z535&lt;0,Z535+360,Z535+0)</f>
        <v>336</v>
      </c>
    </row>
    <row r="536" customFormat="false" ht="15.8" hidden="false" customHeight="false" outlineLevel="0" collapsed="false">
      <c r="A536" s="1" t="n">
        <v>13</v>
      </c>
      <c r="B536" s="1" t="n">
        <v>9</v>
      </c>
      <c r="C536" s="1" t="n">
        <v>9.1</v>
      </c>
      <c r="D536" s="1" t="n">
        <v>1.1558</v>
      </c>
      <c r="E536" s="1" t="n">
        <v>0.312419</v>
      </c>
      <c r="F536" s="1" t="n">
        <v>0.000852445</v>
      </c>
      <c r="G536" s="1" t="s">
        <v>59</v>
      </c>
      <c r="H536" s="1" t="n">
        <v>47</v>
      </c>
      <c r="I536" s="1" t="n">
        <v>7.5</v>
      </c>
      <c r="J536" s="1" t="n">
        <v>-9.6</v>
      </c>
      <c r="K536" s="1" t="n">
        <v>14.7</v>
      </c>
      <c r="L536" s="1" t="n">
        <v>0</v>
      </c>
      <c r="M536" s="1" t="n">
        <v>0</v>
      </c>
      <c r="N536" s="1" t="s">
        <v>342</v>
      </c>
      <c r="Z536" s="0" t="n">
        <f aca="false">I536-35</f>
        <v>-27.5</v>
      </c>
      <c r="AB536" s="0" t="n">
        <f aca="false">IF(Z536&lt;0,Z536+360,Z536+0)</f>
        <v>332.5</v>
      </c>
    </row>
    <row r="537" customFormat="false" ht="15.8" hidden="false" customHeight="false" outlineLevel="0" collapsed="false">
      <c r="A537" s="1" t="n">
        <v>13</v>
      </c>
      <c r="B537" s="1" t="n">
        <v>8</v>
      </c>
      <c r="C537" s="1" t="n">
        <v>1.5</v>
      </c>
      <c r="D537" s="1" t="n">
        <v>1.0106</v>
      </c>
      <c r="E537" s="1" t="n">
        <v>0.0502548</v>
      </c>
      <c r="F537" s="1" t="n">
        <v>0.000137122</v>
      </c>
      <c r="G537" s="1" t="s">
        <v>59</v>
      </c>
      <c r="H537" s="1" t="n">
        <v>44.5</v>
      </c>
      <c r="I537" s="1" t="n">
        <v>321.2</v>
      </c>
      <c r="J537" s="1" t="n">
        <v>0</v>
      </c>
      <c r="K537" s="1" t="n">
        <v>114.5</v>
      </c>
      <c r="L537" s="1" t="n">
        <v>0</v>
      </c>
      <c r="M537" s="1" t="n">
        <v>0</v>
      </c>
      <c r="N537" s="1" t="s">
        <v>339</v>
      </c>
      <c r="Z537" s="0" t="n">
        <f aca="false">I537-35</f>
        <v>286.2</v>
      </c>
      <c r="AB537" s="0" t="n">
        <f aca="false">IF(Z537&lt;0,Z537+360,Z537+0)</f>
        <v>286.2</v>
      </c>
    </row>
    <row r="538" customFormat="false" ht="15.8" hidden="false" customHeight="false" outlineLevel="0" collapsed="false">
      <c r="A538" s="1" t="n">
        <v>13</v>
      </c>
      <c r="B538" s="1" t="n">
        <v>7</v>
      </c>
      <c r="C538" s="1" t="n">
        <v>1.5</v>
      </c>
      <c r="D538" s="1" t="n">
        <v>1.5393</v>
      </c>
      <c r="E538" s="1" t="n">
        <v>0.0523225</v>
      </c>
      <c r="F538" s="1" t="n">
        <v>0.000142764</v>
      </c>
      <c r="G538" s="1" t="s">
        <v>59</v>
      </c>
      <c r="H538" s="1" t="n">
        <v>105</v>
      </c>
      <c r="I538" s="1" t="n">
        <v>338.4</v>
      </c>
      <c r="J538" s="1" t="n">
        <v>41.7</v>
      </c>
      <c r="K538" s="1" t="n">
        <v>122</v>
      </c>
      <c r="L538" s="1" t="n">
        <v>0</v>
      </c>
      <c r="M538" s="1" t="n">
        <v>0</v>
      </c>
      <c r="N538" s="1" t="s">
        <v>333</v>
      </c>
      <c r="Z538" s="0" t="n">
        <f aca="false">I538-35</f>
        <v>303.4</v>
      </c>
      <c r="AB538" s="0" t="n">
        <f aca="false">IF(Z538&lt;0,Z538+360,Z538+0)</f>
        <v>303.4</v>
      </c>
    </row>
    <row r="539" customFormat="false" ht="15.8" hidden="false" customHeight="false" outlineLevel="0" collapsed="false">
      <c r="A539" s="1" t="n">
        <v>13</v>
      </c>
      <c r="B539" s="1" t="n">
        <v>6</v>
      </c>
      <c r="C539" s="1" t="n">
        <v>2.6</v>
      </c>
      <c r="D539" s="1" t="n">
        <v>1.2304</v>
      </c>
      <c r="E539" s="1" t="n">
        <v>0.0895277</v>
      </c>
      <c r="F539" s="1" t="n">
        <v>0.000244279</v>
      </c>
      <c r="G539" s="1" t="s">
        <v>59</v>
      </c>
      <c r="H539" s="1" t="n">
        <v>3.2</v>
      </c>
      <c r="I539" s="1" t="n">
        <v>188.7</v>
      </c>
      <c r="J539" s="1" t="n">
        <v>27.8</v>
      </c>
      <c r="K539" s="1" t="n">
        <v>143.3</v>
      </c>
      <c r="L539" s="1" t="n">
        <v>0</v>
      </c>
      <c r="M539" s="1" t="n">
        <v>0</v>
      </c>
      <c r="N539" s="1" t="s">
        <v>332</v>
      </c>
      <c r="Z539" s="0" t="n">
        <f aca="false">I539-35</f>
        <v>153.7</v>
      </c>
      <c r="AB539" s="0" t="n">
        <f aca="false">IF(Z539&lt;0,Z539+360,Z539+0)</f>
        <v>153.7</v>
      </c>
    </row>
    <row r="540" customFormat="false" ht="15.8" hidden="false" customHeight="false" outlineLevel="0" collapsed="false">
      <c r="A540" s="1" t="n">
        <v>13</v>
      </c>
      <c r="B540" s="1" t="n">
        <v>5</v>
      </c>
      <c r="C540" s="1" t="n">
        <v>8.8</v>
      </c>
      <c r="D540" s="1" t="n">
        <v>1.2264</v>
      </c>
      <c r="E540" s="1" t="n">
        <v>0.302102</v>
      </c>
      <c r="F540" s="1" t="n">
        <v>0.000824295</v>
      </c>
      <c r="G540" s="1" t="s">
        <v>59</v>
      </c>
      <c r="H540" s="1" t="n">
        <v>31.6</v>
      </c>
      <c r="I540" s="1" t="n">
        <v>185.1</v>
      </c>
      <c r="J540" s="1" t="n">
        <v>27.3</v>
      </c>
      <c r="K540" s="1" t="n">
        <v>76.7</v>
      </c>
      <c r="L540" s="1" t="n">
        <v>0</v>
      </c>
      <c r="M540" s="1" t="n">
        <v>0</v>
      </c>
      <c r="N540" s="1" t="s">
        <v>331</v>
      </c>
      <c r="Z540" s="0" t="n">
        <f aca="false">I540-35</f>
        <v>150.1</v>
      </c>
      <c r="AB540" s="0" t="n">
        <f aca="false">IF(Z540&lt;0,Z540+360,Z540+0)</f>
        <v>150.1</v>
      </c>
    </row>
    <row r="541" customFormat="false" ht="15.8" hidden="false" customHeight="false" outlineLevel="0" collapsed="false">
      <c r="A541" s="1" t="n">
        <v>13</v>
      </c>
      <c r="B541" s="1" t="n">
        <v>4</v>
      </c>
      <c r="C541" s="1" t="n">
        <v>0.7</v>
      </c>
      <c r="D541" s="1" t="n">
        <v>1.057</v>
      </c>
      <c r="E541" s="1" t="n">
        <v>0.0239254</v>
      </c>
      <c r="F541" s="1" t="n">
        <v>6.52813E-005</v>
      </c>
      <c r="G541" s="1" t="s">
        <v>59</v>
      </c>
      <c r="H541" s="1" t="n">
        <v>26.3</v>
      </c>
      <c r="I541" s="1" t="n">
        <v>168.5</v>
      </c>
      <c r="J541" s="1" t="n">
        <v>0</v>
      </c>
      <c r="K541" s="1" t="n">
        <v>44.1</v>
      </c>
      <c r="L541" s="1" t="n">
        <v>0</v>
      </c>
      <c r="M541" s="1" t="n">
        <v>0</v>
      </c>
      <c r="N541" s="1" t="s">
        <v>356</v>
      </c>
      <c r="Z541" s="0" t="n">
        <f aca="false">I541-35</f>
        <v>133.5</v>
      </c>
      <c r="AB541" s="0" t="n">
        <f aca="false">IF(Z541&lt;0,Z541+360,Z541+0)</f>
        <v>133.5</v>
      </c>
    </row>
    <row r="542" customFormat="false" ht="15.8" hidden="false" customHeight="false" outlineLevel="0" collapsed="false">
      <c r="A542" s="1" t="n">
        <v>13</v>
      </c>
      <c r="B542" s="1" t="n">
        <v>5</v>
      </c>
      <c r="C542" s="1" t="n">
        <v>1.9</v>
      </c>
      <c r="D542" s="1" t="n">
        <v>1.2268</v>
      </c>
      <c r="E542" s="1" t="n">
        <v>0.0636501</v>
      </c>
      <c r="F542" s="1" t="n">
        <v>0.000173672</v>
      </c>
      <c r="G542" s="1" t="s">
        <v>27</v>
      </c>
      <c r="H542" s="1" t="n">
        <v>61.3</v>
      </c>
      <c r="I542" s="1" t="n">
        <v>3.8</v>
      </c>
      <c r="J542" s="1" t="n">
        <v>-12.6</v>
      </c>
      <c r="K542" s="1"/>
      <c r="L542" s="1" t="n">
        <v>0</v>
      </c>
      <c r="M542" s="1" t="n">
        <v>0</v>
      </c>
      <c r="N542" s="1" t="s">
        <v>357</v>
      </c>
      <c r="Z542" s="0" t="n">
        <f aca="false">I542-35</f>
        <v>-31.2</v>
      </c>
      <c r="AB542" s="0" t="n">
        <f aca="false">IF(Z542&lt;0,Z542+360,Z542+0)</f>
        <v>328.8</v>
      </c>
    </row>
    <row r="543" customFormat="false" ht="15.8" hidden="false" customHeight="false" outlineLevel="0" collapsed="false">
      <c r="A543" s="1" t="n">
        <v>13</v>
      </c>
      <c r="B543" s="1" t="n">
        <v>6</v>
      </c>
      <c r="C543" s="1" t="n">
        <v>2.1</v>
      </c>
      <c r="D543" s="1" t="n">
        <v>2.5471</v>
      </c>
      <c r="E543" s="1" t="n">
        <v>0.0728224</v>
      </c>
      <c r="F543" s="1" t="n">
        <v>0.000198699</v>
      </c>
      <c r="G543" s="1" t="s">
        <v>27</v>
      </c>
      <c r="H543" s="1" t="n">
        <v>52.8</v>
      </c>
      <c r="I543" s="1" t="n">
        <v>226.7</v>
      </c>
      <c r="J543" s="1" t="n">
        <v>52.3</v>
      </c>
      <c r="K543" s="1"/>
      <c r="L543" s="1" t="n">
        <v>0</v>
      </c>
      <c r="M543" s="1" t="n">
        <v>0</v>
      </c>
      <c r="N543" s="1" t="s">
        <v>358</v>
      </c>
      <c r="Z543" s="0" t="n">
        <f aca="false">I543-35</f>
        <v>191.7</v>
      </c>
      <c r="AB543" s="0" t="n">
        <f aca="false">IF(Z543&lt;0,Z543+360,Z543+0)</f>
        <v>191.7</v>
      </c>
    </row>
    <row r="544" customFormat="false" ht="15.8" hidden="false" customHeight="false" outlineLevel="0" collapsed="false">
      <c r="A544" s="1" t="n">
        <v>13</v>
      </c>
      <c r="B544" s="1" t="n">
        <v>6</v>
      </c>
      <c r="C544" s="1" t="n">
        <v>1</v>
      </c>
      <c r="D544" s="1" t="n">
        <v>1.1545</v>
      </c>
      <c r="E544" s="1" t="n">
        <v>0.0338749</v>
      </c>
      <c r="F544" s="1" t="n">
        <v>9.24289E-005</v>
      </c>
      <c r="G544" s="1" t="s">
        <v>27</v>
      </c>
      <c r="H544" s="1" t="n">
        <v>108.9</v>
      </c>
      <c r="I544" s="1" t="n">
        <v>49.5</v>
      </c>
      <c r="J544" s="1" t="n">
        <v>-22.7</v>
      </c>
      <c r="K544" s="1"/>
      <c r="L544" s="1" t="n">
        <v>0</v>
      </c>
      <c r="M544" s="1" t="n">
        <v>0</v>
      </c>
      <c r="N544" s="1" t="s">
        <v>358</v>
      </c>
      <c r="Z544" s="0" t="n">
        <f aca="false">I544-35</f>
        <v>14.5</v>
      </c>
      <c r="AB544" s="0" t="n">
        <f aca="false">IF(Z544&lt;0,Z544+360,Z544+0)</f>
        <v>14.5</v>
      </c>
    </row>
    <row r="545" customFormat="false" ht="15.8" hidden="false" customHeight="false" outlineLevel="0" collapsed="false">
      <c r="A545" s="1" t="n">
        <v>13</v>
      </c>
      <c r="B545" s="1" t="n">
        <v>5</v>
      </c>
      <c r="C545" s="1" t="n">
        <v>1.1</v>
      </c>
      <c r="D545" s="1" t="n">
        <v>1.1481</v>
      </c>
      <c r="E545" s="1" t="n">
        <v>0.0377727</v>
      </c>
      <c r="F545" s="1" t="n">
        <v>0.000103064</v>
      </c>
      <c r="G545" s="1" t="s">
        <v>59</v>
      </c>
      <c r="H545" s="1" t="n">
        <v>83</v>
      </c>
      <c r="I545" s="1" t="n">
        <v>144.6</v>
      </c>
      <c r="J545" s="1" t="n">
        <v>43.5</v>
      </c>
      <c r="K545" s="1" t="n">
        <v>108.9</v>
      </c>
      <c r="L545" s="1" t="n">
        <v>0</v>
      </c>
      <c r="M545" s="1" t="n">
        <v>0</v>
      </c>
      <c r="N545" s="1" t="s">
        <v>357</v>
      </c>
      <c r="Z545" s="0" t="n">
        <f aca="false">I545-35</f>
        <v>109.6</v>
      </c>
      <c r="AB545" s="0" t="n">
        <f aca="false">IF(Z545&lt;0,Z545+360,Z545+0)</f>
        <v>109.6</v>
      </c>
    </row>
    <row r="546" customFormat="false" ht="15.8" hidden="false" customHeight="false" outlineLevel="0" collapsed="false">
      <c r="A546" s="1" t="n">
        <v>13</v>
      </c>
      <c r="B546" s="1" t="n">
        <v>4</v>
      </c>
      <c r="C546" s="1" t="n">
        <v>0.7</v>
      </c>
      <c r="D546" s="1" t="n">
        <v>1.0197</v>
      </c>
      <c r="E546" s="1" t="n">
        <v>0.0228711</v>
      </c>
      <c r="F546" s="1" t="n">
        <v>6.24046E-005</v>
      </c>
      <c r="G546" s="1" t="s">
        <v>59</v>
      </c>
      <c r="H546" s="1" t="n">
        <v>112.5</v>
      </c>
      <c r="I546" s="1" t="n">
        <v>64.3</v>
      </c>
      <c r="J546" s="1" t="n">
        <v>0</v>
      </c>
      <c r="K546" s="1" t="n">
        <v>83</v>
      </c>
      <c r="L546" s="1" t="n">
        <v>0</v>
      </c>
      <c r="M546" s="1" t="n">
        <v>0</v>
      </c>
      <c r="N546" s="1" t="s">
        <v>356</v>
      </c>
      <c r="Z546" s="0" t="n">
        <f aca="false">I546-35</f>
        <v>29.3</v>
      </c>
      <c r="AB546" s="0" t="n">
        <f aca="false">IF(Z546&lt;0,Z546+360,Z546+0)</f>
        <v>29.3</v>
      </c>
    </row>
    <row r="547" customFormat="false" ht="15.8" hidden="false" customHeight="false" outlineLevel="0" collapsed="false">
      <c r="A547" s="1" t="n">
        <v>13</v>
      </c>
      <c r="B547" s="1" t="n">
        <v>5</v>
      </c>
      <c r="C547" s="1" t="n">
        <v>3.5</v>
      </c>
      <c r="D547" s="1" t="n">
        <v>1.2007</v>
      </c>
      <c r="E547" s="1" t="n">
        <v>0.0958715</v>
      </c>
      <c r="F547" s="1" t="n">
        <v>0.000210955</v>
      </c>
      <c r="G547" s="1" t="s">
        <v>27</v>
      </c>
      <c r="H547" s="1" t="n">
        <v>66.8</v>
      </c>
      <c r="I547" s="1" t="n">
        <v>178.9</v>
      </c>
      <c r="J547" s="1" t="n">
        <v>20</v>
      </c>
      <c r="K547" s="1"/>
      <c r="L547" s="1" t="n">
        <v>0</v>
      </c>
      <c r="M547" s="1" t="n">
        <v>0</v>
      </c>
      <c r="N547" s="1" t="s">
        <v>359</v>
      </c>
      <c r="Z547" s="0" t="n">
        <f aca="false">I547-35</f>
        <v>143.9</v>
      </c>
      <c r="AB547" s="0" t="n">
        <f aca="false">IF(Z547&lt;0,Z547+360,Z547+0)</f>
        <v>143.9</v>
      </c>
    </row>
    <row r="548" customFormat="false" ht="15.8" hidden="false" customHeight="false" outlineLevel="0" collapsed="false">
      <c r="A548" s="1" t="n">
        <v>13</v>
      </c>
      <c r="B548" s="1" t="n">
        <v>7</v>
      </c>
      <c r="C548" s="1" t="n">
        <v>1.1</v>
      </c>
      <c r="D548" s="1" t="n">
        <v>1.0238</v>
      </c>
      <c r="E548" s="1" t="n">
        <v>0.0372467</v>
      </c>
      <c r="F548" s="1" t="n">
        <v>0.000101629</v>
      </c>
      <c r="G548" s="1" t="s">
        <v>27</v>
      </c>
      <c r="H548" s="1" t="n">
        <v>64.6</v>
      </c>
      <c r="I548" s="1" t="n">
        <v>141.8</v>
      </c>
      <c r="J548" s="1" t="n">
        <v>0</v>
      </c>
      <c r="K548" s="1"/>
      <c r="L548" s="1" t="n">
        <v>0</v>
      </c>
      <c r="M548" s="1" t="n">
        <v>0</v>
      </c>
      <c r="N548" s="1" t="s">
        <v>360</v>
      </c>
      <c r="Z548" s="0" t="n">
        <f aca="false">I548-35</f>
        <v>106.8</v>
      </c>
      <c r="AB548" s="0" t="n">
        <f aca="false">IF(Z548&lt;0,Z548+360,Z548+0)</f>
        <v>106.8</v>
      </c>
    </row>
    <row r="549" customFormat="false" ht="15.8" hidden="false" customHeight="false" outlineLevel="0" collapsed="false">
      <c r="A549" s="1" t="n">
        <v>13</v>
      </c>
      <c r="B549" s="1" t="n">
        <v>7</v>
      </c>
      <c r="C549" s="1" t="n">
        <v>0.9</v>
      </c>
      <c r="D549" s="1" t="n">
        <v>1.124</v>
      </c>
      <c r="E549" s="1" t="n">
        <v>0.0302176</v>
      </c>
      <c r="F549" s="1" t="n">
        <v>8.24499E-005</v>
      </c>
      <c r="G549" s="1" t="s">
        <v>27</v>
      </c>
      <c r="H549" s="1" t="n">
        <v>24.8</v>
      </c>
      <c r="I549" s="1" t="n">
        <v>231.2</v>
      </c>
      <c r="J549" s="1" t="n">
        <v>0</v>
      </c>
      <c r="K549" s="1"/>
      <c r="L549" s="1" t="n">
        <v>0</v>
      </c>
      <c r="M549" s="1" t="n">
        <v>0</v>
      </c>
      <c r="N549" s="1" t="s">
        <v>360</v>
      </c>
      <c r="Z549" s="0" t="n">
        <f aca="false">I549-35</f>
        <v>196.2</v>
      </c>
      <c r="AB549" s="0" t="n">
        <f aca="false">IF(Z549&lt;0,Z549+360,Z549+0)</f>
        <v>196.2</v>
      </c>
    </row>
    <row r="550" customFormat="false" ht="15.8" hidden="false" customHeight="false" outlineLevel="0" collapsed="false">
      <c r="A550" s="1" t="n">
        <v>13</v>
      </c>
      <c r="B550" s="1" t="n">
        <v>6</v>
      </c>
      <c r="C550" s="1" t="n">
        <v>2.8</v>
      </c>
      <c r="D550" s="1" t="n">
        <v>1.0317</v>
      </c>
      <c r="E550" s="1" t="n">
        <v>0.0946752</v>
      </c>
      <c r="F550" s="1" t="n">
        <v>0.000258324</v>
      </c>
      <c r="G550" s="1" t="s">
        <v>59</v>
      </c>
      <c r="H550" s="1" t="n">
        <v>13.5</v>
      </c>
      <c r="I550" s="1" t="n">
        <v>206.4</v>
      </c>
      <c r="J550" s="1" t="n">
        <v>0</v>
      </c>
      <c r="K550" s="1" t="n">
        <v>64.6</v>
      </c>
      <c r="L550" s="1" t="n">
        <v>0</v>
      </c>
      <c r="M550" s="1" t="n">
        <v>0</v>
      </c>
      <c r="N550" s="1" t="s">
        <v>361</v>
      </c>
      <c r="Z550" s="0" t="n">
        <f aca="false">I550-35</f>
        <v>171.4</v>
      </c>
      <c r="AB550" s="0" t="n">
        <f aca="false">IF(Z550&lt;0,Z550+360,Z550+0)</f>
        <v>171.4</v>
      </c>
    </row>
    <row r="551" customFormat="false" ht="15.8" hidden="false" customHeight="false" outlineLevel="0" collapsed="false">
      <c r="A551" s="1" t="n">
        <v>13</v>
      </c>
      <c r="B551" s="1" t="n">
        <v>6</v>
      </c>
      <c r="C551" s="1" t="n">
        <v>3.3</v>
      </c>
      <c r="D551" s="1" t="n">
        <v>1.307</v>
      </c>
      <c r="E551" s="1" t="n">
        <v>0.113965</v>
      </c>
      <c r="F551" s="1" t="n">
        <v>0.000310958</v>
      </c>
      <c r="G551" s="1" t="s">
        <v>27</v>
      </c>
      <c r="H551" s="1" t="n">
        <v>127.7</v>
      </c>
      <c r="I551" s="1" t="n">
        <v>348</v>
      </c>
      <c r="J551" s="1" t="n">
        <v>-7.5</v>
      </c>
      <c r="K551" s="1"/>
      <c r="L551" s="1" t="n">
        <v>0</v>
      </c>
      <c r="M551" s="1" t="n">
        <v>0</v>
      </c>
      <c r="N551" s="1" t="s">
        <v>361</v>
      </c>
      <c r="Z551" s="0" t="n">
        <f aca="false">I551-35</f>
        <v>313</v>
      </c>
      <c r="AB551" s="0" t="n">
        <f aca="false">IF(Z551&lt;0,Z551+360,Z551+0)</f>
        <v>313</v>
      </c>
    </row>
    <row r="552" customFormat="false" ht="15.8" hidden="false" customHeight="false" outlineLevel="0" collapsed="false">
      <c r="A552" s="1" t="n">
        <v>13</v>
      </c>
      <c r="B552" s="1" t="n">
        <v>5</v>
      </c>
      <c r="C552" s="1" t="n">
        <v>1</v>
      </c>
      <c r="D552" s="1" t="n">
        <v>1.0183</v>
      </c>
      <c r="E552" s="1" t="n">
        <v>0.0336526</v>
      </c>
      <c r="F552" s="1" t="n">
        <v>9.18224E-005</v>
      </c>
      <c r="G552" s="1" t="s">
        <v>59</v>
      </c>
      <c r="H552" s="1" t="n">
        <v>24.2</v>
      </c>
      <c r="I552" s="1" t="n">
        <v>219.9</v>
      </c>
      <c r="J552" s="1" t="n">
        <v>0</v>
      </c>
      <c r="K552" s="1" t="n">
        <v>127.7</v>
      </c>
      <c r="L552" s="1" t="n">
        <v>0</v>
      </c>
      <c r="M552" s="1" t="n">
        <v>0</v>
      </c>
      <c r="N552" s="1" t="s">
        <v>359</v>
      </c>
      <c r="Z552" s="0" t="n">
        <f aca="false">I552-35</f>
        <v>184.9</v>
      </c>
      <c r="AB552" s="0" t="n">
        <f aca="false">IF(Z552&lt;0,Z552+360,Z552+0)</f>
        <v>184.9</v>
      </c>
    </row>
    <row r="553" customFormat="false" ht="15.8" hidden="false" customHeight="false" outlineLevel="0" collapsed="false">
      <c r="A553" s="1" t="n">
        <v>13</v>
      </c>
      <c r="B553" s="1" t="n">
        <v>4</v>
      </c>
      <c r="C553" s="1" t="n">
        <v>2.1</v>
      </c>
      <c r="D553" s="1" t="n">
        <v>1.106</v>
      </c>
      <c r="E553" s="1" t="n">
        <v>0.0732929</v>
      </c>
      <c r="F553" s="1" t="n">
        <v>0.000199982</v>
      </c>
      <c r="G553" s="1" t="s">
        <v>59</v>
      </c>
      <c r="H553" s="1" t="n">
        <v>67.4</v>
      </c>
      <c r="I553" s="1" t="n">
        <v>244.1</v>
      </c>
      <c r="J553" s="1" t="n">
        <v>0</v>
      </c>
      <c r="K553" s="1" t="n">
        <v>66.8</v>
      </c>
      <c r="L553" s="1" t="n">
        <v>0</v>
      </c>
      <c r="M553" s="1" t="n">
        <v>0</v>
      </c>
      <c r="N553" s="1" t="s">
        <v>356</v>
      </c>
      <c r="Z553" s="0" t="n">
        <f aca="false">I553-35</f>
        <v>209.1</v>
      </c>
      <c r="AB553" s="0" t="n">
        <f aca="false">IF(Z553&lt;0,Z553+360,Z553+0)</f>
        <v>209.1</v>
      </c>
    </row>
    <row r="554" customFormat="false" ht="15.8" hidden="false" customHeight="false" outlineLevel="0" collapsed="false">
      <c r="A554" s="1" t="n">
        <v>13</v>
      </c>
      <c r="B554" s="1" t="n">
        <v>3</v>
      </c>
      <c r="C554" s="1" t="n">
        <v>3.1</v>
      </c>
      <c r="D554" s="1" t="n">
        <v>1.2946</v>
      </c>
      <c r="E554" s="1" t="n">
        <v>0.10702</v>
      </c>
      <c r="F554" s="1" t="n">
        <v>0.000292008</v>
      </c>
      <c r="G554" s="1" t="s">
        <v>59</v>
      </c>
      <c r="H554" s="1" t="n">
        <v>51.7</v>
      </c>
      <c r="I554" s="1" t="n">
        <v>179.1</v>
      </c>
      <c r="J554" s="1" t="n">
        <v>24.2</v>
      </c>
      <c r="K554" s="1" t="n">
        <v>112.5</v>
      </c>
      <c r="L554" s="1" t="n">
        <v>0</v>
      </c>
      <c r="M554" s="1" t="n">
        <v>0</v>
      </c>
      <c r="N554" s="1" t="s">
        <v>362</v>
      </c>
      <c r="Z554" s="0" t="n">
        <f aca="false">I554-35</f>
        <v>144.1</v>
      </c>
      <c r="AB554" s="0" t="n">
        <f aca="false">IF(Z554&lt;0,Z554+360,Z554+0)</f>
        <v>144.1</v>
      </c>
    </row>
    <row r="555" customFormat="false" ht="15.8" hidden="false" customHeight="false" outlineLevel="0" collapsed="false">
      <c r="A555" s="1" t="n">
        <v>13</v>
      </c>
      <c r="B555" s="1" t="n">
        <v>3</v>
      </c>
      <c r="C555" s="1" t="n">
        <v>1.6</v>
      </c>
      <c r="D555" s="1" t="n">
        <v>1.5692</v>
      </c>
      <c r="E555" s="1" t="n">
        <v>0.0559095</v>
      </c>
      <c r="F555" s="1" t="n">
        <v>0.000152551</v>
      </c>
      <c r="G555" s="1" t="s">
        <v>27</v>
      </c>
      <c r="H555" s="1" t="n">
        <v>136</v>
      </c>
      <c r="I555" s="1" t="n">
        <v>67.6</v>
      </c>
      <c r="J555" s="1" t="n">
        <v>39.4</v>
      </c>
      <c r="K555" s="1"/>
      <c r="L555" s="1" t="n">
        <v>0</v>
      </c>
      <c r="M555" s="1" t="n">
        <v>0</v>
      </c>
      <c r="N555" s="1" t="s">
        <v>362</v>
      </c>
      <c r="Z555" s="0" t="n">
        <f aca="false">I555-35</f>
        <v>32.6</v>
      </c>
      <c r="AB555" s="0" t="n">
        <f aca="false">IF(Z555&lt;0,Z555+360,Z555+0)</f>
        <v>32.6</v>
      </c>
    </row>
    <row r="556" customFormat="false" ht="15.8" hidden="false" customHeight="false" outlineLevel="0" collapsed="false">
      <c r="A556" s="1" t="n">
        <v>13</v>
      </c>
      <c r="B556" s="1" t="n">
        <v>2</v>
      </c>
      <c r="C556" s="1" t="n">
        <v>1.8</v>
      </c>
      <c r="D556" s="1" t="n">
        <v>1.1334</v>
      </c>
      <c r="E556" s="1" t="n">
        <v>0.0617144</v>
      </c>
      <c r="F556" s="1" t="n">
        <v>0.00016839</v>
      </c>
      <c r="G556" s="1" t="s">
        <v>59</v>
      </c>
      <c r="H556" s="1" t="n">
        <v>102.3</v>
      </c>
      <c r="I556" s="1" t="n">
        <v>226.3</v>
      </c>
      <c r="J556" s="1" t="n">
        <v>0</v>
      </c>
      <c r="K556" s="1" t="n">
        <v>136</v>
      </c>
      <c r="L556" s="1" t="n">
        <v>0</v>
      </c>
      <c r="M556" s="1" t="n">
        <v>0</v>
      </c>
      <c r="N556" s="1" t="s">
        <v>363</v>
      </c>
      <c r="Z556" s="0" t="n">
        <f aca="false">I556-35</f>
        <v>191.3</v>
      </c>
      <c r="AB556" s="0" t="n">
        <f aca="false">IF(Z556&lt;0,Z556+360,Z556+0)</f>
        <v>191.3</v>
      </c>
    </row>
    <row r="557" customFormat="false" ht="15.8" hidden="false" customHeight="false" outlineLevel="0" collapsed="false">
      <c r="A557" s="1" t="n">
        <v>13</v>
      </c>
      <c r="B557" s="1" t="n">
        <v>3</v>
      </c>
      <c r="C557" s="1" t="n">
        <v>0.9</v>
      </c>
      <c r="D557" s="1" t="n">
        <v>1.2208</v>
      </c>
      <c r="E557" s="1" t="n">
        <v>0.0325332</v>
      </c>
      <c r="F557" s="1" t="n">
        <v>8.8768E-005</v>
      </c>
      <c r="G557" s="1" t="s">
        <v>27</v>
      </c>
      <c r="H557" s="1" t="n">
        <v>68.4</v>
      </c>
      <c r="I557" s="1" t="n">
        <v>156.2</v>
      </c>
      <c r="J557" s="1" t="n">
        <v>25.1</v>
      </c>
      <c r="K557" s="1"/>
      <c r="L557" s="1" t="n">
        <v>0</v>
      </c>
      <c r="M557" s="1" t="n">
        <v>0</v>
      </c>
      <c r="N557" s="1" t="s">
        <v>364</v>
      </c>
      <c r="Z557" s="0" t="n">
        <f aca="false">I557-35</f>
        <v>121.2</v>
      </c>
      <c r="AB557" s="0" t="n">
        <f aca="false">IF(Z557&lt;0,Z557+360,Z557+0)</f>
        <v>121.2</v>
      </c>
    </row>
    <row r="558" customFormat="false" ht="15.8" hidden="false" customHeight="false" outlineLevel="0" collapsed="false">
      <c r="A558" s="1" t="n">
        <v>13</v>
      </c>
      <c r="B558" s="1" t="n">
        <v>4</v>
      </c>
      <c r="C558" s="1" t="n">
        <v>1.1</v>
      </c>
      <c r="D558" s="1" t="n">
        <v>1.2195</v>
      </c>
      <c r="E558" s="1" t="n">
        <v>0.0372306</v>
      </c>
      <c r="F558" s="1" t="n">
        <v>0.000101585</v>
      </c>
      <c r="G558" s="1" t="s">
        <v>27</v>
      </c>
      <c r="H558" s="1" t="n">
        <v>74.2</v>
      </c>
      <c r="I558" s="1" t="n">
        <v>22.5</v>
      </c>
      <c r="J558" s="1" t="n">
        <v>21.8</v>
      </c>
      <c r="K558" s="1"/>
      <c r="L558" s="1" t="n">
        <v>0</v>
      </c>
      <c r="M558" s="1" t="n">
        <v>0</v>
      </c>
      <c r="N558" s="1" t="s">
        <v>365</v>
      </c>
      <c r="Z558" s="0" t="n">
        <f aca="false">I558-35</f>
        <v>-12.5</v>
      </c>
      <c r="AB558" s="0" t="n">
        <f aca="false">IF(Z558&lt;0,Z558+360,Z558+0)</f>
        <v>347.5</v>
      </c>
    </row>
    <row r="559" customFormat="false" ht="15.8" hidden="false" customHeight="false" outlineLevel="0" collapsed="false">
      <c r="A559" s="1" t="n">
        <v>13</v>
      </c>
      <c r="B559" s="1" t="n">
        <v>6</v>
      </c>
      <c r="C559" s="1" t="n">
        <v>3.6</v>
      </c>
      <c r="D559" s="1" t="n">
        <v>1.1864</v>
      </c>
      <c r="E559" s="1" t="n">
        <v>0.124293</v>
      </c>
      <c r="F559" s="1" t="n">
        <v>0.000339137</v>
      </c>
      <c r="G559" s="1" t="s">
        <v>27</v>
      </c>
      <c r="H559" s="1" t="n">
        <v>91.8</v>
      </c>
      <c r="I559" s="1" t="n">
        <v>344.7</v>
      </c>
      <c r="J559" s="1" t="n">
        <v>0</v>
      </c>
      <c r="K559" s="1"/>
      <c r="L559" s="1" t="n">
        <v>0</v>
      </c>
      <c r="M559" s="1" t="n">
        <v>0</v>
      </c>
      <c r="N559" s="1" t="s">
        <v>366</v>
      </c>
      <c r="Z559" s="0" t="n">
        <f aca="false">I559-35</f>
        <v>309.7</v>
      </c>
      <c r="AB559" s="0" t="n">
        <f aca="false">IF(Z559&lt;0,Z559+360,Z559+0)</f>
        <v>309.7</v>
      </c>
    </row>
    <row r="560" customFormat="false" ht="15.8" hidden="false" customHeight="false" outlineLevel="0" collapsed="false">
      <c r="A560" s="1" t="n">
        <v>13</v>
      </c>
      <c r="B560" s="1" t="n">
        <v>7</v>
      </c>
      <c r="C560" s="1" t="n">
        <v>0.6</v>
      </c>
      <c r="D560" s="1" t="n">
        <v>1.0006</v>
      </c>
      <c r="E560" s="1" t="n">
        <v>0.0213475</v>
      </c>
      <c r="F560" s="1" t="n">
        <v>5.82473E-005</v>
      </c>
      <c r="G560" s="1" t="s">
        <v>27</v>
      </c>
      <c r="H560" s="1" t="n">
        <v>92.4</v>
      </c>
      <c r="I560" s="1" t="n">
        <v>271</v>
      </c>
      <c r="J560" s="1" t="n">
        <v>0</v>
      </c>
      <c r="K560" s="1"/>
      <c r="L560" s="1" t="n">
        <v>0</v>
      </c>
      <c r="M560" s="1" t="n">
        <v>0</v>
      </c>
      <c r="N560" s="1" t="s">
        <v>367</v>
      </c>
      <c r="Z560" s="0" t="n">
        <f aca="false">I560-35</f>
        <v>236</v>
      </c>
      <c r="AB560" s="0" t="n">
        <f aca="false">IF(Z560&lt;0,Z560+360,Z560+0)</f>
        <v>236</v>
      </c>
    </row>
    <row r="561" customFormat="false" ht="15.8" hidden="false" customHeight="false" outlineLevel="0" collapsed="false">
      <c r="A561" s="1" t="n">
        <v>13</v>
      </c>
      <c r="B561" s="1" t="n">
        <v>8</v>
      </c>
      <c r="C561" s="1" t="n">
        <v>0.7</v>
      </c>
      <c r="D561" s="1" t="n">
        <v>1.1096</v>
      </c>
      <c r="E561" s="1" t="n">
        <v>0.0236509</v>
      </c>
      <c r="F561" s="1" t="n">
        <v>6.45323E-005</v>
      </c>
      <c r="G561" s="1" t="s">
        <v>27</v>
      </c>
      <c r="H561" s="1" t="n">
        <v>95.3</v>
      </c>
      <c r="I561" s="1" t="n">
        <v>40</v>
      </c>
      <c r="J561" s="1" t="n">
        <v>-32.1</v>
      </c>
      <c r="K561" s="1"/>
      <c r="L561" s="1" t="n">
        <v>0</v>
      </c>
      <c r="M561" s="1" t="n">
        <v>0</v>
      </c>
      <c r="N561" s="1" t="s">
        <v>368</v>
      </c>
      <c r="Z561" s="0" t="n">
        <f aca="false">I561-35</f>
        <v>5</v>
      </c>
      <c r="AB561" s="0" t="n">
        <f aca="false">IF(Z561&lt;0,Z561+360,Z561+0)</f>
        <v>5</v>
      </c>
    </row>
    <row r="562" customFormat="false" ht="15.8" hidden="false" customHeight="false" outlineLevel="0" collapsed="false">
      <c r="A562" s="1" t="n">
        <v>13</v>
      </c>
      <c r="B562" s="1" t="n">
        <v>8</v>
      </c>
      <c r="C562" s="1" t="n">
        <v>1.3</v>
      </c>
      <c r="D562" s="1" t="n">
        <v>1.0451</v>
      </c>
      <c r="E562" s="1" t="n">
        <v>0.0439614</v>
      </c>
      <c r="F562" s="1" t="n">
        <v>0.00011995</v>
      </c>
      <c r="G562" s="1" t="s">
        <v>27</v>
      </c>
      <c r="H562" s="1" t="n">
        <v>22.6</v>
      </c>
      <c r="I562" s="1" t="n">
        <v>113.6</v>
      </c>
      <c r="J562" s="1" t="n">
        <v>0</v>
      </c>
      <c r="K562" s="1"/>
      <c r="L562" s="1" t="n">
        <v>0</v>
      </c>
      <c r="M562" s="1" t="n">
        <v>0</v>
      </c>
      <c r="N562" s="1" t="s">
        <v>368</v>
      </c>
      <c r="Z562" s="0" t="n">
        <f aca="false">I562-35</f>
        <v>78.6</v>
      </c>
      <c r="AB562" s="0" t="n">
        <f aca="false">IF(Z562&lt;0,Z562+360,Z562+0)</f>
        <v>78.6</v>
      </c>
    </row>
    <row r="563" customFormat="false" ht="15.8" hidden="false" customHeight="false" outlineLevel="0" collapsed="false">
      <c r="A563" s="1" t="n">
        <v>13</v>
      </c>
      <c r="B563" s="1" t="n">
        <v>7</v>
      </c>
      <c r="C563" s="1" t="n">
        <v>1.5</v>
      </c>
      <c r="D563" s="1" t="n">
        <v>1.0251</v>
      </c>
      <c r="E563" s="1" t="n">
        <v>0.051549</v>
      </c>
      <c r="F563" s="1" t="n">
        <v>0.000140653</v>
      </c>
      <c r="G563" s="1" t="s">
        <v>59</v>
      </c>
      <c r="H563" s="1" t="n">
        <v>42.7</v>
      </c>
      <c r="I563" s="1" t="n">
        <v>136.2</v>
      </c>
      <c r="J563" s="1" t="n">
        <v>0</v>
      </c>
      <c r="K563" s="1" t="n">
        <v>95.3</v>
      </c>
      <c r="L563" s="1" t="n">
        <v>0</v>
      </c>
      <c r="M563" s="1" t="n">
        <v>0</v>
      </c>
      <c r="N563" s="1" t="s">
        <v>367</v>
      </c>
      <c r="Z563" s="0" t="n">
        <f aca="false">I563-35</f>
        <v>101.2</v>
      </c>
      <c r="AB563" s="0" t="n">
        <f aca="false">IF(Z563&lt;0,Z563+360,Z563+0)</f>
        <v>101.2</v>
      </c>
    </row>
    <row r="564" customFormat="false" ht="15.8" hidden="false" customHeight="false" outlineLevel="0" collapsed="false">
      <c r="A564" s="1" t="n">
        <v>13</v>
      </c>
      <c r="B564" s="1" t="n">
        <v>6</v>
      </c>
      <c r="C564" s="1" t="n">
        <v>3.5</v>
      </c>
      <c r="D564" s="1" t="n">
        <v>1.0995</v>
      </c>
      <c r="E564" s="1" t="n">
        <v>0.120007</v>
      </c>
      <c r="F564" s="1" t="n">
        <v>0.000327444</v>
      </c>
      <c r="G564" s="1" t="s">
        <v>59</v>
      </c>
      <c r="H564" s="1" t="n">
        <v>75.1</v>
      </c>
      <c r="I564" s="1" t="n">
        <v>178.6</v>
      </c>
      <c r="J564" s="1" t="n">
        <v>6</v>
      </c>
      <c r="K564" s="1" t="n">
        <v>92.4</v>
      </c>
      <c r="L564" s="1" t="n">
        <v>0</v>
      </c>
      <c r="M564" s="1" t="n">
        <v>0</v>
      </c>
      <c r="N564" s="1" t="s">
        <v>366</v>
      </c>
      <c r="Z564" s="0" t="n">
        <f aca="false">I564-35</f>
        <v>143.6</v>
      </c>
      <c r="AB564" s="0" t="n">
        <f aca="false">IF(Z564&lt;0,Z564+360,Z564+0)</f>
        <v>143.6</v>
      </c>
    </row>
    <row r="565" customFormat="false" ht="15.8" hidden="false" customHeight="false" outlineLevel="0" collapsed="false">
      <c r="A565" s="1" t="n">
        <v>13</v>
      </c>
      <c r="B565" s="1" t="n">
        <v>5</v>
      </c>
      <c r="C565" s="1" t="n">
        <v>3</v>
      </c>
      <c r="D565" s="1" t="n">
        <v>1.1076</v>
      </c>
      <c r="E565" s="1" t="n">
        <v>0.103157</v>
      </c>
      <c r="F565" s="1" t="n">
        <v>0.000281468</v>
      </c>
      <c r="G565" s="1" t="s">
        <v>59</v>
      </c>
      <c r="H565" s="1" t="n">
        <v>98.6</v>
      </c>
      <c r="I565" s="1" t="n">
        <v>252.8</v>
      </c>
      <c r="J565" s="1" t="n">
        <v>-7</v>
      </c>
      <c r="K565" s="1" t="n">
        <v>91.8</v>
      </c>
      <c r="L565" s="1" t="n">
        <v>0</v>
      </c>
      <c r="M565" s="1" t="n">
        <v>0</v>
      </c>
      <c r="N565" s="1" t="s">
        <v>369</v>
      </c>
      <c r="Z565" s="0" t="n">
        <f aca="false">I565-35</f>
        <v>217.8</v>
      </c>
      <c r="AB565" s="0" t="n">
        <f aca="false">IF(Z565&lt;0,Z565+360,Z565+0)</f>
        <v>217.8</v>
      </c>
    </row>
    <row r="566" customFormat="false" ht="15.8" hidden="false" customHeight="false" outlineLevel="0" collapsed="false">
      <c r="A566" s="1" t="n">
        <v>13</v>
      </c>
      <c r="B566" s="1" t="n">
        <v>7</v>
      </c>
      <c r="C566" s="1" t="n">
        <v>2.7</v>
      </c>
      <c r="D566" s="1" t="n">
        <v>1.0987</v>
      </c>
      <c r="E566" s="1" t="n">
        <v>0.0940548</v>
      </c>
      <c r="F566" s="1" t="n">
        <v>0.000256632</v>
      </c>
      <c r="G566" s="1" t="s">
        <v>27</v>
      </c>
      <c r="H566" s="1" t="n">
        <v>102.4</v>
      </c>
      <c r="I566" s="1" t="n">
        <v>162.3</v>
      </c>
      <c r="J566" s="1" t="n">
        <v>7.6</v>
      </c>
      <c r="K566" s="1"/>
      <c r="L566" s="1" t="n">
        <v>0</v>
      </c>
      <c r="M566" s="1" t="n">
        <v>0</v>
      </c>
      <c r="N566" s="1" t="s">
        <v>370</v>
      </c>
      <c r="Z566" s="0" t="n">
        <f aca="false">I566-35</f>
        <v>127.3</v>
      </c>
      <c r="AB566" s="0" t="n">
        <f aca="false">IF(Z566&lt;0,Z566+360,Z566+0)</f>
        <v>127.3</v>
      </c>
    </row>
    <row r="567" customFormat="false" ht="15.8" hidden="false" customHeight="false" outlineLevel="0" collapsed="false">
      <c r="A567" s="1" t="n">
        <v>13</v>
      </c>
      <c r="B567" s="1" t="n">
        <v>8</v>
      </c>
      <c r="C567" s="1" t="n">
        <v>2.6</v>
      </c>
      <c r="D567" s="1" t="n">
        <v>1.2493</v>
      </c>
      <c r="E567" s="1" t="n">
        <v>0.0893398</v>
      </c>
      <c r="F567" s="1" t="n">
        <v>0.000243767</v>
      </c>
      <c r="G567" s="1" t="s">
        <v>27</v>
      </c>
      <c r="H567" s="1" t="n">
        <v>15.1</v>
      </c>
      <c r="I567" s="1" t="n">
        <v>22.8</v>
      </c>
      <c r="J567" s="1" t="n">
        <v>-9.1</v>
      </c>
      <c r="K567" s="1"/>
      <c r="L567" s="1" t="n">
        <v>0</v>
      </c>
      <c r="M567" s="1" t="n">
        <v>0</v>
      </c>
      <c r="N567" s="1" t="s">
        <v>371</v>
      </c>
      <c r="Z567" s="0" t="n">
        <f aca="false">I567-35</f>
        <v>-12.2</v>
      </c>
      <c r="AB567" s="0" t="n">
        <f aca="false">IF(Z567&lt;0,Z567+360,Z567+0)</f>
        <v>347.8</v>
      </c>
    </row>
    <row r="568" customFormat="false" ht="15.8" hidden="false" customHeight="false" outlineLevel="0" collapsed="false">
      <c r="A568" s="1" t="n">
        <v>13</v>
      </c>
      <c r="B568" s="1" t="n">
        <v>8</v>
      </c>
      <c r="C568" s="1" t="n">
        <v>1.8</v>
      </c>
      <c r="D568" s="1" t="n">
        <v>1.1895</v>
      </c>
      <c r="E568" s="1" t="n">
        <v>0.0602831</v>
      </c>
      <c r="F568" s="1" t="n">
        <v>0.000164484</v>
      </c>
      <c r="G568" s="1" t="s">
        <v>27</v>
      </c>
      <c r="H568" s="1" t="n">
        <v>37.3</v>
      </c>
      <c r="I568" s="1" t="n">
        <v>359.6</v>
      </c>
      <c r="J568" s="1" t="n">
        <v>-12.9</v>
      </c>
      <c r="K568" s="1"/>
      <c r="L568" s="1" t="n">
        <v>0</v>
      </c>
      <c r="M568" s="1" t="n">
        <v>0</v>
      </c>
      <c r="N568" s="1" t="s">
        <v>371</v>
      </c>
      <c r="Z568" s="0" t="n">
        <f aca="false">I568-35</f>
        <v>324.6</v>
      </c>
      <c r="AB568" s="0" t="n">
        <f aca="false">IF(Z568&lt;0,Z568+360,Z568+0)</f>
        <v>324.6</v>
      </c>
    </row>
    <row r="569" customFormat="false" ht="15.8" hidden="false" customHeight="false" outlineLevel="0" collapsed="false">
      <c r="A569" s="1" t="n">
        <v>13</v>
      </c>
      <c r="B569" s="1" t="n">
        <v>7</v>
      </c>
      <c r="C569" s="1" t="n">
        <v>0.6</v>
      </c>
      <c r="D569" s="1" t="n">
        <v>1.039</v>
      </c>
      <c r="E569" s="1" t="n">
        <v>0.021787</v>
      </c>
      <c r="F569" s="1" t="n">
        <v>5.94465E-005</v>
      </c>
      <c r="G569" s="1" t="s">
        <v>59</v>
      </c>
      <c r="H569" s="1" t="n">
        <v>35.2</v>
      </c>
      <c r="I569" s="1" t="n">
        <v>34.8</v>
      </c>
      <c r="J569" s="1" t="n">
        <v>0</v>
      </c>
      <c r="K569" s="1" t="n">
        <v>37.3</v>
      </c>
      <c r="L569" s="1" t="n">
        <v>0</v>
      </c>
      <c r="M569" s="1" t="n">
        <v>0</v>
      </c>
      <c r="N569" s="1" t="s">
        <v>370</v>
      </c>
      <c r="Z569" s="0" t="n">
        <f aca="false">I569-35</f>
        <v>-0.200000000000003</v>
      </c>
      <c r="AB569" s="0" t="n">
        <f aca="false">IF(Z569&lt;0,Z569+360,Z569+0)</f>
        <v>359.8</v>
      </c>
    </row>
    <row r="570" customFormat="false" ht="15.8" hidden="false" customHeight="false" outlineLevel="0" collapsed="false">
      <c r="A570" s="1" t="n">
        <v>13</v>
      </c>
      <c r="B570" s="1" t="n">
        <v>6</v>
      </c>
      <c r="C570" s="1" t="n">
        <v>1</v>
      </c>
      <c r="D570" s="1" t="n">
        <v>1.2065</v>
      </c>
      <c r="E570" s="1" t="n">
        <v>0.034525</v>
      </c>
      <c r="F570" s="1" t="n">
        <v>9.42028E-005</v>
      </c>
      <c r="G570" s="1" t="s">
        <v>59</v>
      </c>
      <c r="H570" s="1" t="n">
        <v>67.1</v>
      </c>
      <c r="I570" s="1" t="n">
        <v>62</v>
      </c>
      <c r="J570" s="1" t="n">
        <v>-23.3</v>
      </c>
      <c r="K570" s="1" t="n">
        <v>102.4</v>
      </c>
      <c r="L570" s="1" t="n">
        <v>0</v>
      </c>
      <c r="M570" s="1" t="n">
        <v>0</v>
      </c>
      <c r="N570" s="1" t="s">
        <v>372</v>
      </c>
      <c r="Z570" s="0" t="n">
        <f aca="false">I570-35</f>
        <v>27</v>
      </c>
      <c r="AB570" s="0" t="n">
        <f aca="false">IF(Z570&lt;0,Z570+360,Z570+0)</f>
        <v>27</v>
      </c>
    </row>
    <row r="571" customFormat="false" ht="15.8" hidden="false" customHeight="false" outlineLevel="0" collapsed="false">
      <c r="A571" s="1" t="n">
        <v>13</v>
      </c>
      <c r="B571" s="1" t="n">
        <v>7</v>
      </c>
      <c r="C571" s="1" t="n">
        <v>2.9</v>
      </c>
      <c r="D571" s="1" t="n">
        <v>2.0245</v>
      </c>
      <c r="E571" s="1" t="n">
        <v>0.0997451</v>
      </c>
      <c r="F571" s="1" t="n">
        <v>0.000272158</v>
      </c>
      <c r="G571" s="1" t="s">
        <v>27</v>
      </c>
      <c r="H571" s="1" t="n">
        <v>106</v>
      </c>
      <c r="I571" s="1" t="n">
        <v>2.7</v>
      </c>
      <c r="J571" s="1" t="n">
        <v>13.3</v>
      </c>
      <c r="K571" s="1"/>
      <c r="L571" s="1" t="n">
        <v>0</v>
      </c>
      <c r="M571" s="1" t="n">
        <v>0</v>
      </c>
      <c r="N571" s="1" t="s">
        <v>373</v>
      </c>
      <c r="Z571" s="0" t="n">
        <f aca="false">I571-35</f>
        <v>-32.3</v>
      </c>
      <c r="AB571" s="0" t="n">
        <f aca="false">IF(Z571&lt;0,Z571+360,Z571+0)</f>
        <v>327.7</v>
      </c>
    </row>
    <row r="572" customFormat="false" ht="15.8" hidden="false" customHeight="false" outlineLevel="0" collapsed="false">
      <c r="A572" s="1" t="n">
        <v>13</v>
      </c>
      <c r="B572" s="1" t="n">
        <v>8</v>
      </c>
      <c r="C572" s="1" t="n">
        <v>1.4</v>
      </c>
      <c r="D572" s="1" t="n">
        <v>1.3451</v>
      </c>
      <c r="E572" s="1" t="n">
        <v>0.0468222</v>
      </c>
      <c r="F572" s="1" t="n">
        <v>0.000127756</v>
      </c>
      <c r="G572" s="1" t="s">
        <v>27</v>
      </c>
      <c r="H572" s="1" t="n">
        <v>22</v>
      </c>
      <c r="I572" s="1" t="n">
        <v>181.2</v>
      </c>
      <c r="J572" s="1" t="n">
        <v>0</v>
      </c>
      <c r="K572" s="1"/>
      <c r="L572" s="1" t="n">
        <v>0</v>
      </c>
      <c r="M572" s="1" t="n">
        <v>0</v>
      </c>
      <c r="N572" s="1" t="s">
        <v>374</v>
      </c>
      <c r="Z572" s="0" t="n">
        <f aca="false">I572-35</f>
        <v>146.2</v>
      </c>
      <c r="AB572" s="0" t="n">
        <f aca="false">IF(Z572&lt;0,Z572+360,Z572+0)</f>
        <v>146.2</v>
      </c>
    </row>
    <row r="573" customFormat="false" ht="15.8" hidden="false" customHeight="false" outlineLevel="0" collapsed="false">
      <c r="A573" s="1" t="n">
        <v>13</v>
      </c>
      <c r="B573" s="1" t="n">
        <v>8</v>
      </c>
      <c r="C573" s="1" t="n">
        <v>5.1</v>
      </c>
      <c r="D573" s="1" t="n">
        <v>1.6573</v>
      </c>
      <c r="E573" s="1" t="n">
        <v>0.174301</v>
      </c>
      <c r="F573" s="1" t="n">
        <v>0.000475585</v>
      </c>
      <c r="G573" s="1" t="s">
        <v>27</v>
      </c>
      <c r="H573" s="1" t="n">
        <v>82.4</v>
      </c>
      <c r="I573" s="1" t="n">
        <v>93.1</v>
      </c>
      <c r="J573" s="1" t="n">
        <v>6.2</v>
      </c>
      <c r="K573" s="1"/>
      <c r="L573" s="1" t="n">
        <v>0</v>
      </c>
      <c r="M573" s="1" t="n">
        <v>0</v>
      </c>
      <c r="N573" s="1" t="s">
        <v>374</v>
      </c>
      <c r="Z573" s="0" t="n">
        <f aca="false">I573-35</f>
        <v>58.1</v>
      </c>
      <c r="AB573" s="0" t="n">
        <f aca="false">IF(Z573&lt;0,Z573+360,Z573+0)</f>
        <v>58.1</v>
      </c>
    </row>
    <row r="574" customFormat="false" ht="15.8" hidden="false" customHeight="false" outlineLevel="0" collapsed="false">
      <c r="A574" s="1" t="n">
        <v>13</v>
      </c>
      <c r="B574" s="1" t="n">
        <v>9</v>
      </c>
      <c r="C574" s="1" t="n">
        <v>4.5</v>
      </c>
      <c r="D574" s="1" t="n">
        <v>1.2851</v>
      </c>
      <c r="E574" s="1" t="n">
        <v>0.155804</v>
      </c>
      <c r="F574" s="1" t="n">
        <v>0.000425116</v>
      </c>
      <c r="G574" s="1" t="s">
        <v>27</v>
      </c>
      <c r="H574" s="1" t="n">
        <v>35.5</v>
      </c>
      <c r="I574" s="1" t="n">
        <v>187.5</v>
      </c>
      <c r="J574" s="1" t="n">
        <v>-21.9</v>
      </c>
      <c r="K574" s="1"/>
      <c r="L574" s="1" t="n">
        <v>0</v>
      </c>
      <c r="M574" s="1" t="n">
        <v>0</v>
      </c>
      <c r="N574" s="1" t="s">
        <v>375</v>
      </c>
      <c r="Z574" s="0" t="n">
        <f aca="false">I574-35</f>
        <v>152.5</v>
      </c>
      <c r="AB574" s="0" t="n">
        <f aca="false">IF(Z574&lt;0,Z574+360,Z574+0)</f>
        <v>152.5</v>
      </c>
    </row>
    <row r="575" customFormat="false" ht="15.8" hidden="false" customHeight="false" outlineLevel="0" collapsed="false">
      <c r="A575" s="1" t="n">
        <v>13</v>
      </c>
      <c r="B575" s="1" t="n">
        <v>10</v>
      </c>
      <c r="C575" s="1" t="n">
        <v>3.5</v>
      </c>
      <c r="D575" s="1" t="n">
        <v>1.2016</v>
      </c>
      <c r="E575" s="1" t="n">
        <v>0.118885</v>
      </c>
      <c r="F575" s="1" t="n">
        <v>0.000324383</v>
      </c>
      <c r="G575" s="1" t="s">
        <v>27</v>
      </c>
      <c r="H575" s="1" t="n">
        <v>117.2</v>
      </c>
      <c r="I575" s="1" t="n">
        <v>339.5</v>
      </c>
      <c r="J575" s="1" t="n">
        <v>-6.6</v>
      </c>
      <c r="K575" s="1"/>
      <c r="L575" s="1" t="n">
        <v>0</v>
      </c>
      <c r="M575" s="1" t="n">
        <v>0</v>
      </c>
      <c r="N575" s="1" t="s">
        <v>376</v>
      </c>
      <c r="Z575" s="0" t="n">
        <f aca="false">I575-35</f>
        <v>304.5</v>
      </c>
      <c r="AB575" s="0" t="n">
        <f aca="false">IF(Z575&lt;0,Z575+360,Z575+0)</f>
        <v>304.5</v>
      </c>
    </row>
    <row r="576" customFormat="false" ht="15.8" hidden="false" customHeight="false" outlineLevel="0" collapsed="false">
      <c r="A576" s="1" t="n">
        <v>13</v>
      </c>
      <c r="B576" s="1" t="n">
        <v>11</v>
      </c>
      <c r="C576" s="1" t="n">
        <v>1.2</v>
      </c>
      <c r="D576" s="1" t="n">
        <v>1.0779</v>
      </c>
      <c r="E576" s="1" t="n">
        <v>0.0407664</v>
      </c>
      <c r="F576" s="1" t="n">
        <v>0.000111233</v>
      </c>
      <c r="G576" s="1" t="s">
        <v>27</v>
      </c>
      <c r="H576" s="1" t="n">
        <v>64.9</v>
      </c>
      <c r="I576" s="1" t="n">
        <v>44.1</v>
      </c>
      <c r="J576" s="1" t="n">
        <v>63.8</v>
      </c>
      <c r="K576" s="1"/>
      <c r="L576" s="1" t="n">
        <v>0</v>
      </c>
      <c r="M576" s="1" t="n">
        <v>0</v>
      </c>
      <c r="N576" s="1" t="s">
        <v>377</v>
      </c>
      <c r="Z576" s="0" t="n">
        <f aca="false">I576-35</f>
        <v>9.1</v>
      </c>
      <c r="AB576" s="0" t="n">
        <f aca="false">IF(Z576&lt;0,Z576+360,Z576+0)</f>
        <v>9.1</v>
      </c>
    </row>
    <row r="577" customFormat="false" ht="15.8" hidden="false" customHeight="false" outlineLevel="0" collapsed="false">
      <c r="A577" s="1" t="n">
        <v>13</v>
      </c>
      <c r="B577" s="1" t="n">
        <v>11</v>
      </c>
      <c r="C577" s="1" t="n">
        <v>1.2</v>
      </c>
      <c r="D577" s="1" t="n">
        <v>1.1963</v>
      </c>
      <c r="E577" s="1" t="n">
        <v>0.0409216</v>
      </c>
      <c r="F577" s="1" t="n">
        <v>0.000111656</v>
      </c>
      <c r="G577" s="1" t="s">
        <v>27</v>
      </c>
      <c r="H577" s="1" t="n">
        <v>38.1</v>
      </c>
      <c r="I577" s="1" t="n">
        <v>336.8</v>
      </c>
      <c r="J577" s="1" t="n">
        <v>41.4</v>
      </c>
      <c r="K577" s="1"/>
      <c r="L577" s="1" t="n">
        <v>0</v>
      </c>
      <c r="M577" s="1" t="n">
        <v>0</v>
      </c>
      <c r="N577" s="1" t="s">
        <v>377</v>
      </c>
      <c r="Z577" s="0" t="n">
        <f aca="false">I577-35</f>
        <v>301.8</v>
      </c>
      <c r="AB577" s="0" t="n">
        <f aca="false">IF(Z577&lt;0,Z577+360,Z577+0)</f>
        <v>301.8</v>
      </c>
    </row>
    <row r="578" customFormat="false" ht="15.8" hidden="false" customHeight="false" outlineLevel="0" collapsed="false">
      <c r="A578" s="1" t="n">
        <v>13</v>
      </c>
      <c r="B578" s="1" t="n">
        <v>11</v>
      </c>
      <c r="C578" s="1" t="n">
        <v>1.6</v>
      </c>
      <c r="D578" s="1" t="n">
        <v>1.164</v>
      </c>
      <c r="E578" s="1" t="n">
        <v>0.0565293</v>
      </c>
      <c r="F578" s="1" t="n">
        <v>0.000154242</v>
      </c>
      <c r="G578" s="1" t="s">
        <v>27</v>
      </c>
      <c r="H578" s="1" t="n">
        <v>78.4</v>
      </c>
      <c r="I578" s="1" t="n">
        <v>199.4</v>
      </c>
      <c r="J578" s="1" t="n">
        <v>13.5</v>
      </c>
      <c r="K578" s="1"/>
      <c r="L578" s="1" t="n">
        <v>0</v>
      </c>
      <c r="M578" s="1" t="n">
        <v>0</v>
      </c>
      <c r="N578" s="1" t="s">
        <v>377</v>
      </c>
      <c r="Z578" s="0" t="n">
        <f aca="false">I578-35</f>
        <v>164.4</v>
      </c>
      <c r="AB578" s="0" t="n">
        <f aca="false">IF(Z578&lt;0,Z578+360,Z578+0)</f>
        <v>164.4</v>
      </c>
    </row>
    <row r="579" customFormat="false" ht="15.8" hidden="false" customHeight="false" outlineLevel="0" collapsed="false">
      <c r="A579" s="1" t="n">
        <v>13</v>
      </c>
      <c r="B579" s="1" t="n">
        <v>10</v>
      </c>
      <c r="C579" s="1" t="n">
        <v>1.2</v>
      </c>
      <c r="D579" s="1" t="n">
        <v>1.158</v>
      </c>
      <c r="E579" s="1" t="n">
        <v>0.0402853</v>
      </c>
      <c r="F579" s="1" t="n">
        <v>0.00010992</v>
      </c>
      <c r="G579" s="1" t="s">
        <v>59</v>
      </c>
      <c r="H579" s="1" t="n">
        <v>55</v>
      </c>
      <c r="I579" s="1" t="n">
        <v>285.6</v>
      </c>
      <c r="J579" s="1" t="n">
        <v>40.6</v>
      </c>
      <c r="K579" s="1" t="n">
        <v>78.4</v>
      </c>
      <c r="L579" s="1" t="n">
        <v>0</v>
      </c>
      <c r="M579" s="1" t="n">
        <v>0</v>
      </c>
      <c r="N579" s="1" t="s">
        <v>376</v>
      </c>
      <c r="Z579" s="0" t="n">
        <f aca="false">I579-35</f>
        <v>250.6</v>
      </c>
      <c r="AB579" s="0" t="n">
        <f aca="false">IF(Z579&lt;0,Z579+360,Z579+0)</f>
        <v>250.6</v>
      </c>
    </row>
    <row r="580" customFormat="false" ht="15.8" hidden="false" customHeight="false" outlineLevel="0" collapsed="false">
      <c r="A580" s="1" t="n">
        <v>13</v>
      </c>
      <c r="B580" s="1" t="n">
        <v>11</v>
      </c>
      <c r="C580" s="1" t="n">
        <v>0.9</v>
      </c>
      <c r="D580" s="1" t="n">
        <v>1.2032</v>
      </c>
      <c r="E580" s="1" t="n">
        <v>0.0325034</v>
      </c>
      <c r="F580" s="1" t="n">
        <v>8.86867E-005</v>
      </c>
      <c r="G580" s="1" t="s">
        <v>27</v>
      </c>
      <c r="H580" s="1" t="n">
        <v>101</v>
      </c>
      <c r="I580" s="1" t="n">
        <v>291.5</v>
      </c>
      <c r="J580" s="1" t="n">
        <v>-24.8</v>
      </c>
      <c r="K580" s="1"/>
      <c r="L580" s="1" t="n">
        <v>0</v>
      </c>
      <c r="M580" s="1" t="n">
        <v>0</v>
      </c>
      <c r="N580" s="1" t="s">
        <v>378</v>
      </c>
      <c r="Z580" s="0" t="n">
        <f aca="false">I580-35</f>
        <v>256.5</v>
      </c>
      <c r="AB580" s="0" t="n">
        <f aca="false">IF(Z580&lt;0,Z580+360,Z580+0)</f>
        <v>256.5</v>
      </c>
    </row>
    <row r="581" customFormat="false" ht="15.8" hidden="false" customHeight="false" outlineLevel="0" collapsed="false">
      <c r="A581" s="1" t="n">
        <v>13</v>
      </c>
      <c r="B581" s="1" t="n">
        <v>11</v>
      </c>
      <c r="C581" s="1" t="n">
        <v>4.4</v>
      </c>
      <c r="D581" s="1" t="n">
        <v>1.2149</v>
      </c>
      <c r="E581" s="1" t="n">
        <v>0.149342</v>
      </c>
      <c r="F581" s="1" t="n">
        <v>0.000407486</v>
      </c>
      <c r="G581" s="1" t="s">
        <v>27</v>
      </c>
      <c r="H581" s="1" t="n">
        <v>9.2</v>
      </c>
      <c r="I581" s="1" t="n">
        <v>196.9</v>
      </c>
      <c r="J581" s="1" t="n">
        <v>5.3</v>
      </c>
      <c r="K581" s="1"/>
      <c r="L581" s="1" t="n">
        <v>0</v>
      </c>
      <c r="M581" s="1" t="n">
        <v>0</v>
      </c>
      <c r="N581" s="1" t="s">
        <v>378</v>
      </c>
      <c r="Z581" s="0" t="n">
        <f aca="false">I581-35</f>
        <v>161.9</v>
      </c>
      <c r="AB581" s="0" t="n">
        <f aca="false">IF(Z581&lt;0,Z581+360,Z581+0)</f>
        <v>161.9</v>
      </c>
    </row>
    <row r="582" customFormat="false" ht="15.8" hidden="false" customHeight="false" outlineLevel="0" collapsed="false">
      <c r="A582" s="1" t="n">
        <v>13</v>
      </c>
      <c r="B582" s="1" t="n">
        <v>10</v>
      </c>
      <c r="C582" s="1" t="n">
        <v>3</v>
      </c>
      <c r="D582" s="1" t="n">
        <v>1.051</v>
      </c>
      <c r="E582" s="1" t="n">
        <v>0.101255</v>
      </c>
      <c r="F582" s="1" t="n">
        <v>0.000276276</v>
      </c>
      <c r="G582" s="1" t="s">
        <v>59</v>
      </c>
      <c r="H582" s="1" t="n">
        <v>39.8</v>
      </c>
      <c r="I582" s="1" t="n">
        <v>189.4</v>
      </c>
      <c r="J582" s="1" t="n">
        <v>0</v>
      </c>
      <c r="K582" s="1" t="n">
        <v>101</v>
      </c>
      <c r="L582" s="1" t="n">
        <v>0</v>
      </c>
      <c r="M582" s="1" t="n">
        <v>0</v>
      </c>
      <c r="N582" s="1" t="s">
        <v>376</v>
      </c>
      <c r="Z582" s="0" t="n">
        <f aca="false">I582-35</f>
        <v>154.4</v>
      </c>
      <c r="AB582" s="0" t="n">
        <f aca="false">IF(Z582&lt;0,Z582+360,Z582+0)</f>
        <v>154.4</v>
      </c>
    </row>
    <row r="583" customFormat="false" ht="15.8" hidden="false" customHeight="false" outlineLevel="0" collapsed="false">
      <c r="A583" s="1" t="n">
        <v>13</v>
      </c>
      <c r="B583" s="1" t="n">
        <v>9</v>
      </c>
      <c r="C583" s="1" t="n">
        <v>2.1</v>
      </c>
      <c r="D583" s="1" t="n">
        <v>1.2215</v>
      </c>
      <c r="E583" s="1" t="n">
        <v>0.0703552</v>
      </c>
      <c r="F583" s="1" t="n">
        <v>0.000191966</v>
      </c>
      <c r="G583" s="1" t="s">
        <v>59</v>
      </c>
      <c r="H583" s="1" t="n">
        <v>21.6</v>
      </c>
      <c r="I583" s="1" t="n">
        <v>222.7</v>
      </c>
      <c r="J583" s="1" t="n">
        <v>23.1</v>
      </c>
      <c r="K583" s="1" t="n">
        <v>117.2</v>
      </c>
      <c r="L583" s="1" t="n">
        <v>0</v>
      </c>
      <c r="M583" s="1" t="n">
        <v>0</v>
      </c>
      <c r="N583" s="1" t="s">
        <v>375</v>
      </c>
      <c r="Z583" s="0" t="n">
        <f aca="false">I583-35</f>
        <v>187.7</v>
      </c>
      <c r="AB583" s="0" t="n">
        <f aca="false">IF(Z583&lt;0,Z583+360,Z583+0)</f>
        <v>187.7</v>
      </c>
    </row>
    <row r="584" customFormat="false" ht="15.8" hidden="false" customHeight="false" outlineLevel="0" collapsed="false">
      <c r="A584" s="1" t="n">
        <v>13</v>
      </c>
      <c r="B584" s="1" t="n">
        <v>8</v>
      </c>
      <c r="C584" s="1" t="n">
        <v>6.5</v>
      </c>
      <c r="D584" s="1" t="n">
        <v>1.4404</v>
      </c>
      <c r="E584" s="1" t="n">
        <v>0.224171</v>
      </c>
      <c r="F584" s="1" t="n">
        <v>0.000611658</v>
      </c>
      <c r="G584" s="1" t="s">
        <v>59</v>
      </c>
      <c r="H584" s="1" t="n">
        <v>30.8</v>
      </c>
      <c r="I584" s="1" t="n">
        <v>206.3</v>
      </c>
      <c r="J584" s="1" t="n">
        <v>8.4</v>
      </c>
      <c r="K584" s="1" t="n">
        <v>35.5</v>
      </c>
      <c r="L584" s="1" t="n">
        <v>0</v>
      </c>
      <c r="M584" s="1" t="n">
        <v>0</v>
      </c>
      <c r="N584" s="1" t="s">
        <v>374</v>
      </c>
      <c r="Z584" s="0" t="n">
        <f aca="false">I584-35</f>
        <v>171.3</v>
      </c>
      <c r="AB584" s="0" t="n">
        <f aca="false">IF(Z584&lt;0,Z584+360,Z584+0)</f>
        <v>171.3</v>
      </c>
    </row>
    <row r="585" customFormat="false" ht="15.8" hidden="false" customHeight="false" outlineLevel="0" collapsed="false">
      <c r="A585" s="1" t="n">
        <v>13</v>
      </c>
      <c r="B585" s="1" t="n">
        <v>7</v>
      </c>
      <c r="C585" s="1" t="n">
        <v>2.2</v>
      </c>
      <c r="D585" s="1" t="n">
        <v>1.2054</v>
      </c>
      <c r="E585" s="1" t="n">
        <v>0.0738608</v>
      </c>
      <c r="F585" s="1" t="n">
        <v>0.000201532</v>
      </c>
      <c r="G585" s="1" t="s">
        <v>59</v>
      </c>
      <c r="H585" s="1" t="n">
        <v>43</v>
      </c>
      <c r="I585" s="1" t="n">
        <v>177.4</v>
      </c>
      <c r="J585" s="1" t="n">
        <v>21.7</v>
      </c>
      <c r="K585" s="1" t="n">
        <v>82.4</v>
      </c>
      <c r="L585" s="1" t="n">
        <v>0</v>
      </c>
      <c r="M585" s="1" t="n">
        <v>0</v>
      </c>
      <c r="N585" s="1" t="s">
        <v>373</v>
      </c>
      <c r="Z585" s="0" t="n">
        <f aca="false">I585-35</f>
        <v>142.4</v>
      </c>
      <c r="AB585" s="0" t="n">
        <f aca="false">IF(Z585&lt;0,Z585+360,Z585+0)</f>
        <v>142.4</v>
      </c>
    </row>
    <row r="586" customFormat="false" ht="15.8" hidden="false" customHeight="false" outlineLevel="0" collapsed="false">
      <c r="A586" s="1" t="n">
        <v>13</v>
      </c>
      <c r="B586" s="1" t="n">
        <v>6</v>
      </c>
      <c r="C586" s="1" t="n">
        <v>0.5</v>
      </c>
      <c r="D586" s="1" t="n">
        <v>1.1805</v>
      </c>
      <c r="E586" s="1" t="n">
        <v>0.0185077</v>
      </c>
      <c r="F586" s="1" t="n">
        <v>5.0499E-005</v>
      </c>
      <c r="G586" s="1" t="s">
        <v>59</v>
      </c>
      <c r="H586" s="1" t="n">
        <v>46.6</v>
      </c>
      <c r="I586" s="1" t="n">
        <v>133.6</v>
      </c>
      <c r="J586" s="1" t="n">
        <v>46.2</v>
      </c>
      <c r="K586" s="1" t="n">
        <v>106</v>
      </c>
      <c r="L586" s="1" t="n">
        <v>0</v>
      </c>
      <c r="M586" s="1" t="n">
        <v>0</v>
      </c>
      <c r="N586" s="1" t="s">
        <v>372</v>
      </c>
      <c r="Z586" s="0" t="n">
        <f aca="false">I586-35</f>
        <v>98.6</v>
      </c>
      <c r="AB586" s="0" t="n">
        <f aca="false">IF(Z586&lt;0,Z586+360,Z586+0)</f>
        <v>98.6</v>
      </c>
    </row>
    <row r="587" customFormat="false" ht="15.8" hidden="false" customHeight="false" outlineLevel="0" collapsed="false">
      <c r="A587" s="1" t="n">
        <v>13</v>
      </c>
      <c r="B587" s="1" t="n">
        <v>5</v>
      </c>
      <c r="C587" s="1" t="n">
        <v>0.4</v>
      </c>
      <c r="D587" s="1" t="n">
        <v>1.0086</v>
      </c>
      <c r="E587" s="1" t="n">
        <v>0.0150972</v>
      </c>
      <c r="F587" s="1" t="n">
        <v>4.11931E-005</v>
      </c>
      <c r="G587" s="1" t="s">
        <v>59</v>
      </c>
      <c r="H587" s="1" t="n">
        <v>43.4</v>
      </c>
      <c r="I587" s="1" t="n">
        <v>126.9</v>
      </c>
      <c r="J587" s="1" t="n">
        <v>0</v>
      </c>
      <c r="K587" s="1" t="n">
        <v>67.1</v>
      </c>
      <c r="L587" s="1" t="n">
        <v>0</v>
      </c>
      <c r="M587" s="1" t="n">
        <v>0</v>
      </c>
      <c r="N587" s="1" t="s">
        <v>369</v>
      </c>
      <c r="Z587" s="0" t="n">
        <f aca="false">I587-35</f>
        <v>91.9</v>
      </c>
      <c r="AB587" s="0" t="n">
        <f aca="false">IF(Z587&lt;0,Z587+360,Z587+0)</f>
        <v>91.9</v>
      </c>
    </row>
    <row r="588" customFormat="false" ht="15.8" hidden="false" customHeight="false" outlineLevel="0" collapsed="false">
      <c r="A588" s="1" t="n">
        <v>13</v>
      </c>
      <c r="B588" s="1" t="n">
        <v>4</v>
      </c>
      <c r="C588" s="1" t="n">
        <v>2.2</v>
      </c>
      <c r="D588" s="1" t="n">
        <v>1.219</v>
      </c>
      <c r="E588" s="1" t="n">
        <v>0.0765403</v>
      </c>
      <c r="F588" s="1" t="n">
        <v>0.000208843</v>
      </c>
      <c r="G588" s="1" t="s">
        <v>59</v>
      </c>
      <c r="H588" s="1" t="n">
        <v>38.4</v>
      </c>
      <c r="I588" s="1" t="n">
        <v>157.1</v>
      </c>
      <c r="J588" s="1" t="n">
        <v>32.7</v>
      </c>
      <c r="K588" s="1" t="n">
        <v>98.6</v>
      </c>
      <c r="L588" s="1" t="n">
        <v>0</v>
      </c>
      <c r="M588" s="1" t="n">
        <v>0</v>
      </c>
      <c r="N588" s="1" t="s">
        <v>365</v>
      </c>
      <c r="Z588" s="0" t="n">
        <f aca="false">I588-35</f>
        <v>122.1</v>
      </c>
      <c r="AB588" s="0" t="n">
        <f aca="false">IF(Z588&lt;0,Z588+360,Z588+0)</f>
        <v>122.1</v>
      </c>
    </row>
    <row r="589" customFormat="false" ht="15.8" hidden="false" customHeight="false" outlineLevel="0" collapsed="false">
      <c r="A589" s="1" t="n">
        <v>13</v>
      </c>
      <c r="B589" s="1" t="n">
        <v>3</v>
      </c>
      <c r="C589" s="1" t="n">
        <v>4.4</v>
      </c>
      <c r="D589" s="1" t="n">
        <v>1.4235</v>
      </c>
      <c r="E589" s="1" t="n">
        <v>0.150537</v>
      </c>
      <c r="F589" s="1" t="n">
        <v>0.000410745</v>
      </c>
      <c r="G589" s="1" t="s">
        <v>59</v>
      </c>
      <c r="H589" s="1" t="n">
        <v>30</v>
      </c>
      <c r="I589" s="1" t="n">
        <v>109.7</v>
      </c>
      <c r="J589" s="1" t="n">
        <v>39.9</v>
      </c>
      <c r="K589" s="1" t="n">
        <v>74.2</v>
      </c>
      <c r="L589" s="1" t="n">
        <v>0</v>
      </c>
      <c r="M589" s="1" t="n">
        <v>0</v>
      </c>
      <c r="N589" s="1" t="s">
        <v>364</v>
      </c>
      <c r="Z589" s="0" t="n">
        <f aca="false">I589-35</f>
        <v>74.7</v>
      </c>
      <c r="AB589" s="0" t="n">
        <f aca="false">IF(Z589&lt;0,Z589+360,Z589+0)</f>
        <v>74.7</v>
      </c>
    </row>
    <row r="590" customFormat="false" ht="15.8" hidden="false" customHeight="false" outlineLevel="0" collapsed="false">
      <c r="A590" s="1" t="n">
        <v>13</v>
      </c>
      <c r="B590" s="1" t="n">
        <v>2</v>
      </c>
      <c r="C590" s="1" t="n">
        <v>1.1</v>
      </c>
      <c r="D590" s="1" t="n">
        <v>1.365</v>
      </c>
      <c r="E590" s="1" t="n">
        <v>0.0390708</v>
      </c>
      <c r="F590" s="1" t="n">
        <v>0.000106606</v>
      </c>
      <c r="G590" s="1" t="s">
        <v>59</v>
      </c>
      <c r="H590" s="1" t="n">
        <v>49.9</v>
      </c>
      <c r="I590" s="1" t="n">
        <v>69.5</v>
      </c>
      <c r="J590" s="1" t="n">
        <v>52.2</v>
      </c>
      <c r="K590" s="1" t="n">
        <v>68.4</v>
      </c>
      <c r="L590" s="1" t="n">
        <v>0</v>
      </c>
      <c r="M590" s="1" t="n">
        <v>0</v>
      </c>
      <c r="N590" s="1" t="s">
        <v>363</v>
      </c>
      <c r="Z590" s="0" t="n">
        <f aca="false">I590-35</f>
        <v>34.5</v>
      </c>
      <c r="AB590" s="0" t="n">
        <f aca="false">IF(Z590&lt;0,Z590+360,Z590+0)</f>
        <v>34.5</v>
      </c>
    </row>
    <row r="591" customFormat="false" ht="15.8" hidden="false" customHeight="false" outlineLevel="0" collapsed="false">
      <c r="A591" s="1" t="n">
        <v>13</v>
      </c>
      <c r="B591" s="1" t="n">
        <v>1</v>
      </c>
      <c r="C591" s="1" t="n">
        <v>3.4</v>
      </c>
      <c r="D591" s="1" t="n">
        <v>1.3472</v>
      </c>
      <c r="E591" s="1" t="n">
        <v>0.117549</v>
      </c>
      <c r="F591" s="1" t="n">
        <v>0.000320737</v>
      </c>
      <c r="G591" s="1" t="s">
        <v>59</v>
      </c>
      <c r="H591" s="1"/>
      <c r="I591" s="1" t="n">
        <v>122.9</v>
      </c>
      <c r="J591" s="1" t="n">
        <v>22.9</v>
      </c>
      <c r="K591" s="1" t="n">
        <v>102.3</v>
      </c>
      <c r="L591" s="1" t="n">
        <v>0</v>
      </c>
      <c r="M591" s="1" t="n">
        <v>0</v>
      </c>
      <c r="N591" s="1" t="s">
        <v>379</v>
      </c>
      <c r="Z591" s="0" t="n">
        <f aca="false">I591-35</f>
        <v>87.9</v>
      </c>
      <c r="AB591" s="0" t="n">
        <f aca="false">IF(Z591&lt;0,Z591+360,Z591+0)</f>
        <v>87.9</v>
      </c>
    </row>
    <row r="592" customFormat="false" ht="15.8" hidden="false" customHeight="false" outlineLevel="0" collapsed="false">
      <c r="A592" s="1" t="n">
        <v>14</v>
      </c>
      <c r="B592" s="1" t="n">
        <v>3</v>
      </c>
      <c r="C592" s="1" t="n">
        <v>0.9</v>
      </c>
      <c r="D592" s="1" t="n">
        <v>1.0276</v>
      </c>
      <c r="E592" s="1" t="n">
        <v>0.0316163</v>
      </c>
      <c r="F592" s="1" t="n">
        <v>8.62661E-005</v>
      </c>
      <c r="G592" s="1" t="s">
        <v>27</v>
      </c>
      <c r="H592" s="1" t="n">
        <v>33.9</v>
      </c>
      <c r="I592" s="1" t="n">
        <v>251.6</v>
      </c>
      <c r="J592" s="1" t="n">
        <v>0</v>
      </c>
      <c r="K592" s="1"/>
      <c r="L592" s="1" t="n">
        <v>0</v>
      </c>
      <c r="M592" s="1" t="n">
        <v>0</v>
      </c>
      <c r="N592" s="1" t="s">
        <v>380</v>
      </c>
      <c r="Z592" s="0" t="n">
        <f aca="false">I592-35</f>
        <v>216.6</v>
      </c>
      <c r="AB592" s="0" t="n">
        <f aca="false">IF(Z592&lt;0,Z592+360,Z592+0)</f>
        <v>216.6</v>
      </c>
    </row>
    <row r="593" customFormat="false" ht="15.8" hidden="false" customHeight="false" outlineLevel="0" collapsed="false">
      <c r="A593" s="1" t="n">
        <v>14</v>
      </c>
      <c r="B593" s="1" t="n">
        <v>4</v>
      </c>
      <c r="C593" s="1" t="n">
        <v>2.1</v>
      </c>
      <c r="D593" s="1" t="n">
        <v>1.3887</v>
      </c>
      <c r="E593" s="1" t="n">
        <v>0.0706444</v>
      </c>
      <c r="F593" s="1" t="n">
        <v>0.000192756</v>
      </c>
      <c r="G593" s="1" t="s">
        <v>27</v>
      </c>
      <c r="H593" s="1" t="n">
        <v>50.8</v>
      </c>
      <c r="I593" s="1" t="n">
        <v>67.9</v>
      </c>
      <c r="J593" s="1" t="n">
        <v>-41.9</v>
      </c>
      <c r="K593" s="1"/>
      <c r="L593" s="1" t="n">
        <v>0</v>
      </c>
      <c r="M593" s="1" t="n">
        <v>0</v>
      </c>
      <c r="N593" s="1" t="s">
        <v>381</v>
      </c>
      <c r="Z593" s="0" t="n">
        <f aca="false">I593-35</f>
        <v>32.9</v>
      </c>
      <c r="AB593" s="0" t="n">
        <f aca="false">IF(Z593&lt;0,Z593+360,Z593+0)</f>
        <v>32.9</v>
      </c>
    </row>
    <row r="594" customFormat="false" ht="15.8" hidden="false" customHeight="false" outlineLevel="0" collapsed="false">
      <c r="A594" s="1" t="n">
        <v>14</v>
      </c>
      <c r="B594" s="1" t="n">
        <v>4</v>
      </c>
      <c r="C594" s="1" t="n">
        <v>2.3</v>
      </c>
      <c r="D594" s="1" t="n">
        <v>1.2225</v>
      </c>
      <c r="E594" s="1" t="n">
        <v>0.0790285</v>
      </c>
      <c r="F594" s="1" t="n">
        <v>0.000215632</v>
      </c>
      <c r="G594" s="1" t="s">
        <v>27</v>
      </c>
      <c r="H594" s="1" t="n">
        <v>94.5</v>
      </c>
      <c r="I594" s="1" t="n">
        <v>201</v>
      </c>
      <c r="J594" s="1" t="n">
        <v>-61.1</v>
      </c>
      <c r="K594" s="1"/>
      <c r="L594" s="1" t="n">
        <v>0</v>
      </c>
      <c r="M594" s="1" t="n">
        <v>0</v>
      </c>
      <c r="N594" s="1" t="s">
        <v>381</v>
      </c>
      <c r="Z594" s="0" t="n">
        <f aca="false">I594-35</f>
        <v>166</v>
      </c>
      <c r="AB594" s="0" t="n">
        <f aca="false">IF(Z594&lt;0,Z594+360,Z594+0)</f>
        <v>166</v>
      </c>
    </row>
    <row r="595" customFormat="false" ht="15.8" hidden="false" customHeight="false" outlineLevel="0" collapsed="false">
      <c r="A595" s="1" t="n">
        <v>14</v>
      </c>
      <c r="B595" s="1" t="n">
        <v>5</v>
      </c>
      <c r="C595" s="1" t="n">
        <v>1.6</v>
      </c>
      <c r="D595" s="1" t="n">
        <v>1.8858</v>
      </c>
      <c r="E595" s="1" t="n">
        <v>0.0544957</v>
      </c>
      <c r="F595" s="1" t="n">
        <v>0.000148693</v>
      </c>
      <c r="G595" s="1" t="s">
        <v>27</v>
      </c>
      <c r="H595" s="1" t="n">
        <v>91.7</v>
      </c>
      <c r="I595" s="1" t="n">
        <v>238.6</v>
      </c>
      <c r="J595" s="1" t="n">
        <v>51.5</v>
      </c>
      <c r="K595" s="1"/>
      <c r="L595" s="1" t="n">
        <v>0</v>
      </c>
      <c r="M595" s="1" t="n">
        <v>0</v>
      </c>
      <c r="N595" s="1" t="s">
        <v>382</v>
      </c>
      <c r="Z595" s="0" t="n">
        <f aca="false">I595-35</f>
        <v>203.6</v>
      </c>
      <c r="AB595" s="0" t="n">
        <f aca="false">IF(Z595&lt;0,Z595+360,Z595+0)</f>
        <v>203.6</v>
      </c>
    </row>
    <row r="596" customFormat="false" ht="15.8" hidden="false" customHeight="false" outlineLevel="0" collapsed="false">
      <c r="A596" s="1" t="n">
        <v>14</v>
      </c>
      <c r="B596" s="1" t="n">
        <v>6</v>
      </c>
      <c r="C596" s="1" t="n">
        <v>0.6</v>
      </c>
      <c r="D596" s="1" t="n">
        <v>1.0732</v>
      </c>
      <c r="E596" s="1" t="n">
        <v>0.021388</v>
      </c>
      <c r="F596" s="1" t="n">
        <v>5.83579E-005</v>
      </c>
      <c r="G596" s="1" t="s">
        <v>27</v>
      </c>
      <c r="H596" s="1" t="n">
        <v>132</v>
      </c>
      <c r="I596" s="1" t="n">
        <v>235.7</v>
      </c>
      <c r="J596" s="1" t="n">
        <v>0</v>
      </c>
      <c r="K596" s="1"/>
      <c r="L596" s="1" t="n">
        <v>0</v>
      </c>
      <c r="M596" s="1" t="n">
        <v>0</v>
      </c>
      <c r="N596" s="1" t="s">
        <v>383</v>
      </c>
      <c r="Z596" s="0" t="n">
        <f aca="false">I596-35</f>
        <v>200.7</v>
      </c>
      <c r="AB596" s="0" t="n">
        <f aca="false">IF(Z596&lt;0,Z596+360,Z596+0)</f>
        <v>200.7</v>
      </c>
    </row>
    <row r="597" customFormat="false" ht="15.8" hidden="false" customHeight="false" outlineLevel="0" collapsed="false">
      <c r="A597" s="1" t="n">
        <v>14</v>
      </c>
      <c r="B597" s="1" t="n">
        <v>6</v>
      </c>
      <c r="C597" s="1" t="n">
        <v>1.2</v>
      </c>
      <c r="D597" s="1" t="n">
        <v>1.1877</v>
      </c>
      <c r="E597" s="1" t="n">
        <v>0.0425578</v>
      </c>
      <c r="F597" s="1" t="n">
        <v>0.00011612</v>
      </c>
      <c r="G597" s="1" t="s">
        <v>27</v>
      </c>
      <c r="H597" s="1" t="n">
        <v>29.1</v>
      </c>
      <c r="I597" s="1" t="n">
        <v>27.3</v>
      </c>
      <c r="J597" s="1" t="n">
        <v>39.2</v>
      </c>
      <c r="K597" s="1"/>
      <c r="L597" s="1" t="n">
        <v>0</v>
      </c>
      <c r="M597" s="1" t="n">
        <v>0</v>
      </c>
      <c r="N597" s="1" t="s">
        <v>383</v>
      </c>
      <c r="Z597" s="0" t="n">
        <f aca="false">I597-35</f>
        <v>-7.7</v>
      </c>
      <c r="AB597" s="0" t="n">
        <f aca="false">IF(Z597&lt;0,Z597+360,Z597+0)</f>
        <v>352.3</v>
      </c>
    </row>
    <row r="598" customFormat="false" ht="15.8" hidden="false" customHeight="false" outlineLevel="0" collapsed="false">
      <c r="A598" s="1" t="n">
        <v>14</v>
      </c>
      <c r="B598" s="1" t="n">
        <v>5</v>
      </c>
      <c r="C598" s="1" t="n">
        <v>1.9</v>
      </c>
      <c r="D598" s="1" t="n">
        <v>1.4191</v>
      </c>
      <c r="E598" s="1" t="n">
        <v>0.063442</v>
      </c>
      <c r="F598" s="1" t="n">
        <v>0.000173104</v>
      </c>
      <c r="G598" s="1" t="s">
        <v>59</v>
      </c>
      <c r="H598" s="1" t="n">
        <v>47.6</v>
      </c>
      <c r="I598" s="1" t="n">
        <v>9.5</v>
      </c>
      <c r="J598" s="1" t="n">
        <v>14.7</v>
      </c>
      <c r="K598" s="1" t="n">
        <v>132</v>
      </c>
      <c r="L598" s="1" t="n">
        <v>0</v>
      </c>
      <c r="M598" s="1" t="n">
        <v>0</v>
      </c>
      <c r="N598" s="1" t="s">
        <v>382</v>
      </c>
      <c r="Z598" s="0" t="n">
        <f aca="false">I598-35</f>
        <v>-25.5</v>
      </c>
      <c r="AB598" s="0" t="n">
        <f aca="false">IF(Z598&lt;0,Z598+360,Z598+0)</f>
        <v>334.5</v>
      </c>
    </row>
    <row r="599" customFormat="false" ht="15.8" hidden="false" customHeight="false" outlineLevel="0" collapsed="false">
      <c r="A599" s="1" t="n">
        <v>14</v>
      </c>
      <c r="B599" s="1" t="n">
        <v>4</v>
      </c>
      <c r="C599" s="1" t="n">
        <v>0.7</v>
      </c>
      <c r="D599" s="1" t="n">
        <v>1.191</v>
      </c>
      <c r="E599" s="1" t="n">
        <v>0.022525</v>
      </c>
      <c r="F599" s="1" t="n">
        <v>6.14603E-005</v>
      </c>
      <c r="G599" s="1" t="s">
        <v>59</v>
      </c>
      <c r="H599" s="1" t="n">
        <v>75.2</v>
      </c>
      <c r="I599" s="1" t="n">
        <v>57.1</v>
      </c>
      <c r="J599" s="1" t="n">
        <v>36.7</v>
      </c>
      <c r="K599" s="1" t="n">
        <v>91.7</v>
      </c>
      <c r="L599" s="1" t="n">
        <v>0</v>
      </c>
      <c r="M599" s="1" t="n">
        <v>0</v>
      </c>
      <c r="N599" s="1" t="s">
        <v>381</v>
      </c>
      <c r="Z599" s="0" t="n">
        <f aca="false">I599-35</f>
        <v>22.1</v>
      </c>
      <c r="AB599" s="0" t="n">
        <f aca="false">IF(Z599&lt;0,Z599+360,Z599+0)</f>
        <v>22.1</v>
      </c>
    </row>
    <row r="600" customFormat="false" ht="15.8" hidden="false" customHeight="false" outlineLevel="0" collapsed="false">
      <c r="A600" s="1" t="n">
        <v>14</v>
      </c>
      <c r="B600" s="1" t="n">
        <v>3</v>
      </c>
      <c r="C600" s="1" t="n">
        <v>4.5</v>
      </c>
      <c r="D600" s="1" t="n">
        <v>1.3716</v>
      </c>
      <c r="E600" s="1" t="n">
        <v>0.152831</v>
      </c>
      <c r="F600" s="1" t="n">
        <v>0.000417004</v>
      </c>
      <c r="G600" s="1" t="s">
        <v>59</v>
      </c>
      <c r="H600" s="1" t="n">
        <v>83.3</v>
      </c>
      <c r="I600" s="1" t="n">
        <v>9.9</v>
      </c>
      <c r="J600" s="1" t="n">
        <v>-24</v>
      </c>
      <c r="K600" s="1" t="n">
        <v>94.5</v>
      </c>
      <c r="L600" s="1" t="n">
        <v>0</v>
      </c>
      <c r="M600" s="1" t="n">
        <v>0</v>
      </c>
      <c r="N600" s="1" t="s">
        <v>380</v>
      </c>
      <c r="Z600" s="0" t="n">
        <f aca="false">I600-35</f>
        <v>-25.1</v>
      </c>
      <c r="AB600" s="0" t="n">
        <f aca="false">IF(Z600&lt;0,Z600+360,Z600+0)</f>
        <v>334.9</v>
      </c>
    </row>
    <row r="601" customFormat="false" ht="15.8" hidden="false" customHeight="false" outlineLevel="0" collapsed="false">
      <c r="A601" s="1" t="n">
        <v>14</v>
      </c>
      <c r="B601" s="1" t="n">
        <v>2</v>
      </c>
      <c r="C601" s="1" t="n">
        <v>4.9</v>
      </c>
      <c r="D601" s="1" t="n">
        <v>1.248</v>
      </c>
      <c r="E601" s="1" t="n">
        <v>0.166927</v>
      </c>
      <c r="F601" s="1" t="n">
        <v>0.000455466</v>
      </c>
      <c r="G601" s="1" t="s">
        <v>59</v>
      </c>
      <c r="H601" s="1" t="n">
        <v>53</v>
      </c>
      <c r="I601" s="1" t="n">
        <v>285.1</v>
      </c>
      <c r="J601" s="1" t="n">
        <v>-4.9</v>
      </c>
      <c r="K601" s="1" t="n">
        <v>83.3</v>
      </c>
      <c r="L601" s="1" t="n">
        <v>0</v>
      </c>
      <c r="M601" s="1" t="n">
        <v>0</v>
      </c>
      <c r="N601" s="1" t="s">
        <v>384</v>
      </c>
      <c r="Z601" s="0" t="n">
        <f aca="false">I601-35</f>
        <v>250.1</v>
      </c>
      <c r="AB601" s="0" t="n">
        <f aca="false">IF(Z601&lt;0,Z601+360,Z601+0)</f>
        <v>250.1</v>
      </c>
    </row>
    <row r="602" customFormat="false" ht="15.8" hidden="false" customHeight="false" outlineLevel="0" collapsed="false">
      <c r="A602" s="1" t="n">
        <v>14</v>
      </c>
      <c r="B602" s="1" t="n">
        <v>4</v>
      </c>
      <c r="C602" s="1" t="n">
        <v>3.2</v>
      </c>
      <c r="D602" s="1" t="n">
        <v>1.1724</v>
      </c>
      <c r="E602" s="1" t="n">
        <v>0.108268</v>
      </c>
      <c r="F602" s="1" t="n">
        <v>0.000295412</v>
      </c>
      <c r="G602" s="1" t="s">
        <v>27</v>
      </c>
      <c r="H602" s="1" t="n">
        <v>60</v>
      </c>
      <c r="I602" s="1" t="n">
        <v>10</v>
      </c>
      <c r="J602" s="1" t="n">
        <v>0</v>
      </c>
      <c r="K602" s="1"/>
      <c r="L602" s="1" t="n">
        <v>0</v>
      </c>
      <c r="M602" s="1" t="n">
        <v>0</v>
      </c>
      <c r="N602" s="1" t="s">
        <v>385</v>
      </c>
      <c r="Z602" s="0" t="n">
        <f aca="false">I602-35</f>
        <v>-25</v>
      </c>
      <c r="AB602" s="0" t="n">
        <f aca="false">IF(Z602&lt;0,Z602+360,Z602+0)</f>
        <v>335</v>
      </c>
    </row>
    <row r="603" customFormat="false" ht="15.8" hidden="false" customHeight="false" outlineLevel="0" collapsed="false">
      <c r="A603" s="1" t="n">
        <v>14</v>
      </c>
      <c r="B603" s="1" t="n">
        <v>5</v>
      </c>
      <c r="C603" s="1" t="n">
        <v>2.1</v>
      </c>
      <c r="D603" s="1" t="n">
        <v>1.3159</v>
      </c>
      <c r="E603" s="1" t="n">
        <v>0.0724376</v>
      </c>
      <c r="F603" s="1" t="n">
        <v>0.000197649</v>
      </c>
      <c r="G603" s="1" t="s">
        <v>27</v>
      </c>
      <c r="H603" s="1" t="n">
        <v>50.6</v>
      </c>
      <c r="I603" s="1" t="n">
        <v>286.6</v>
      </c>
      <c r="J603" s="1" t="n">
        <v>-38.1</v>
      </c>
      <c r="K603" s="1"/>
      <c r="L603" s="1" t="n">
        <v>0</v>
      </c>
      <c r="M603" s="1" t="n">
        <v>0</v>
      </c>
      <c r="N603" s="1" t="s">
        <v>386</v>
      </c>
      <c r="Z603" s="0" t="n">
        <f aca="false">I603-35</f>
        <v>251.6</v>
      </c>
      <c r="AB603" s="0" t="n">
        <f aca="false">IF(Z603&lt;0,Z603+360,Z603+0)</f>
        <v>251.6</v>
      </c>
    </row>
    <row r="604" customFormat="false" ht="15.8" hidden="false" customHeight="false" outlineLevel="0" collapsed="false">
      <c r="A604" s="1" t="n">
        <v>14</v>
      </c>
      <c r="B604" s="1" t="n">
        <v>5</v>
      </c>
      <c r="C604" s="1" t="n">
        <v>0.9</v>
      </c>
      <c r="D604" s="1" t="n">
        <v>1.0249</v>
      </c>
      <c r="E604" s="1" t="n">
        <v>0.0296619</v>
      </c>
      <c r="F604" s="1" t="n">
        <v>8.09336E-005</v>
      </c>
      <c r="G604" s="1" t="s">
        <v>27</v>
      </c>
      <c r="H604" s="1" t="n">
        <v>22.3</v>
      </c>
      <c r="I604" s="1" t="n">
        <v>220.3</v>
      </c>
      <c r="J604" s="1" t="n">
        <v>0</v>
      </c>
      <c r="K604" s="1"/>
      <c r="L604" s="1" t="n">
        <v>0</v>
      </c>
      <c r="M604" s="1" t="n">
        <v>0</v>
      </c>
      <c r="N604" s="1" t="s">
        <v>386</v>
      </c>
      <c r="Z604" s="0" t="n">
        <f aca="false">I604-35</f>
        <v>185.3</v>
      </c>
      <c r="AB604" s="0" t="n">
        <f aca="false">IF(Z604&lt;0,Z604+360,Z604+0)</f>
        <v>185.3</v>
      </c>
    </row>
    <row r="605" customFormat="false" ht="15.8" hidden="false" customHeight="false" outlineLevel="0" collapsed="false">
      <c r="A605" s="1" t="n">
        <v>14</v>
      </c>
      <c r="B605" s="1" t="n">
        <v>4</v>
      </c>
      <c r="C605" s="1" t="n">
        <v>1.2</v>
      </c>
      <c r="D605" s="1" t="n">
        <v>1.1965</v>
      </c>
      <c r="E605" s="1" t="n">
        <v>0.041838</v>
      </c>
      <c r="F605" s="1" t="n">
        <v>0.000114156</v>
      </c>
      <c r="G605" s="1" t="s">
        <v>59</v>
      </c>
      <c r="H605" s="1" t="n">
        <v>74.4</v>
      </c>
      <c r="I605" s="1" t="n">
        <v>232.4</v>
      </c>
      <c r="J605" s="1" t="n">
        <v>-18.9</v>
      </c>
      <c r="K605" s="1" t="n">
        <v>50.6</v>
      </c>
      <c r="L605" s="1" t="n">
        <v>0</v>
      </c>
      <c r="M605" s="1" t="n">
        <v>0</v>
      </c>
      <c r="N605" s="1" t="s">
        <v>385</v>
      </c>
      <c r="Z605" s="0" t="n">
        <f aca="false">I605-35</f>
        <v>197.4</v>
      </c>
      <c r="AB605" s="0" t="n">
        <f aca="false">IF(Z605&lt;0,Z605+360,Z605+0)</f>
        <v>197.4</v>
      </c>
    </row>
    <row r="606" customFormat="false" ht="15.8" hidden="false" customHeight="false" outlineLevel="0" collapsed="false">
      <c r="A606" s="1" t="n">
        <v>14</v>
      </c>
      <c r="B606" s="1" t="n">
        <v>3</v>
      </c>
      <c r="C606" s="1" t="n">
        <v>2.7</v>
      </c>
      <c r="D606" s="1" t="n">
        <v>1.5569</v>
      </c>
      <c r="E606" s="1" t="n">
        <v>0.0927101</v>
      </c>
      <c r="F606" s="1" t="n">
        <v>0.000252963</v>
      </c>
      <c r="G606" s="1" t="s">
        <v>59</v>
      </c>
      <c r="H606" s="1" t="n">
        <v>79.3</v>
      </c>
      <c r="I606" s="1" t="n">
        <v>312.8</v>
      </c>
      <c r="J606" s="1" t="n">
        <v>-22.3</v>
      </c>
      <c r="K606" s="1" t="n">
        <v>74.4</v>
      </c>
      <c r="L606" s="1" t="n">
        <v>0</v>
      </c>
      <c r="M606" s="1" t="n">
        <v>0</v>
      </c>
      <c r="N606" s="1" t="s">
        <v>387</v>
      </c>
      <c r="Z606" s="0" t="n">
        <f aca="false">I606-35</f>
        <v>277.8</v>
      </c>
      <c r="AB606" s="0" t="n">
        <f aca="false">IF(Z606&lt;0,Z606+360,Z606+0)</f>
        <v>277.8</v>
      </c>
    </row>
    <row r="607" customFormat="false" ht="15.8" hidden="false" customHeight="false" outlineLevel="0" collapsed="false">
      <c r="A607" s="1" t="n">
        <v>14</v>
      </c>
      <c r="B607" s="1" t="n">
        <v>4</v>
      </c>
      <c r="C607" s="1" t="n">
        <v>2.6</v>
      </c>
      <c r="D607" s="1" t="n">
        <v>1.2075</v>
      </c>
      <c r="E607" s="1" t="n">
        <v>0.0897975</v>
      </c>
      <c r="F607" s="1" t="n">
        <v>0.000245016</v>
      </c>
      <c r="G607" s="1" t="s">
        <v>27</v>
      </c>
      <c r="H607" s="1" t="n">
        <v>13.8</v>
      </c>
      <c r="I607" s="1" t="n">
        <v>44</v>
      </c>
      <c r="J607" s="1" t="n">
        <v>0</v>
      </c>
      <c r="K607" s="1"/>
      <c r="L607" s="1" t="n">
        <v>0</v>
      </c>
      <c r="M607" s="1" t="n">
        <v>0</v>
      </c>
      <c r="N607" s="1" t="s">
        <v>388</v>
      </c>
      <c r="Z607" s="0" t="n">
        <f aca="false">I607-35</f>
        <v>9</v>
      </c>
      <c r="AB607" s="0" t="n">
        <f aca="false">IF(Z607&lt;0,Z607+360,Z607+0)</f>
        <v>9</v>
      </c>
    </row>
    <row r="608" customFormat="false" ht="15.8" hidden="false" customHeight="false" outlineLevel="0" collapsed="false">
      <c r="A608" s="1" t="n">
        <v>14</v>
      </c>
      <c r="B608" s="1" t="n">
        <v>4</v>
      </c>
      <c r="C608" s="1" t="n">
        <v>1.4</v>
      </c>
      <c r="D608" s="1" t="n">
        <v>1.3463</v>
      </c>
      <c r="E608" s="1" t="n">
        <v>0.0492569</v>
      </c>
      <c r="F608" s="1" t="n">
        <v>0.000134399</v>
      </c>
      <c r="G608" s="1" t="s">
        <v>27</v>
      </c>
      <c r="H608" s="1" t="n">
        <v>22.3</v>
      </c>
      <c r="I608" s="1" t="n">
        <v>71.2</v>
      </c>
      <c r="J608" s="1" t="n">
        <v>-18</v>
      </c>
      <c r="K608" s="1"/>
      <c r="L608" s="1" t="n">
        <v>0</v>
      </c>
      <c r="M608" s="1" t="n">
        <v>0</v>
      </c>
      <c r="N608" s="1" t="s">
        <v>388</v>
      </c>
      <c r="Z608" s="0" t="n">
        <f aca="false">I608-35</f>
        <v>36.2</v>
      </c>
      <c r="AB608" s="0" t="n">
        <f aca="false">IF(Z608&lt;0,Z608+360,Z608+0)</f>
        <v>36.2</v>
      </c>
    </row>
    <row r="609" customFormat="false" ht="15.8" hidden="false" customHeight="false" outlineLevel="0" collapsed="false">
      <c r="A609" s="1" t="n">
        <v>14</v>
      </c>
      <c r="B609" s="1" t="n">
        <v>3</v>
      </c>
      <c r="C609" s="1" t="n">
        <v>1.7</v>
      </c>
      <c r="D609" s="1" t="n">
        <v>1.0134</v>
      </c>
      <c r="E609" s="1" t="n">
        <v>0.0569192</v>
      </c>
      <c r="F609" s="1" t="n">
        <v>0.000155306</v>
      </c>
      <c r="G609" s="1" t="s">
        <v>59</v>
      </c>
      <c r="H609" s="1" t="n">
        <v>28.5</v>
      </c>
      <c r="I609" s="1" t="n">
        <v>57.8</v>
      </c>
      <c r="J609" s="1" t="n">
        <v>0</v>
      </c>
      <c r="K609" s="1" t="n">
        <v>22.3</v>
      </c>
      <c r="L609" s="1" t="n">
        <v>0</v>
      </c>
      <c r="M609" s="1" t="n">
        <v>0</v>
      </c>
      <c r="N609" s="1" t="s">
        <v>387</v>
      </c>
      <c r="Z609" s="0" t="n">
        <f aca="false">I609-35</f>
        <v>22.8</v>
      </c>
      <c r="AB609" s="0" t="n">
        <f aca="false">IF(Z609&lt;0,Z609+360,Z609+0)</f>
        <v>22.8</v>
      </c>
    </row>
    <row r="610" customFormat="false" ht="15.8" hidden="false" customHeight="false" outlineLevel="0" collapsed="false">
      <c r="A610" s="1" t="n">
        <v>14</v>
      </c>
      <c r="B610" s="1" t="n">
        <v>2</v>
      </c>
      <c r="C610" s="1" t="n">
        <v>2.9</v>
      </c>
      <c r="D610" s="1" t="n">
        <v>1.1499</v>
      </c>
      <c r="E610" s="1" t="n">
        <v>0.100907</v>
      </c>
      <c r="F610" s="1" t="n">
        <v>0.00027533</v>
      </c>
      <c r="G610" s="1" t="s">
        <v>59</v>
      </c>
      <c r="H610" s="1" t="n">
        <v>64.5</v>
      </c>
      <c r="I610" s="1" t="n">
        <v>40.2</v>
      </c>
      <c r="J610" s="1" t="n">
        <v>-22.8</v>
      </c>
      <c r="K610" s="1" t="n">
        <v>79.3</v>
      </c>
      <c r="L610" s="1" t="n">
        <v>0</v>
      </c>
      <c r="M610" s="1" t="n">
        <v>0</v>
      </c>
      <c r="N610" s="1" t="s">
        <v>384</v>
      </c>
      <c r="Z610" s="0" t="n">
        <f aca="false">I610-35</f>
        <v>5.2</v>
      </c>
      <c r="AB610" s="0" t="n">
        <f aca="false">IF(Z610&lt;0,Z610+360,Z610+0)</f>
        <v>5.2</v>
      </c>
    </row>
    <row r="611" customFormat="false" ht="15.8" hidden="false" customHeight="false" outlineLevel="0" collapsed="false">
      <c r="A611" s="1" t="n">
        <v>14</v>
      </c>
      <c r="B611" s="1" t="n">
        <v>1</v>
      </c>
      <c r="C611" s="1" t="n">
        <v>0.7</v>
      </c>
      <c r="D611" s="1" t="n">
        <v>1.0645</v>
      </c>
      <c r="E611" s="1" t="n">
        <v>0.0223401</v>
      </c>
      <c r="F611" s="1" t="n">
        <v>6.09557E-005</v>
      </c>
      <c r="G611" s="1" t="s">
        <v>59</v>
      </c>
      <c r="H611" s="1"/>
      <c r="I611" s="1" t="n">
        <v>338</v>
      </c>
      <c r="J611" s="1" t="n">
        <v>0</v>
      </c>
      <c r="K611" s="1" t="n">
        <v>64.5</v>
      </c>
      <c r="L611" s="1" t="n">
        <v>0</v>
      </c>
      <c r="M611" s="1" t="n">
        <v>0</v>
      </c>
      <c r="N611" s="1" t="s">
        <v>389</v>
      </c>
      <c r="Z611" s="0" t="n">
        <f aca="false">I611-35</f>
        <v>303</v>
      </c>
      <c r="AB611" s="0" t="n">
        <f aca="false">IF(Z611&lt;0,Z611+360,Z611+0)</f>
        <v>303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1506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2017-05-18T19:35:01Z</dcterms:created>
  <dc:language>en-US</dc:language>
  <dcterms:modified xsi:type="dcterms:W3CDTF">2017-09-27T21:53:25Z</dcterms:modified>
  <cp:revision>5</cp:revision>
</cp:coreProperties>
</file>