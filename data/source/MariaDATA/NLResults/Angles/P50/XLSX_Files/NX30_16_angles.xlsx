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<sst xmlns="http://schemas.openxmlformats.org/spreadsheetml/2006/main" count="1798" uniqueCount="501">
  <si>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</si>
  <si>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</si>
  <si>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</si>
  <si>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</si>
  <si>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</si>
  <si>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</si>
  <si>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</si>
  <si>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</si>
  <si>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</si>
  <si>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</si>
  <si>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</si>
  <si>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</si>
  <si>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</si>
  <si>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</si>
  <si>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</si>
  <si>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</si>
  <si>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</si>
  <si>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</si>
  <si>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</si>
  <si>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</si>
  <si>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</si>
  <si>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</si>
  <si>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</si>
  <si>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</si>
  <si>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</si>
  <si>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</si>
  <si>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</si>
  <si>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</si>
  <si>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(63.84, -51.23, -18.13)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</si>
  <si>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</si>
  <si>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</si>
  <si>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</si>
  <si>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</si>
  <si>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</si>
  <si>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</si>
  <si>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</si>
  <si>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</si>
  <si>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</si>
  <si>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(57.41, -47.00, -22.20)</t>
  </si>
  <si>
    <t>[60:45]</t>
  </si>
  <si>
    <t>&gt;45 R</t>
  </si>
  <si>
    <t>-60,-45 R</t>
  </si>
  <si>
    <t>[30:45)</t>
  </si>
  <si>
    <t>(57.17, -43.87, -22.20)</t>
  </si>
  <si>
    <t>[45:30]</t>
  </si>
  <si>
    <t>&gt;30 R</t>
  </si>
  <si>
    <t>-45,-30 R</t>
  </si>
  <si>
    <t>[45:60)</t>
  </si>
  <si>
    <t>(36.62, -48.22, -21.09)</t>
  </si>
  <si>
    <t>[30:15]</t>
  </si>
  <si>
    <t>&gt;15 R</t>
  </si>
  <si>
    <t>-30,-15 R</t>
  </si>
  <si>
    <t>[60:75)</t>
  </si>
  <si>
    <t>(35.33, -51.05, -16.65)</t>
  </si>
  <si>
    <t>[15:0]</t>
  </si>
  <si>
    <t>&gt;0 R</t>
  </si>
  <si>
    <t>-15,0 R</t>
  </si>
  <si>
    <t>[75:90)</t>
  </si>
  <si>
    <t>[0]</t>
  </si>
  <si>
    <t>&gt;-15 R</t>
  </si>
  <si>
    <t>0,15 R</t>
  </si>
  <si>
    <t>(36.73, -49.94, -18.87)</t>
  </si>
  <si>
    <t>[0:15]</t>
  </si>
  <si>
    <t>&gt;-30 R</t>
  </si>
  <si>
    <t>15,30 R</t>
  </si>
  <si>
    <t>Sum</t>
  </si>
  <si>
    <t>[15:30]</t>
  </si>
  <si>
    <t>&gt;-45 R</t>
  </si>
  <si>
    <t>30,45 R</t>
  </si>
  <si>
    <t>(36.76, -49.28, -18.87)</t>
  </si>
  <si>
    <t>[30:45]</t>
  </si>
  <si>
    <t>&gt;-60 R</t>
  </si>
  <si>
    <t>45,60 R</t>
  </si>
  <si>
    <t>[45:60]</t>
  </si>
  <si>
    <t>&gt;-75 R</t>
  </si>
  <si>
    <t>60,75 R</t>
  </si>
  <si>
    <t>(37.15, -49.23, -19.24)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</si>
  <si>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</si>
  <si>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</si>
  <si>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</si>
  <si>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</si>
  <si>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</si>
  <si>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</si>
  <si>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</si>
  <si>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</si>
  <si>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(27.10, -50.17, -26.27)</t>
  </si>
  <si>
    <t>&gt;-60 L</t>
  </si>
  <si>
    <t>60,45 L</t>
  </si>
  <si>
    <t>&gt;-45 L</t>
  </si>
  <si>
    <t>45,30 L</t>
  </si>
  <si>
    <t>(27.54, -49.24, -25.53)</t>
  </si>
  <si>
    <t>&gt;-30 L</t>
  </si>
  <si>
    <t>30,15 L</t>
  </si>
  <si>
    <t>(26.38, -47.97, -27.38)</t>
  </si>
  <si>
    <t>&gt;-15 L</t>
  </si>
  <si>
    <t>15,0 L</t>
  </si>
  <si>
    <t>&gt;0 L</t>
  </si>
  <si>
    <t>0,-15 L</t>
  </si>
  <si>
    <t>(26.16, -48.73, -25.53)</t>
  </si>
  <si>
    <t>&gt;15 L</t>
  </si>
  <si>
    <t>-15,-30 L</t>
  </si>
  <si>
    <t>&gt;30 L</t>
  </si>
  <si>
    <t>-30,-45 L</t>
  </si>
  <si>
    <t>&gt;45 L</t>
  </si>
  <si>
    <t>-45,-60 L</t>
  </si>
  <si>
    <t>(31.66, -49.27, -24.42)</t>
  </si>
  <si>
    <t>&gt;60 L</t>
  </si>
  <si>
    <t>-60,-75 L</t>
  </si>
  <si>
    <t>(30.46, -49.81, -25.53)</t>
  </si>
  <si>
    <t>&gt;75 L</t>
  </si>
  <si>
    <t>-75,-90 L</t>
  </si>
  <si>
    <t>Total</t>
  </si>
  <si>
    <t>(29.57, -50.87, -21.83)</t>
  </si>
  <si>
    <t>Count</t>
  </si>
  <si>
    <t>Total L</t>
  </si>
  <si>
    <t>(28.74, -51.28, -21.83)</t>
  </si>
  <si>
    <t>(36.22, -48.59, -21.83)</t>
  </si>
  <si>
    <t>(40.07, -47.38, -20.72)</t>
  </si>
  <si>
    <t>(46.57, -44.87, -21.83)</t>
  </si>
  <si>
    <t>(54.40, -43.43, -22.57)</t>
  </si>
  <si>
    <t>(54.80, -43.41, -21.83)</t>
  </si>
  <si>
    <t>(48.32, -34.89, -28.12)</t>
  </si>
  <si>
    <t>(51.53, -34.31, -27.75)</t>
  </si>
  <si>
    <t>(56.63, -38.60, -26.27)</t>
  </si>
  <si>
    <t>(57.25, -39.01, -25.90)</t>
  </si>
  <si>
    <t>(46.31, -37.43, -28.49)</t>
  </si>
  <si>
    <t>(43.61, -36.73, -28.86)</t>
  </si>
  <si>
    <t>(29.28, -31.44, -37.00)</t>
  </si>
  <si>
    <t>(33.71, -32.73, -33.30)</t>
  </si>
  <si>
    <t>(35.75, -32.03, -33.30)</t>
  </si>
  <si>
    <t>(36.90, -32.69, -32.56)</t>
  </si>
  <si>
    <t>(39.83, -34.98, -31.08)</t>
  </si>
  <si>
    <t>(43.29, -36.48, -28.86)</t>
  </si>
  <si>
    <t>(43.96, -37.11, -28.86)</t>
  </si>
  <si>
    <t>(48.44, -37.51, -27.75)</t>
  </si>
  <si>
    <t>(51.43, -38.30, -28.12)</t>
  </si>
  <si>
    <t>(49.90, -37.16, -28.86)</t>
  </si>
  <si>
    <t>(52.52, -39.06, -27.38)</t>
  </si>
  <si>
    <t>(49.86, -40.13, -27.01)</t>
  </si>
  <si>
    <t>(46.34, -43.51, -25.90)</t>
  </si>
  <si>
    <t>(42.01, -41.25, -29.23)</t>
  </si>
  <si>
    <t>(40.93, -41.58, -28.49)</t>
  </si>
  <si>
    <t>(41.59, -44.29, -25.16)</t>
  </si>
  <si>
    <t>(38.99, -44.69, -24.42)</t>
  </si>
  <si>
    <t>(37.26, -45.02, -24.42)</t>
  </si>
  <si>
    <t>(35.13, -45.42, -24.42)</t>
  </si>
  <si>
    <t>(61.62, -37.32, -38.85)</t>
  </si>
  <si>
    <t>(61.35, -37.17, -37.37)</t>
  </si>
  <si>
    <t>(59.87, -37.62, -37.37)</t>
  </si>
  <si>
    <t>(59.27, -37.29, -37.37)</t>
  </si>
  <si>
    <t>(55.90, -37.95, -42.18)</t>
  </si>
  <si>
    <t>(56.69, -37.53, -41.44)</t>
  </si>
  <si>
    <t>(58.74, -37.80, -39.59)</t>
  </si>
  <si>
    <t>(58.91, -37.06, -37.74)</t>
  </si>
  <si>
    <t>(60.57, -38.52, -28.49)</t>
  </si>
  <si>
    <t>(62.55, -39.04, -27.38)</t>
  </si>
  <si>
    <t>(59.89, -38.65, -28.12)</t>
  </si>
  <si>
    <t>(58.53, -38.87, -25.90)</t>
  </si>
  <si>
    <t>(59.94, -37.62, -25.53)</t>
  </si>
  <si>
    <t>(63.91, -26.79, -32.93)</t>
  </si>
  <si>
    <t>(66.62, -27.16, -33.67)</t>
  </si>
  <si>
    <t>(63.90, -25.99, -32.19)</t>
  </si>
  <si>
    <t>(62.42, -26.77, -31.08)</t>
  </si>
  <si>
    <t>(61.97, -26.61, -30.71)</t>
  </si>
  <si>
    <t>(58.99, -24.41, -31.45)</t>
  </si>
  <si>
    <t>(61.23, -25.69, -31.08)</t>
  </si>
  <si>
    <t>(59.90, -29.59, -27.38)</t>
  </si>
  <si>
    <t>(57.64, -29.11, -28.12)</t>
  </si>
  <si>
    <t>(54.13, -27.83, -28.12)</t>
  </si>
  <si>
    <t>(53.09, -27.69, -28.12)</t>
  </si>
  <si>
    <t>(52.64, -27.04, -27.75)</t>
  </si>
  <si>
    <t>(48.16, -26.36, -22.94)</t>
  </si>
  <si>
    <t>(49.35, -27.12, -25.53)</t>
  </si>
  <si>
    <t>(44.63, -25.47, -25.16)</t>
  </si>
  <si>
    <t>(43.91, -25.79, -25.16)</t>
  </si>
  <si>
    <t>(55.36, -27.58, -32.56)</t>
  </si>
  <si>
    <t>(52.77, -27.82, -29.23)</t>
  </si>
  <si>
    <t>(57.27, -28.90, -28.12)</t>
  </si>
  <si>
    <t>(56.36, -30.53, -24.05)</t>
  </si>
  <si>
    <t>(56.57, -30.39, -23.31)</t>
  </si>
  <si>
    <t>(56.58, -29.83, -22.57)</t>
  </si>
  <si>
    <t>(61.43, -31.91, -27.01)</t>
  </si>
  <si>
    <t>(52.70, -32.64, -24.05)</t>
  </si>
  <si>
    <t>(63.09, -30.15, -28.12)</t>
  </si>
  <si>
    <t>(63.57, -30.15, -28.12)</t>
  </si>
  <si>
    <t>(67.07, -29.28, -29.23)</t>
  </si>
  <si>
    <t>(67.72, -29.37, -29.23)</t>
  </si>
  <si>
    <t>(69.48, -28.72, -29.23)</t>
  </si>
  <si>
    <t>(73.29, -30.15, -30.71)</t>
  </si>
  <si>
    <t>(73.50, -29.90, -31.08)</t>
  </si>
  <si>
    <t>(72.04, -28.42, -29.60)</t>
  </si>
  <si>
    <t>(70.15, -28.28, -29.97)</t>
  </si>
  <si>
    <t>(73.54, -25.35, -32.56)</t>
  </si>
  <si>
    <t>(74.64, -24.54, -33.67)</t>
  </si>
  <si>
    <t>(76.12, -24.68, -34.04)</t>
  </si>
  <si>
    <t>(76.61, -25.32, -33.67)</t>
  </si>
  <si>
    <t>(78.74, -20.11, -39.22)</t>
  </si>
  <si>
    <t>(76.13, -22.53, -33.67)</t>
  </si>
  <si>
    <t>(63.32, -31.59, -27.38)</t>
  </si>
  <si>
    <t>(61.04, -36.19, -25.53)</t>
  </si>
  <si>
    <t>(63.01, -33.25, -25.90)</t>
  </si>
  <si>
    <t>(64.02, -34.93, -25.53)</t>
  </si>
  <si>
    <t>(70.26, -33.29, -24.79)</t>
  </si>
  <si>
    <t>(78.08, -31.65, -23.68)</t>
  </si>
  <si>
    <t>(78.19, -32.31, -23.68)</t>
  </si>
  <si>
    <t>(76.09, -32.77, -24.05)</t>
  </si>
  <si>
    <t>(76.14, -32.30, -24.05)</t>
  </si>
  <si>
    <t>(75.28, -33.40, -24.79)</t>
  </si>
  <si>
    <t>(78.07, -30.68, -28.49)</t>
  </si>
  <si>
    <t>(76.56, -32.52, -26.27)</t>
  </si>
  <si>
    <t>(73.66, -33.37, -24.42)</t>
  </si>
  <si>
    <t>(67.83, -32.75, -25.90)</t>
  </si>
  <si>
    <t>(64.72, -34.77, -25.16)</t>
  </si>
  <si>
    <t>(77.58, -34.32, -20.35)</t>
  </si>
  <si>
    <t>(69.24, -34.72, -21.46)</t>
  </si>
  <si>
    <t>(66.20, -35.06, -22.20)</t>
  </si>
  <si>
    <t>(65.28, -35.61, -22.57)</t>
  </si>
  <si>
    <t>(60.32, -37.11, -25.53)</t>
  </si>
  <si>
    <t>(61.69, -38.06, -24.42)</t>
  </si>
  <si>
    <t>(62.50, -37.98, -22.57)</t>
  </si>
  <si>
    <t>(48.49, -37.00, -22.94)</t>
  </si>
  <si>
    <t>(48.74, -37.54, -21.09)</t>
  </si>
  <si>
    <t>(49.39, -37.77, -21.09)</t>
  </si>
  <si>
    <t>(52.71, -37.66, -20.72)</t>
  </si>
  <si>
    <t>(57.64, -35.53, -18.87)</t>
  </si>
  <si>
    <t>(63.14, -37.94, -21.09)</t>
  </si>
  <si>
    <t>(64.49, -37.74, -19.98)</t>
  </si>
  <si>
    <t>(67.14, -36.53, -16.28)</t>
  </si>
  <si>
    <t>(65.79, -35.85, -16.65)</t>
  </si>
  <si>
    <t>(69.12, -36.60, -15.91)</t>
  </si>
  <si>
    <t>(57.27, -40.56, -24.79)</t>
  </si>
  <si>
    <t>(74.52, -37.47, -28.49)</t>
  </si>
  <si>
    <t>(77.37, -37.02, -28.12)</t>
  </si>
  <si>
    <t>(66.51, -40.93, -25.90)</t>
  </si>
  <si>
    <t>(69.13, -39.76, -26.27)</t>
  </si>
  <si>
    <t>(74.68, -38.70, -27.38)</t>
  </si>
  <si>
    <t>(77.45, -38.20, -27.75)</t>
  </si>
  <si>
    <t>(72.64, -38.91, -26.27)</t>
  </si>
  <si>
    <t>(63.45, -40.77, -25.53)</t>
  </si>
  <si>
    <t>(70.64, -33.15, -34.41)</t>
  </si>
  <si>
    <t>(71.14, -33.19, -33.30)</t>
  </si>
  <si>
    <t>(73.92, -36.91, -27.38)</t>
  </si>
  <si>
    <t>(71.16, -37.88, -23.68)</t>
  </si>
  <si>
    <t>(72.39, -37.99, -23.68)</t>
  </si>
  <si>
    <t>(76.26, -38.08, -22.20)</t>
  </si>
  <si>
    <t>(83.74, -38.11, -19.98)</t>
  </si>
  <si>
    <t>(87.30, -37.74, -19.24)</t>
  </si>
  <si>
    <t>(76.06, -37.40, -22.94)</t>
  </si>
  <si>
    <t>(66.87, -38.80, -24.79)</t>
  </si>
  <si>
    <t>(61.18, -40.89, -25.16)</t>
  </si>
  <si>
    <t>(59.87, -41.42, -24.42)</t>
  </si>
  <si>
    <t>(59.27, -41.15, -24.79)</t>
  </si>
  <si>
    <t>(70.61, -41.88, -20.35)</t>
  </si>
  <si>
    <t>(59.50, -42.44, -23.68)</t>
  </si>
  <si>
    <t>(55.92, -43.78, -23.31)</t>
  </si>
  <si>
    <t>(42.37, -50.08, -20.35)</t>
  </si>
  <si>
    <t>(38.84, -50.89, -21.09)</t>
  </si>
  <si>
    <t>(39.77, -50.98, -21.09)</t>
  </si>
  <si>
    <t>(39.37, -53.05, -22.57)</t>
  </si>
  <si>
    <t>(37.84, -54.71, -23.31)</t>
  </si>
  <si>
    <t>(37.86, -55.03, -24.05)</t>
  </si>
  <si>
    <t>(39.65, -55.24, -27.01)</t>
  </si>
  <si>
    <t>(40.31, -55.00, -28.49)</t>
  </si>
  <si>
    <t>(40.02, -55.28, -28.12)</t>
  </si>
  <si>
    <t>(37.99, -55.74, -21.46)</t>
  </si>
  <si>
    <t>(37.07, -55.68, -21.46)</t>
  </si>
  <si>
    <t>(36.52, -55.71, -21.46)</t>
  </si>
  <si>
    <t>(37.59, -56.34, -20.35)</t>
  </si>
  <si>
    <t>(34.98, -56.04, -21.09)</t>
  </si>
  <si>
    <t>(33.79, -56.53, -21.09)</t>
  </si>
  <si>
    <t>(33.02, -55.90, -21.46)</t>
  </si>
  <si>
    <t>(31.17, -55.78, -21.09)</t>
  </si>
  <si>
    <t>(30.66, -55.78, -21.09)</t>
  </si>
  <si>
    <t>(34.45, -56.33, -21.09)</t>
  </si>
  <si>
    <t>(33.95, -58.76, -20.72)</t>
  </si>
  <si>
    <t>(30.97, -59.02, -20.35)</t>
  </si>
  <si>
    <t>(29.61, -59.15, -21.09)</t>
  </si>
  <si>
    <t>(28.98, -60.20, -20.35)</t>
  </si>
  <si>
    <t>(27.34, -60.37, -20.35)</t>
  </si>
  <si>
    <t>(33.57, -58.97, -20.72)</t>
  </si>
  <si>
    <t>(33.73, -59.97, -19.98)</t>
  </si>
  <si>
    <t>(34.60, -61.57, -20.35)</t>
  </si>
  <si>
    <t>(33.20, -62.41, -20.72)</t>
  </si>
  <si>
    <t>(32.91, -61.49, -18.50)</t>
  </si>
  <si>
    <t>(32.26, -60.97, -18.50)</t>
  </si>
  <si>
    <t>(35.27, -57.98, -20.72)</t>
  </si>
  <si>
    <t>(35.33, -54.69, -21.09)</t>
  </si>
  <si>
    <t>(33.50, -53.90, -21.46)</t>
  </si>
  <si>
    <t>(43.72, -49.17, -20.35)</t>
  </si>
  <si>
    <t>(53.75, -44.81, -25.53)</t>
  </si>
  <si>
    <t>(51.84, -45.28, -25.53)</t>
  </si>
  <si>
    <t>(54.73, -46.34, -25.53)</t>
  </si>
  <si>
    <t>(53.75, -48.86, -24.42)</t>
  </si>
  <si>
    <t>(56.03, -49.06, -24.05)</t>
  </si>
  <si>
    <t>(52.75, -48.20, -24.42)</t>
  </si>
  <si>
    <t>(51.97, -48.56, -25.16)</t>
  </si>
  <si>
    <t>(49.42, -48.38, -25.53)</t>
  </si>
  <si>
    <t>(47.93, -49.43, -25.53)</t>
  </si>
  <si>
    <t>(47.35, -49.21, -25.53)</t>
  </si>
  <si>
    <t>(44.29, -50.09, -27.01)</t>
  </si>
  <si>
    <t>(40.17, -49.97, -29.97)</t>
  </si>
  <si>
    <t>(39.45, -47.93, -30.71)</t>
  </si>
  <si>
    <t>(45.97, -50.15, -25.90)</t>
  </si>
  <si>
    <t>(46.82, -51.26, -25.53)</t>
  </si>
  <si>
    <t>(47.78, -51.70, -24.42)</t>
  </si>
  <si>
    <t>(47.76, -51.31, -24.42)</t>
  </si>
  <si>
    <t>(50.53, -51.20, -23.68)</t>
  </si>
  <si>
    <t>(46.49, -49.66, -25.90)</t>
  </si>
  <si>
    <t>(44.83, -48.40, -29.60)</t>
  </si>
  <si>
    <t>(46.39, -46.88, -28.86)</t>
  </si>
  <si>
    <t>(51.13, -48.87, -25.53)</t>
  </si>
  <si>
    <t>(50.36, -50.63, -25.90)</t>
  </si>
  <si>
    <t>(52.58, -53.66, -25.90)</t>
  </si>
  <si>
    <t>(54.35, -53.87, -24.42)</t>
  </si>
  <si>
    <t>(55.93, -53.32, -24.05)</t>
  </si>
  <si>
    <t>(50.31, -53.09, -26.64)</t>
  </si>
  <si>
    <t>(50.03, -53.69, -26.64)</t>
  </si>
  <si>
    <t>(49.19, -53.91, -27.38)</t>
  </si>
  <si>
    <t>(65.45, -54.57, -30.71)</t>
  </si>
  <si>
    <t>(68.12, -54.27, -31.08)</t>
  </si>
  <si>
    <t>(71.14, -55.03, -30.71)</t>
  </si>
  <si>
    <t>(65.97, -54.57, -30.71)</t>
  </si>
  <si>
    <t>(61.00, -55.28, -30.71)</t>
  </si>
  <si>
    <t>(61.26, -60.46, -28.86)</t>
  </si>
  <si>
    <t>(62.45, -59.36, -28.86)</t>
  </si>
  <si>
    <t>(61.00, -55.73, -29.23)</t>
  </si>
  <si>
    <t>(58.49, -54.44, -30.71)</t>
  </si>
  <si>
    <t>(61.09, -53.69, -30.34)</t>
  </si>
  <si>
    <t>(62.98, -53.75, -30.71)</t>
  </si>
  <si>
    <t>(62.21, -53.47, -30.71)</t>
  </si>
  <si>
    <t>(53.58, -54.97, -31.45)</t>
  </si>
  <si>
    <t>(61.37, -56.61, -34.78)</t>
  </si>
  <si>
    <t>(59.49, -57.10, -34.41)</t>
  </si>
  <si>
    <t>(55.10, -54.97, -33.30)</t>
  </si>
  <si>
    <t>(53.59, -53.72, -38.85)</t>
  </si>
  <si>
    <t>(52.86, -52.81, -39.59)</t>
  </si>
  <si>
    <t>(53.66, -52.58, -40.33)</t>
  </si>
  <si>
    <t>(58.17, -54.56, -41.44)</t>
  </si>
  <si>
    <t>(62.64, -54.77, -41.07)</t>
  </si>
  <si>
    <t>(54.90, -53.61, -41.81)</t>
  </si>
  <si>
    <t>(53.95, -53.53, -45.51)</t>
  </si>
  <si>
    <t>(54.19, -53.14, -41.07)</t>
  </si>
  <si>
    <t>(51.21, -54.05, -42.55)</t>
  </si>
  <si>
    <t>(49.79, -57.07, -42.18)</t>
  </si>
  <si>
    <t>(49.95, -57.32, -42.18)</t>
  </si>
  <si>
    <t>(52.04, -54.98, -30.71)</t>
  </si>
  <si>
    <t>(49.42, -54.67, -29.23)</t>
  </si>
  <si>
    <t>(46.56, -55.31, -30.71)</t>
  </si>
  <si>
    <t>(47.90, -54.73, -30.34)</t>
  </si>
  <si>
    <t>(47.50, -53.03, -29.97)</t>
  </si>
  <si>
    <t>(47.55, -54.18, -29.97)</t>
  </si>
  <si>
    <t>(45.53, -53.96, -30.71)</t>
  </si>
  <si>
    <t>(46.99, -53.93, -29.97)</t>
  </si>
  <si>
    <t>(52.44, -46.62, -24.42)</t>
  </si>
  <si>
    <t>(45.88, -43.32, -22.94)</t>
  </si>
  <si>
    <t>(44.27, -44.41, -22.20)</t>
  </si>
  <si>
    <t>(39.07, -46.44, -21.46)</t>
  </si>
  <si>
    <t>(37.09, -47.07, -21.46)</t>
  </si>
  <si>
    <t>(37.39, -47.08, -21.83)</t>
  </si>
  <si>
    <t>(37.95, -46.84, -21.83)</t>
  </si>
  <si>
    <t>(37.44, -45.85, -22.20)</t>
  </si>
  <si>
    <t>(36.05, -45.76, -22.20)</t>
  </si>
  <si>
    <t>(34.47, -45.85, -21.83)</t>
  </si>
  <si>
    <t>(30.87, -48.57, -19.98)</t>
  </si>
  <si>
    <t>(30.20, -49.16, -18.87)</t>
  </si>
  <si>
    <t>(28.85, -48.56, -17.76)</t>
  </si>
  <si>
    <t>(29.01, -49.97, -17.76)</t>
  </si>
  <si>
    <t>(27.68, -49.76, -17.39)</t>
  </si>
  <si>
    <t>(26.92, -50.21, -17.39)</t>
  </si>
  <si>
    <t>(25.70, -50.51, -17.39)</t>
  </si>
  <si>
    <t>(26.81, -50.52, -17.39)</t>
  </si>
  <si>
    <t>(40.15, -46.72, -21.46)</t>
  </si>
  <si>
    <t>(57.94, -47.06, -15.91)</t>
  </si>
  <si>
    <t>(58.95, -47.28, -15.91)</t>
  </si>
  <si>
    <t>(60.88, -45.74, -19.24)</t>
  </si>
  <si>
    <t>(59.40, -46.92, -16.28)</t>
  </si>
  <si>
    <t>(57.14, -46.67, -16.65)</t>
  </si>
  <si>
    <t>(56.65, -47.17, -15.54)</t>
  </si>
  <si>
    <t>(56.22, -47.15, -15.17)</t>
  </si>
  <si>
    <t>(54.81, -51.52, -9.99)</t>
  </si>
  <si>
    <t>(53.44, -52.94, -8.88)</t>
  </si>
  <si>
    <t>(52.04, -53.77, -8.14)</t>
  </si>
  <si>
    <t>(49.46, -53.68, -8.51)</t>
  </si>
  <si>
    <t>(48.14, -54.55, -8.14)</t>
  </si>
  <si>
    <t>(56.06, -45.75, -17.76)</t>
  </si>
  <si>
    <t>(55.81, -44.13, -15.91)</t>
  </si>
  <si>
    <t>(55.30, -43.62, -15.54)</t>
  </si>
  <si>
    <t>(52.78, -43.78, -15.54)</t>
  </si>
  <si>
    <t>(54.56, -43.92, -15.54)</t>
  </si>
  <si>
    <t>(53.35, -44.57, -14.80)</t>
  </si>
  <si>
    <t>(42.59, -46.92, -12.95)</t>
  </si>
  <si>
    <t>(43.62, -46.65, -12.21)</t>
  </si>
  <si>
    <t>(43.75, -46.62, -12.95)</t>
  </si>
  <si>
    <t>(56.16, -45.67, -16.65)</t>
  </si>
  <si>
    <t>(57.42, -45.31, -15.54)</t>
  </si>
  <si>
    <t>(58.92, -43.95, -16.65)</t>
  </si>
  <si>
    <t>(60.72, -44.67, -15.17)</t>
  </si>
  <si>
    <t>(63.06, -43.21, -16.28)</t>
  </si>
  <si>
    <t>(63.89, -39.99, -13.32)</t>
  </si>
  <si>
    <t>(63.78, -39.76, -12.58)</t>
  </si>
  <si>
    <t>(63.41, -40.63, -11.84)</t>
  </si>
  <si>
    <t>(62.95, -39.81, -11.47)</t>
  </si>
  <si>
    <t>(60.93, -39.82, -11.10)</t>
  </si>
  <si>
    <t>(57.92, -41.75, -9.99)</t>
  </si>
  <si>
    <t>(57.21, -41.86, -10.36)</t>
  </si>
  <si>
    <t>(63.55, -42.65, -16.28)</t>
  </si>
  <si>
    <t>(66.24, -42.67, -17.76)</t>
  </si>
  <si>
    <t>(67.35, -44.42, -18.50)</t>
  </si>
  <si>
    <t>(71.78, -45.25, -19.24)</t>
  </si>
  <si>
    <t>(65.34, -41.92, -16.65)</t>
  </si>
  <si>
    <t>(67.96, -42.34, -15.54)</t>
  </si>
  <si>
    <t>(69.55, -41.49, -15.54)</t>
  </si>
  <si>
    <t>(65.11, -41.14, -18.50)</t>
  </si>
  <si>
    <t>(62.86, -43.73, -15.91)</t>
  </si>
  <si>
    <t>(53.50, -46.10, -18.87)</t>
  </si>
  <si>
    <t>(61.77, -45.04, -22.20)</t>
  </si>
  <si>
    <t>(62.16, -44.69, -22.57)</t>
  </si>
  <si>
    <t>(58.83, -44.82, -22.20)</t>
  </si>
  <si>
    <t>(58.76, -45.86, -21.83)</t>
  </si>
  <si>
    <t>(43.49, -47.76, -22.94)</t>
  </si>
  <si>
    <t>(45.17, -46.57, -22.57)</t>
  </si>
  <si>
    <t>(47.44, -46.81, -17.76)</t>
  </si>
  <si>
    <t>(47.94, -47.51, -18.13)</t>
  </si>
  <si>
    <t>(43.91, -47.87, -16.65)</t>
  </si>
  <si>
    <t>(40.52, -51.48, -14.43)</t>
  </si>
  <si>
    <t>(40.52, -50.99, -14.80)</t>
  </si>
  <si>
    <t>(45.68, -46.60, -18.13)</t>
  </si>
  <si>
    <t>(55.67, -46.70, -27.38)</t>
  </si>
  <si>
    <t>(57.49, -46.18, -25.90)</t>
  </si>
  <si>
    <t>(45.53, -46.89, -35.89)</t>
  </si>
  <si>
    <t>(58.13, -46.22, -24.42)</t>
  </si>
  <si>
    <t>(62.74, -45.41, -29.60)</t>
  </si>
  <si>
    <t>(93.45, -47.55, -28.86)</t>
  </si>
  <si>
    <t>(91.70, -47.92, -28.86)</t>
  </si>
  <si>
    <t>(97.64, -48.71, -28.49)</t>
  </si>
  <si>
    <t>(100.17, -49.64, -28.12)</t>
  </si>
  <si>
    <t>(92.94, -49.41, -28.12)</t>
  </si>
  <si>
    <t>(86.77, -48.30, -29.23)</t>
  </si>
  <si>
    <t>(86.55, -49.66, -28.86)</t>
  </si>
  <si>
    <t>(86.36, -49.39, -29.23)</t>
  </si>
  <si>
    <t>(80.07, -49.19, -28.86)</t>
  </si>
  <si>
    <t>(77.22, -48.37, -29.97)</t>
  </si>
  <si>
    <t>(75.30, -50.59, -31.45)</t>
  </si>
  <si>
    <t>(74.22, -51.04, -32.19)</t>
  </si>
  <si>
    <t>(68.13, -51.49, -34.41)</t>
  </si>
  <si>
    <t>(75.31, -46.19, -30.34)</t>
  </si>
  <si>
    <t>(74.73, -44.54, -31.08)</t>
  </si>
  <si>
    <t>(75.33, -44.64, -31.45)</t>
  </si>
  <si>
    <t>(75.72, -44.35, -31.82)</t>
  </si>
  <si>
    <t>(76.51, -44.50, -31.45)</t>
  </si>
  <si>
    <t>(76.77, -45.58, -29.97)</t>
  </si>
  <si>
    <t>(76.52, -45.12, -29.97)</t>
  </si>
  <si>
    <t>(80.93, -44.56, -28.12)</t>
  </si>
  <si>
    <t>(72.76, -44.95, -30.34)</t>
  </si>
  <si>
    <t>(70.95, -46.20, -30.34)</t>
  </si>
  <si>
    <t>(70.13, -45.85, -30.34)</t>
  </si>
  <si>
    <t>(70.13, -44.93, -31.45)</t>
  </si>
  <si>
    <t>(69.67, -44.13, -31.45)</t>
  </si>
  <si>
    <t>(77.47, -39.75, -35.15)</t>
  </si>
  <si>
    <t>(81.96, -39.09, -37.00)</t>
  </si>
  <si>
    <t>(76.32, -39.20, -35.15)</t>
  </si>
  <si>
    <t>(73.25, -39.70, -34.04)</t>
  </si>
  <si>
    <t>(74.57, -35.65, -35.89)</t>
  </si>
  <si>
    <t>(74.95, -36.34, -35.89)</t>
  </si>
  <si>
    <t>(77.35, -34.92, -36.63)</t>
  </si>
  <si>
    <t>(78.07, -34.57, -39.96)</t>
  </si>
  <si>
    <t>(73.04, -41.49, -32.56)</t>
  </si>
  <si>
    <t>(67.68, -44.76, -31.45)</t>
  </si>
  <si>
    <t>(68.83, -41.15, -44.40)</t>
  </si>
  <si>
    <t>(68.82, -40.53, -46.62)</t>
  </si>
  <si>
    <t>(67.47, -44.19, -35.52)</t>
  </si>
  <si>
    <t>(67.29, -43.02, -38.11)</t>
  </si>
  <si>
    <t>(66.90, -42.30, -42.92)</t>
  </si>
  <si>
    <t>(68.84, -41.25, -43.29)</t>
  </si>
  <si>
    <t>(68.66, -40.45, -45.51)</t>
  </si>
  <si>
    <t>(66.71, -44.77, -30.71)</t>
  </si>
  <si>
    <t>(82.74, -37.70, -32.19)</t>
  </si>
  <si>
    <t>(81.01, -38.03, -32.19)</t>
  </si>
  <si>
    <t>(80.36, -37.76, -32.19)</t>
  </si>
  <si>
    <t>(80.28, -39.14, -31.82)</t>
  </si>
  <si>
    <t>(80.18, -39.37, -31.45)</t>
  </si>
  <si>
    <t>(78.04, -39.84, -30.71)</t>
  </si>
  <si>
    <t>(63.59, -45.37, -29.97)</t>
  </si>
  <si>
    <t>(61.49, -42.56, -35.89)</t>
  </si>
  <si>
    <t>(60.05, -45.45, -25.90)</t>
  </si>
  <si>
    <t>(60.82, -46.10, -24.42)</t>
  </si>
  <si>
    <t>(67.77, -46.74, -22.57)</t>
  </si>
  <si>
    <t>(71.21, -46.83, -22.57)</t>
  </si>
  <si>
    <t>(62.14, -45.83, -24.79)</t>
  </si>
  <si>
    <t>(65.53, -45.52, -25.90)</t>
  </si>
  <si>
    <t>(68.47, -45.72, -24.79)</t>
  </si>
  <si>
    <t>(71.73, -43.69, -24.42)</t>
  </si>
  <si>
    <t>(74.01, -44.22, -24.79)</t>
  </si>
  <si>
    <t>(76.76, -44.44, -25.90)</t>
  </si>
  <si>
    <t>(73.59, -43.75, -24.79)</t>
  </si>
  <si>
    <t>(75.39, -43.22, -24.42)</t>
  </si>
  <si>
    <t>(76.91, -42.49, -24.42)</t>
  </si>
  <si>
    <t>(77.82, -42.18, -25.16)</t>
  </si>
  <si>
    <t>(78.47, -41.82, -25.53)</t>
  </si>
  <si>
    <t>(80.77, -41.42, -25.53)</t>
  </si>
  <si>
    <t>(55.44, -46.14, -24.42)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</si>
</sst>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8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0.4489795918367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3.8</v>
      </c>
      <c r="D2" s="1" t="n">
        <v>1.2583</v>
      </c>
      <c r="E2" s="1" t="n">
        <v>0.130815</v>
      </c>
      <c r="F2" s="1" t="n">
        <v>0.000356013</v>
      </c>
      <c r="G2" s="1" t="s">
        <v>27</v>
      </c>
      <c r="H2" s="1" t="n">
        <v>33.5</v>
      </c>
      <c r="I2" s="1" t="n">
        <v>4.9</v>
      </c>
      <c r="J2" s="1" t="n">
        <v>29.1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77</v>
      </c>
      <c r="Q2" s="1" t="s">
        <v>29</v>
      </c>
      <c r="R2" s="1" t="n">
        <f aca="false">COUNTIF(J$2:J$1500,"&lt;-75")</f>
        <v>8</v>
      </c>
      <c r="S2" s="2" t="s">
        <v>30</v>
      </c>
      <c r="T2" s="1" t="n">
        <f aca="false">COUNTIFS(J$2:J$1500, "&gt;75",I$2:I$1500, "&lt;180")</f>
        <v>2</v>
      </c>
      <c r="U2" s="1" t="n">
        <v>0</v>
      </c>
      <c r="V2" s="0" t="n">
        <f aca="false">SUMIFS(C$2:C$1500,C$2:C$1500, "&gt;=0",I$2:I$1500, "&lt;15")</f>
        <v>293</v>
      </c>
      <c r="W2" s="2" t="s">
        <v>31</v>
      </c>
      <c r="X2" s="0" t="n">
        <f aca="false">SUMIFS(C$2:C$1500,C$2:C$1500, "&gt;=0",J$2:J$1500, "&lt;-75",I$2:I$1500,"&lt;180")</f>
        <v>38.8</v>
      </c>
      <c r="Z2" s="0" t="n">
        <f aca="false">I2-3</f>
        <v>1.9</v>
      </c>
      <c r="AB2" s="0" t="n">
        <f aca="false">IF(Z2&lt;0,Z2+360,Z2+0)</f>
        <v>1.9</v>
      </c>
      <c r="AD2" s="1" t="n">
        <v>0</v>
      </c>
      <c r="AE2" s="1" t="n">
        <f aca="false">COUNTIF(AB$2:AB$1500,"&lt;15")</f>
        <v>75</v>
      </c>
      <c r="AF2" s="1"/>
      <c r="AG2" s="1" t="n">
        <v>0</v>
      </c>
      <c r="AH2" s="0" t="n">
        <f aca="false">SUMIFS(C$2:C$1500,C$2:C$1500, "&gt;=0",AB$2:AB$1500, "&lt;15")</f>
        <v>260.9</v>
      </c>
      <c r="AJ2" s="1" t="s">
        <v>29</v>
      </c>
      <c r="AK2" s="0" t="n">
        <f aca="false">SUMIF($J$2:$J$2000,"&lt;-75",$C$2:$C$2000)</f>
        <v>40.7</v>
      </c>
      <c r="AM2" s="1" t="s">
        <v>32</v>
      </c>
      <c r="AN2" s="0" t="n">
        <f aca="false">AE2+AE13+AE14+AE25</f>
        <v>251</v>
      </c>
      <c r="AO2" s="1" t="s">
        <v>32</v>
      </c>
      <c r="AP2" s="0" t="n">
        <f aca="false">R7+R8+R9</f>
        <v>357</v>
      </c>
      <c r="AR2" s="1" t="s">
        <v>32</v>
      </c>
      <c r="AS2" s="0" t="n">
        <f aca="false">AH2+AH13+AH14+AH25</f>
        <v>865.6</v>
      </c>
      <c r="AU2" s="0" t="n">
        <f aca="false">AK7+AK8+AK9</f>
        <v>896.899999999999</v>
      </c>
    </row>
    <row r="3" customFormat="false" ht="15.8" hidden="false" customHeight="false" outlineLevel="0" collapsed="false">
      <c r="A3" s="1" t="n">
        <v>1</v>
      </c>
      <c r="B3" s="1" t="n">
        <v>2</v>
      </c>
      <c r="C3" s="1" t="n">
        <v>1</v>
      </c>
      <c r="D3" s="1" t="n">
        <v>1.2189</v>
      </c>
      <c r="E3" s="1" t="n">
        <v>0.0325971</v>
      </c>
      <c r="F3" s="1" t="n">
        <v>8.87126E-005</v>
      </c>
      <c r="G3" s="1" t="s">
        <v>27</v>
      </c>
      <c r="H3" s="1" t="n">
        <v>135.2</v>
      </c>
      <c r="I3" s="1" t="n">
        <v>95.4</v>
      </c>
      <c r="J3" s="1" t="n">
        <v>-28.2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48</v>
      </c>
      <c r="Q3" s="1" t="s">
        <v>33</v>
      </c>
      <c r="R3" s="1" t="n">
        <f aca="false">COUNTIF(J$2:J$1500,"&lt;-60")-R2</f>
        <v>25</v>
      </c>
      <c r="S3" s="2" t="s">
        <v>34</v>
      </c>
      <c r="T3" s="1" t="n">
        <f aca="false">COUNTIFS(J$2:J$1500, "&gt;60",I$2:I$1500, "&lt;180")-T2</f>
        <v>7</v>
      </c>
      <c r="U3" s="1" t="n">
        <v>15</v>
      </c>
      <c r="V3" s="0" t="n">
        <f aca="false">SUMIFS(C$2:C$1500,C$2:C$1500, "&gt;=0",I$2:I$1500, "&lt;30",I$2:I$1500,"&gt;=15")</f>
        <v>153.1</v>
      </c>
      <c r="W3" s="2" t="s">
        <v>35</v>
      </c>
      <c r="X3" s="0" t="n">
        <f aca="false">SUMIFS(C$2:C$1500,C$2:C$1500, "&gt;=0",J$2:J$1500, "&lt;-60",J$2:J$1500,"&gt;=-75",I$2:I$1500,"&lt;180")</f>
        <v>70.6</v>
      </c>
      <c r="Z3" s="0" t="n">
        <f aca="false">I3-3</f>
        <v>92.4</v>
      </c>
      <c r="AB3" s="0" t="n">
        <f aca="false">IF(Z3&lt;0,Z3+360,Z3+0)</f>
        <v>92.4</v>
      </c>
      <c r="AD3" s="1" t="n">
        <v>15</v>
      </c>
      <c r="AE3" s="1" t="n">
        <f aca="false">COUNTIF(AB$2:AB$1500,"&lt;30")-AE2</f>
        <v>47</v>
      </c>
      <c r="AF3" s="1"/>
      <c r="AG3" s="1" t="n">
        <v>15</v>
      </c>
      <c r="AH3" s="0" t="n">
        <f aca="false">SUMIFS(C$2:C$1500,C$2:C$1500, "&gt;=0",AB$2:AB$1500, "&lt;30",AB$2:AB$1500,"&gt;=15")</f>
        <v>159.8</v>
      </c>
      <c r="AJ3" s="1" t="s">
        <v>33</v>
      </c>
      <c r="AK3" s="0" t="n">
        <f aca="false">SUMIF($J$2:$J$2000,"&lt;-60",$C$2:$C$2000)-$AK$2</f>
        <v>82.7</v>
      </c>
      <c r="AM3" s="1" t="s">
        <v>36</v>
      </c>
      <c r="AN3" s="0" t="n">
        <f aca="false">AE3+AE12+AE15+AE24</f>
        <v>163</v>
      </c>
      <c r="AO3" s="1" t="s">
        <v>36</v>
      </c>
      <c r="AP3" s="0" t="n">
        <f aca="false">R10+R6</f>
        <v>223</v>
      </c>
      <c r="AR3" s="1" t="s">
        <v>36</v>
      </c>
      <c r="AS3" s="0" t="n">
        <f aca="false">AH3+AH12+AH15+AH24</f>
        <v>445.4</v>
      </c>
      <c r="AU3" s="0" t="n">
        <f aca="false">AK10+AK6</f>
        <v>687.700000000002</v>
      </c>
    </row>
    <row r="4" customFormat="false" ht="15.8" hidden="false" customHeight="false" outlineLevel="0" collapsed="false">
      <c r="A4" s="1" t="n">
        <v>1</v>
      </c>
      <c r="B4" s="1" t="n">
        <v>1</v>
      </c>
      <c r="C4" s="1" t="n">
        <v>11.2</v>
      </c>
      <c r="D4" s="1" t="n">
        <v>1.2825</v>
      </c>
      <c r="E4" s="1" t="n">
        <v>0.381503</v>
      </c>
      <c r="F4" s="1" t="n">
        <v>0.00103826</v>
      </c>
      <c r="G4" s="1" t="s">
        <v>37</v>
      </c>
      <c r="H4" s="1"/>
      <c r="I4" s="1" t="n">
        <v>326.7</v>
      </c>
      <c r="J4" s="1" t="n">
        <v>27.9</v>
      </c>
      <c r="K4" s="1" t="n">
        <v>135.2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39</v>
      </c>
      <c r="Q4" s="4" t="s">
        <v>39</v>
      </c>
      <c r="R4" s="1" t="n">
        <f aca="false">COUNTIF(J$2:J$1500,"&lt;-45")-SUM(R2:R3)</f>
        <v>40</v>
      </c>
      <c r="S4" s="2" t="s">
        <v>40</v>
      </c>
      <c r="T4" s="1" t="n">
        <f aca="false">COUNTIFS(J$2:J$1500, "&gt;45",I$2:I$1500, "&lt;180")-SUM(T2:T3)</f>
        <v>8</v>
      </c>
      <c r="U4" s="1" t="n">
        <v>30</v>
      </c>
      <c r="V4" s="0" t="n">
        <f aca="false">SUMIFS(C$2:C$1500,C$2:C$1500, "&gt;=0",I$2:I$1500, "&lt;45",I$2:I$1500,"&gt;=30")</f>
        <v>102.1</v>
      </c>
      <c r="W4" s="2" t="s">
        <v>41</v>
      </c>
      <c r="X4" s="0" t="n">
        <f aca="false">SUMIFS(C$2:C$1500,C$2:C$1500, "&gt;=0",J$2:J$1500, "&lt;-45",J$2:J$1500,"&gt;=-60",I$2:I$1500,"&lt;180")</f>
        <v>102.9</v>
      </c>
      <c r="Z4" s="0" t="n">
        <f aca="false">I4-3</f>
        <v>323.7</v>
      </c>
      <c r="AB4" s="0" t="n">
        <f aca="false">IF(Z4&lt;0,Z4+360,Z4+0)</f>
        <v>323.7</v>
      </c>
      <c r="AD4" s="1" t="n">
        <v>30</v>
      </c>
      <c r="AE4" s="1" t="n">
        <f aca="false">COUNTIF(AB$2:AB$1500,"&lt;45")-SUM(AE2:AE3)</f>
        <v>36</v>
      </c>
      <c r="AF4" s="1"/>
      <c r="AG4" s="1" t="n">
        <v>30</v>
      </c>
      <c r="AH4" s="0" t="n">
        <f aca="false">SUMIFS(C$2:C$1500,C$2:C$1500, "&gt;=0",AB$2:AB$1500, "&lt;45",AB$2:AB$1500,"&gt;=30")</f>
        <v>87.6</v>
      </c>
      <c r="AJ4" s="4" t="s">
        <v>39</v>
      </c>
      <c r="AK4" s="0" t="n">
        <f aca="false">SUMIF($J$2:$J$2000,"&lt;-45",$C$2:$C$2000)-SUM($AK$2:$AK$3)</f>
        <v>131.8</v>
      </c>
      <c r="AM4" s="1" t="s">
        <v>42</v>
      </c>
      <c r="AN4" s="0" t="n">
        <f aca="false">AE4+AE11+AE16+AE23</f>
        <v>129</v>
      </c>
      <c r="AO4" s="1" t="s">
        <v>42</v>
      </c>
      <c r="AP4" s="0" t="n">
        <f aca="false">R11+R5</f>
        <v>124</v>
      </c>
      <c r="AR4" s="1" t="s">
        <v>42</v>
      </c>
      <c r="AS4" s="0" t="n">
        <f aca="false">AH4+AH11+AH16+AH23</f>
        <v>313.5</v>
      </c>
      <c r="AU4" s="0" t="n">
        <f aca="false">AK11+AK5</f>
        <v>284.199999999999</v>
      </c>
    </row>
    <row r="5" customFormat="false" ht="15.8" hidden="false" customHeight="false" outlineLevel="0" collapsed="false">
      <c r="A5" s="1" t="n">
        <v>2</v>
      </c>
      <c r="B5" s="1" t="n">
        <v>1</v>
      </c>
      <c r="C5" s="1" t="n">
        <v>2.9</v>
      </c>
      <c r="D5" s="1" t="n">
        <v>1.1974</v>
      </c>
      <c r="E5" s="1" t="n">
        <v>0.0991839</v>
      </c>
      <c r="F5" s="1" t="n">
        <v>0.000269928</v>
      </c>
      <c r="G5" s="1" t="s">
        <v>27</v>
      </c>
      <c r="H5" s="1"/>
      <c r="I5" s="1" t="n">
        <v>56.6</v>
      </c>
      <c r="J5" s="1" t="n">
        <v>-37.7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30</v>
      </c>
      <c r="Q5" s="1" t="s">
        <v>44</v>
      </c>
      <c r="R5" s="1" t="n">
        <f aca="false">COUNTIF(J$2:J$1500,"&lt;-30")-SUM(R2:R4)</f>
        <v>74</v>
      </c>
      <c r="S5" s="2" t="s">
        <v>45</v>
      </c>
      <c r="T5" s="1" t="n">
        <f aca="false">COUNTIFS(J$2:J$1500, "&gt;30",I$2:I$1500, "&lt;180")-SUM(T2:T4)</f>
        <v>17</v>
      </c>
      <c r="U5" s="1" t="n">
        <v>45</v>
      </c>
      <c r="V5" s="0" t="n">
        <f aca="false">SUMIFS(C$2:C$1500,C$2:C$1500, "&gt;=0",I$2:I$1500, "&lt;60",I$2:I$1500,"&gt;=45")</f>
        <v>68.3</v>
      </c>
      <c r="W5" s="2" t="s">
        <v>46</v>
      </c>
      <c r="X5" s="0" t="n">
        <f aca="false">SUMIFS(C$2:C$1500,C$2:C$1500, "&gt;=0",J$2:J$1500, "&lt;-30",J$2:J$1500,"&gt;=-45",I$2:I$1500,"&lt;180")</f>
        <v>113</v>
      </c>
      <c r="Z5" s="0" t="n">
        <f aca="false">I5-3</f>
        <v>53.6</v>
      </c>
      <c r="AB5" s="0" t="n">
        <f aca="false">IF(Z5&lt;0,Z5+360,Z5+0)</f>
        <v>53.6</v>
      </c>
      <c r="AD5" s="1" t="n">
        <v>45</v>
      </c>
      <c r="AE5" s="1" t="n">
        <f aca="false">COUNTIF(AB$2:AB$1500,"&lt;60")-SUM(AE2:AE4)</f>
        <v>27</v>
      </c>
      <c r="AF5" s="1"/>
      <c r="AG5" s="1" t="n">
        <v>45</v>
      </c>
      <c r="AH5" s="0" t="n">
        <f aca="false">SUMIFS(C$2:C$1500,C$2:C$1500, "&gt;=0",AB$2:AB$1500, "&lt;60",AB$2:AB$1500,"&gt;=45")</f>
        <v>59.9</v>
      </c>
      <c r="AJ5" s="1" t="s">
        <v>44</v>
      </c>
      <c r="AK5" s="0" t="n">
        <f aca="false">SUMIF($J$2:$J$2000,"&lt;-30",$C$2:$C$2000)-SUM($AK$2:$AK$4)</f>
        <v>190.6</v>
      </c>
      <c r="AM5" s="1" t="s">
        <v>47</v>
      </c>
      <c r="AN5" s="0" t="n">
        <f aca="false">AE5+AE10+AE17+AE22</f>
        <v>96</v>
      </c>
      <c r="AO5" s="1" t="s">
        <v>47</v>
      </c>
      <c r="AP5" s="0" t="n">
        <f aca="false">R12+R4</f>
        <v>71</v>
      </c>
      <c r="AR5" s="1" t="s">
        <v>47</v>
      </c>
      <c r="AS5" s="0" t="n">
        <f aca="false">AH5+AH10+AH17+AH22</f>
        <v>233.4</v>
      </c>
      <c r="AU5" s="0" t="n">
        <f aca="false">AK12+AK4</f>
        <v>196.999999999999</v>
      </c>
    </row>
    <row r="6" customFormat="false" ht="15.8" hidden="false" customHeight="false" outlineLevel="0" collapsed="false">
      <c r="A6" s="1" t="n">
        <v>3</v>
      </c>
      <c r="B6" s="1" t="n">
        <v>2</v>
      </c>
      <c r="C6" s="1" t="n">
        <v>1.5</v>
      </c>
      <c r="D6" s="1" t="n">
        <v>1.2303</v>
      </c>
      <c r="E6" s="1" t="n">
        <v>0.040477</v>
      </c>
      <c r="F6" s="1" t="n">
        <v>8.81263E-005</v>
      </c>
      <c r="G6" s="1" t="s">
        <v>27</v>
      </c>
      <c r="H6" s="1" t="n">
        <v>23.9</v>
      </c>
      <c r="I6" s="1" t="n">
        <v>195.5</v>
      </c>
      <c r="J6" s="1" t="n">
        <v>17.9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24</v>
      </c>
      <c r="Q6" s="1" t="s">
        <v>49</v>
      </c>
      <c r="R6" s="1" t="n">
        <f aca="false">COUNTIF(J$2:J$1500,"&lt;-15")-SUM(R2:R5)</f>
        <v>124</v>
      </c>
      <c r="S6" s="2" t="s">
        <v>50</v>
      </c>
      <c r="T6" s="1" t="n">
        <f aca="false">COUNTIFS(J$2:J$1500, "&gt;15",I$2:I$1500, "&lt;180")-SUM(T2:T5)</f>
        <v>48</v>
      </c>
      <c r="U6" s="1" t="n">
        <v>60</v>
      </c>
      <c r="V6" s="0" t="n">
        <f aca="false">SUMIFS(C$2:C$1500,C$2:C$1500, "&gt;=0",I$2:I$1500, "&lt;75",I$2:I$1500,"&gt;=60")</f>
        <v>62.7</v>
      </c>
      <c r="W6" s="2" t="s">
        <v>51</v>
      </c>
      <c r="X6" s="0" t="n">
        <f aca="false">SUMIFS(C$2:C$1500,C$2:C$1500, "&gt;=0",J$2:J$1500, "&lt;-15",J$2:J$1500,"&gt;=-30",I$2:I$1500,"&lt;180")</f>
        <v>251.8</v>
      </c>
      <c r="Z6" s="0" t="n">
        <f aca="false">I6-3</f>
        <v>192.5</v>
      </c>
      <c r="AB6" s="0" t="n">
        <f aca="false">IF(Z6&lt;0,Z6+360,Z6+0)</f>
        <v>192.5</v>
      </c>
      <c r="AD6" s="1" t="n">
        <v>60</v>
      </c>
      <c r="AE6" s="1" t="n">
        <f aca="false">COUNTIF(AB$2:AB$1500,"&lt;75")-SUM(AE2:AE5)</f>
        <v>30</v>
      </c>
      <c r="AF6" s="1"/>
      <c r="AG6" s="1" t="n">
        <v>60</v>
      </c>
      <c r="AH6" s="0" t="n">
        <f aca="false">SUMIFS(C$2:C$1500,C$2:C$1500, "&gt;=0",AB$2:AB$1500, "&lt;75",AB$2:AB$1500,"&gt;=60")</f>
        <v>73.8</v>
      </c>
      <c r="AJ6" s="1" t="s">
        <v>49</v>
      </c>
      <c r="AK6" s="0" t="n">
        <f aca="false">SUMIF($J$2:$J$2000,"&lt;-15",$C$2:$C$2000)-SUM($AK$2:$AK$5)</f>
        <v>395.900000000001</v>
      </c>
      <c r="AM6" s="1" t="s">
        <v>52</v>
      </c>
      <c r="AN6" s="0" t="n">
        <f aca="false">AE6+AE9+AE18+AE21</f>
        <v>98</v>
      </c>
      <c r="AO6" s="1" t="s">
        <v>52</v>
      </c>
      <c r="AP6" s="0" t="n">
        <f aca="false">R13+R3</f>
        <v>43</v>
      </c>
      <c r="AR6" s="1" t="s">
        <v>52</v>
      </c>
      <c r="AS6" s="0" t="n">
        <f aca="false">AH6+AH9+AH18+AH21</f>
        <v>208.5</v>
      </c>
      <c r="AU6" s="0" t="n">
        <f aca="false">AK13+AK3</f>
        <v>127.2</v>
      </c>
    </row>
    <row r="7" customFormat="false" ht="15.8" hidden="false" customHeight="false" outlineLevel="0" collapsed="false">
      <c r="A7" s="1" t="n">
        <v>3</v>
      </c>
      <c r="B7" s="1" t="n">
        <v>6</v>
      </c>
      <c r="C7" s="1" t="n">
        <v>3.9</v>
      </c>
      <c r="D7" s="1" t="n">
        <v>1.186</v>
      </c>
      <c r="E7" s="1" t="n">
        <v>0.106461</v>
      </c>
      <c r="F7" s="1" t="n">
        <v>0.000231787</v>
      </c>
      <c r="G7" s="1" t="s">
        <v>27</v>
      </c>
      <c r="H7" s="1" t="n">
        <v>8.9</v>
      </c>
      <c r="I7" s="1" t="n">
        <v>214.7</v>
      </c>
      <c r="J7" s="1" t="n">
        <v>42.6</v>
      </c>
      <c r="K7" s="1"/>
      <c r="L7" s="1" t="n">
        <v>0</v>
      </c>
      <c r="M7" s="1" t="n">
        <v>0</v>
      </c>
      <c r="N7" s="1" t="s">
        <v>53</v>
      </c>
      <c r="O7" s="1" t="n">
        <v>75</v>
      </c>
      <c r="P7" s="1" t="n">
        <f aca="false">COUNTIF(I$2:I$1500,"&lt;90")-SUM(P2:P6)</f>
        <v>25</v>
      </c>
      <c r="Q7" s="1" t="s">
        <v>54</v>
      </c>
      <c r="R7" s="1" t="n">
        <f aca="false">COUNTIF(J$2:J$1500,"&lt;0")-SUM(R2:R6)</f>
        <v>70</v>
      </c>
      <c r="S7" s="2" t="s">
        <v>55</v>
      </c>
      <c r="T7" s="1" t="n">
        <f aca="false">COUNTIFS(J$2:J$1500, "&gt;0",I$2:I$1500, "&lt;180")-SUM(T2:T6)</f>
        <v>33</v>
      </c>
      <c r="U7" s="1" t="n">
        <v>75</v>
      </c>
      <c r="V7" s="0" t="n">
        <f aca="false">SUMIFS(C$2:C$1500,C$2:C$1500, "&gt;=0",I$2:I$1500, "&lt;90",I$2:I$1500,"&gt;=75")</f>
        <v>48.1</v>
      </c>
      <c r="W7" s="2" t="s">
        <v>56</v>
      </c>
      <c r="X7" s="0" t="n">
        <f aca="false">SUMIFS(C$2:C$1500,C$2:C$1500, "&gt;=0",J$2:J$1500, "&lt;0",J$2:J$1500,"&gt;=-15",I$2:I$1500,"&lt;180")</f>
        <v>158.8</v>
      </c>
      <c r="Z7" s="0" t="n">
        <f aca="false">I7-3</f>
        <v>211.7</v>
      </c>
      <c r="AB7" s="0" t="n">
        <f aca="false">IF(Z7&lt;0,Z7+360,Z7+0)</f>
        <v>211.7</v>
      </c>
      <c r="AD7" s="1" t="n">
        <v>75</v>
      </c>
      <c r="AE7" s="1" t="n">
        <f aca="false">COUNTIF(AB$2:AB$1500,"&lt;90")-SUM(AE2:AE6)</f>
        <v>25</v>
      </c>
      <c r="AF7" s="1"/>
      <c r="AG7" s="1" t="n">
        <v>75</v>
      </c>
      <c r="AH7" s="0" t="n">
        <f aca="false">SUMIFS(C$2:C$1500,C$2:C$1500, "&gt;=0",AB$2:AB$1500, "&lt;90",AB$2:AB$1500,"&gt;=75")</f>
        <v>46.7</v>
      </c>
      <c r="AJ7" s="1" t="s">
        <v>54</v>
      </c>
      <c r="AK7" s="0" t="n">
        <f aca="false">SUMIF($J$2:$J$2000,"&lt;0",$C$2:$C$2000)-SUM($AK$2:$AK$6)</f>
        <v>270.1</v>
      </c>
      <c r="AM7" s="1" t="s">
        <v>57</v>
      </c>
      <c r="AN7" s="0" t="n">
        <f aca="false">AE7+AE8+AE19+AE20</f>
        <v>95</v>
      </c>
      <c r="AO7" s="1" t="s">
        <v>57</v>
      </c>
      <c r="AP7" s="0" t="n">
        <f aca="false">R14+R2</f>
        <v>14</v>
      </c>
      <c r="AR7" s="1" t="s">
        <v>57</v>
      </c>
      <c r="AS7" s="0" t="n">
        <f aca="false">AH7+AH8+AH19+AH20</f>
        <v>176.2</v>
      </c>
      <c r="AU7" s="0" t="n">
        <f aca="false">AK14+AK2</f>
        <v>49.6000000000001</v>
      </c>
    </row>
    <row r="8" customFormat="false" ht="15.8" hidden="false" customHeight="false" outlineLevel="0" collapsed="false">
      <c r="A8" s="1" t="n">
        <v>3</v>
      </c>
      <c r="B8" s="1" t="n">
        <v>6</v>
      </c>
      <c r="C8" s="1" t="n">
        <v>0.8</v>
      </c>
      <c r="D8" s="1" t="n">
        <v>1.0171</v>
      </c>
      <c r="E8" s="1" t="n">
        <v>0.0208467</v>
      </c>
      <c r="F8" s="1" t="n">
        <v>4.53873E-005</v>
      </c>
      <c r="G8" s="1" t="s">
        <v>27</v>
      </c>
      <c r="H8" s="1" t="n">
        <v>110.6</v>
      </c>
      <c r="I8" s="1" t="n">
        <v>342.4</v>
      </c>
      <c r="J8" s="1" t="n">
        <v>0</v>
      </c>
      <c r="K8" s="1"/>
      <c r="L8" s="1" t="n">
        <v>0</v>
      </c>
      <c r="M8" s="1" t="n">
        <v>0</v>
      </c>
      <c r="N8" s="1" t="s">
        <v>53</v>
      </c>
      <c r="O8" s="1" t="n">
        <v>90</v>
      </c>
      <c r="P8" s="1" t="n">
        <f aca="false">COUNTIF(I$2:I$1500,"&lt;105")-SUM(P2:P7)</f>
        <v>28</v>
      </c>
      <c r="Q8" s="0" t="s">
        <v>58</v>
      </c>
      <c r="R8" s="1" t="n">
        <f aca="false">COUNTIF(J$2:J$1500,"=0")</f>
        <v>212</v>
      </c>
      <c r="S8" s="2" t="s">
        <v>59</v>
      </c>
      <c r="T8" s="1" t="n">
        <f aca="false">COUNTIFS(J$2:J$1500, "&gt;-15",I$2:I$1500, "&lt;180")-SUM(T2:T7)</f>
        <v>142</v>
      </c>
      <c r="U8" s="1" t="n">
        <v>90</v>
      </c>
      <c r="V8" s="0" t="n">
        <f aca="false">SUMIFS(C$2:C$1500,C$2:C$1500, "&gt;=0",I$2:I$1500, "&lt;105",I$2:I$1500,"&gt;=90")</f>
        <v>46.5</v>
      </c>
      <c r="W8" s="2" t="s">
        <v>60</v>
      </c>
      <c r="X8" s="0" t="n">
        <f aca="false">SUMIFS(C$2:C$1500,C$2:C$1500, "&gt;=0",J$2:J$1500, "&lt;15",J$2:J$1500,"&gt;=0",I$2:I$1500,"&lt;180")</f>
        <v>310.8</v>
      </c>
      <c r="Z8" s="0" t="n">
        <f aca="false">I8-3</f>
        <v>339.4</v>
      </c>
      <c r="AB8" s="0" t="n">
        <f aca="false">IF(Z8&lt;0,Z8+360,Z8+0)</f>
        <v>339.4</v>
      </c>
      <c r="AD8" s="1" t="n">
        <v>90</v>
      </c>
      <c r="AE8" s="1" t="n">
        <f aca="false">COUNTIF(AB$2:AB$1500,"&lt;105")-SUM(AE2:AE7)</f>
        <v>24</v>
      </c>
      <c r="AF8" s="1"/>
      <c r="AG8" s="1" t="n">
        <v>90</v>
      </c>
      <c r="AH8" s="0" t="n">
        <f aca="false">SUMIFS(C$2:C$1500,C$2:C$1500, "&gt;=0",AB$2:AB$1500, "&lt;105",AB$2:AB$1500,"&gt;=90")</f>
        <v>47.5</v>
      </c>
      <c r="AJ8" s="0" t="s">
        <v>58</v>
      </c>
      <c r="AK8" s="0" t="n">
        <f aca="false">SUMIF($J$2:$J$2000,"=0",$C$2:$C$2000)</f>
        <v>312</v>
      </c>
      <c r="AM8" s="1"/>
      <c r="AR8" s="1"/>
    </row>
    <row r="9" customFormat="false" ht="15.8" hidden="false" customHeight="false" outlineLevel="0" collapsed="false">
      <c r="A9" s="1" t="n">
        <v>3</v>
      </c>
      <c r="B9" s="1" t="n">
        <v>5</v>
      </c>
      <c r="C9" s="1" t="n">
        <v>3.6</v>
      </c>
      <c r="D9" s="1" t="n">
        <v>1.2788</v>
      </c>
      <c r="E9" s="1" t="n">
        <v>0.0996801</v>
      </c>
      <c r="F9" s="1" t="n">
        <v>0.000217023</v>
      </c>
      <c r="G9" s="1" t="s">
        <v>37</v>
      </c>
      <c r="H9" s="1" t="n">
        <v>65.6</v>
      </c>
      <c r="I9" s="1" t="n">
        <v>218.3</v>
      </c>
      <c r="J9" s="1" t="n">
        <v>51.2</v>
      </c>
      <c r="K9" s="1" t="n">
        <v>110.6</v>
      </c>
      <c r="L9" s="1" t="n">
        <v>0</v>
      </c>
      <c r="M9" s="1" t="n">
        <v>0</v>
      </c>
      <c r="N9" s="1" t="s">
        <v>61</v>
      </c>
      <c r="O9" s="1" t="n">
        <v>105</v>
      </c>
      <c r="P9" s="1" t="n">
        <f aca="false">COUNTIF(I$2:I$1500,"&lt;120")-SUM(P2:P8)</f>
        <v>25</v>
      </c>
      <c r="Q9" s="1" t="s">
        <v>62</v>
      </c>
      <c r="R9" s="1" t="n">
        <f aca="false">COUNTIF(J$2:J$1500,"&lt;15")-SUM(R2:R8)</f>
        <v>75</v>
      </c>
      <c r="S9" s="2" t="s">
        <v>63</v>
      </c>
      <c r="T9" s="1" t="n">
        <f aca="false">COUNTIFS(J$2:J$1500, "&gt;-30",I$2:I$1500, "&lt;180")-SUM(T2:T8)</f>
        <v>75</v>
      </c>
      <c r="U9" s="1" t="n">
        <v>105</v>
      </c>
      <c r="V9" s="0" t="n">
        <f aca="false">SUMIFS(C$2:C$1500,C$2:C$1500, "&gt;=0",I$2:I$1500, "&lt;120",I$2:I$1500,"&gt;=105")</f>
        <v>59.5</v>
      </c>
      <c r="W9" s="2" t="s">
        <v>64</v>
      </c>
      <c r="X9" s="0" t="n">
        <f aca="false">SUMIFS(C$2:C$1500,C$2:C$1500, "&gt;=0",J$2:J$1500, "&lt;30",J$2:J$1500,"&gt;=15",I$2:I$1500,"&lt;180")</f>
        <v>128.9</v>
      </c>
      <c r="Z9" s="0" t="n">
        <f aca="false">I9-3</f>
        <v>215.3</v>
      </c>
      <c r="AB9" s="0" t="n">
        <f aca="false">IF(Z9&lt;0,Z9+360,Z9+0)</f>
        <v>215.3</v>
      </c>
      <c r="AD9" s="1" t="n">
        <v>105</v>
      </c>
      <c r="AE9" s="1" t="n">
        <f aca="false">COUNTIF(AB$2:AB$1500,"&lt;120")-SUM(AE2:AE8)</f>
        <v>26</v>
      </c>
      <c r="AF9" s="1"/>
      <c r="AG9" s="1" t="n">
        <v>105</v>
      </c>
      <c r="AH9" s="0" t="n">
        <f aca="false">SUMIFS(C$2:C$1500,C$2:C$1500, "&gt;=0",AB$2:AB$1500, "&lt;120",AB$2:AB$1500,"&gt;=105")</f>
        <v>56.6</v>
      </c>
      <c r="AJ9" s="1" t="s">
        <v>62</v>
      </c>
      <c r="AK9" s="0" t="n">
        <f aca="false">SUMIF($J$2:$J$2000,"&lt;15",$C$2:$C$2000)-SUM($AK$2:$AK$8)</f>
        <v>314.799999999999</v>
      </c>
      <c r="AM9" s="1" t="s">
        <v>65</v>
      </c>
      <c r="AN9" s="0" t="n">
        <f aca="false">SUM(AN2:AN7)</f>
        <v>832</v>
      </c>
      <c r="AO9" s="1" t="s">
        <v>65</v>
      </c>
      <c r="AP9" s="0" t="n">
        <f aca="false">SUM(AP2:AP7)</f>
        <v>832</v>
      </c>
      <c r="AR9" s="1" t="s">
        <v>65</v>
      </c>
      <c r="AS9" s="0" t="n">
        <f aca="false">SUM(AS2:AS7)</f>
        <v>2242.6</v>
      </c>
      <c r="AT9" s="1" t="s">
        <v>65</v>
      </c>
      <c r="AU9" s="0" t="n">
        <f aca="false">SUM(AU2:AU7)</f>
        <v>2242.6</v>
      </c>
    </row>
    <row r="10" customFormat="false" ht="15.8" hidden="false" customHeight="false" outlineLevel="0" collapsed="false">
      <c r="A10" s="1" t="n">
        <v>3</v>
      </c>
      <c r="B10" s="1" t="n">
        <v>5</v>
      </c>
      <c r="C10" s="1" t="n">
        <v>2.1</v>
      </c>
      <c r="D10" s="1" t="n">
        <v>1.644</v>
      </c>
      <c r="E10" s="1" t="n">
        <v>0.0585828</v>
      </c>
      <c r="F10" s="1" t="n">
        <v>0.000127546</v>
      </c>
      <c r="G10" s="1" t="s">
        <v>27</v>
      </c>
      <c r="H10" s="1" t="n">
        <v>60.5</v>
      </c>
      <c r="I10" s="1" t="n">
        <v>326.1</v>
      </c>
      <c r="J10" s="1" t="n">
        <v>-16.5</v>
      </c>
      <c r="K10" s="1"/>
      <c r="L10" s="1" t="n">
        <v>0</v>
      </c>
      <c r="M10" s="1" t="n">
        <v>0</v>
      </c>
      <c r="N10" s="1" t="s">
        <v>61</v>
      </c>
      <c r="O10" s="1" t="n">
        <v>120</v>
      </c>
      <c r="P10" s="1" t="n">
        <f aca="false">COUNTIF(I$2:I$1500,"&lt;135")-SUM(P2:P9)</f>
        <v>23</v>
      </c>
      <c r="Q10" s="1" t="s">
        <v>66</v>
      </c>
      <c r="R10" s="1" t="n">
        <f aca="false">COUNTIF(J$2:J$1500,"&lt;30")-SUM(R2:R9)</f>
        <v>99</v>
      </c>
      <c r="S10" s="2" t="s">
        <v>67</v>
      </c>
      <c r="T10" s="1" t="n">
        <f aca="false">COUNTIFS(J$2:J$1500, "&gt;-45",I$2:I$1500, "&lt;180")-SUM(T2:T9)</f>
        <v>47</v>
      </c>
      <c r="U10" s="1" t="n">
        <v>120</v>
      </c>
      <c r="V10" s="0" t="n">
        <f aca="false">SUMIFS(C$2:C$1500,C$2:C$1500, "&gt;=0",I$2:I$1500, "&lt;135",I$2:I$1500,"&gt;=120")</f>
        <v>55.4</v>
      </c>
      <c r="W10" s="2" t="s">
        <v>68</v>
      </c>
      <c r="X10" s="0" t="n">
        <f aca="false">SUMIFS(C$2:C$1500,C$2:C$1500, "&gt;=0",J$2:J$1500, "&lt;45",J$2:J$1500,"&gt;=30",I$2:I$1500,"&lt;180")</f>
        <v>24.8</v>
      </c>
      <c r="Z10" s="0" t="n">
        <f aca="false">I10-3</f>
        <v>323.1</v>
      </c>
      <c r="AB10" s="0" t="n">
        <f aca="false">IF(Z10&lt;0,Z10+360,Z10+0)</f>
        <v>323.1</v>
      </c>
      <c r="AD10" s="1" t="n">
        <v>120</v>
      </c>
      <c r="AE10" s="1" t="n">
        <f aca="false">COUNTIF(AB$2:AB$1500,"&lt;135")-SUM(AE2:AE9)</f>
        <v>28</v>
      </c>
      <c r="AF10" s="1"/>
      <c r="AG10" s="1" t="n">
        <v>120</v>
      </c>
      <c r="AH10" s="0" t="n">
        <f aca="false">SUMIFS(C$2:C$1500,C$2:C$1500, "&gt;=0",AB$2:AB$1500, "&lt;135",AB$2:AB$1500,"&gt;=120")</f>
        <v>84.4</v>
      </c>
      <c r="AJ10" s="1" t="s">
        <v>66</v>
      </c>
      <c r="AK10" s="0" t="n">
        <f aca="false">SUMIF($J$2:$J$2000,"&lt;30",$C$2:$C$2000)-SUM($AK$2:$AK$9)</f>
        <v>291.800000000001</v>
      </c>
      <c r="AM10" s="1"/>
      <c r="AR10" s="1"/>
    </row>
    <row r="11" customFormat="false" ht="15.8" hidden="false" customHeight="false" outlineLevel="0" collapsed="false">
      <c r="A11" s="1" t="n">
        <v>3</v>
      </c>
      <c r="B11" s="1" t="n">
        <v>4</v>
      </c>
      <c r="C11" s="1" t="n">
        <v>0.7</v>
      </c>
      <c r="D11" s="1" t="n">
        <v>1.0243</v>
      </c>
      <c r="E11" s="1" t="n">
        <v>0.0185742</v>
      </c>
      <c r="F11" s="1" t="n">
        <v>4.04397E-005</v>
      </c>
      <c r="G11" s="1" t="s">
        <v>37</v>
      </c>
      <c r="H11" s="1" t="n">
        <v>82.2</v>
      </c>
      <c r="I11" s="1" t="n">
        <v>267</v>
      </c>
      <c r="J11" s="1" t="n">
        <v>0</v>
      </c>
      <c r="K11" s="1" t="n">
        <v>65.6</v>
      </c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34</v>
      </c>
      <c r="Q11" s="1" t="s">
        <v>70</v>
      </c>
      <c r="R11" s="1" t="n">
        <f aca="false">COUNTIF(J$2:J$1500,"&lt;45")-SUM(R2:R10)</f>
        <v>50</v>
      </c>
      <c r="S11" s="2" t="s">
        <v>71</v>
      </c>
      <c r="T11" s="1" t="n">
        <f aca="false">COUNTIFS(J$2:J$1500, "&gt;-60",I$2:I$1500, "&lt;180")-SUM(T2:T10)</f>
        <v>27</v>
      </c>
      <c r="U11" s="1" t="n">
        <v>135</v>
      </c>
      <c r="V11" s="0" t="n">
        <f aca="false">SUMIFS(C$2:C$1500,C$2:C$1500, "&gt;=0",I$2:I$1500, "&lt;150",I$2:I$1500,"&gt;=135")</f>
        <v>109.5</v>
      </c>
      <c r="W11" s="2" t="s">
        <v>72</v>
      </c>
      <c r="X11" s="0" t="n">
        <f aca="false">SUMIFS(C$2:C$1500,C$2:C$1500, "&gt;=0",J$2:J$1500, "&lt;60",J$2:J$1500,"&gt;=45",I$2:I$1500,"&lt;180")</f>
        <v>19</v>
      </c>
      <c r="Z11" s="0" t="n">
        <f aca="false">I11-3</f>
        <v>264</v>
      </c>
      <c r="AB11" s="0" t="n">
        <f aca="false">IF(Z11&lt;0,Z11+360,Z11+0)</f>
        <v>264</v>
      </c>
      <c r="AD11" s="1" t="n">
        <v>135</v>
      </c>
      <c r="AE11" s="1" t="n">
        <f aca="false">COUNTIF(AB$2:AB$1500,"&lt;150")-SUM(AE2:AE10)</f>
        <v>29</v>
      </c>
      <c r="AF11" s="1"/>
      <c r="AG11" s="1" t="n">
        <v>135</v>
      </c>
      <c r="AH11" s="0" t="n">
        <f aca="false">SUMIFS(C$2:C$1500,C$2:C$1500, "&gt;=0",AB$2:AB$1500, "&lt;150",AB$2:AB$1500,"&gt;=135")</f>
        <v>79</v>
      </c>
      <c r="AJ11" s="1" t="s">
        <v>70</v>
      </c>
      <c r="AK11" s="0" t="n">
        <f aca="false">SUMIF($J$2:$J$2000,"&lt;45",$C$2:$C$2000)-SUM($AK$2:$AK$10)</f>
        <v>93.5999999999995</v>
      </c>
    </row>
    <row r="12" customFormat="false" ht="15.8" hidden="false" customHeight="false" outlineLevel="0" collapsed="false">
      <c r="A12" s="1" t="n">
        <v>3</v>
      </c>
      <c r="B12" s="1" t="n">
        <v>4</v>
      </c>
      <c r="C12" s="1" t="n">
        <v>2.6</v>
      </c>
      <c r="D12" s="1" t="n">
        <v>1.0347</v>
      </c>
      <c r="E12" s="1" t="n">
        <v>0.0719089</v>
      </c>
      <c r="F12" s="1" t="n">
        <v>0.00015656</v>
      </c>
      <c r="G12" s="1" t="s">
        <v>27</v>
      </c>
      <c r="H12" s="1" t="n">
        <v>43.9</v>
      </c>
      <c r="I12" s="1" t="n">
        <v>192.3</v>
      </c>
      <c r="J12" s="1" t="n">
        <v>0</v>
      </c>
      <c r="K12" s="1"/>
      <c r="L12" s="1" t="n">
        <v>0</v>
      </c>
      <c r="M12" s="1" t="n">
        <v>0</v>
      </c>
      <c r="N12" s="1" t="s">
        <v>69</v>
      </c>
      <c r="O12" s="1" t="n">
        <v>150</v>
      </c>
      <c r="P12" s="1" t="n">
        <f aca="false">COUNTIF(I$2:I$1500,"&lt;165")-SUM(P2:P11)</f>
        <v>34</v>
      </c>
      <c r="Q12" s="1" t="s">
        <v>73</v>
      </c>
      <c r="R12" s="1" t="n">
        <f aca="false">COUNTIF(J$2:J$1500,"&lt;60")-SUM(R2:R11)</f>
        <v>31</v>
      </c>
      <c r="S12" s="2" t="s">
        <v>74</v>
      </c>
      <c r="T12" s="1" t="n">
        <f aca="false">COUNTIFS(J$2:J$1500, "&gt;-75",I$2:I$1500, "&lt;180")-SUM(T2:T11)</f>
        <v>18</v>
      </c>
      <c r="U12" s="1" t="n">
        <v>150</v>
      </c>
      <c r="V12" s="0" t="n">
        <f aca="false">SUMIFS(C$2:C$1500,C$2:C$1500, "&gt;=0",I$2:I$1500, "&lt;165",I$2:I$1500,"&gt;=150")</f>
        <v>94.3</v>
      </c>
      <c r="W12" s="2" t="s">
        <v>75</v>
      </c>
      <c r="X12" s="0" t="n">
        <f aca="false">SUMIFS(C$2:C$1500,C$2:C$1500, "&gt;=0",J$2:J$1500, "&lt;75",J$2:J$1500,"&gt;=60",I$2:I$1500,"&lt;180")</f>
        <v>11.2</v>
      </c>
      <c r="Z12" s="0" t="n">
        <f aca="false">I12-3</f>
        <v>189.3</v>
      </c>
      <c r="AB12" s="0" t="n">
        <f aca="false">IF(Z12&lt;0,Z12+360,Z12+0)</f>
        <v>189.3</v>
      </c>
      <c r="AD12" s="1" t="n">
        <v>150</v>
      </c>
      <c r="AE12" s="1" t="n">
        <f aca="false">COUNTIF(AB$2:AB$1500,"&lt;165")-SUM(AE2:AE11)</f>
        <v>33</v>
      </c>
      <c r="AF12" s="1"/>
      <c r="AG12" s="1" t="n">
        <v>150</v>
      </c>
      <c r="AH12" s="0" t="n">
        <f aca="false">SUMIFS(C$2:C$1500,C$2:C$1500, "&gt;=0",AB$2:AB$1500, "&lt;165",AB$2:AB$1500,"&gt;=150")</f>
        <v>94.7</v>
      </c>
      <c r="AJ12" s="1" t="s">
        <v>73</v>
      </c>
      <c r="AK12" s="0" t="n">
        <f aca="false">SUMIF($J$2:$J$2000,"&lt;60",$C$2:$C$2000)-SUM($AK$2:$AK$11)</f>
        <v>65.1999999999989</v>
      </c>
    </row>
    <row r="13" customFormat="false" ht="15.8" hidden="false" customHeight="false" outlineLevel="0" collapsed="false">
      <c r="A13" s="1" t="n">
        <v>3</v>
      </c>
      <c r="B13" s="1" t="n">
        <v>3</v>
      </c>
      <c r="C13" s="1" t="n">
        <v>0.6</v>
      </c>
      <c r="D13" s="1" t="n">
        <v>1.1683</v>
      </c>
      <c r="E13" s="1" t="n">
        <v>0.0171072</v>
      </c>
      <c r="F13" s="1" t="n">
        <v>3.72458E-005</v>
      </c>
      <c r="G13" s="1" t="s">
        <v>37</v>
      </c>
      <c r="H13" s="1" t="n">
        <v>62.6</v>
      </c>
      <c r="I13" s="1" t="n">
        <v>187.8</v>
      </c>
      <c r="J13" s="1" t="n">
        <v>43.7</v>
      </c>
      <c r="K13" s="1" t="n">
        <v>82.2</v>
      </c>
      <c r="L13" s="1" t="n">
        <v>0</v>
      </c>
      <c r="M13" s="1" t="n">
        <v>0</v>
      </c>
      <c r="N13" s="1" t="s">
        <v>76</v>
      </c>
      <c r="O13" s="1" t="n">
        <v>165</v>
      </c>
      <c r="P13" s="1" t="n">
        <f aca="false">COUNTIF(I$2:I$1500,"&lt;180")-SUM(P2:P12)</f>
        <v>44</v>
      </c>
      <c r="Q13" s="1" t="s">
        <v>77</v>
      </c>
      <c r="R13" s="1" t="n">
        <f aca="false">COUNTIF(J$2:J$1500,"&lt;75")-SUM(R2:R12)</f>
        <v>18</v>
      </c>
      <c r="S13" s="2" t="s">
        <v>78</v>
      </c>
      <c r="T13" s="1" t="n">
        <f aca="false">COUNTIFS(J$2:J$1500, "&gt;-90",I$2:I$1500, "&lt;180")-SUM(T2:T12)</f>
        <v>7</v>
      </c>
      <c r="U13" s="1" t="n">
        <v>165</v>
      </c>
      <c r="V13" s="0" t="n">
        <f aca="false">SUMIFS(C$2:C$1500,C$2:C$1500, "&gt;=0",I$2:I$1500, "&lt;180",I$2:I$1500,"&gt;=165")</f>
        <v>141.8</v>
      </c>
      <c r="W13" s="2" t="s">
        <v>79</v>
      </c>
      <c r="X13" s="0" t="n">
        <f aca="false">SUMIFS(C$2:C$1500,C$2:C$1500, "&gt;=0",J$2:J$1500, "&lt;90",J$2:J$1500,"&gt;=75",I$2:I$1500,"&lt;180")</f>
        <v>3.7</v>
      </c>
      <c r="Z13" s="0" t="n">
        <f aca="false">I13-3</f>
        <v>184.8</v>
      </c>
      <c r="AB13" s="0" t="n">
        <f aca="false">IF(Z13&lt;0,Z13+360,Z13+0)</f>
        <v>184.8</v>
      </c>
      <c r="AD13" s="1" t="n">
        <v>165</v>
      </c>
      <c r="AE13" s="1" t="n">
        <f aca="false">COUNTIF(AB$2:AB$1500,"&lt;180")-SUM(AE2:AE12)</f>
        <v>57</v>
      </c>
      <c r="AF13" s="1"/>
      <c r="AG13" s="1" t="n">
        <v>165</v>
      </c>
      <c r="AH13" s="0" t="n">
        <f aca="false">SUMIFS(C$2:C$1500,C$2:C$1500, "&gt;=0",AB$2:AB$1500, "&lt;180",AB$2:AB$1500,"&gt;=165")</f>
        <v>182.5</v>
      </c>
      <c r="AJ13" s="1" t="s">
        <v>77</v>
      </c>
      <c r="AK13" s="0" t="n">
        <f aca="false">SUMIF($J$2:$J$2000,"&lt;75",$C$2:$C$2000)-SUM($AK$2:$AK$12)</f>
        <v>44.5000000000005</v>
      </c>
    </row>
    <row r="14" customFormat="false" ht="15.8" hidden="false" customHeight="false" outlineLevel="0" collapsed="false">
      <c r="A14" s="1" t="n">
        <v>3</v>
      </c>
      <c r="B14" s="1" t="n">
        <v>3</v>
      </c>
      <c r="C14" s="1" t="n">
        <v>2.8</v>
      </c>
      <c r="D14" s="1" t="n">
        <v>1.5731</v>
      </c>
      <c r="E14" s="1" t="n">
        <v>0.0756926</v>
      </c>
      <c r="F14" s="1" t="n">
        <v>0.000164797</v>
      </c>
      <c r="G14" s="1" t="s">
        <v>27</v>
      </c>
      <c r="H14" s="1" t="n">
        <v>134.8</v>
      </c>
      <c r="I14" s="1" t="n">
        <v>51.7</v>
      </c>
      <c r="J14" s="1" t="n">
        <v>-39.1</v>
      </c>
      <c r="K14" s="1"/>
      <c r="L14" s="1" t="n">
        <v>0</v>
      </c>
      <c r="M14" s="1" t="n">
        <v>0</v>
      </c>
      <c r="N14" s="1" t="s">
        <v>76</v>
      </c>
      <c r="O14" s="1" t="n">
        <v>180</v>
      </c>
      <c r="P14" s="1" t="n">
        <f aca="false">COUNTIF(I$2:I$1500,"&lt;195")-SUM(P2:P13)</f>
        <v>59</v>
      </c>
      <c r="Q14" s="1" t="s">
        <v>80</v>
      </c>
      <c r="R14" s="1" t="n">
        <f aca="false">COUNTIF(J$2:J$1500,"&lt;=90")-SUM(R2:R13)</f>
        <v>6</v>
      </c>
      <c r="S14" s="2" t="s">
        <v>81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227.5</v>
      </c>
      <c r="W14" s="2" t="s">
        <v>82</v>
      </c>
      <c r="X14" s="0" t="n">
        <f aca="false">SUMIFS(C$2:C$1500,C$2:C$1500, "&gt;=0",J$2:J$1500, "&lt;90",J$2:J$1500,"&gt;=75",I$2:I$1500,"&gt;=180")</f>
        <v>5.2</v>
      </c>
      <c r="Z14" s="0" t="n">
        <f aca="false">I14-3</f>
        <v>48.7</v>
      </c>
      <c r="AB14" s="0" t="n">
        <f aca="false">IF(Z14&lt;0,Z14+360,Z14+0)</f>
        <v>48.7</v>
      </c>
      <c r="AD14" s="1" t="n">
        <v>180</v>
      </c>
      <c r="AE14" s="1" t="n">
        <f aca="false">COUNTIF(AB$2:AB$1500,"&lt;195")-SUM(AE2:AE13)</f>
        <v>52</v>
      </c>
      <c r="AF14" s="1"/>
      <c r="AG14" s="1" t="n">
        <v>180</v>
      </c>
      <c r="AH14" s="0" t="n">
        <f aca="false">SUMIFS(C$2:C$1500,C$2:C$1500, "&gt;=0",AB$2:AB$1500, "&lt;195",AB$2:AB$1500,"&gt;=180")</f>
        <v>196.6</v>
      </c>
      <c r="AJ14" s="1" t="s">
        <v>80</v>
      </c>
      <c r="AK14" s="0" t="n">
        <f aca="false">SUMIF($J$2:$J$2000,"&lt;90",$C$2:$C$2000)-SUM($AK$2:$AK$13)</f>
        <v>8.90000000000009</v>
      </c>
    </row>
    <row r="15" customFormat="false" ht="15.8" hidden="false" customHeight="false" outlineLevel="0" collapsed="false">
      <c r="A15" s="1" t="n">
        <v>3</v>
      </c>
      <c r="B15" s="1" t="n">
        <v>2</v>
      </c>
      <c r="C15" s="1" t="n">
        <v>2.6</v>
      </c>
      <c r="D15" s="1" t="n">
        <v>1.2052</v>
      </c>
      <c r="E15" s="1" t="n">
        <v>0.0716537</v>
      </c>
      <c r="F15" s="1" t="n">
        <v>0.000156004</v>
      </c>
      <c r="G15" s="1" t="s">
        <v>37</v>
      </c>
      <c r="H15" s="1" t="n">
        <v>102.3</v>
      </c>
      <c r="I15" s="1" t="n">
        <v>297.5</v>
      </c>
      <c r="J15" s="1" t="n">
        <v>58.4</v>
      </c>
      <c r="K15" s="1" t="n">
        <v>134.8</v>
      </c>
      <c r="L15" s="1" t="n">
        <v>0</v>
      </c>
      <c r="M15" s="1" t="n">
        <v>0</v>
      </c>
      <c r="N15" s="1" t="s">
        <v>48</v>
      </c>
      <c r="O15" s="1" t="n">
        <v>195</v>
      </c>
      <c r="P15" s="1" t="n">
        <f aca="false">COUNTIF(I$2:I$1500,"&lt;210")-SUM(P2:P14)</f>
        <v>45</v>
      </c>
      <c r="R15" s="1"/>
      <c r="S15" s="2" t="s">
        <v>83</v>
      </c>
      <c r="T15" s="1" t="n">
        <f aca="false">COUNTIFS(J$2:J$1500, "&gt;-75",I$2:I$1500, "&gt;=180")-SUM(T16:T25)</f>
        <v>7</v>
      </c>
      <c r="U15" s="1" t="n">
        <v>195</v>
      </c>
      <c r="V15" s="0" t="n">
        <f aca="false">SUMIFS(C$2:C$1500,C$2:C$1500, "&gt;=0",I$2:I$1500, "&lt;210",I$2:I$1500,"&gt;=195")</f>
        <v>93.1</v>
      </c>
      <c r="W15" s="2" t="s">
        <v>84</v>
      </c>
      <c r="X15" s="0" t="n">
        <f aca="false">SUMIFS(C$2:C$1500,C$2:C$1500, "&gt;=0",J$2:J$1500, "&lt;75",J$2:J$1500,"&gt;=60",I$2:I$1500,"&gt;=180")</f>
        <v>33.3</v>
      </c>
      <c r="Z15" s="0" t="n">
        <f aca="false">I15-3</f>
        <v>294.5</v>
      </c>
      <c r="AB15" s="0" t="n">
        <f aca="false">IF(Z15&lt;0,Z15+360,Z15+0)</f>
        <v>294.5</v>
      </c>
      <c r="AD15" s="1" t="n">
        <v>195</v>
      </c>
      <c r="AE15" s="1" t="n">
        <f aca="false">COUNTIF(AB$2:AB$1500,"&lt;210")-SUM(AE2:AE14)</f>
        <v>42</v>
      </c>
      <c r="AF15" s="1"/>
      <c r="AG15" s="1" t="n">
        <v>195</v>
      </c>
      <c r="AH15" s="0" t="n">
        <f aca="false">SUMIFS(C$2:C$1500,C$2:C$1500, "&gt;=0",AB$2:AB$1500, "&lt;210",AB$2:AB$1500,"&gt;=195")</f>
        <v>92.8</v>
      </c>
    </row>
    <row r="16" customFormat="false" ht="15.8" hidden="false" customHeight="false" outlineLevel="0" collapsed="false">
      <c r="A16" s="1" t="n">
        <v>3</v>
      </c>
      <c r="B16" s="1" t="n">
        <v>6</v>
      </c>
      <c r="C16" s="1" t="n">
        <v>4.2</v>
      </c>
      <c r="D16" s="1" t="n">
        <v>1.4203</v>
      </c>
      <c r="E16" s="1" t="n">
        <v>0.114978</v>
      </c>
      <c r="F16" s="1" t="n">
        <v>0.000250329</v>
      </c>
      <c r="G16" s="1" t="s">
        <v>27</v>
      </c>
      <c r="H16" s="1" t="n">
        <v>100</v>
      </c>
      <c r="I16" s="1" t="n">
        <v>158</v>
      </c>
      <c r="J16" s="1" t="n">
        <v>22</v>
      </c>
      <c r="K16" s="1"/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39</v>
      </c>
      <c r="S16" s="2" t="s">
        <v>86</v>
      </c>
      <c r="T16" s="1" t="n">
        <f aca="false">COUNTIFS(J$2:J$1500, "&gt;-60",I$2:I$1500, "&gt;=180")-SUM(T17:T25)</f>
        <v>13</v>
      </c>
      <c r="U16" s="1" t="n">
        <v>210</v>
      </c>
      <c r="V16" s="0" t="n">
        <f aca="false">SUMIFS(C$2:C$1500,C$2:C$1500, "&gt;=0",I$2:I$1500, "&lt;225",I$2:I$1500,"&gt;=210")</f>
        <v>92.9</v>
      </c>
      <c r="W16" s="2" t="s">
        <v>87</v>
      </c>
      <c r="X16" s="0" t="n">
        <f aca="false">SUMIFS(C$2:C$1500,C$2:C$1500, "&gt;=0",J$2:J$1500, "&lt;60",J$2:J$1500,"&gt;=45",I$2:I$1500,"&gt;=180")</f>
        <v>46.2</v>
      </c>
      <c r="Z16" s="0" t="n">
        <f aca="false">I16-3</f>
        <v>155</v>
      </c>
      <c r="AB16" s="0" t="n">
        <f aca="false">IF(Z16&lt;0,Z16+360,Z16+0)</f>
        <v>155</v>
      </c>
      <c r="AD16" s="1" t="n">
        <v>210</v>
      </c>
      <c r="AE16" s="1" t="n">
        <f aca="false">COUNTIF(AB$2:AB$1500,"&lt;225")-SUM(AE2:AE15)</f>
        <v>41</v>
      </c>
      <c r="AF16" s="1"/>
      <c r="AG16" s="1" t="n">
        <v>210</v>
      </c>
      <c r="AH16" s="0" t="n">
        <f aca="false">SUMIFS(C$2:C$1500,C$2:C$1500, "&gt;=0",AB$2:AB$1500, "&lt;225",AB$2:AB$1500,"&gt;=210")</f>
        <v>96.6</v>
      </c>
    </row>
    <row r="17" customFormat="false" ht="15.8" hidden="false" customHeight="false" outlineLevel="0" collapsed="false">
      <c r="A17" s="1" t="n">
        <v>3</v>
      </c>
      <c r="B17" s="1" t="n">
        <v>6</v>
      </c>
      <c r="C17" s="1" t="n">
        <v>1.9</v>
      </c>
      <c r="D17" s="1" t="n">
        <v>1.3101</v>
      </c>
      <c r="E17" s="1" t="n">
        <v>0.0509317</v>
      </c>
      <c r="F17" s="1" t="n">
        <v>0.000110888</v>
      </c>
      <c r="G17" s="1" t="s">
        <v>27</v>
      </c>
      <c r="H17" s="1" t="n">
        <v>92.4</v>
      </c>
      <c r="I17" s="1" t="n">
        <v>76.4</v>
      </c>
      <c r="J17" s="1" t="n">
        <v>-51.4</v>
      </c>
      <c r="K17" s="1"/>
      <c r="L17" s="1" t="n">
        <v>0</v>
      </c>
      <c r="M17" s="1" t="n">
        <v>0</v>
      </c>
      <c r="N17" s="1" t="s">
        <v>85</v>
      </c>
      <c r="O17" s="1" t="n">
        <v>225</v>
      </c>
      <c r="P17" s="1" t="n">
        <f aca="false">COUNTIF(I$2:I$1500,"&lt;240")-SUM(P2:P16)</f>
        <v>24</v>
      </c>
      <c r="S17" s="2" t="s">
        <v>88</v>
      </c>
      <c r="T17" s="1" t="n">
        <f aca="false">COUNTIFS(J$2:J$1500, "&gt;-45",I$2:I$1500, "&gt;=180")-SUM(T18:T25)</f>
        <v>29</v>
      </c>
      <c r="U17" s="1" t="n">
        <v>225</v>
      </c>
      <c r="V17" s="0" t="n">
        <f aca="false">SUMIFS(C$2:C$1500,C$2:C$1500, "&gt;=0",I$2:I$1500, "&lt;240",I$2:I$1500,"&gt;=225")</f>
        <v>52.9</v>
      </c>
      <c r="W17" s="2" t="s">
        <v>89</v>
      </c>
      <c r="X17" s="0" t="n">
        <f aca="false">SUMIFS(C$2:C$1500,C$2:C$1500, "&gt;=0",J$2:J$1500, "&lt;45",J$2:J$1500,"&gt;=30",I$2:I$1500,"&gt;=180")</f>
        <v>68.8</v>
      </c>
      <c r="Z17" s="0" t="n">
        <f aca="false">I17-3</f>
        <v>73.4</v>
      </c>
      <c r="AB17" s="0" t="n">
        <f aca="false">IF(Z17&lt;0,Z17+360,Z17+0)</f>
        <v>73.4</v>
      </c>
      <c r="AD17" s="1" t="n">
        <v>225</v>
      </c>
      <c r="AE17" s="1" t="n">
        <f aca="false">COUNTIF(AB$11:AB$1500,"&lt;240")-SUM(AE2:AE16)</f>
        <v>13</v>
      </c>
      <c r="AF17" s="1"/>
      <c r="AG17" s="1" t="n">
        <v>225</v>
      </c>
      <c r="AH17" s="0" t="n">
        <f aca="false">SUMIFS(C$2:C$1500,C$2:C$1500, "&gt;=0",AB$2:AB$1500, "&lt;240",AB$2:AB$1500,"&gt;=225")</f>
        <v>40.1</v>
      </c>
    </row>
    <row r="18" customFormat="false" ht="15.8" hidden="false" customHeight="false" outlineLevel="0" collapsed="false">
      <c r="A18" s="1" t="n">
        <v>3</v>
      </c>
      <c r="B18" s="1" t="n">
        <v>5</v>
      </c>
      <c r="C18" s="1" t="n">
        <v>1.6</v>
      </c>
      <c r="D18" s="1" t="n">
        <v>1.2678</v>
      </c>
      <c r="E18" s="1" t="n">
        <v>0.0440559</v>
      </c>
      <c r="F18" s="1" t="n">
        <v>9.59183E-005</v>
      </c>
      <c r="G18" s="1" t="s">
        <v>37</v>
      </c>
      <c r="H18" s="1" t="n">
        <v>61.1</v>
      </c>
      <c r="I18" s="1" t="n">
        <v>244.5</v>
      </c>
      <c r="J18" s="1" t="n">
        <v>-35.6</v>
      </c>
      <c r="K18" s="1" t="n">
        <v>100</v>
      </c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22</v>
      </c>
      <c r="S18" s="2" t="s">
        <v>91</v>
      </c>
      <c r="T18" s="1" t="n">
        <f aca="false">COUNTIFS(J$2:J$1500, "&gt;-30",I$2:I$1500, "&gt;=180")-SUM(T19:T25)</f>
        <v>47</v>
      </c>
      <c r="U18" s="1" t="n">
        <v>240</v>
      </c>
      <c r="V18" s="0" t="n">
        <f aca="false">SUMIFS(C$2:C$1500,C$2:C$1500, "&gt;=0",I$2:I$1500, "&lt;255",I$2:I$1500,"&gt;=240")</f>
        <v>45.1</v>
      </c>
      <c r="W18" s="2" t="s">
        <v>92</v>
      </c>
      <c r="X18" s="0" t="n">
        <f aca="false">SUMIFS(C$2:C$1500,C$2:C$1500, "&gt;=0",J$2:J$1500, "&lt;30",J$2:J$1500,"&gt;=15",I$2:I$1500,"&gt;=180")</f>
        <v>162.9</v>
      </c>
      <c r="Z18" s="0" t="n">
        <f aca="false">I18-3</f>
        <v>241.5</v>
      </c>
      <c r="AB18" s="0" t="n">
        <f aca="false">IF(Z18&lt;0,Z18+360,Z18+0)</f>
        <v>241.5</v>
      </c>
      <c r="AD18" s="1" t="n">
        <v>240</v>
      </c>
      <c r="AE18" s="1" t="n">
        <f aca="false">COUNTIF(AB$2:AB$1500,"&lt;255")-SUM(AE2:AE17)</f>
        <v>27</v>
      </c>
      <c r="AF18" s="1"/>
      <c r="AG18" s="1" t="n">
        <v>240</v>
      </c>
      <c r="AH18" s="0" t="n">
        <f aca="false">SUMIFS(C$2:C$1500,C$2:C$1500, "&gt;=0",AB$2:AB$1500, "&lt;255",AB$2:AB$1500,"&gt;=240")</f>
        <v>40.7</v>
      </c>
    </row>
    <row r="19" customFormat="false" ht="15.8" hidden="false" customHeight="false" outlineLevel="0" collapsed="false">
      <c r="A19" s="1" t="n">
        <v>3</v>
      </c>
      <c r="B19" s="1" t="n">
        <v>7</v>
      </c>
      <c r="C19" s="1" t="n">
        <v>3.5</v>
      </c>
      <c r="D19" s="1" t="n">
        <v>1.4513</v>
      </c>
      <c r="E19" s="1" t="n">
        <v>0.120799</v>
      </c>
      <c r="F19" s="1" t="n">
        <v>0.000328754</v>
      </c>
      <c r="G19" s="1" t="s">
        <v>27</v>
      </c>
      <c r="H19" s="1" t="n">
        <v>17.4</v>
      </c>
      <c r="I19" s="1" t="n">
        <v>76.1</v>
      </c>
      <c r="J19" s="1" t="n">
        <v>-49.5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16</v>
      </c>
      <c r="S19" s="2" t="s">
        <v>94</v>
      </c>
      <c r="T19" s="1" t="n">
        <f aca="false">COUNTIFS(J$2:J$1500, "&gt;-15",I$2:I$1500, "&gt;=180")-SUM(T20:T25)</f>
        <v>140</v>
      </c>
      <c r="U19" s="1" t="n">
        <v>255</v>
      </c>
      <c r="V19" s="0" t="n">
        <f aca="false">SUMIFS(C$2:C$1500,C$2:C$1500, "&gt;=0",I$2:I$1500, "&lt;270",I$2:I$1500,"&gt;=255")</f>
        <v>27.4</v>
      </c>
      <c r="W19" s="2" t="s">
        <v>95</v>
      </c>
      <c r="X19" s="0" t="n">
        <f aca="false">SUMIFS(C$2:C$1500,C$2:C$1500, "&gt;=0",J$2:J$1500, "&lt;15",J$2:J$1500,"&gt;=0",I$2:I$1500,"&gt;=180")</f>
        <v>316</v>
      </c>
      <c r="Z19" s="0" t="n">
        <f aca="false">I19-3</f>
        <v>73.1</v>
      </c>
      <c r="AB19" s="0" t="n">
        <f aca="false">IF(Z19&lt;0,Z19+360,Z19+0)</f>
        <v>73.1</v>
      </c>
      <c r="AD19" s="1" t="n">
        <v>255</v>
      </c>
      <c r="AE19" s="1" t="n">
        <f aca="false">COUNTIF(AB$2:AB$1500,"&lt;270")-SUM(AE2:AE18)</f>
        <v>21</v>
      </c>
      <c r="AF19" s="1"/>
      <c r="AG19" s="1" t="n">
        <v>255</v>
      </c>
      <c r="AH19" s="0" t="n">
        <f aca="false">SUMIFS(C$2:C$1500,C$2:C$1500, "&gt;=0",AB$2:AB$1500, "&lt;270",AB$2:AB$1500,"&gt;=255")</f>
        <v>37.2</v>
      </c>
    </row>
    <row r="20" customFormat="false" ht="15.8" hidden="false" customHeight="false" outlineLevel="0" collapsed="false">
      <c r="A20" s="1" t="n">
        <v>3</v>
      </c>
      <c r="B20" s="1" t="n">
        <v>7</v>
      </c>
      <c r="C20" s="1" t="n">
        <v>3.5</v>
      </c>
      <c r="D20" s="1" t="n">
        <v>1.2822</v>
      </c>
      <c r="E20" s="1" t="n">
        <v>0.118802</v>
      </c>
      <c r="F20" s="1" t="n">
        <v>0.000323318</v>
      </c>
      <c r="G20" s="1" t="s">
        <v>27</v>
      </c>
      <c r="H20" s="1" t="n">
        <v>56.5</v>
      </c>
      <c r="I20" s="1" t="n">
        <v>13.2</v>
      </c>
      <c r="J20" s="1" t="n">
        <v>-24.2</v>
      </c>
      <c r="K20" s="1"/>
      <c r="L20" s="1" t="n">
        <v>0</v>
      </c>
      <c r="M20" s="1" t="n">
        <v>0</v>
      </c>
      <c r="N20" s="1" t="s">
        <v>93</v>
      </c>
      <c r="O20" s="1" t="n">
        <v>270</v>
      </c>
      <c r="P20" s="1" t="n">
        <f aca="false">COUNTIF(I$2:I$1500,"&lt;285")-SUM(P2:P19)</f>
        <v>29</v>
      </c>
      <c r="S20" s="2" t="s">
        <v>96</v>
      </c>
      <c r="T20" s="1" t="n">
        <f aca="false">COUNTIFS(J$2:J$1500, "&gt;0",I$2:I$1500, "&gt;=180")-SUM(T21:T25)</f>
        <v>43</v>
      </c>
      <c r="U20" s="1" t="n">
        <v>270</v>
      </c>
      <c r="V20" s="0" t="n">
        <f aca="false">SUMIFS(C$2:C$1500,C$2:C$1500, "&gt;=0",I$2:I$1500, "&lt;285",I$2:I$1500,"&gt;=270")</f>
        <v>48.4</v>
      </c>
      <c r="W20" s="2" t="s">
        <v>97</v>
      </c>
      <c r="X20" s="0" t="n">
        <f aca="false">SUMIFS(C$2:C$1500,C$2:C$1500, "&gt;=0",J$2:J$1500, "&lt;0",J$2:J$1500,"&gt;=-15",I$2:I$1500,"&gt;=180")</f>
        <v>111.3</v>
      </c>
      <c r="Z20" s="0" t="n">
        <f aca="false">I20-3</f>
        <v>10.2</v>
      </c>
      <c r="AB20" s="0" t="n">
        <f aca="false">IF(Z20&lt;0,Z20+360,Z20+0)</f>
        <v>10.2</v>
      </c>
      <c r="AD20" s="1" t="n">
        <v>270</v>
      </c>
      <c r="AE20" s="1" t="n">
        <f aca="false">COUNTIF(AB$2:AB$1500,"&lt;285")-SUM(AE2:AE19)</f>
        <v>25</v>
      </c>
      <c r="AF20" s="1"/>
      <c r="AG20" s="1" t="n">
        <v>270</v>
      </c>
      <c r="AH20" s="0" t="n">
        <f aca="false">SUMIFS(C$2:C$1500,C$2:C$1500, "&gt;=0",AB$2:AB$1500, "&lt;285",AB$2:AB$1500,"&gt;=270")</f>
        <v>44.8</v>
      </c>
    </row>
    <row r="21" customFormat="false" ht="15.8" hidden="false" customHeight="false" outlineLevel="0" collapsed="false">
      <c r="A21" s="1" t="n">
        <v>3</v>
      </c>
      <c r="B21" s="1" t="n">
        <v>6</v>
      </c>
      <c r="C21" s="1" t="n">
        <v>2.9</v>
      </c>
      <c r="D21" s="1" t="n">
        <v>1.4194</v>
      </c>
      <c r="E21" s="1" t="n">
        <v>0.09639</v>
      </c>
      <c r="F21" s="1" t="n">
        <v>0.000259246</v>
      </c>
      <c r="G21" s="1" t="s">
        <v>37</v>
      </c>
      <c r="H21" s="1" t="n">
        <v>88.3</v>
      </c>
      <c r="I21" s="1" t="n">
        <v>74.1</v>
      </c>
      <c r="J21" s="1" t="n">
        <v>-66.8</v>
      </c>
      <c r="K21" s="1" t="n">
        <v>56.5</v>
      </c>
      <c r="L21" s="1" t="n">
        <v>0</v>
      </c>
      <c r="M21" s="1" t="n">
        <v>0</v>
      </c>
      <c r="N21" s="1" t="s">
        <v>98</v>
      </c>
      <c r="O21" s="1" t="n">
        <v>285</v>
      </c>
      <c r="P21" s="1" t="n">
        <f aca="false">COUNTIF(I$2:I$1500,"&lt;300")-SUM(P2:P20)</f>
        <v>17</v>
      </c>
      <c r="S21" s="2" t="s">
        <v>99</v>
      </c>
      <c r="T21" s="1" t="n">
        <f aca="false">COUNTIFS(J$2:J$1500, "&gt;15",I$2:I$1500, "&gt;=180")-SUM(T22:T25)</f>
        <v>51</v>
      </c>
      <c r="U21" s="1" t="n">
        <v>285</v>
      </c>
      <c r="V21" s="0" t="n">
        <f aca="false">SUMIFS(C$2:C$1500,C$2:C$1500, "&gt;=0",I$2:I$1500, "&lt;300",I$2:I$1500,"&gt;=285")</f>
        <v>44.9</v>
      </c>
      <c r="W21" s="2" t="s">
        <v>100</v>
      </c>
      <c r="X21" s="0" t="n">
        <f aca="false">SUMIFS(C$2:C$1500,C$2:C$1500, "&gt;=0",J$2:J$1500, "&lt;-15",J$2:J$1500,"&gt;=-30",I$2:I$1500,"&gt;=180")</f>
        <v>144.1</v>
      </c>
      <c r="Z21" s="0" t="n">
        <f aca="false">I21-3</f>
        <v>71.1</v>
      </c>
      <c r="AB21" s="0" t="n">
        <f aca="false">IF(Z21&lt;0,Z21+360,Z21+0)</f>
        <v>71.1</v>
      </c>
      <c r="AD21" s="1" t="n">
        <v>285</v>
      </c>
      <c r="AE21" s="1" t="n">
        <f aca="false">COUNTIF(AB$2:AB$1500,"&lt;300")-SUM(AE2:AE20)</f>
        <v>15</v>
      </c>
      <c r="AF21" s="1"/>
      <c r="AG21" s="1" t="n">
        <v>285</v>
      </c>
      <c r="AH21" s="0" t="n">
        <f aca="false">SUMIFS(C$2:C$1500,C$2:C$1500, "&gt;=0",AB$2:AB$1500, "&lt;300",AB$2:AB$1500,"&gt;=285")</f>
        <v>37.4</v>
      </c>
    </row>
    <row r="22" customFormat="false" ht="15.8" hidden="false" customHeight="false" outlineLevel="0" collapsed="false">
      <c r="A22" s="1" t="n">
        <v>3</v>
      </c>
      <c r="B22" s="1" t="n">
        <v>6</v>
      </c>
      <c r="C22" s="1" t="n">
        <v>1.1</v>
      </c>
      <c r="D22" s="1" t="n">
        <v>1.1869</v>
      </c>
      <c r="E22" s="1" t="n">
        <v>0.0300241</v>
      </c>
      <c r="F22" s="1" t="n">
        <v>6.53683E-005</v>
      </c>
      <c r="G22" s="1" t="s">
        <v>27</v>
      </c>
      <c r="H22" s="1" t="n">
        <v>29.4</v>
      </c>
      <c r="I22" s="1" t="n">
        <v>177.9</v>
      </c>
      <c r="J22" s="1" t="n">
        <v>23.6</v>
      </c>
      <c r="K22" s="1"/>
      <c r="L22" s="1" t="n">
        <v>0</v>
      </c>
      <c r="M22" s="1" t="n">
        <v>0</v>
      </c>
      <c r="N22" s="1" t="s">
        <v>98</v>
      </c>
      <c r="O22" s="1" t="n">
        <v>300</v>
      </c>
      <c r="P22" s="1" t="n">
        <f aca="false">COUNTIF(I$2:I$1500,"&lt;315")-SUM(P2:P21)</f>
        <v>26</v>
      </c>
      <c r="S22" s="2" t="s">
        <v>101</v>
      </c>
      <c r="T22" s="1" t="n">
        <f aca="false">COUNTIFS(J$2:J$1500, "&gt;30",I$2:I$1500, "&gt;=180")-SUM(T23:T25)</f>
        <v>32</v>
      </c>
      <c r="U22" s="1" t="n">
        <v>300</v>
      </c>
      <c r="V22" s="0" t="n">
        <f aca="false">SUMIFS(C$2:C$1500,C$2:C$1500, "&gt;=0",I$2:I$1500, "&lt;315",I$2:I$1500,"&gt;=300")</f>
        <v>45.9</v>
      </c>
      <c r="W22" s="2" t="s">
        <v>102</v>
      </c>
      <c r="X22" s="0" t="n">
        <f aca="false">SUMIFS(C$2:C$1500,C$2:C$1500, "&gt;=0",J$2:J$1500, "&lt;-30",J$2:J$1500,"&gt;=-45",I$2:I$1500,"&gt;=180")</f>
        <v>77.6</v>
      </c>
      <c r="Z22" s="0" t="n">
        <f aca="false">I22-3</f>
        <v>174.9</v>
      </c>
      <c r="AB22" s="0" t="n">
        <f aca="false">IF(Z22&lt;0,Z22+360,Z22+0)</f>
        <v>174.9</v>
      </c>
      <c r="AD22" s="1" t="n">
        <v>300</v>
      </c>
      <c r="AE22" s="1" t="n">
        <f aca="false">COUNTIF(AB$2:AB$1500,"&lt;315")-SUM(AE2:AE21)</f>
        <v>28</v>
      </c>
      <c r="AF22" s="1"/>
      <c r="AG22" s="1" t="n">
        <v>300</v>
      </c>
      <c r="AH22" s="0" t="n">
        <f aca="false">SUMIFS(C$2:C$1500,C$2:C$1500, "&gt;=0",AB$2:AB$1500, "&lt;315",AB$2:AB$1500,"&gt;=300")</f>
        <v>49</v>
      </c>
    </row>
    <row r="23" customFormat="false" ht="15.8" hidden="false" customHeight="false" outlineLevel="0" collapsed="false">
      <c r="A23" s="1" t="n">
        <v>3</v>
      </c>
      <c r="B23" s="1" t="n">
        <v>5</v>
      </c>
      <c r="C23" s="1" t="n">
        <v>1.6</v>
      </c>
      <c r="D23" s="1" t="n">
        <v>1.0673</v>
      </c>
      <c r="E23" s="1" t="n">
        <v>0.0430185</v>
      </c>
      <c r="F23" s="1" t="n">
        <v>9.36596E-005</v>
      </c>
      <c r="G23" s="1" t="s">
        <v>37</v>
      </c>
      <c r="H23" s="1" t="n">
        <v>24.6</v>
      </c>
      <c r="I23" s="1" t="n">
        <v>159.8</v>
      </c>
      <c r="J23" s="1" t="n">
        <v>0</v>
      </c>
      <c r="K23" s="1" t="n">
        <v>88.3</v>
      </c>
      <c r="L23" s="1" t="n">
        <v>0</v>
      </c>
      <c r="M23" s="1" t="n">
        <v>0</v>
      </c>
      <c r="N23" s="1" t="s">
        <v>90</v>
      </c>
      <c r="O23" s="1" t="n">
        <v>315</v>
      </c>
      <c r="P23" s="1" t="n">
        <f aca="false">COUNTIF(I$2:I$1500,"&lt;330")-SUM(P2:P22)</f>
        <v>19</v>
      </c>
      <c r="S23" s="2" t="s">
        <v>103</v>
      </c>
      <c r="T23" s="1" t="n">
        <f aca="false">COUNTIFS(J$2:J$1500, "&gt;45",I$2:I$1500, "&gt;=180")-SUM(T24:T25)</f>
        <v>23</v>
      </c>
      <c r="U23" s="1" t="n">
        <v>315</v>
      </c>
      <c r="V23" s="0" t="n">
        <f aca="false">SUMIFS(C$2:C$1500,C$2:C$1500, "&gt;=0",I$2:I$1500, "&lt;330",I$2:I$1500,"&gt;=315")</f>
        <v>41.3</v>
      </c>
      <c r="W23" s="2" t="s">
        <v>104</v>
      </c>
      <c r="X23" s="0" t="n">
        <f aca="false">SUMIFS(C$2:C$1500,C$2:C$1500, "&gt;=0",J$2:J$1500, "&lt;-45",J$2:J$1500,"&gt;=-60",I$2:I$1500,"&gt;=180")</f>
        <v>28.9</v>
      </c>
      <c r="Z23" s="0" t="n">
        <f aca="false">I23-3</f>
        <v>156.8</v>
      </c>
      <c r="AB23" s="0" t="n">
        <f aca="false">IF(Z23&lt;0,Z23+360,Z23+0)</f>
        <v>156.8</v>
      </c>
      <c r="AD23" s="1" t="n">
        <v>315</v>
      </c>
      <c r="AE23" s="1" t="n">
        <f aca="false">COUNTIF(AB$2:AB$1500,"&lt;330")-SUM(AE2:AE22)</f>
        <v>23</v>
      </c>
      <c r="AF23" s="1"/>
      <c r="AG23" s="1" t="n">
        <v>315</v>
      </c>
      <c r="AH23" s="0" t="n">
        <f aca="false">SUMIFS(C$2:C$1500,C$2:C$1500, "&gt;=0",AB$2:AB$1500, "&lt;330",AB$2:AB$1500,"&gt;=315")</f>
        <v>50.3</v>
      </c>
    </row>
    <row r="24" customFormat="false" ht="15.8" hidden="false" customHeight="false" outlineLevel="0" collapsed="false">
      <c r="A24" s="1" t="n">
        <v>3</v>
      </c>
      <c r="B24" s="1" t="n">
        <v>4</v>
      </c>
      <c r="C24" s="1" t="n">
        <v>5.6</v>
      </c>
      <c r="D24" s="1" t="n">
        <v>1.3084</v>
      </c>
      <c r="E24" s="1" t="n">
        <v>0.152423</v>
      </c>
      <c r="F24" s="1" t="n">
        <v>0.000331854</v>
      </c>
      <c r="G24" s="1" t="s">
        <v>37</v>
      </c>
      <c r="H24" s="1" t="n">
        <v>16.4</v>
      </c>
      <c r="I24" s="1" t="n">
        <v>179.5</v>
      </c>
      <c r="J24" s="1" t="n">
        <v>-15.1</v>
      </c>
      <c r="K24" s="1" t="n">
        <v>61.1</v>
      </c>
      <c r="L24" s="1" t="n">
        <v>0</v>
      </c>
      <c r="M24" s="1" t="n">
        <v>0</v>
      </c>
      <c r="N24" s="1" t="s">
        <v>105</v>
      </c>
      <c r="O24" s="1" t="n">
        <v>330</v>
      </c>
      <c r="P24" s="1" t="n">
        <f aca="false">COUNTIF(I$2:I$1500,"&lt;345")-SUM(P2:P23)</f>
        <v>40</v>
      </c>
      <c r="S24" s="2" t="s">
        <v>106</v>
      </c>
      <c r="T24" s="1" t="n">
        <f aca="false">COUNTIFS(J$2:J$1500, "&gt;60",I$2:I$1500, "&gt;=180")-T25</f>
        <v>11</v>
      </c>
      <c r="U24" s="1" t="n">
        <v>330</v>
      </c>
      <c r="V24" s="0" t="n">
        <f aca="false">SUMIFS(C$2:C$1500,C$2:C$1500, "&gt;=0",I$2:I$1500, "&lt;345",I$2:I$1500,"&gt;=330")</f>
        <v>86.4</v>
      </c>
      <c r="W24" s="2" t="s">
        <v>107</v>
      </c>
      <c r="X24" s="0" t="n">
        <f aca="false">SUMIFS(C$2:C$1500,C$2:C$1500, "&gt;=0",J$2:J$1500, "&lt;-60",J$2:J$1500,"&gt;=-75",I$2:I$1500,"&gt;=180")</f>
        <v>12.1</v>
      </c>
      <c r="Z24" s="0" t="n">
        <f aca="false">I24-3</f>
        <v>176.5</v>
      </c>
      <c r="AB24" s="0" t="n">
        <f aca="false">IF(Z24&lt;0,Z24+360,Z24+0)</f>
        <v>176.5</v>
      </c>
      <c r="AD24" s="1" t="n">
        <v>330</v>
      </c>
      <c r="AE24" s="1" t="n">
        <f aca="false">COUNTIF(AB$2:AB$1500,"&lt;345")-SUM(AE2:AE23)</f>
        <v>41</v>
      </c>
      <c r="AF24" s="1"/>
      <c r="AG24" s="1" t="n">
        <v>330</v>
      </c>
      <c r="AH24" s="0" t="n">
        <f aca="false">SUMIFS(C$2:C$1500,C$2:C$1500, "&gt;=0",AB$2:AB$1500, "&lt;345",AB$2:AB$1500,"&gt;=330")</f>
        <v>98.1</v>
      </c>
    </row>
    <row r="25" customFormat="false" ht="15.8" hidden="false" customHeight="false" outlineLevel="0" collapsed="false">
      <c r="A25" s="1" t="n">
        <v>3</v>
      </c>
      <c r="B25" s="1" t="n">
        <v>5</v>
      </c>
      <c r="C25" s="1" t="n">
        <v>1.7</v>
      </c>
      <c r="D25" s="1" t="n">
        <v>1.1998</v>
      </c>
      <c r="E25" s="1" t="n">
        <v>0.0462613</v>
      </c>
      <c r="F25" s="1" t="n">
        <v>0.00010072</v>
      </c>
      <c r="G25" s="1" t="s">
        <v>27</v>
      </c>
      <c r="H25" s="1" t="n">
        <v>34.3</v>
      </c>
      <c r="I25" s="1" t="n">
        <v>177.4</v>
      </c>
      <c r="J25" s="1" t="n">
        <v>-15.2</v>
      </c>
      <c r="K25" s="1"/>
      <c r="L25" s="1" t="n">
        <v>0</v>
      </c>
      <c r="M25" s="1" t="n">
        <v>0</v>
      </c>
      <c r="N25" s="1" t="s">
        <v>108</v>
      </c>
      <c r="O25" s="1" t="n">
        <v>345</v>
      </c>
      <c r="P25" s="1" t="n">
        <f aca="false">COUNTIF(I$2:I$1500,"&lt;=360")-SUM(P2:P24)</f>
        <v>65</v>
      </c>
      <c r="S25" s="2" t="s">
        <v>109</v>
      </c>
      <c r="T25" s="1" t="n">
        <f aca="false">COUNTIFS(J$2:J$1500, "&gt;75",I$2:I$1500, "&gt;=180")</f>
        <v>4</v>
      </c>
      <c r="U25" s="1" t="n">
        <v>345</v>
      </c>
      <c r="V25" s="0" t="n">
        <f aca="false">SUMIFS(C$2:C$1500,C$2:C$1500, "&gt;=0",I$2:I$1500, "&lt;=360",I$2:I$1500,"&gt;=345")</f>
        <v>202.5</v>
      </c>
      <c r="W25" s="2" t="s">
        <v>110</v>
      </c>
      <c r="X25" s="0" t="n">
        <f aca="false">SUMIFS(C$2:C$1500,C$2:C$1500, "&gt;=0",J$2:J$1500, "&lt;-75",J$2:J$1500,"&gt;=-90",I$2:I$1500,"&gt;=180")</f>
        <v>1.9</v>
      </c>
      <c r="Z25" s="0" t="n">
        <f aca="false">I25-3</f>
        <v>174.4</v>
      </c>
      <c r="AB25" s="0" t="n">
        <f aca="false">IF(Z25&lt;0,Z25+360,Z25+0)</f>
        <v>174.4</v>
      </c>
      <c r="AD25" s="1" t="n">
        <v>345</v>
      </c>
      <c r="AE25" s="1" t="n">
        <f aca="false">COUNTIF(AB$2:AB$1500,"&lt;=360")-SUM(AE2:AE24)</f>
        <v>67</v>
      </c>
      <c r="AF25" s="1"/>
      <c r="AG25" s="1" t="n">
        <v>345</v>
      </c>
      <c r="AH25" s="0" t="n">
        <f aca="false">SUMIFS(C$2:C$1500,C$2:C$1500, "&gt;=0",AB$2:AB$1500, "&lt;=360",AB$2:AB$1500,"&gt;=345")</f>
        <v>225.6</v>
      </c>
    </row>
    <row r="26" customFormat="false" ht="15.8" hidden="false" customHeight="false" outlineLevel="0" collapsed="false">
      <c r="A26" s="1" t="n">
        <v>3</v>
      </c>
      <c r="B26" s="1" t="n">
        <v>5</v>
      </c>
      <c r="C26" s="1" t="n">
        <v>0.6</v>
      </c>
      <c r="D26" s="1" t="n">
        <v>1.0019</v>
      </c>
      <c r="E26" s="1" t="n">
        <v>0.0174263</v>
      </c>
      <c r="F26" s="1" t="n">
        <v>3.79405E-005</v>
      </c>
      <c r="G26" s="1" t="s">
        <v>27</v>
      </c>
      <c r="H26" s="1" t="n">
        <v>46</v>
      </c>
      <c r="I26" s="1" t="n">
        <v>180</v>
      </c>
      <c r="J26" s="1" t="n">
        <v>0</v>
      </c>
      <c r="K26" s="1"/>
      <c r="L26" s="1" t="n">
        <v>0</v>
      </c>
      <c r="M26" s="1" t="n">
        <v>0</v>
      </c>
      <c r="N26" s="1" t="s">
        <v>108</v>
      </c>
      <c r="O26" s="1" t="s">
        <v>111</v>
      </c>
      <c r="P26" s="1" t="n">
        <f aca="false">SUM(P2:P25)</f>
        <v>832</v>
      </c>
      <c r="R26" s="1" t="n">
        <f aca="false">SUM(R2:R14)</f>
        <v>832</v>
      </c>
      <c r="S26" s="2"/>
      <c r="T26" s="1" t="n">
        <f aca="false">SUM(T2:T25)</f>
        <v>832</v>
      </c>
      <c r="U26" s="1" t="s">
        <v>111</v>
      </c>
      <c r="V26" s="0" t="n">
        <f aca="false">SUM(V2:V25)</f>
        <v>2242.6</v>
      </c>
      <c r="X26" s="0" t="n">
        <f aca="false">SUM(X2:X25)</f>
        <v>2242.6</v>
      </c>
      <c r="Z26" s="0" t="n">
        <f aca="false">I26-3</f>
        <v>177</v>
      </c>
      <c r="AB26" s="0" t="n">
        <f aca="false">IF(Z26&lt;0,Z26+360,Z26+0)</f>
        <v>177</v>
      </c>
      <c r="AD26" s="1" t="s">
        <v>111</v>
      </c>
      <c r="AE26" s="1" t="n">
        <f aca="false">SUM(AE2:AE25)</f>
        <v>832</v>
      </c>
      <c r="AF26" s="1"/>
      <c r="AG26" s="1" t="s">
        <v>111</v>
      </c>
      <c r="AH26" s="0" t="n">
        <f aca="false">SUM(AH2:AH25)</f>
        <v>2242.6</v>
      </c>
      <c r="AJ26" s="0" t="s">
        <v>65</v>
      </c>
      <c r="AK26" s="0" t="n">
        <f aca="false">SUM(AK2:AK14)</f>
        <v>2242.6</v>
      </c>
    </row>
    <row r="27" customFormat="false" ht="15.8" hidden="false" customHeight="false" outlineLevel="0" collapsed="false">
      <c r="A27" s="1" t="n">
        <v>3</v>
      </c>
      <c r="B27" s="1" t="n">
        <v>6</v>
      </c>
      <c r="C27" s="1" t="n">
        <v>0.8</v>
      </c>
      <c r="D27" s="1" t="n">
        <v>1.0057</v>
      </c>
      <c r="E27" s="1" t="n">
        <v>0.0275882</v>
      </c>
      <c r="F27" s="1" t="n">
        <v>7.5081E-005</v>
      </c>
      <c r="G27" s="1" t="s">
        <v>27</v>
      </c>
      <c r="H27" s="1" t="n">
        <v>76.5</v>
      </c>
      <c r="I27" s="1" t="n">
        <v>277.8</v>
      </c>
      <c r="J27" s="1" t="n">
        <v>0</v>
      </c>
      <c r="K27" s="1"/>
      <c r="L27" s="1" t="n">
        <v>0</v>
      </c>
      <c r="M27" s="1" t="n">
        <v>0</v>
      </c>
      <c r="N27" s="1" t="s">
        <v>112</v>
      </c>
      <c r="O27" s="1" t="s">
        <v>113</v>
      </c>
      <c r="P27" s="1" t="n">
        <f aca="false">COUNT(I2:I1500)</f>
        <v>832</v>
      </c>
      <c r="R27" s="1" t="n">
        <f aca="false">COUNT(J2:J1500)</f>
        <v>832</v>
      </c>
      <c r="S27" s="2"/>
      <c r="U27" s="1" t="s">
        <v>114</v>
      </c>
      <c r="V27" s="0" t="n">
        <f aca="false">SUM(C2:C1000)</f>
        <v>2242.6</v>
      </c>
      <c r="Z27" s="0" t="n">
        <f aca="false">I27-3</f>
        <v>274.8</v>
      </c>
      <c r="AB27" s="0" t="n">
        <f aca="false">IF(Z27&lt;0,Z27+360,Z27+0)</f>
        <v>274.8</v>
      </c>
      <c r="AD27" s="1" t="s">
        <v>113</v>
      </c>
      <c r="AE27" s="1" t="n">
        <f aca="false">COUNT(Z2:Z1500)</f>
        <v>832</v>
      </c>
      <c r="AF27" s="1"/>
      <c r="AG27" s="1" t="s">
        <v>114</v>
      </c>
      <c r="AH27" s="0" t="n">
        <f aca="false">SUM(C2:C1200)</f>
        <v>2242.6</v>
      </c>
    </row>
    <row r="28" customFormat="false" ht="15.8" hidden="false" customHeight="false" outlineLevel="0" collapsed="false">
      <c r="A28" s="1" t="n">
        <v>3</v>
      </c>
      <c r="B28" s="1" t="n">
        <v>7</v>
      </c>
      <c r="C28" s="1" t="n">
        <v>0.9</v>
      </c>
      <c r="D28" s="1" t="n">
        <v>1.024</v>
      </c>
      <c r="E28" s="1" t="n">
        <v>0.0291784</v>
      </c>
      <c r="F28" s="1" t="n">
        <v>7.94088E-005</v>
      </c>
      <c r="G28" s="1" t="s">
        <v>27</v>
      </c>
      <c r="H28" s="1" t="n">
        <v>134.1</v>
      </c>
      <c r="I28" s="1" t="n">
        <v>72.5</v>
      </c>
      <c r="J28" s="1" t="n">
        <v>0</v>
      </c>
      <c r="K28" s="1"/>
      <c r="L28" s="1" t="n">
        <v>0</v>
      </c>
      <c r="M28" s="1" t="n">
        <v>0</v>
      </c>
      <c r="N28" s="1" t="s">
        <v>115</v>
      </c>
      <c r="Z28" s="0" t="n">
        <f aca="false">I28-3</f>
        <v>69.5</v>
      </c>
      <c r="AB28" s="0" t="n">
        <f aca="false">IF(Z28&lt;0,Z28+360,Z28+0)</f>
        <v>69.5</v>
      </c>
    </row>
    <row r="29" customFormat="false" ht="15.8" hidden="false" customHeight="false" outlineLevel="0" collapsed="false">
      <c r="A29" s="1" t="n">
        <v>3</v>
      </c>
      <c r="B29" s="1" t="n">
        <v>7</v>
      </c>
      <c r="C29" s="1" t="n">
        <v>1.4</v>
      </c>
      <c r="D29" s="1" t="n">
        <v>1.212</v>
      </c>
      <c r="E29" s="1" t="n">
        <v>0.0469365</v>
      </c>
      <c r="F29" s="1" t="n">
        <v>0.000127737</v>
      </c>
      <c r="G29" s="1" t="s">
        <v>27</v>
      </c>
      <c r="H29" s="1" t="n">
        <v>71.5</v>
      </c>
      <c r="I29" s="1" t="n">
        <v>136.2</v>
      </c>
      <c r="J29" s="1" t="n">
        <v>19.1</v>
      </c>
      <c r="K29" s="1"/>
      <c r="L29" s="1" t="n">
        <v>0</v>
      </c>
      <c r="M29" s="1" t="n">
        <v>0</v>
      </c>
      <c r="N29" s="1" t="s">
        <v>115</v>
      </c>
      <c r="Z29" s="0" t="n">
        <f aca="false">I29-3</f>
        <v>133.2</v>
      </c>
      <c r="AB29" s="0" t="n">
        <f aca="false">IF(Z29&lt;0,Z29+360,Z29+0)</f>
        <v>133.2</v>
      </c>
    </row>
    <row r="30" customFormat="false" ht="15.8" hidden="false" customHeight="false" outlineLevel="0" collapsed="false">
      <c r="A30" s="1" t="n">
        <v>3</v>
      </c>
      <c r="B30" s="1" t="n">
        <v>6</v>
      </c>
      <c r="C30" s="1" t="n">
        <v>1.1</v>
      </c>
      <c r="D30" s="1" t="n">
        <v>1.1687</v>
      </c>
      <c r="E30" s="1" t="n">
        <v>0.036969</v>
      </c>
      <c r="F30" s="1" t="n">
        <v>0.000100611</v>
      </c>
      <c r="G30" s="1" t="s">
        <v>37</v>
      </c>
      <c r="H30" s="1" t="n">
        <v>71.2</v>
      </c>
      <c r="I30" s="1" t="n">
        <v>206.6</v>
      </c>
      <c r="J30" s="1" t="n">
        <v>0</v>
      </c>
      <c r="K30" s="1" t="n">
        <v>134.1</v>
      </c>
      <c r="L30" s="1" t="n">
        <v>0</v>
      </c>
      <c r="M30" s="1" t="n">
        <v>0</v>
      </c>
      <c r="N30" s="1" t="s">
        <v>112</v>
      </c>
      <c r="Z30" s="0" t="n">
        <f aca="false">I30-3</f>
        <v>203.6</v>
      </c>
      <c r="AB30" s="0" t="n">
        <f aca="false">IF(Z30&lt;0,Z30+360,Z30+0)</f>
        <v>203.6</v>
      </c>
    </row>
    <row r="31" customFormat="false" ht="15.8" hidden="false" customHeight="false" outlineLevel="0" collapsed="false">
      <c r="A31" s="1" t="n">
        <v>3</v>
      </c>
      <c r="B31" s="1" t="n">
        <v>5</v>
      </c>
      <c r="C31" s="1" t="n">
        <v>6.1</v>
      </c>
      <c r="D31" s="1" t="n">
        <v>1.5436</v>
      </c>
      <c r="E31" s="1" t="n">
        <v>0.201988</v>
      </c>
      <c r="F31" s="1" t="n">
        <v>0.000534283</v>
      </c>
      <c r="G31" s="1" t="s">
        <v>37</v>
      </c>
      <c r="H31" s="1" t="n">
        <v>111.3</v>
      </c>
      <c r="I31" s="1" t="n">
        <v>229.6</v>
      </c>
      <c r="J31" s="1" t="n">
        <v>69.5</v>
      </c>
      <c r="K31" s="1" t="n">
        <v>76.5</v>
      </c>
      <c r="L31" s="1" t="n">
        <v>0</v>
      </c>
      <c r="M31" s="1" t="n">
        <v>0</v>
      </c>
      <c r="N31" s="1" t="s">
        <v>108</v>
      </c>
      <c r="Z31" s="0" t="n">
        <f aca="false">I31-3</f>
        <v>226.6</v>
      </c>
      <c r="AB31" s="0" t="n">
        <f aca="false">IF(Z31&lt;0,Z31+360,Z31+0)</f>
        <v>226.6</v>
      </c>
    </row>
    <row r="32" customFormat="false" ht="15.8" hidden="false" customHeight="false" outlineLevel="0" collapsed="false">
      <c r="A32" s="1" t="n">
        <v>3</v>
      </c>
      <c r="B32" s="1" t="n">
        <v>4</v>
      </c>
      <c r="C32" s="1" t="n">
        <v>2.3</v>
      </c>
      <c r="D32" s="1" t="n">
        <v>1.3342</v>
      </c>
      <c r="E32" s="1" t="n">
        <v>0.0626679</v>
      </c>
      <c r="F32" s="1" t="n">
        <v>0.00013644</v>
      </c>
      <c r="G32" s="1" t="s">
        <v>37</v>
      </c>
      <c r="H32" s="1" t="n">
        <v>17</v>
      </c>
      <c r="I32" s="1" t="n">
        <v>204.3</v>
      </c>
      <c r="J32" s="1" t="n">
        <v>-40.3</v>
      </c>
      <c r="K32" s="1" t="n">
        <v>111.3</v>
      </c>
      <c r="L32" s="1" t="n">
        <v>0</v>
      </c>
      <c r="M32" s="1" t="n">
        <v>0</v>
      </c>
      <c r="N32" s="1" t="s">
        <v>105</v>
      </c>
      <c r="Z32" s="0" t="n">
        <f aca="false">I32-3</f>
        <v>201.3</v>
      </c>
      <c r="AB32" s="0" t="n">
        <f aca="false">IF(Z32&lt;0,Z32+360,Z32+0)</f>
        <v>201.3</v>
      </c>
    </row>
    <row r="33" customFormat="false" ht="15.8" hidden="false" customHeight="false" outlineLevel="0" collapsed="false">
      <c r="A33" s="1" t="n">
        <v>3</v>
      </c>
      <c r="B33" s="1" t="n">
        <v>3</v>
      </c>
      <c r="C33" s="1" t="n">
        <v>7.5</v>
      </c>
      <c r="D33" s="1" t="n">
        <v>1.4224</v>
      </c>
      <c r="E33" s="1" t="n">
        <v>0.205903</v>
      </c>
      <c r="F33" s="1" t="n">
        <v>0.00044829</v>
      </c>
      <c r="G33" s="1" t="s">
        <v>37</v>
      </c>
      <c r="H33" s="1" t="n">
        <v>34.9</v>
      </c>
      <c r="I33" s="1" t="n">
        <v>188.5</v>
      </c>
      <c r="J33" s="1" t="n">
        <v>-29.3</v>
      </c>
      <c r="K33" s="1" t="n">
        <v>17</v>
      </c>
      <c r="L33" s="1" t="n">
        <v>0</v>
      </c>
      <c r="M33" s="1" t="n">
        <v>0</v>
      </c>
      <c r="N33" s="1" t="s">
        <v>116</v>
      </c>
      <c r="Z33" s="0" t="n">
        <f aca="false">I33-3</f>
        <v>185.5</v>
      </c>
      <c r="AB33" s="0" t="n">
        <f aca="false">IF(Z33&lt;0,Z33+360,Z33+0)</f>
        <v>185.5</v>
      </c>
    </row>
    <row r="34" customFormat="false" ht="15.8" hidden="false" customHeight="false" outlineLevel="0" collapsed="false">
      <c r="A34" s="1" t="n">
        <v>3</v>
      </c>
      <c r="B34" s="1" t="n">
        <v>3</v>
      </c>
      <c r="C34" s="1" t="n">
        <v>1</v>
      </c>
      <c r="D34" s="1" t="n">
        <v>1.0262</v>
      </c>
      <c r="E34" s="1" t="n">
        <v>0.0275823</v>
      </c>
      <c r="F34" s="1" t="n">
        <v>6.0052E-005</v>
      </c>
      <c r="G34" s="1" t="s">
        <v>27</v>
      </c>
      <c r="H34" s="1" t="n">
        <v>88.4</v>
      </c>
      <c r="I34" s="1" t="n">
        <v>310.3</v>
      </c>
      <c r="J34" s="1" t="n">
        <v>0</v>
      </c>
      <c r="K34" s="1"/>
      <c r="L34" s="1" t="n">
        <v>0</v>
      </c>
      <c r="M34" s="1" t="n">
        <v>0</v>
      </c>
      <c r="N34" s="1" t="s">
        <v>116</v>
      </c>
      <c r="Z34" s="0" t="n">
        <f aca="false">I34-3</f>
        <v>307.3</v>
      </c>
      <c r="AB34" s="0" t="n">
        <f aca="false">IF(Z34&lt;0,Z34+360,Z34+0)</f>
        <v>307.3</v>
      </c>
    </row>
    <row r="35" customFormat="false" ht="15.8" hidden="false" customHeight="false" outlineLevel="0" collapsed="false">
      <c r="A35" s="1" t="n">
        <v>3</v>
      </c>
      <c r="B35" s="1" t="n">
        <v>2</v>
      </c>
      <c r="C35" s="1" t="n">
        <v>1.8</v>
      </c>
      <c r="D35" s="1" t="n">
        <v>1.9944</v>
      </c>
      <c r="E35" s="1" t="n">
        <v>0.0502573</v>
      </c>
      <c r="F35" s="1" t="n">
        <v>0.00010942</v>
      </c>
      <c r="G35" s="1" t="s">
        <v>37</v>
      </c>
      <c r="H35" s="1" t="n">
        <v>53.2</v>
      </c>
      <c r="I35" s="1" t="n">
        <v>223.1</v>
      </c>
      <c r="J35" s="1" t="n">
        <v>-53.5</v>
      </c>
      <c r="K35" s="1" t="n">
        <v>88.4</v>
      </c>
      <c r="L35" s="1" t="n">
        <v>0</v>
      </c>
      <c r="M35" s="1" t="n">
        <v>0</v>
      </c>
      <c r="N35" s="1" t="s">
        <v>48</v>
      </c>
      <c r="Z35" s="0" t="n">
        <f aca="false">I35-3</f>
        <v>220.1</v>
      </c>
      <c r="AB35" s="0" t="n">
        <f aca="false">IF(Z35&lt;0,Z35+360,Z35+0)</f>
        <v>220.1</v>
      </c>
    </row>
    <row r="36" customFormat="false" ht="15.8" hidden="false" customHeight="false" outlineLevel="0" collapsed="false">
      <c r="A36" s="1" t="n">
        <v>3</v>
      </c>
      <c r="B36" s="1" t="n">
        <v>1</v>
      </c>
      <c r="C36" s="1" t="n">
        <v>4.6</v>
      </c>
      <c r="D36" s="1" t="n">
        <v>1.2797</v>
      </c>
      <c r="E36" s="1" t="n">
        <v>0.124915</v>
      </c>
      <c r="F36" s="1" t="n">
        <v>0.000271963</v>
      </c>
      <c r="G36" s="1" t="s">
        <v>37</v>
      </c>
      <c r="H36" s="1"/>
      <c r="I36" s="1" t="n">
        <v>193.6</v>
      </c>
      <c r="J36" s="1" t="n">
        <v>-6</v>
      </c>
      <c r="K36" s="1" t="n">
        <v>102.3</v>
      </c>
      <c r="L36" s="1" t="n">
        <v>0</v>
      </c>
      <c r="M36" s="1" t="n">
        <v>0</v>
      </c>
      <c r="N36" s="1" t="s">
        <v>117</v>
      </c>
      <c r="Z36" s="0" t="n">
        <f aca="false">I36-3</f>
        <v>190.6</v>
      </c>
      <c r="AB36" s="0" t="n">
        <f aca="false">IF(Z36&lt;0,Z36+360,Z36+0)</f>
        <v>190.6</v>
      </c>
    </row>
    <row r="37" customFormat="false" ht="15.8" hidden="false" customHeight="false" outlineLevel="0" collapsed="false">
      <c r="A37" s="1" t="n">
        <v>4</v>
      </c>
      <c r="B37" s="1" t="n">
        <v>1</v>
      </c>
      <c r="C37" s="1" t="n">
        <v>2.1</v>
      </c>
      <c r="D37" s="1" t="n">
        <v>1.1304</v>
      </c>
      <c r="E37" s="1" t="n">
        <v>0.0579788</v>
      </c>
      <c r="F37" s="1" t="n">
        <v>0.000126231</v>
      </c>
      <c r="G37" s="1" t="s">
        <v>27</v>
      </c>
      <c r="H37" s="1"/>
      <c r="I37" s="1" t="n">
        <v>78.8</v>
      </c>
      <c r="J37" s="1" t="n">
        <v>11.4</v>
      </c>
      <c r="K37" s="1"/>
      <c r="L37" s="1" t="n">
        <v>0</v>
      </c>
      <c r="M37" s="1" t="n">
        <v>0</v>
      </c>
      <c r="N37" s="1" t="s">
        <v>118</v>
      </c>
      <c r="Z37" s="0" t="n">
        <f aca="false">I37-3</f>
        <v>75.8</v>
      </c>
      <c r="AB37" s="0" t="n">
        <f aca="false">IF(Z37&lt;0,Z37+360,Z37+0)</f>
        <v>75.8</v>
      </c>
    </row>
    <row r="38" customFormat="false" ht="15.8" hidden="false" customHeight="false" outlineLevel="0" collapsed="false">
      <c r="A38" s="1" t="n">
        <v>5</v>
      </c>
      <c r="B38" s="1" t="n">
        <v>1</v>
      </c>
      <c r="C38" s="1" t="n">
        <v>2.6</v>
      </c>
      <c r="D38" s="1" t="n">
        <v>1.1932</v>
      </c>
      <c r="E38" s="1" t="n">
        <v>0.0724506</v>
      </c>
      <c r="F38" s="1" t="n">
        <v>0.000157739</v>
      </c>
      <c r="G38" s="1" t="s">
        <v>27</v>
      </c>
      <c r="H38" s="1"/>
      <c r="I38" s="1" t="n">
        <v>171.4</v>
      </c>
      <c r="J38" s="1" t="n">
        <v>0</v>
      </c>
      <c r="K38" s="1"/>
      <c r="L38" s="1" t="n">
        <v>0</v>
      </c>
      <c r="M38" s="1" t="n">
        <v>0</v>
      </c>
      <c r="N38" s="1" t="s">
        <v>119</v>
      </c>
      <c r="Z38" s="0" t="n">
        <f aca="false">I38-3</f>
        <v>168.4</v>
      </c>
      <c r="AB38" s="0" t="n">
        <f aca="false">IF(Z38&lt;0,Z38+360,Z38+0)</f>
        <v>168.4</v>
      </c>
    </row>
    <row r="39" customFormat="false" ht="15.8" hidden="false" customHeight="false" outlineLevel="0" collapsed="false">
      <c r="A39" s="1" t="n">
        <v>6</v>
      </c>
      <c r="B39" s="1" t="n">
        <v>1</v>
      </c>
      <c r="C39" s="1" t="n">
        <v>9.3</v>
      </c>
      <c r="D39" s="1" t="n">
        <v>1.2522</v>
      </c>
      <c r="E39" s="1" t="n">
        <v>0.255336</v>
      </c>
      <c r="F39" s="1" t="n">
        <v>0.000555915</v>
      </c>
      <c r="G39" s="1" t="s">
        <v>27</v>
      </c>
      <c r="H39" s="1"/>
      <c r="I39" s="1" t="n">
        <v>171.3</v>
      </c>
      <c r="J39" s="1" t="n">
        <v>0</v>
      </c>
      <c r="K39" s="1"/>
      <c r="L39" s="1" t="n">
        <v>0</v>
      </c>
      <c r="M39" s="1" t="n">
        <v>0</v>
      </c>
      <c r="N39" s="1" t="s">
        <v>120</v>
      </c>
      <c r="Z39" s="0" t="n">
        <f aca="false">I39-3</f>
        <v>168.3</v>
      </c>
      <c r="AB39" s="0" t="n">
        <f aca="false">IF(Z39&lt;0,Z39+360,Z39+0)</f>
        <v>168.3</v>
      </c>
    </row>
    <row r="40" customFormat="false" ht="15.8" hidden="false" customHeight="false" outlineLevel="0" collapsed="false">
      <c r="A40" s="1" t="n">
        <v>7</v>
      </c>
      <c r="B40" s="1" t="n">
        <v>6</v>
      </c>
      <c r="C40" s="1" t="n">
        <v>4.4</v>
      </c>
      <c r="D40" s="1" t="n">
        <v>1.1308</v>
      </c>
      <c r="E40" s="1" t="n">
        <v>0.151456</v>
      </c>
      <c r="F40" s="1" t="n">
        <v>0.000412185</v>
      </c>
      <c r="G40" s="1" t="s">
        <v>27</v>
      </c>
      <c r="H40" s="1" t="n">
        <v>13.1</v>
      </c>
      <c r="I40" s="1" t="n">
        <v>177.7</v>
      </c>
      <c r="J40" s="1" t="n">
        <v>-10.9</v>
      </c>
      <c r="K40" s="1"/>
      <c r="L40" s="1" t="n">
        <v>0</v>
      </c>
      <c r="M40" s="1" t="n">
        <v>0</v>
      </c>
      <c r="N40" s="1" t="s">
        <v>121</v>
      </c>
      <c r="Z40" s="0" t="n">
        <f aca="false">I40-3</f>
        <v>174.7</v>
      </c>
      <c r="AB40" s="0" t="n">
        <f aca="false">IF(Z40&lt;0,Z40+360,Z40+0)</f>
        <v>174.7</v>
      </c>
    </row>
    <row r="41" customFormat="false" ht="15.8" hidden="false" customHeight="false" outlineLevel="0" collapsed="false">
      <c r="A41" s="1" t="n">
        <v>7</v>
      </c>
      <c r="B41" s="1" t="n">
        <v>6</v>
      </c>
      <c r="C41" s="1" t="n">
        <v>1.5</v>
      </c>
      <c r="D41" s="1" t="n">
        <v>1.2823</v>
      </c>
      <c r="E41" s="1" t="n">
        <v>0.0505027</v>
      </c>
      <c r="F41" s="1" t="n">
        <v>0.000137443</v>
      </c>
      <c r="G41" s="1" t="s">
        <v>27</v>
      </c>
      <c r="H41" s="1" t="n">
        <v>53.7</v>
      </c>
      <c r="I41" s="1" t="n">
        <v>243.9</v>
      </c>
      <c r="J41" s="1" t="n">
        <v>-18.7</v>
      </c>
      <c r="K41" s="1"/>
      <c r="L41" s="1" t="n">
        <v>0</v>
      </c>
      <c r="M41" s="1" t="n">
        <v>0</v>
      </c>
      <c r="N41" s="1" t="s">
        <v>121</v>
      </c>
      <c r="Z41" s="0" t="n">
        <f aca="false">I41-3</f>
        <v>240.9</v>
      </c>
      <c r="AB41" s="0" t="n">
        <f aca="false">IF(Z41&lt;0,Z41+360,Z41+0)</f>
        <v>240.9</v>
      </c>
    </row>
    <row r="42" customFormat="false" ht="15.8" hidden="false" customHeight="false" outlineLevel="0" collapsed="false">
      <c r="A42" s="1" t="n">
        <v>7</v>
      </c>
      <c r="B42" s="1" t="n">
        <v>5</v>
      </c>
      <c r="C42" s="1" t="n">
        <v>4.4</v>
      </c>
      <c r="D42" s="1" t="n">
        <v>1.3493</v>
      </c>
      <c r="E42" s="1" t="n">
        <v>0.151528</v>
      </c>
      <c r="F42" s="1" t="n">
        <v>0.000412383</v>
      </c>
      <c r="G42" s="1" t="s">
        <v>37</v>
      </c>
      <c r="H42" s="1" t="n">
        <v>49.8</v>
      </c>
      <c r="I42" s="1" t="n">
        <v>190.2</v>
      </c>
      <c r="J42" s="1" t="n">
        <v>-6.5</v>
      </c>
      <c r="K42" s="1" t="n">
        <v>53.7</v>
      </c>
      <c r="L42" s="1" t="n">
        <v>0</v>
      </c>
      <c r="M42" s="1" t="n">
        <v>0</v>
      </c>
      <c r="N42" s="1" t="s">
        <v>122</v>
      </c>
      <c r="Z42" s="0" t="n">
        <f aca="false">I42-3</f>
        <v>187.2</v>
      </c>
      <c r="AB42" s="0" t="n">
        <f aca="false">IF(Z42&lt;0,Z42+360,Z42+0)</f>
        <v>187.2</v>
      </c>
    </row>
    <row r="43" customFormat="false" ht="15.8" hidden="false" customHeight="false" outlineLevel="0" collapsed="false">
      <c r="A43" s="1" t="n">
        <v>7</v>
      </c>
      <c r="B43" s="1" t="n">
        <v>5</v>
      </c>
      <c r="C43" s="1" t="n">
        <v>3</v>
      </c>
      <c r="D43" s="1" t="n">
        <v>1.043</v>
      </c>
      <c r="E43" s="1" t="n">
        <v>0.101405</v>
      </c>
      <c r="F43" s="1" t="n">
        <v>0.000275972</v>
      </c>
      <c r="G43" s="1" t="s">
        <v>27</v>
      </c>
      <c r="H43" s="1" t="n">
        <v>116.1</v>
      </c>
      <c r="I43" s="1" t="n">
        <v>23.2</v>
      </c>
      <c r="J43" s="1" t="n">
        <v>0</v>
      </c>
      <c r="K43" s="1"/>
      <c r="L43" s="1" t="n">
        <v>0</v>
      </c>
      <c r="M43" s="1" t="n">
        <v>0</v>
      </c>
      <c r="N43" s="1" t="s">
        <v>122</v>
      </c>
      <c r="Z43" s="0" t="n">
        <f aca="false">I43-3</f>
        <v>20.2</v>
      </c>
      <c r="AB43" s="0" t="n">
        <f aca="false">IF(Z43&lt;0,Z43+360,Z43+0)</f>
        <v>20.2</v>
      </c>
    </row>
    <row r="44" customFormat="false" ht="15.8" hidden="false" customHeight="false" outlineLevel="0" collapsed="false">
      <c r="A44" s="1" t="n">
        <v>7</v>
      </c>
      <c r="B44" s="1" t="n">
        <v>4</v>
      </c>
      <c r="C44" s="1" t="n">
        <v>7.9</v>
      </c>
      <c r="D44" s="1" t="n">
        <v>1.1514</v>
      </c>
      <c r="E44" s="1" t="n">
        <v>0.268947</v>
      </c>
      <c r="F44" s="1" t="n">
        <v>0.000731937</v>
      </c>
      <c r="G44" s="1" t="s">
        <v>37</v>
      </c>
      <c r="H44" s="1" t="n">
        <v>15.2</v>
      </c>
      <c r="I44" s="1" t="n">
        <v>140</v>
      </c>
      <c r="J44" s="1" t="n">
        <v>-12.5</v>
      </c>
      <c r="K44" s="1" t="n">
        <v>116.1</v>
      </c>
      <c r="L44" s="1" t="n">
        <v>0</v>
      </c>
      <c r="M44" s="1" t="n">
        <v>0</v>
      </c>
      <c r="N44" s="1" t="s">
        <v>123</v>
      </c>
      <c r="Z44" s="0" t="n">
        <f aca="false">I44-3</f>
        <v>137</v>
      </c>
      <c r="AB44" s="0" t="n">
        <f aca="false">IF(Z44&lt;0,Z44+360,Z44+0)</f>
        <v>137</v>
      </c>
    </row>
    <row r="45" customFormat="false" ht="15.8" hidden="false" customHeight="false" outlineLevel="0" collapsed="false">
      <c r="A45" s="1" t="n">
        <v>7</v>
      </c>
      <c r="B45" s="1" t="n">
        <v>4</v>
      </c>
      <c r="C45" s="1" t="n">
        <v>0.8</v>
      </c>
      <c r="D45" s="1" t="n">
        <v>1.0493</v>
      </c>
      <c r="E45" s="1" t="n">
        <v>0.0278692</v>
      </c>
      <c r="F45" s="1" t="n">
        <v>7.58459E-005</v>
      </c>
      <c r="G45" s="1" t="s">
        <v>27</v>
      </c>
      <c r="H45" s="1" t="n">
        <v>55.4</v>
      </c>
      <c r="I45" s="1" t="n">
        <v>95.6</v>
      </c>
      <c r="J45" s="1" t="n">
        <v>0</v>
      </c>
      <c r="K45" s="1"/>
      <c r="L45" s="1" t="n">
        <v>0</v>
      </c>
      <c r="M45" s="1" t="n">
        <v>0</v>
      </c>
      <c r="N45" s="1" t="s">
        <v>123</v>
      </c>
      <c r="Z45" s="0" t="n">
        <f aca="false">I45-3</f>
        <v>92.6</v>
      </c>
      <c r="AB45" s="0" t="n">
        <f aca="false">IF(Z45&lt;0,Z45+360,Z45+0)</f>
        <v>92.6</v>
      </c>
    </row>
    <row r="46" customFormat="false" ht="15.8" hidden="false" customHeight="false" outlineLevel="0" collapsed="false">
      <c r="A46" s="1" t="n">
        <v>7</v>
      </c>
      <c r="B46" s="1" t="n">
        <v>3</v>
      </c>
      <c r="C46" s="1" t="n">
        <v>1</v>
      </c>
      <c r="D46" s="1" t="n">
        <v>1.1523</v>
      </c>
      <c r="E46" s="1" t="n">
        <v>0.0326554</v>
      </c>
      <c r="F46" s="1" t="n">
        <v>8.88714E-005</v>
      </c>
      <c r="G46" s="1" t="s">
        <v>37</v>
      </c>
      <c r="H46" s="1" t="n">
        <v>47.7</v>
      </c>
      <c r="I46" s="1" t="n">
        <v>146.2</v>
      </c>
      <c r="J46" s="1" t="n">
        <v>-26.5</v>
      </c>
      <c r="K46" s="1" t="n">
        <v>55.4</v>
      </c>
      <c r="L46" s="1" t="n">
        <v>0</v>
      </c>
      <c r="M46" s="1" t="n">
        <v>0</v>
      </c>
      <c r="N46" s="1" t="s">
        <v>124</v>
      </c>
      <c r="Z46" s="0" t="n">
        <f aca="false">I46-3</f>
        <v>143.2</v>
      </c>
      <c r="AB46" s="0" t="n">
        <f aca="false">IF(Z46&lt;0,Z46+360,Z46+0)</f>
        <v>143.2</v>
      </c>
    </row>
    <row r="47" customFormat="false" ht="15.8" hidden="false" customHeight="false" outlineLevel="0" collapsed="false">
      <c r="A47" s="1" t="n">
        <v>7</v>
      </c>
      <c r="B47" s="1" t="n">
        <v>7</v>
      </c>
      <c r="C47" s="1" t="n">
        <v>3</v>
      </c>
      <c r="D47" s="1" t="n">
        <v>1.3096</v>
      </c>
      <c r="E47" s="1" t="n">
        <v>0.103806</v>
      </c>
      <c r="F47" s="1" t="n">
        <v>0.000282506</v>
      </c>
      <c r="G47" s="1" t="s">
        <v>27</v>
      </c>
      <c r="H47" s="1" t="n">
        <v>25.1</v>
      </c>
      <c r="I47" s="1" t="n">
        <v>194.5</v>
      </c>
      <c r="J47" s="1" t="n">
        <v>-39.7</v>
      </c>
      <c r="K47" s="1"/>
      <c r="L47" s="1" t="n">
        <v>0</v>
      </c>
      <c r="M47" s="1" t="n">
        <v>0</v>
      </c>
      <c r="N47" s="1" t="s">
        <v>125</v>
      </c>
      <c r="Z47" s="0" t="n">
        <f aca="false">I47-3</f>
        <v>191.5</v>
      </c>
      <c r="AB47" s="0" t="n">
        <f aca="false">IF(Z47&lt;0,Z47+360,Z47+0)</f>
        <v>191.5</v>
      </c>
    </row>
    <row r="48" customFormat="false" ht="15.8" hidden="false" customHeight="false" outlineLevel="0" collapsed="false">
      <c r="A48" s="1" t="n">
        <v>7</v>
      </c>
      <c r="B48" s="1" t="n">
        <v>9</v>
      </c>
      <c r="C48" s="1" t="n">
        <v>1.5</v>
      </c>
      <c r="D48" s="1" t="n">
        <v>1.1712</v>
      </c>
      <c r="E48" s="1" t="n">
        <v>0.0519622</v>
      </c>
      <c r="F48" s="1" t="n">
        <v>0.000141415</v>
      </c>
      <c r="G48" s="1" t="s">
        <v>27</v>
      </c>
      <c r="H48" s="1" t="n">
        <v>96.4</v>
      </c>
      <c r="I48" s="1" t="n">
        <v>30</v>
      </c>
      <c r="J48" s="1" t="n">
        <v>58.8</v>
      </c>
      <c r="K48" s="1"/>
      <c r="L48" s="1" t="n">
        <v>0</v>
      </c>
      <c r="M48" s="1" t="n">
        <v>0</v>
      </c>
      <c r="N48" s="1" t="s">
        <v>126</v>
      </c>
      <c r="Z48" s="0" t="n">
        <f aca="false">I48-3</f>
        <v>27</v>
      </c>
      <c r="AB48" s="0" t="n">
        <f aca="false">IF(Z48&lt;0,Z48+360,Z48+0)</f>
        <v>27</v>
      </c>
    </row>
    <row r="49" customFormat="false" ht="15.8" hidden="false" customHeight="false" outlineLevel="0" collapsed="false">
      <c r="A49" s="1" t="n">
        <v>7</v>
      </c>
      <c r="B49" s="1" t="n">
        <v>15</v>
      </c>
      <c r="C49" s="1" t="n">
        <v>2.3</v>
      </c>
      <c r="D49" s="1" t="n">
        <v>1.2266</v>
      </c>
      <c r="E49" s="1" t="n">
        <v>0.08015</v>
      </c>
      <c r="F49" s="1" t="n">
        <v>0.000218128</v>
      </c>
      <c r="G49" s="1" t="s">
        <v>27</v>
      </c>
      <c r="H49" s="1" t="n">
        <v>69.5</v>
      </c>
      <c r="I49" s="1" t="n">
        <v>269.5</v>
      </c>
      <c r="J49" s="1" t="n">
        <v>-50.8</v>
      </c>
      <c r="K49" s="1"/>
      <c r="L49" s="1" t="n">
        <v>0</v>
      </c>
      <c r="M49" s="1" t="n">
        <v>0</v>
      </c>
      <c r="N49" s="1" t="s">
        <v>127</v>
      </c>
      <c r="Z49" s="0" t="n">
        <f aca="false">I49-3</f>
        <v>266.5</v>
      </c>
      <c r="AB49" s="0" t="n">
        <f aca="false">IF(Z49&lt;0,Z49+360,Z49+0)</f>
        <v>266.5</v>
      </c>
    </row>
    <row r="50" customFormat="false" ht="15.8" hidden="false" customHeight="false" outlineLevel="0" collapsed="false">
      <c r="A50" s="1" t="n">
        <v>7</v>
      </c>
      <c r="B50" s="1" t="n">
        <v>15</v>
      </c>
      <c r="C50" s="1" t="n">
        <v>1.1</v>
      </c>
      <c r="D50" s="1" t="n">
        <v>1.147</v>
      </c>
      <c r="E50" s="1" t="n">
        <v>0.0388886</v>
      </c>
      <c r="F50" s="1" t="n">
        <v>0.000105835</v>
      </c>
      <c r="G50" s="1" t="s">
        <v>27</v>
      </c>
      <c r="H50" s="1" t="n">
        <v>121.9</v>
      </c>
      <c r="I50" s="1" t="n">
        <v>31.1</v>
      </c>
      <c r="J50" s="1" t="n">
        <v>0</v>
      </c>
      <c r="K50" s="1"/>
      <c r="L50" s="1" t="n">
        <v>0</v>
      </c>
      <c r="M50" s="1" t="n">
        <v>0</v>
      </c>
      <c r="N50" s="1" t="s">
        <v>127</v>
      </c>
      <c r="Z50" s="0" t="n">
        <f aca="false">I50-3</f>
        <v>28.1</v>
      </c>
      <c r="AB50" s="0" t="n">
        <f aca="false">IF(Z50&lt;0,Z50+360,Z50+0)</f>
        <v>28.1</v>
      </c>
    </row>
    <row r="51" customFormat="false" ht="15.8" hidden="false" customHeight="false" outlineLevel="0" collapsed="false">
      <c r="A51" s="1" t="n">
        <v>7</v>
      </c>
      <c r="B51" s="1" t="n">
        <v>14</v>
      </c>
      <c r="C51" s="1" t="n">
        <v>8.4</v>
      </c>
      <c r="D51" s="1" t="n">
        <v>1.4227</v>
      </c>
      <c r="E51" s="1" t="n">
        <v>0.287844</v>
      </c>
      <c r="F51" s="1" t="n">
        <v>0.000783365</v>
      </c>
      <c r="G51" s="1" t="s">
        <v>37</v>
      </c>
      <c r="H51" s="1" t="n">
        <v>50.5</v>
      </c>
      <c r="I51" s="1" t="n">
        <v>163.7</v>
      </c>
      <c r="J51" s="1" t="n">
        <v>-38.7</v>
      </c>
      <c r="K51" s="1" t="n">
        <v>121.9</v>
      </c>
      <c r="L51" s="1" t="n">
        <v>0</v>
      </c>
      <c r="M51" s="1" t="n">
        <v>0</v>
      </c>
      <c r="N51" s="1" t="s">
        <v>128</v>
      </c>
      <c r="Z51" s="0" t="n">
        <f aca="false">I51-3</f>
        <v>160.7</v>
      </c>
      <c r="AB51" s="0" t="n">
        <f aca="false">IF(Z51&lt;0,Z51+360,Z51+0)</f>
        <v>160.7</v>
      </c>
    </row>
    <row r="52" customFormat="false" ht="15.8" hidden="false" customHeight="false" outlineLevel="0" collapsed="false">
      <c r="A52" s="1" t="n">
        <v>7</v>
      </c>
      <c r="B52" s="1" t="n">
        <v>14</v>
      </c>
      <c r="C52" s="1" t="n">
        <v>0.9</v>
      </c>
      <c r="D52" s="1" t="n">
        <v>1.148</v>
      </c>
      <c r="E52" s="1" t="n">
        <v>0.0318</v>
      </c>
      <c r="F52" s="1" t="n">
        <v>8.65435E-005</v>
      </c>
      <c r="G52" s="1" t="s">
        <v>27</v>
      </c>
      <c r="H52" s="1" t="n">
        <v>129.8</v>
      </c>
      <c r="I52" s="1" t="n">
        <v>63</v>
      </c>
      <c r="J52" s="1" t="n">
        <v>27.2</v>
      </c>
      <c r="K52" s="1"/>
      <c r="L52" s="1" t="n">
        <v>0</v>
      </c>
      <c r="M52" s="1" t="n">
        <v>0</v>
      </c>
      <c r="N52" s="1" t="s">
        <v>128</v>
      </c>
      <c r="Z52" s="0" t="n">
        <f aca="false">I52-3</f>
        <v>60</v>
      </c>
      <c r="AB52" s="0" t="n">
        <f aca="false">IF(Z52&lt;0,Z52+360,Z52+0)</f>
        <v>60</v>
      </c>
    </row>
    <row r="53" customFormat="false" ht="15.8" hidden="false" customHeight="false" outlineLevel="0" collapsed="false">
      <c r="A53" s="1" t="n">
        <v>7</v>
      </c>
      <c r="B53" s="1" t="n">
        <v>13</v>
      </c>
      <c r="C53" s="1" t="n">
        <v>2.9</v>
      </c>
      <c r="D53" s="1" t="n">
        <v>1.3268</v>
      </c>
      <c r="E53" s="1" t="n">
        <v>0.0982614</v>
      </c>
      <c r="F53" s="1" t="n">
        <v>0.000267418</v>
      </c>
      <c r="G53" s="1" t="s">
        <v>37</v>
      </c>
      <c r="H53" s="1" t="n">
        <v>55.3</v>
      </c>
      <c r="I53" s="1" t="n">
        <v>199.1</v>
      </c>
      <c r="J53" s="1" t="n">
        <v>0</v>
      </c>
      <c r="K53" s="1" t="n">
        <v>129.8</v>
      </c>
      <c r="L53" s="1" t="n">
        <v>0</v>
      </c>
      <c r="M53" s="1" t="n">
        <v>0</v>
      </c>
      <c r="N53" s="1" t="s">
        <v>129</v>
      </c>
      <c r="Z53" s="0" t="n">
        <f aca="false">I53-3</f>
        <v>196.1</v>
      </c>
      <c r="AB53" s="0" t="n">
        <f aca="false">IF(Z53&lt;0,Z53+360,Z53+0)</f>
        <v>196.1</v>
      </c>
    </row>
    <row r="54" customFormat="false" ht="15.8" hidden="false" customHeight="false" outlineLevel="0" collapsed="false">
      <c r="A54" s="1" t="n">
        <v>7</v>
      </c>
      <c r="B54" s="1" t="n">
        <v>13</v>
      </c>
      <c r="C54" s="1" t="n">
        <v>3.9</v>
      </c>
      <c r="D54" s="1" t="n">
        <v>1.253</v>
      </c>
      <c r="E54" s="1" t="n">
        <v>0.133436</v>
      </c>
      <c r="F54" s="1" t="n">
        <v>0.000363144</v>
      </c>
      <c r="G54" s="1" t="s">
        <v>27</v>
      </c>
      <c r="H54" s="1" t="n">
        <v>26.5</v>
      </c>
      <c r="I54" s="1" t="n">
        <v>119.5</v>
      </c>
      <c r="J54" s="1" t="n">
        <v>-28.4</v>
      </c>
      <c r="K54" s="1"/>
      <c r="L54" s="1" t="n">
        <v>0</v>
      </c>
      <c r="M54" s="1" t="n">
        <v>0</v>
      </c>
      <c r="N54" s="1" t="s">
        <v>129</v>
      </c>
      <c r="Z54" s="0" t="n">
        <f aca="false">I54-3</f>
        <v>116.5</v>
      </c>
      <c r="AB54" s="0" t="n">
        <f aca="false">IF(Z54&lt;0,Z54+360,Z54+0)</f>
        <v>116.5</v>
      </c>
    </row>
    <row r="55" customFormat="false" ht="15.8" hidden="false" customHeight="false" outlineLevel="0" collapsed="false">
      <c r="A55" s="1" t="n">
        <v>7</v>
      </c>
      <c r="B55" s="1" t="n">
        <v>12</v>
      </c>
      <c r="C55" s="1" t="n">
        <v>1.9</v>
      </c>
      <c r="D55" s="1" t="n">
        <v>1.28</v>
      </c>
      <c r="E55" s="1" t="n">
        <v>0.0663142</v>
      </c>
      <c r="F55" s="1" t="n">
        <v>0.000180474</v>
      </c>
      <c r="G55" s="1" t="s">
        <v>37</v>
      </c>
      <c r="H55" s="1" t="n">
        <v>10.3</v>
      </c>
      <c r="I55" s="1" t="n">
        <v>149.8</v>
      </c>
      <c r="J55" s="1" t="n">
        <v>-29.2</v>
      </c>
      <c r="K55" s="1" t="n">
        <v>55.3</v>
      </c>
      <c r="L55" s="1" t="n">
        <v>0</v>
      </c>
      <c r="M55" s="1" t="n">
        <v>0</v>
      </c>
      <c r="N55" s="1" t="s">
        <v>130</v>
      </c>
      <c r="Z55" s="0" t="n">
        <f aca="false">I55-3</f>
        <v>146.8</v>
      </c>
      <c r="AB55" s="0" t="n">
        <f aca="false">IF(Z55&lt;0,Z55+360,Z55+0)</f>
        <v>146.8</v>
      </c>
    </row>
    <row r="56" customFormat="false" ht="15.8" hidden="false" customHeight="false" outlineLevel="0" collapsed="false">
      <c r="A56" s="1" t="n">
        <v>7</v>
      </c>
      <c r="B56" s="1" t="n">
        <v>12</v>
      </c>
      <c r="C56" s="1" t="n">
        <v>2.2</v>
      </c>
      <c r="D56" s="1" t="n">
        <v>1.2613</v>
      </c>
      <c r="E56" s="1" t="n">
        <v>0.0752598</v>
      </c>
      <c r="F56" s="1" t="n">
        <v>0.000204819</v>
      </c>
      <c r="G56" s="1" t="s">
        <v>27</v>
      </c>
      <c r="H56" s="1" t="n">
        <v>91.6</v>
      </c>
      <c r="I56" s="1" t="n">
        <v>228.9</v>
      </c>
      <c r="J56" s="1" t="n">
        <v>12.2</v>
      </c>
      <c r="K56" s="1"/>
      <c r="L56" s="1" t="n">
        <v>0</v>
      </c>
      <c r="M56" s="1" t="n">
        <v>0</v>
      </c>
      <c r="N56" s="1" t="s">
        <v>130</v>
      </c>
      <c r="Z56" s="0" t="n">
        <f aca="false">I56-3</f>
        <v>225.9</v>
      </c>
      <c r="AB56" s="0" t="n">
        <f aca="false">IF(Z56&lt;0,Z56+360,Z56+0)</f>
        <v>225.9</v>
      </c>
    </row>
    <row r="57" customFormat="false" ht="15.8" hidden="false" customHeight="false" outlineLevel="0" collapsed="false">
      <c r="A57" s="1" t="n">
        <v>7</v>
      </c>
      <c r="B57" s="1" t="n">
        <v>11</v>
      </c>
      <c r="C57" s="1" t="n">
        <v>5</v>
      </c>
      <c r="D57" s="1" t="n">
        <v>1.2414</v>
      </c>
      <c r="E57" s="1" t="n">
        <v>0.169777</v>
      </c>
      <c r="F57" s="1" t="n">
        <v>0.000462047</v>
      </c>
      <c r="G57" s="1" t="s">
        <v>37</v>
      </c>
      <c r="H57" s="1" t="n">
        <v>15.7</v>
      </c>
      <c r="I57" s="1" t="n">
        <v>142</v>
      </c>
      <c r="J57" s="1" t="n">
        <v>-21.7</v>
      </c>
      <c r="K57" s="1" t="n">
        <v>91.6</v>
      </c>
      <c r="L57" s="1" t="n">
        <v>0</v>
      </c>
      <c r="M57" s="1" t="n">
        <v>0</v>
      </c>
      <c r="N57" s="1" t="s">
        <v>131</v>
      </c>
      <c r="Z57" s="0" t="n">
        <f aca="false">I57-3</f>
        <v>139</v>
      </c>
      <c r="AB57" s="0" t="n">
        <f aca="false">IF(Z57&lt;0,Z57+360,Z57+0)</f>
        <v>139</v>
      </c>
    </row>
    <row r="58" customFormat="false" ht="15.8" hidden="false" customHeight="false" outlineLevel="0" collapsed="false">
      <c r="A58" s="1" t="n">
        <v>7</v>
      </c>
      <c r="B58" s="1" t="n">
        <v>11</v>
      </c>
      <c r="C58" s="1" t="n">
        <v>1.4</v>
      </c>
      <c r="D58" s="1" t="n">
        <v>1.1372</v>
      </c>
      <c r="E58" s="1" t="n">
        <v>0.0472117</v>
      </c>
      <c r="F58" s="1" t="n">
        <v>0.000128486</v>
      </c>
      <c r="G58" s="1" t="s">
        <v>27</v>
      </c>
      <c r="H58" s="1" t="n">
        <v>69.1</v>
      </c>
      <c r="I58" s="1" t="n">
        <v>232.3</v>
      </c>
      <c r="J58" s="1" t="n">
        <v>-17.7</v>
      </c>
      <c r="K58" s="1"/>
      <c r="L58" s="1" t="n">
        <v>0</v>
      </c>
      <c r="M58" s="1" t="n">
        <v>0</v>
      </c>
      <c r="N58" s="1" t="s">
        <v>131</v>
      </c>
      <c r="Z58" s="0" t="n">
        <f aca="false">I58-3</f>
        <v>229.3</v>
      </c>
      <c r="AB58" s="0" t="n">
        <f aca="false">IF(Z58&lt;0,Z58+360,Z58+0)</f>
        <v>229.3</v>
      </c>
    </row>
    <row r="59" customFormat="false" ht="15.8" hidden="false" customHeight="false" outlineLevel="0" collapsed="false">
      <c r="A59" s="1" t="n">
        <v>7</v>
      </c>
      <c r="B59" s="1" t="n">
        <v>10</v>
      </c>
      <c r="C59" s="1" t="n">
        <v>5.3</v>
      </c>
      <c r="D59" s="1" t="n">
        <v>1.2118</v>
      </c>
      <c r="E59" s="1" t="n">
        <v>0.181442</v>
      </c>
      <c r="F59" s="1" t="n">
        <v>0.000493792</v>
      </c>
      <c r="G59" s="1" t="s">
        <v>37</v>
      </c>
      <c r="H59" s="1" t="n">
        <v>33.3</v>
      </c>
      <c r="I59" s="1" t="n">
        <v>156.5</v>
      </c>
      <c r="J59" s="1" t="n">
        <v>-30.5</v>
      </c>
      <c r="K59" s="1" t="n">
        <v>69.1</v>
      </c>
      <c r="L59" s="1" t="n">
        <v>0</v>
      </c>
      <c r="M59" s="1" t="n">
        <v>0</v>
      </c>
      <c r="N59" s="1" t="s">
        <v>132</v>
      </c>
      <c r="Z59" s="0" t="n">
        <f aca="false">I59-3</f>
        <v>153.5</v>
      </c>
      <c r="AB59" s="0" t="n">
        <f aca="false">IF(Z59&lt;0,Z59+360,Z59+0)</f>
        <v>153.5</v>
      </c>
    </row>
    <row r="60" customFormat="false" ht="15.8" hidden="false" customHeight="false" outlineLevel="0" collapsed="false">
      <c r="A60" s="1" t="n">
        <v>7</v>
      </c>
      <c r="B60" s="1" t="n">
        <v>10</v>
      </c>
      <c r="C60" s="1" t="n">
        <v>1.3</v>
      </c>
      <c r="D60" s="1" t="n">
        <v>1.1773</v>
      </c>
      <c r="E60" s="1" t="n">
        <v>0.0460004</v>
      </c>
      <c r="F60" s="1" t="n">
        <v>0.00012519</v>
      </c>
      <c r="G60" s="1" t="s">
        <v>27</v>
      </c>
      <c r="H60" s="1" t="n">
        <v>113.5</v>
      </c>
      <c r="I60" s="1" t="n">
        <v>27.6</v>
      </c>
      <c r="J60" s="1" t="n">
        <v>18.9</v>
      </c>
      <c r="K60" s="1"/>
      <c r="L60" s="1" t="n">
        <v>0</v>
      </c>
      <c r="M60" s="1" t="n">
        <v>0</v>
      </c>
      <c r="N60" s="1" t="s">
        <v>132</v>
      </c>
      <c r="Z60" s="0" t="n">
        <f aca="false">I60-3</f>
        <v>24.6</v>
      </c>
      <c r="AB60" s="0" t="n">
        <f aca="false">IF(Z60&lt;0,Z60+360,Z60+0)</f>
        <v>24.6</v>
      </c>
    </row>
    <row r="61" customFormat="false" ht="15.8" hidden="false" customHeight="false" outlineLevel="0" collapsed="false">
      <c r="A61" s="1" t="n">
        <v>7</v>
      </c>
      <c r="B61" s="1" t="n">
        <v>10</v>
      </c>
      <c r="C61" s="1" t="n">
        <v>1</v>
      </c>
      <c r="D61" s="1" t="n">
        <v>1.0121</v>
      </c>
      <c r="E61" s="1" t="n">
        <v>0.035206</v>
      </c>
      <c r="F61" s="1" t="n">
        <v>9.58129E-005</v>
      </c>
      <c r="G61" s="1" t="s">
        <v>27</v>
      </c>
      <c r="H61" s="1" t="n">
        <v>85.1</v>
      </c>
      <c r="I61" s="1" t="n">
        <v>227.6</v>
      </c>
      <c r="J61" s="1" t="n">
        <v>0</v>
      </c>
      <c r="K61" s="1"/>
      <c r="L61" s="1" t="n">
        <v>0</v>
      </c>
      <c r="M61" s="1" t="n">
        <v>0</v>
      </c>
      <c r="N61" s="1" t="s">
        <v>132</v>
      </c>
      <c r="Z61" s="0" t="n">
        <f aca="false">I61-3</f>
        <v>224.6</v>
      </c>
      <c r="AB61" s="0" t="n">
        <f aca="false">IF(Z61&lt;0,Z61+360,Z61+0)</f>
        <v>224.6</v>
      </c>
    </row>
    <row r="62" customFormat="false" ht="15.8" hidden="false" customHeight="false" outlineLevel="0" collapsed="false">
      <c r="A62" s="1" t="n">
        <v>7</v>
      </c>
      <c r="B62" s="1" t="n">
        <v>9</v>
      </c>
      <c r="C62" s="1" t="n">
        <v>0.4</v>
      </c>
      <c r="D62" s="1" t="n">
        <v>1.0002</v>
      </c>
      <c r="E62" s="1" t="n">
        <v>0.0140764</v>
      </c>
      <c r="F62" s="1" t="n">
        <v>3.83088E-005</v>
      </c>
      <c r="G62" s="1" t="s">
        <v>37</v>
      </c>
      <c r="H62" s="1" t="n">
        <v>10.1</v>
      </c>
      <c r="I62" s="1" t="n">
        <v>142.5</v>
      </c>
      <c r="J62" s="1" t="n">
        <v>0</v>
      </c>
      <c r="K62" s="1" t="n">
        <v>113.5</v>
      </c>
      <c r="L62" s="1" t="n">
        <v>0</v>
      </c>
      <c r="M62" s="1" t="n">
        <v>0</v>
      </c>
      <c r="N62" s="1" t="s">
        <v>126</v>
      </c>
      <c r="Z62" s="0" t="n">
        <f aca="false">I62-3</f>
        <v>139.5</v>
      </c>
      <c r="AB62" s="0" t="n">
        <f aca="false">IF(Z62&lt;0,Z62+360,Z62+0)</f>
        <v>139.5</v>
      </c>
    </row>
    <row r="63" customFormat="false" ht="15.8" hidden="false" customHeight="false" outlineLevel="0" collapsed="false">
      <c r="A63" s="1" t="n">
        <v>7</v>
      </c>
      <c r="B63" s="1" t="n">
        <v>8</v>
      </c>
      <c r="C63" s="1" t="n">
        <v>0.5</v>
      </c>
      <c r="D63" s="1" t="n">
        <v>1.0187</v>
      </c>
      <c r="E63" s="1" t="n">
        <v>0.0179843</v>
      </c>
      <c r="F63" s="1" t="n">
        <v>4.89443E-005</v>
      </c>
      <c r="G63" s="1" t="s">
        <v>37</v>
      </c>
      <c r="H63" s="1" t="n">
        <v>40.7</v>
      </c>
      <c r="I63" s="1" t="n">
        <v>132.4</v>
      </c>
      <c r="J63" s="1" t="n">
        <v>0</v>
      </c>
      <c r="K63" s="1" t="n">
        <v>96.4</v>
      </c>
      <c r="L63" s="1" t="n">
        <v>0</v>
      </c>
      <c r="M63" s="1" t="n">
        <v>0</v>
      </c>
      <c r="N63" s="1" t="s">
        <v>133</v>
      </c>
      <c r="Z63" s="0" t="n">
        <f aca="false">I63-3</f>
        <v>129.4</v>
      </c>
      <c r="AB63" s="0" t="n">
        <f aca="false">IF(Z63&lt;0,Z63+360,Z63+0)</f>
        <v>129.4</v>
      </c>
    </row>
    <row r="64" customFormat="false" ht="15.8" hidden="false" customHeight="false" outlineLevel="0" collapsed="false">
      <c r="A64" s="1" t="n">
        <v>7</v>
      </c>
      <c r="B64" s="1" t="n">
        <v>8</v>
      </c>
      <c r="C64" s="1" t="n">
        <v>0.7</v>
      </c>
      <c r="D64" s="1" t="n">
        <v>1.0103</v>
      </c>
      <c r="E64" s="1" t="n">
        <v>0.0244268</v>
      </c>
      <c r="F64" s="1" t="n">
        <v>6.64772E-005</v>
      </c>
      <c r="G64" s="1" t="s">
        <v>27</v>
      </c>
      <c r="H64" s="1" t="n">
        <v>107.2</v>
      </c>
      <c r="I64" s="1" t="n">
        <v>279.8</v>
      </c>
      <c r="J64" s="1" t="n">
        <v>0</v>
      </c>
      <c r="K64" s="1"/>
      <c r="L64" s="1" t="n">
        <v>0</v>
      </c>
      <c r="M64" s="1" t="n">
        <v>0</v>
      </c>
      <c r="N64" s="1" t="s">
        <v>133</v>
      </c>
      <c r="Z64" s="0" t="n">
        <f aca="false">I64-3</f>
        <v>276.8</v>
      </c>
      <c r="AB64" s="0" t="n">
        <f aca="false">IF(Z64&lt;0,Z64+360,Z64+0)</f>
        <v>276.8</v>
      </c>
    </row>
    <row r="65" customFormat="false" ht="15.8" hidden="false" customHeight="false" outlineLevel="0" collapsed="false">
      <c r="A65" s="1" t="n">
        <v>7</v>
      </c>
      <c r="B65" s="1" t="n">
        <v>7</v>
      </c>
      <c r="C65" s="1" t="n">
        <v>2.8</v>
      </c>
      <c r="D65" s="1" t="n">
        <v>1.1541</v>
      </c>
      <c r="E65" s="1" t="n">
        <v>0.0947722</v>
      </c>
      <c r="F65" s="1" t="n">
        <v>0.000257922</v>
      </c>
      <c r="G65" s="1" t="s">
        <v>37</v>
      </c>
      <c r="H65" s="1" t="n">
        <v>11.5</v>
      </c>
      <c r="I65" s="1" t="n">
        <v>172.4</v>
      </c>
      <c r="J65" s="1" t="n">
        <v>-8.9</v>
      </c>
      <c r="K65" s="1" t="n">
        <v>107.2</v>
      </c>
      <c r="L65" s="1" t="n">
        <v>0</v>
      </c>
      <c r="M65" s="1" t="n">
        <v>0</v>
      </c>
      <c r="N65" s="1" t="s">
        <v>125</v>
      </c>
      <c r="Z65" s="0" t="n">
        <f aca="false">I65-3</f>
        <v>169.4</v>
      </c>
      <c r="AB65" s="0" t="n">
        <f aca="false">IF(Z65&lt;0,Z65+360,Z65+0)</f>
        <v>169.4</v>
      </c>
    </row>
    <row r="66" customFormat="false" ht="15.8" hidden="false" customHeight="false" outlineLevel="0" collapsed="false">
      <c r="A66" s="1" t="n">
        <v>7</v>
      </c>
      <c r="B66" s="1" t="n">
        <v>6</v>
      </c>
      <c r="C66" s="1" t="n">
        <v>2.6</v>
      </c>
      <c r="D66" s="1" t="n">
        <v>1.1633</v>
      </c>
      <c r="E66" s="1" t="n">
        <v>0.0894997</v>
      </c>
      <c r="F66" s="1" t="n">
        <v>0.000243573</v>
      </c>
      <c r="G66" s="1" t="s">
        <v>37</v>
      </c>
      <c r="H66" s="1" t="n">
        <v>28.7</v>
      </c>
      <c r="I66" s="1" t="n">
        <v>177.7</v>
      </c>
      <c r="J66" s="1" t="n">
        <v>-19.2</v>
      </c>
      <c r="K66" s="1" t="n">
        <v>25.1</v>
      </c>
      <c r="L66" s="1" t="n">
        <v>0</v>
      </c>
      <c r="M66" s="1" t="n">
        <v>0</v>
      </c>
      <c r="N66" s="1" t="s">
        <v>134</v>
      </c>
      <c r="Z66" s="0" t="n">
        <f aca="false">I66-3</f>
        <v>174.7</v>
      </c>
      <c r="AB66" s="0" t="n">
        <f aca="false">IF(Z66&lt;0,Z66+360,Z66+0)</f>
        <v>174.7</v>
      </c>
    </row>
    <row r="67" customFormat="false" ht="15.8" hidden="false" customHeight="false" outlineLevel="0" collapsed="false">
      <c r="A67" s="1" t="n">
        <v>7</v>
      </c>
      <c r="B67" s="1" t="n">
        <v>6</v>
      </c>
      <c r="C67" s="1" t="n">
        <v>1.4</v>
      </c>
      <c r="D67" s="1" t="n">
        <v>1.1691</v>
      </c>
      <c r="E67" s="1" t="n">
        <v>0.0467245</v>
      </c>
      <c r="F67" s="1" t="n">
        <v>0.00012716</v>
      </c>
      <c r="G67" s="1" t="s">
        <v>27</v>
      </c>
      <c r="H67" s="1" t="n">
        <v>115.3</v>
      </c>
      <c r="I67" s="1" t="n">
        <v>45.8</v>
      </c>
      <c r="J67" s="1" t="n">
        <v>18.5</v>
      </c>
      <c r="K67" s="1"/>
      <c r="L67" s="1" t="n">
        <v>0</v>
      </c>
      <c r="M67" s="1" t="n">
        <v>0</v>
      </c>
      <c r="N67" s="1" t="s">
        <v>134</v>
      </c>
      <c r="Z67" s="0" t="n">
        <f aca="false">I67-3</f>
        <v>42.8</v>
      </c>
      <c r="AB67" s="0" t="n">
        <f aca="false">IF(Z67&lt;0,Z67+360,Z67+0)</f>
        <v>42.8</v>
      </c>
    </row>
    <row r="68" customFormat="false" ht="15.8" hidden="false" customHeight="false" outlineLevel="0" collapsed="false">
      <c r="A68" s="1" t="n">
        <v>7</v>
      </c>
      <c r="B68" s="1" t="n">
        <v>5</v>
      </c>
      <c r="C68" s="1" t="n">
        <v>4.1</v>
      </c>
      <c r="D68" s="1" t="n">
        <v>1.3071</v>
      </c>
      <c r="E68" s="1" t="n">
        <v>0.139119</v>
      </c>
      <c r="F68" s="1" t="n">
        <v>0.000378611</v>
      </c>
      <c r="G68" s="1" t="s">
        <v>37</v>
      </c>
      <c r="H68" s="1" t="n">
        <v>40.8</v>
      </c>
      <c r="I68" s="1" t="n">
        <v>165.3</v>
      </c>
      <c r="J68" s="1" t="n">
        <v>6.8</v>
      </c>
      <c r="K68" s="1" t="n">
        <v>115.3</v>
      </c>
      <c r="L68" s="1" t="n">
        <v>0</v>
      </c>
      <c r="M68" s="1" t="n">
        <v>0</v>
      </c>
      <c r="N68" s="1" t="s">
        <v>135</v>
      </c>
      <c r="Z68" s="0" t="n">
        <f aca="false">I68-3</f>
        <v>162.3</v>
      </c>
      <c r="AB68" s="0" t="n">
        <f aca="false">IF(Z68&lt;0,Z68+360,Z68+0)</f>
        <v>162.3</v>
      </c>
    </row>
    <row r="69" customFormat="false" ht="15.8" hidden="false" customHeight="false" outlineLevel="0" collapsed="false">
      <c r="A69" s="1" t="n">
        <v>7</v>
      </c>
      <c r="B69" s="1" t="n">
        <v>6</v>
      </c>
      <c r="C69" s="1" t="n">
        <v>16.3</v>
      </c>
      <c r="D69" s="1" t="n">
        <v>1.3929</v>
      </c>
      <c r="E69" s="1" t="n">
        <v>0.557628</v>
      </c>
      <c r="F69" s="1" t="n">
        <v>0.00151758</v>
      </c>
      <c r="G69" s="1" t="s">
        <v>27</v>
      </c>
      <c r="H69" s="1" t="n">
        <v>4</v>
      </c>
      <c r="I69" s="1" t="n">
        <v>140.5</v>
      </c>
      <c r="J69" s="1" t="n">
        <v>-24.3</v>
      </c>
      <c r="K69" s="1"/>
      <c r="L69" s="1" t="n">
        <v>0</v>
      </c>
      <c r="M69" s="1" t="n">
        <v>0</v>
      </c>
      <c r="N69" s="1" t="s">
        <v>136</v>
      </c>
      <c r="Z69" s="0" t="n">
        <f aca="false">I69-3</f>
        <v>137.5</v>
      </c>
      <c r="AB69" s="0" t="n">
        <f aca="false">IF(Z69&lt;0,Z69+360,Z69+0)</f>
        <v>137.5</v>
      </c>
    </row>
    <row r="70" customFormat="false" ht="15.8" hidden="false" customHeight="false" outlineLevel="0" collapsed="false">
      <c r="A70" s="1" t="n">
        <v>7</v>
      </c>
      <c r="B70" s="1" t="n">
        <v>6</v>
      </c>
      <c r="C70" s="1" t="n">
        <v>2.7</v>
      </c>
      <c r="D70" s="1" t="n">
        <v>1.2431</v>
      </c>
      <c r="E70" s="1" t="n">
        <v>0.0933032</v>
      </c>
      <c r="F70" s="1" t="n">
        <v>0.000253924</v>
      </c>
      <c r="G70" s="1" t="s">
        <v>27</v>
      </c>
      <c r="H70" s="1" t="n">
        <v>86.2</v>
      </c>
      <c r="I70" s="1" t="n">
        <v>71.6</v>
      </c>
      <c r="J70" s="1" t="n">
        <v>30.4</v>
      </c>
      <c r="K70" s="1"/>
      <c r="L70" s="1" t="n">
        <v>0</v>
      </c>
      <c r="M70" s="1" t="n">
        <v>0</v>
      </c>
      <c r="N70" s="1" t="s">
        <v>136</v>
      </c>
      <c r="Z70" s="0" t="n">
        <f aca="false">I70-3</f>
        <v>68.6</v>
      </c>
      <c r="AB70" s="0" t="n">
        <f aca="false">IF(Z70&lt;0,Z70+360,Z70+0)</f>
        <v>68.6</v>
      </c>
    </row>
    <row r="71" customFormat="false" ht="15.8" hidden="false" customHeight="false" outlineLevel="0" collapsed="false">
      <c r="A71" s="1" t="n">
        <v>7</v>
      </c>
      <c r="B71" s="1" t="n">
        <v>5</v>
      </c>
      <c r="C71" s="1" t="n">
        <v>2.8</v>
      </c>
      <c r="D71" s="1" t="n">
        <v>1.3504</v>
      </c>
      <c r="E71" s="1" t="n">
        <v>0.0941057</v>
      </c>
      <c r="F71" s="1" t="n">
        <v>0.000256108</v>
      </c>
      <c r="G71" s="1" t="s">
        <v>37</v>
      </c>
      <c r="H71" s="1" t="n">
        <v>7.9</v>
      </c>
      <c r="I71" s="1" t="n">
        <v>143.4</v>
      </c>
      <c r="J71" s="1" t="n">
        <v>-21.3</v>
      </c>
      <c r="K71" s="1" t="n">
        <v>86.2</v>
      </c>
      <c r="L71" s="1" t="n">
        <v>0</v>
      </c>
      <c r="M71" s="1" t="n">
        <v>0</v>
      </c>
      <c r="N71" s="1" t="s">
        <v>135</v>
      </c>
      <c r="Z71" s="0" t="n">
        <f aca="false">I71-3</f>
        <v>140.4</v>
      </c>
      <c r="AB71" s="0" t="n">
        <f aca="false">IF(Z71&lt;0,Z71+360,Z71+0)</f>
        <v>140.4</v>
      </c>
    </row>
    <row r="72" customFormat="false" ht="15.8" hidden="false" customHeight="false" outlineLevel="0" collapsed="false">
      <c r="A72" s="1" t="n">
        <v>7</v>
      </c>
      <c r="B72" s="1" t="n">
        <v>4</v>
      </c>
      <c r="C72" s="1" t="n">
        <v>1.9</v>
      </c>
      <c r="D72" s="1" t="n">
        <v>1.274</v>
      </c>
      <c r="E72" s="1" t="n">
        <v>0.0663414</v>
      </c>
      <c r="F72" s="1" t="n">
        <v>0.000180548</v>
      </c>
      <c r="G72" s="1" t="s">
        <v>37</v>
      </c>
      <c r="H72" s="1" t="n">
        <v>34.4</v>
      </c>
      <c r="I72" s="1" t="n">
        <v>145.2</v>
      </c>
      <c r="J72" s="1" t="n">
        <v>-29.1</v>
      </c>
      <c r="K72" s="1" t="n">
        <v>40.8</v>
      </c>
      <c r="L72" s="1" t="n">
        <v>0</v>
      </c>
      <c r="M72" s="1" t="n">
        <v>0</v>
      </c>
      <c r="N72" s="1" t="s">
        <v>137</v>
      </c>
      <c r="Z72" s="0" t="n">
        <f aca="false">I72-3</f>
        <v>142.2</v>
      </c>
      <c r="AB72" s="0" t="n">
        <f aca="false">IF(Z72&lt;0,Z72+360,Z72+0)</f>
        <v>142.2</v>
      </c>
    </row>
    <row r="73" customFormat="false" ht="15.8" hidden="false" customHeight="false" outlineLevel="0" collapsed="false">
      <c r="A73" s="1" t="n">
        <v>7</v>
      </c>
      <c r="B73" s="1" t="n">
        <v>5</v>
      </c>
      <c r="C73" s="1" t="n">
        <v>7.5</v>
      </c>
      <c r="D73" s="1" t="n">
        <v>1.2787</v>
      </c>
      <c r="E73" s="1" t="n">
        <v>0.25781</v>
      </c>
      <c r="F73" s="1" t="n">
        <v>0.000701627</v>
      </c>
      <c r="G73" s="1" t="s">
        <v>27</v>
      </c>
      <c r="H73" s="1" t="n">
        <v>44.4</v>
      </c>
      <c r="I73" s="1" t="n">
        <v>168.2</v>
      </c>
      <c r="J73" s="1" t="n">
        <v>-22.1</v>
      </c>
      <c r="K73" s="1"/>
      <c r="L73" s="1" t="n">
        <v>0</v>
      </c>
      <c r="M73" s="1" t="n">
        <v>0</v>
      </c>
      <c r="N73" s="1" t="s">
        <v>138</v>
      </c>
      <c r="Z73" s="0" t="n">
        <f aca="false">I73-3</f>
        <v>165.2</v>
      </c>
      <c r="AB73" s="0" t="n">
        <f aca="false">IF(Z73&lt;0,Z73+360,Z73+0)</f>
        <v>165.2</v>
      </c>
    </row>
    <row r="74" customFormat="false" ht="15.8" hidden="false" customHeight="false" outlineLevel="0" collapsed="false">
      <c r="A74" s="1" t="n">
        <v>7</v>
      </c>
      <c r="B74" s="1" t="n">
        <v>6</v>
      </c>
      <c r="C74" s="1" t="n">
        <v>1.3</v>
      </c>
      <c r="D74" s="1" t="n">
        <v>1.1286</v>
      </c>
      <c r="E74" s="1" t="n">
        <v>0.0428592</v>
      </c>
      <c r="F74" s="1" t="n">
        <v>0.000116641</v>
      </c>
      <c r="G74" s="1" t="s">
        <v>27</v>
      </c>
      <c r="H74" s="1" t="n">
        <v>113.7</v>
      </c>
      <c r="I74" s="1" t="n">
        <v>334.8</v>
      </c>
      <c r="J74" s="1" t="n">
        <v>-19.5</v>
      </c>
      <c r="K74" s="1"/>
      <c r="L74" s="1" t="n">
        <v>0</v>
      </c>
      <c r="M74" s="1" t="n">
        <v>0</v>
      </c>
      <c r="N74" s="1" t="s">
        <v>139</v>
      </c>
      <c r="Z74" s="0" t="n">
        <f aca="false">I74-3</f>
        <v>331.8</v>
      </c>
      <c r="AB74" s="0" t="n">
        <f aca="false">IF(Z74&lt;0,Z74+360,Z74+0)</f>
        <v>331.8</v>
      </c>
    </row>
    <row r="75" customFormat="false" ht="15.8" hidden="false" customHeight="false" outlineLevel="0" collapsed="false">
      <c r="A75" s="1" t="n">
        <v>7</v>
      </c>
      <c r="B75" s="1" t="n">
        <v>9</v>
      </c>
      <c r="C75" s="1" t="n">
        <v>2</v>
      </c>
      <c r="D75" s="1" t="n">
        <v>1.7834</v>
      </c>
      <c r="E75" s="1" t="n">
        <v>0.0696862</v>
      </c>
      <c r="F75" s="1" t="n">
        <v>0.00018965</v>
      </c>
      <c r="G75" s="1" t="s">
        <v>27</v>
      </c>
      <c r="H75" s="1" t="n">
        <v>101.8</v>
      </c>
      <c r="I75" s="1" t="n">
        <v>121</v>
      </c>
      <c r="J75" s="1" t="n">
        <v>0</v>
      </c>
      <c r="K75" s="1"/>
      <c r="L75" s="1" t="n">
        <v>0</v>
      </c>
      <c r="M75" s="1" t="n">
        <v>0</v>
      </c>
      <c r="N75" s="1" t="s">
        <v>140</v>
      </c>
      <c r="Z75" s="0" t="n">
        <f aca="false">I75-3</f>
        <v>118</v>
      </c>
      <c r="AB75" s="0" t="n">
        <f aca="false">IF(Z75&lt;0,Z75+360,Z75+0)</f>
        <v>118</v>
      </c>
    </row>
    <row r="76" customFormat="false" ht="15.8" hidden="false" customHeight="false" outlineLevel="0" collapsed="false">
      <c r="A76" s="1" t="n">
        <v>7</v>
      </c>
      <c r="B76" s="1" t="n">
        <v>9</v>
      </c>
      <c r="C76" s="1" t="n">
        <v>2.7</v>
      </c>
      <c r="D76" s="1" t="n">
        <v>1.6477</v>
      </c>
      <c r="E76" s="1" t="n">
        <v>0.0935423</v>
      </c>
      <c r="F76" s="1" t="n">
        <v>0.000254575</v>
      </c>
      <c r="G76" s="1" t="s">
        <v>27</v>
      </c>
      <c r="H76" s="1" t="n">
        <v>57.8</v>
      </c>
      <c r="I76" s="1" t="n">
        <v>340.3</v>
      </c>
      <c r="J76" s="1" t="n">
        <v>12.9</v>
      </c>
      <c r="K76" s="1"/>
      <c r="L76" s="1" t="n">
        <v>0</v>
      </c>
      <c r="M76" s="1" t="n">
        <v>0</v>
      </c>
      <c r="N76" s="1" t="s">
        <v>140</v>
      </c>
      <c r="Z76" s="0" t="n">
        <f aca="false">I76-3</f>
        <v>337.3</v>
      </c>
      <c r="AB76" s="0" t="n">
        <f aca="false">IF(Z76&lt;0,Z76+360,Z76+0)</f>
        <v>337.3</v>
      </c>
    </row>
    <row r="77" customFormat="false" ht="15.8" hidden="false" customHeight="false" outlineLevel="0" collapsed="false">
      <c r="A77" s="1" t="n">
        <v>7</v>
      </c>
      <c r="B77" s="1" t="n">
        <v>8</v>
      </c>
      <c r="C77" s="1" t="n">
        <v>1.7</v>
      </c>
      <c r="D77" s="1" t="n">
        <v>1.2754</v>
      </c>
      <c r="E77" s="1" t="n">
        <v>0.058777</v>
      </c>
      <c r="F77" s="1" t="n">
        <v>0.000159961</v>
      </c>
      <c r="G77" s="1" t="s">
        <v>37</v>
      </c>
      <c r="H77" s="1" t="n">
        <v>63.3</v>
      </c>
      <c r="I77" s="1" t="n">
        <v>16.9</v>
      </c>
      <c r="J77" s="1" t="n">
        <v>-33.3</v>
      </c>
      <c r="K77" s="1" t="n">
        <v>101.8</v>
      </c>
      <c r="L77" s="1" t="n">
        <v>0</v>
      </c>
      <c r="M77" s="1" t="n">
        <v>0</v>
      </c>
      <c r="N77" s="1" t="s">
        <v>141</v>
      </c>
      <c r="Z77" s="0" t="n">
        <f aca="false">I77-3</f>
        <v>13.9</v>
      </c>
      <c r="AB77" s="0" t="n">
        <f aca="false">IF(Z77&lt;0,Z77+360,Z77+0)</f>
        <v>13.9</v>
      </c>
    </row>
    <row r="78" customFormat="false" ht="15.8" hidden="false" customHeight="false" outlineLevel="0" collapsed="false">
      <c r="A78" s="1" t="n">
        <v>7</v>
      </c>
      <c r="B78" s="1" t="n">
        <v>8</v>
      </c>
      <c r="C78" s="1" t="n">
        <v>2.4</v>
      </c>
      <c r="D78" s="1" t="n">
        <v>1.2035</v>
      </c>
      <c r="E78" s="1" t="n">
        <v>0.082806</v>
      </c>
      <c r="F78" s="1" t="n">
        <v>0.000225356</v>
      </c>
      <c r="G78" s="1" t="s">
        <v>27</v>
      </c>
      <c r="H78" s="1" t="n">
        <v>17.4</v>
      </c>
      <c r="I78" s="1" t="n">
        <v>110.9</v>
      </c>
      <c r="J78" s="1" t="n">
        <v>-33.5</v>
      </c>
      <c r="K78" s="1"/>
      <c r="L78" s="1" t="n">
        <v>0</v>
      </c>
      <c r="M78" s="1" t="n">
        <v>0</v>
      </c>
      <c r="N78" s="1" t="s">
        <v>141</v>
      </c>
      <c r="Z78" s="0" t="n">
        <f aca="false">I78-3</f>
        <v>107.9</v>
      </c>
      <c r="AB78" s="0" t="n">
        <f aca="false">IF(Z78&lt;0,Z78+360,Z78+0)</f>
        <v>107.9</v>
      </c>
    </row>
    <row r="79" customFormat="false" ht="15.8" hidden="false" customHeight="false" outlineLevel="0" collapsed="false">
      <c r="A79" s="1" t="n">
        <v>7</v>
      </c>
      <c r="B79" s="1" t="n">
        <v>7</v>
      </c>
      <c r="C79" s="1" t="n">
        <v>5.4</v>
      </c>
      <c r="D79" s="1" t="n">
        <v>1.2368</v>
      </c>
      <c r="E79" s="1" t="n">
        <v>0.183778</v>
      </c>
      <c r="F79" s="1" t="n">
        <v>0.00050015</v>
      </c>
      <c r="G79" s="1" t="s">
        <v>37</v>
      </c>
      <c r="H79" s="1" t="n">
        <v>93.9</v>
      </c>
      <c r="I79" s="1" t="n">
        <v>103.8</v>
      </c>
      <c r="J79" s="1" t="n">
        <v>-50</v>
      </c>
      <c r="K79" s="1" t="n">
        <v>63.3</v>
      </c>
      <c r="L79" s="1" t="n">
        <v>0</v>
      </c>
      <c r="M79" s="1" t="n">
        <v>0</v>
      </c>
      <c r="N79" s="1" t="s">
        <v>142</v>
      </c>
      <c r="Z79" s="0" t="n">
        <f aca="false">I79-3</f>
        <v>100.8</v>
      </c>
      <c r="AB79" s="0" t="n">
        <f aca="false">IF(Z79&lt;0,Z79+360,Z79+0)</f>
        <v>100.8</v>
      </c>
    </row>
    <row r="80" customFormat="false" ht="15.8" hidden="false" customHeight="false" outlineLevel="0" collapsed="false">
      <c r="A80" s="1" t="n">
        <v>7</v>
      </c>
      <c r="B80" s="1" t="n">
        <v>8</v>
      </c>
      <c r="C80" s="1" t="n">
        <v>0.8</v>
      </c>
      <c r="D80" s="1" t="n">
        <v>1.0071</v>
      </c>
      <c r="E80" s="1" t="n">
        <v>0.0260031</v>
      </c>
      <c r="F80" s="1" t="n">
        <v>7.07672E-005</v>
      </c>
      <c r="G80" s="1" t="s">
        <v>27</v>
      </c>
      <c r="H80" s="1" t="n">
        <v>104</v>
      </c>
      <c r="I80" s="1" t="n">
        <v>84.2</v>
      </c>
      <c r="J80" s="1" t="n">
        <v>0</v>
      </c>
      <c r="K80" s="1"/>
      <c r="L80" s="1" t="n">
        <v>0</v>
      </c>
      <c r="M80" s="1" t="n">
        <v>0</v>
      </c>
      <c r="N80" s="1" t="s">
        <v>143</v>
      </c>
      <c r="Z80" s="0" t="n">
        <f aca="false">I80-3</f>
        <v>81.2</v>
      </c>
      <c r="AB80" s="0" t="n">
        <f aca="false">IF(Z80&lt;0,Z80+360,Z80+0)</f>
        <v>81.2</v>
      </c>
    </row>
    <row r="81" customFormat="false" ht="15.8" hidden="false" customHeight="false" outlineLevel="0" collapsed="false">
      <c r="A81" s="1" t="n">
        <v>7</v>
      </c>
      <c r="B81" s="1" t="n">
        <v>9</v>
      </c>
      <c r="C81" s="1" t="n">
        <v>2.3</v>
      </c>
      <c r="D81" s="1" t="n">
        <v>1.2829</v>
      </c>
      <c r="E81" s="1" t="n">
        <v>0.0775662</v>
      </c>
      <c r="F81" s="1" t="n">
        <v>0.000211096</v>
      </c>
      <c r="G81" s="1" t="s">
        <v>27</v>
      </c>
      <c r="H81" s="1" t="n">
        <v>23.6</v>
      </c>
      <c r="I81" s="1" t="n">
        <v>211.1</v>
      </c>
      <c r="J81" s="1" t="n">
        <v>12.1</v>
      </c>
      <c r="K81" s="1"/>
      <c r="L81" s="1" t="n">
        <v>0</v>
      </c>
      <c r="M81" s="1" t="n">
        <v>0</v>
      </c>
      <c r="N81" s="1" t="s">
        <v>144</v>
      </c>
      <c r="Z81" s="0" t="n">
        <f aca="false">I81-3</f>
        <v>208.1</v>
      </c>
      <c r="AB81" s="0" t="n">
        <f aca="false">IF(Z81&lt;0,Z81+360,Z81+0)</f>
        <v>208.1</v>
      </c>
    </row>
    <row r="82" customFormat="false" ht="15.8" hidden="false" customHeight="false" outlineLevel="0" collapsed="false">
      <c r="A82" s="1" t="n">
        <v>7</v>
      </c>
      <c r="B82" s="1" t="n">
        <v>10</v>
      </c>
      <c r="C82" s="1" t="n">
        <v>0.9</v>
      </c>
      <c r="D82" s="1" t="n">
        <v>1.2285</v>
      </c>
      <c r="E82" s="1" t="n">
        <v>0.0310915</v>
      </c>
      <c r="F82" s="1" t="n">
        <v>8.46152E-005</v>
      </c>
      <c r="G82" s="1" t="s">
        <v>27</v>
      </c>
      <c r="H82" s="1" t="n">
        <v>98.8</v>
      </c>
      <c r="I82" s="1" t="n">
        <v>290.9</v>
      </c>
      <c r="J82" s="1" t="n">
        <v>30</v>
      </c>
      <c r="K82" s="1"/>
      <c r="L82" s="1" t="n">
        <v>0</v>
      </c>
      <c r="M82" s="1" t="n">
        <v>0</v>
      </c>
      <c r="N82" s="1" t="s">
        <v>145</v>
      </c>
      <c r="Z82" s="0" t="n">
        <f aca="false">I82-3</f>
        <v>287.9</v>
      </c>
      <c r="AB82" s="0" t="n">
        <f aca="false">IF(Z82&lt;0,Z82+360,Z82+0)</f>
        <v>287.9</v>
      </c>
    </row>
    <row r="83" customFormat="false" ht="15.8" hidden="false" customHeight="false" outlineLevel="0" collapsed="false">
      <c r="A83" s="1" t="n">
        <v>7</v>
      </c>
      <c r="B83" s="1" t="n">
        <v>10</v>
      </c>
      <c r="C83" s="1" t="n">
        <v>4.9</v>
      </c>
      <c r="D83" s="1" t="n">
        <v>1.2549</v>
      </c>
      <c r="E83" s="1" t="n">
        <v>0.168056</v>
      </c>
      <c r="F83" s="1" t="n">
        <v>0.000457362</v>
      </c>
      <c r="G83" s="1" t="s">
        <v>27</v>
      </c>
      <c r="H83" s="1" t="n">
        <v>14.4</v>
      </c>
      <c r="I83" s="1" t="n">
        <v>204.1</v>
      </c>
      <c r="J83" s="1" t="n">
        <v>5.4</v>
      </c>
      <c r="K83" s="1"/>
      <c r="L83" s="1" t="n">
        <v>0</v>
      </c>
      <c r="M83" s="1" t="n">
        <v>0</v>
      </c>
      <c r="N83" s="1" t="s">
        <v>145</v>
      </c>
      <c r="Z83" s="0" t="n">
        <f aca="false">I83-3</f>
        <v>201.1</v>
      </c>
      <c r="AB83" s="0" t="n">
        <f aca="false">IF(Z83&lt;0,Z83+360,Z83+0)</f>
        <v>201.1</v>
      </c>
    </row>
    <row r="84" customFormat="false" ht="15.8" hidden="false" customHeight="false" outlineLevel="0" collapsed="false">
      <c r="A84" s="1" t="n">
        <v>7</v>
      </c>
      <c r="B84" s="1" t="n">
        <v>9</v>
      </c>
      <c r="C84" s="1" t="n">
        <v>2.7</v>
      </c>
      <c r="D84" s="1" t="n">
        <v>1.248</v>
      </c>
      <c r="E84" s="1" t="n">
        <v>0.0926734</v>
      </c>
      <c r="F84" s="1" t="n">
        <v>0.00025221</v>
      </c>
      <c r="G84" s="1" t="s">
        <v>37</v>
      </c>
      <c r="H84" s="1" t="n">
        <v>0</v>
      </c>
      <c r="I84" s="1" t="n">
        <v>190.7</v>
      </c>
      <c r="J84" s="1" t="n">
        <v>0</v>
      </c>
      <c r="K84" s="1" t="n">
        <v>98.8</v>
      </c>
      <c r="L84" s="1" t="n">
        <v>0</v>
      </c>
      <c r="M84" s="1" t="n">
        <v>0</v>
      </c>
      <c r="N84" s="1" t="s">
        <v>144</v>
      </c>
      <c r="Z84" s="0" t="n">
        <f aca="false">I84-3</f>
        <v>187.7</v>
      </c>
      <c r="AB84" s="0" t="n">
        <f aca="false">IF(Z84&lt;0,Z84+360,Z84+0)</f>
        <v>187.7</v>
      </c>
    </row>
    <row r="85" customFormat="false" ht="15.8" hidden="false" customHeight="false" outlineLevel="0" collapsed="false">
      <c r="A85" s="1" t="n">
        <v>7</v>
      </c>
      <c r="B85" s="1" t="n">
        <v>8</v>
      </c>
      <c r="C85" s="1" t="n">
        <v>1.8</v>
      </c>
      <c r="D85" s="1" t="n">
        <v>1.019</v>
      </c>
      <c r="E85" s="1" t="n">
        <v>0.0613871</v>
      </c>
      <c r="F85" s="1" t="n">
        <v>0.000167064</v>
      </c>
      <c r="G85" s="1" t="s">
        <v>37</v>
      </c>
      <c r="H85" s="1" t="n">
        <v>15.8</v>
      </c>
      <c r="I85" s="1" t="n">
        <v>190.7</v>
      </c>
      <c r="J85" s="1" t="n">
        <v>0</v>
      </c>
      <c r="K85" s="1" t="n">
        <v>23.6</v>
      </c>
      <c r="L85" s="1" t="n">
        <v>0</v>
      </c>
      <c r="M85" s="1" t="n">
        <v>0</v>
      </c>
      <c r="N85" s="1" t="s">
        <v>143</v>
      </c>
      <c r="Z85" s="0" t="n">
        <f aca="false">I85-3</f>
        <v>187.7</v>
      </c>
      <c r="AB85" s="0" t="n">
        <f aca="false">IF(Z85&lt;0,Z85+360,Z85+0)</f>
        <v>187.7</v>
      </c>
    </row>
    <row r="86" customFormat="false" ht="15.8" hidden="false" customHeight="false" outlineLevel="0" collapsed="false">
      <c r="A86" s="1" t="n">
        <v>7</v>
      </c>
      <c r="B86" s="1" t="n">
        <v>7</v>
      </c>
      <c r="C86" s="1" t="n">
        <v>3.2</v>
      </c>
      <c r="D86" s="1" t="n">
        <v>1.175</v>
      </c>
      <c r="E86" s="1" t="n">
        <v>0.109894</v>
      </c>
      <c r="F86" s="1" t="n">
        <v>0.000299077</v>
      </c>
      <c r="G86" s="1" t="s">
        <v>37</v>
      </c>
      <c r="H86" s="1" t="n">
        <v>7</v>
      </c>
      <c r="I86" s="1" t="n">
        <v>188.8</v>
      </c>
      <c r="J86" s="1" t="n">
        <v>15.7</v>
      </c>
      <c r="K86" s="1" t="n">
        <v>104</v>
      </c>
      <c r="L86" s="1" t="n">
        <v>0</v>
      </c>
      <c r="M86" s="1" t="n">
        <v>0</v>
      </c>
      <c r="N86" s="1" t="s">
        <v>142</v>
      </c>
      <c r="Z86" s="0" t="n">
        <f aca="false">I86-3</f>
        <v>185.8</v>
      </c>
      <c r="AB86" s="0" t="n">
        <f aca="false">IF(Z86&lt;0,Z86+360,Z86+0)</f>
        <v>185.8</v>
      </c>
    </row>
    <row r="87" customFormat="false" ht="15.8" hidden="false" customHeight="false" outlineLevel="0" collapsed="false">
      <c r="A87" s="1" t="n">
        <v>7</v>
      </c>
      <c r="B87" s="1" t="n">
        <v>6</v>
      </c>
      <c r="C87" s="1" t="n">
        <v>5.8</v>
      </c>
      <c r="D87" s="1" t="n">
        <v>1.1868</v>
      </c>
      <c r="E87" s="1" t="n">
        <v>0.197551</v>
      </c>
      <c r="F87" s="1" t="n">
        <v>0.000537635</v>
      </c>
      <c r="G87" s="1" t="s">
        <v>37</v>
      </c>
      <c r="H87" s="1" t="n">
        <v>34.1</v>
      </c>
      <c r="I87" s="1" t="n">
        <v>189.4</v>
      </c>
      <c r="J87" s="1" t="n">
        <v>8.7</v>
      </c>
      <c r="K87" s="1" t="n">
        <v>93.9</v>
      </c>
      <c r="L87" s="1" t="n">
        <v>0</v>
      </c>
      <c r="M87" s="1" t="n">
        <v>0</v>
      </c>
      <c r="N87" s="1" t="s">
        <v>139</v>
      </c>
      <c r="Z87" s="0" t="n">
        <f aca="false">I87-3</f>
        <v>186.4</v>
      </c>
      <c r="AB87" s="0" t="n">
        <f aca="false">IF(Z87&lt;0,Z87+360,Z87+0)</f>
        <v>186.4</v>
      </c>
    </row>
    <row r="88" customFormat="false" ht="15.8" hidden="false" customHeight="false" outlineLevel="0" collapsed="false">
      <c r="A88" s="1" t="n">
        <v>7</v>
      </c>
      <c r="B88" s="1" t="n">
        <v>5</v>
      </c>
      <c r="C88" s="1" t="n">
        <v>6.2</v>
      </c>
      <c r="D88" s="1" t="n">
        <v>1.2338</v>
      </c>
      <c r="E88" s="1" t="n">
        <v>0.210911</v>
      </c>
      <c r="F88" s="1" t="n">
        <v>0.000573994</v>
      </c>
      <c r="G88" s="1" t="s">
        <v>37</v>
      </c>
      <c r="H88" s="1" t="n">
        <v>22.1</v>
      </c>
      <c r="I88" s="1" t="n">
        <v>223.8</v>
      </c>
      <c r="J88" s="1" t="n">
        <v>12.8</v>
      </c>
      <c r="K88" s="1" t="n">
        <v>113.7</v>
      </c>
      <c r="L88" s="1" t="n">
        <v>0</v>
      </c>
      <c r="M88" s="1" t="n">
        <v>0</v>
      </c>
      <c r="N88" s="1" t="s">
        <v>138</v>
      </c>
      <c r="Z88" s="0" t="n">
        <f aca="false">I88-3</f>
        <v>220.8</v>
      </c>
      <c r="AB88" s="0" t="n">
        <f aca="false">IF(Z88&lt;0,Z88+360,Z88+0)</f>
        <v>220.8</v>
      </c>
    </row>
    <row r="89" customFormat="false" ht="15.8" hidden="false" customHeight="false" outlineLevel="0" collapsed="false">
      <c r="A89" s="1" t="n">
        <v>7</v>
      </c>
      <c r="B89" s="1" t="n">
        <v>4</v>
      </c>
      <c r="C89" s="1" t="n">
        <v>3.3</v>
      </c>
      <c r="D89" s="1" t="n">
        <v>1.1511</v>
      </c>
      <c r="E89" s="1" t="n">
        <v>0.122465</v>
      </c>
      <c r="F89" s="1" t="n">
        <v>0.000371712</v>
      </c>
      <c r="G89" s="1" t="s">
        <v>37</v>
      </c>
      <c r="H89" s="1" t="n">
        <v>32.6</v>
      </c>
      <c r="I89" s="1" t="n">
        <v>202</v>
      </c>
      <c r="J89" s="1" t="n">
        <v>7.3</v>
      </c>
      <c r="K89" s="1" t="n">
        <v>44.4</v>
      </c>
      <c r="L89" s="1" t="n">
        <v>0</v>
      </c>
      <c r="M89" s="1" t="n">
        <v>0</v>
      </c>
      <c r="N89" s="1" t="s">
        <v>137</v>
      </c>
      <c r="Z89" s="0" t="n">
        <f aca="false">I89-3</f>
        <v>199</v>
      </c>
      <c r="AB89" s="0" t="n">
        <f aca="false">IF(Z89&lt;0,Z89+360,Z89+0)</f>
        <v>199</v>
      </c>
    </row>
    <row r="90" customFormat="false" ht="15.8" hidden="false" customHeight="false" outlineLevel="0" collapsed="false">
      <c r="A90" s="1" t="n">
        <v>7</v>
      </c>
      <c r="B90" s="1" t="n">
        <v>3</v>
      </c>
      <c r="C90" s="1" t="n">
        <v>6</v>
      </c>
      <c r="D90" s="1" t="n">
        <v>1.2106</v>
      </c>
      <c r="E90" s="1" t="n">
        <v>0.205271</v>
      </c>
      <c r="F90" s="1" t="n">
        <v>0.000558644</v>
      </c>
      <c r="G90" s="1" t="s">
        <v>37</v>
      </c>
      <c r="H90" s="1" t="n">
        <v>79.7</v>
      </c>
      <c r="I90" s="1" t="n">
        <v>180.5</v>
      </c>
      <c r="J90" s="1" t="n">
        <v>-17.4</v>
      </c>
      <c r="K90" s="1" t="n">
        <v>34.4</v>
      </c>
      <c r="L90" s="1" t="n">
        <v>0</v>
      </c>
      <c r="M90" s="1" t="n">
        <v>0</v>
      </c>
      <c r="N90" s="1" t="s">
        <v>124</v>
      </c>
      <c r="Z90" s="0" t="n">
        <f aca="false">I90-3</f>
        <v>177.5</v>
      </c>
      <c r="AB90" s="0" t="n">
        <f aca="false">IF(Z90&lt;0,Z90+360,Z90+0)</f>
        <v>177.5</v>
      </c>
    </row>
    <row r="91" customFormat="false" ht="15.8" hidden="false" customHeight="false" outlineLevel="0" collapsed="false">
      <c r="A91" s="1" t="n">
        <v>7</v>
      </c>
      <c r="B91" s="1" t="n">
        <v>10</v>
      </c>
      <c r="C91" s="1" t="n">
        <v>3.6</v>
      </c>
      <c r="D91" s="1" t="n">
        <v>1.492</v>
      </c>
      <c r="E91" s="1" t="n">
        <v>0.121416</v>
      </c>
      <c r="F91" s="1" t="n">
        <v>0.000330434</v>
      </c>
      <c r="G91" s="1" t="s">
        <v>27</v>
      </c>
      <c r="H91" s="1" t="n">
        <v>91.2</v>
      </c>
      <c r="I91" s="1" t="n">
        <v>280.9</v>
      </c>
      <c r="J91" s="1" t="n">
        <v>8.9</v>
      </c>
      <c r="K91" s="1"/>
      <c r="L91" s="1" t="n">
        <v>0</v>
      </c>
      <c r="M91" s="1" t="n">
        <v>0</v>
      </c>
      <c r="N91" s="1" t="s">
        <v>146</v>
      </c>
      <c r="Z91" s="0" t="n">
        <f aca="false">I91-3</f>
        <v>277.9</v>
      </c>
      <c r="AB91" s="0" t="n">
        <f aca="false">IF(Z91&lt;0,Z91+360,Z91+0)</f>
        <v>277.9</v>
      </c>
    </row>
    <row r="92" customFormat="false" ht="15.8" hidden="false" customHeight="false" outlineLevel="0" collapsed="false">
      <c r="A92" s="1" t="n">
        <v>7</v>
      </c>
      <c r="B92" s="1" t="n">
        <v>10</v>
      </c>
      <c r="C92" s="1" t="n">
        <v>1.1</v>
      </c>
      <c r="D92" s="1" t="n">
        <v>1.1626</v>
      </c>
      <c r="E92" s="1" t="n">
        <v>0.0373243</v>
      </c>
      <c r="F92" s="1" t="n">
        <v>0.000101578</v>
      </c>
      <c r="G92" s="1" t="s">
        <v>27</v>
      </c>
      <c r="H92" s="1" t="n">
        <v>71.1</v>
      </c>
      <c r="I92" s="1" t="n">
        <v>79.8</v>
      </c>
      <c r="J92" s="1" t="n">
        <v>-23.2</v>
      </c>
      <c r="K92" s="1"/>
      <c r="L92" s="1" t="n">
        <v>0</v>
      </c>
      <c r="M92" s="1" t="n">
        <v>0</v>
      </c>
      <c r="N92" s="1" t="s">
        <v>146</v>
      </c>
      <c r="Z92" s="0" t="n">
        <f aca="false">I92-3</f>
        <v>76.8</v>
      </c>
      <c r="AB92" s="0" t="n">
        <f aca="false">IF(Z92&lt;0,Z92+360,Z92+0)</f>
        <v>76.8</v>
      </c>
    </row>
    <row r="93" customFormat="false" ht="15.8" hidden="false" customHeight="false" outlineLevel="0" collapsed="false">
      <c r="A93" s="1" t="n">
        <v>7</v>
      </c>
      <c r="B93" s="1" t="n">
        <v>10</v>
      </c>
      <c r="C93" s="1" t="n">
        <v>2.8</v>
      </c>
      <c r="D93" s="1" t="n">
        <v>1.3196</v>
      </c>
      <c r="E93" s="1" t="n">
        <v>0.0954653</v>
      </c>
      <c r="F93" s="1" t="n">
        <v>0.000259808</v>
      </c>
      <c r="G93" s="1" t="s">
        <v>27</v>
      </c>
      <c r="H93" s="1" t="n">
        <v>38.6</v>
      </c>
      <c r="I93" s="1" t="n">
        <v>19.4</v>
      </c>
      <c r="J93" s="1" t="n">
        <v>-44.4</v>
      </c>
      <c r="K93" s="1"/>
      <c r="L93" s="1" t="n">
        <v>0</v>
      </c>
      <c r="M93" s="1" t="n">
        <v>0</v>
      </c>
      <c r="N93" s="1" t="s">
        <v>146</v>
      </c>
      <c r="Z93" s="0" t="n">
        <f aca="false">I93-3</f>
        <v>16.4</v>
      </c>
      <c r="AB93" s="0" t="n">
        <f aca="false">IF(Z93&lt;0,Z93+360,Z93+0)</f>
        <v>16.4</v>
      </c>
    </row>
    <row r="94" customFormat="false" ht="15.8" hidden="false" customHeight="false" outlineLevel="0" collapsed="false">
      <c r="A94" s="1" t="n">
        <v>7</v>
      </c>
      <c r="B94" s="1" t="n">
        <v>10</v>
      </c>
      <c r="C94" s="1" t="n">
        <v>1</v>
      </c>
      <c r="D94" s="1" t="n">
        <v>1.0461</v>
      </c>
      <c r="E94" s="1" t="n">
        <v>0.0353579</v>
      </c>
      <c r="F94" s="1" t="n">
        <v>9.62261E-005</v>
      </c>
      <c r="G94" s="1" t="s">
        <v>27</v>
      </c>
      <c r="H94" s="1" t="n">
        <v>92.3</v>
      </c>
      <c r="I94" s="1" t="n">
        <v>229.5</v>
      </c>
      <c r="J94" s="1" t="n">
        <v>0</v>
      </c>
      <c r="K94" s="1"/>
      <c r="L94" s="1" t="n">
        <v>0</v>
      </c>
      <c r="M94" s="1" t="n">
        <v>0</v>
      </c>
      <c r="N94" s="1" t="s">
        <v>146</v>
      </c>
      <c r="Z94" s="0" t="n">
        <f aca="false">I94-3</f>
        <v>226.5</v>
      </c>
      <c r="AB94" s="0" t="n">
        <f aca="false">IF(Z94&lt;0,Z94+360,Z94+0)</f>
        <v>226.5</v>
      </c>
    </row>
    <row r="95" customFormat="false" ht="15.8" hidden="false" customHeight="false" outlineLevel="0" collapsed="false">
      <c r="A95" s="1" t="n">
        <v>7</v>
      </c>
      <c r="B95" s="1" t="n">
        <v>9</v>
      </c>
      <c r="C95" s="1" t="n">
        <v>1.9</v>
      </c>
      <c r="D95" s="1" t="n">
        <v>1.2247</v>
      </c>
      <c r="E95" s="1" t="n">
        <v>0.0633519</v>
      </c>
      <c r="F95" s="1" t="n">
        <v>0.000172412</v>
      </c>
      <c r="G95" s="1" t="s">
        <v>37</v>
      </c>
      <c r="H95" s="1" t="n">
        <v>81.8</v>
      </c>
      <c r="I95" s="1" t="n">
        <v>330.7</v>
      </c>
      <c r="J95" s="1" t="n">
        <v>-78.1</v>
      </c>
      <c r="K95" s="1" t="n">
        <v>92.3</v>
      </c>
      <c r="L95" s="1" t="n">
        <v>0</v>
      </c>
      <c r="M95" s="1" t="n">
        <v>0</v>
      </c>
      <c r="N95" s="1" t="s">
        <v>147</v>
      </c>
      <c r="Z95" s="0" t="n">
        <f aca="false">I95-3</f>
        <v>327.7</v>
      </c>
      <c r="AB95" s="0" t="n">
        <f aca="false">IF(Z95&lt;0,Z95+360,Z95+0)</f>
        <v>327.7</v>
      </c>
    </row>
    <row r="96" customFormat="false" ht="15.8" hidden="false" customHeight="false" outlineLevel="0" collapsed="false">
      <c r="A96" s="1" t="n">
        <v>7</v>
      </c>
      <c r="B96" s="1" t="n">
        <v>9</v>
      </c>
      <c r="C96" s="1" t="n">
        <v>1.3</v>
      </c>
      <c r="D96" s="1" t="n">
        <v>1.1634</v>
      </c>
      <c r="E96" s="1" t="n">
        <v>0.045125</v>
      </c>
      <c r="F96" s="1" t="n">
        <v>0.000122807</v>
      </c>
      <c r="G96" s="1" t="s">
        <v>27</v>
      </c>
      <c r="H96" s="1" t="n">
        <v>101.3</v>
      </c>
      <c r="I96" s="1" t="n">
        <v>119.2</v>
      </c>
      <c r="J96" s="1" t="n">
        <v>19</v>
      </c>
      <c r="K96" s="1"/>
      <c r="L96" s="1" t="n">
        <v>0</v>
      </c>
      <c r="M96" s="1" t="n">
        <v>0</v>
      </c>
      <c r="N96" s="1" t="s">
        <v>147</v>
      </c>
      <c r="Z96" s="0" t="n">
        <f aca="false">I96-3</f>
        <v>116.2</v>
      </c>
      <c r="AB96" s="0" t="n">
        <f aca="false">IF(Z96&lt;0,Z96+360,Z96+0)</f>
        <v>116.2</v>
      </c>
    </row>
    <row r="97" customFormat="false" ht="15.8" hidden="false" customHeight="false" outlineLevel="0" collapsed="false">
      <c r="A97" s="1" t="n">
        <v>7</v>
      </c>
      <c r="B97" s="1" t="n">
        <v>8</v>
      </c>
      <c r="C97" s="1" t="n">
        <v>1.6</v>
      </c>
      <c r="D97" s="1" t="n">
        <v>1.0291</v>
      </c>
      <c r="E97" s="1" t="n">
        <v>0.0545289</v>
      </c>
      <c r="F97" s="1" t="n">
        <v>0.0001484</v>
      </c>
      <c r="G97" s="1" t="s">
        <v>37</v>
      </c>
      <c r="H97" s="1" t="n">
        <v>46.6</v>
      </c>
      <c r="I97" s="1" t="n">
        <v>17.2</v>
      </c>
      <c r="J97" s="1" t="n">
        <v>0</v>
      </c>
      <c r="K97" s="1" t="n">
        <v>101.3</v>
      </c>
      <c r="L97" s="1" t="n">
        <v>0</v>
      </c>
      <c r="M97" s="1" t="n">
        <v>0</v>
      </c>
      <c r="N97" s="1" t="s">
        <v>148</v>
      </c>
      <c r="Z97" s="0" t="n">
        <f aca="false">I97-3</f>
        <v>14.2</v>
      </c>
      <c r="AB97" s="0" t="n">
        <f aca="false">IF(Z97&lt;0,Z97+360,Z97+0)</f>
        <v>14.2</v>
      </c>
    </row>
    <row r="98" customFormat="false" ht="15.8" hidden="false" customHeight="false" outlineLevel="0" collapsed="false">
      <c r="A98" s="1" t="n">
        <v>7</v>
      </c>
      <c r="B98" s="1" t="n">
        <v>8</v>
      </c>
      <c r="C98" s="1" t="n">
        <v>0.8</v>
      </c>
      <c r="D98" s="1" t="n">
        <v>1.0041</v>
      </c>
      <c r="E98" s="1" t="n">
        <v>0.0266902</v>
      </c>
      <c r="F98" s="1" t="n">
        <v>7.26372E-005</v>
      </c>
      <c r="G98" s="1" t="s">
        <v>27</v>
      </c>
      <c r="H98" s="1" t="n">
        <v>23.6</v>
      </c>
      <c r="I98" s="1" t="n">
        <v>307</v>
      </c>
      <c r="J98" s="1" t="n">
        <v>0</v>
      </c>
      <c r="K98" s="1"/>
      <c r="L98" s="1" t="n">
        <v>0</v>
      </c>
      <c r="M98" s="1" t="n">
        <v>0</v>
      </c>
      <c r="N98" s="1" t="s">
        <v>148</v>
      </c>
      <c r="Z98" s="0" t="n">
        <f aca="false">I98-3</f>
        <v>304</v>
      </c>
      <c r="AB98" s="0" t="n">
        <f aca="false">IF(Z98&lt;0,Z98+360,Z98+0)</f>
        <v>304</v>
      </c>
    </row>
    <row r="99" customFormat="false" ht="15.8" hidden="false" customHeight="false" outlineLevel="0" collapsed="false">
      <c r="A99" s="1" t="n">
        <v>7</v>
      </c>
      <c r="B99" s="1" t="n">
        <v>7</v>
      </c>
      <c r="C99" s="1" t="n">
        <v>0.7</v>
      </c>
      <c r="D99" s="1" t="n">
        <v>1.0137</v>
      </c>
      <c r="E99" s="1" t="n">
        <v>0.0238293</v>
      </c>
      <c r="F99" s="1" t="n">
        <v>6.48512E-005</v>
      </c>
      <c r="G99" s="1" t="s">
        <v>37</v>
      </c>
      <c r="H99" s="1" t="n">
        <v>101</v>
      </c>
      <c r="I99" s="1" t="n">
        <v>330.6</v>
      </c>
      <c r="J99" s="1" t="n">
        <v>0</v>
      </c>
      <c r="K99" s="1" t="n">
        <v>46.6</v>
      </c>
      <c r="L99" s="1" t="n">
        <v>0</v>
      </c>
      <c r="M99" s="1" t="n">
        <v>0</v>
      </c>
      <c r="N99" s="1" t="s">
        <v>149</v>
      </c>
      <c r="Z99" s="0" t="n">
        <f aca="false">I99-3</f>
        <v>327.6</v>
      </c>
      <c r="AB99" s="0" t="n">
        <f aca="false">IF(Z99&lt;0,Z99+360,Z99+0)</f>
        <v>327.6</v>
      </c>
    </row>
    <row r="100" customFormat="false" ht="15.8" hidden="false" customHeight="false" outlineLevel="0" collapsed="false">
      <c r="A100" s="1" t="n">
        <v>7</v>
      </c>
      <c r="B100" s="1" t="n">
        <v>11</v>
      </c>
      <c r="C100" s="1" t="n">
        <v>2.7</v>
      </c>
      <c r="D100" s="1" t="n">
        <v>1.1871</v>
      </c>
      <c r="E100" s="1" t="n">
        <v>0.0927657</v>
      </c>
      <c r="F100" s="1" t="n">
        <v>0.000252461</v>
      </c>
      <c r="G100" s="1" t="s">
        <v>27</v>
      </c>
      <c r="H100" s="1" t="n">
        <v>63.7</v>
      </c>
      <c r="I100" s="1" t="n">
        <v>235.7</v>
      </c>
      <c r="J100" s="1" t="n">
        <v>18.9</v>
      </c>
      <c r="K100" s="1"/>
      <c r="L100" s="1" t="n">
        <v>0</v>
      </c>
      <c r="M100" s="1" t="n">
        <v>0</v>
      </c>
      <c r="N100" s="1" t="s">
        <v>150</v>
      </c>
      <c r="Z100" s="0" t="n">
        <f aca="false">I100-3</f>
        <v>232.7</v>
      </c>
      <c r="AB100" s="0" t="n">
        <f aca="false">IF(Z100&lt;0,Z100+360,Z100+0)</f>
        <v>232.7</v>
      </c>
    </row>
    <row r="101" customFormat="false" ht="15.8" hidden="false" customHeight="false" outlineLevel="0" collapsed="false">
      <c r="A101" s="1" t="n">
        <v>7</v>
      </c>
      <c r="B101" s="1" t="n">
        <v>11</v>
      </c>
      <c r="C101" s="1" t="n">
        <v>3.5</v>
      </c>
      <c r="D101" s="1" t="n">
        <v>1.9921</v>
      </c>
      <c r="E101" s="1" t="n">
        <v>0.118757</v>
      </c>
      <c r="F101" s="1" t="n">
        <v>0.000323197</v>
      </c>
      <c r="G101" s="1" t="s">
        <v>27</v>
      </c>
      <c r="H101" s="1" t="n">
        <v>42.6</v>
      </c>
      <c r="I101" s="1" t="n">
        <v>147.1</v>
      </c>
      <c r="J101" s="1" t="n">
        <v>-58.1</v>
      </c>
      <c r="K101" s="1"/>
      <c r="L101" s="1" t="n">
        <v>0</v>
      </c>
      <c r="M101" s="1" t="n">
        <v>0</v>
      </c>
      <c r="N101" s="1" t="s">
        <v>150</v>
      </c>
      <c r="Z101" s="0" t="n">
        <f aca="false">I101-3</f>
        <v>144.1</v>
      </c>
      <c r="AB101" s="0" t="n">
        <f aca="false">IF(Z101&lt;0,Z101+360,Z101+0)</f>
        <v>144.1</v>
      </c>
    </row>
    <row r="102" customFormat="false" ht="15.8" hidden="false" customHeight="false" outlineLevel="0" collapsed="false">
      <c r="A102" s="1" t="n">
        <v>7</v>
      </c>
      <c r="B102" s="1" t="n">
        <v>10</v>
      </c>
      <c r="C102" s="1" t="n">
        <v>1.4</v>
      </c>
      <c r="D102" s="1" t="n">
        <v>1.1829</v>
      </c>
      <c r="E102" s="1" t="n">
        <v>0.0471674</v>
      </c>
      <c r="F102" s="1" t="n">
        <v>0.000128366</v>
      </c>
      <c r="G102" s="1" t="s">
        <v>37</v>
      </c>
      <c r="H102" s="1" t="n">
        <v>27</v>
      </c>
      <c r="I102" s="1" t="n">
        <v>208.1</v>
      </c>
      <c r="J102" s="1" t="n">
        <v>-39.4</v>
      </c>
      <c r="K102" s="1" t="n">
        <v>63.7</v>
      </c>
      <c r="L102" s="1" t="n">
        <v>0</v>
      </c>
      <c r="M102" s="1" t="n">
        <v>0</v>
      </c>
      <c r="N102" s="1" t="s">
        <v>151</v>
      </c>
      <c r="Z102" s="0" t="n">
        <f aca="false">I102-3</f>
        <v>205.1</v>
      </c>
      <c r="AB102" s="0" t="n">
        <f aca="false">IF(Z102&lt;0,Z102+360,Z102+0)</f>
        <v>205.1</v>
      </c>
    </row>
    <row r="103" customFormat="false" ht="15.8" hidden="false" customHeight="false" outlineLevel="0" collapsed="false">
      <c r="A103" s="1" t="n">
        <v>7</v>
      </c>
      <c r="B103" s="1" t="n">
        <v>10</v>
      </c>
      <c r="C103" s="1" t="n">
        <v>2.6</v>
      </c>
      <c r="D103" s="1" t="n">
        <v>1.1438</v>
      </c>
      <c r="E103" s="1" t="n">
        <v>0.0901879</v>
      </c>
      <c r="F103" s="1" t="n">
        <v>0.000245446</v>
      </c>
      <c r="G103" s="1" t="s">
        <v>27</v>
      </c>
      <c r="H103" s="1" t="n">
        <v>124.5</v>
      </c>
      <c r="I103" s="1" t="n">
        <v>328.9</v>
      </c>
      <c r="J103" s="1" t="n">
        <v>-9.2</v>
      </c>
      <c r="K103" s="1"/>
      <c r="L103" s="1" t="n">
        <v>0</v>
      </c>
      <c r="M103" s="1" t="n">
        <v>0</v>
      </c>
      <c r="N103" s="1" t="s">
        <v>151</v>
      </c>
      <c r="Z103" s="0" t="n">
        <f aca="false">I103-3</f>
        <v>325.9</v>
      </c>
      <c r="AB103" s="0" t="n">
        <f aca="false">IF(Z103&lt;0,Z103+360,Z103+0)</f>
        <v>325.9</v>
      </c>
    </row>
    <row r="104" customFormat="false" ht="15.8" hidden="false" customHeight="false" outlineLevel="0" collapsed="false">
      <c r="A104" s="1" t="n">
        <v>7</v>
      </c>
      <c r="B104" s="1" t="n">
        <v>9</v>
      </c>
      <c r="C104" s="1" t="n">
        <v>3.7</v>
      </c>
      <c r="D104" s="1" t="n">
        <v>1.3289</v>
      </c>
      <c r="E104" s="1" t="n">
        <v>0.12599</v>
      </c>
      <c r="F104" s="1" t="n">
        <v>0.000342882</v>
      </c>
      <c r="G104" s="1" t="s">
        <v>37</v>
      </c>
      <c r="H104" s="1" t="n">
        <v>49.8</v>
      </c>
      <c r="I104" s="1" t="n">
        <v>172.4</v>
      </c>
      <c r="J104" s="1" t="n">
        <v>-41.9</v>
      </c>
      <c r="K104" s="1" t="n">
        <v>124.5</v>
      </c>
      <c r="L104" s="1" t="n">
        <v>0</v>
      </c>
      <c r="M104" s="1" t="n">
        <v>0</v>
      </c>
      <c r="N104" s="1" t="s">
        <v>152</v>
      </c>
      <c r="Z104" s="0" t="n">
        <f aca="false">I104-3</f>
        <v>169.4</v>
      </c>
      <c r="AB104" s="0" t="n">
        <f aca="false">IF(Z104&lt;0,Z104+360,Z104+0)</f>
        <v>169.4</v>
      </c>
    </row>
    <row r="105" customFormat="false" ht="15.8" hidden="false" customHeight="false" outlineLevel="0" collapsed="false">
      <c r="A105" s="1" t="n">
        <v>7</v>
      </c>
      <c r="B105" s="1" t="n">
        <v>9</v>
      </c>
      <c r="C105" s="1" t="n">
        <v>1.8</v>
      </c>
      <c r="D105" s="1" t="n">
        <v>1.2786</v>
      </c>
      <c r="E105" s="1" t="n">
        <v>0.0626641</v>
      </c>
      <c r="F105" s="1" t="n">
        <v>0.00017054</v>
      </c>
      <c r="G105" s="1" t="s">
        <v>27</v>
      </c>
      <c r="H105" s="1" t="n">
        <v>40.4</v>
      </c>
      <c r="I105" s="1" t="n">
        <v>335.9</v>
      </c>
      <c r="J105" s="1" t="n">
        <v>-50.8</v>
      </c>
      <c r="K105" s="1"/>
      <c r="L105" s="1" t="n">
        <v>0</v>
      </c>
      <c r="M105" s="1" t="n">
        <v>0</v>
      </c>
      <c r="N105" s="1" t="s">
        <v>152</v>
      </c>
      <c r="Z105" s="0" t="n">
        <f aca="false">I105-3</f>
        <v>332.9</v>
      </c>
      <c r="AB105" s="0" t="n">
        <f aca="false">IF(Z105&lt;0,Z105+360,Z105+0)</f>
        <v>332.9</v>
      </c>
    </row>
    <row r="106" customFormat="false" ht="15.8" hidden="false" customHeight="false" outlineLevel="0" collapsed="false">
      <c r="A106" s="1" t="n">
        <v>7</v>
      </c>
      <c r="B106" s="1" t="n">
        <v>8</v>
      </c>
      <c r="C106" s="1" t="n">
        <v>2.1</v>
      </c>
      <c r="D106" s="1" t="n">
        <v>1.0622</v>
      </c>
      <c r="E106" s="1" t="n">
        <v>0.0726604</v>
      </c>
      <c r="F106" s="1" t="n">
        <v>0.000197745</v>
      </c>
      <c r="G106" s="1" t="s">
        <v>37</v>
      </c>
      <c r="H106" s="1" t="n">
        <v>59.2</v>
      </c>
      <c r="I106" s="1" t="n">
        <v>256.8</v>
      </c>
      <c r="J106" s="1" t="n">
        <v>-67.7</v>
      </c>
      <c r="K106" s="1" t="n">
        <v>49.8</v>
      </c>
      <c r="L106" s="1" t="n">
        <v>0</v>
      </c>
      <c r="M106" s="1" t="n">
        <v>0</v>
      </c>
      <c r="N106" s="1" t="s">
        <v>153</v>
      </c>
      <c r="Z106" s="0" t="n">
        <f aca="false">I106-3</f>
        <v>253.8</v>
      </c>
      <c r="AB106" s="0" t="n">
        <f aca="false">IF(Z106&lt;0,Z106+360,Z106+0)</f>
        <v>253.8</v>
      </c>
    </row>
    <row r="107" customFormat="false" ht="15.8" hidden="false" customHeight="false" outlineLevel="0" collapsed="false">
      <c r="A107" s="1" t="n">
        <v>7</v>
      </c>
      <c r="B107" s="1" t="n">
        <v>8</v>
      </c>
      <c r="C107" s="1" t="n">
        <v>1</v>
      </c>
      <c r="D107" s="1" t="n">
        <v>1.1527</v>
      </c>
      <c r="E107" s="1" t="n">
        <v>0.0326255</v>
      </c>
      <c r="F107" s="1" t="n">
        <v>8.879E-005</v>
      </c>
      <c r="G107" s="1" t="s">
        <v>27</v>
      </c>
      <c r="H107" s="1" t="n">
        <v>14.7</v>
      </c>
      <c r="I107" s="1" t="n">
        <v>144</v>
      </c>
      <c r="J107" s="1" t="n">
        <v>-26.6</v>
      </c>
      <c r="K107" s="1"/>
      <c r="L107" s="1" t="n">
        <v>0</v>
      </c>
      <c r="M107" s="1" t="n">
        <v>0</v>
      </c>
      <c r="N107" s="1" t="s">
        <v>153</v>
      </c>
      <c r="Z107" s="0" t="n">
        <f aca="false">I107-3</f>
        <v>141</v>
      </c>
      <c r="AB107" s="0" t="n">
        <f aca="false">IF(Z107&lt;0,Z107+360,Z107+0)</f>
        <v>141</v>
      </c>
    </row>
    <row r="108" customFormat="false" ht="15.8" hidden="false" customHeight="false" outlineLevel="0" collapsed="false">
      <c r="A108" s="1" t="n">
        <v>7</v>
      </c>
      <c r="B108" s="1" t="n">
        <v>7</v>
      </c>
      <c r="C108" s="1" t="n">
        <v>0.7</v>
      </c>
      <c r="D108" s="1" t="n">
        <v>1.2051</v>
      </c>
      <c r="E108" s="1" t="n">
        <v>0.0232484</v>
      </c>
      <c r="F108" s="1" t="n">
        <v>6.32704E-005</v>
      </c>
      <c r="G108" s="1" t="s">
        <v>37</v>
      </c>
      <c r="H108" s="1" t="n">
        <v>37.9</v>
      </c>
      <c r="I108" s="1" t="n">
        <v>147.5</v>
      </c>
      <c r="J108" s="1" t="n">
        <v>-41</v>
      </c>
      <c r="K108" s="1" t="n">
        <v>59.2</v>
      </c>
      <c r="L108" s="1" t="n">
        <v>0</v>
      </c>
      <c r="M108" s="1" t="n">
        <v>0</v>
      </c>
      <c r="N108" s="1" t="s">
        <v>149</v>
      </c>
      <c r="Z108" s="0" t="n">
        <f aca="false">I108-3</f>
        <v>144.5</v>
      </c>
      <c r="AB108" s="0" t="n">
        <f aca="false">IF(Z108&lt;0,Z108+360,Z108+0)</f>
        <v>144.5</v>
      </c>
    </row>
    <row r="109" customFormat="false" ht="15.8" hidden="false" customHeight="false" outlineLevel="0" collapsed="false">
      <c r="A109" s="1" t="n">
        <v>7</v>
      </c>
      <c r="B109" s="1" t="n">
        <v>6</v>
      </c>
      <c r="C109" s="1" t="n">
        <v>12.3</v>
      </c>
      <c r="D109" s="1" t="n">
        <v>1.358</v>
      </c>
      <c r="E109" s="1" t="n">
        <v>0.420682</v>
      </c>
      <c r="F109" s="1" t="n">
        <v>0.00114488</v>
      </c>
      <c r="G109" s="1" t="s">
        <v>37</v>
      </c>
      <c r="H109" s="1" t="n">
        <v>68.7</v>
      </c>
      <c r="I109" s="1" t="n">
        <v>136.5</v>
      </c>
      <c r="J109" s="1" t="n">
        <v>-78.6</v>
      </c>
      <c r="K109" s="1" t="n">
        <v>101</v>
      </c>
      <c r="L109" s="1" t="n">
        <v>0</v>
      </c>
      <c r="M109" s="1" t="n">
        <v>0</v>
      </c>
      <c r="N109" s="1" t="s">
        <v>154</v>
      </c>
      <c r="Z109" s="0" t="n">
        <f aca="false">I109-3</f>
        <v>133.5</v>
      </c>
      <c r="AB109" s="0" t="n">
        <f aca="false">IF(Z109&lt;0,Z109+360,Z109+0)</f>
        <v>133.5</v>
      </c>
    </row>
    <row r="110" customFormat="false" ht="15.8" hidden="false" customHeight="false" outlineLevel="0" collapsed="false">
      <c r="A110" s="1" t="n">
        <v>7</v>
      </c>
      <c r="B110" s="1" t="n">
        <v>7</v>
      </c>
      <c r="C110" s="1" t="n">
        <v>7.3</v>
      </c>
      <c r="D110" s="1" t="n">
        <v>1.2003</v>
      </c>
      <c r="E110" s="1" t="n">
        <v>0.249094</v>
      </c>
      <c r="F110" s="1" t="n">
        <v>0.000677906</v>
      </c>
      <c r="G110" s="1" t="s">
        <v>27</v>
      </c>
      <c r="H110" s="1" t="n">
        <v>30.8</v>
      </c>
      <c r="I110" s="1" t="n">
        <v>8.6</v>
      </c>
      <c r="J110" s="1" t="n">
        <v>7</v>
      </c>
      <c r="K110" s="1"/>
      <c r="L110" s="1" t="n">
        <v>0</v>
      </c>
      <c r="M110" s="1" t="n">
        <v>0</v>
      </c>
      <c r="N110" s="1" t="s">
        <v>155</v>
      </c>
      <c r="Z110" s="0" t="n">
        <f aca="false">I110-3</f>
        <v>5.6</v>
      </c>
      <c r="AB110" s="0" t="n">
        <f aca="false">IF(Z110&lt;0,Z110+360,Z110+0)</f>
        <v>5.6</v>
      </c>
    </row>
    <row r="111" customFormat="false" ht="15.8" hidden="false" customHeight="false" outlineLevel="0" collapsed="false">
      <c r="A111" s="1" t="n">
        <v>7</v>
      </c>
      <c r="B111" s="1" t="n">
        <v>7</v>
      </c>
      <c r="C111" s="1" t="n">
        <v>1.8</v>
      </c>
      <c r="D111" s="1" t="n">
        <v>1.0227</v>
      </c>
      <c r="E111" s="1" t="n">
        <v>0.0629988</v>
      </c>
      <c r="F111" s="1" t="n">
        <v>0.000171451</v>
      </c>
      <c r="G111" s="1" t="s">
        <v>27</v>
      </c>
      <c r="H111" s="1" t="n">
        <v>40.3</v>
      </c>
      <c r="I111" s="1" t="n">
        <v>315.5</v>
      </c>
      <c r="J111" s="1" t="n">
        <v>0</v>
      </c>
      <c r="K111" s="1"/>
      <c r="L111" s="1" t="n">
        <v>0</v>
      </c>
      <c r="M111" s="1" t="n">
        <v>0</v>
      </c>
      <c r="N111" s="1" t="s">
        <v>155</v>
      </c>
      <c r="Z111" s="0" t="n">
        <f aca="false">I111-3</f>
        <v>312.5</v>
      </c>
      <c r="AB111" s="0" t="n">
        <f aca="false">IF(Z111&lt;0,Z111+360,Z111+0)</f>
        <v>312.5</v>
      </c>
    </row>
    <row r="112" customFormat="false" ht="15.8" hidden="false" customHeight="false" outlineLevel="0" collapsed="false">
      <c r="A112" s="1" t="n">
        <v>7</v>
      </c>
      <c r="B112" s="1" t="n">
        <v>7</v>
      </c>
      <c r="C112" s="1" t="n">
        <v>1.4</v>
      </c>
      <c r="D112" s="1" t="n">
        <v>1.0112</v>
      </c>
      <c r="E112" s="1" t="n">
        <v>0.0474717</v>
      </c>
      <c r="F112" s="1" t="n">
        <v>0.000129194</v>
      </c>
      <c r="G112" s="1" t="s">
        <v>27</v>
      </c>
      <c r="H112" s="1" t="n">
        <v>131.5</v>
      </c>
      <c r="I112" s="1" t="n">
        <v>206.4</v>
      </c>
      <c r="J112" s="1" t="n">
        <v>0</v>
      </c>
      <c r="K112" s="1"/>
      <c r="L112" s="1" t="n">
        <v>0</v>
      </c>
      <c r="M112" s="1" t="n">
        <v>0</v>
      </c>
      <c r="N112" s="1" t="s">
        <v>155</v>
      </c>
      <c r="Z112" s="0" t="n">
        <f aca="false">I112-3</f>
        <v>203.4</v>
      </c>
      <c r="AB112" s="0" t="n">
        <f aca="false">IF(Z112&lt;0,Z112+360,Z112+0)</f>
        <v>203.4</v>
      </c>
    </row>
    <row r="113" customFormat="false" ht="15.8" hidden="false" customHeight="false" outlineLevel="0" collapsed="false">
      <c r="A113" s="1" t="n">
        <v>7</v>
      </c>
      <c r="B113" s="1" t="n">
        <v>6</v>
      </c>
      <c r="C113" s="1" t="n">
        <v>2.7</v>
      </c>
      <c r="D113" s="1" t="n">
        <v>1.1516</v>
      </c>
      <c r="E113" s="1" t="n">
        <v>0.091687</v>
      </c>
      <c r="F113" s="1" t="n">
        <v>0.000249526</v>
      </c>
      <c r="G113" s="1" t="s">
        <v>37</v>
      </c>
      <c r="H113" s="1" t="n">
        <v>61.8</v>
      </c>
      <c r="I113" s="1" t="n">
        <v>345.2</v>
      </c>
      <c r="J113" s="1" t="n">
        <v>28.5</v>
      </c>
      <c r="K113" s="1" t="n">
        <v>131.5</v>
      </c>
      <c r="L113" s="1" t="n">
        <v>0</v>
      </c>
      <c r="M113" s="1" t="n">
        <v>0</v>
      </c>
      <c r="N113" s="1" t="s">
        <v>154</v>
      </c>
      <c r="Z113" s="0" t="n">
        <f aca="false">I113-3</f>
        <v>342.2</v>
      </c>
      <c r="AB113" s="0" t="n">
        <f aca="false">IF(Z113&lt;0,Z113+360,Z113+0)</f>
        <v>342.2</v>
      </c>
    </row>
    <row r="114" customFormat="false" ht="15.8" hidden="false" customHeight="false" outlineLevel="0" collapsed="false">
      <c r="A114" s="1" t="n">
        <v>7</v>
      </c>
      <c r="B114" s="1" t="n">
        <v>5</v>
      </c>
      <c r="C114" s="1" t="n">
        <v>0.9</v>
      </c>
      <c r="D114" s="1" t="n">
        <v>1.1997</v>
      </c>
      <c r="E114" s="1" t="n">
        <v>0.0320833</v>
      </c>
      <c r="F114" s="1" t="n">
        <v>8.73144E-005</v>
      </c>
      <c r="G114" s="1" t="s">
        <v>37</v>
      </c>
      <c r="H114" s="1" t="n">
        <v>30</v>
      </c>
      <c r="I114" s="1" t="n">
        <v>10.8</v>
      </c>
      <c r="J114" s="1" t="n">
        <v>-28.2</v>
      </c>
      <c r="K114" s="1" t="n">
        <v>68.7</v>
      </c>
      <c r="L114" s="1" t="n">
        <v>0</v>
      </c>
      <c r="M114" s="1" t="n">
        <v>0</v>
      </c>
      <c r="N114" s="1" t="s">
        <v>156</v>
      </c>
      <c r="Z114" s="0" t="n">
        <f aca="false">I114-3</f>
        <v>7.8</v>
      </c>
      <c r="AB114" s="0" t="n">
        <f aca="false">IF(Z114&lt;0,Z114+360,Z114+0)</f>
        <v>7.8</v>
      </c>
    </row>
    <row r="115" customFormat="false" ht="15.8" hidden="false" customHeight="false" outlineLevel="0" collapsed="false">
      <c r="A115" s="1" t="n">
        <v>7</v>
      </c>
      <c r="B115" s="1" t="n">
        <v>5</v>
      </c>
      <c r="C115" s="1" t="n">
        <v>9.4</v>
      </c>
      <c r="D115" s="1" t="n">
        <v>1.2642</v>
      </c>
      <c r="E115" s="1" t="n">
        <v>0.231506</v>
      </c>
      <c r="F115" s="1" t="n">
        <v>0.000502537</v>
      </c>
      <c r="G115" s="1" t="s">
        <v>27</v>
      </c>
      <c r="H115" s="1" t="n">
        <v>91.2</v>
      </c>
      <c r="I115" s="1" t="n">
        <v>175.4</v>
      </c>
      <c r="J115" s="1" t="n">
        <v>-29.8</v>
      </c>
      <c r="K115" s="1"/>
      <c r="L115" s="1" t="n">
        <v>0</v>
      </c>
      <c r="M115" s="1" t="n">
        <v>0</v>
      </c>
      <c r="N115" s="1" t="s">
        <v>156</v>
      </c>
      <c r="Z115" s="0" t="n">
        <f aca="false">I115-3</f>
        <v>172.4</v>
      </c>
      <c r="AB115" s="0" t="n">
        <f aca="false">IF(Z115&lt;0,Z115+360,Z115+0)</f>
        <v>172.4</v>
      </c>
    </row>
    <row r="116" customFormat="false" ht="15.8" hidden="false" customHeight="false" outlineLevel="0" collapsed="false">
      <c r="A116" s="1" t="n">
        <v>7</v>
      </c>
      <c r="B116" s="1" t="n">
        <v>4</v>
      </c>
      <c r="C116" s="1" t="n">
        <v>4.1</v>
      </c>
      <c r="D116" s="1" t="n">
        <v>1.5606</v>
      </c>
      <c r="E116" s="1" t="n">
        <v>0.139413</v>
      </c>
      <c r="F116" s="1" t="n">
        <v>0.000379411</v>
      </c>
      <c r="G116" s="1" t="s">
        <v>37</v>
      </c>
      <c r="H116" s="1" t="n">
        <v>58.2</v>
      </c>
      <c r="I116" s="1" t="n">
        <v>9.2</v>
      </c>
      <c r="J116" s="1" t="n">
        <v>-58.2</v>
      </c>
      <c r="K116" s="1" t="n">
        <v>91.2</v>
      </c>
      <c r="L116" s="1" t="n">
        <v>0</v>
      </c>
      <c r="M116" s="1" t="n">
        <v>0</v>
      </c>
      <c r="N116" s="1" t="s">
        <v>157</v>
      </c>
      <c r="Z116" s="0" t="n">
        <f aca="false">I116-3</f>
        <v>6.2</v>
      </c>
      <c r="AB116" s="0" t="n">
        <f aca="false">IF(Z116&lt;0,Z116+360,Z116+0)</f>
        <v>6.2</v>
      </c>
    </row>
    <row r="117" customFormat="false" ht="15.8" hidden="false" customHeight="false" outlineLevel="0" collapsed="false">
      <c r="A117" s="1" t="n">
        <v>7</v>
      </c>
      <c r="B117" s="1" t="n">
        <v>5</v>
      </c>
      <c r="C117" s="1" t="n">
        <v>2</v>
      </c>
      <c r="D117" s="1" t="n">
        <v>1.1777</v>
      </c>
      <c r="E117" s="1" t="n">
        <v>0.0675178</v>
      </c>
      <c r="F117" s="1" t="n">
        <v>0.000183749</v>
      </c>
      <c r="G117" s="1" t="s">
        <v>27</v>
      </c>
      <c r="H117" s="1" t="n">
        <v>135.6</v>
      </c>
      <c r="I117" s="1" t="n">
        <v>177.1</v>
      </c>
      <c r="J117" s="1" t="n">
        <v>-26.2</v>
      </c>
      <c r="K117" s="1"/>
      <c r="L117" s="1" t="n">
        <v>0</v>
      </c>
      <c r="M117" s="1" t="n">
        <v>0</v>
      </c>
      <c r="N117" s="1" t="s">
        <v>158</v>
      </c>
      <c r="Z117" s="0" t="n">
        <f aca="false">I117-3</f>
        <v>174.1</v>
      </c>
      <c r="AB117" s="0" t="n">
        <f aca="false">IF(Z117&lt;0,Z117+360,Z117+0)</f>
        <v>174.1</v>
      </c>
    </row>
    <row r="118" customFormat="false" ht="15.8" hidden="false" customHeight="false" outlineLevel="0" collapsed="false">
      <c r="A118" s="1" t="n">
        <v>7</v>
      </c>
      <c r="B118" s="1" t="n">
        <v>13</v>
      </c>
      <c r="C118" s="1" t="n">
        <v>1.4</v>
      </c>
      <c r="D118" s="1" t="n">
        <v>1.0917</v>
      </c>
      <c r="E118" s="1" t="n">
        <v>0.0464935</v>
      </c>
      <c r="F118" s="1" t="n">
        <v>0.000126532</v>
      </c>
      <c r="G118" s="1" t="s">
        <v>27</v>
      </c>
      <c r="H118" s="1" t="n">
        <v>73.4</v>
      </c>
      <c r="I118" s="1" t="n">
        <v>337.9</v>
      </c>
      <c r="J118" s="1" t="n">
        <v>0</v>
      </c>
      <c r="K118" s="1"/>
      <c r="L118" s="1" t="n">
        <v>0</v>
      </c>
      <c r="M118" s="1" t="n">
        <v>0</v>
      </c>
      <c r="N118" s="1" t="s">
        <v>159</v>
      </c>
      <c r="Z118" s="0" t="n">
        <f aca="false">I118-3</f>
        <v>334.9</v>
      </c>
      <c r="AB118" s="0" t="n">
        <f aca="false">IF(Z118&lt;0,Z118+360,Z118+0)</f>
        <v>334.9</v>
      </c>
    </row>
    <row r="119" customFormat="false" ht="15.8" hidden="false" customHeight="false" outlineLevel="0" collapsed="false">
      <c r="A119" s="1" t="n">
        <v>7</v>
      </c>
      <c r="B119" s="1" t="n">
        <v>13</v>
      </c>
      <c r="C119" s="1" t="n">
        <v>1.9</v>
      </c>
      <c r="D119" s="1" t="n">
        <v>1.3185</v>
      </c>
      <c r="E119" s="1" t="n">
        <v>0.0633502</v>
      </c>
      <c r="F119" s="1" t="n">
        <v>0.000172407</v>
      </c>
      <c r="G119" s="1" t="s">
        <v>27</v>
      </c>
      <c r="H119" s="1" t="n">
        <v>42.6</v>
      </c>
      <c r="I119" s="1" t="n">
        <v>271.8</v>
      </c>
      <c r="J119" s="1" t="n">
        <v>0</v>
      </c>
      <c r="K119" s="1"/>
      <c r="L119" s="1" t="n">
        <v>0</v>
      </c>
      <c r="M119" s="1" t="n">
        <v>0</v>
      </c>
      <c r="N119" s="1" t="s">
        <v>159</v>
      </c>
      <c r="Z119" s="0" t="n">
        <f aca="false">I119-3</f>
        <v>268.8</v>
      </c>
      <c r="AB119" s="0" t="n">
        <f aca="false">IF(Z119&lt;0,Z119+360,Z119+0)</f>
        <v>268.8</v>
      </c>
    </row>
    <row r="120" customFormat="false" ht="15.8" hidden="false" customHeight="false" outlineLevel="0" collapsed="false">
      <c r="A120" s="1" t="n">
        <v>7</v>
      </c>
      <c r="B120" s="1" t="n">
        <v>14</v>
      </c>
      <c r="C120" s="1" t="n">
        <v>1.1</v>
      </c>
      <c r="D120" s="1" t="n">
        <v>1.004</v>
      </c>
      <c r="E120" s="1" t="n">
        <v>0.0364476</v>
      </c>
      <c r="F120" s="1" t="n">
        <v>9.91919E-005</v>
      </c>
      <c r="G120" s="1" t="s">
        <v>27</v>
      </c>
      <c r="H120" s="1" t="n">
        <v>88.2</v>
      </c>
      <c r="I120" s="1" t="n">
        <v>264.1</v>
      </c>
      <c r="J120" s="1" t="n">
        <v>0</v>
      </c>
      <c r="K120" s="1"/>
      <c r="L120" s="1" t="n">
        <v>0</v>
      </c>
      <c r="M120" s="1" t="n">
        <v>0</v>
      </c>
      <c r="N120" s="1" t="s">
        <v>160</v>
      </c>
      <c r="Z120" s="0" t="n">
        <f aca="false">I120-3</f>
        <v>261.1</v>
      </c>
      <c r="AB120" s="0" t="n">
        <f aca="false">IF(Z120&lt;0,Z120+360,Z120+0)</f>
        <v>261.1</v>
      </c>
    </row>
    <row r="121" customFormat="false" ht="15.8" hidden="false" customHeight="false" outlineLevel="0" collapsed="false">
      <c r="A121" s="1" t="n">
        <v>7</v>
      </c>
      <c r="B121" s="1" t="n">
        <v>14</v>
      </c>
      <c r="C121" s="1" t="n">
        <v>3.3</v>
      </c>
      <c r="D121" s="1" t="n">
        <v>1.1822</v>
      </c>
      <c r="E121" s="1" t="n">
        <v>0.111207</v>
      </c>
      <c r="F121" s="1" t="n">
        <v>0.000302649</v>
      </c>
      <c r="G121" s="1" t="s">
        <v>27</v>
      </c>
      <c r="H121" s="1" t="n">
        <v>18.3</v>
      </c>
      <c r="I121" s="1" t="n">
        <v>9.4</v>
      </c>
      <c r="J121" s="1" t="n">
        <v>-7.7</v>
      </c>
      <c r="K121" s="1"/>
      <c r="L121" s="1" t="n">
        <v>0</v>
      </c>
      <c r="M121" s="1" t="n">
        <v>0</v>
      </c>
      <c r="N121" s="1" t="s">
        <v>160</v>
      </c>
      <c r="Z121" s="0" t="n">
        <f aca="false">I121-3</f>
        <v>6.4</v>
      </c>
      <c r="AB121" s="0" t="n">
        <f aca="false">IF(Z121&lt;0,Z121+360,Z121+0)</f>
        <v>6.4</v>
      </c>
    </row>
    <row r="122" customFormat="false" ht="15.8" hidden="false" customHeight="false" outlineLevel="0" collapsed="false">
      <c r="A122" s="1" t="n">
        <v>7</v>
      </c>
      <c r="B122" s="1" t="n">
        <v>13</v>
      </c>
      <c r="C122" s="1" t="n">
        <v>5.1</v>
      </c>
      <c r="D122" s="1" t="n">
        <v>1.8075</v>
      </c>
      <c r="E122" s="1" t="n">
        <v>0.175321</v>
      </c>
      <c r="F122" s="1" t="n">
        <v>0.000477135</v>
      </c>
      <c r="G122" s="1" t="s">
        <v>37</v>
      </c>
      <c r="H122" s="1" t="n">
        <v>73.6</v>
      </c>
      <c r="I122" s="1" t="n">
        <v>352.3</v>
      </c>
      <c r="J122" s="1" t="n">
        <v>-15.1</v>
      </c>
      <c r="K122" s="1" t="n">
        <v>88.2</v>
      </c>
      <c r="L122" s="1" t="n">
        <v>0</v>
      </c>
      <c r="M122" s="1" t="n">
        <v>0</v>
      </c>
      <c r="N122" s="1" t="s">
        <v>159</v>
      </c>
      <c r="Z122" s="0" t="n">
        <f aca="false">I122-3</f>
        <v>349.3</v>
      </c>
      <c r="AB122" s="0" t="n">
        <f aca="false">IF(Z122&lt;0,Z122+360,Z122+0)</f>
        <v>349.3</v>
      </c>
    </row>
    <row r="123" customFormat="false" ht="15.8" hidden="false" customHeight="false" outlineLevel="0" collapsed="false">
      <c r="A123" s="1" t="n">
        <v>7</v>
      </c>
      <c r="B123" s="1" t="n">
        <v>12</v>
      </c>
      <c r="C123" s="1" t="n">
        <v>1.3</v>
      </c>
      <c r="D123" s="1" t="n">
        <v>1.1544</v>
      </c>
      <c r="E123" s="1" t="n">
        <v>0.0431881</v>
      </c>
      <c r="F123" s="1" t="n">
        <v>0.000117536</v>
      </c>
      <c r="G123" s="1" t="s">
        <v>37</v>
      </c>
      <c r="H123" s="1" t="n">
        <v>84.6</v>
      </c>
      <c r="I123" s="1" t="n">
        <v>270.8</v>
      </c>
      <c r="J123" s="1" t="n">
        <v>-42.6</v>
      </c>
      <c r="K123" s="1" t="n">
        <v>73.6</v>
      </c>
      <c r="L123" s="1" t="n">
        <v>0</v>
      </c>
      <c r="M123" s="1" t="n">
        <v>0</v>
      </c>
      <c r="N123" s="1" t="s">
        <v>161</v>
      </c>
      <c r="Z123" s="0" t="n">
        <f aca="false">I123-3</f>
        <v>267.8</v>
      </c>
      <c r="AB123" s="0" t="n">
        <f aca="false">IF(Z123&lt;0,Z123+360,Z123+0)</f>
        <v>267.8</v>
      </c>
    </row>
    <row r="124" customFormat="false" ht="15.8" hidden="false" customHeight="false" outlineLevel="0" collapsed="false">
      <c r="A124" s="1" t="n">
        <v>7</v>
      </c>
      <c r="B124" s="1" t="n">
        <v>12</v>
      </c>
      <c r="C124" s="1" t="n">
        <v>1</v>
      </c>
      <c r="D124" s="1" t="n">
        <v>1.1048</v>
      </c>
      <c r="E124" s="1" t="n">
        <v>0.0344023</v>
      </c>
      <c r="F124" s="1" t="n">
        <v>9.36255E-005</v>
      </c>
      <c r="G124" s="1" t="s">
        <v>27</v>
      </c>
      <c r="H124" s="1" t="n">
        <v>21.4</v>
      </c>
      <c r="I124" s="1" t="n">
        <v>6</v>
      </c>
      <c r="J124" s="1" t="n">
        <v>-24</v>
      </c>
      <c r="K124" s="1"/>
      <c r="L124" s="1" t="n">
        <v>0</v>
      </c>
      <c r="M124" s="1" t="n">
        <v>0</v>
      </c>
      <c r="N124" s="1" t="s">
        <v>161</v>
      </c>
      <c r="Z124" s="0" t="n">
        <f aca="false">I124-3</f>
        <v>3</v>
      </c>
      <c r="AB124" s="0" t="n">
        <f aca="false">IF(Z124&lt;0,Z124+360,Z124+0)</f>
        <v>3</v>
      </c>
    </row>
    <row r="125" customFormat="false" ht="15.8" hidden="false" customHeight="false" outlineLevel="0" collapsed="false">
      <c r="A125" s="1" t="n">
        <v>7</v>
      </c>
      <c r="B125" s="1" t="n">
        <v>11</v>
      </c>
      <c r="C125" s="1" t="n">
        <v>2.5</v>
      </c>
      <c r="D125" s="1" t="n">
        <v>1.2635</v>
      </c>
      <c r="E125" s="1" t="n">
        <v>0.0868277</v>
      </c>
      <c r="F125" s="1" t="n">
        <v>0.000236301</v>
      </c>
      <c r="G125" s="1" t="s">
        <v>37</v>
      </c>
      <c r="H125" s="1" t="n">
        <v>38.8</v>
      </c>
      <c r="I125" s="1" t="n">
        <v>27.9</v>
      </c>
      <c r="J125" s="1" t="n">
        <v>-33.5</v>
      </c>
      <c r="K125" s="1" t="n">
        <v>84.6</v>
      </c>
      <c r="L125" s="1" t="n">
        <v>0</v>
      </c>
      <c r="M125" s="1" t="n">
        <v>0</v>
      </c>
      <c r="N125" s="1" t="s">
        <v>162</v>
      </c>
      <c r="Z125" s="0" t="n">
        <f aca="false">I125-3</f>
        <v>24.9</v>
      </c>
      <c r="AB125" s="0" t="n">
        <f aca="false">IF(Z125&lt;0,Z125+360,Z125+0)</f>
        <v>24.9</v>
      </c>
    </row>
    <row r="126" customFormat="false" ht="15.8" hidden="false" customHeight="false" outlineLevel="0" collapsed="false">
      <c r="A126" s="1" t="n">
        <v>7</v>
      </c>
      <c r="B126" s="1" t="n">
        <v>11</v>
      </c>
      <c r="C126" s="1" t="n">
        <v>1.7</v>
      </c>
      <c r="D126" s="1" t="n">
        <v>1.446</v>
      </c>
      <c r="E126" s="1" t="n">
        <v>0.0592272</v>
      </c>
      <c r="F126" s="1" t="n">
        <v>0.000161186</v>
      </c>
      <c r="G126" s="1" t="s">
        <v>27</v>
      </c>
      <c r="H126" s="1" t="n">
        <v>39.6</v>
      </c>
      <c r="I126" s="1" t="n">
        <v>352.2</v>
      </c>
      <c r="J126" s="1" t="n">
        <v>0</v>
      </c>
      <c r="K126" s="1"/>
      <c r="L126" s="1" t="n">
        <v>0</v>
      </c>
      <c r="M126" s="1" t="n">
        <v>0</v>
      </c>
      <c r="N126" s="1" t="s">
        <v>162</v>
      </c>
      <c r="Z126" s="0" t="n">
        <f aca="false">I126-3</f>
        <v>349.2</v>
      </c>
      <c r="AB126" s="0" t="n">
        <f aca="false">IF(Z126&lt;0,Z126+360,Z126+0)</f>
        <v>349.2</v>
      </c>
    </row>
    <row r="127" customFormat="false" ht="15.8" hidden="false" customHeight="false" outlineLevel="0" collapsed="false">
      <c r="A127" s="1" t="n">
        <v>7</v>
      </c>
      <c r="B127" s="1" t="n">
        <v>10</v>
      </c>
      <c r="C127" s="1" t="n">
        <v>0.8</v>
      </c>
      <c r="D127" s="1" t="n">
        <v>1.2478</v>
      </c>
      <c r="E127" s="1" t="n">
        <v>0.0257019</v>
      </c>
      <c r="F127" s="1" t="n">
        <v>6.99474E-005</v>
      </c>
      <c r="G127" s="1" t="s">
        <v>37</v>
      </c>
      <c r="H127" s="1" t="n">
        <v>55.8</v>
      </c>
      <c r="I127" s="1" t="n">
        <v>339.9</v>
      </c>
      <c r="J127" s="1" t="n">
        <v>-37.9</v>
      </c>
      <c r="K127" s="1" t="n">
        <v>39.6</v>
      </c>
      <c r="L127" s="1" t="n">
        <v>0</v>
      </c>
      <c r="M127" s="1" t="n">
        <v>0</v>
      </c>
      <c r="N127" s="1" t="s">
        <v>163</v>
      </c>
      <c r="Z127" s="0" t="n">
        <f aca="false">I127-3</f>
        <v>336.9</v>
      </c>
      <c r="AB127" s="0" t="n">
        <f aca="false">IF(Z127&lt;0,Z127+360,Z127+0)</f>
        <v>336.9</v>
      </c>
    </row>
    <row r="128" customFormat="false" ht="15.8" hidden="false" customHeight="false" outlineLevel="0" collapsed="false">
      <c r="A128" s="1" t="n">
        <v>7</v>
      </c>
      <c r="B128" s="1" t="n">
        <v>12</v>
      </c>
      <c r="C128" s="1" t="n">
        <v>1.6</v>
      </c>
      <c r="D128" s="1" t="n">
        <v>1.1945</v>
      </c>
      <c r="E128" s="1" t="n">
        <v>0.0560143</v>
      </c>
      <c r="F128" s="1" t="n">
        <v>0.000152442</v>
      </c>
      <c r="G128" s="1" t="s">
        <v>27</v>
      </c>
      <c r="H128" s="1" t="n">
        <v>27.7</v>
      </c>
      <c r="I128" s="1" t="n">
        <v>164.1</v>
      </c>
      <c r="J128" s="1" t="n">
        <v>-32.7</v>
      </c>
      <c r="K128" s="1"/>
      <c r="L128" s="1" t="n">
        <v>0</v>
      </c>
      <c r="M128" s="1" t="n">
        <v>0</v>
      </c>
      <c r="N128" s="1" t="s">
        <v>164</v>
      </c>
      <c r="Z128" s="0" t="n">
        <f aca="false">I128-3</f>
        <v>161.1</v>
      </c>
      <c r="AB128" s="0" t="n">
        <f aca="false">IF(Z128&lt;0,Z128+360,Z128+0)</f>
        <v>161.1</v>
      </c>
    </row>
    <row r="129" customFormat="false" ht="15.8" hidden="false" customHeight="false" outlineLevel="0" collapsed="false">
      <c r="A129" s="1" t="n">
        <v>7</v>
      </c>
      <c r="B129" s="1" t="n">
        <v>12</v>
      </c>
      <c r="C129" s="1" t="n">
        <v>1.9</v>
      </c>
      <c r="D129" s="1" t="n">
        <v>1.2725</v>
      </c>
      <c r="E129" s="1" t="n">
        <v>0.0645735</v>
      </c>
      <c r="F129" s="1" t="n">
        <v>0.000175736</v>
      </c>
      <c r="G129" s="1" t="s">
        <v>27</v>
      </c>
      <c r="H129" s="1" t="n">
        <v>146.7</v>
      </c>
      <c r="I129" s="1" t="n">
        <v>357.1</v>
      </c>
      <c r="J129" s="1" t="n">
        <v>29.9</v>
      </c>
      <c r="K129" s="1"/>
      <c r="L129" s="1" t="n">
        <v>0</v>
      </c>
      <c r="M129" s="1" t="n">
        <v>0</v>
      </c>
      <c r="N129" s="1" t="s">
        <v>164</v>
      </c>
      <c r="Z129" s="0" t="n">
        <f aca="false">I129-3</f>
        <v>354.1</v>
      </c>
      <c r="AB129" s="0" t="n">
        <f aca="false">IF(Z129&lt;0,Z129+360,Z129+0)</f>
        <v>354.1</v>
      </c>
    </row>
    <row r="130" customFormat="false" ht="15.8" hidden="false" customHeight="false" outlineLevel="0" collapsed="false">
      <c r="A130" s="1" t="n">
        <v>7</v>
      </c>
      <c r="B130" s="1" t="n">
        <v>12</v>
      </c>
      <c r="C130" s="1" t="n">
        <v>1.5</v>
      </c>
      <c r="D130" s="1" t="n">
        <v>1.0143</v>
      </c>
      <c r="E130" s="1" t="n">
        <v>0.0519342</v>
      </c>
      <c r="F130" s="1" t="n">
        <v>0.000141339</v>
      </c>
      <c r="G130" s="1" t="s">
        <v>27</v>
      </c>
      <c r="H130" s="1" t="n">
        <v>134.9</v>
      </c>
      <c r="I130" s="1" t="n">
        <v>14.7</v>
      </c>
      <c r="J130" s="1" t="n">
        <v>0</v>
      </c>
      <c r="K130" s="1"/>
      <c r="L130" s="1" t="n">
        <v>0</v>
      </c>
      <c r="M130" s="1" t="n">
        <v>0</v>
      </c>
      <c r="N130" s="1" t="s">
        <v>164</v>
      </c>
      <c r="Z130" s="0" t="n">
        <f aca="false">I130-3</f>
        <v>11.7</v>
      </c>
      <c r="AB130" s="0" t="n">
        <f aca="false">IF(Z130&lt;0,Z130+360,Z130+0)</f>
        <v>11.7</v>
      </c>
    </row>
    <row r="131" customFormat="false" ht="15.8" hidden="false" customHeight="false" outlineLevel="0" collapsed="false">
      <c r="A131" s="1" t="n">
        <v>7</v>
      </c>
      <c r="B131" s="1" t="n">
        <v>11</v>
      </c>
      <c r="C131" s="1" t="n">
        <v>3.3</v>
      </c>
      <c r="D131" s="1" t="n">
        <v>1.2759</v>
      </c>
      <c r="E131" s="1" t="n">
        <v>0.113921</v>
      </c>
      <c r="F131" s="1" t="n">
        <v>0.000310036</v>
      </c>
      <c r="G131" s="1" t="s">
        <v>37</v>
      </c>
      <c r="H131" s="1" t="n">
        <v>22.6</v>
      </c>
      <c r="I131" s="1" t="n">
        <v>150.2</v>
      </c>
      <c r="J131" s="1" t="n">
        <v>-8.1</v>
      </c>
      <c r="K131" s="1" t="n">
        <v>146.7</v>
      </c>
      <c r="L131" s="1" t="n">
        <v>0</v>
      </c>
      <c r="M131" s="1" t="n">
        <v>0</v>
      </c>
      <c r="N131" s="1" t="s">
        <v>165</v>
      </c>
      <c r="Z131" s="0" t="n">
        <f aca="false">I131-3</f>
        <v>147.2</v>
      </c>
      <c r="AB131" s="0" t="n">
        <f aca="false">IF(Z131&lt;0,Z131+360,Z131+0)</f>
        <v>147.2</v>
      </c>
    </row>
    <row r="132" customFormat="false" ht="15.8" hidden="false" customHeight="false" outlineLevel="0" collapsed="false">
      <c r="A132" s="1" t="n">
        <v>7</v>
      </c>
      <c r="B132" s="1" t="n">
        <v>11</v>
      </c>
      <c r="C132" s="1" t="n">
        <v>2.1</v>
      </c>
      <c r="D132" s="1" t="n">
        <v>1.1821</v>
      </c>
      <c r="E132" s="1" t="n">
        <v>0.0731858</v>
      </c>
      <c r="F132" s="1" t="n">
        <v>0.000199174</v>
      </c>
      <c r="G132" s="1" t="s">
        <v>27</v>
      </c>
      <c r="H132" s="1" t="n">
        <v>104.1</v>
      </c>
      <c r="I132" s="1" t="n">
        <v>4.4</v>
      </c>
      <c r="J132" s="1" t="n">
        <v>-37.8</v>
      </c>
      <c r="K132" s="1"/>
      <c r="L132" s="1" t="n">
        <v>0</v>
      </c>
      <c r="M132" s="1" t="n">
        <v>0</v>
      </c>
      <c r="N132" s="1" t="s">
        <v>165</v>
      </c>
      <c r="Z132" s="0" t="n">
        <f aca="false">I132-3</f>
        <v>1.4</v>
      </c>
      <c r="AB132" s="0" t="n">
        <f aca="false">IF(Z132&lt;0,Z132+360,Z132+0)</f>
        <v>1.4</v>
      </c>
    </row>
    <row r="133" customFormat="false" ht="15.8" hidden="false" customHeight="false" outlineLevel="0" collapsed="false">
      <c r="A133" s="1" t="n">
        <v>7</v>
      </c>
      <c r="B133" s="1" t="n">
        <v>10</v>
      </c>
      <c r="C133" s="1" t="n">
        <v>1.5</v>
      </c>
      <c r="D133" s="1" t="n">
        <v>1.2319</v>
      </c>
      <c r="E133" s="1" t="n">
        <v>0.0519581</v>
      </c>
      <c r="F133" s="1" t="n">
        <v>0.000141403</v>
      </c>
      <c r="G133" s="1" t="s">
        <v>37</v>
      </c>
      <c r="H133" s="1" t="n">
        <v>66.4</v>
      </c>
      <c r="I133" s="1" t="n">
        <v>129</v>
      </c>
      <c r="J133" s="1" t="n">
        <v>-17.5</v>
      </c>
      <c r="K133" s="1" t="n">
        <v>104.1</v>
      </c>
      <c r="L133" s="1" t="n">
        <v>0</v>
      </c>
      <c r="M133" s="1" t="n">
        <v>0</v>
      </c>
      <c r="N133" s="1" t="s">
        <v>163</v>
      </c>
      <c r="Z133" s="0" t="n">
        <f aca="false">I133-3</f>
        <v>126</v>
      </c>
      <c r="AB133" s="0" t="n">
        <f aca="false">IF(Z133&lt;0,Z133+360,Z133+0)</f>
        <v>126</v>
      </c>
    </row>
    <row r="134" customFormat="false" ht="15.8" hidden="false" customHeight="false" outlineLevel="0" collapsed="false">
      <c r="A134" s="1" t="n">
        <v>7</v>
      </c>
      <c r="B134" s="1" t="n">
        <v>9</v>
      </c>
      <c r="C134" s="1" t="n">
        <v>6.2</v>
      </c>
      <c r="D134" s="1" t="n">
        <v>1.2618</v>
      </c>
      <c r="E134" s="1" t="n">
        <v>0.212554</v>
      </c>
      <c r="F134" s="1" t="n">
        <v>0.000578463</v>
      </c>
      <c r="G134" s="1" t="s">
        <v>37</v>
      </c>
      <c r="H134" s="1" t="n">
        <v>68.8</v>
      </c>
      <c r="I134" s="1" t="n">
        <v>55.3</v>
      </c>
      <c r="J134" s="1" t="n">
        <v>-42.5</v>
      </c>
      <c r="K134" s="1" t="n">
        <v>66.4</v>
      </c>
      <c r="L134" s="1" t="n">
        <v>0</v>
      </c>
      <c r="M134" s="1" t="n">
        <v>0</v>
      </c>
      <c r="N134" s="1" t="s">
        <v>166</v>
      </c>
      <c r="Z134" s="0" t="n">
        <f aca="false">I134-3</f>
        <v>52.3</v>
      </c>
      <c r="AB134" s="0" t="n">
        <f aca="false">IF(Z134&lt;0,Z134+360,Z134+0)</f>
        <v>52.3</v>
      </c>
    </row>
    <row r="135" customFormat="false" ht="15.8" hidden="false" customHeight="false" outlineLevel="0" collapsed="false">
      <c r="A135" s="1" t="n">
        <v>7</v>
      </c>
      <c r="B135" s="1" t="n">
        <v>10</v>
      </c>
      <c r="C135" s="1" t="n">
        <v>9</v>
      </c>
      <c r="D135" s="1" t="n">
        <v>1.2858</v>
      </c>
      <c r="E135" s="1" t="n">
        <v>0.307589</v>
      </c>
      <c r="F135" s="1" t="n">
        <v>0.0008371</v>
      </c>
      <c r="G135" s="1" t="s">
        <v>27</v>
      </c>
      <c r="H135" s="1" t="n">
        <v>104.1</v>
      </c>
      <c r="I135" s="1" t="n">
        <v>30.8</v>
      </c>
      <c r="J135" s="1" t="n">
        <v>-47.8</v>
      </c>
      <c r="K135" s="1"/>
      <c r="L135" s="1" t="n">
        <v>0</v>
      </c>
      <c r="M135" s="1" t="n">
        <v>0</v>
      </c>
      <c r="N135" s="1" t="s">
        <v>167</v>
      </c>
      <c r="Z135" s="0" t="n">
        <f aca="false">I135-3</f>
        <v>27.8</v>
      </c>
      <c r="AB135" s="0" t="n">
        <f aca="false">IF(Z135&lt;0,Z135+360,Z135+0)</f>
        <v>27.8</v>
      </c>
    </row>
    <row r="136" customFormat="false" ht="15.8" hidden="false" customHeight="false" outlineLevel="0" collapsed="false">
      <c r="A136" s="1" t="n">
        <v>7</v>
      </c>
      <c r="B136" s="1" t="n">
        <v>12</v>
      </c>
      <c r="C136" s="1" t="n">
        <v>0.8</v>
      </c>
      <c r="D136" s="1" t="n">
        <v>1.0321</v>
      </c>
      <c r="E136" s="1" t="n">
        <v>0.0280187</v>
      </c>
      <c r="F136" s="1" t="n">
        <v>7.62526E-005</v>
      </c>
      <c r="G136" s="1" t="s">
        <v>27</v>
      </c>
      <c r="H136" s="1" t="n">
        <v>96.4</v>
      </c>
      <c r="I136" s="1" t="n">
        <v>64.8</v>
      </c>
      <c r="J136" s="1" t="n">
        <v>0</v>
      </c>
      <c r="K136" s="1"/>
      <c r="L136" s="1" t="n">
        <v>0</v>
      </c>
      <c r="M136" s="1" t="n">
        <v>0</v>
      </c>
      <c r="N136" s="1" t="s">
        <v>168</v>
      </c>
      <c r="Z136" s="0" t="n">
        <f aca="false">I136-3</f>
        <v>61.8</v>
      </c>
      <c r="AB136" s="0" t="n">
        <f aca="false">IF(Z136&lt;0,Z136+360,Z136+0)</f>
        <v>61.8</v>
      </c>
    </row>
    <row r="137" customFormat="false" ht="15.8" hidden="false" customHeight="false" outlineLevel="0" collapsed="false">
      <c r="A137" s="1" t="n">
        <v>7</v>
      </c>
      <c r="B137" s="1" t="n">
        <v>13</v>
      </c>
      <c r="C137" s="1" t="n">
        <v>2.4</v>
      </c>
      <c r="D137" s="1" t="n">
        <v>1.5879</v>
      </c>
      <c r="E137" s="1" t="n">
        <v>0.0818888</v>
      </c>
      <c r="F137" s="1" t="n">
        <v>0.00022286</v>
      </c>
      <c r="G137" s="1" t="s">
        <v>27</v>
      </c>
      <c r="H137" s="1" t="n">
        <v>91.3</v>
      </c>
      <c r="I137" s="1" t="n">
        <v>263.8</v>
      </c>
      <c r="J137" s="1" t="n">
        <v>-29.4</v>
      </c>
      <c r="K137" s="1"/>
      <c r="L137" s="1" t="n">
        <v>0</v>
      </c>
      <c r="M137" s="1" t="n">
        <v>0</v>
      </c>
      <c r="N137" s="1" t="s">
        <v>169</v>
      </c>
      <c r="Z137" s="0" t="n">
        <f aca="false">I137-3</f>
        <v>260.8</v>
      </c>
      <c r="AB137" s="0" t="n">
        <f aca="false">IF(Z137&lt;0,Z137+360,Z137+0)</f>
        <v>260.8</v>
      </c>
    </row>
    <row r="138" customFormat="false" ht="15.8" hidden="false" customHeight="false" outlineLevel="0" collapsed="false">
      <c r="A138" s="1" t="n">
        <v>7</v>
      </c>
      <c r="B138" s="1" t="n">
        <v>14</v>
      </c>
      <c r="C138" s="1" t="n">
        <v>1.8</v>
      </c>
      <c r="D138" s="1" t="n">
        <v>1.3556</v>
      </c>
      <c r="E138" s="1" t="n">
        <v>0.0628931</v>
      </c>
      <c r="F138" s="1" t="n">
        <v>0.000171163</v>
      </c>
      <c r="G138" s="1" t="s">
        <v>27</v>
      </c>
      <c r="H138" s="1" t="n">
        <v>30</v>
      </c>
      <c r="I138" s="1" t="n">
        <v>107.3</v>
      </c>
      <c r="J138" s="1" t="n">
        <v>0</v>
      </c>
      <c r="K138" s="1"/>
      <c r="L138" s="1" t="n">
        <v>0</v>
      </c>
      <c r="M138" s="1" t="n">
        <v>0</v>
      </c>
      <c r="N138" s="1" t="s">
        <v>170</v>
      </c>
      <c r="Z138" s="0" t="n">
        <f aca="false">I138-3</f>
        <v>104.3</v>
      </c>
      <c r="AB138" s="0" t="n">
        <f aca="false">IF(Z138&lt;0,Z138+360,Z138+0)</f>
        <v>104.3</v>
      </c>
    </row>
    <row r="139" customFormat="false" ht="15.8" hidden="false" customHeight="false" outlineLevel="0" collapsed="false">
      <c r="A139" s="1" t="n">
        <v>7</v>
      </c>
      <c r="B139" s="1" t="n">
        <v>16</v>
      </c>
      <c r="C139" s="1" t="n">
        <v>1</v>
      </c>
      <c r="D139" s="1" t="n">
        <v>1.1542</v>
      </c>
      <c r="E139" s="1" t="n">
        <v>0.0353622</v>
      </c>
      <c r="F139" s="1" t="n">
        <v>9.62378E-005</v>
      </c>
      <c r="G139" s="1" t="s">
        <v>27</v>
      </c>
      <c r="H139" s="1" t="n">
        <v>65.6</v>
      </c>
      <c r="I139" s="1" t="n">
        <v>117.5</v>
      </c>
      <c r="J139" s="1" t="n">
        <v>0</v>
      </c>
      <c r="K139" s="1"/>
      <c r="L139" s="1" t="n">
        <v>0</v>
      </c>
      <c r="M139" s="1" t="n">
        <v>0</v>
      </c>
      <c r="N139" s="1" t="s">
        <v>171</v>
      </c>
      <c r="Z139" s="0" t="n">
        <f aca="false">I139-3</f>
        <v>114.5</v>
      </c>
      <c r="AB139" s="0" t="n">
        <f aca="false">IF(Z139&lt;0,Z139+360,Z139+0)</f>
        <v>114.5</v>
      </c>
    </row>
    <row r="140" customFormat="false" ht="15.8" hidden="false" customHeight="false" outlineLevel="0" collapsed="false">
      <c r="A140" s="1" t="n">
        <v>7</v>
      </c>
      <c r="B140" s="1" t="n">
        <v>16</v>
      </c>
      <c r="C140" s="1" t="n">
        <v>2.1</v>
      </c>
      <c r="D140" s="1" t="n">
        <v>2.0992</v>
      </c>
      <c r="E140" s="1" t="n">
        <v>0.073064</v>
      </c>
      <c r="F140" s="1" t="n">
        <v>0.000198843</v>
      </c>
      <c r="G140" s="1" t="s">
        <v>27</v>
      </c>
      <c r="H140" s="1" t="n">
        <v>72.4</v>
      </c>
      <c r="I140" s="1" t="n">
        <v>55.8</v>
      </c>
      <c r="J140" s="1" t="n">
        <v>21.3</v>
      </c>
      <c r="K140" s="1"/>
      <c r="L140" s="1" t="n">
        <v>0</v>
      </c>
      <c r="M140" s="1" t="n">
        <v>0</v>
      </c>
      <c r="N140" s="1" t="s">
        <v>171</v>
      </c>
      <c r="Z140" s="0" t="n">
        <f aca="false">I140-3</f>
        <v>52.8</v>
      </c>
      <c r="AB140" s="0" t="n">
        <f aca="false">IF(Z140&lt;0,Z140+360,Z140+0)</f>
        <v>52.8</v>
      </c>
    </row>
    <row r="141" customFormat="false" ht="15.8" hidden="false" customHeight="false" outlineLevel="0" collapsed="false">
      <c r="A141" s="1" t="n">
        <v>7</v>
      </c>
      <c r="B141" s="1" t="n">
        <v>15</v>
      </c>
      <c r="C141" s="1" t="n">
        <v>4</v>
      </c>
      <c r="D141" s="1" t="n">
        <v>1.3414</v>
      </c>
      <c r="E141" s="1" t="n">
        <v>0.135356</v>
      </c>
      <c r="F141" s="1" t="n">
        <v>0.000368371</v>
      </c>
      <c r="G141" s="1" t="s">
        <v>37</v>
      </c>
      <c r="H141" s="1" t="n">
        <v>34.7</v>
      </c>
      <c r="I141" s="1" t="n">
        <v>147.9</v>
      </c>
      <c r="J141" s="1" t="n">
        <v>61.4</v>
      </c>
      <c r="K141" s="1" t="n">
        <v>72.4</v>
      </c>
      <c r="L141" s="1" t="n">
        <v>0</v>
      </c>
      <c r="M141" s="1" t="n">
        <v>0</v>
      </c>
      <c r="N141" s="1" t="s">
        <v>172</v>
      </c>
      <c r="Z141" s="0" t="n">
        <f aca="false">I141-3</f>
        <v>144.9</v>
      </c>
      <c r="AB141" s="0" t="n">
        <f aca="false">IF(Z141&lt;0,Z141+360,Z141+0)</f>
        <v>144.9</v>
      </c>
    </row>
    <row r="142" customFormat="false" ht="15.8" hidden="false" customHeight="false" outlineLevel="0" collapsed="false">
      <c r="A142" s="1" t="n">
        <v>7</v>
      </c>
      <c r="B142" s="1" t="n">
        <v>16</v>
      </c>
      <c r="C142" s="1" t="n">
        <v>1.6</v>
      </c>
      <c r="D142" s="1" t="n">
        <v>1.315</v>
      </c>
      <c r="E142" s="1" t="n">
        <v>0.0536758</v>
      </c>
      <c r="F142" s="1" t="n">
        <v>0.000146078</v>
      </c>
      <c r="G142" s="1" t="s">
        <v>27</v>
      </c>
      <c r="H142" s="1" t="n">
        <v>30.8</v>
      </c>
      <c r="I142" s="1" t="n">
        <v>139.3</v>
      </c>
      <c r="J142" s="1" t="n">
        <v>-18.1</v>
      </c>
      <c r="K142" s="1"/>
      <c r="L142" s="1" t="n">
        <v>0</v>
      </c>
      <c r="M142" s="1" t="n">
        <v>0</v>
      </c>
      <c r="N142" s="1" t="s">
        <v>173</v>
      </c>
      <c r="Z142" s="0" t="n">
        <f aca="false">I142-3</f>
        <v>136.3</v>
      </c>
      <c r="AB142" s="0" t="n">
        <f aca="false">IF(Z142&lt;0,Z142+360,Z142+0)</f>
        <v>136.3</v>
      </c>
    </row>
    <row r="143" customFormat="false" ht="15.8" hidden="false" customHeight="false" outlineLevel="0" collapsed="false">
      <c r="A143" s="1" t="n">
        <v>7</v>
      </c>
      <c r="B143" s="1" t="n">
        <v>17</v>
      </c>
      <c r="C143" s="1" t="n">
        <v>2.4</v>
      </c>
      <c r="D143" s="1" t="n">
        <v>1.6613</v>
      </c>
      <c r="E143" s="1" t="n">
        <v>0.0830982</v>
      </c>
      <c r="F143" s="1" t="n">
        <v>0.000226151</v>
      </c>
      <c r="G143" s="1" t="s">
        <v>27</v>
      </c>
      <c r="H143" s="1" t="n">
        <v>96.1</v>
      </c>
      <c r="I143" s="1" t="n">
        <v>107.5</v>
      </c>
      <c r="J143" s="1" t="n">
        <v>-14.7</v>
      </c>
      <c r="K143" s="1"/>
      <c r="L143" s="1" t="n">
        <v>0</v>
      </c>
      <c r="M143" s="1" t="n">
        <v>0</v>
      </c>
      <c r="N143" s="1" t="s">
        <v>174</v>
      </c>
      <c r="Z143" s="0" t="n">
        <f aca="false">I143-3</f>
        <v>104.5</v>
      </c>
      <c r="AB143" s="0" t="n">
        <f aca="false">IF(Z143&lt;0,Z143+360,Z143+0)</f>
        <v>104.5</v>
      </c>
    </row>
    <row r="144" customFormat="false" ht="15.8" hidden="false" customHeight="false" outlineLevel="0" collapsed="false">
      <c r="A144" s="1" t="n">
        <v>7</v>
      </c>
      <c r="B144" s="1" t="n">
        <v>17</v>
      </c>
      <c r="C144" s="1" t="n">
        <v>3.3</v>
      </c>
      <c r="D144" s="1" t="n">
        <v>1.2627</v>
      </c>
      <c r="E144" s="1" t="n">
        <v>0.112178</v>
      </c>
      <c r="F144" s="1" t="n">
        <v>0.000305291</v>
      </c>
      <c r="G144" s="1" t="s">
        <v>27</v>
      </c>
      <c r="H144" s="1" t="n">
        <v>35.1</v>
      </c>
      <c r="I144" s="1" t="n">
        <v>209.3</v>
      </c>
      <c r="J144" s="1" t="n">
        <v>34.7</v>
      </c>
      <c r="K144" s="1"/>
      <c r="L144" s="1" t="n">
        <v>0</v>
      </c>
      <c r="M144" s="1" t="n">
        <v>0</v>
      </c>
      <c r="N144" s="1" t="s">
        <v>174</v>
      </c>
      <c r="Z144" s="0" t="n">
        <f aca="false">I144-3</f>
        <v>206.3</v>
      </c>
      <c r="AB144" s="0" t="n">
        <f aca="false">IF(Z144&lt;0,Z144+360,Z144+0)</f>
        <v>206.3</v>
      </c>
    </row>
    <row r="145" customFormat="false" ht="15.8" hidden="false" customHeight="false" outlineLevel="0" collapsed="false">
      <c r="A145" s="1" t="n">
        <v>7</v>
      </c>
      <c r="B145" s="1" t="n">
        <v>16</v>
      </c>
      <c r="C145" s="1" t="n">
        <v>0.8</v>
      </c>
      <c r="D145" s="1" t="n">
        <v>1.0444</v>
      </c>
      <c r="E145" s="1" t="n">
        <v>0.0280304</v>
      </c>
      <c r="F145" s="1" t="n">
        <v>7.62845E-005</v>
      </c>
      <c r="G145" s="1" t="s">
        <v>37</v>
      </c>
      <c r="H145" s="1" t="n">
        <v>43.1</v>
      </c>
      <c r="I145" s="1" t="n">
        <v>203.7</v>
      </c>
      <c r="J145" s="1" t="n">
        <v>0</v>
      </c>
      <c r="K145" s="1" t="n">
        <v>96.1</v>
      </c>
      <c r="L145" s="1" t="n">
        <v>0</v>
      </c>
      <c r="M145" s="1" t="n">
        <v>0</v>
      </c>
      <c r="N145" s="1" t="s">
        <v>173</v>
      </c>
      <c r="Z145" s="0" t="n">
        <f aca="false">I145-3</f>
        <v>200.7</v>
      </c>
      <c r="AB145" s="0" t="n">
        <f aca="false">IF(Z145&lt;0,Z145+360,Z145+0)</f>
        <v>200.7</v>
      </c>
    </row>
    <row r="146" customFormat="false" ht="15.8" hidden="false" customHeight="false" outlineLevel="0" collapsed="false">
      <c r="A146" s="1" t="n">
        <v>7</v>
      </c>
      <c r="B146" s="1" t="n">
        <v>15</v>
      </c>
      <c r="C146" s="1" t="n">
        <v>5.9</v>
      </c>
      <c r="D146" s="1" t="n">
        <v>1.1726</v>
      </c>
      <c r="E146" s="1" t="n">
        <v>0.201159</v>
      </c>
      <c r="F146" s="1" t="n">
        <v>0.000547452</v>
      </c>
      <c r="G146" s="1" t="s">
        <v>37</v>
      </c>
      <c r="H146" s="1" t="n">
        <v>35.4</v>
      </c>
      <c r="I146" s="1" t="n">
        <v>160.8</v>
      </c>
      <c r="J146" s="1" t="n">
        <v>4.2</v>
      </c>
      <c r="K146" s="1" t="n">
        <v>43.1</v>
      </c>
      <c r="L146" s="1" t="n">
        <v>0</v>
      </c>
      <c r="M146" s="1" t="n">
        <v>0</v>
      </c>
      <c r="N146" s="1" t="s">
        <v>172</v>
      </c>
      <c r="Z146" s="0" t="n">
        <f aca="false">I146-3</f>
        <v>157.8</v>
      </c>
      <c r="AB146" s="0" t="n">
        <f aca="false">IF(Z146&lt;0,Z146+360,Z146+0)</f>
        <v>157.8</v>
      </c>
    </row>
    <row r="147" customFormat="false" ht="15.8" hidden="false" customHeight="false" outlineLevel="0" collapsed="false">
      <c r="A147" s="1" t="n">
        <v>7</v>
      </c>
      <c r="B147" s="1" t="n">
        <v>14</v>
      </c>
      <c r="C147" s="1" t="n">
        <v>4.8</v>
      </c>
      <c r="D147" s="1" t="n">
        <v>1.2195</v>
      </c>
      <c r="E147" s="1" t="n">
        <v>0.165481</v>
      </c>
      <c r="F147" s="1" t="n">
        <v>0.000450354</v>
      </c>
      <c r="G147" s="1" t="s">
        <v>37</v>
      </c>
      <c r="H147" s="1" t="n">
        <v>49.7</v>
      </c>
      <c r="I147" s="1" t="n">
        <v>181.3</v>
      </c>
      <c r="J147" s="1" t="n">
        <v>34</v>
      </c>
      <c r="K147" s="1" t="n">
        <v>35.4</v>
      </c>
      <c r="L147" s="1" t="n">
        <v>0</v>
      </c>
      <c r="M147" s="1" t="n">
        <v>0</v>
      </c>
      <c r="N147" s="1" t="s">
        <v>170</v>
      </c>
      <c r="Z147" s="0" t="n">
        <f aca="false">I147-3</f>
        <v>178.3</v>
      </c>
      <c r="AB147" s="0" t="n">
        <f aca="false">IF(Z147&lt;0,Z147+360,Z147+0)</f>
        <v>178.3</v>
      </c>
    </row>
    <row r="148" customFormat="false" ht="15.8" hidden="false" customHeight="false" outlineLevel="0" collapsed="false">
      <c r="A148" s="1" t="n">
        <v>7</v>
      </c>
      <c r="B148" s="1" t="n">
        <v>13</v>
      </c>
      <c r="C148" s="1" t="n">
        <v>1</v>
      </c>
      <c r="D148" s="1" t="n">
        <v>1.1662</v>
      </c>
      <c r="E148" s="1" t="n">
        <v>0.0348306</v>
      </c>
      <c r="F148" s="1" t="n">
        <v>9.47913E-005</v>
      </c>
      <c r="G148" s="1" t="s">
        <v>37</v>
      </c>
      <c r="H148" s="1" t="n">
        <v>52.6</v>
      </c>
      <c r="I148" s="1" t="n">
        <v>124.3</v>
      </c>
      <c r="J148" s="1" t="n">
        <v>25.1</v>
      </c>
      <c r="K148" s="1" t="n">
        <v>49.7</v>
      </c>
      <c r="L148" s="1" t="n">
        <v>0</v>
      </c>
      <c r="M148" s="1" t="n">
        <v>0</v>
      </c>
      <c r="N148" s="1" t="s">
        <v>169</v>
      </c>
      <c r="Z148" s="0" t="n">
        <f aca="false">I148-3</f>
        <v>121.3</v>
      </c>
      <c r="AB148" s="0" t="n">
        <f aca="false">IF(Z148&lt;0,Z148+360,Z148+0)</f>
        <v>121.3</v>
      </c>
    </row>
    <row r="149" customFormat="false" ht="15.8" hidden="false" customHeight="false" outlineLevel="0" collapsed="false">
      <c r="A149" s="1" t="n">
        <v>7</v>
      </c>
      <c r="B149" s="1" t="n">
        <v>15</v>
      </c>
      <c r="C149" s="1" t="n">
        <v>1.4</v>
      </c>
      <c r="D149" s="1" t="n">
        <v>1.0524</v>
      </c>
      <c r="E149" s="1" t="n">
        <v>0.0476624</v>
      </c>
      <c r="F149" s="1" t="n">
        <v>0.000129713</v>
      </c>
      <c r="G149" s="1" t="s">
        <v>27</v>
      </c>
      <c r="H149" s="1" t="n">
        <v>66.2</v>
      </c>
      <c r="I149" s="1" t="n">
        <v>316.3</v>
      </c>
      <c r="J149" s="1" t="n">
        <v>0</v>
      </c>
      <c r="K149" s="1"/>
      <c r="L149" s="1" t="n">
        <v>0</v>
      </c>
      <c r="M149" s="1" t="n">
        <v>0</v>
      </c>
      <c r="N149" s="1" t="s">
        <v>175</v>
      </c>
      <c r="Z149" s="0" t="n">
        <f aca="false">I149-3</f>
        <v>313.3</v>
      </c>
      <c r="AB149" s="0" t="n">
        <f aca="false">IF(Z149&lt;0,Z149+360,Z149+0)</f>
        <v>313.3</v>
      </c>
    </row>
    <row r="150" customFormat="false" ht="15.8" hidden="false" customHeight="false" outlineLevel="0" collapsed="false">
      <c r="A150" s="1" t="n">
        <v>7</v>
      </c>
      <c r="B150" s="1" t="n">
        <v>15</v>
      </c>
      <c r="C150" s="1" t="n">
        <v>1.9</v>
      </c>
      <c r="D150" s="1" t="n">
        <v>1.1582</v>
      </c>
      <c r="E150" s="1" t="n">
        <v>0.0663185</v>
      </c>
      <c r="F150" s="1" t="n">
        <v>0.000180485</v>
      </c>
      <c r="G150" s="1" t="s">
        <v>27</v>
      </c>
      <c r="H150" s="1" t="n">
        <v>10.6</v>
      </c>
      <c r="I150" s="1" t="n">
        <v>3</v>
      </c>
      <c r="J150" s="1" t="n">
        <v>-41.5</v>
      </c>
      <c r="K150" s="1"/>
      <c r="L150" s="1" t="n">
        <v>0</v>
      </c>
      <c r="M150" s="1" t="n">
        <v>0</v>
      </c>
      <c r="N150" s="1" t="s">
        <v>175</v>
      </c>
      <c r="Z150" s="0" t="n">
        <f aca="false">I150-3</f>
        <v>0</v>
      </c>
      <c r="AB150" s="0" t="n">
        <f aca="false">IF(Z150&lt;0,Z150+360,Z150+0)</f>
        <v>0</v>
      </c>
    </row>
    <row r="151" customFormat="false" ht="15.8" hidden="false" customHeight="false" outlineLevel="0" collapsed="false">
      <c r="A151" s="1" t="n">
        <v>7</v>
      </c>
      <c r="B151" s="1" t="n">
        <v>14</v>
      </c>
      <c r="C151" s="1" t="n">
        <v>5</v>
      </c>
      <c r="D151" s="1" t="n">
        <v>1.177</v>
      </c>
      <c r="E151" s="1" t="n">
        <v>0.170103</v>
      </c>
      <c r="F151" s="1" t="n">
        <v>0.000462934</v>
      </c>
      <c r="G151" s="1" t="s">
        <v>37</v>
      </c>
      <c r="H151" s="1" t="n">
        <v>54.5</v>
      </c>
      <c r="I151" s="1" t="n">
        <v>5.3</v>
      </c>
      <c r="J151" s="1" t="n">
        <v>-52</v>
      </c>
      <c r="K151" s="1" t="n">
        <v>66.2</v>
      </c>
      <c r="L151" s="1" t="n">
        <v>0</v>
      </c>
      <c r="M151" s="1" t="n">
        <v>0</v>
      </c>
      <c r="N151" s="1" t="s">
        <v>176</v>
      </c>
      <c r="Z151" s="0" t="n">
        <f aca="false">I151-3</f>
        <v>2.3</v>
      </c>
      <c r="AB151" s="0" t="n">
        <f aca="false">IF(Z151&lt;0,Z151+360,Z151+0)</f>
        <v>2.3</v>
      </c>
    </row>
    <row r="152" customFormat="false" ht="15.8" hidden="false" customHeight="false" outlineLevel="0" collapsed="false">
      <c r="A152" s="1" t="n">
        <v>7</v>
      </c>
      <c r="B152" s="1" t="n">
        <v>14</v>
      </c>
      <c r="C152" s="1" t="n">
        <v>7.4</v>
      </c>
      <c r="D152" s="1" t="n">
        <v>1.2367</v>
      </c>
      <c r="E152" s="1" t="n">
        <v>0.251978</v>
      </c>
      <c r="F152" s="1" t="n">
        <v>0.000685756</v>
      </c>
      <c r="G152" s="1" t="s">
        <v>27</v>
      </c>
      <c r="H152" s="1" t="n">
        <v>66.7</v>
      </c>
      <c r="I152" s="1" t="n">
        <v>183.6</v>
      </c>
      <c r="J152" s="1" t="n">
        <v>-7.1</v>
      </c>
      <c r="K152" s="1"/>
      <c r="L152" s="1" t="n">
        <v>0</v>
      </c>
      <c r="M152" s="1" t="n">
        <v>0</v>
      </c>
      <c r="N152" s="1" t="s">
        <v>176</v>
      </c>
      <c r="Z152" s="0" t="n">
        <f aca="false">I152-3</f>
        <v>180.6</v>
      </c>
      <c r="AB152" s="0" t="n">
        <f aca="false">IF(Z152&lt;0,Z152+360,Z152+0)</f>
        <v>180.6</v>
      </c>
    </row>
    <row r="153" customFormat="false" ht="15.8" hidden="false" customHeight="false" outlineLevel="0" collapsed="false">
      <c r="A153" s="1" t="n">
        <v>7</v>
      </c>
      <c r="B153" s="1" t="n">
        <v>13</v>
      </c>
      <c r="C153" s="1" t="n">
        <v>1.3</v>
      </c>
      <c r="D153" s="1" t="n">
        <v>1.1424</v>
      </c>
      <c r="E153" s="1" t="n">
        <v>0.0453737</v>
      </c>
      <c r="F153" s="1" t="n">
        <v>0.000123484</v>
      </c>
      <c r="G153" s="1" t="s">
        <v>37</v>
      </c>
      <c r="H153" s="1" t="n">
        <v>75.3</v>
      </c>
      <c r="I153" s="1" t="n">
        <v>202.5</v>
      </c>
      <c r="J153" s="1" t="n">
        <v>-72.9</v>
      </c>
      <c r="K153" s="1" t="n">
        <v>66.7</v>
      </c>
      <c r="L153" s="1" t="n">
        <v>0</v>
      </c>
      <c r="M153" s="1" t="n">
        <v>0</v>
      </c>
      <c r="N153" s="1" t="s">
        <v>169</v>
      </c>
      <c r="Z153" s="0" t="n">
        <f aca="false">I153-3</f>
        <v>199.5</v>
      </c>
      <c r="AB153" s="0" t="n">
        <f aca="false">IF(Z153&lt;0,Z153+360,Z153+0)</f>
        <v>199.5</v>
      </c>
    </row>
    <row r="154" customFormat="false" ht="15.8" hidden="false" customHeight="false" outlineLevel="0" collapsed="false">
      <c r="A154" s="1" t="n">
        <v>7</v>
      </c>
      <c r="B154" s="1" t="n">
        <v>12</v>
      </c>
      <c r="C154" s="1" t="n">
        <v>1.1</v>
      </c>
      <c r="D154" s="1" t="n">
        <v>1.0104</v>
      </c>
      <c r="E154" s="1" t="n">
        <v>0.0364415</v>
      </c>
      <c r="F154" s="1" t="n">
        <v>9.91753E-005</v>
      </c>
      <c r="G154" s="1" t="s">
        <v>37</v>
      </c>
      <c r="H154" s="1" t="n">
        <v>11.1</v>
      </c>
      <c r="I154" s="1" t="n">
        <v>172.3</v>
      </c>
      <c r="J154" s="1" t="n">
        <v>0</v>
      </c>
      <c r="K154" s="1" t="n">
        <v>91.3</v>
      </c>
      <c r="L154" s="1" t="n">
        <v>0</v>
      </c>
      <c r="M154" s="1" t="n">
        <v>0</v>
      </c>
      <c r="N154" s="1" t="s">
        <v>168</v>
      </c>
      <c r="Z154" s="0" t="n">
        <f aca="false">I154-3</f>
        <v>169.3</v>
      </c>
      <c r="AB154" s="0" t="n">
        <f aca="false">IF(Z154&lt;0,Z154+360,Z154+0)</f>
        <v>169.3</v>
      </c>
    </row>
    <row r="155" customFormat="false" ht="15.8" hidden="false" customHeight="false" outlineLevel="0" collapsed="false">
      <c r="A155" s="1" t="n">
        <v>7</v>
      </c>
      <c r="B155" s="1" t="n">
        <v>11</v>
      </c>
      <c r="C155" s="1" t="n">
        <v>4.3</v>
      </c>
      <c r="D155" s="1" t="n">
        <v>1.3128</v>
      </c>
      <c r="E155" s="1" t="n">
        <v>0.148675</v>
      </c>
      <c r="F155" s="1" t="n">
        <v>0.000404617</v>
      </c>
      <c r="G155" s="1" t="s">
        <v>37</v>
      </c>
      <c r="H155" s="1" t="n">
        <v>10.4</v>
      </c>
      <c r="I155" s="1" t="n">
        <v>161.2</v>
      </c>
      <c r="J155" s="1" t="n">
        <v>0</v>
      </c>
      <c r="K155" s="1" t="n">
        <v>96.4</v>
      </c>
      <c r="L155" s="1" t="n">
        <v>0</v>
      </c>
      <c r="M155" s="1" t="n">
        <v>0</v>
      </c>
      <c r="N155" s="1" t="s">
        <v>177</v>
      </c>
      <c r="Z155" s="0" t="n">
        <f aca="false">I155-3</f>
        <v>158.2</v>
      </c>
      <c r="AB155" s="0" t="n">
        <f aca="false">IF(Z155&lt;0,Z155+360,Z155+0)</f>
        <v>158.2</v>
      </c>
    </row>
    <row r="156" customFormat="false" ht="15.8" hidden="false" customHeight="false" outlineLevel="0" collapsed="false">
      <c r="A156" s="1" t="n">
        <v>7</v>
      </c>
      <c r="B156" s="1" t="n">
        <v>12</v>
      </c>
      <c r="C156" s="1" t="n">
        <v>5.6</v>
      </c>
      <c r="D156" s="1" t="n">
        <v>1.2129</v>
      </c>
      <c r="E156" s="1" t="n">
        <v>0.189909</v>
      </c>
      <c r="F156" s="1" t="n">
        <v>0.000516835</v>
      </c>
      <c r="G156" s="1" t="s">
        <v>27</v>
      </c>
      <c r="H156" s="1" t="n">
        <v>73.4</v>
      </c>
      <c r="I156" s="1" t="n">
        <v>181.8</v>
      </c>
      <c r="J156" s="1" t="n">
        <v>4.6</v>
      </c>
      <c r="K156" s="1"/>
      <c r="L156" s="1" t="n">
        <v>0</v>
      </c>
      <c r="M156" s="1" t="n">
        <v>0</v>
      </c>
      <c r="N156" s="1" t="s">
        <v>178</v>
      </c>
      <c r="Z156" s="0" t="n">
        <f aca="false">I156-3</f>
        <v>178.8</v>
      </c>
      <c r="AB156" s="0" t="n">
        <f aca="false">IF(Z156&lt;0,Z156+360,Z156+0)</f>
        <v>178.8</v>
      </c>
    </row>
    <row r="157" customFormat="false" ht="15.8" hidden="false" customHeight="false" outlineLevel="0" collapsed="false">
      <c r="A157" s="1" t="n">
        <v>7</v>
      </c>
      <c r="B157" s="1" t="n">
        <v>13</v>
      </c>
      <c r="C157" s="1" t="n">
        <v>5.1</v>
      </c>
      <c r="D157" s="1" t="n">
        <v>1.3175</v>
      </c>
      <c r="E157" s="1" t="n">
        <v>0.175004</v>
      </c>
      <c r="F157" s="1" t="n">
        <v>0.000476273</v>
      </c>
      <c r="G157" s="1" t="s">
        <v>27</v>
      </c>
      <c r="H157" s="1" t="n">
        <v>36.2</v>
      </c>
      <c r="I157" s="1" t="n">
        <v>351.6</v>
      </c>
      <c r="J157" s="1" t="n">
        <v>41.8</v>
      </c>
      <c r="K157" s="1"/>
      <c r="L157" s="1" t="n">
        <v>0</v>
      </c>
      <c r="M157" s="1" t="n">
        <v>0</v>
      </c>
      <c r="N157" s="1" t="s">
        <v>179</v>
      </c>
      <c r="Z157" s="0" t="n">
        <f aca="false">I157-3</f>
        <v>348.6</v>
      </c>
      <c r="AB157" s="0" t="n">
        <f aca="false">IF(Z157&lt;0,Z157+360,Z157+0)</f>
        <v>348.6</v>
      </c>
    </row>
    <row r="158" customFormat="false" ht="15.8" hidden="false" customHeight="false" outlineLevel="0" collapsed="false">
      <c r="A158" s="1" t="n">
        <v>7</v>
      </c>
      <c r="B158" s="1" t="n">
        <v>14</v>
      </c>
      <c r="C158" s="1" t="n">
        <v>1</v>
      </c>
      <c r="D158" s="1" t="n">
        <v>1.1697</v>
      </c>
      <c r="E158" s="1" t="n">
        <v>0.0354978</v>
      </c>
      <c r="F158" s="1" t="n">
        <v>9.66071E-005</v>
      </c>
      <c r="G158" s="1" t="s">
        <v>27</v>
      </c>
      <c r="H158" s="1" t="n">
        <v>91.8</v>
      </c>
      <c r="I158" s="1" t="n">
        <v>31.8</v>
      </c>
      <c r="J158" s="1" t="n">
        <v>-24.6</v>
      </c>
      <c r="K158" s="1"/>
      <c r="L158" s="1" t="n">
        <v>0</v>
      </c>
      <c r="M158" s="1" t="n">
        <v>0</v>
      </c>
      <c r="N158" s="1" t="s">
        <v>180</v>
      </c>
      <c r="Z158" s="0" t="n">
        <f aca="false">I158-3</f>
        <v>28.8</v>
      </c>
      <c r="AB158" s="0" t="n">
        <f aca="false">IF(Z158&lt;0,Z158+360,Z158+0)</f>
        <v>28.8</v>
      </c>
    </row>
    <row r="159" customFormat="false" ht="15.8" hidden="false" customHeight="false" outlineLevel="0" collapsed="false">
      <c r="A159" s="1" t="n">
        <v>7</v>
      </c>
      <c r="B159" s="1" t="n">
        <v>14</v>
      </c>
      <c r="C159" s="1" t="n">
        <v>3.1</v>
      </c>
      <c r="D159" s="1" t="n">
        <v>1.2254</v>
      </c>
      <c r="E159" s="1" t="n">
        <v>0.105039</v>
      </c>
      <c r="F159" s="1" t="n">
        <v>0.000285863</v>
      </c>
      <c r="G159" s="1" t="s">
        <v>27</v>
      </c>
      <c r="H159" s="1" t="n">
        <v>47.9</v>
      </c>
      <c r="I159" s="1" t="n">
        <v>130.2</v>
      </c>
      <c r="J159" s="1" t="n">
        <v>17.2</v>
      </c>
      <c r="K159" s="1"/>
      <c r="L159" s="1" t="n">
        <v>0</v>
      </c>
      <c r="M159" s="1" t="n">
        <v>0</v>
      </c>
      <c r="N159" s="1" t="s">
        <v>180</v>
      </c>
      <c r="Z159" s="0" t="n">
        <f aca="false">I159-3</f>
        <v>127.2</v>
      </c>
      <c r="AB159" s="0" t="n">
        <f aca="false">IF(Z159&lt;0,Z159+360,Z159+0)</f>
        <v>127.2</v>
      </c>
    </row>
    <row r="160" customFormat="false" ht="15.8" hidden="false" customHeight="false" outlineLevel="0" collapsed="false">
      <c r="A160" s="1" t="n">
        <v>7</v>
      </c>
      <c r="B160" s="1" t="n">
        <v>13</v>
      </c>
      <c r="C160" s="1" t="n">
        <v>1</v>
      </c>
      <c r="D160" s="1" t="n">
        <v>1.1</v>
      </c>
      <c r="E160" s="1" t="n">
        <v>0.0350518</v>
      </c>
      <c r="F160" s="1" t="n">
        <v>9.53931E-005</v>
      </c>
      <c r="G160" s="1" t="s">
        <v>37</v>
      </c>
      <c r="H160" s="1" t="n">
        <v>30.1</v>
      </c>
      <c r="I160" s="1" t="n">
        <v>88.9</v>
      </c>
      <c r="J160" s="1" t="n">
        <v>52.6</v>
      </c>
      <c r="K160" s="1" t="n">
        <v>91.8</v>
      </c>
      <c r="L160" s="1" t="n">
        <v>0</v>
      </c>
      <c r="M160" s="1" t="n">
        <v>0</v>
      </c>
      <c r="N160" s="1" t="s">
        <v>179</v>
      </c>
      <c r="Z160" s="0" t="n">
        <f aca="false">I160-3</f>
        <v>85.9</v>
      </c>
      <c r="AB160" s="0" t="n">
        <f aca="false">IF(Z160&lt;0,Z160+360,Z160+0)</f>
        <v>85.9</v>
      </c>
    </row>
    <row r="161" customFormat="false" ht="15.8" hidden="false" customHeight="false" outlineLevel="0" collapsed="false">
      <c r="A161" s="1" t="n">
        <v>7</v>
      </c>
      <c r="B161" s="1" t="n">
        <v>12</v>
      </c>
      <c r="C161" s="1" t="n">
        <v>0.8</v>
      </c>
      <c r="D161" s="1" t="n">
        <v>1.0157</v>
      </c>
      <c r="E161" s="1" t="n">
        <v>0.0271383</v>
      </c>
      <c r="F161" s="1" t="n">
        <v>7.38566E-005</v>
      </c>
      <c r="G161" s="1" t="s">
        <v>37</v>
      </c>
      <c r="H161" s="1" t="n">
        <v>42.1</v>
      </c>
      <c r="I161" s="1" t="n">
        <v>34.4</v>
      </c>
      <c r="J161" s="1" t="n">
        <v>71.3</v>
      </c>
      <c r="K161" s="1" t="n">
        <v>36.2</v>
      </c>
      <c r="L161" s="1" t="n">
        <v>0</v>
      </c>
      <c r="M161" s="1" t="n">
        <v>0</v>
      </c>
      <c r="N161" s="1" t="s">
        <v>178</v>
      </c>
      <c r="Z161" s="0" t="n">
        <f aca="false">I161-3</f>
        <v>31.4</v>
      </c>
      <c r="AB161" s="0" t="n">
        <f aca="false">IF(Z161&lt;0,Z161+360,Z161+0)</f>
        <v>31.4</v>
      </c>
    </row>
    <row r="162" customFormat="false" ht="15.8" hidden="false" customHeight="false" outlineLevel="0" collapsed="false">
      <c r="A162" s="1" t="n">
        <v>7</v>
      </c>
      <c r="B162" s="1" t="n">
        <v>11</v>
      </c>
      <c r="C162" s="1" t="n">
        <v>5.2</v>
      </c>
      <c r="D162" s="1" t="n">
        <v>1.1635</v>
      </c>
      <c r="E162" s="1" t="n">
        <v>0.178156</v>
      </c>
      <c r="F162" s="1" t="n">
        <v>0.000484851</v>
      </c>
      <c r="G162" s="1" t="s">
        <v>37</v>
      </c>
      <c r="H162" s="1" t="n">
        <v>90.1</v>
      </c>
      <c r="I162" s="1" t="n">
        <v>241</v>
      </c>
      <c r="J162" s="1" t="n">
        <v>65.4</v>
      </c>
      <c r="K162" s="1" t="n">
        <v>73.4</v>
      </c>
      <c r="L162" s="1" t="n">
        <v>0</v>
      </c>
      <c r="M162" s="1" t="n">
        <v>0</v>
      </c>
      <c r="N162" s="1" t="s">
        <v>177</v>
      </c>
      <c r="Z162" s="0" t="n">
        <f aca="false">I162-3</f>
        <v>238</v>
      </c>
      <c r="AB162" s="0" t="n">
        <f aca="false">IF(Z162&lt;0,Z162+360,Z162+0)</f>
        <v>238</v>
      </c>
    </row>
    <row r="163" customFormat="false" ht="15.8" hidden="false" customHeight="false" outlineLevel="0" collapsed="false">
      <c r="A163" s="1" t="n">
        <v>7</v>
      </c>
      <c r="B163" s="1" t="n">
        <v>10</v>
      </c>
      <c r="C163" s="1" t="n">
        <v>0.4</v>
      </c>
      <c r="D163" s="1" t="n">
        <v>1.017</v>
      </c>
      <c r="E163" s="1" t="n">
        <v>0.0147486</v>
      </c>
      <c r="F163" s="1" t="n">
        <v>4.01381E-005</v>
      </c>
      <c r="G163" s="1" t="s">
        <v>37</v>
      </c>
      <c r="H163" s="1" t="n">
        <v>24.5</v>
      </c>
      <c r="I163" s="1" t="n">
        <v>150.8</v>
      </c>
      <c r="J163" s="1" t="n">
        <v>0</v>
      </c>
      <c r="K163" s="1" t="n">
        <v>90.1</v>
      </c>
      <c r="L163" s="1" t="n">
        <v>0</v>
      </c>
      <c r="M163" s="1" t="n">
        <v>0</v>
      </c>
      <c r="N163" s="1" t="s">
        <v>167</v>
      </c>
      <c r="Z163" s="0" t="n">
        <f aca="false">I163-3</f>
        <v>147.8</v>
      </c>
      <c r="AB163" s="0" t="n">
        <f aca="false">IF(Z163&lt;0,Z163+360,Z163+0)</f>
        <v>147.8</v>
      </c>
    </row>
    <row r="164" customFormat="false" ht="15.8" hidden="false" customHeight="false" outlineLevel="0" collapsed="false">
      <c r="A164" s="1" t="n">
        <v>7</v>
      </c>
      <c r="B164" s="1" t="n">
        <v>9</v>
      </c>
      <c r="C164" s="1" t="n">
        <v>2.9</v>
      </c>
      <c r="D164" s="1" t="n">
        <v>1.205</v>
      </c>
      <c r="E164" s="1" t="n">
        <v>0.100232</v>
      </c>
      <c r="F164" s="1" t="n">
        <v>0.00027278</v>
      </c>
      <c r="G164" s="1" t="s">
        <v>37</v>
      </c>
      <c r="H164" s="1" t="n">
        <v>44.6</v>
      </c>
      <c r="I164" s="1" t="n">
        <v>168</v>
      </c>
      <c r="J164" s="1" t="n">
        <v>-17.7</v>
      </c>
      <c r="K164" s="1" t="n">
        <v>104.1</v>
      </c>
      <c r="L164" s="1" t="n">
        <v>0</v>
      </c>
      <c r="M164" s="1" t="n">
        <v>0</v>
      </c>
      <c r="N164" s="1" t="s">
        <v>166</v>
      </c>
      <c r="Z164" s="0" t="n">
        <f aca="false">I164-3</f>
        <v>165</v>
      </c>
      <c r="AB164" s="0" t="n">
        <f aca="false">IF(Z164&lt;0,Z164+360,Z164+0)</f>
        <v>165</v>
      </c>
    </row>
    <row r="165" customFormat="false" ht="15.8" hidden="false" customHeight="false" outlineLevel="0" collapsed="false">
      <c r="A165" s="1" t="n">
        <v>7</v>
      </c>
      <c r="B165" s="1" t="n">
        <v>8</v>
      </c>
      <c r="C165" s="1" t="n">
        <v>3.1</v>
      </c>
      <c r="D165" s="1" t="n">
        <v>1.1103</v>
      </c>
      <c r="E165" s="1" t="n">
        <v>0.106293</v>
      </c>
      <c r="F165" s="1" t="n">
        <v>0.000289275</v>
      </c>
      <c r="G165" s="1" t="s">
        <v>37</v>
      </c>
      <c r="H165" s="1" t="n">
        <v>39</v>
      </c>
      <c r="I165" s="1" t="n">
        <v>123.3</v>
      </c>
      <c r="J165" s="1" t="n">
        <v>-7.6</v>
      </c>
      <c r="K165" s="1" t="n">
        <v>68.8</v>
      </c>
      <c r="L165" s="1" t="n">
        <v>0</v>
      </c>
      <c r="M165" s="1" t="n">
        <v>0</v>
      </c>
      <c r="N165" s="1" t="s">
        <v>181</v>
      </c>
      <c r="Z165" s="0" t="n">
        <f aca="false">I165-3</f>
        <v>120.3</v>
      </c>
      <c r="AB165" s="0" t="n">
        <f aca="false">IF(Z165&lt;0,Z165+360,Z165+0)</f>
        <v>120.3</v>
      </c>
    </row>
    <row r="166" customFormat="false" ht="15.8" hidden="false" customHeight="false" outlineLevel="0" collapsed="false">
      <c r="A166" s="1" t="n">
        <v>7</v>
      </c>
      <c r="B166" s="1" t="n">
        <v>9</v>
      </c>
      <c r="C166" s="1" t="n">
        <v>0.9</v>
      </c>
      <c r="D166" s="1" t="n">
        <v>1.2578</v>
      </c>
      <c r="E166" s="1" t="n">
        <v>0.0307929</v>
      </c>
      <c r="F166" s="1" t="n">
        <v>8.38027E-005</v>
      </c>
      <c r="G166" s="1" t="s">
        <v>27</v>
      </c>
      <c r="H166" s="1" t="n">
        <v>66.2</v>
      </c>
      <c r="I166" s="1" t="n">
        <v>257.7</v>
      </c>
      <c r="J166" s="1" t="n">
        <v>31.1</v>
      </c>
      <c r="K166" s="1"/>
      <c r="L166" s="1" t="n">
        <v>0</v>
      </c>
      <c r="M166" s="1" t="n">
        <v>0</v>
      </c>
      <c r="N166" s="1" t="s">
        <v>182</v>
      </c>
      <c r="Z166" s="0" t="n">
        <f aca="false">I166-3</f>
        <v>254.7</v>
      </c>
      <c r="AB166" s="0" t="n">
        <f aca="false">IF(Z166&lt;0,Z166+360,Z166+0)</f>
        <v>254.7</v>
      </c>
    </row>
    <row r="167" customFormat="false" ht="15.8" hidden="false" customHeight="false" outlineLevel="0" collapsed="false">
      <c r="A167" s="1" t="n">
        <v>7</v>
      </c>
      <c r="B167" s="1" t="n">
        <v>9</v>
      </c>
      <c r="C167" s="1" t="n">
        <v>0.5</v>
      </c>
      <c r="D167" s="1" t="n">
        <v>1.0044</v>
      </c>
      <c r="E167" s="1" t="n">
        <v>0.0186279</v>
      </c>
      <c r="F167" s="1" t="n">
        <v>5.06956E-005</v>
      </c>
      <c r="G167" s="1" t="s">
        <v>27</v>
      </c>
      <c r="H167" s="1" t="n">
        <v>23.9</v>
      </c>
      <c r="I167" s="1" t="n">
        <v>169.6</v>
      </c>
      <c r="J167" s="1" t="n">
        <v>0</v>
      </c>
      <c r="K167" s="1"/>
      <c r="L167" s="1" t="n">
        <v>0</v>
      </c>
      <c r="M167" s="1" t="n">
        <v>0</v>
      </c>
      <c r="N167" s="1" t="s">
        <v>182</v>
      </c>
      <c r="Z167" s="0" t="n">
        <f aca="false">I167-3</f>
        <v>166.6</v>
      </c>
      <c r="AB167" s="0" t="n">
        <f aca="false">IF(Z167&lt;0,Z167+360,Z167+0)</f>
        <v>166.6</v>
      </c>
    </row>
    <row r="168" customFormat="false" ht="15.8" hidden="false" customHeight="false" outlineLevel="0" collapsed="false">
      <c r="A168" s="1" t="n">
        <v>7</v>
      </c>
      <c r="B168" s="1" t="n">
        <v>8</v>
      </c>
      <c r="C168" s="1" t="n">
        <v>11.5</v>
      </c>
      <c r="D168" s="1" t="n">
        <v>1.245</v>
      </c>
      <c r="E168" s="1" t="n">
        <v>0.393743</v>
      </c>
      <c r="F168" s="1" t="n">
        <v>0.00107157</v>
      </c>
      <c r="G168" s="1" t="s">
        <v>37</v>
      </c>
      <c r="H168" s="1" t="n">
        <v>105</v>
      </c>
      <c r="I168" s="1" t="n">
        <v>184.8</v>
      </c>
      <c r="J168" s="1" t="n">
        <v>18.7</v>
      </c>
      <c r="K168" s="1" t="n">
        <v>66.2</v>
      </c>
      <c r="L168" s="1" t="n">
        <v>0</v>
      </c>
      <c r="M168" s="1" t="n">
        <v>0</v>
      </c>
      <c r="N168" s="1" t="s">
        <v>181</v>
      </c>
      <c r="Z168" s="0" t="n">
        <f aca="false">I168-3</f>
        <v>181.8</v>
      </c>
      <c r="AB168" s="0" t="n">
        <f aca="false">IF(Z168&lt;0,Z168+360,Z168+0)</f>
        <v>181.8</v>
      </c>
    </row>
    <row r="169" customFormat="false" ht="15.8" hidden="false" customHeight="false" outlineLevel="0" collapsed="false">
      <c r="A169" s="1" t="n">
        <v>7</v>
      </c>
      <c r="B169" s="1" t="n">
        <v>11</v>
      </c>
      <c r="C169" s="1" t="n">
        <v>0.5</v>
      </c>
      <c r="D169" s="1" t="n">
        <v>1.0273</v>
      </c>
      <c r="E169" s="1" t="n">
        <v>0.0178824</v>
      </c>
      <c r="F169" s="1" t="n">
        <v>4.86667E-005</v>
      </c>
      <c r="G169" s="1" t="s">
        <v>27</v>
      </c>
      <c r="H169" s="1" t="n">
        <v>48.5</v>
      </c>
      <c r="I169" s="1" t="n">
        <v>131.5</v>
      </c>
      <c r="J169" s="1" t="n">
        <v>0</v>
      </c>
      <c r="K169" s="1"/>
      <c r="L169" s="1" t="n">
        <v>0</v>
      </c>
      <c r="M169" s="1" t="n">
        <v>0</v>
      </c>
      <c r="N169" s="1" t="s">
        <v>183</v>
      </c>
      <c r="Z169" s="0" t="n">
        <f aca="false">I169-3</f>
        <v>128.5</v>
      </c>
      <c r="AB169" s="0" t="n">
        <f aca="false">IF(Z169&lt;0,Z169+360,Z169+0)</f>
        <v>128.5</v>
      </c>
    </row>
    <row r="170" customFormat="false" ht="15.8" hidden="false" customHeight="false" outlineLevel="0" collapsed="false">
      <c r="A170" s="1" t="n">
        <v>7</v>
      </c>
      <c r="B170" s="1" t="n">
        <v>11</v>
      </c>
      <c r="C170" s="1" t="n">
        <v>0.7</v>
      </c>
      <c r="D170" s="1" t="n">
        <v>1.0148</v>
      </c>
      <c r="E170" s="1" t="n">
        <v>0.0227829</v>
      </c>
      <c r="F170" s="1" t="n">
        <v>6.20035E-005</v>
      </c>
      <c r="G170" s="1" t="s">
        <v>27</v>
      </c>
      <c r="H170" s="1" t="n">
        <v>49.7</v>
      </c>
      <c r="I170" s="1" t="n">
        <v>229.7</v>
      </c>
      <c r="J170" s="1" t="n">
        <v>0</v>
      </c>
      <c r="K170" s="1"/>
      <c r="L170" s="1" t="n">
        <v>0</v>
      </c>
      <c r="M170" s="1" t="n">
        <v>0</v>
      </c>
      <c r="N170" s="1" t="s">
        <v>183</v>
      </c>
      <c r="Z170" s="0" t="n">
        <f aca="false">I170-3</f>
        <v>226.7</v>
      </c>
      <c r="AB170" s="0" t="n">
        <f aca="false">IF(Z170&lt;0,Z170+360,Z170+0)</f>
        <v>226.7</v>
      </c>
    </row>
    <row r="171" customFormat="false" ht="15.8" hidden="false" customHeight="false" outlineLevel="0" collapsed="false">
      <c r="A171" s="1" t="n">
        <v>7</v>
      </c>
      <c r="B171" s="1" t="n">
        <v>10</v>
      </c>
      <c r="C171" s="1" t="n">
        <v>0.5</v>
      </c>
      <c r="D171" s="1" t="n">
        <v>1.025</v>
      </c>
      <c r="E171" s="1" t="n">
        <v>0.0167915</v>
      </c>
      <c r="F171" s="1" t="n">
        <v>4.5698E-005</v>
      </c>
      <c r="G171" s="1" t="s">
        <v>37</v>
      </c>
      <c r="H171" s="1" t="n">
        <v>98.8</v>
      </c>
      <c r="I171" s="1" t="n">
        <v>180</v>
      </c>
      <c r="J171" s="1" t="n">
        <v>0</v>
      </c>
      <c r="K171" s="1" t="n">
        <v>49.7</v>
      </c>
      <c r="L171" s="1" t="n">
        <v>0</v>
      </c>
      <c r="M171" s="1" t="n">
        <v>0</v>
      </c>
      <c r="N171" s="1" t="s">
        <v>184</v>
      </c>
      <c r="Z171" s="0" t="n">
        <f aca="false">I171-3</f>
        <v>177</v>
      </c>
      <c r="AB171" s="0" t="n">
        <f aca="false">IF(Z171&lt;0,Z171+360,Z171+0)</f>
        <v>177</v>
      </c>
    </row>
    <row r="172" customFormat="false" ht="15.8" hidden="false" customHeight="false" outlineLevel="0" collapsed="false">
      <c r="A172" s="1" t="n">
        <v>7</v>
      </c>
      <c r="B172" s="1" t="n">
        <v>11</v>
      </c>
      <c r="C172" s="1" t="n">
        <v>5.2</v>
      </c>
      <c r="D172" s="1" t="n">
        <v>1.348</v>
      </c>
      <c r="E172" s="1" t="n">
        <v>0.178217</v>
      </c>
      <c r="F172" s="1" t="n">
        <v>0.000485017</v>
      </c>
      <c r="G172" s="1" t="s">
        <v>27</v>
      </c>
      <c r="H172" s="1" t="n">
        <v>56.1</v>
      </c>
      <c r="I172" s="1" t="n">
        <v>74.2</v>
      </c>
      <c r="J172" s="1" t="n">
        <v>-28.6</v>
      </c>
      <c r="K172" s="1"/>
      <c r="L172" s="1" t="n">
        <v>0</v>
      </c>
      <c r="M172" s="1" t="n">
        <v>0</v>
      </c>
      <c r="N172" s="1" t="s">
        <v>185</v>
      </c>
      <c r="Z172" s="0" t="n">
        <f aca="false">I172-3</f>
        <v>71.2</v>
      </c>
      <c r="AB172" s="0" t="n">
        <f aca="false">IF(Z172&lt;0,Z172+360,Z172+0)</f>
        <v>71.2</v>
      </c>
    </row>
    <row r="173" customFormat="false" ht="15.8" hidden="false" customHeight="false" outlineLevel="0" collapsed="false">
      <c r="A173" s="1" t="n">
        <v>7</v>
      </c>
      <c r="B173" s="1" t="n">
        <v>11</v>
      </c>
      <c r="C173" s="1" t="n">
        <v>2.1</v>
      </c>
      <c r="D173" s="1" t="n">
        <v>1.0943</v>
      </c>
      <c r="E173" s="1" t="n">
        <v>0.0719677</v>
      </c>
      <c r="F173" s="1" t="n">
        <v>0.00019586</v>
      </c>
      <c r="G173" s="1" t="s">
        <v>27</v>
      </c>
      <c r="H173" s="1" t="n">
        <v>103</v>
      </c>
      <c r="I173" s="1" t="n">
        <v>273.6</v>
      </c>
      <c r="J173" s="1" t="n">
        <v>11.1</v>
      </c>
      <c r="K173" s="1"/>
      <c r="L173" s="1" t="n">
        <v>0</v>
      </c>
      <c r="M173" s="1" t="n">
        <v>0</v>
      </c>
      <c r="N173" s="1" t="s">
        <v>185</v>
      </c>
      <c r="Z173" s="0" t="n">
        <f aca="false">I173-3</f>
        <v>270.6</v>
      </c>
      <c r="AB173" s="0" t="n">
        <f aca="false">IF(Z173&lt;0,Z173+360,Z173+0)</f>
        <v>270.6</v>
      </c>
    </row>
    <row r="174" customFormat="false" ht="15.8" hidden="false" customHeight="false" outlineLevel="0" collapsed="false">
      <c r="A174" s="1" t="n">
        <v>7</v>
      </c>
      <c r="B174" s="1" t="n">
        <v>12</v>
      </c>
      <c r="C174" s="1" t="n">
        <v>5.4</v>
      </c>
      <c r="D174" s="1" t="n">
        <v>1.5563</v>
      </c>
      <c r="E174" s="1" t="n">
        <v>0.184463</v>
      </c>
      <c r="F174" s="1" t="n">
        <v>0.000502015</v>
      </c>
      <c r="G174" s="1" t="s">
        <v>27</v>
      </c>
      <c r="H174" s="1" t="n">
        <v>32.9</v>
      </c>
      <c r="I174" s="1" t="n">
        <v>330.7</v>
      </c>
      <c r="J174" s="1" t="n">
        <v>-25.3</v>
      </c>
      <c r="K174" s="1"/>
      <c r="L174" s="1" t="n">
        <v>0</v>
      </c>
      <c r="M174" s="1" t="n">
        <v>0</v>
      </c>
      <c r="N174" s="1" t="s">
        <v>186</v>
      </c>
      <c r="Z174" s="0" t="n">
        <f aca="false">I174-3</f>
        <v>327.7</v>
      </c>
      <c r="AB174" s="0" t="n">
        <f aca="false">IF(Z174&lt;0,Z174+360,Z174+0)</f>
        <v>327.7</v>
      </c>
    </row>
    <row r="175" customFormat="false" ht="15.8" hidden="false" customHeight="false" outlineLevel="0" collapsed="false">
      <c r="A175" s="1" t="n">
        <v>7</v>
      </c>
      <c r="B175" s="1" t="n">
        <v>13</v>
      </c>
      <c r="C175" s="1" t="n">
        <v>7.8</v>
      </c>
      <c r="D175" s="1" t="n">
        <v>1.402</v>
      </c>
      <c r="E175" s="1" t="n">
        <v>0.266024</v>
      </c>
      <c r="F175" s="1" t="n">
        <v>0.000723982</v>
      </c>
      <c r="G175" s="1" t="s">
        <v>27</v>
      </c>
      <c r="H175" s="1" t="n">
        <v>39.1</v>
      </c>
      <c r="I175" s="1" t="n">
        <v>351.7</v>
      </c>
      <c r="J175" s="1" t="n">
        <v>27.8</v>
      </c>
      <c r="K175" s="1"/>
      <c r="L175" s="1" t="n">
        <v>0</v>
      </c>
      <c r="M175" s="1" t="n">
        <v>0</v>
      </c>
      <c r="N175" s="1" t="s">
        <v>187</v>
      </c>
      <c r="Z175" s="0" t="n">
        <f aca="false">I175-3</f>
        <v>348.7</v>
      </c>
      <c r="AB175" s="0" t="n">
        <f aca="false">IF(Z175&lt;0,Z175+360,Z175+0)</f>
        <v>348.7</v>
      </c>
    </row>
    <row r="176" customFormat="false" ht="15.8" hidden="false" customHeight="false" outlineLevel="0" collapsed="false">
      <c r="A176" s="1" t="n">
        <v>7</v>
      </c>
      <c r="B176" s="1" t="n">
        <v>16</v>
      </c>
      <c r="C176" s="1" t="n">
        <v>1.8</v>
      </c>
      <c r="D176" s="1" t="n">
        <v>1.2591</v>
      </c>
      <c r="E176" s="1" t="n">
        <v>0.0625246</v>
      </c>
      <c r="F176" s="1" t="n">
        <v>0.00017016</v>
      </c>
      <c r="G176" s="1" t="s">
        <v>27</v>
      </c>
      <c r="H176" s="1" t="n">
        <v>50.6</v>
      </c>
      <c r="I176" s="1" t="n">
        <v>247.5</v>
      </c>
      <c r="J176" s="1" t="n">
        <v>-30.6</v>
      </c>
      <c r="K176" s="1"/>
      <c r="L176" s="1" t="n">
        <v>0</v>
      </c>
      <c r="M176" s="1" t="n">
        <v>0</v>
      </c>
      <c r="N176" s="1" t="s">
        <v>188</v>
      </c>
      <c r="Z176" s="0" t="n">
        <f aca="false">I176-3</f>
        <v>244.5</v>
      </c>
      <c r="AB176" s="0" t="n">
        <f aca="false">IF(Z176&lt;0,Z176+360,Z176+0)</f>
        <v>244.5</v>
      </c>
    </row>
    <row r="177" customFormat="false" ht="15.8" hidden="false" customHeight="false" outlineLevel="0" collapsed="false">
      <c r="A177" s="1" t="n">
        <v>7</v>
      </c>
      <c r="B177" s="1" t="n">
        <v>17</v>
      </c>
      <c r="C177" s="1" t="n">
        <v>2.2</v>
      </c>
      <c r="D177" s="1" t="n">
        <v>1.3813</v>
      </c>
      <c r="E177" s="1" t="n">
        <v>0.0759343</v>
      </c>
      <c r="F177" s="1" t="n">
        <v>0.000206654</v>
      </c>
      <c r="G177" s="1" t="s">
        <v>27</v>
      </c>
      <c r="H177" s="1" t="n">
        <v>75.3</v>
      </c>
      <c r="I177" s="1" t="n">
        <v>98.8</v>
      </c>
      <c r="J177" s="1" t="n">
        <v>13.3</v>
      </c>
      <c r="K177" s="1"/>
      <c r="L177" s="1" t="n">
        <v>0</v>
      </c>
      <c r="M177" s="1" t="n">
        <v>0</v>
      </c>
      <c r="N177" s="1" t="s">
        <v>189</v>
      </c>
      <c r="Z177" s="0" t="n">
        <f aca="false">I177-3</f>
        <v>95.8</v>
      </c>
      <c r="AB177" s="0" t="n">
        <f aca="false">IF(Z177&lt;0,Z177+360,Z177+0)</f>
        <v>95.8</v>
      </c>
    </row>
    <row r="178" customFormat="false" ht="15.8" hidden="false" customHeight="false" outlineLevel="0" collapsed="false">
      <c r="A178" s="1" t="n">
        <v>7</v>
      </c>
      <c r="B178" s="1" t="n">
        <v>17</v>
      </c>
      <c r="C178" s="1" t="n">
        <v>3</v>
      </c>
      <c r="D178" s="1" t="n">
        <v>1.0333</v>
      </c>
      <c r="E178" s="1" t="n">
        <v>0.102177</v>
      </c>
      <c r="F178" s="1" t="n">
        <v>0.000278074</v>
      </c>
      <c r="G178" s="1" t="s">
        <v>27</v>
      </c>
      <c r="H178" s="1" t="n">
        <v>67.4</v>
      </c>
      <c r="I178" s="1" t="n">
        <v>356.1</v>
      </c>
      <c r="J178" s="1" t="n">
        <v>0</v>
      </c>
      <c r="K178" s="1"/>
      <c r="L178" s="1" t="n">
        <v>0</v>
      </c>
      <c r="M178" s="1" t="n">
        <v>0</v>
      </c>
      <c r="N178" s="1" t="s">
        <v>189</v>
      </c>
      <c r="Z178" s="0" t="n">
        <f aca="false">I178-3</f>
        <v>353.1</v>
      </c>
      <c r="AB178" s="0" t="n">
        <f aca="false">IF(Z178&lt;0,Z178+360,Z178+0)</f>
        <v>353.1</v>
      </c>
    </row>
    <row r="179" customFormat="false" ht="15.8" hidden="false" customHeight="false" outlineLevel="0" collapsed="false">
      <c r="A179" s="1" t="n">
        <v>7</v>
      </c>
      <c r="B179" s="1" t="n">
        <v>16</v>
      </c>
      <c r="C179" s="1" t="n">
        <v>0.5</v>
      </c>
      <c r="D179" s="1" t="n">
        <v>1.1167</v>
      </c>
      <c r="E179" s="1" t="n">
        <v>0.0188012</v>
      </c>
      <c r="F179" s="1" t="n">
        <v>5.11673E-005</v>
      </c>
      <c r="G179" s="1" t="s">
        <v>37</v>
      </c>
      <c r="H179" s="1" t="n">
        <v>78.5</v>
      </c>
      <c r="I179" s="1" t="n">
        <v>50.4</v>
      </c>
      <c r="J179" s="1" t="n">
        <v>-48.7</v>
      </c>
      <c r="K179" s="1" t="n">
        <v>75.3</v>
      </c>
      <c r="L179" s="1" t="n">
        <v>0</v>
      </c>
      <c r="M179" s="1" t="n">
        <v>0</v>
      </c>
      <c r="N179" s="1" t="s">
        <v>188</v>
      </c>
      <c r="Z179" s="0" t="n">
        <f aca="false">I179-3</f>
        <v>47.4</v>
      </c>
      <c r="AB179" s="0" t="n">
        <f aca="false">IF(Z179&lt;0,Z179+360,Z179+0)</f>
        <v>47.4</v>
      </c>
    </row>
    <row r="180" customFormat="false" ht="15.8" hidden="false" customHeight="false" outlineLevel="0" collapsed="false">
      <c r="A180" s="1" t="n">
        <v>7</v>
      </c>
      <c r="B180" s="1" t="n">
        <v>15</v>
      </c>
      <c r="C180" s="1" t="n">
        <v>4.6</v>
      </c>
      <c r="D180" s="1" t="n">
        <v>1.897</v>
      </c>
      <c r="E180" s="1" t="n">
        <v>0.156177</v>
      </c>
      <c r="F180" s="1" t="n">
        <v>0.000425034</v>
      </c>
      <c r="G180" s="1" t="s">
        <v>37</v>
      </c>
      <c r="H180" s="1" t="n">
        <v>61.7</v>
      </c>
      <c r="I180" s="1" t="n">
        <v>305.9</v>
      </c>
      <c r="J180" s="1" t="n">
        <v>-27.5</v>
      </c>
      <c r="K180" s="1" t="n">
        <v>78.5</v>
      </c>
      <c r="L180" s="1" t="n">
        <v>0</v>
      </c>
      <c r="M180" s="1" t="n">
        <v>0</v>
      </c>
      <c r="N180" s="1" t="s">
        <v>190</v>
      </c>
      <c r="Z180" s="0" t="n">
        <f aca="false">I180-3</f>
        <v>302.9</v>
      </c>
      <c r="AB180" s="0" t="n">
        <f aca="false">IF(Z180&lt;0,Z180+360,Z180+0)</f>
        <v>302.9</v>
      </c>
    </row>
    <row r="181" customFormat="false" ht="15.8" hidden="false" customHeight="false" outlineLevel="0" collapsed="false">
      <c r="A181" s="1" t="n">
        <v>7</v>
      </c>
      <c r="B181" s="1" t="n">
        <v>15</v>
      </c>
      <c r="C181" s="1" t="n">
        <v>4.8</v>
      </c>
      <c r="D181" s="1" t="n">
        <v>1.1055</v>
      </c>
      <c r="E181" s="1" t="n">
        <v>0.164331</v>
      </c>
      <c r="F181" s="1" t="n">
        <v>0.000447225</v>
      </c>
      <c r="G181" s="1" t="s">
        <v>27</v>
      </c>
      <c r="H181" s="1" t="n">
        <v>20.4</v>
      </c>
      <c r="I181" s="1" t="n">
        <v>13</v>
      </c>
      <c r="J181" s="1" t="n">
        <v>0</v>
      </c>
      <c r="K181" s="1"/>
      <c r="L181" s="1" t="n">
        <v>0</v>
      </c>
      <c r="M181" s="1" t="n">
        <v>0</v>
      </c>
      <c r="N181" s="1" t="s">
        <v>190</v>
      </c>
      <c r="Z181" s="0" t="n">
        <f aca="false">I181-3</f>
        <v>10</v>
      </c>
      <c r="AB181" s="0" t="n">
        <f aca="false">IF(Z181&lt;0,Z181+360,Z181+0)</f>
        <v>10</v>
      </c>
    </row>
    <row r="182" customFormat="false" ht="15.8" hidden="false" customHeight="false" outlineLevel="0" collapsed="false">
      <c r="A182" s="1" t="n">
        <v>7</v>
      </c>
      <c r="B182" s="1" t="n">
        <v>14</v>
      </c>
      <c r="C182" s="1" t="n">
        <v>2.1</v>
      </c>
      <c r="D182" s="1" t="n">
        <v>1.0752</v>
      </c>
      <c r="E182" s="1" t="n">
        <v>0.0711544</v>
      </c>
      <c r="F182" s="1" t="n">
        <v>0.000193646</v>
      </c>
      <c r="G182" s="1" t="s">
        <v>37</v>
      </c>
      <c r="H182" s="1" t="n">
        <v>64</v>
      </c>
      <c r="I182" s="1" t="n">
        <v>355.7</v>
      </c>
      <c r="J182" s="1" t="n">
        <v>11</v>
      </c>
      <c r="K182" s="1" t="n">
        <v>61.7</v>
      </c>
      <c r="L182" s="1" t="n">
        <v>0</v>
      </c>
      <c r="M182" s="1" t="n">
        <v>0</v>
      </c>
      <c r="N182" s="1" t="s">
        <v>191</v>
      </c>
      <c r="Z182" s="0" t="n">
        <f aca="false">I182-3</f>
        <v>352.7</v>
      </c>
      <c r="AB182" s="0" t="n">
        <f aca="false">IF(Z182&lt;0,Z182+360,Z182+0)</f>
        <v>352.7</v>
      </c>
    </row>
    <row r="183" customFormat="false" ht="15.8" hidden="false" customHeight="false" outlineLevel="0" collapsed="false">
      <c r="A183" s="1" t="n">
        <v>7</v>
      </c>
      <c r="B183" s="1" t="n">
        <v>15</v>
      </c>
      <c r="C183" s="1" t="n">
        <v>2.3</v>
      </c>
      <c r="D183" s="1" t="n">
        <v>1.2131</v>
      </c>
      <c r="E183" s="1" t="n">
        <v>0.0783787</v>
      </c>
      <c r="F183" s="1" t="n">
        <v>0.000213307</v>
      </c>
      <c r="G183" s="1" t="s">
        <v>27</v>
      </c>
      <c r="H183" s="1" t="n">
        <v>91.7</v>
      </c>
      <c r="I183" s="1" t="n">
        <v>332.9</v>
      </c>
      <c r="J183" s="1" t="n">
        <v>36</v>
      </c>
      <c r="K183" s="1"/>
      <c r="L183" s="1" t="n">
        <v>0</v>
      </c>
      <c r="M183" s="1" t="n">
        <v>0</v>
      </c>
      <c r="N183" s="1" t="s">
        <v>192</v>
      </c>
      <c r="Z183" s="0" t="n">
        <f aca="false">I183-3</f>
        <v>329.9</v>
      </c>
      <c r="AB183" s="0" t="n">
        <f aca="false">IF(Z183&lt;0,Z183+360,Z183+0)</f>
        <v>329.9</v>
      </c>
    </row>
    <row r="184" customFormat="false" ht="15.8" hidden="false" customHeight="false" outlineLevel="0" collapsed="false">
      <c r="A184" s="1" t="n">
        <v>7</v>
      </c>
      <c r="B184" s="1" t="n">
        <v>16</v>
      </c>
      <c r="C184" s="1" t="n">
        <v>9</v>
      </c>
      <c r="D184" s="1" t="n">
        <v>1.1376</v>
      </c>
      <c r="E184" s="1" t="n">
        <v>0.309103</v>
      </c>
      <c r="F184" s="1" t="n">
        <v>0.000841222</v>
      </c>
      <c r="G184" s="1" t="s">
        <v>27</v>
      </c>
      <c r="H184" s="1" t="n">
        <v>128.1</v>
      </c>
      <c r="I184" s="1" t="n">
        <v>183.1</v>
      </c>
      <c r="J184" s="1" t="n">
        <v>-2.7</v>
      </c>
      <c r="K184" s="1"/>
      <c r="L184" s="1" t="n">
        <v>0</v>
      </c>
      <c r="M184" s="1" t="n">
        <v>0</v>
      </c>
      <c r="N184" s="1" t="s">
        <v>193</v>
      </c>
      <c r="Z184" s="0" t="n">
        <f aca="false">I184-3</f>
        <v>180.1</v>
      </c>
      <c r="AB184" s="0" t="n">
        <f aca="false">IF(Z184&lt;0,Z184+360,Z184+0)</f>
        <v>180.1</v>
      </c>
    </row>
    <row r="185" customFormat="false" ht="15.8" hidden="false" customHeight="false" outlineLevel="0" collapsed="false">
      <c r="A185" s="1" t="n">
        <v>7</v>
      </c>
      <c r="B185" s="1" t="n">
        <v>17</v>
      </c>
      <c r="C185" s="1" t="n">
        <v>1.7</v>
      </c>
      <c r="D185" s="1" t="n">
        <v>1.1181</v>
      </c>
      <c r="E185" s="1" t="n">
        <v>0.0591651</v>
      </c>
      <c r="F185" s="1" t="n">
        <v>0.000161017</v>
      </c>
      <c r="G185" s="1" t="s">
        <v>27</v>
      </c>
      <c r="H185" s="1" t="n">
        <v>40</v>
      </c>
      <c r="I185" s="1" t="n">
        <v>23.2</v>
      </c>
      <c r="J185" s="1" t="n">
        <v>-45.8</v>
      </c>
      <c r="K185" s="1"/>
      <c r="L185" s="1" t="n">
        <v>0</v>
      </c>
      <c r="M185" s="1" t="n">
        <v>0</v>
      </c>
      <c r="N185" s="1" t="s">
        <v>194</v>
      </c>
      <c r="Z185" s="0" t="n">
        <f aca="false">I185-3</f>
        <v>20.2</v>
      </c>
      <c r="AB185" s="0" t="n">
        <f aca="false">IF(Z185&lt;0,Z185+360,Z185+0)</f>
        <v>20.2</v>
      </c>
    </row>
    <row r="186" customFormat="false" ht="15.8" hidden="false" customHeight="false" outlineLevel="0" collapsed="false">
      <c r="A186" s="1" t="n">
        <v>7</v>
      </c>
      <c r="B186" s="1" t="n">
        <v>18</v>
      </c>
      <c r="C186" s="1" t="n">
        <v>1.9</v>
      </c>
      <c r="D186" s="1" t="n">
        <v>1.3777</v>
      </c>
      <c r="E186" s="1" t="n">
        <v>0.0647195</v>
      </c>
      <c r="F186" s="1" t="n">
        <v>0.000176134</v>
      </c>
      <c r="G186" s="1" t="s">
        <v>27</v>
      </c>
      <c r="H186" s="1" t="n">
        <v>67.9</v>
      </c>
      <c r="I186" s="1" t="n">
        <v>228.8</v>
      </c>
      <c r="J186" s="1" t="n">
        <v>32.6</v>
      </c>
      <c r="K186" s="1"/>
      <c r="L186" s="1" t="n">
        <v>0</v>
      </c>
      <c r="M186" s="1" t="n">
        <v>0</v>
      </c>
      <c r="N186" s="1" t="s">
        <v>195</v>
      </c>
      <c r="Z186" s="0" t="n">
        <f aca="false">I186-3</f>
        <v>225.8</v>
      </c>
      <c r="AB186" s="0" t="n">
        <f aca="false">IF(Z186&lt;0,Z186+360,Z186+0)</f>
        <v>225.8</v>
      </c>
    </row>
    <row r="187" customFormat="false" ht="15.8" hidden="false" customHeight="false" outlineLevel="0" collapsed="false">
      <c r="A187" s="1" t="n">
        <v>7</v>
      </c>
      <c r="B187" s="1" t="n">
        <v>18</v>
      </c>
      <c r="C187" s="1" t="n">
        <v>4.9</v>
      </c>
      <c r="D187" s="1" t="n">
        <v>1.2282</v>
      </c>
      <c r="E187" s="1" t="n">
        <v>0.168498</v>
      </c>
      <c r="F187" s="1" t="n">
        <v>0.000458565</v>
      </c>
      <c r="G187" s="1" t="s">
        <v>27</v>
      </c>
      <c r="H187" s="1" t="n">
        <v>50.2</v>
      </c>
      <c r="I187" s="1" t="n">
        <v>348.8</v>
      </c>
      <c r="J187" s="1" t="n">
        <v>-5.3</v>
      </c>
      <c r="K187" s="1"/>
      <c r="L187" s="1" t="n">
        <v>0</v>
      </c>
      <c r="M187" s="1" t="n">
        <v>0</v>
      </c>
      <c r="N187" s="1" t="s">
        <v>195</v>
      </c>
      <c r="Z187" s="0" t="n">
        <f aca="false">I187-3</f>
        <v>345.8</v>
      </c>
      <c r="AB187" s="0" t="n">
        <f aca="false">IF(Z187&lt;0,Z187+360,Z187+0)</f>
        <v>345.8</v>
      </c>
    </row>
    <row r="188" customFormat="false" ht="15.8" hidden="false" customHeight="false" outlineLevel="0" collapsed="false">
      <c r="A188" s="1" t="n">
        <v>7</v>
      </c>
      <c r="B188" s="1" t="n">
        <v>17</v>
      </c>
      <c r="C188" s="1" t="n">
        <v>1.1</v>
      </c>
      <c r="D188" s="1" t="n">
        <v>1.2307</v>
      </c>
      <c r="E188" s="1" t="n">
        <v>0.0373962</v>
      </c>
      <c r="F188" s="1" t="n">
        <v>0.000101773</v>
      </c>
      <c r="G188" s="1" t="s">
        <v>37</v>
      </c>
      <c r="H188" s="1" t="n">
        <v>60.1</v>
      </c>
      <c r="I188" s="1" t="n">
        <v>307.3</v>
      </c>
      <c r="J188" s="1" t="n">
        <v>24.6</v>
      </c>
      <c r="K188" s="1" t="n">
        <v>67.9</v>
      </c>
      <c r="L188" s="1" t="n">
        <v>0</v>
      </c>
      <c r="M188" s="1" t="n">
        <v>0</v>
      </c>
      <c r="N188" s="1" t="s">
        <v>194</v>
      </c>
      <c r="Z188" s="0" t="n">
        <f aca="false">I188-3</f>
        <v>304.3</v>
      </c>
      <c r="AB188" s="0" t="n">
        <f aca="false">IF(Z188&lt;0,Z188+360,Z188+0)</f>
        <v>304.3</v>
      </c>
    </row>
    <row r="189" customFormat="false" ht="15.8" hidden="false" customHeight="false" outlineLevel="0" collapsed="false">
      <c r="A189" s="1" t="n">
        <v>7</v>
      </c>
      <c r="B189" s="1" t="n">
        <v>16</v>
      </c>
      <c r="C189" s="1" t="n">
        <v>1.8</v>
      </c>
      <c r="D189" s="1" t="n">
        <v>1.152</v>
      </c>
      <c r="E189" s="1" t="n">
        <v>0.0603763</v>
      </c>
      <c r="F189" s="1" t="n">
        <v>0.000164314</v>
      </c>
      <c r="G189" s="1" t="s">
        <v>37</v>
      </c>
      <c r="H189" s="1" t="n">
        <v>44.6</v>
      </c>
      <c r="I189" s="1" t="n">
        <v>354.5</v>
      </c>
      <c r="J189" s="1" t="n">
        <v>-14</v>
      </c>
      <c r="K189" s="1" t="n">
        <v>60.1</v>
      </c>
      <c r="L189" s="1" t="n">
        <v>0</v>
      </c>
      <c r="M189" s="1" t="n">
        <v>0</v>
      </c>
      <c r="N189" s="1" t="s">
        <v>193</v>
      </c>
      <c r="Z189" s="0" t="n">
        <f aca="false">I189-3</f>
        <v>351.5</v>
      </c>
      <c r="AB189" s="0" t="n">
        <f aca="false">IF(Z189&lt;0,Z189+360,Z189+0)</f>
        <v>351.5</v>
      </c>
    </row>
    <row r="190" customFormat="false" ht="15.8" hidden="false" customHeight="false" outlineLevel="0" collapsed="false">
      <c r="A190" s="1" t="n">
        <v>7</v>
      </c>
      <c r="B190" s="1" t="n">
        <v>18</v>
      </c>
      <c r="C190" s="1" t="n">
        <v>8.5</v>
      </c>
      <c r="D190" s="1" t="n">
        <v>1.2243</v>
      </c>
      <c r="E190" s="1" t="n">
        <v>0.291251</v>
      </c>
      <c r="F190" s="1" t="n">
        <v>0.000792638</v>
      </c>
      <c r="G190" s="1" t="s">
        <v>27</v>
      </c>
      <c r="H190" s="1" t="n">
        <v>38</v>
      </c>
      <c r="I190" s="1" t="n">
        <v>24.2</v>
      </c>
      <c r="J190" s="1" t="n">
        <v>-21.9</v>
      </c>
      <c r="K190" s="1"/>
      <c r="L190" s="1" t="n">
        <v>0</v>
      </c>
      <c r="M190" s="1" t="n">
        <v>0</v>
      </c>
      <c r="N190" s="1" t="s">
        <v>196</v>
      </c>
      <c r="Z190" s="0" t="n">
        <f aca="false">I190-3</f>
        <v>21.2</v>
      </c>
      <c r="AB190" s="0" t="n">
        <f aca="false">IF(Z190&lt;0,Z190+360,Z190+0)</f>
        <v>21.2</v>
      </c>
    </row>
    <row r="191" customFormat="false" ht="15.8" hidden="false" customHeight="false" outlineLevel="0" collapsed="false">
      <c r="A191" s="1" t="n">
        <v>7</v>
      </c>
      <c r="B191" s="1" t="n">
        <v>18</v>
      </c>
      <c r="C191" s="1" t="n">
        <v>3.2</v>
      </c>
      <c r="D191" s="1" t="n">
        <v>1.1463</v>
      </c>
      <c r="E191" s="1" t="n">
        <v>0.110136</v>
      </c>
      <c r="F191" s="1" t="n">
        <v>0.000299735</v>
      </c>
      <c r="G191" s="1" t="s">
        <v>27</v>
      </c>
      <c r="H191" s="1" t="n">
        <v>92.2</v>
      </c>
      <c r="I191" s="1" t="n">
        <v>181.5</v>
      </c>
      <c r="J191" s="1" t="n">
        <v>-23.3</v>
      </c>
      <c r="K191" s="1"/>
      <c r="L191" s="1" t="n">
        <v>0</v>
      </c>
      <c r="M191" s="1" t="n">
        <v>0</v>
      </c>
      <c r="N191" s="1" t="s">
        <v>196</v>
      </c>
      <c r="Z191" s="0" t="n">
        <f aca="false">I191-3</f>
        <v>178.5</v>
      </c>
      <c r="AB191" s="0" t="n">
        <f aca="false">IF(Z191&lt;0,Z191+360,Z191+0)</f>
        <v>178.5</v>
      </c>
    </row>
    <row r="192" customFormat="false" ht="15.8" hidden="false" customHeight="false" outlineLevel="0" collapsed="false">
      <c r="A192" s="1" t="n">
        <v>7</v>
      </c>
      <c r="B192" s="1" t="n">
        <v>18</v>
      </c>
      <c r="C192" s="1" t="n">
        <v>3.4</v>
      </c>
      <c r="D192" s="1" t="n">
        <v>1.1855</v>
      </c>
      <c r="E192" s="1" t="n">
        <v>0.116097</v>
      </c>
      <c r="F192" s="1" t="n">
        <v>0.000315956</v>
      </c>
      <c r="G192" s="1" t="s">
        <v>27</v>
      </c>
      <c r="H192" s="1" t="n">
        <v>18.5</v>
      </c>
      <c r="I192" s="1" t="n">
        <v>78.7</v>
      </c>
      <c r="J192" s="1" t="n">
        <v>-64.8</v>
      </c>
      <c r="K192" s="1"/>
      <c r="L192" s="1" t="n">
        <v>0</v>
      </c>
      <c r="M192" s="1" t="n">
        <v>0</v>
      </c>
      <c r="N192" s="1" t="s">
        <v>196</v>
      </c>
      <c r="Z192" s="0" t="n">
        <f aca="false">I192-3</f>
        <v>75.7</v>
      </c>
      <c r="AB192" s="0" t="n">
        <f aca="false">IF(Z192&lt;0,Z192+360,Z192+0)</f>
        <v>75.7</v>
      </c>
    </row>
    <row r="193" customFormat="false" ht="15.8" hidden="false" customHeight="false" outlineLevel="0" collapsed="false">
      <c r="A193" s="1" t="n">
        <v>7</v>
      </c>
      <c r="B193" s="1" t="n">
        <v>17</v>
      </c>
      <c r="C193" s="1" t="n">
        <v>7.5</v>
      </c>
      <c r="D193" s="1" t="n">
        <v>1.131</v>
      </c>
      <c r="E193" s="1" t="n">
        <v>0.255051</v>
      </c>
      <c r="F193" s="1" t="n">
        <v>0.000694119</v>
      </c>
      <c r="G193" s="1" t="s">
        <v>37</v>
      </c>
      <c r="H193" s="1" t="n">
        <v>57.9</v>
      </c>
      <c r="I193" s="1" t="n">
        <v>43</v>
      </c>
      <c r="J193" s="1" t="n">
        <v>-57.3</v>
      </c>
      <c r="K193" s="1" t="n">
        <v>92.2</v>
      </c>
      <c r="L193" s="1" t="n">
        <v>0</v>
      </c>
      <c r="M193" s="1" t="n">
        <v>0</v>
      </c>
      <c r="N193" s="1" t="s">
        <v>197</v>
      </c>
      <c r="Z193" s="0" t="n">
        <f aca="false">I193-3</f>
        <v>40</v>
      </c>
      <c r="AB193" s="0" t="n">
        <f aca="false">IF(Z193&lt;0,Z193+360,Z193+0)</f>
        <v>40</v>
      </c>
    </row>
    <row r="194" customFormat="false" ht="15.8" hidden="false" customHeight="false" outlineLevel="0" collapsed="false">
      <c r="A194" s="1" t="n">
        <v>7</v>
      </c>
      <c r="B194" s="1" t="n">
        <v>17</v>
      </c>
      <c r="C194" s="1" t="n">
        <v>6.5</v>
      </c>
      <c r="D194" s="1" t="n">
        <v>1.3057</v>
      </c>
      <c r="E194" s="1" t="n">
        <v>0.221737</v>
      </c>
      <c r="F194" s="1" t="n">
        <v>0.000603455</v>
      </c>
      <c r="G194" s="1" t="s">
        <v>27</v>
      </c>
      <c r="H194" s="1" t="n">
        <v>61.2</v>
      </c>
      <c r="I194" s="1" t="n">
        <v>355.9</v>
      </c>
      <c r="J194" s="1" t="n">
        <v>-26.6</v>
      </c>
      <c r="K194" s="1"/>
      <c r="L194" s="1" t="n">
        <v>0</v>
      </c>
      <c r="M194" s="1" t="n">
        <v>0</v>
      </c>
      <c r="N194" s="1" t="s">
        <v>197</v>
      </c>
      <c r="Z194" s="0" t="n">
        <f aca="false">I194-3</f>
        <v>352.9</v>
      </c>
      <c r="AB194" s="0" t="n">
        <f aca="false">IF(Z194&lt;0,Z194+360,Z194+0)</f>
        <v>352.9</v>
      </c>
    </row>
    <row r="195" customFormat="false" ht="15.8" hidden="false" customHeight="false" outlineLevel="0" collapsed="false">
      <c r="A195" s="1" t="n">
        <v>7</v>
      </c>
      <c r="B195" s="1" t="n">
        <v>16</v>
      </c>
      <c r="C195" s="1" t="n">
        <v>3.5</v>
      </c>
      <c r="D195" s="1" t="n">
        <v>1.3985</v>
      </c>
      <c r="E195" s="1" t="n">
        <v>0.11944</v>
      </c>
      <c r="F195" s="1" t="n">
        <v>0.000325054</v>
      </c>
      <c r="G195" s="1" t="s">
        <v>37</v>
      </c>
      <c r="H195" s="1" t="n">
        <v>41.9</v>
      </c>
      <c r="I195" s="1" t="n">
        <v>53.3</v>
      </c>
      <c r="J195" s="1" t="n">
        <v>0</v>
      </c>
      <c r="K195" s="1" t="n">
        <v>61.2</v>
      </c>
      <c r="L195" s="1" t="n">
        <v>0</v>
      </c>
      <c r="M195" s="1" t="n">
        <v>0</v>
      </c>
      <c r="N195" s="1" t="s">
        <v>193</v>
      </c>
      <c r="Z195" s="0" t="n">
        <f aca="false">I195-3</f>
        <v>50.3</v>
      </c>
      <c r="AB195" s="0" t="n">
        <f aca="false">IF(Z195&lt;0,Z195+360,Z195+0)</f>
        <v>50.3</v>
      </c>
    </row>
    <row r="196" customFormat="false" ht="15.8" hidden="false" customHeight="false" outlineLevel="0" collapsed="false">
      <c r="A196" s="1" t="n">
        <v>7</v>
      </c>
      <c r="B196" s="1" t="n">
        <v>15</v>
      </c>
      <c r="C196" s="1" t="n">
        <v>2</v>
      </c>
      <c r="D196" s="1" t="n">
        <v>1.1309</v>
      </c>
      <c r="E196" s="1" t="n">
        <v>0.0681796</v>
      </c>
      <c r="F196" s="1" t="n">
        <v>0.00018555</v>
      </c>
      <c r="G196" s="1" t="s">
        <v>37</v>
      </c>
      <c r="H196" s="1" t="n">
        <v>9.6</v>
      </c>
      <c r="I196" s="1" t="n">
        <v>36.6</v>
      </c>
      <c r="J196" s="1" t="n">
        <v>-39</v>
      </c>
      <c r="K196" s="1" t="n">
        <v>128.1</v>
      </c>
      <c r="L196" s="1" t="n">
        <v>0</v>
      </c>
      <c r="M196" s="1" t="n">
        <v>0</v>
      </c>
      <c r="N196" s="1" t="s">
        <v>192</v>
      </c>
      <c r="Z196" s="0" t="n">
        <f aca="false">I196-3</f>
        <v>33.6</v>
      </c>
      <c r="AB196" s="0" t="n">
        <f aca="false">IF(Z196&lt;0,Z196+360,Z196+0)</f>
        <v>33.6</v>
      </c>
    </row>
    <row r="197" customFormat="false" ht="15.8" hidden="false" customHeight="false" outlineLevel="0" collapsed="false">
      <c r="A197" s="1" t="n">
        <v>7</v>
      </c>
      <c r="B197" s="1" t="n">
        <v>14</v>
      </c>
      <c r="C197" s="1" t="n">
        <v>6.5</v>
      </c>
      <c r="D197" s="1" t="n">
        <v>1.2617</v>
      </c>
      <c r="E197" s="1" t="n">
        <v>0.223449</v>
      </c>
      <c r="F197" s="1" t="n">
        <v>0.000608114</v>
      </c>
      <c r="G197" s="1" t="s">
        <v>37</v>
      </c>
      <c r="H197" s="1" t="n">
        <v>14.3</v>
      </c>
      <c r="I197" s="1" t="n">
        <v>40.8</v>
      </c>
      <c r="J197" s="1" t="n">
        <v>-30</v>
      </c>
      <c r="K197" s="1" t="n">
        <v>91.7</v>
      </c>
      <c r="L197" s="1" t="n">
        <v>0</v>
      </c>
      <c r="M197" s="1" t="n">
        <v>0</v>
      </c>
      <c r="N197" s="1" t="s">
        <v>191</v>
      </c>
      <c r="Z197" s="0" t="n">
        <f aca="false">I197-3</f>
        <v>37.8</v>
      </c>
      <c r="AB197" s="0" t="n">
        <f aca="false">IF(Z197&lt;0,Z197+360,Z197+0)</f>
        <v>37.8</v>
      </c>
    </row>
    <row r="198" customFormat="false" ht="15.8" hidden="false" customHeight="false" outlineLevel="0" collapsed="false">
      <c r="A198" s="1" t="n">
        <v>7</v>
      </c>
      <c r="B198" s="1" t="n">
        <v>13</v>
      </c>
      <c r="C198" s="1" t="n">
        <v>1.2</v>
      </c>
      <c r="D198" s="1" t="n">
        <v>1.1262</v>
      </c>
      <c r="E198" s="1" t="n">
        <v>0.0418052</v>
      </c>
      <c r="F198" s="1" t="n">
        <v>0.000113773</v>
      </c>
      <c r="G198" s="1" t="s">
        <v>37</v>
      </c>
      <c r="H198" s="1" t="n">
        <v>44.5</v>
      </c>
      <c r="I198" s="1" t="n">
        <v>33.3</v>
      </c>
      <c r="J198" s="1" t="n">
        <v>-43</v>
      </c>
      <c r="K198" s="1" t="n">
        <v>64</v>
      </c>
      <c r="L198" s="1" t="n">
        <v>0</v>
      </c>
      <c r="M198" s="1" t="n">
        <v>0</v>
      </c>
      <c r="N198" s="1" t="s">
        <v>187</v>
      </c>
      <c r="Z198" s="0" t="n">
        <f aca="false">I198-3</f>
        <v>30.3</v>
      </c>
      <c r="AB198" s="0" t="n">
        <f aca="false">IF(Z198&lt;0,Z198+360,Z198+0)</f>
        <v>30.3</v>
      </c>
    </row>
    <row r="199" customFormat="false" ht="15.8" hidden="false" customHeight="false" outlineLevel="0" collapsed="false">
      <c r="A199" s="1" t="n">
        <v>7</v>
      </c>
      <c r="B199" s="1" t="n">
        <v>12</v>
      </c>
      <c r="C199" s="1" t="n">
        <v>1.9</v>
      </c>
      <c r="D199" s="1" t="n">
        <v>1.0037</v>
      </c>
      <c r="E199" s="1" t="n">
        <v>0.0645516</v>
      </c>
      <c r="F199" s="1" t="n">
        <v>0.000175677</v>
      </c>
      <c r="G199" s="1" t="s">
        <v>37</v>
      </c>
      <c r="H199" s="1" t="n">
        <v>27.9</v>
      </c>
      <c r="I199" s="1" t="n">
        <v>20.3</v>
      </c>
      <c r="J199" s="1" t="n">
        <v>0</v>
      </c>
      <c r="K199" s="1" t="n">
        <v>44.5</v>
      </c>
      <c r="L199" s="1" t="n">
        <v>0</v>
      </c>
      <c r="M199" s="1" t="n">
        <v>0</v>
      </c>
      <c r="N199" s="1" t="s">
        <v>186</v>
      </c>
      <c r="Z199" s="0" t="n">
        <f aca="false">I199-3</f>
        <v>17.3</v>
      </c>
      <c r="AB199" s="0" t="n">
        <f aca="false">IF(Z199&lt;0,Z199+360,Z199+0)</f>
        <v>17.3</v>
      </c>
    </row>
    <row r="200" customFormat="false" ht="15.8" hidden="false" customHeight="false" outlineLevel="0" collapsed="false">
      <c r="A200" s="1" t="n">
        <v>7</v>
      </c>
      <c r="B200" s="1" t="n">
        <v>11</v>
      </c>
      <c r="C200" s="1" t="n">
        <v>0.7</v>
      </c>
      <c r="D200" s="1" t="n">
        <v>1.003</v>
      </c>
      <c r="E200" s="1" t="n">
        <v>0.0226012</v>
      </c>
      <c r="F200" s="1" t="n">
        <v>6.15089E-005</v>
      </c>
      <c r="G200" s="1" t="s">
        <v>37</v>
      </c>
      <c r="H200" s="1" t="n">
        <v>27.3</v>
      </c>
      <c r="I200" s="1" t="n">
        <v>352.4</v>
      </c>
      <c r="J200" s="1" t="n">
        <v>0</v>
      </c>
      <c r="K200" s="1" t="n">
        <v>32.9</v>
      </c>
      <c r="L200" s="1" t="n">
        <v>0</v>
      </c>
      <c r="M200" s="1" t="n">
        <v>0</v>
      </c>
      <c r="N200" s="1" t="s">
        <v>185</v>
      </c>
      <c r="Z200" s="0" t="n">
        <f aca="false">I200-3</f>
        <v>349.4</v>
      </c>
      <c r="AB200" s="0" t="n">
        <f aca="false">IF(Z200&lt;0,Z200+360,Z200+0)</f>
        <v>349.4</v>
      </c>
    </row>
    <row r="201" customFormat="false" ht="15.8" hidden="false" customHeight="false" outlineLevel="0" collapsed="false">
      <c r="A201" s="1" t="n">
        <v>7</v>
      </c>
      <c r="B201" s="1" t="n">
        <v>10</v>
      </c>
      <c r="C201" s="1" t="n">
        <v>4.3</v>
      </c>
      <c r="D201" s="1" t="n">
        <v>1.1521</v>
      </c>
      <c r="E201" s="1" t="n">
        <v>0.14849</v>
      </c>
      <c r="F201" s="1" t="n">
        <v>0.000404114</v>
      </c>
      <c r="G201" s="1" t="s">
        <v>37</v>
      </c>
      <c r="H201" s="1" t="n">
        <v>61.4</v>
      </c>
      <c r="I201" s="1" t="n">
        <v>14</v>
      </c>
      <c r="J201" s="1" t="n">
        <v>-17.1</v>
      </c>
      <c r="K201" s="1" t="n">
        <v>103</v>
      </c>
      <c r="L201" s="1" t="n">
        <v>0</v>
      </c>
      <c r="M201" s="1" t="n">
        <v>0</v>
      </c>
      <c r="N201" s="1" t="s">
        <v>184</v>
      </c>
      <c r="Z201" s="0" t="n">
        <f aca="false">I201-3</f>
        <v>11</v>
      </c>
      <c r="AB201" s="0" t="n">
        <f aca="false">IF(Z201&lt;0,Z201+360,Z201+0)</f>
        <v>11</v>
      </c>
    </row>
    <row r="202" customFormat="false" ht="15.8" hidden="false" customHeight="false" outlineLevel="0" collapsed="false">
      <c r="A202" s="1" t="n">
        <v>7</v>
      </c>
      <c r="B202" s="1" t="n">
        <v>9</v>
      </c>
      <c r="C202" s="1" t="n">
        <v>2.4</v>
      </c>
      <c r="D202" s="1" t="n">
        <v>1.4525</v>
      </c>
      <c r="E202" s="1" t="n">
        <v>0.0812471</v>
      </c>
      <c r="F202" s="1" t="n">
        <v>0.000221113</v>
      </c>
      <c r="G202" s="1" t="s">
        <v>37</v>
      </c>
      <c r="H202" s="1" t="n">
        <v>67.8</v>
      </c>
      <c r="I202" s="1" t="n">
        <v>80.1</v>
      </c>
      <c r="J202" s="1" t="n">
        <v>-26.9</v>
      </c>
      <c r="K202" s="1" t="n">
        <v>98.8</v>
      </c>
      <c r="L202" s="1" t="n">
        <v>0</v>
      </c>
      <c r="M202" s="1" t="n">
        <v>0</v>
      </c>
      <c r="N202" s="1" t="s">
        <v>198</v>
      </c>
      <c r="Z202" s="0" t="n">
        <f aca="false">I202-3</f>
        <v>77.1</v>
      </c>
      <c r="AB202" s="0" t="n">
        <f aca="false">IF(Z202&lt;0,Z202+360,Z202+0)</f>
        <v>77.1</v>
      </c>
    </row>
    <row r="203" customFormat="false" ht="15.8" hidden="false" customHeight="false" outlineLevel="0" collapsed="false">
      <c r="A203" s="1" t="n">
        <v>7</v>
      </c>
      <c r="B203" s="1" t="n">
        <v>9</v>
      </c>
      <c r="C203" s="1" t="n">
        <v>0.5</v>
      </c>
      <c r="D203" s="1" t="n">
        <v>1.0001</v>
      </c>
      <c r="E203" s="1" t="n">
        <v>0.018518</v>
      </c>
      <c r="F203" s="1" t="n">
        <v>5.03966E-005</v>
      </c>
      <c r="G203" s="1" t="s">
        <v>27</v>
      </c>
      <c r="H203" s="1" t="n">
        <v>41</v>
      </c>
      <c r="I203" s="1" t="n">
        <v>329.8</v>
      </c>
      <c r="J203" s="1" t="n">
        <v>0</v>
      </c>
      <c r="K203" s="1"/>
      <c r="L203" s="1" t="n">
        <v>0</v>
      </c>
      <c r="M203" s="1" t="n">
        <v>0</v>
      </c>
      <c r="N203" s="1" t="s">
        <v>198</v>
      </c>
      <c r="Z203" s="0" t="n">
        <f aca="false">I203-3</f>
        <v>326.8</v>
      </c>
      <c r="AB203" s="0" t="n">
        <f aca="false">IF(Z203&lt;0,Z203+360,Z203+0)</f>
        <v>326.8</v>
      </c>
    </row>
    <row r="204" customFormat="false" ht="15.8" hidden="false" customHeight="false" outlineLevel="0" collapsed="false">
      <c r="A204" s="1" t="n">
        <v>7</v>
      </c>
      <c r="B204" s="1" t="n">
        <v>8</v>
      </c>
      <c r="C204" s="1" t="n">
        <v>2.2</v>
      </c>
      <c r="D204" s="1" t="n">
        <v>1.1023</v>
      </c>
      <c r="E204" s="1" t="n">
        <v>0.0736739</v>
      </c>
      <c r="F204" s="1" t="n">
        <v>0.000200503</v>
      </c>
      <c r="G204" s="1" t="s">
        <v>37</v>
      </c>
      <c r="H204" s="1" t="n">
        <v>72.7</v>
      </c>
      <c r="I204" s="1" t="n">
        <v>9.6</v>
      </c>
      <c r="J204" s="1" t="n">
        <v>-10.9</v>
      </c>
      <c r="K204" s="1" t="n">
        <v>67.8</v>
      </c>
      <c r="L204" s="1" t="n">
        <v>0</v>
      </c>
      <c r="M204" s="1" t="n">
        <v>0</v>
      </c>
      <c r="N204" s="1" t="s">
        <v>181</v>
      </c>
      <c r="Z204" s="0" t="n">
        <f aca="false">I204-3</f>
        <v>6.6</v>
      </c>
      <c r="AB204" s="0" t="n">
        <f aca="false">IF(Z204&lt;0,Z204+360,Z204+0)</f>
        <v>6.6</v>
      </c>
    </row>
    <row r="205" customFormat="false" ht="15.8" hidden="false" customHeight="false" outlineLevel="0" collapsed="false">
      <c r="A205" s="1" t="n">
        <v>7</v>
      </c>
      <c r="B205" s="1" t="n">
        <v>7</v>
      </c>
      <c r="C205" s="1" t="n">
        <v>5.6</v>
      </c>
      <c r="D205" s="1" t="n">
        <v>1.2439</v>
      </c>
      <c r="E205" s="1" t="n">
        <v>0.193219</v>
      </c>
      <c r="F205" s="1" t="n">
        <v>0.000525844</v>
      </c>
      <c r="G205" s="1" t="s">
        <v>37</v>
      </c>
      <c r="H205" s="1" t="n">
        <v>37.3</v>
      </c>
      <c r="I205" s="1" t="n">
        <v>84.9</v>
      </c>
      <c r="J205" s="1" t="n">
        <v>-19</v>
      </c>
      <c r="K205" s="1" t="n">
        <v>105</v>
      </c>
      <c r="L205" s="1" t="n">
        <v>0</v>
      </c>
      <c r="M205" s="1" t="n">
        <v>0</v>
      </c>
      <c r="N205" s="1" t="s">
        <v>199</v>
      </c>
      <c r="Z205" s="0" t="n">
        <f aca="false">I205-3</f>
        <v>81.9</v>
      </c>
      <c r="AB205" s="0" t="n">
        <f aca="false">IF(Z205&lt;0,Z205+360,Z205+0)</f>
        <v>81.9</v>
      </c>
    </row>
    <row r="206" customFormat="false" ht="15.8" hidden="false" customHeight="false" outlineLevel="0" collapsed="false">
      <c r="A206" s="1" t="n">
        <v>7</v>
      </c>
      <c r="B206" s="1" t="n">
        <v>9</v>
      </c>
      <c r="C206" s="1" t="n">
        <v>5.7</v>
      </c>
      <c r="D206" s="1" t="n">
        <v>1.2399</v>
      </c>
      <c r="E206" s="1" t="n">
        <v>0.194656</v>
      </c>
      <c r="F206" s="1" t="n">
        <v>0.000529755</v>
      </c>
      <c r="G206" s="1" t="s">
        <v>27</v>
      </c>
      <c r="H206" s="1" t="n">
        <v>55.7</v>
      </c>
      <c r="I206" s="1" t="n">
        <v>67</v>
      </c>
      <c r="J206" s="1" t="n">
        <v>4.6</v>
      </c>
      <c r="K206" s="1"/>
      <c r="L206" s="1" t="n">
        <v>0</v>
      </c>
      <c r="M206" s="1" t="n">
        <v>0</v>
      </c>
      <c r="N206" s="1" t="s">
        <v>200</v>
      </c>
      <c r="Z206" s="0" t="n">
        <f aca="false">I206-3</f>
        <v>64</v>
      </c>
      <c r="AB206" s="0" t="n">
        <f aca="false">IF(Z206&lt;0,Z206+360,Z206+0)</f>
        <v>64</v>
      </c>
    </row>
    <row r="207" customFormat="false" ht="15.8" hidden="false" customHeight="false" outlineLevel="0" collapsed="false">
      <c r="A207" s="1" t="n">
        <v>7</v>
      </c>
      <c r="B207" s="1" t="n">
        <v>9</v>
      </c>
      <c r="C207" s="1" t="n">
        <v>0.8</v>
      </c>
      <c r="D207" s="1" t="n">
        <v>1.016</v>
      </c>
      <c r="E207" s="1" t="n">
        <v>0.0286487</v>
      </c>
      <c r="F207" s="1" t="n">
        <v>7.79671E-005</v>
      </c>
      <c r="G207" s="1" t="s">
        <v>27</v>
      </c>
      <c r="H207" s="1" t="n">
        <v>101.2</v>
      </c>
      <c r="I207" s="1" t="n">
        <v>222.3</v>
      </c>
      <c r="J207" s="1" t="n">
        <v>0</v>
      </c>
      <c r="K207" s="1"/>
      <c r="L207" s="1" t="n">
        <v>0</v>
      </c>
      <c r="M207" s="1" t="n">
        <v>0</v>
      </c>
      <c r="N207" s="1" t="s">
        <v>200</v>
      </c>
      <c r="Z207" s="0" t="n">
        <f aca="false">I207-3</f>
        <v>219.3</v>
      </c>
      <c r="AB207" s="0" t="n">
        <f aca="false">IF(Z207&lt;0,Z207+360,Z207+0)</f>
        <v>219.3</v>
      </c>
    </row>
    <row r="208" customFormat="false" ht="15.8" hidden="false" customHeight="false" outlineLevel="0" collapsed="false">
      <c r="A208" s="1" t="n">
        <v>7</v>
      </c>
      <c r="B208" s="1" t="n">
        <v>8</v>
      </c>
      <c r="C208" s="1" t="n">
        <v>2.2</v>
      </c>
      <c r="D208" s="1" t="n">
        <v>1.1256</v>
      </c>
      <c r="E208" s="1" t="n">
        <v>0.0769436</v>
      </c>
      <c r="F208" s="1" t="n">
        <v>0.000209401</v>
      </c>
      <c r="G208" s="1" t="s">
        <v>37</v>
      </c>
      <c r="H208" s="1" t="n">
        <v>97.9</v>
      </c>
      <c r="I208" s="1" t="n">
        <v>120.9</v>
      </c>
      <c r="J208" s="1" t="n">
        <v>-10.7</v>
      </c>
      <c r="K208" s="1" t="n">
        <v>101.2</v>
      </c>
      <c r="L208" s="1" t="n">
        <v>0</v>
      </c>
      <c r="M208" s="1" t="n">
        <v>0</v>
      </c>
      <c r="N208" s="1" t="s">
        <v>201</v>
      </c>
      <c r="Z208" s="0" t="n">
        <f aca="false">I208-3</f>
        <v>117.9</v>
      </c>
      <c r="AB208" s="0" t="n">
        <f aca="false">IF(Z208&lt;0,Z208+360,Z208+0)</f>
        <v>117.9</v>
      </c>
    </row>
    <row r="209" customFormat="false" ht="15.8" hidden="false" customHeight="false" outlineLevel="0" collapsed="false">
      <c r="A209" s="1" t="n">
        <v>7</v>
      </c>
      <c r="B209" s="1" t="n">
        <v>11</v>
      </c>
      <c r="C209" s="1" t="n">
        <v>3.4</v>
      </c>
      <c r="D209" s="1" t="n">
        <v>1.1955</v>
      </c>
      <c r="E209" s="1" t="n">
        <v>0.114676</v>
      </c>
      <c r="F209" s="1" t="n">
        <v>0.000312091</v>
      </c>
      <c r="G209" s="1" t="s">
        <v>27</v>
      </c>
      <c r="H209" s="1" t="n">
        <v>61.7</v>
      </c>
      <c r="I209" s="1" t="n">
        <v>55.5</v>
      </c>
      <c r="J209" s="1" t="n">
        <v>23.3</v>
      </c>
      <c r="K209" s="1"/>
      <c r="L209" s="1" t="n">
        <v>0</v>
      </c>
      <c r="M209" s="1" t="n">
        <v>0</v>
      </c>
      <c r="N209" s="1" t="s">
        <v>202</v>
      </c>
      <c r="Z209" s="0" t="n">
        <f aca="false">I209-3</f>
        <v>52.5</v>
      </c>
      <c r="AB209" s="0" t="n">
        <f aca="false">IF(Z209&lt;0,Z209+360,Z209+0)</f>
        <v>52.5</v>
      </c>
    </row>
    <row r="210" customFormat="false" ht="15.8" hidden="false" customHeight="false" outlineLevel="0" collapsed="false">
      <c r="A210" s="1" t="n">
        <v>7</v>
      </c>
      <c r="B210" s="1" t="n">
        <v>16</v>
      </c>
      <c r="C210" s="1" t="n">
        <v>1</v>
      </c>
      <c r="D210" s="1" t="n">
        <v>1.0179</v>
      </c>
      <c r="E210" s="1" t="n">
        <v>0.032759</v>
      </c>
      <c r="F210" s="1" t="n">
        <v>8.91534E-005</v>
      </c>
      <c r="G210" s="1" t="s">
        <v>27</v>
      </c>
      <c r="H210" s="1" t="n">
        <v>50.9</v>
      </c>
      <c r="I210" s="1" t="n">
        <v>150.2</v>
      </c>
      <c r="J210" s="1" t="n">
        <v>0</v>
      </c>
      <c r="K210" s="1"/>
      <c r="L210" s="1" t="n">
        <v>0</v>
      </c>
      <c r="M210" s="1" t="n">
        <v>0</v>
      </c>
      <c r="N210" s="1" t="s">
        <v>203</v>
      </c>
      <c r="Z210" s="0" t="n">
        <f aca="false">I210-3</f>
        <v>147.2</v>
      </c>
      <c r="AB210" s="0" t="n">
        <f aca="false">IF(Z210&lt;0,Z210+360,Z210+0)</f>
        <v>147.2</v>
      </c>
    </row>
    <row r="211" customFormat="false" ht="15.8" hidden="false" customHeight="false" outlineLevel="0" collapsed="false">
      <c r="A211" s="1" t="n">
        <v>7</v>
      </c>
      <c r="B211" s="1" t="n">
        <v>16</v>
      </c>
      <c r="C211" s="1" t="n">
        <v>1.9</v>
      </c>
      <c r="D211" s="1" t="n">
        <v>1.3297</v>
      </c>
      <c r="E211" s="1" t="n">
        <v>0.065116</v>
      </c>
      <c r="F211" s="1" t="n">
        <v>0.000177213</v>
      </c>
      <c r="G211" s="1" t="s">
        <v>27</v>
      </c>
      <c r="H211" s="1" t="n">
        <v>131.8</v>
      </c>
      <c r="I211" s="1" t="n">
        <v>318.2</v>
      </c>
      <c r="J211" s="1" t="n">
        <v>31.1</v>
      </c>
      <c r="K211" s="1"/>
      <c r="L211" s="1" t="n">
        <v>0</v>
      </c>
      <c r="M211" s="1" t="n">
        <v>0</v>
      </c>
      <c r="N211" s="1" t="s">
        <v>203</v>
      </c>
      <c r="Z211" s="0" t="n">
        <f aca="false">I211-3</f>
        <v>315.2</v>
      </c>
      <c r="AB211" s="0" t="n">
        <f aca="false">IF(Z211&lt;0,Z211+360,Z211+0)</f>
        <v>315.2</v>
      </c>
    </row>
    <row r="212" customFormat="false" ht="15.8" hidden="false" customHeight="false" outlineLevel="0" collapsed="false">
      <c r="A212" s="1" t="n">
        <v>7</v>
      </c>
      <c r="B212" s="1" t="n">
        <v>15</v>
      </c>
      <c r="C212" s="1" t="n">
        <v>0.7</v>
      </c>
      <c r="D212" s="1" t="n">
        <v>1.0437</v>
      </c>
      <c r="E212" s="1" t="n">
        <v>0.0240183</v>
      </c>
      <c r="F212" s="1" t="n">
        <v>6.53655E-005</v>
      </c>
      <c r="G212" s="1" t="s">
        <v>37</v>
      </c>
      <c r="H212" s="1" t="n">
        <v>87.1</v>
      </c>
      <c r="I212" s="1" t="n">
        <v>99.3</v>
      </c>
      <c r="J212" s="1" t="n">
        <v>0</v>
      </c>
      <c r="K212" s="1" t="n">
        <v>131.8</v>
      </c>
      <c r="L212" s="1" t="n">
        <v>0</v>
      </c>
      <c r="M212" s="1" t="n">
        <v>0</v>
      </c>
      <c r="N212" s="1" t="s">
        <v>204</v>
      </c>
      <c r="Z212" s="0" t="n">
        <f aca="false">I212-3</f>
        <v>96.3</v>
      </c>
      <c r="AB212" s="0" t="n">
        <f aca="false">IF(Z212&lt;0,Z212+360,Z212+0)</f>
        <v>96.3</v>
      </c>
    </row>
    <row r="213" customFormat="false" ht="15.8" hidden="false" customHeight="false" outlineLevel="0" collapsed="false">
      <c r="A213" s="1" t="n">
        <v>7</v>
      </c>
      <c r="B213" s="1" t="n">
        <v>15</v>
      </c>
      <c r="C213" s="1" t="n">
        <v>4.5</v>
      </c>
      <c r="D213" s="1" t="n">
        <v>1.396</v>
      </c>
      <c r="E213" s="1" t="n">
        <v>0.153834</v>
      </c>
      <c r="F213" s="1" t="n">
        <v>0.000418659</v>
      </c>
      <c r="G213" s="1" t="s">
        <v>27</v>
      </c>
      <c r="H213" s="1" t="n">
        <v>77.1</v>
      </c>
      <c r="I213" s="1" t="n">
        <v>294.3</v>
      </c>
      <c r="J213" s="1" t="n">
        <v>6.6</v>
      </c>
      <c r="K213" s="1"/>
      <c r="L213" s="1" t="n">
        <v>0</v>
      </c>
      <c r="M213" s="1" t="n">
        <v>0</v>
      </c>
      <c r="N213" s="1" t="s">
        <v>204</v>
      </c>
      <c r="Z213" s="0" t="n">
        <f aca="false">I213-3</f>
        <v>291.3</v>
      </c>
      <c r="AB213" s="0" t="n">
        <f aca="false">IF(Z213&lt;0,Z213+360,Z213+0)</f>
        <v>291.3</v>
      </c>
    </row>
    <row r="214" customFormat="false" ht="15.8" hidden="false" customHeight="false" outlineLevel="0" collapsed="false">
      <c r="A214" s="1" t="n">
        <v>7</v>
      </c>
      <c r="B214" s="1" t="n">
        <v>14</v>
      </c>
      <c r="C214" s="1" t="n">
        <v>3.2</v>
      </c>
      <c r="D214" s="1" t="n">
        <v>1.4742</v>
      </c>
      <c r="E214" s="1" t="n">
        <v>0.110001</v>
      </c>
      <c r="F214" s="1" t="n">
        <v>0.000299367</v>
      </c>
      <c r="G214" s="1" t="s">
        <v>37</v>
      </c>
      <c r="H214" s="1" t="n">
        <v>34.7</v>
      </c>
      <c r="I214" s="1" t="n">
        <v>12.3</v>
      </c>
      <c r="J214" s="1" t="n">
        <v>9.8</v>
      </c>
      <c r="K214" s="1" t="n">
        <v>87.1</v>
      </c>
      <c r="L214" s="1" t="n">
        <v>0</v>
      </c>
      <c r="M214" s="1" t="n">
        <v>0</v>
      </c>
      <c r="N214" s="1" t="s">
        <v>205</v>
      </c>
      <c r="Z214" s="0" t="n">
        <f aca="false">I214-3</f>
        <v>9.3</v>
      </c>
      <c r="AB214" s="0" t="n">
        <f aca="false">IF(Z214&lt;0,Z214+360,Z214+0)</f>
        <v>9.3</v>
      </c>
    </row>
    <row r="215" customFormat="false" ht="15.8" hidden="false" customHeight="false" outlineLevel="0" collapsed="false">
      <c r="A215" s="1" t="n">
        <v>7</v>
      </c>
      <c r="B215" s="1" t="n">
        <v>15</v>
      </c>
      <c r="C215" s="1" t="n">
        <v>1.4</v>
      </c>
      <c r="D215" s="1" t="n">
        <v>1.1556</v>
      </c>
      <c r="E215" s="1" t="n">
        <v>0.0473437</v>
      </c>
      <c r="F215" s="1" t="n">
        <v>0.000128846</v>
      </c>
      <c r="G215" s="1" t="s">
        <v>27</v>
      </c>
      <c r="H215" s="1" t="n">
        <v>109.7</v>
      </c>
      <c r="I215" s="1" t="n">
        <v>333.9</v>
      </c>
      <c r="J215" s="1" t="n">
        <v>-18</v>
      </c>
      <c r="K215" s="1"/>
      <c r="L215" s="1" t="n">
        <v>0</v>
      </c>
      <c r="M215" s="1" t="n">
        <v>0</v>
      </c>
      <c r="N215" s="1" t="s">
        <v>206</v>
      </c>
      <c r="Z215" s="0" t="n">
        <f aca="false">I215-3</f>
        <v>330.9</v>
      </c>
      <c r="AB215" s="0" t="n">
        <f aca="false">IF(Z215&lt;0,Z215+360,Z215+0)</f>
        <v>330.9</v>
      </c>
    </row>
    <row r="216" customFormat="false" ht="15.8" hidden="false" customHeight="false" outlineLevel="0" collapsed="false">
      <c r="A216" s="1" t="n">
        <v>7</v>
      </c>
      <c r="B216" s="1" t="n">
        <v>15</v>
      </c>
      <c r="C216" s="1" t="n">
        <v>1.1</v>
      </c>
      <c r="D216" s="1" t="n">
        <v>1.1226</v>
      </c>
      <c r="E216" s="1" t="n">
        <v>0.0389684</v>
      </c>
      <c r="F216" s="1" t="n">
        <v>0.000106052</v>
      </c>
      <c r="G216" s="1" t="s">
        <v>27</v>
      </c>
      <c r="H216" s="1" t="n">
        <v>52.4</v>
      </c>
      <c r="I216" s="1" t="n">
        <v>57.8</v>
      </c>
      <c r="J216" s="1" t="n">
        <v>46.8</v>
      </c>
      <c r="K216" s="1"/>
      <c r="L216" s="1" t="n">
        <v>0</v>
      </c>
      <c r="M216" s="1" t="n">
        <v>0</v>
      </c>
      <c r="N216" s="1" t="s">
        <v>206</v>
      </c>
      <c r="Z216" s="0" t="n">
        <f aca="false">I216-3</f>
        <v>54.8</v>
      </c>
      <c r="AB216" s="0" t="n">
        <f aca="false">IF(Z216&lt;0,Z216+360,Z216+0)</f>
        <v>54.8</v>
      </c>
    </row>
    <row r="217" customFormat="false" ht="15.8" hidden="false" customHeight="false" outlineLevel="0" collapsed="false">
      <c r="A217" s="1" t="n">
        <v>7</v>
      </c>
      <c r="B217" s="1" t="n">
        <v>14</v>
      </c>
      <c r="C217" s="1" t="n">
        <v>0.5</v>
      </c>
      <c r="D217" s="1" t="n">
        <v>1.0282</v>
      </c>
      <c r="E217" s="1" t="n">
        <v>0.0165313</v>
      </c>
      <c r="F217" s="1" t="n">
        <v>4.49899E-005</v>
      </c>
      <c r="G217" s="1" t="s">
        <v>37</v>
      </c>
      <c r="H217" s="1" t="n">
        <v>56.3</v>
      </c>
      <c r="I217" s="1" t="n">
        <v>84.7</v>
      </c>
      <c r="J217" s="1" t="n">
        <v>0</v>
      </c>
      <c r="K217" s="1" t="n">
        <v>109.7</v>
      </c>
      <c r="L217" s="1" t="n">
        <v>0</v>
      </c>
      <c r="M217" s="1" t="n">
        <v>0</v>
      </c>
      <c r="N217" s="1" t="s">
        <v>205</v>
      </c>
      <c r="Z217" s="0" t="n">
        <f aca="false">I217-3</f>
        <v>81.7</v>
      </c>
      <c r="AB217" s="0" t="n">
        <f aca="false">IF(Z217&lt;0,Z217+360,Z217+0)</f>
        <v>81.7</v>
      </c>
    </row>
    <row r="218" customFormat="false" ht="15.8" hidden="false" customHeight="false" outlineLevel="0" collapsed="false">
      <c r="A218" s="1" t="n">
        <v>7</v>
      </c>
      <c r="B218" s="1" t="n">
        <v>13</v>
      </c>
      <c r="C218" s="1" t="n">
        <v>1.5</v>
      </c>
      <c r="D218" s="1" t="n">
        <v>1.1895</v>
      </c>
      <c r="E218" s="1" t="n">
        <v>0.0516625</v>
      </c>
      <c r="F218" s="1" t="n">
        <v>0.000140599</v>
      </c>
      <c r="G218" s="1" t="s">
        <v>37</v>
      </c>
      <c r="H218" s="1" t="n">
        <v>60.9</v>
      </c>
      <c r="I218" s="1" t="n">
        <v>37.7</v>
      </c>
      <c r="J218" s="1" t="n">
        <v>35.6</v>
      </c>
      <c r="K218" s="1" t="n">
        <v>56.3</v>
      </c>
      <c r="L218" s="1" t="n">
        <v>0</v>
      </c>
      <c r="M218" s="1" t="n">
        <v>0</v>
      </c>
      <c r="N218" s="1" t="s">
        <v>207</v>
      </c>
      <c r="Z218" s="0" t="n">
        <f aca="false">I218-3</f>
        <v>34.7</v>
      </c>
      <c r="AB218" s="0" t="n">
        <f aca="false">IF(Z218&lt;0,Z218+360,Z218+0)</f>
        <v>34.7</v>
      </c>
    </row>
    <row r="219" customFormat="false" ht="15.8" hidden="false" customHeight="false" outlineLevel="0" collapsed="false">
      <c r="A219" s="1" t="n">
        <v>7</v>
      </c>
      <c r="B219" s="1" t="n">
        <v>15</v>
      </c>
      <c r="C219" s="1" t="n">
        <v>5.7</v>
      </c>
      <c r="D219" s="1" t="n">
        <v>1.6046</v>
      </c>
      <c r="E219" s="1" t="n">
        <v>0.195784</v>
      </c>
      <c r="F219" s="1" t="n">
        <v>0.000532824</v>
      </c>
      <c r="G219" s="1" t="s">
        <v>27</v>
      </c>
      <c r="H219" s="1" t="n">
        <v>44.5</v>
      </c>
      <c r="I219" s="1" t="n">
        <v>105.5</v>
      </c>
      <c r="J219" s="1" t="n">
        <v>-31.2</v>
      </c>
      <c r="K219" s="1"/>
      <c r="L219" s="1" t="n">
        <v>0</v>
      </c>
      <c r="M219" s="1" t="n">
        <v>0</v>
      </c>
      <c r="N219" s="1" t="s">
        <v>208</v>
      </c>
      <c r="Z219" s="0" t="n">
        <f aca="false">I219-3</f>
        <v>102.5</v>
      </c>
      <c r="AB219" s="0" t="n">
        <f aca="false">IF(Z219&lt;0,Z219+360,Z219+0)</f>
        <v>102.5</v>
      </c>
    </row>
    <row r="220" customFormat="false" ht="15.8" hidden="false" customHeight="false" outlineLevel="0" collapsed="false">
      <c r="A220" s="1" t="n">
        <v>7</v>
      </c>
      <c r="B220" s="1" t="n">
        <v>15</v>
      </c>
      <c r="C220" s="1" t="n">
        <v>1.6</v>
      </c>
      <c r="D220" s="1" t="n">
        <v>1.0052</v>
      </c>
      <c r="E220" s="1" t="n">
        <v>0.0542936</v>
      </c>
      <c r="F220" s="1" t="n">
        <v>0.00014776</v>
      </c>
      <c r="G220" s="1" t="s">
        <v>27</v>
      </c>
      <c r="H220" s="1" t="n">
        <v>63.6</v>
      </c>
      <c r="I220" s="1" t="n">
        <v>358</v>
      </c>
      <c r="J220" s="1" t="n">
        <v>0</v>
      </c>
      <c r="K220" s="1"/>
      <c r="L220" s="1" t="n">
        <v>0</v>
      </c>
      <c r="M220" s="1" t="n">
        <v>0</v>
      </c>
      <c r="N220" s="1" t="s">
        <v>208</v>
      </c>
      <c r="Z220" s="0" t="n">
        <f aca="false">I220-3</f>
        <v>355</v>
      </c>
      <c r="AB220" s="0" t="n">
        <f aca="false">IF(Z220&lt;0,Z220+360,Z220+0)</f>
        <v>355</v>
      </c>
    </row>
    <row r="221" customFormat="false" ht="15.8" hidden="false" customHeight="false" outlineLevel="0" collapsed="false">
      <c r="A221" s="1" t="n">
        <v>7</v>
      </c>
      <c r="B221" s="1" t="n">
        <v>14</v>
      </c>
      <c r="C221" s="1" t="n">
        <v>4.4</v>
      </c>
      <c r="D221" s="1" t="n">
        <v>1.3369</v>
      </c>
      <c r="E221" s="1" t="n">
        <v>0.148877</v>
      </c>
      <c r="F221" s="1" t="n">
        <v>0.000405167</v>
      </c>
      <c r="G221" s="1" t="s">
        <v>37</v>
      </c>
      <c r="H221" s="1" t="n">
        <v>11.7</v>
      </c>
      <c r="I221" s="1" t="n">
        <v>50.6</v>
      </c>
      <c r="J221" s="1" t="n">
        <v>-43</v>
      </c>
      <c r="K221" s="1" t="n">
        <v>63.6</v>
      </c>
      <c r="L221" s="1" t="n">
        <v>0</v>
      </c>
      <c r="M221" s="1" t="n">
        <v>0</v>
      </c>
      <c r="N221" s="1" t="s">
        <v>209</v>
      </c>
      <c r="Z221" s="0" t="n">
        <f aca="false">I221-3</f>
        <v>47.6</v>
      </c>
      <c r="AB221" s="0" t="n">
        <f aca="false">IF(Z221&lt;0,Z221+360,Z221+0)</f>
        <v>47.6</v>
      </c>
    </row>
    <row r="222" customFormat="false" ht="15.8" hidden="false" customHeight="false" outlineLevel="0" collapsed="false">
      <c r="A222" s="1" t="n">
        <v>7</v>
      </c>
      <c r="B222" s="1" t="n">
        <v>14</v>
      </c>
      <c r="C222" s="1" t="n">
        <v>0.9</v>
      </c>
      <c r="D222" s="1" t="n">
        <v>1.1707</v>
      </c>
      <c r="E222" s="1" t="n">
        <v>0.0311749</v>
      </c>
      <c r="F222" s="1" t="n">
        <v>8.48421E-005</v>
      </c>
      <c r="G222" s="1" t="s">
        <v>27</v>
      </c>
      <c r="H222" s="1" t="n">
        <v>33.9</v>
      </c>
      <c r="I222" s="1" t="n">
        <v>72.4</v>
      </c>
      <c r="J222" s="1" t="n">
        <v>-28.4</v>
      </c>
      <c r="K222" s="1"/>
      <c r="L222" s="1" t="n">
        <v>0</v>
      </c>
      <c r="M222" s="1" t="n">
        <v>0</v>
      </c>
      <c r="N222" s="1" t="s">
        <v>209</v>
      </c>
      <c r="Z222" s="0" t="n">
        <f aca="false">I222-3</f>
        <v>69.4</v>
      </c>
      <c r="AB222" s="0" t="n">
        <f aca="false">IF(Z222&lt;0,Z222+360,Z222+0)</f>
        <v>69.4</v>
      </c>
    </row>
    <row r="223" customFormat="false" ht="15.8" hidden="false" customHeight="false" outlineLevel="0" collapsed="false">
      <c r="A223" s="1" t="n">
        <v>7</v>
      </c>
      <c r="B223" s="1" t="n">
        <v>13</v>
      </c>
      <c r="C223" s="1" t="n">
        <v>2.6</v>
      </c>
      <c r="D223" s="1" t="n">
        <v>1.2071</v>
      </c>
      <c r="E223" s="1" t="n">
        <v>0.0887111</v>
      </c>
      <c r="F223" s="1" t="n">
        <v>0.000241427</v>
      </c>
      <c r="G223" s="1" t="s">
        <v>37</v>
      </c>
      <c r="H223" s="1" t="n">
        <v>43.2</v>
      </c>
      <c r="I223" s="1" t="n">
        <v>34.5</v>
      </c>
      <c r="J223" s="1" t="n">
        <v>-43.5</v>
      </c>
      <c r="K223" s="1" t="n">
        <v>33.9</v>
      </c>
      <c r="L223" s="1" t="n">
        <v>0</v>
      </c>
      <c r="M223" s="1" t="n">
        <v>0</v>
      </c>
      <c r="N223" s="1" t="s">
        <v>207</v>
      </c>
      <c r="Z223" s="0" t="n">
        <f aca="false">I223-3</f>
        <v>31.5</v>
      </c>
      <c r="AB223" s="0" t="n">
        <f aca="false">IF(Z223&lt;0,Z223+360,Z223+0)</f>
        <v>31.5</v>
      </c>
    </row>
    <row r="224" customFormat="false" ht="15.8" hidden="false" customHeight="false" outlineLevel="0" collapsed="false">
      <c r="A224" s="1" t="n">
        <v>7</v>
      </c>
      <c r="B224" s="1" t="n">
        <v>12</v>
      </c>
      <c r="C224" s="1" t="n">
        <v>1.9</v>
      </c>
      <c r="D224" s="1" t="n">
        <v>1.1328</v>
      </c>
      <c r="E224" s="1" t="n">
        <v>0.0640527</v>
      </c>
      <c r="F224" s="1" t="n">
        <v>0.000174319</v>
      </c>
      <c r="G224" s="1" t="s">
        <v>37</v>
      </c>
      <c r="H224" s="1" t="n">
        <v>19.1</v>
      </c>
      <c r="I224" s="1" t="n">
        <v>358.8</v>
      </c>
      <c r="J224" s="1" t="n">
        <v>-12.9</v>
      </c>
      <c r="K224" s="1" t="n">
        <v>60.9</v>
      </c>
      <c r="L224" s="1" t="n">
        <v>0</v>
      </c>
      <c r="M224" s="1" t="n">
        <v>0</v>
      </c>
      <c r="N224" s="1" t="s">
        <v>210</v>
      </c>
      <c r="Z224" s="0" t="n">
        <f aca="false">I224-3</f>
        <v>355.8</v>
      </c>
      <c r="AB224" s="0" t="n">
        <f aca="false">IF(Z224&lt;0,Z224+360,Z224+0)</f>
        <v>355.8</v>
      </c>
    </row>
    <row r="225" customFormat="false" ht="15.8" hidden="false" customHeight="false" outlineLevel="0" collapsed="false">
      <c r="A225" s="1" t="n">
        <v>7</v>
      </c>
      <c r="B225" s="1" t="n">
        <v>12</v>
      </c>
      <c r="C225" s="1" t="n">
        <v>6.2</v>
      </c>
      <c r="D225" s="1" t="n">
        <v>1.2382</v>
      </c>
      <c r="E225" s="1" t="n">
        <v>0.212745</v>
      </c>
      <c r="F225" s="1" t="n">
        <v>0.000578984</v>
      </c>
      <c r="G225" s="1" t="s">
        <v>27</v>
      </c>
      <c r="H225" s="1" t="n">
        <v>147.7</v>
      </c>
      <c r="I225" s="1" t="n">
        <v>201.3</v>
      </c>
      <c r="J225" s="1" t="n">
        <v>17.1</v>
      </c>
      <c r="K225" s="1"/>
      <c r="L225" s="1" t="n">
        <v>0</v>
      </c>
      <c r="M225" s="1" t="n">
        <v>0</v>
      </c>
      <c r="N225" s="1" t="s">
        <v>210</v>
      </c>
      <c r="Z225" s="0" t="n">
        <f aca="false">I225-3</f>
        <v>198.3</v>
      </c>
      <c r="AB225" s="0" t="n">
        <f aca="false">IF(Z225&lt;0,Z225+360,Z225+0)</f>
        <v>198.3</v>
      </c>
    </row>
    <row r="226" customFormat="false" ht="15.8" hidden="false" customHeight="false" outlineLevel="0" collapsed="false">
      <c r="A226" s="1" t="n">
        <v>7</v>
      </c>
      <c r="B226" s="1" t="n">
        <v>11</v>
      </c>
      <c r="C226" s="1" t="n">
        <v>3.7</v>
      </c>
      <c r="D226" s="1" t="n">
        <v>1.076</v>
      </c>
      <c r="E226" s="1" t="n">
        <v>0.126156</v>
      </c>
      <c r="F226" s="1" t="n">
        <v>0.000343333</v>
      </c>
      <c r="G226" s="1" t="s">
        <v>37</v>
      </c>
      <c r="H226" s="1" t="n">
        <v>20.9</v>
      </c>
      <c r="I226" s="1" t="n">
        <v>358.7</v>
      </c>
      <c r="J226" s="1" t="n">
        <v>6.2</v>
      </c>
      <c r="K226" s="1" t="n">
        <v>147.7</v>
      </c>
      <c r="L226" s="1" t="n">
        <v>0</v>
      </c>
      <c r="M226" s="1" t="n">
        <v>0</v>
      </c>
      <c r="N226" s="1" t="s">
        <v>202</v>
      </c>
      <c r="Z226" s="0" t="n">
        <f aca="false">I226-3</f>
        <v>355.7</v>
      </c>
      <c r="AB226" s="0" t="n">
        <f aca="false">IF(Z226&lt;0,Z226+360,Z226+0)</f>
        <v>355.7</v>
      </c>
    </row>
    <row r="227" customFormat="false" ht="15.8" hidden="false" customHeight="false" outlineLevel="0" collapsed="false">
      <c r="A227" s="1" t="n">
        <v>7</v>
      </c>
      <c r="B227" s="1" t="n">
        <v>10</v>
      </c>
      <c r="C227" s="1" t="n">
        <v>3</v>
      </c>
      <c r="D227" s="1" t="n">
        <v>1.0993</v>
      </c>
      <c r="E227" s="1" t="n">
        <v>0.102421</v>
      </c>
      <c r="F227" s="1" t="n">
        <v>0.000278737</v>
      </c>
      <c r="G227" s="1" t="s">
        <v>37</v>
      </c>
      <c r="H227" s="1" t="n">
        <v>56.9</v>
      </c>
      <c r="I227" s="1" t="n">
        <v>347.4</v>
      </c>
      <c r="J227" s="1" t="n">
        <v>24</v>
      </c>
      <c r="K227" s="1" t="n">
        <v>61.7</v>
      </c>
      <c r="L227" s="1" t="n">
        <v>0</v>
      </c>
      <c r="M227" s="1" t="n">
        <v>0</v>
      </c>
      <c r="N227" s="1" t="s">
        <v>211</v>
      </c>
      <c r="Z227" s="0" t="n">
        <f aca="false">I227-3</f>
        <v>344.4</v>
      </c>
      <c r="AB227" s="0" t="n">
        <f aca="false">IF(Z227&lt;0,Z227+360,Z227+0)</f>
        <v>344.4</v>
      </c>
    </row>
    <row r="228" customFormat="false" ht="15.8" hidden="false" customHeight="false" outlineLevel="0" collapsed="false">
      <c r="A228" s="1" t="n">
        <v>7</v>
      </c>
      <c r="B228" s="1" t="n">
        <v>10</v>
      </c>
      <c r="C228" s="1" t="n">
        <v>4</v>
      </c>
      <c r="D228" s="1" t="n">
        <v>1.2899</v>
      </c>
      <c r="E228" s="1" t="n">
        <v>0.1357</v>
      </c>
      <c r="F228" s="1" t="n">
        <v>0.000369307</v>
      </c>
      <c r="G228" s="1" t="s">
        <v>27</v>
      </c>
      <c r="H228" s="1" t="n">
        <v>51.9</v>
      </c>
      <c r="I228" s="1" t="n">
        <v>85.6</v>
      </c>
      <c r="J228" s="1" t="n">
        <v>-28.8</v>
      </c>
      <c r="K228" s="1"/>
      <c r="L228" s="1" t="n">
        <v>0</v>
      </c>
      <c r="M228" s="1" t="n">
        <v>0</v>
      </c>
      <c r="N228" s="1" t="s">
        <v>211</v>
      </c>
      <c r="Z228" s="0" t="n">
        <f aca="false">I228-3</f>
        <v>82.6</v>
      </c>
      <c r="AB228" s="0" t="n">
        <f aca="false">IF(Z228&lt;0,Z228+360,Z228+0)</f>
        <v>82.6</v>
      </c>
    </row>
    <row r="229" customFormat="false" ht="15.8" hidden="false" customHeight="false" outlineLevel="0" collapsed="false">
      <c r="A229" s="1" t="n">
        <v>7</v>
      </c>
      <c r="B229" s="1" t="n">
        <v>9</v>
      </c>
      <c r="C229" s="1" t="n">
        <v>4.5</v>
      </c>
      <c r="D229" s="1" t="n">
        <v>1.1924</v>
      </c>
      <c r="E229" s="1" t="n">
        <v>0.15418</v>
      </c>
      <c r="F229" s="1" t="n">
        <v>0.0004196</v>
      </c>
      <c r="G229" s="1" t="s">
        <v>37</v>
      </c>
      <c r="H229" s="1" t="n">
        <v>43</v>
      </c>
      <c r="I229" s="1" t="n">
        <v>33.1</v>
      </c>
      <c r="J229" s="1" t="n">
        <v>-11.3</v>
      </c>
      <c r="K229" s="1" t="n">
        <v>56.9</v>
      </c>
      <c r="L229" s="1" t="n">
        <v>0</v>
      </c>
      <c r="M229" s="1" t="n">
        <v>0</v>
      </c>
      <c r="N229" s="1" t="s">
        <v>212</v>
      </c>
      <c r="Z229" s="0" t="n">
        <f aca="false">I229-3</f>
        <v>30.1</v>
      </c>
      <c r="AB229" s="0" t="n">
        <f aca="false">IF(Z229&lt;0,Z229+360,Z229+0)</f>
        <v>30.1</v>
      </c>
    </row>
    <row r="230" customFormat="false" ht="15.8" hidden="false" customHeight="false" outlineLevel="0" collapsed="false">
      <c r="A230" s="1" t="n">
        <v>7</v>
      </c>
      <c r="B230" s="1" t="n">
        <v>13</v>
      </c>
      <c r="C230" s="1" t="n">
        <v>4</v>
      </c>
      <c r="D230" s="1" t="n">
        <v>1.1355</v>
      </c>
      <c r="E230" s="1" t="n">
        <v>0.136636</v>
      </c>
      <c r="F230" s="1" t="n">
        <v>0.000371854</v>
      </c>
      <c r="G230" s="1" t="s">
        <v>27</v>
      </c>
      <c r="H230" s="1" t="n">
        <v>14.8</v>
      </c>
      <c r="I230" s="1" t="n">
        <v>357</v>
      </c>
      <c r="J230" s="1" t="n">
        <v>-6</v>
      </c>
      <c r="K230" s="1"/>
      <c r="L230" s="1" t="n">
        <v>0</v>
      </c>
      <c r="M230" s="1" t="n">
        <v>0</v>
      </c>
      <c r="N230" s="1" t="s">
        <v>213</v>
      </c>
      <c r="Z230" s="0" t="n">
        <f aca="false">I230-3</f>
        <v>354</v>
      </c>
      <c r="AB230" s="0" t="n">
        <f aca="false">IF(Z230&lt;0,Z230+360,Z230+0)</f>
        <v>354</v>
      </c>
    </row>
    <row r="231" customFormat="false" ht="15.8" hidden="false" customHeight="false" outlineLevel="0" collapsed="false">
      <c r="A231" s="1" t="n">
        <v>7</v>
      </c>
      <c r="B231" s="1" t="n">
        <v>13</v>
      </c>
      <c r="C231" s="1" t="n">
        <v>1.1</v>
      </c>
      <c r="D231" s="1" t="n">
        <v>1.1501</v>
      </c>
      <c r="E231" s="1" t="n">
        <v>0.0381167</v>
      </c>
      <c r="F231" s="1" t="n">
        <v>0.000103734</v>
      </c>
      <c r="G231" s="1" t="s">
        <v>27</v>
      </c>
      <c r="H231" s="1" t="n">
        <v>110.3</v>
      </c>
      <c r="I231" s="1" t="n">
        <v>253.8</v>
      </c>
      <c r="J231" s="1" t="n">
        <v>-22.4</v>
      </c>
      <c r="K231" s="1"/>
      <c r="L231" s="1" t="n">
        <v>0</v>
      </c>
      <c r="M231" s="1" t="n">
        <v>0</v>
      </c>
      <c r="N231" s="1" t="s">
        <v>213</v>
      </c>
      <c r="Z231" s="0" t="n">
        <f aca="false">I231-3</f>
        <v>250.8</v>
      </c>
      <c r="AB231" s="0" t="n">
        <f aca="false">IF(Z231&lt;0,Z231+360,Z231+0)</f>
        <v>250.8</v>
      </c>
    </row>
    <row r="232" customFormat="false" ht="15.8" hidden="false" customHeight="false" outlineLevel="0" collapsed="false">
      <c r="A232" s="1" t="n">
        <v>7</v>
      </c>
      <c r="B232" s="1" t="n">
        <v>12</v>
      </c>
      <c r="C232" s="1" t="n">
        <v>10.3</v>
      </c>
      <c r="D232" s="1" t="n">
        <v>1.2189</v>
      </c>
      <c r="E232" s="1" t="n">
        <v>0.351054</v>
      </c>
      <c r="F232" s="1" t="n">
        <v>0.000955392</v>
      </c>
      <c r="G232" s="1" t="s">
        <v>37</v>
      </c>
      <c r="H232" s="1" t="n">
        <v>7.1</v>
      </c>
      <c r="I232" s="1" t="n">
        <v>2.7</v>
      </c>
      <c r="J232" s="1" t="n">
        <v>7.6</v>
      </c>
      <c r="K232" s="1" t="n">
        <v>110.3</v>
      </c>
      <c r="L232" s="1" t="n">
        <v>0</v>
      </c>
      <c r="M232" s="1" t="n">
        <v>0</v>
      </c>
      <c r="N232" s="1" t="s">
        <v>214</v>
      </c>
      <c r="Z232" s="0" t="n">
        <f aca="false">I232-3</f>
        <v>-0.3</v>
      </c>
      <c r="AB232" s="0" t="n">
        <f aca="false">IF(Z232&lt;0,Z232+360,Z232+0)</f>
        <v>359.7</v>
      </c>
    </row>
    <row r="233" customFormat="false" ht="15.8" hidden="false" customHeight="false" outlineLevel="0" collapsed="false">
      <c r="A233" s="1" t="n">
        <v>7</v>
      </c>
      <c r="B233" s="1" t="n">
        <v>12</v>
      </c>
      <c r="C233" s="1" t="n">
        <v>1.6</v>
      </c>
      <c r="D233" s="1" t="n">
        <v>1.2745</v>
      </c>
      <c r="E233" s="1" t="n">
        <v>0.0549917</v>
      </c>
      <c r="F233" s="1" t="n">
        <v>0.000149659</v>
      </c>
      <c r="G233" s="1" t="s">
        <v>27</v>
      </c>
      <c r="H233" s="1" t="n">
        <v>73.7</v>
      </c>
      <c r="I233" s="1" t="n">
        <v>285.8</v>
      </c>
      <c r="J233" s="1" t="n">
        <v>61.6</v>
      </c>
      <c r="K233" s="1"/>
      <c r="L233" s="1" t="n">
        <v>0</v>
      </c>
      <c r="M233" s="1" t="n">
        <v>0</v>
      </c>
      <c r="N233" s="1" t="s">
        <v>214</v>
      </c>
      <c r="Z233" s="0" t="n">
        <f aca="false">I233-3</f>
        <v>282.8</v>
      </c>
      <c r="AB233" s="0" t="n">
        <f aca="false">IF(Z233&lt;0,Z233+360,Z233+0)</f>
        <v>282.8</v>
      </c>
    </row>
    <row r="234" customFormat="false" ht="15.8" hidden="false" customHeight="false" outlineLevel="0" collapsed="false">
      <c r="A234" s="1" t="n">
        <v>7</v>
      </c>
      <c r="B234" s="1" t="n">
        <v>11</v>
      </c>
      <c r="C234" s="1" t="n">
        <v>3.6</v>
      </c>
      <c r="D234" s="1" t="n">
        <v>1.137</v>
      </c>
      <c r="E234" s="1" t="n">
        <v>0.122311</v>
      </c>
      <c r="F234" s="1" t="n">
        <v>0.000332868</v>
      </c>
      <c r="G234" s="1" t="s">
        <v>37</v>
      </c>
      <c r="H234" s="1" t="n">
        <v>23.6</v>
      </c>
      <c r="I234" s="1" t="n">
        <v>6.5</v>
      </c>
      <c r="J234" s="1" t="n">
        <v>13.6</v>
      </c>
      <c r="K234" s="1" t="n">
        <v>73.7</v>
      </c>
      <c r="L234" s="1" t="n">
        <v>0</v>
      </c>
      <c r="M234" s="1" t="n">
        <v>0</v>
      </c>
      <c r="N234" s="1" t="s">
        <v>215</v>
      </c>
      <c r="Z234" s="0" t="n">
        <f aca="false">I234-3</f>
        <v>3.5</v>
      </c>
      <c r="AB234" s="0" t="n">
        <f aca="false">IF(Z234&lt;0,Z234+360,Z234+0)</f>
        <v>3.5</v>
      </c>
    </row>
    <row r="235" customFormat="false" ht="15.8" hidden="false" customHeight="false" outlineLevel="0" collapsed="false">
      <c r="A235" s="1" t="n">
        <v>7</v>
      </c>
      <c r="B235" s="1" t="n">
        <v>11</v>
      </c>
      <c r="C235" s="1" t="n">
        <v>1.8</v>
      </c>
      <c r="D235" s="1" t="n">
        <v>1.2151</v>
      </c>
      <c r="E235" s="1" t="n">
        <v>0.0615704</v>
      </c>
      <c r="F235" s="1" t="n">
        <v>0.000167563</v>
      </c>
      <c r="G235" s="1" t="s">
        <v>27</v>
      </c>
      <c r="H235" s="1" t="n">
        <v>92.8</v>
      </c>
      <c r="I235" s="1" t="n">
        <v>112.4</v>
      </c>
      <c r="J235" s="1" t="n">
        <v>-30</v>
      </c>
      <c r="K235" s="1"/>
      <c r="L235" s="1" t="n">
        <v>0</v>
      </c>
      <c r="M235" s="1" t="n">
        <v>0</v>
      </c>
      <c r="N235" s="1" t="s">
        <v>215</v>
      </c>
      <c r="Z235" s="0" t="n">
        <f aca="false">I235-3</f>
        <v>109.4</v>
      </c>
      <c r="AB235" s="0" t="n">
        <f aca="false">IF(Z235&lt;0,Z235+360,Z235+0)</f>
        <v>109.4</v>
      </c>
    </row>
    <row r="236" customFormat="false" ht="15.8" hidden="false" customHeight="false" outlineLevel="0" collapsed="false">
      <c r="A236" s="1" t="n">
        <v>7</v>
      </c>
      <c r="B236" s="1" t="n">
        <v>10</v>
      </c>
      <c r="C236" s="1" t="n">
        <v>1.4</v>
      </c>
      <c r="D236" s="1" t="n">
        <v>1.1923</v>
      </c>
      <c r="E236" s="1" t="n">
        <v>0.0462965</v>
      </c>
      <c r="F236" s="1" t="n">
        <v>0.000125996</v>
      </c>
      <c r="G236" s="1" t="s">
        <v>37</v>
      </c>
      <c r="H236" s="1" t="n">
        <v>71.2</v>
      </c>
      <c r="I236" s="1" t="n">
        <v>30.5</v>
      </c>
      <c r="J236" s="1" t="n">
        <v>19</v>
      </c>
      <c r="K236" s="1" t="n">
        <v>92.8</v>
      </c>
      <c r="L236" s="1" t="n">
        <v>0</v>
      </c>
      <c r="M236" s="1" t="n">
        <v>0</v>
      </c>
      <c r="N236" s="1" t="s">
        <v>216</v>
      </c>
      <c r="Z236" s="0" t="n">
        <f aca="false">I236-3</f>
        <v>27.5</v>
      </c>
      <c r="AB236" s="0" t="n">
        <f aca="false">IF(Z236&lt;0,Z236+360,Z236+0)</f>
        <v>27.5</v>
      </c>
    </row>
    <row r="237" customFormat="false" ht="15.8" hidden="false" customHeight="false" outlineLevel="0" collapsed="false">
      <c r="A237" s="1" t="n">
        <v>7</v>
      </c>
      <c r="B237" s="1" t="n">
        <v>10</v>
      </c>
      <c r="C237" s="1" t="n">
        <v>1</v>
      </c>
      <c r="D237" s="1" t="n">
        <v>1.2079</v>
      </c>
      <c r="E237" s="1" t="n">
        <v>0.0327767</v>
      </c>
      <c r="F237" s="1" t="n">
        <v>8.92016E-005</v>
      </c>
      <c r="G237" s="1" t="s">
        <v>27</v>
      </c>
      <c r="H237" s="1" t="n">
        <v>80.5</v>
      </c>
      <c r="I237" s="1" t="n">
        <v>156.2</v>
      </c>
      <c r="J237" s="1" t="n">
        <v>27.8</v>
      </c>
      <c r="K237" s="1"/>
      <c r="L237" s="1" t="n">
        <v>0</v>
      </c>
      <c r="M237" s="1" t="n">
        <v>0</v>
      </c>
      <c r="N237" s="1" t="s">
        <v>216</v>
      </c>
      <c r="Z237" s="0" t="n">
        <f aca="false">I237-3</f>
        <v>153.2</v>
      </c>
      <c r="AB237" s="0" t="n">
        <f aca="false">IF(Z237&lt;0,Z237+360,Z237+0)</f>
        <v>153.2</v>
      </c>
    </row>
    <row r="238" customFormat="false" ht="15.8" hidden="false" customHeight="false" outlineLevel="0" collapsed="false">
      <c r="A238" s="1" t="n">
        <v>7</v>
      </c>
      <c r="B238" s="1" t="n">
        <v>9</v>
      </c>
      <c r="C238" s="1" t="n">
        <v>3.2</v>
      </c>
      <c r="D238" s="1" t="n">
        <v>1.1463</v>
      </c>
      <c r="E238" s="1" t="n">
        <v>0.108915</v>
      </c>
      <c r="F238" s="1" t="n">
        <v>0.000296411</v>
      </c>
      <c r="G238" s="1" t="s">
        <v>37</v>
      </c>
      <c r="H238" s="1" t="n">
        <v>57.6</v>
      </c>
      <c r="I238" s="1" t="n">
        <v>303.5</v>
      </c>
      <c r="J238" s="1" t="n">
        <v>68.8</v>
      </c>
      <c r="K238" s="1" t="n">
        <v>80.5</v>
      </c>
      <c r="L238" s="1" t="n">
        <v>0</v>
      </c>
      <c r="M238" s="1" t="n">
        <v>0</v>
      </c>
      <c r="N238" s="1" t="s">
        <v>212</v>
      </c>
      <c r="Z238" s="0" t="n">
        <f aca="false">I238-3</f>
        <v>300.5</v>
      </c>
      <c r="AB238" s="0" t="n">
        <f aca="false">IF(Z238&lt;0,Z238+360,Z238+0)</f>
        <v>300.5</v>
      </c>
    </row>
    <row r="239" customFormat="false" ht="15.8" hidden="false" customHeight="false" outlineLevel="0" collapsed="false">
      <c r="A239" s="1" t="n">
        <v>7</v>
      </c>
      <c r="B239" s="1" t="n">
        <v>8</v>
      </c>
      <c r="C239" s="1" t="n">
        <v>1</v>
      </c>
      <c r="D239" s="1" t="n">
        <v>1.1809</v>
      </c>
      <c r="E239" s="1" t="n">
        <v>0.032916</v>
      </c>
      <c r="F239" s="1" t="n">
        <v>8.95806E-005</v>
      </c>
      <c r="G239" s="1" t="s">
        <v>37</v>
      </c>
      <c r="H239" s="1" t="n">
        <v>28.6</v>
      </c>
      <c r="I239" s="1" t="n">
        <v>13</v>
      </c>
      <c r="J239" s="1" t="n">
        <v>27</v>
      </c>
      <c r="K239" s="1" t="n">
        <v>57.6</v>
      </c>
      <c r="L239" s="1" t="n">
        <v>0</v>
      </c>
      <c r="M239" s="1" t="n">
        <v>0</v>
      </c>
      <c r="N239" s="1" t="s">
        <v>201</v>
      </c>
      <c r="Z239" s="0" t="n">
        <f aca="false">I239-3</f>
        <v>10</v>
      </c>
      <c r="AB239" s="0" t="n">
        <f aca="false">IF(Z239&lt;0,Z239+360,Z239+0)</f>
        <v>10</v>
      </c>
    </row>
    <row r="240" customFormat="false" ht="15.8" hidden="false" customHeight="false" outlineLevel="0" collapsed="false">
      <c r="A240" s="1" t="n">
        <v>7</v>
      </c>
      <c r="B240" s="1" t="n">
        <v>7</v>
      </c>
      <c r="C240" s="1" t="n">
        <v>3.3</v>
      </c>
      <c r="D240" s="1" t="n">
        <v>1.0248</v>
      </c>
      <c r="E240" s="1" t="n">
        <v>0.11301</v>
      </c>
      <c r="F240" s="1" t="n">
        <v>0.000307557</v>
      </c>
      <c r="G240" s="1" t="s">
        <v>37</v>
      </c>
      <c r="H240" s="1" t="n">
        <v>29.3</v>
      </c>
      <c r="I240" s="1" t="n">
        <v>22.8</v>
      </c>
      <c r="J240" s="1" t="n">
        <v>0</v>
      </c>
      <c r="K240" s="1" t="n">
        <v>97.9</v>
      </c>
      <c r="L240" s="1" t="n">
        <v>0</v>
      </c>
      <c r="M240" s="1" t="n">
        <v>0</v>
      </c>
      <c r="N240" s="1" t="s">
        <v>199</v>
      </c>
      <c r="Z240" s="0" t="n">
        <f aca="false">I240-3</f>
        <v>19.8</v>
      </c>
      <c r="AB240" s="0" t="n">
        <f aca="false">IF(Z240&lt;0,Z240+360,Z240+0)</f>
        <v>19.8</v>
      </c>
    </row>
    <row r="241" customFormat="false" ht="15.8" hidden="false" customHeight="false" outlineLevel="0" collapsed="false">
      <c r="A241" s="1" t="n">
        <v>7</v>
      </c>
      <c r="B241" s="1" t="n">
        <v>6</v>
      </c>
      <c r="C241" s="1" t="n">
        <v>1.2</v>
      </c>
      <c r="D241" s="1" t="n">
        <v>1.0046</v>
      </c>
      <c r="E241" s="1" t="n">
        <v>0.0402478</v>
      </c>
      <c r="F241" s="1" t="n">
        <v>0.000109534</v>
      </c>
      <c r="G241" s="1" t="s">
        <v>37</v>
      </c>
      <c r="H241" s="1" t="n">
        <v>0.7</v>
      </c>
      <c r="I241" s="1" t="n">
        <v>52.2</v>
      </c>
      <c r="J241" s="1" t="n">
        <v>0</v>
      </c>
      <c r="K241" s="1" t="n">
        <v>37.3</v>
      </c>
      <c r="L241" s="1" t="n">
        <v>0</v>
      </c>
      <c r="M241" s="1" t="n">
        <v>0</v>
      </c>
      <c r="N241" s="1" t="s">
        <v>217</v>
      </c>
      <c r="Z241" s="0" t="n">
        <f aca="false">I241-3</f>
        <v>49.2</v>
      </c>
      <c r="AB241" s="0" t="n">
        <f aca="false">IF(Z241&lt;0,Z241+360,Z241+0)</f>
        <v>49.2</v>
      </c>
    </row>
    <row r="242" customFormat="false" ht="15.8" hidden="false" customHeight="false" outlineLevel="0" collapsed="false">
      <c r="A242" s="1" t="n">
        <v>7</v>
      </c>
      <c r="B242" s="1" t="n">
        <v>7</v>
      </c>
      <c r="C242" s="1" t="n">
        <v>2.4</v>
      </c>
      <c r="D242" s="1" t="n">
        <v>1.2556</v>
      </c>
      <c r="E242" s="1" t="n">
        <v>0.0823688</v>
      </c>
      <c r="F242" s="1" t="n">
        <v>0.000224166</v>
      </c>
      <c r="G242" s="1" t="s">
        <v>27</v>
      </c>
      <c r="H242" s="1" t="n">
        <v>84.9</v>
      </c>
      <c r="I242" s="1" t="n">
        <v>41.3</v>
      </c>
      <c r="J242" s="1" t="n">
        <v>-11.1</v>
      </c>
      <c r="K242" s="1"/>
      <c r="L242" s="1" t="n">
        <v>0</v>
      </c>
      <c r="M242" s="1" t="n">
        <v>0</v>
      </c>
      <c r="N242" s="1" t="s">
        <v>218</v>
      </c>
      <c r="Z242" s="0" t="n">
        <f aca="false">I242-3</f>
        <v>38.3</v>
      </c>
      <c r="AB242" s="0" t="n">
        <f aca="false">IF(Z242&lt;0,Z242+360,Z242+0)</f>
        <v>38.3</v>
      </c>
    </row>
    <row r="243" customFormat="false" ht="15.8" hidden="false" customHeight="false" outlineLevel="0" collapsed="false">
      <c r="A243" s="1" t="n">
        <v>7</v>
      </c>
      <c r="B243" s="1" t="n">
        <v>8</v>
      </c>
      <c r="C243" s="1" t="n">
        <v>1.6</v>
      </c>
      <c r="D243" s="1" t="n">
        <v>1.6875</v>
      </c>
      <c r="E243" s="1" t="n">
        <v>0.0547791</v>
      </c>
      <c r="F243" s="1" t="n">
        <v>0.000149081</v>
      </c>
      <c r="G243" s="1" t="s">
        <v>27</v>
      </c>
      <c r="H243" s="1" t="n">
        <v>113.9</v>
      </c>
      <c r="I243" s="1" t="n">
        <v>183.9</v>
      </c>
      <c r="J243" s="1" t="n">
        <v>0</v>
      </c>
      <c r="K243" s="1"/>
      <c r="L243" s="1" t="n">
        <v>0</v>
      </c>
      <c r="M243" s="1" t="n">
        <v>0</v>
      </c>
      <c r="N243" s="1" t="s">
        <v>219</v>
      </c>
      <c r="Z243" s="0" t="n">
        <f aca="false">I243-3</f>
        <v>180.9</v>
      </c>
      <c r="AB243" s="0" t="n">
        <f aca="false">IF(Z243&lt;0,Z243+360,Z243+0)</f>
        <v>180.9</v>
      </c>
    </row>
    <row r="244" customFormat="false" ht="15.8" hidden="false" customHeight="false" outlineLevel="0" collapsed="false">
      <c r="A244" s="1" t="n">
        <v>7</v>
      </c>
      <c r="B244" s="1" t="n">
        <v>14</v>
      </c>
      <c r="C244" s="1" t="n">
        <v>2.2</v>
      </c>
      <c r="D244" s="1" t="n">
        <v>1.3003</v>
      </c>
      <c r="E244" s="1" t="n">
        <v>0.0736871</v>
      </c>
      <c r="F244" s="1" t="n">
        <v>0.000200539</v>
      </c>
      <c r="G244" s="1" t="s">
        <v>27</v>
      </c>
      <c r="H244" s="1" t="n">
        <v>8.8</v>
      </c>
      <c r="I244" s="1" t="n">
        <v>115.1</v>
      </c>
      <c r="J244" s="1" t="n">
        <v>-63.3</v>
      </c>
      <c r="K244" s="1"/>
      <c r="L244" s="1" t="n">
        <v>0</v>
      </c>
      <c r="M244" s="1" t="n">
        <v>0</v>
      </c>
      <c r="N244" s="1" t="s">
        <v>220</v>
      </c>
      <c r="Z244" s="0" t="n">
        <f aca="false">I244-3</f>
        <v>112.1</v>
      </c>
      <c r="AB244" s="0" t="n">
        <f aca="false">IF(Z244&lt;0,Z244+360,Z244+0)</f>
        <v>112.1</v>
      </c>
    </row>
    <row r="245" customFormat="false" ht="15.8" hidden="false" customHeight="false" outlineLevel="0" collapsed="false">
      <c r="A245" s="1" t="n">
        <v>7</v>
      </c>
      <c r="B245" s="1" t="n">
        <v>14</v>
      </c>
      <c r="C245" s="1" t="n">
        <v>0.7</v>
      </c>
      <c r="D245" s="1" t="n">
        <v>1.0981</v>
      </c>
      <c r="E245" s="1" t="n">
        <v>0.0247686</v>
      </c>
      <c r="F245" s="1" t="n">
        <v>6.74075E-005</v>
      </c>
      <c r="G245" s="1" t="s">
        <v>27</v>
      </c>
      <c r="H245" s="1" t="n">
        <v>63.5</v>
      </c>
      <c r="I245" s="1" t="n">
        <v>4.6</v>
      </c>
      <c r="J245" s="1" t="n">
        <v>-34.1</v>
      </c>
      <c r="K245" s="1"/>
      <c r="L245" s="1" t="n">
        <v>0</v>
      </c>
      <c r="M245" s="1" t="n">
        <v>0</v>
      </c>
      <c r="N245" s="1" t="s">
        <v>220</v>
      </c>
      <c r="Z245" s="0" t="n">
        <f aca="false">I245-3</f>
        <v>1.6</v>
      </c>
      <c r="AB245" s="0" t="n">
        <f aca="false">IF(Z245&lt;0,Z245+360,Z245+0)</f>
        <v>1.6</v>
      </c>
    </row>
    <row r="246" customFormat="false" ht="15.8" hidden="false" customHeight="false" outlineLevel="0" collapsed="false">
      <c r="A246" s="1" t="n">
        <v>7</v>
      </c>
      <c r="B246" s="1" t="n">
        <v>13</v>
      </c>
      <c r="C246" s="1" t="n">
        <v>2.2</v>
      </c>
      <c r="D246" s="1" t="n">
        <v>1.1529</v>
      </c>
      <c r="E246" s="1" t="n">
        <v>0.0766727</v>
      </c>
      <c r="F246" s="1" t="n">
        <v>0.000208664</v>
      </c>
      <c r="G246" s="1" t="s">
        <v>37</v>
      </c>
      <c r="H246" s="1" t="n">
        <v>77.6</v>
      </c>
      <c r="I246" s="1" t="n">
        <v>114.7</v>
      </c>
      <c r="J246" s="1" t="n">
        <v>-72.1</v>
      </c>
      <c r="K246" s="1" t="n">
        <v>63.5</v>
      </c>
      <c r="L246" s="1" t="n">
        <v>0</v>
      </c>
      <c r="M246" s="1" t="n">
        <v>0</v>
      </c>
      <c r="N246" s="1" t="s">
        <v>221</v>
      </c>
      <c r="Z246" s="0" t="n">
        <f aca="false">I246-3</f>
        <v>111.7</v>
      </c>
      <c r="AB246" s="0" t="n">
        <f aca="false">IF(Z246&lt;0,Z246+360,Z246+0)</f>
        <v>111.7</v>
      </c>
    </row>
    <row r="247" customFormat="false" ht="15.8" hidden="false" customHeight="false" outlineLevel="0" collapsed="false">
      <c r="A247" s="1" t="n">
        <v>7</v>
      </c>
      <c r="B247" s="1" t="n">
        <v>13</v>
      </c>
      <c r="C247" s="1" t="n">
        <v>0.5</v>
      </c>
      <c r="D247" s="1" t="n">
        <v>1.0033</v>
      </c>
      <c r="E247" s="1" t="n">
        <v>0.0187103</v>
      </c>
      <c r="F247" s="1" t="n">
        <v>5.09199E-005</v>
      </c>
      <c r="G247" s="1" t="s">
        <v>27</v>
      </c>
      <c r="H247" s="1" t="n">
        <v>15.9</v>
      </c>
      <c r="I247" s="1" t="n">
        <v>176.6</v>
      </c>
      <c r="J247" s="1" t="n">
        <v>0</v>
      </c>
      <c r="K247" s="1"/>
      <c r="L247" s="1" t="n">
        <v>0</v>
      </c>
      <c r="M247" s="1" t="n">
        <v>0</v>
      </c>
      <c r="N247" s="1" t="s">
        <v>221</v>
      </c>
      <c r="Z247" s="0" t="n">
        <f aca="false">I247-3</f>
        <v>173.6</v>
      </c>
      <c r="AB247" s="0" t="n">
        <f aca="false">IF(Z247&lt;0,Z247+360,Z247+0)</f>
        <v>173.6</v>
      </c>
    </row>
    <row r="248" customFormat="false" ht="15.8" hidden="false" customHeight="false" outlineLevel="0" collapsed="false">
      <c r="A248" s="1" t="n">
        <v>7</v>
      </c>
      <c r="B248" s="1" t="n">
        <v>12</v>
      </c>
      <c r="C248" s="1" t="n">
        <v>0.7</v>
      </c>
      <c r="D248" s="1" t="n">
        <v>1.0037</v>
      </c>
      <c r="E248" s="1" t="n">
        <v>0.0237526</v>
      </c>
      <c r="F248" s="1" t="n">
        <v>6.46426E-005</v>
      </c>
      <c r="G248" s="1" t="s">
        <v>37</v>
      </c>
      <c r="H248" s="1" t="n">
        <v>22.1</v>
      </c>
      <c r="I248" s="1" t="n">
        <v>160.7</v>
      </c>
      <c r="J248" s="1" t="n">
        <v>0</v>
      </c>
      <c r="K248" s="1" t="n">
        <v>77.6</v>
      </c>
      <c r="L248" s="1" t="n">
        <v>0</v>
      </c>
      <c r="M248" s="1" t="n">
        <v>0</v>
      </c>
      <c r="N248" s="1" t="s">
        <v>222</v>
      </c>
      <c r="Z248" s="0" t="n">
        <f aca="false">I248-3</f>
        <v>157.7</v>
      </c>
      <c r="AB248" s="0" t="n">
        <f aca="false">IF(Z248&lt;0,Z248+360,Z248+0)</f>
        <v>157.7</v>
      </c>
    </row>
    <row r="249" customFormat="false" ht="15.8" hidden="false" customHeight="false" outlineLevel="0" collapsed="false">
      <c r="A249" s="1" t="n">
        <v>7</v>
      </c>
      <c r="B249" s="1" t="n">
        <v>12</v>
      </c>
      <c r="C249" s="1" t="n">
        <v>1.3</v>
      </c>
      <c r="D249" s="1" t="n">
        <v>1.1628</v>
      </c>
      <c r="E249" s="1" t="n">
        <v>0.0444959</v>
      </c>
      <c r="F249" s="1" t="n">
        <v>0.000121095</v>
      </c>
      <c r="G249" s="1" t="s">
        <v>27</v>
      </c>
      <c r="H249" s="1" t="n">
        <v>93.9</v>
      </c>
      <c r="I249" s="1" t="n">
        <v>90</v>
      </c>
      <c r="J249" s="1" t="n">
        <v>19.3</v>
      </c>
      <c r="K249" s="1"/>
      <c r="L249" s="1" t="n">
        <v>0</v>
      </c>
      <c r="M249" s="1" t="n">
        <v>0</v>
      </c>
      <c r="N249" s="1" t="s">
        <v>222</v>
      </c>
      <c r="Z249" s="0" t="n">
        <f aca="false">I249-3</f>
        <v>87</v>
      </c>
      <c r="AB249" s="0" t="n">
        <f aca="false">IF(Z249&lt;0,Z249+360,Z249+0)</f>
        <v>87</v>
      </c>
    </row>
    <row r="250" customFormat="false" ht="15.8" hidden="false" customHeight="false" outlineLevel="0" collapsed="false">
      <c r="A250" s="1" t="n">
        <v>7</v>
      </c>
      <c r="B250" s="1" t="n">
        <v>11</v>
      </c>
      <c r="C250" s="1" t="n">
        <v>4.3</v>
      </c>
      <c r="D250" s="1" t="n">
        <v>1.2995</v>
      </c>
      <c r="E250" s="1" t="n">
        <v>0.148556</v>
      </c>
      <c r="F250" s="1" t="n">
        <v>0.000404293</v>
      </c>
      <c r="G250" s="1" t="s">
        <v>37</v>
      </c>
      <c r="H250" s="1" t="n">
        <v>24.5</v>
      </c>
      <c r="I250" s="1" t="n">
        <v>181.9</v>
      </c>
      <c r="J250" s="1" t="n">
        <v>-6.4</v>
      </c>
      <c r="K250" s="1" t="n">
        <v>93.9</v>
      </c>
      <c r="L250" s="1" t="n">
        <v>0</v>
      </c>
      <c r="M250" s="1" t="n">
        <v>0</v>
      </c>
      <c r="N250" s="1" t="s">
        <v>223</v>
      </c>
      <c r="Z250" s="0" t="n">
        <f aca="false">I250-3</f>
        <v>178.9</v>
      </c>
      <c r="AB250" s="0" t="n">
        <f aca="false">IF(Z250&lt;0,Z250+360,Z250+0)</f>
        <v>178.9</v>
      </c>
    </row>
    <row r="251" customFormat="false" ht="15.8" hidden="false" customHeight="false" outlineLevel="0" collapsed="false">
      <c r="A251" s="1" t="n">
        <v>7</v>
      </c>
      <c r="B251" s="1" t="n">
        <v>11</v>
      </c>
      <c r="C251" s="1" t="n">
        <v>1.4</v>
      </c>
      <c r="D251" s="1" t="n">
        <v>1.2143</v>
      </c>
      <c r="E251" s="1" t="n">
        <v>0.0482299</v>
      </c>
      <c r="F251" s="1" t="n">
        <v>0.000131257</v>
      </c>
      <c r="G251" s="1" t="s">
        <v>27</v>
      </c>
      <c r="H251" s="1" t="n">
        <v>76.8</v>
      </c>
      <c r="I251" s="1" t="n">
        <v>256.6</v>
      </c>
      <c r="J251" s="1" t="n">
        <v>39.6</v>
      </c>
      <c r="K251" s="1"/>
      <c r="L251" s="1" t="n">
        <v>0</v>
      </c>
      <c r="M251" s="1" t="n">
        <v>0</v>
      </c>
      <c r="N251" s="1" t="s">
        <v>223</v>
      </c>
      <c r="Z251" s="0" t="n">
        <f aca="false">I251-3</f>
        <v>253.6</v>
      </c>
      <c r="AB251" s="0" t="n">
        <f aca="false">IF(Z251&lt;0,Z251+360,Z251+0)</f>
        <v>253.6</v>
      </c>
    </row>
    <row r="252" customFormat="false" ht="15.8" hidden="false" customHeight="false" outlineLevel="0" collapsed="false">
      <c r="A252" s="1" t="n">
        <v>7</v>
      </c>
      <c r="B252" s="1" t="n">
        <v>10</v>
      </c>
      <c r="C252" s="1" t="n">
        <v>6.7</v>
      </c>
      <c r="D252" s="1" t="n">
        <v>1.1872</v>
      </c>
      <c r="E252" s="1" t="n">
        <v>0.230719</v>
      </c>
      <c r="F252" s="1" t="n">
        <v>0.0006279</v>
      </c>
      <c r="G252" s="1" t="s">
        <v>37</v>
      </c>
      <c r="H252" s="1" t="n">
        <v>60.6</v>
      </c>
      <c r="I252" s="1" t="n">
        <v>203.4</v>
      </c>
      <c r="J252" s="1" t="n">
        <v>-19</v>
      </c>
      <c r="K252" s="1" t="n">
        <v>76.8</v>
      </c>
      <c r="L252" s="1" t="n">
        <v>0</v>
      </c>
      <c r="M252" s="1" t="n">
        <v>0</v>
      </c>
      <c r="N252" s="1" t="s">
        <v>224</v>
      </c>
      <c r="Z252" s="0" t="n">
        <f aca="false">I252-3</f>
        <v>200.4</v>
      </c>
      <c r="AB252" s="0" t="n">
        <f aca="false">IF(Z252&lt;0,Z252+360,Z252+0)</f>
        <v>200.4</v>
      </c>
    </row>
    <row r="253" customFormat="false" ht="15.8" hidden="false" customHeight="false" outlineLevel="0" collapsed="false">
      <c r="A253" s="1" t="n">
        <v>7</v>
      </c>
      <c r="B253" s="1" t="n">
        <v>10</v>
      </c>
      <c r="C253" s="1" t="n">
        <v>2.4</v>
      </c>
      <c r="D253" s="1" t="n">
        <v>1.2832</v>
      </c>
      <c r="E253" s="1" t="n">
        <v>0.0830478</v>
      </c>
      <c r="F253" s="1" t="n">
        <v>0.000226014</v>
      </c>
      <c r="G253" s="1" t="s">
        <v>27</v>
      </c>
      <c r="H253" s="1" t="n">
        <v>23</v>
      </c>
      <c r="I253" s="1" t="n">
        <v>137</v>
      </c>
      <c r="J253" s="1" t="n">
        <v>35.9</v>
      </c>
      <c r="K253" s="1"/>
      <c r="L253" s="1" t="n">
        <v>0</v>
      </c>
      <c r="M253" s="1" t="n">
        <v>0</v>
      </c>
      <c r="N253" s="1" t="s">
        <v>224</v>
      </c>
      <c r="Z253" s="0" t="n">
        <f aca="false">I253-3</f>
        <v>134</v>
      </c>
      <c r="AB253" s="0" t="n">
        <f aca="false">IF(Z253&lt;0,Z253+360,Z253+0)</f>
        <v>134</v>
      </c>
    </row>
    <row r="254" customFormat="false" ht="15.8" hidden="false" customHeight="false" outlineLevel="0" collapsed="false">
      <c r="A254" s="1" t="n">
        <v>7</v>
      </c>
      <c r="B254" s="1" t="n">
        <v>9</v>
      </c>
      <c r="C254" s="1" t="n">
        <v>8.7</v>
      </c>
      <c r="D254" s="1" t="n">
        <v>1.3564</v>
      </c>
      <c r="E254" s="1" t="n">
        <v>0.296808</v>
      </c>
      <c r="F254" s="1" t="n">
        <v>0.000807761</v>
      </c>
      <c r="G254" s="1" t="s">
        <v>37</v>
      </c>
      <c r="H254" s="1" t="n">
        <v>90.4</v>
      </c>
      <c r="I254" s="1" t="n">
        <v>156.3</v>
      </c>
      <c r="J254" s="1" t="n">
        <v>20.3</v>
      </c>
      <c r="K254" s="1" t="n">
        <v>60.6</v>
      </c>
      <c r="L254" s="1" t="n">
        <v>0</v>
      </c>
      <c r="M254" s="1" t="n">
        <v>0</v>
      </c>
      <c r="N254" s="1" t="s">
        <v>225</v>
      </c>
      <c r="Z254" s="0" t="n">
        <f aca="false">I254-3</f>
        <v>153.3</v>
      </c>
      <c r="AB254" s="0" t="n">
        <f aca="false">IF(Z254&lt;0,Z254+360,Z254+0)</f>
        <v>153.3</v>
      </c>
    </row>
    <row r="255" customFormat="false" ht="15.8" hidden="false" customHeight="false" outlineLevel="0" collapsed="false">
      <c r="A255" s="1" t="n">
        <v>7</v>
      </c>
      <c r="B255" s="1" t="n">
        <v>10</v>
      </c>
      <c r="C255" s="1" t="n">
        <v>0.5</v>
      </c>
      <c r="D255" s="1" t="n">
        <v>1</v>
      </c>
      <c r="E255" s="1" t="n">
        <v>0.0175127</v>
      </c>
      <c r="F255" s="1" t="n">
        <v>4.76606E-005</v>
      </c>
      <c r="G255" s="1" t="s">
        <v>27</v>
      </c>
      <c r="H255" s="1" t="n">
        <v>40.3</v>
      </c>
      <c r="I255" s="1" t="n">
        <v>357.6</v>
      </c>
      <c r="J255" s="1" t="n">
        <v>0</v>
      </c>
      <c r="K255" s="1"/>
      <c r="L255" s="1" t="n">
        <v>0</v>
      </c>
      <c r="M255" s="1" t="n">
        <v>0</v>
      </c>
      <c r="N255" s="1" t="s">
        <v>226</v>
      </c>
      <c r="Z255" s="0" t="n">
        <f aca="false">I255-3</f>
        <v>354.6</v>
      </c>
      <c r="AB255" s="0" t="n">
        <f aca="false">IF(Z255&lt;0,Z255+360,Z255+0)</f>
        <v>354.6</v>
      </c>
    </row>
    <row r="256" customFormat="false" ht="15.8" hidden="false" customHeight="false" outlineLevel="0" collapsed="false">
      <c r="A256" s="1" t="n">
        <v>7</v>
      </c>
      <c r="B256" s="1" t="n">
        <v>11</v>
      </c>
      <c r="C256" s="1" t="n">
        <v>11.4</v>
      </c>
      <c r="D256" s="1" t="n">
        <v>1.4322</v>
      </c>
      <c r="E256" s="1" t="n">
        <v>0.390833</v>
      </c>
      <c r="F256" s="1" t="n">
        <v>0.00106365</v>
      </c>
      <c r="G256" s="1" t="s">
        <v>27</v>
      </c>
      <c r="H256" s="1" t="n">
        <v>48.7</v>
      </c>
      <c r="I256" s="1" t="n">
        <v>51</v>
      </c>
      <c r="J256" s="1" t="n">
        <v>8</v>
      </c>
      <c r="K256" s="1"/>
      <c r="L256" s="1" t="n">
        <v>0</v>
      </c>
      <c r="M256" s="1" t="n">
        <v>0</v>
      </c>
      <c r="N256" s="1" t="s">
        <v>227</v>
      </c>
      <c r="Z256" s="0" t="n">
        <f aca="false">I256-3</f>
        <v>48</v>
      </c>
      <c r="AB256" s="0" t="n">
        <f aca="false">IF(Z256&lt;0,Z256+360,Z256+0)</f>
        <v>48</v>
      </c>
    </row>
    <row r="257" customFormat="false" ht="15.8" hidden="false" customHeight="false" outlineLevel="0" collapsed="false">
      <c r="A257" s="1" t="n">
        <v>7</v>
      </c>
      <c r="B257" s="1" t="n">
        <v>12</v>
      </c>
      <c r="C257" s="1" t="n">
        <v>0.8</v>
      </c>
      <c r="D257" s="1" t="n">
        <v>1.1188</v>
      </c>
      <c r="E257" s="1" t="n">
        <v>0.0266395</v>
      </c>
      <c r="F257" s="1" t="n">
        <v>7.24991E-005</v>
      </c>
      <c r="G257" s="1" t="s">
        <v>27</v>
      </c>
      <c r="H257" s="1" t="n">
        <v>38.6</v>
      </c>
      <c r="I257" s="1" t="n">
        <v>189.9</v>
      </c>
      <c r="J257" s="1" t="n">
        <v>0</v>
      </c>
      <c r="K257" s="1"/>
      <c r="L257" s="1" t="n">
        <v>0</v>
      </c>
      <c r="M257" s="1" t="n">
        <v>0</v>
      </c>
      <c r="N257" s="1" t="s">
        <v>228</v>
      </c>
      <c r="Z257" s="0" t="n">
        <f aca="false">I257-3</f>
        <v>186.9</v>
      </c>
      <c r="AB257" s="0" t="n">
        <f aca="false">IF(Z257&lt;0,Z257+360,Z257+0)</f>
        <v>186.9</v>
      </c>
    </row>
    <row r="258" customFormat="false" ht="15.8" hidden="false" customHeight="false" outlineLevel="0" collapsed="false">
      <c r="A258" s="1" t="n">
        <v>7</v>
      </c>
      <c r="B258" s="1" t="n">
        <v>12</v>
      </c>
      <c r="C258" s="1" t="n">
        <v>0.7</v>
      </c>
      <c r="D258" s="1" t="n">
        <v>1.0674</v>
      </c>
      <c r="E258" s="1" t="n">
        <v>0.0240179</v>
      </c>
      <c r="F258" s="1" t="n">
        <v>6.53644E-005</v>
      </c>
      <c r="G258" s="1" t="s">
        <v>27</v>
      </c>
      <c r="H258" s="1" t="n">
        <v>27.9</v>
      </c>
      <c r="I258" s="1" t="n">
        <v>129</v>
      </c>
      <c r="J258" s="1" t="n">
        <v>0</v>
      </c>
      <c r="K258" s="1"/>
      <c r="L258" s="1" t="n">
        <v>0</v>
      </c>
      <c r="M258" s="1" t="n">
        <v>0</v>
      </c>
      <c r="N258" s="1" t="s">
        <v>228</v>
      </c>
      <c r="Z258" s="0" t="n">
        <f aca="false">I258-3</f>
        <v>126</v>
      </c>
      <c r="AB258" s="0" t="n">
        <f aca="false">IF(Z258&lt;0,Z258+360,Z258+0)</f>
        <v>126</v>
      </c>
    </row>
    <row r="259" customFormat="false" ht="15.8" hidden="false" customHeight="false" outlineLevel="0" collapsed="false">
      <c r="A259" s="1" t="n">
        <v>7</v>
      </c>
      <c r="B259" s="1" t="n">
        <v>11</v>
      </c>
      <c r="C259" s="1" t="n">
        <v>1.8</v>
      </c>
      <c r="D259" s="1" t="n">
        <v>1.1769</v>
      </c>
      <c r="E259" s="1" t="n">
        <v>0.062545</v>
      </c>
      <c r="F259" s="1" t="n">
        <v>0.000170216</v>
      </c>
      <c r="G259" s="1" t="s">
        <v>37</v>
      </c>
      <c r="H259" s="1" t="n">
        <v>124.3</v>
      </c>
      <c r="I259" s="1" t="n">
        <v>153.4</v>
      </c>
      <c r="J259" s="1" t="n">
        <v>-13.8</v>
      </c>
      <c r="K259" s="1" t="n">
        <v>38.6</v>
      </c>
      <c r="L259" s="1" t="n">
        <v>0</v>
      </c>
      <c r="M259" s="1" t="n">
        <v>0</v>
      </c>
      <c r="N259" s="1" t="s">
        <v>227</v>
      </c>
      <c r="Z259" s="0" t="n">
        <f aca="false">I259-3</f>
        <v>150.4</v>
      </c>
      <c r="AB259" s="0" t="n">
        <f aca="false">IF(Z259&lt;0,Z259+360,Z259+0)</f>
        <v>150.4</v>
      </c>
    </row>
    <row r="260" customFormat="false" ht="15.8" hidden="false" customHeight="false" outlineLevel="0" collapsed="false">
      <c r="A260" s="1" t="n">
        <v>7</v>
      </c>
      <c r="B260" s="1" t="n">
        <v>12</v>
      </c>
      <c r="C260" s="1" t="n">
        <v>1.3</v>
      </c>
      <c r="D260" s="1" t="n">
        <v>1.2655</v>
      </c>
      <c r="E260" s="1" t="n">
        <v>0.0436858</v>
      </c>
      <c r="F260" s="1" t="n">
        <v>0.000118891</v>
      </c>
      <c r="G260" s="1" t="s">
        <v>27</v>
      </c>
      <c r="H260" s="1" t="n">
        <v>38.1</v>
      </c>
      <c r="I260" s="1" t="n">
        <v>345.3</v>
      </c>
      <c r="J260" s="1" t="n">
        <v>47.1</v>
      </c>
      <c r="K260" s="1"/>
      <c r="L260" s="1" t="n">
        <v>0</v>
      </c>
      <c r="M260" s="1" t="n">
        <v>0</v>
      </c>
      <c r="N260" s="1" t="s">
        <v>229</v>
      </c>
      <c r="Z260" s="0" t="n">
        <f aca="false">I260-3</f>
        <v>342.3</v>
      </c>
      <c r="AB260" s="0" t="n">
        <f aca="false">IF(Z260&lt;0,Z260+360,Z260+0)</f>
        <v>342.3</v>
      </c>
    </row>
    <row r="261" customFormat="false" ht="15.8" hidden="false" customHeight="false" outlineLevel="0" collapsed="false">
      <c r="A261" s="1" t="n">
        <v>7</v>
      </c>
      <c r="B261" s="1" t="n">
        <v>12</v>
      </c>
      <c r="C261" s="1" t="n">
        <v>1.7</v>
      </c>
      <c r="D261" s="1" t="n">
        <v>1.036</v>
      </c>
      <c r="E261" s="1" t="n">
        <v>0.0567167</v>
      </c>
      <c r="F261" s="1" t="n">
        <v>0.000154354</v>
      </c>
      <c r="G261" s="1" t="s">
        <v>27</v>
      </c>
      <c r="H261" s="1" t="n">
        <v>10.6</v>
      </c>
      <c r="I261" s="1" t="n">
        <v>358.4</v>
      </c>
      <c r="J261" s="1" t="n">
        <v>0</v>
      </c>
      <c r="K261" s="1"/>
      <c r="L261" s="1" t="n">
        <v>0</v>
      </c>
      <c r="M261" s="1" t="n">
        <v>0</v>
      </c>
      <c r="N261" s="1" t="s">
        <v>229</v>
      </c>
      <c r="Z261" s="0" t="n">
        <f aca="false">I261-3</f>
        <v>355.4</v>
      </c>
      <c r="AB261" s="0" t="n">
        <f aca="false">IF(Z261&lt;0,Z261+360,Z261+0)</f>
        <v>355.4</v>
      </c>
    </row>
    <row r="262" customFormat="false" ht="15.8" hidden="false" customHeight="false" outlineLevel="0" collapsed="false">
      <c r="A262" s="1" t="n">
        <v>7</v>
      </c>
      <c r="B262" s="1" t="n">
        <v>11</v>
      </c>
      <c r="C262" s="1" t="n">
        <v>2.4</v>
      </c>
      <c r="D262" s="1" t="n">
        <v>1.1807</v>
      </c>
      <c r="E262" s="1" t="n">
        <v>0.0814371</v>
      </c>
      <c r="F262" s="1" t="n">
        <v>0.00022163</v>
      </c>
      <c r="G262" s="1" t="s">
        <v>37</v>
      </c>
      <c r="H262" s="1" t="n">
        <v>46.6</v>
      </c>
      <c r="I262" s="1" t="n">
        <v>357.8</v>
      </c>
      <c r="J262" s="1" t="n">
        <v>10.6</v>
      </c>
      <c r="K262" s="1" t="n">
        <v>38.1</v>
      </c>
      <c r="L262" s="1" t="n">
        <v>0</v>
      </c>
      <c r="M262" s="1" t="n">
        <v>0</v>
      </c>
      <c r="N262" s="1" t="s">
        <v>227</v>
      </c>
      <c r="Z262" s="0" t="n">
        <f aca="false">I262-3</f>
        <v>354.8</v>
      </c>
      <c r="AB262" s="0" t="n">
        <f aca="false">IF(Z262&lt;0,Z262+360,Z262+0)</f>
        <v>354.8</v>
      </c>
    </row>
    <row r="263" customFormat="false" ht="15.8" hidden="false" customHeight="false" outlineLevel="0" collapsed="false">
      <c r="A263" s="1" t="n">
        <v>7</v>
      </c>
      <c r="B263" s="1" t="n">
        <v>10</v>
      </c>
      <c r="C263" s="1" t="n">
        <v>5.6</v>
      </c>
      <c r="D263" s="1" t="n">
        <v>1.1959</v>
      </c>
      <c r="E263" s="1" t="n">
        <v>0.192844</v>
      </c>
      <c r="F263" s="1" t="n">
        <v>0.000524824</v>
      </c>
      <c r="G263" s="1" t="s">
        <v>37</v>
      </c>
      <c r="H263" s="1" t="n">
        <v>17</v>
      </c>
      <c r="I263" s="1" t="n">
        <v>24.7</v>
      </c>
      <c r="J263" s="1" t="n">
        <v>51.7</v>
      </c>
      <c r="K263" s="1" t="n">
        <v>124.3</v>
      </c>
      <c r="L263" s="1" t="n">
        <v>0</v>
      </c>
      <c r="M263" s="1" t="n">
        <v>0</v>
      </c>
      <c r="N263" s="1" t="s">
        <v>226</v>
      </c>
      <c r="Z263" s="0" t="n">
        <f aca="false">I263-3</f>
        <v>21.7</v>
      </c>
      <c r="AB263" s="0" t="n">
        <f aca="false">IF(Z263&lt;0,Z263+360,Z263+0)</f>
        <v>21.7</v>
      </c>
    </row>
    <row r="264" customFormat="false" ht="15.8" hidden="false" customHeight="false" outlineLevel="0" collapsed="false">
      <c r="A264" s="1" t="n">
        <v>7</v>
      </c>
      <c r="B264" s="1" t="n">
        <v>9</v>
      </c>
      <c r="C264" s="1" t="n">
        <v>2.4</v>
      </c>
      <c r="D264" s="1" t="n">
        <v>1.3657</v>
      </c>
      <c r="E264" s="1" t="n">
        <v>0.082138</v>
      </c>
      <c r="F264" s="1" t="n">
        <v>0.000223538</v>
      </c>
      <c r="G264" s="1" t="s">
        <v>37</v>
      </c>
      <c r="H264" s="1" t="n">
        <v>27.8</v>
      </c>
      <c r="I264" s="1" t="n">
        <v>8.3</v>
      </c>
      <c r="J264" s="1" t="n">
        <v>39.1</v>
      </c>
      <c r="K264" s="1" t="n">
        <v>40.3</v>
      </c>
      <c r="L264" s="1" t="n">
        <v>0</v>
      </c>
      <c r="M264" s="1" t="n">
        <v>0</v>
      </c>
      <c r="N264" s="1" t="s">
        <v>225</v>
      </c>
      <c r="Z264" s="0" t="n">
        <f aca="false">I264-3</f>
        <v>5.3</v>
      </c>
      <c r="AB264" s="0" t="n">
        <f aca="false">IF(Z264&lt;0,Z264+360,Z264+0)</f>
        <v>5.3</v>
      </c>
    </row>
    <row r="265" customFormat="false" ht="15.8" hidden="false" customHeight="false" outlineLevel="0" collapsed="false">
      <c r="A265" s="1" t="n">
        <v>7</v>
      </c>
      <c r="B265" s="1" t="n">
        <v>8</v>
      </c>
      <c r="C265" s="1" t="n">
        <v>1.6</v>
      </c>
      <c r="D265" s="1" t="n">
        <v>1.0128</v>
      </c>
      <c r="E265" s="1" t="n">
        <v>0.0557542</v>
      </c>
      <c r="F265" s="1" t="n">
        <v>0.000151735</v>
      </c>
      <c r="G265" s="1" t="s">
        <v>37</v>
      </c>
      <c r="H265" s="1" t="n">
        <v>0.9</v>
      </c>
      <c r="I265" s="1" t="n">
        <v>3.9</v>
      </c>
      <c r="J265" s="1" t="n">
        <v>66.8</v>
      </c>
      <c r="K265" s="1" t="n">
        <v>90.4</v>
      </c>
      <c r="L265" s="1" t="n">
        <v>0</v>
      </c>
      <c r="M265" s="1" t="n">
        <v>0</v>
      </c>
      <c r="N265" s="1" t="s">
        <v>219</v>
      </c>
      <c r="Z265" s="0" t="n">
        <f aca="false">I265-3</f>
        <v>0.9</v>
      </c>
      <c r="AB265" s="0" t="n">
        <f aca="false">IF(Z265&lt;0,Z265+360,Z265+0)</f>
        <v>0.9</v>
      </c>
    </row>
    <row r="266" customFormat="false" ht="15.8" hidden="false" customHeight="false" outlineLevel="0" collapsed="false">
      <c r="A266" s="1" t="n">
        <v>7</v>
      </c>
      <c r="B266" s="1" t="n">
        <v>7</v>
      </c>
      <c r="C266" s="1" t="n">
        <v>2.2</v>
      </c>
      <c r="D266" s="1" t="n">
        <v>1.1031</v>
      </c>
      <c r="E266" s="1" t="n">
        <v>0.0763375</v>
      </c>
      <c r="F266" s="1" t="n">
        <v>0.000207752</v>
      </c>
      <c r="G266" s="1" t="s">
        <v>37</v>
      </c>
      <c r="H266" s="1" t="n">
        <v>40.1</v>
      </c>
      <c r="I266" s="1" t="n">
        <v>5.3</v>
      </c>
      <c r="J266" s="1" t="n">
        <v>66.1</v>
      </c>
      <c r="K266" s="1" t="n">
        <v>113.9</v>
      </c>
      <c r="L266" s="1" t="n">
        <v>0</v>
      </c>
      <c r="M266" s="1" t="n">
        <v>0</v>
      </c>
      <c r="N266" s="1" t="s">
        <v>218</v>
      </c>
      <c r="Z266" s="0" t="n">
        <f aca="false">I266-3</f>
        <v>2.3</v>
      </c>
      <c r="AB266" s="0" t="n">
        <f aca="false">IF(Z266&lt;0,Z266+360,Z266+0)</f>
        <v>2.3</v>
      </c>
    </row>
    <row r="267" customFormat="false" ht="15.8" hidden="false" customHeight="false" outlineLevel="0" collapsed="false">
      <c r="A267" s="1" t="n">
        <v>7</v>
      </c>
      <c r="B267" s="1" t="n">
        <v>6</v>
      </c>
      <c r="C267" s="1" t="n">
        <v>2.8</v>
      </c>
      <c r="D267" s="1" t="n">
        <v>1.4171</v>
      </c>
      <c r="E267" s="1" t="n">
        <v>0.0968273</v>
      </c>
      <c r="F267" s="1" t="n">
        <v>0.000263515</v>
      </c>
      <c r="G267" s="1" t="s">
        <v>37</v>
      </c>
      <c r="H267" s="1" t="n">
        <v>88.1</v>
      </c>
      <c r="I267" s="1" t="n">
        <v>325.2</v>
      </c>
      <c r="J267" s="1" t="n">
        <v>33.8</v>
      </c>
      <c r="K267" s="1" t="n">
        <v>84.9</v>
      </c>
      <c r="L267" s="1" t="n">
        <v>0</v>
      </c>
      <c r="M267" s="1" t="n">
        <v>0</v>
      </c>
      <c r="N267" s="1" t="s">
        <v>217</v>
      </c>
      <c r="Z267" s="0" t="n">
        <f aca="false">I267-3</f>
        <v>322.2</v>
      </c>
      <c r="AB267" s="0" t="n">
        <f aca="false">IF(Z267&lt;0,Z267+360,Z267+0)</f>
        <v>322.2</v>
      </c>
    </row>
    <row r="268" customFormat="false" ht="15.8" hidden="false" customHeight="false" outlineLevel="0" collapsed="false">
      <c r="A268" s="1" t="n">
        <v>7</v>
      </c>
      <c r="B268" s="1" t="n">
        <v>5</v>
      </c>
      <c r="C268" s="1" t="n">
        <v>0.6</v>
      </c>
      <c r="D268" s="1" t="n">
        <v>1.0026</v>
      </c>
      <c r="E268" s="1" t="n">
        <v>0.0220994</v>
      </c>
      <c r="F268" s="1" t="n">
        <v>6.01433E-005</v>
      </c>
      <c r="G268" s="1" t="s">
        <v>37</v>
      </c>
      <c r="H268" s="1" t="n">
        <v>15.9</v>
      </c>
      <c r="I268" s="1" t="n">
        <v>52.8</v>
      </c>
      <c r="J268" s="1" t="n">
        <v>0</v>
      </c>
      <c r="K268" s="1" t="n">
        <v>88.1</v>
      </c>
      <c r="L268" s="1" t="n">
        <v>0</v>
      </c>
      <c r="M268" s="1" t="n">
        <v>0</v>
      </c>
      <c r="N268" s="1" t="s">
        <v>158</v>
      </c>
      <c r="Z268" s="0" t="n">
        <f aca="false">I268-3</f>
        <v>49.8</v>
      </c>
      <c r="AB268" s="0" t="n">
        <f aca="false">IF(Z268&lt;0,Z268+360,Z268+0)</f>
        <v>49.8</v>
      </c>
    </row>
    <row r="269" customFormat="false" ht="15.8" hidden="false" customHeight="false" outlineLevel="0" collapsed="false">
      <c r="A269" s="1" t="n">
        <v>7</v>
      </c>
      <c r="B269" s="1" t="n">
        <v>4</v>
      </c>
      <c r="C269" s="1" t="n">
        <v>2.1</v>
      </c>
      <c r="D269" s="1" t="n">
        <v>1.1072</v>
      </c>
      <c r="E269" s="1" t="n">
        <v>0.0723314</v>
      </c>
      <c r="F269" s="1" t="n">
        <v>0.000196849</v>
      </c>
      <c r="G269" s="1" t="s">
        <v>37</v>
      </c>
      <c r="H269" s="1" t="n">
        <v>36.4</v>
      </c>
      <c r="I269" s="1" t="n">
        <v>41.5</v>
      </c>
      <c r="J269" s="1" t="n">
        <v>11.2</v>
      </c>
      <c r="K269" s="1" t="n">
        <v>135.6</v>
      </c>
      <c r="L269" s="1" t="n">
        <v>0</v>
      </c>
      <c r="M269" s="1" t="n">
        <v>0</v>
      </c>
      <c r="N269" s="1" t="s">
        <v>157</v>
      </c>
      <c r="Z269" s="0" t="n">
        <f aca="false">I269-3</f>
        <v>38.5</v>
      </c>
      <c r="AB269" s="0" t="n">
        <f aca="false">IF(Z269&lt;0,Z269+360,Z269+0)</f>
        <v>38.5</v>
      </c>
    </row>
    <row r="270" customFormat="false" ht="15.8" hidden="false" customHeight="false" outlineLevel="0" collapsed="false">
      <c r="A270" s="1" t="n">
        <v>7</v>
      </c>
      <c r="B270" s="1" t="n">
        <v>3</v>
      </c>
      <c r="C270" s="1" t="n">
        <v>1.3</v>
      </c>
      <c r="D270" s="1" t="n">
        <v>1.0051</v>
      </c>
      <c r="E270" s="1" t="n">
        <v>0.0443412</v>
      </c>
      <c r="F270" s="1" t="n">
        <v>0.000120674</v>
      </c>
      <c r="G270" s="1" t="s">
        <v>37</v>
      </c>
      <c r="H270" s="1" t="n">
        <v>85.3</v>
      </c>
      <c r="I270" s="1" t="n">
        <v>6.6</v>
      </c>
      <c r="J270" s="1" t="n">
        <v>0</v>
      </c>
      <c r="K270" s="1" t="n">
        <v>58.2</v>
      </c>
      <c r="L270" s="1" t="n">
        <v>0</v>
      </c>
      <c r="M270" s="1" t="n">
        <v>0</v>
      </c>
      <c r="N270" s="1" t="s">
        <v>124</v>
      </c>
      <c r="Z270" s="0" t="n">
        <f aca="false">I270-3</f>
        <v>3.6</v>
      </c>
      <c r="AB270" s="0" t="n">
        <f aca="false">IF(Z270&lt;0,Z270+360,Z270+0)</f>
        <v>3.6</v>
      </c>
    </row>
    <row r="271" customFormat="false" ht="15.8" hidden="false" customHeight="false" outlineLevel="0" collapsed="false">
      <c r="A271" s="1" t="n">
        <v>7</v>
      </c>
      <c r="B271" s="1" t="n">
        <v>2</v>
      </c>
      <c r="C271" s="1" t="n">
        <v>2.2</v>
      </c>
      <c r="D271" s="1" t="n">
        <v>1.1452</v>
      </c>
      <c r="E271" s="1" t="n">
        <v>0.0727356</v>
      </c>
      <c r="F271" s="1" t="n">
        <v>0.000193923</v>
      </c>
      <c r="G271" s="1" t="s">
        <v>37</v>
      </c>
      <c r="H271" s="1" t="n">
        <v>24</v>
      </c>
      <c r="I271" s="1" t="n">
        <v>90.8</v>
      </c>
      <c r="J271" s="1" t="n">
        <v>-35.7</v>
      </c>
      <c r="K271" s="1" t="n">
        <v>85.3</v>
      </c>
      <c r="L271" s="1" t="n">
        <v>0</v>
      </c>
      <c r="M271" s="1" t="n">
        <v>0</v>
      </c>
      <c r="N271" s="1" t="s">
        <v>230</v>
      </c>
      <c r="Z271" s="0" t="n">
        <f aca="false">I271-3</f>
        <v>87.8</v>
      </c>
      <c r="AB271" s="0" t="n">
        <f aca="false">IF(Z271&lt;0,Z271+360,Z271+0)</f>
        <v>87.8</v>
      </c>
    </row>
    <row r="272" customFormat="false" ht="15.8" hidden="false" customHeight="false" outlineLevel="0" collapsed="false">
      <c r="A272" s="1" t="n">
        <v>7</v>
      </c>
      <c r="B272" s="1" t="n">
        <v>8</v>
      </c>
      <c r="C272" s="1" t="n">
        <v>1</v>
      </c>
      <c r="D272" s="1" t="n">
        <v>1.0456</v>
      </c>
      <c r="E272" s="1" t="n">
        <v>0.0285527</v>
      </c>
      <c r="F272" s="1" t="n">
        <v>6.21648E-005</v>
      </c>
      <c r="G272" s="1" t="s">
        <v>27</v>
      </c>
      <c r="H272" s="1" t="n">
        <v>40.4</v>
      </c>
      <c r="I272" s="1" t="n">
        <v>60.8</v>
      </c>
      <c r="J272" s="1" t="n">
        <v>0</v>
      </c>
      <c r="K272" s="1"/>
      <c r="L272" s="1" t="n">
        <v>0</v>
      </c>
      <c r="M272" s="1" t="n">
        <v>0</v>
      </c>
      <c r="N272" s="1" t="s">
        <v>231</v>
      </c>
      <c r="Z272" s="0" t="n">
        <f aca="false">I272-3</f>
        <v>57.8</v>
      </c>
      <c r="AB272" s="0" t="n">
        <f aca="false">IF(Z272&lt;0,Z272+360,Z272+0)</f>
        <v>57.8</v>
      </c>
    </row>
    <row r="273" customFormat="false" ht="15.8" hidden="false" customHeight="false" outlineLevel="0" collapsed="false">
      <c r="A273" s="1" t="n">
        <v>7</v>
      </c>
      <c r="B273" s="1" t="n">
        <v>9</v>
      </c>
      <c r="C273" s="1" t="n">
        <v>5</v>
      </c>
      <c r="D273" s="1" t="n">
        <v>1.134</v>
      </c>
      <c r="E273" s="1" t="n">
        <v>0.139094</v>
      </c>
      <c r="F273" s="1" t="n">
        <v>0.000308016</v>
      </c>
      <c r="G273" s="1" t="s">
        <v>27</v>
      </c>
      <c r="H273" s="1" t="n">
        <v>11.2</v>
      </c>
      <c r="I273" s="1" t="n">
        <v>357.9</v>
      </c>
      <c r="J273" s="1" t="n">
        <v>4.8</v>
      </c>
      <c r="K273" s="1"/>
      <c r="L273" s="1" t="n">
        <v>0</v>
      </c>
      <c r="M273" s="1" t="n">
        <v>0</v>
      </c>
      <c r="N273" s="1" t="s">
        <v>232</v>
      </c>
      <c r="Z273" s="0" t="n">
        <f aca="false">I273-3</f>
        <v>354.9</v>
      </c>
      <c r="AB273" s="0" t="n">
        <f aca="false">IF(Z273&lt;0,Z273+360,Z273+0)</f>
        <v>354.9</v>
      </c>
    </row>
    <row r="274" customFormat="false" ht="15.8" hidden="false" customHeight="false" outlineLevel="0" collapsed="false">
      <c r="A274" s="1" t="n">
        <v>7</v>
      </c>
      <c r="B274" s="1" t="n">
        <v>9</v>
      </c>
      <c r="C274" s="1" t="n">
        <v>0.9</v>
      </c>
      <c r="D274" s="1" t="n">
        <v>1.0241</v>
      </c>
      <c r="E274" s="1" t="n">
        <v>0.0255727</v>
      </c>
      <c r="F274" s="1" t="n">
        <v>5.56767E-005</v>
      </c>
      <c r="G274" s="1" t="s">
        <v>27</v>
      </c>
      <c r="H274" s="1" t="n">
        <v>110.7</v>
      </c>
      <c r="I274" s="1" t="n">
        <v>119.7</v>
      </c>
      <c r="J274" s="1" t="n">
        <v>0</v>
      </c>
      <c r="K274" s="1"/>
      <c r="L274" s="1" t="n">
        <v>0</v>
      </c>
      <c r="M274" s="1" t="n">
        <v>0</v>
      </c>
      <c r="N274" s="1" t="s">
        <v>232</v>
      </c>
      <c r="Z274" s="0" t="n">
        <f aca="false">I274-3</f>
        <v>116.7</v>
      </c>
      <c r="AB274" s="0" t="n">
        <f aca="false">IF(Z274&lt;0,Z274+360,Z274+0)</f>
        <v>116.7</v>
      </c>
    </row>
    <row r="275" customFormat="false" ht="15.8" hidden="false" customHeight="false" outlineLevel="0" collapsed="false">
      <c r="A275" s="1" t="n">
        <v>7</v>
      </c>
      <c r="B275" s="1" t="n">
        <v>8</v>
      </c>
      <c r="C275" s="1" t="n">
        <v>3.1</v>
      </c>
      <c r="D275" s="1" t="n">
        <v>1.076</v>
      </c>
      <c r="E275" s="1" t="n">
        <v>0.0855494</v>
      </c>
      <c r="F275" s="1" t="n">
        <v>0.000186258</v>
      </c>
      <c r="G275" s="1" t="s">
        <v>37</v>
      </c>
      <c r="H275" s="1" t="n">
        <v>27.8</v>
      </c>
      <c r="I275" s="1" t="n">
        <v>8.9</v>
      </c>
      <c r="J275" s="1" t="n">
        <v>7.3</v>
      </c>
      <c r="K275" s="1" t="n">
        <v>110.7</v>
      </c>
      <c r="L275" s="1" t="n">
        <v>0</v>
      </c>
      <c r="M275" s="1" t="n">
        <v>0</v>
      </c>
      <c r="N275" s="1" t="s">
        <v>231</v>
      </c>
      <c r="Z275" s="0" t="n">
        <f aca="false">I275-3</f>
        <v>5.9</v>
      </c>
      <c r="AB275" s="0" t="n">
        <f aca="false">IF(Z275&lt;0,Z275+360,Z275+0)</f>
        <v>5.9</v>
      </c>
    </row>
    <row r="276" customFormat="false" ht="15.8" hidden="false" customHeight="false" outlineLevel="0" collapsed="false">
      <c r="A276" s="1" t="n">
        <v>7</v>
      </c>
      <c r="B276" s="1" t="n">
        <v>7</v>
      </c>
      <c r="C276" s="1" t="n">
        <v>12.1</v>
      </c>
      <c r="D276" s="1" t="n">
        <v>1.3288</v>
      </c>
      <c r="E276" s="1" t="n">
        <v>0.331042</v>
      </c>
      <c r="F276" s="1" t="n">
        <v>0.000720741</v>
      </c>
      <c r="G276" s="1" t="s">
        <v>37</v>
      </c>
      <c r="H276" s="1" t="n">
        <v>27.6</v>
      </c>
      <c r="I276" s="1" t="n">
        <v>23.4</v>
      </c>
      <c r="J276" s="1" t="n">
        <v>-16.5</v>
      </c>
      <c r="K276" s="1" t="n">
        <v>40.4</v>
      </c>
      <c r="L276" s="1" t="n">
        <v>0</v>
      </c>
      <c r="M276" s="1" t="n">
        <v>0</v>
      </c>
      <c r="N276" s="1" t="s">
        <v>233</v>
      </c>
      <c r="Z276" s="0" t="n">
        <f aca="false">I276-3</f>
        <v>20.4</v>
      </c>
      <c r="AB276" s="0" t="n">
        <f aca="false">IF(Z276&lt;0,Z276+360,Z276+0)</f>
        <v>20.4</v>
      </c>
    </row>
    <row r="277" customFormat="false" ht="15.8" hidden="false" customHeight="false" outlineLevel="0" collapsed="false">
      <c r="A277" s="1" t="n">
        <v>7</v>
      </c>
      <c r="B277" s="1" t="n">
        <v>8</v>
      </c>
      <c r="C277" s="1" t="n">
        <v>1</v>
      </c>
      <c r="D277" s="1" t="n">
        <v>1.1881</v>
      </c>
      <c r="E277" s="1" t="n">
        <v>0.0349407</v>
      </c>
      <c r="F277" s="1" t="n">
        <v>9.50909E-005</v>
      </c>
      <c r="G277" s="1" t="s">
        <v>27</v>
      </c>
      <c r="H277" s="1" t="n">
        <v>45.3</v>
      </c>
      <c r="I277" s="1" t="n">
        <v>67.7</v>
      </c>
      <c r="J277" s="1" t="n">
        <v>-25.5</v>
      </c>
      <c r="K277" s="1"/>
      <c r="L277" s="1" t="n">
        <v>0</v>
      </c>
      <c r="M277" s="1" t="n">
        <v>0</v>
      </c>
      <c r="N277" s="1" t="s">
        <v>234</v>
      </c>
      <c r="Z277" s="0" t="n">
        <f aca="false">I277-3</f>
        <v>64.7</v>
      </c>
      <c r="AB277" s="0" t="n">
        <f aca="false">IF(Z277&lt;0,Z277+360,Z277+0)</f>
        <v>64.7</v>
      </c>
    </row>
    <row r="278" customFormat="false" ht="15.8" hidden="false" customHeight="false" outlineLevel="0" collapsed="false">
      <c r="A278" s="1" t="n">
        <v>7</v>
      </c>
      <c r="B278" s="1" t="n">
        <v>8</v>
      </c>
      <c r="C278" s="1" t="n">
        <v>1.5</v>
      </c>
      <c r="D278" s="1" t="n">
        <v>1.0971</v>
      </c>
      <c r="E278" s="1" t="n">
        <v>0.0517513</v>
      </c>
      <c r="F278" s="1" t="n">
        <v>0.000140841</v>
      </c>
      <c r="G278" s="1" t="s">
        <v>27</v>
      </c>
      <c r="H278" s="1" t="n">
        <v>125.7</v>
      </c>
      <c r="I278" s="1" t="n">
        <v>258.2</v>
      </c>
      <c r="J278" s="1" t="n">
        <v>0</v>
      </c>
      <c r="K278" s="1"/>
      <c r="L278" s="1" t="n">
        <v>0</v>
      </c>
      <c r="M278" s="1" t="n">
        <v>0</v>
      </c>
      <c r="N278" s="1" t="s">
        <v>234</v>
      </c>
      <c r="Z278" s="0" t="n">
        <f aca="false">I278-3</f>
        <v>255.2</v>
      </c>
      <c r="AB278" s="0" t="n">
        <f aca="false">IF(Z278&lt;0,Z278+360,Z278+0)</f>
        <v>255.2</v>
      </c>
    </row>
    <row r="279" customFormat="false" ht="15.8" hidden="false" customHeight="false" outlineLevel="0" collapsed="false">
      <c r="A279" s="1" t="n">
        <v>7</v>
      </c>
      <c r="B279" s="1" t="n">
        <v>10</v>
      </c>
      <c r="C279" s="1" t="n">
        <v>0.8</v>
      </c>
      <c r="D279" s="1" t="n">
        <v>1.0047</v>
      </c>
      <c r="E279" s="1" t="n">
        <v>0.0276438</v>
      </c>
      <c r="F279" s="1" t="n">
        <v>7.52324E-005</v>
      </c>
      <c r="G279" s="1" t="s">
        <v>27</v>
      </c>
      <c r="H279" s="1" t="n">
        <v>45.7</v>
      </c>
      <c r="I279" s="1" t="n">
        <v>46.4</v>
      </c>
      <c r="J279" s="1" t="n">
        <v>-66.9</v>
      </c>
      <c r="K279" s="1"/>
      <c r="L279" s="1" t="n">
        <v>0</v>
      </c>
      <c r="M279" s="1" t="n">
        <v>0</v>
      </c>
      <c r="N279" s="1" t="s">
        <v>235</v>
      </c>
      <c r="Z279" s="0" t="n">
        <f aca="false">I279-3</f>
        <v>43.4</v>
      </c>
      <c r="AB279" s="0" t="n">
        <f aca="false">IF(Z279&lt;0,Z279+360,Z279+0)</f>
        <v>43.4</v>
      </c>
    </row>
    <row r="280" customFormat="false" ht="15.8" hidden="false" customHeight="false" outlineLevel="0" collapsed="false">
      <c r="A280" s="1" t="n">
        <v>7</v>
      </c>
      <c r="B280" s="1" t="n">
        <v>11</v>
      </c>
      <c r="C280" s="1" t="n">
        <v>0.6</v>
      </c>
      <c r="D280" s="1" t="n">
        <v>1.0158</v>
      </c>
      <c r="E280" s="1" t="n">
        <v>0.0197976</v>
      </c>
      <c r="F280" s="1" t="n">
        <v>5.3879E-005</v>
      </c>
      <c r="G280" s="1" t="s">
        <v>27</v>
      </c>
      <c r="H280" s="1" t="n">
        <v>19.7</v>
      </c>
      <c r="I280" s="1" t="n">
        <v>28.5</v>
      </c>
      <c r="J280" s="1" t="n">
        <v>0</v>
      </c>
      <c r="K280" s="1"/>
      <c r="L280" s="1" t="n">
        <v>0</v>
      </c>
      <c r="M280" s="1" t="n">
        <v>0</v>
      </c>
      <c r="N280" s="1" t="s">
        <v>236</v>
      </c>
      <c r="Z280" s="0" t="n">
        <f aca="false">I280-3</f>
        <v>25.5</v>
      </c>
      <c r="AB280" s="0" t="n">
        <f aca="false">IF(Z280&lt;0,Z280+360,Z280+0)</f>
        <v>25.5</v>
      </c>
    </row>
    <row r="281" customFormat="false" ht="15.8" hidden="false" customHeight="false" outlineLevel="0" collapsed="false">
      <c r="A281" s="1" t="n">
        <v>7</v>
      </c>
      <c r="B281" s="1" t="n">
        <v>11</v>
      </c>
      <c r="C281" s="1" t="n">
        <v>1.8</v>
      </c>
      <c r="D281" s="1" t="n">
        <v>1.2605</v>
      </c>
      <c r="E281" s="1" t="n">
        <v>0.0618309</v>
      </c>
      <c r="F281" s="1" t="n">
        <v>0.000168272</v>
      </c>
      <c r="G281" s="1" t="s">
        <v>27</v>
      </c>
      <c r="H281" s="1" t="n">
        <v>62.1</v>
      </c>
      <c r="I281" s="1" t="n">
        <v>316</v>
      </c>
      <c r="J281" s="1" t="n">
        <v>-50.7</v>
      </c>
      <c r="K281" s="1"/>
      <c r="L281" s="1" t="n">
        <v>0</v>
      </c>
      <c r="M281" s="1" t="n">
        <v>0</v>
      </c>
      <c r="N281" s="1" t="s">
        <v>236</v>
      </c>
      <c r="Z281" s="0" t="n">
        <f aca="false">I281-3</f>
        <v>313</v>
      </c>
      <c r="AB281" s="0" t="n">
        <f aca="false">IF(Z281&lt;0,Z281+360,Z281+0)</f>
        <v>313</v>
      </c>
    </row>
    <row r="282" customFormat="false" ht="15.8" hidden="false" customHeight="false" outlineLevel="0" collapsed="false">
      <c r="A282" s="1" t="n">
        <v>7</v>
      </c>
      <c r="B282" s="1" t="n">
        <v>10</v>
      </c>
      <c r="C282" s="1" t="n">
        <v>3.3</v>
      </c>
      <c r="D282" s="1" t="n">
        <v>1.1601</v>
      </c>
      <c r="E282" s="1" t="n">
        <v>0.112451</v>
      </c>
      <c r="F282" s="1" t="n">
        <v>0.000306034</v>
      </c>
      <c r="G282" s="1" t="s">
        <v>37</v>
      </c>
      <c r="H282" s="1" t="n">
        <v>21.3</v>
      </c>
      <c r="I282" s="1" t="n">
        <v>10.3</v>
      </c>
      <c r="J282" s="1" t="n">
        <v>-7.5</v>
      </c>
      <c r="K282" s="1" t="n">
        <v>62.1</v>
      </c>
      <c r="L282" s="1" t="n">
        <v>0</v>
      </c>
      <c r="M282" s="1" t="n">
        <v>0</v>
      </c>
      <c r="N282" s="1" t="s">
        <v>235</v>
      </c>
      <c r="Z282" s="0" t="n">
        <f aca="false">I282-3</f>
        <v>7.3</v>
      </c>
      <c r="AB282" s="0" t="n">
        <f aca="false">IF(Z282&lt;0,Z282+360,Z282+0)</f>
        <v>7.3</v>
      </c>
    </row>
    <row r="283" customFormat="false" ht="15.8" hidden="false" customHeight="false" outlineLevel="0" collapsed="false">
      <c r="A283" s="1" t="n">
        <v>7</v>
      </c>
      <c r="B283" s="1" t="n">
        <v>9</v>
      </c>
      <c r="C283" s="1" t="n">
        <v>2.7</v>
      </c>
      <c r="D283" s="1" t="n">
        <v>1.1689</v>
      </c>
      <c r="E283" s="1" t="n">
        <v>0.0934409</v>
      </c>
      <c r="F283" s="1" t="n">
        <v>0.000254299</v>
      </c>
      <c r="G283" s="1" t="s">
        <v>37</v>
      </c>
      <c r="H283" s="1" t="n">
        <v>29.3</v>
      </c>
      <c r="I283" s="1" t="n">
        <v>5.8</v>
      </c>
      <c r="J283" s="1" t="n">
        <v>-28.4</v>
      </c>
      <c r="K283" s="1" t="n">
        <v>45.7</v>
      </c>
      <c r="L283" s="1" t="n">
        <v>0</v>
      </c>
      <c r="M283" s="1" t="n">
        <v>0</v>
      </c>
      <c r="N283" s="1" t="s">
        <v>237</v>
      </c>
      <c r="Z283" s="0" t="n">
        <f aca="false">I283-3</f>
        <v>2.8</v>
      </c>
      <c r="AB283" s="0" t="n">
        <f aca="false">IF(Z283&lt;0,Z283+360,Z283+0)</f>
        <v>2.8</v>
      </c>
    </row>
    <row r="284" customFormat="false" ht="15.8" hidden="false" customHeight="false" outlineLevel="0" collapsed="false">
      <c r="A284" s="1" t="n">
        <v>7</v>
      </c>
      <c r="B284" s="1" t="n">
        <v>9</v>
      </c>
      <c r="C284" s="1" t="n">
        <v>1.3</v>
      </c>
      <c r="D284" s="1" t="n">
        <v>1.0803</v>
      </c>
      <c r="E284" s="1" t="n">
        <v>0.0455395</v>
      </c>
      <c r="F284" s="1" t="n">
        <v>0.000123935</v>
      </c>
      <c r="G284" s="1" t="s">
        <v>27</v>
      </c>
      <c r="H284" s="1" t="n">
        <v>78.8</v>
      </c>
      <c r="I284" s="1" t="n">
        <v>77.1</v>
      </c>
      <c r="J284" s="1" t="n">
        <v>-64.2</v>
      </c>
      <c r="K284" s="1"/>
      <c r="L284" s="1" t="n">
        <v>0</v>
      </c>
      <c r="M284" s="1" t="n">
        <v>0</v>
      </c>
      <c r="N284" s="1" t="s">
        <v>237</v>
      </c>
      <c r="Z284" s="0" t="n">
        <f aca="false">I284-3</f>
        <v>74.1</v>
      </c>
      <c r="AB284" s="0" t="n">
        <f aca="false">IF(Z284&lt;0,Z284+360,Z284+0)</f>
        <v>74.1</v>
      </c>
    </row>
    <row r="285" customFormat="false" ht="15.8" hidden="false" customHeight="false" outlineLevel="0" collapsed="false">
      <c r="A285" s="1" t="n">
        <v>7</v>
      </c>
      <c r="B285" s="1" t="n">
        <v>8</v>
      </c>
      <c r="C285" s="1" t="n">
        <v>4.3</v>
      </c>
      <c r="D285" s="1" t="n">
        <v>1.1937</v>
      </c>
      <c r="E285" s="1" t="n">
        <v>0.147234</v>
      </c>
      <c r="F285" s="1" t="n">
        <v>0.000400696</v>
      </c>
      <c r="G285" s="1" t="s">
        <v>37</v>
      </c>
      <c r="H285" s="1" t="n">
        <v>12.8</v>
      </c>
      <c r="I285" s="1" t="n">
        <v>13.6</v>
      </c>
      <c r="J285" s="1" t="n">
        <v>0</v>
      </c>
      <c r="K285" s="1" t="n">
        <v>78.8</v>
      </c>
      <c r="L285" s="1" t="n">
        <v>0</v>
      </c>
      <c r="M285" s="1" t="n">
        <v>0</v>
      </c>
      <c r="N285" s="1" t="s">
        <v>234</v>
      </c>
      <c r="Z285" s="0" t="n">
        <f aca="false">I285-3</f>
        <v>10.6</v>
      </c>
      <c r="AB285" s="0" t="n">
        <f aca="false">IF(Z285&lt;0,Z285+360,Z285+0)</f>
        <v>10.6</v>
      </c>
    </row>
    <row r="286" customFormat="false" ht="15.8" hidden="false" customHeight="false" outlineLevel="0" collapsed="false">
      <c r="A286" s="1" t="n">
        <v>7</v>
      </c>
      <c r="B286" s="1" t="n">
        <v>7</v>
      </c>
      <c r="C286" s="1" t="n">
        <v>3.7</v>
      </c>
      <c r="D286" s="1" t="n">
        <v>1.2639</v>
      </c>
      <c r="E286" s="1" t="n">
        <v>0.0801228</v>
      </c>
      <c r="F286" s="1" t="n">
        <v>0.000153448</v>
      </c>
      <c r="G286" s="1" t="s">
        <v>37</v>
      </c>
      <c r="H286" s="1" t="n">
        <v>27.1</v>
      </c>
      <c r="I286" s="1" t="n">
        <v>24.2</v>
      </c>
      <c r="J286" s="1" t="n">
        <v>-7.3</v>
      </c>
      <c r="K286" s="1" t="n">
        <v>125.7</v>
      </c>
      <c r="L286" s="1" t="n">
        <v>0</v>
      </c>
      <c r="M286" s="1" t="n">
        <v>0</v>
      </c>
      <c r="N286" s="1" t="s">
        <v>233</v>
      </c>
      <c r="Z286" s="0" t="n">
        <f aca="false">I286-3</f>
        <v>21.2</v>
      </c>
      <c r="AB286" s="0" t="n">
        <f aca="false">IF(Z286&lt;0,Z286+360,Z286+0)</f>
        <v>21.2</v>
      </c>
    </row>
    <row r="287" customFormat="false" ht="15.8" hidden="false" customHeight="false" outlineLevel="0" collapsed="false">
      <c r="A287" s="1" t="n">
        <v>7</v>
      </c>
      <c r="B287" s="1" t="n">
        <v>6</v>
      </c>
      <c r="C287" s="1" t="n">
        <v>3.8</v>
      </c>
      <c r="D287" s="1" t="n">
        <v>1.2365</v>
      </c>
      <c r="E287" s="1" t="n">
        <v>0.104438</v>
      </c>
      <c r="F287" s="1" t="n">
        <v>0.000227381</v>
      </c>
      <c r="G287" s="1" t="s">
        <v>37</v>
      </c>
      <c r="H287" s="1" t="n">
        <v>6.6</v>
      </c>
      <c r="I287" s="1" t="n">
        <v>356.9</v>
      </c>
      <c r="J287" s="1" t="n">
        <v>-6.9</v>
      </c>
      <c r="K287" s="1" t="n">
        <v>27.6</v>
      </c>
      <c r="L287" s="1" t="n">
        <v>0</v>
      </c>
      <c r="M287" s="1" t="n">
        <v>0</v>
      </c>
      <c r="N287" s="1" t="s">
        <v>238</v>
      </c>
      <c r="Z287" s="0" t="n">
        <f aca="false">I287-3</f>
        <v>353.9</v>
      </c>
      <c r="AB287" s="0" t="n">
        <f aca="false">IF(Z287&lt;0,Z287+360,Z287+0)</f>
        <v>353.9</v>
      </c>
    </row>
    <row r="288" customFormat="false" ht="15.8" hidden="false" customHeight="false" outlineLevel="0" collapsed="false">
      <c r="A288" s="1" t="n">
        <v>7</v>
      </c>
      <c r="B288" s="1" t="n">
        <v>11</v>
      </c>
      <c r="C288" s="1" t="n">
        <v>2.6</v>
      </c>
      <c r="D288" s="1" t="n">
        <v>1.2664</v>
      </c>
      <c r="E288" s="1" t="n">
        <v>0.0874089</v>
      </c>
      <c r="F288" s="1" t="n">
        <v>0.000237883</v>
      </c>
      <c r="G288" s="1" t="s">
        <v>27</v>
      </c>
      <c r="H288" s="1" t="n">
        <v>33.6</v>
      </c>
      <c r="I288" s="1" t="n">
        <v>121</v>
      </c>
      <c r="J288" s="1" t="n">
        <v>-47.2</v>
      </c>
      <c r="K288" s="1"/>
      <c r="L288" s="1" t="n">
        <v>0</v>
      </c>
      <c r="M288" s="1" t="n">
        <v>0</v>
      </c>
      <c r="N288" s="1" t="s">
        <v>239</v>
      </c>
      <c r="Z288" s="0" t="n">
        <f aca="false">I288-3</f>
        <v>118</v>
      </c>
      <c r="AB288" s="0" t="n">
        <f aca="false">IF(Z288&lt;0,Z288+360,Z288+0)</f>
        <v>118</v>
      </c>
    </row>
    <row r="289" customFormat="false" ht="15.8" hidden="false" customHeight="false" outlineLevel="0" collapsed="false">
      <c r="A289" s="1" t="n">
        <v>7</v>
      </c>
      <c r="B289" s="1" t="n">
        <v>11</v>
      </c>
      <c r="C289" s="1" t="n">
        <v>2.7</v>
      </c>
      <c r="D289" s="1" t="n">
        <v>1.3976</v>
      </c>
      <c r="E289" s="1" t="n">
        <v>0.0921863</v>
      </c>
      <c r="F289" s="1" t="n">
        <v>0.000250884</v>
      </c>
      <c r="G289" s="1" t="s">
        <v>27</v>
      </c>
      <c r="H289" s="1" t="n">
        <v>89.2</v>
      </c>
      <c r="I289" s="1" t="n">
        <v>157.4</v>
      </c>
      <c r="J289" s="1" t="n">
        <v>22.6</v>
      </c>
      <c r="K289" s="1"/>
      <c r="L289" s="1" t="n">
        <v>0</v>
      </c>
      <c r="M289" s="1" t="n">
        <v>0</v>
      </c>
      <c r="N289" s="1" t="s">
        <v>239</v>
      </c>
      <c r="Z289" s="0" t="n">
        <f aca="false">I289-3</f>
        <v>154.4</v>
      </c>
      <c r="AB289" s="0" t="n">
        <f aca="false">IF(Z289&lt;0,Z289+360,Z289+0)</f>
        <v>154.4</v>
      </c>
    </row>
    <row r="290" customFormat="false" ht="15.8" hidden="false" customHeight="false" outlineLevel="0" collapsed="false">
      <c r="A290" s="1" t="n">
        <v>7</v>
      </c>
      <c r="B290" s="1" t="n">
        <v>10</v>
      </c>
      <c r="C290" s="1" t="n">
        <v>1.2</v>
      </c>
      <c r="D290" s="1" t="n">
        <v>1.0076</v>
      </c>
      <c r="E290" s="1" t="n">
        <v>0.0419901</v>
      </c>
      <c r="F290" s="1" t="n">
        <v>0.000114276</v>
      </c>
      <c r="G290" s="1" t="s">
        <v>37</v>
      </c>
      <c r="H290" s="1" t="n">
        <v>27.5</v>
      </c>
      <c r="I290" s="1" t="n">
        <v>175</v>
      </c>
      <c r="J290" s="1" t="n">
        <v>-65.6</v>
      </c>
      <c r="K290" s="1" t="n">
        <v>89.2</v>
      </c>
      <c r="L290" s="1" t="n">
        <v>0</v>
      </c>
      <c r="M290" s="1" t="n">
        <v>0</v>
      </c>
      <c r="N290" s="1" t="s">
        <v>240</v>
      </c>
      <c r="Z290" s="0" t="n">
        <f aca="false">I290-3</f>
        <v>172</v>
      </c>
      <c r="AB290" s="0" t="n">
        <f aca="false">IF(Z290&lt;0,Z290+360,Z290+0)</f>
        <v>172</v>
      </c>
    </row>
    <row r="291" customFormat="false" ht="15.8" hidden="false" customHeight="false" outlineLevel="0" collapsed="false">
      <c r="A291" s="1" t="n">
        <v>7</v>
      </c>
      <c r="B291" s="1" t="n">
        <v>10</v>
      </c>
      <c r="C291" s="1" t="n">
        <v>1.3</v>
      </c>
      <c r="D291" s="1" t="n">
        <v>1.006</v>
      </c>
      <c r="E291" s="1" t="n">
        <v>0.043753</v>
      </c>
      <c r="F291" s="1" t="n">
        <v>0.000119073</v>
      </c>
      <c r="G291" s="1" t="s">
        <v>27</v>
      </c>
      <c r="H291" s="1" t="n">
        <v>90.7</v>
      </c>
      <c r="I291" s="1" t="n">
        <v>35.6</v>
      </c>
      <c r="J291" s="1" t="n">
        <v>0</v>
      </c>
      <c r="K291" s="1"/>
      <c r="L291" s="1" t="n">
        <v>0</v>
      </c>
      <c r="M291" s="1" t="n">
        <v>0</v>
      </c>
      <c r="N291" s="1" t="s">
        <v>240</v>
      </c>
      <c r="Z291" s="0" t="n">
        <f aca="false">I291-3</f>
        <v>32.6</v>
      </c>
      <c r="AB291" s="0" t="n">
        <f aca="false">IF(Z291&lt;0,Z291+360,Z291+0)</f>
        <v>32.6</v>
      </c>
    </row>
    <row r="292" customFormat="false" ht="15.8" hidden="false" customHeight="false" outlineLevel="0" collapsed="false">
      <c r="A292" s="1" t="n">
        <v>7</v>
      </c>
      <c r="B292" s="1" t="n">
        <v>9</v>
      </c>
      <c r="C292" s="1" t="n">
        <v>10.6</v>
      </c>
      <c r="D292" s="1" t="n">
        <v>1.4078</v>
      </c>
      <c r="E292" s="1" t="n">
        <v>0.362008</v>
      </c>
      <c r="F292" s="1" t="n">
        <v>0.000985203</v>
      </c>
      <c r="G292" s="1" t="s">
        <v>37</v>
      </c>
      <c r="H292" s="1" t="n">
        <v>59.7</v>
      </c>
      <c r="I292" s="1" t="n">
        <v>126.8</v>
      </c>
      <c r="J292" s="1" t="n">
        <v>-51.9</v>
      </c>
      <c r="K292" s="1" t="n">
        <v>90.7</v>
      </c>
      <c r="L292" s="1" t="n">
        <v>0</v>
      </c>
      <c r="M292" s="1" t="n">
        <v>0</v>
      </c>
      <c r="N292" s="1" t="s">
        <v>241</v>
      </c>
      <c r="Z292" s="0" t="n">
        <f aca="false">I292-3</f>
        <v>123.8</v>
      </c>
      <c r="AB292" s="0" t="n">
        <f aca="false">IF(Z292&lt;0,Z292+360,Z292+0)</f>
        <v>123.8</v>
      </c>
    </row>
    <row r="293" customFormat="false" ht="15.8" hidden="false" customHeight="false" outlineLevel="0" collapsed="false">
      <c r="A293" s="1" t="n">
        <v>7</v>
      </c>
      <c r="B293" s="1" t="n">
        <v>9</v>
      </c>
      <c r="C293" s="1" t="n">
        <v>1</v>
      </c>
      <c r="D293" s="1" t="n">
        <v>1.1692</v>
      </c>
      <c r="E293" s="1" t="n">
        <v>0.0358416</v>
      </c>
      <c r="F293" s="1" t="n">
        <v>9.75425E-005</v>
      </c>
      <c r="G293" s="1" t="s">
        <v>27</v>
      </c>
      <c r="H293" s="1" t="n">
        <v>76.2</v>
      </c>
      <c r="I293" s="1" t="n">
        <v>16.3</v>
      </c>
      <c r="J293" s="1" t="n">
        <v>24.4</v>
      </c>
      <c r="K293" s="1"/>
      <c r="L293" s="1" t="n">
        <v>0</v>
      </c>
      <c r="M293" s="1" t="n">
        <v>0</v>
      </c>
      <c r="N293" s="1" t="s">
        <v>241</v>
      </c>
      <c r="Z293" s="0" t="n">
        <f aca="false">I293-3</f>
        <v>13.3</v>
      </c>
      <c r="AB293" s="0" t="n">
        <f aca="false">IF(Z293&lt;0,Z293+360,Z293+0)</f>
        <v>13.3</v>
      </c>
    </row>
    <row r="294" customFormat="false" ht="15.8" hidden="false" customHeight="false" outlineLevel="0" collapsed="false">
      <c r="A294" s="1" t="n">
        <v>7</v>
      </c>
      <c r="B294" s="1" t="n">
        <v>8</v>
      </c>
      <c r="C294" s="1" t="n">
        <v>5.9</v>
      </c>
      <c r="D294" s="1" t="n">
        <v>1.2575</v>
      </c>
      <c r="E294" s="1" t="n">
        <v>0.198886</v>
      </c>
      <c r="F294" s="1" t="n">
        <v>0.00053229</v>
      </c>
      <c r="G294" s="1" t="s">
        <v>37</v>
      </c>
      <c r="H294" s="1" t="n">
        <v>66.2</v>
      </c>
      <c r="I294" s="1" t="n">
        <v>19.4</v>
      </c>
      <c r="J294" s="1" t="n">
        <v>-51.7</v>
      </c>
      <c r="K294" s="1" t="n">
        <v>76.2</v>
      </c>
      <c r="L294" s="1" t="n">
        <v>0</v>
      </c>
      <c r="M294" s="1" t="n">
        <v>0</v>
      </c>
      <c r="N294" s="1" t="s">
        <v>242</v>
      </c>
      <c r="Z294" s="0" t="n">
        <f aca="false">I294-3</f>
        <v>16.4</v>
      </c>
      <c r="AB294" s="0" t="n">
        <f aca="false">IF(Z294&lt;0,Z294+360,Z294+0)</f>
        <v>16.4</v>
      </c>
    </row>
    <row r="295" customFormat="false" ht="15.8" hidden="false" customHeight="false" outlineLevel="0" collapsed="false">
      <c r="A295" s="1" t="n">
        <v>7</v>
      </c>
      <c r="B295" s="1" t="n">
        <v>9</v>
      </c>
      <c r="C295" s="1" t="n">
        <v>3.8</v>
      </c>
      <c r="D295" s="1" t="n">
        <v>1.4226</v>
      </c>
      <c r="E295" s="1" t="n">
        <v>0.103381</v>
      </c>
      <c r="F295" s="1" t="n">
        <v>0.000225081</v>
      </c>
      <c r="G295" s="1" t="s">
        <v>27</v>
      </c>
      <c r="H295" s="1" t="n">
        <v>50.3</v>
      </c>
      <c r="I295" s="1" t="n">
        <v>43.1</v>
      </c>
      <c r="J295" s="1" t="n">
        <v>-16.2</v>
      </c>
      <c r="K295" s="1"/>
      <c r="L295" s="1" t="n">
        <v>0</v>
      </c>
      <c r="M295" s="1" t="n">
        <v>0</v>
      </c>
      <c r="N295" s="1" t="s">
        <v>243</v>
      </c>
      <c r="Z295" s="0" t="n">
        <f aca="false">I295-3</f>
        <v>40.1</v>
      </c>
      <c r="AB295" s="0" t="n">
        <f aca="false">IF(Z295&lt;0,Z295+360,Z295+0)</f>
        <v>40.1</v>
      </c>
    </row>
    <row r="296" customFormat="false" ht="15.8" hidden="false" customHeight="false" outlineLevel="0" collapsed="false">
      <c r="A296" s="1" t="n">
        <v>7</v>
      </c>
      <c r="B296" s="1" t="n">
        <v>11</v>
      </c>
      <c r="C296" s="1" t="n">
        <v>1.9</v>
      </c>
      <c r="D296" s="1" t="n">
        <v>1.1472</v>
      </c>
      <c r="E296" s="1" t="n">
        <v>0.0530827</v>
      </c>
      <c r="F296" s="1" t="n">
        <v>0.000115571</v>
      </c>
      <c r="G296" s="1" t="s">
        <v>27</v>
      </c>
      <c r="H296" s="1" t="n">
        <v>46.1</v>
      </c>
      <c r="I296" s="1" t="n">
        <v>233.9</v>
      </c>
      <c r="J296" s="1" t="n">
        <v>25.9</v>
      </c>
      <c r="K296" s="1"/>
      <c r="L296" s="1" t="n">
        <v>0</v>
      </c>
      <c r="M296" s="1" t="n">
        <v>0</v>
      </c>
      <c r="N296" s="1" t="s">
        <v>244</v>
      </c>
      <c r="Z296" s="0" t="n">
        <f aca="false">I296-3</f>
        <v>230.9</v>
      </c>
      <c r="AB296" s="0" t="n">
        <f aca="false">IF(Z296&lt;0,Z296+360,Z296+0)</f>
        <v>230.9</v>
      </c>
    </row>
    <row r="297" customFormat="false" ht="15.8" hidden="false" customHeight="false" outlineLevel="0" collapsed="false">
      <c r="A297" s="1" t="n">
        <v>7</v>
      </c>
      <c r="B297" s="1" t="n">
        <v>12</v>
      </c>
      <c r="C297" s="1" t="n">
        <v>5</v>
      </c>
      <c r="D297" s="1" t="n">
        <v>1.1179</v>
      </c>
      <c r="E297" s="1" t="n">
        <v>0.170638</v>
      </c>
      <c r="F297" s="1" t="n">
        <v>0.000464389</v>
      </c>
      <c r="G297" s="1" t="s">
        <v>27</v>
      </c>
      <c r="H297" s="1" t="n">
        <v>68.4</v>
      </c>
      <c r="I297" s="1" t="n">
        <v>24.2</v>
      </c>
      <c r="J297" s="1" t="n">
        <v>-48.2</v>
      </c>
      <c r="K297" s="1"/>
      <c r="L297" s="1" t="n">
        <v>0</v>
      </c>
      <c r="M297" s="1" t="n">
        <v>0</v>
      </c>
      <c r="N297" s="1" t="s">
        <v>245</v>
      </c>
      <c r="Z297" s="0" t="n">
        <f aca="false">I297-3</f>
        <v>21.2</v>
      </c>
      <c r="AB297" s="0" t="n">
        <f aca="false">IF(Z297&lt;0,Z297+360,Z297+0)</f>
        <v>21.2</v>
      </c>
    </row>
    <row r="298" customFormat="false" ht="15.8" hidden="false" customHeight="false" outlineLevel="0" collapsed="false">
      <c r="A298" s="1" t="n">
        <v>7</v>
      </c>
      <c r="B298" s="1" t="n">
        <v>13</v>
      </c>
      <c r="C298" s="1" t="n">
        <v>1.4</v>
      </c>
      <c r="D298" s="1" t="n">
        <v>1.1459</v>
      </c>
      <c r="E298" s="1" t="n">
        <v>0.049293</v>
      </c>
      <c r="F298" s="1" t="n">
        <v>0.00013415</v>
      </c>
      <c r="G298" s="1" t="s">
        <v>27</v>
      </c>
      <c r="H298" s="1" t="n">
        <v>92.2</v>
      </c>
      <c r="I298" s="1" t="n">
        <v>264.5</v>
      </c>
      <c r="J298" s="1" t="n">
        <v>36</v>
      </c>
      <c r="K298" s="1"/>
      <c r="L298" s="1" t="n">
        <v>0</v>
      </c>
      <c r="M298" s="1" t="n">
        <v>0</v>
      </c>
      <c r="N298" s="1" t="s">
        <v>246</v>
      </c>
      <c r="Z298" s="0" t="n">
        <f aca="false">I298-3</f>
        <v>261.5</v>
      </c>
      <c r="AB298" s="0" t="n">
        <f aca="false">IF(Z298&lt;0,Z298+360,Z298+0)</f>
        <v>261.5</v>
      </c>
    </row>
    <row r="299" customFormat="false" ht="15.8" hidden="false" customHeight="false" outlineLevel="0" collapsed="false">
      <c r="A299" s="1" t="n">
        <v>7</v>
      </c>
      <c r="B299" s="1" t="n">
        <v>13</v>
      </c>
      <c r="C299" s="1" t="n">
        <v>2.8</v>
      </c>
      <c r="D299" s="1" t="n">
        <v>1.1547</v>
      </c>
      <c r="E299" s="1" t="n">
        <v>0.0974079</v>
      </c>
      <c r="F299" s="1" t="n">
        <v>0.000265095</v>
      </c>
      <c r="G299" s="1" t="s">
        <v>27</v>
      </c>
      <c r="H299" s="1" t="n">
        <v>24.9</v>
      </c>
      <c r="I299" s="1" t="n">
        <v>20.4</v>
      </c>
      <c r="J299" s="1" t="n">
        <v>-8.6</v>
      </c>
      <c r="K299" s="1"/>
      <c r="L299" s="1" t="n">
        <v>0</v>
      </c>
      <c r="M299" s="1" t="n">
        <v>0</v>
      </c>
      <c r="N299" s="1" t="s">
        <v>246</v>
      </c>
      <c r="Z299" s="0" t="n">
        <f aca="false">I299-3</f>
        <v>17.4</v>
      </c>
      <c r="AB299" s="0" t="n">
        <f aca="false">IF(Z299&lt;0,Z299+360,Z299+0)</f>
        <v>17.4</v>
      </c>
    </row>
    <row r="300" customFormat="false" ht="15.8" hidden="false" customHeight="false" outlineLevel="0" collapsed="false">
      <c r="A300" s="1" t="n">
        <v>7</v>
      </c>
      <c r="B300" s="1" t="n">
        <v>12</v>
      </c>
      <c r="C300" s="1" t="n">
        <v>4.7</v>
      </c>
      <c r="D300" s="1" t="n">
        <v>1.2799</v>
      </c>
      <c r="E300" s="1" t="n">
        <v>0.159963</v>
      </c>
      <c r="F300" s="1" t="n">
        <v>0.000435338</v>
      </c>
      <c r="G300" s="1" t="s">
        <v>37</v>
      </c>
      <c r="H300" s="1" t="n">
        <v>7.7</v>
      </c>
      <c r="I300" s="1" t="n">
        <v>5.9</v>
      </c>
      <c r="J300" s="1" t="n">
        <v>11.7</v>
      </c>
      <c r="K300" s="1" t="n">
        <v>92.2</v>
      </c>
      <c r="L300" s="1" t="n">
        <v>0</v>
      </c>
      <c r="M300" s="1" t="n">
        <v>0</v>
      </c>
      <c r="N300" s="1" t="s">
        <v>245</v>
      </c>
      <c r="Z300" s="0" t="n">
        <f aca="false">I300-3</f>
        <v>2.9</v>
      </c>
      <c r="AB300" s="0" t="n">
        <f aca="false">IF(Z300&lt;0,Z300+360,Z300+0)</f>
        <v>2.9</v>
      </c>
    </row>
    <row r="301" customFormat="false" ht="15.8" hidden="false" customHeight="false" outlineLevel="0" collapsed="false">
      <c r="A301" s="1" t="n">
        <v>7</v>
      </c>
      <c r="B301" s="1" t="n">
        <v>11</v>
      </c>
      <c r="C301" s="1" t="n">
        <v>9.6</v>
      </c>
      <c r="D301" s="1" t="n">
        <v>1.2332</v>
      </c>
      <c r="E301" s="1" t="n">
        <v>0.313922</v>
      </c>
      <c r="F301" s="1" t="n">
        <v>0.000820371</v>
      </c>
      <c r="G301" s="1" t="s">
        <v>37</v>
      </c>
      <c r="H301" s="1" t="n">
        <v>66.7</v>
      </c>
      <c r="I301" s="1" t="n">
        <v>359.7</v>
      </c>
      <c r="J301" s="1" t="n">
        <v>16.5</v>
      </c>
      <c r="K301" s="1" t="n">
        <v>68.4</v>
      </c>
      <c r="L301" s="1" t="n">
        <v>0</v>
      </c>
      <c r="M301" s="1" t="n">
        <v>0</v>
      </c>
      <c r="N301" s="1" t="s">
        <v>244</v>
      </c>
      <c r="Z301" s="0" t="n">
        <f aca="false">I301-3</f>
        <v>356.7</v>
      </c>
      <c r="AB301" s="0" t="n">
        <f aca="false">IF(Z301&lt;0,Z301+360,Z301+0)</f>
        <v>356.7</v>
      </c>
    </row>
    <row r="302" customFormat="false" ht="15.8" hidden="false" customHeight="false" outlineLevel="0" collapsed="false">
      <c r="A302" s="1" t="n">
        <v>7</v>
      </c>
      <c r="B302" s="1" t="n">
        <v>10</v>
      </c>
      <c r="C302" s="1" t="n">
        <v>1.3</v>
      </c>
      <c r="D302" s="1" t="n">
        <v>1.2236</v>
      </c>
      <c r="E302" s="1" t="n">
        <v>0.0342903</v>
      </c>
      <c r="F302" s="1" t="n">
        <v>7.46566E-005</v>
      </c>
      <c r="G302" s="1" t="s">
        <v>37</v>
      </c>
      <c r="H302" s="1" t="n">
        <v>76.9</v>
      </c>
      <c r="I302" s="1" t="n">
        <v>286.4</v>
      </c>
      <c r="J302" s="1" t="n">
        <v>46.3</v>
      </c>
      <c r="K302" s="1" t="n">
        <v>66.7</v>
      </c>
      <c r="L302" s="1" t="n">
        <v>0</v>
      </c>
      <c r="M302" s="1" t="n">
        <v>0</v>
      </c>
      <c r="N302" s="1" t="s">
        <v>247</v>
      </c>
      <c r="Z302" s="0" t="n">
        <f aca="false">I302-3</f>
        <v>283.4</v>
      </c>
      <c r="AB302" s="0" t="n">
        <f aca="false">IF(Z302&lt;0,Z302+360,Z302+0)</f>
        <v>283.4</v>
      </c>
    </row>
    <row r="303" customFormat="false" ht="15.8" hidden="false" customHeight="false" outlineLevel="0" collapsed="false">
      <c r="A303" s="1" t="n">
        <v>7</v>
      </c>
      <c r="B303" s="1" t="n">
        <v>10</v>
      </c>
      <c r="C303" s="1" t="n">
        <v>2.1</v>
      </c>
      <c r="D303" s="1" t="n">
        <v>1.0708</v>
      </c>
      <c r="E303" s="1" t="n">
        <v>0.0579895</v>
      </c>
      <c r="F303" s="1" t="n">
        <v>0.000126254</v>
      </c>
      <c r="G303" s="1" t="s">
        <v>27</v>
      </c>
      <c r="H303" s="1" t="n">
        <v>12.1</v>
      </c>
      <c r="I303" s="1" t="n">
        <v>13.5</v>
      </c>
      <c r="J303" s="1" t="n">
        <v>0</v>
      </c>
      <c r="K303" s="1"/>
      <c r="L303" s="1" t="n">
        <v>0</v>
      </c>
      <c r="M303" s="1" t="n">
        <v>0</v>
      </c>
      <c r="N303" s="1" t="s">
        <v>247</v>
      </c>
      <c r="Z303" s="0" t="n">
        <f aca="false">I303-3</f>
        <v>10.5</v>
      </c>
      <c r="AB303" s="0" t="n">
        <f aca="false">IF(Z303&lt;0,Z303+360,Z303+0)</f>
        <v>10.5</v>
      </c>
    </row>
    <row r="304" customFormat="false" ht="15.8" hidden="false" customHeight="false" outlineLevel="0" collapsed="false">
      <c r="A304" s="1" t="n">
        <v>7</v>
      </c>
      <c r="B304" s="1" t="n">
        <v>9</v>
      </c>
      <c r="C304" s="1" t="n">
        <v>4.3</v>
      </c>
      <c r="D304" s="1" t="n">
        <v>1.14</v>
      </c>
      <c r="E304" s="1" t="n">
        <v>0.118119</v>
      </c>
      <c r="F304" s="1" t="n">
        <v>0.000257167</v>
      </c>
      <c r="G304" s="1" t="s">
        <v>37</v>
      </c>
      <c r="H304" s="1" t="n">
        <v>18.2</v>
      </c>
      <c r="I304" s="1" t="n">
        <v>9.2</v>
      </c>
      <c r="J304" s="1" t="n">
        <v>11.3</v>
      </c>
      <c r="K304" s="1" t="n">
        <v>76.9</v>
      </c>
      <c r="L304" s="1" t="n">
        <v>0</v>
      </c>
      <c r="M304" s="1" t="n">
        <v>0</v>
      </c>
      <c r="N304" s="1" t="s">
        <v>243</v>
      </c>
      <c r="Z304" s="0" t="n">
        <f aca="false">I304-3</f>
        <v>6.2</v>
      </c>
      <c r="AB304" s="0" t="n">
        <f aca="false">IF(Z304&lt;0,Z304+360,Z304+0)</f>
        <v>6.2</v>
      </c>
    </row>
    <row r="305" customFormat="false" ht="15.8" hidden="false" customHeight="false" outlineLevel="0" collapsed="false">
      <c r="A305" s="1" t="n">
        <v>7</v>
      </c>
      <c r="B305" s="1" t="n">
        <v>8</v>
      </c>
      <c r="C305" s="1" t="n">
        <v>1.3</v>
      </c>
      <c r="D305" s="1" t="n">
        <v>1.0182</v>
      </c>
      <c r="E305" s="1" t="n">
        <v>0.0344082</v>
      </c>
      <c r="F305" s="1" t="n">
        <v>7.49133E-005</v>
      </c>
      <c r="G305" s="1" t="s">
        <v>37</v>
      </c>
      <c r="H305" s="1" t="n">
        <v>22.3</v>
      </c>
      <c r="I305" s="1" t="n">
        <v>354.7</v>
      </c>
      <c r="J305" s="1" t="n">
        <v>0</v>
      </c>
      <c r="K305" s="1" t="n">
        <v>50.3</v>
      </c>
      <c r="L305" s="1" t="n">
        <v>0</v>
      </c>
      <c r="M305" s="1" t="n">
        <v>0</v>
      </c>
      <c r="N305" s="1" t="s">
        <v>242</v>
      </c>
      <c r="Z305" s="0" t="n">
        <f aca="false">I305-3</f>
        <v>351.7</v>
      </c>
      <c r="AB305" s="0" t="n">
        <f aca="false">IF(Z305&lt;0,Z305+360,Z305+0)</f>
        <v>351.7</v>
      </c>
    </row>
    <row r="306" customFormat="false" ht="15.8" hidden="false" customHeight="false" outlineLevel="0" collapsed="false">
      <c r="A306" s="1" t="n">
        <v>7</v>
      </c>
      <c r="B306" s="1" t="n">
        <v>7</v>
      </c>
      <c r="C306" s="1" t="n">
        <v>5.3</v>
      </c>
      <c r="D306" s="1" t="n">
        <v>1.1686</v>
      </c>
      <c r="E306" s="1" t="n">
        <v>0.144758</v>
      </c>
      <c r="F306" s="1" t="n">
        <v>0.000315165</v>
      </c>
      <c r="G306" s="1" t="s">
        <v>37</v>
      </c>
      <c r="H306" s="1" t="n">
        <v>17.7</v>
      </c>
      <c r="I306" s="1" t="n">
        <v>12.1</v>
      </c>
      <c r="J306" s="1" t="n">
        <v>14.2</v>
      </c>
      <c r="K306" s="1" t="n">
        <v>66.2</v>
      </c>
      <c r="L306" s="1" t="n">
        <v>0</v>
      </c>
      <c r="M306" s="1" t="n">
        <v>0</v>
      </c>
      <c r="N306" s="1" t="s">
        <v>248</v>
      </c>
      <c r="Z306" s="0" t="n">
        <f aca="false">I306-3</f>
        <v>9.1</v>
      </c>
      <c r="AB306" s="0" t="n">
        <f aca="false">IF(Z306&lt;0,Z306+360,Z306+0)</f>
        <v>9.1</v>
      </c>
    </row>
    <row r="307" customFormat="false" ht="15.8" hidden="false" customHeight="false" outlineLevel="0" collapsed="false">
      <c r="A307" s="1" t="n">
        <v>7</v>
      </c>
      <c r="B307" s="1" t="n">
        <v>7</v>
      </c>
      <c r="C307" s="1" t="n">
        <v>0.7</v>
      </c>
      <c r="D307" s="1" t="n">
        <v>1.1565</v>
      </c>
      <c r="E307" s="1" t="n">
        <v>0.0199669</v>
      </c>
      <c r="F307" s="1" t="n">
        <v>4.34718E-005</v>
      </c>
      <c r="G307" s="1" t="s">
        <v>27</v>
      </c>
      <c r="H307" s="1" t="n">
        <v>131.5</v>
      </c>
      <c r="I307" s="1" t="n">
        <v>224.3</v>
      </c>
      <c r="J307" s="1" t="n">
        <v>35.9</v>
      </c>
      <c r="K307" s="1"/>
      <c r="L307" s="1" t="n">
        <v>0</v>
      </c>
      <c r="M307" s="1" t="n">
        <v>0</v>
      </c>
      <c r="N307" s="1" t="s">
        <v>248</v>
      </c>
      <c r="Z307" s="0" t="n">
        <f aca="false">I307-3</f>
        <v>221.3</v>
      </c>
      <c r="AB307" s="0" t="n">
        <f aca="false">IF(Z307&lt;0,Z307+360,Z307+0)</f>
        <v>221.3</v>
      </c>
    </row>
    <row r="308" customFormat="false" ht="15.8" hidden="false" customHeight="false" outlineLevel="0" collapsed="false">
      <c r="A308" s="1" t="n">
        <v>7</v>
      </c>
      <c r="B308" s="1" t="n">
        <v>6</v>
      </c>
      <c r="C308" s="1" t="n">
        <v>5.4</v>
      </c>
      <c r="D308" s="1" t="n">
        <v>1.3464</v>
      </c>
      <c r="E308" s="1" t="n">
        <v>0.147968</v>
      </c>
      <c r="F308" s="1" t="n">
        <v>0.000322156</v>
      </c>
      <c r="G308" s="1" t="s">
        <v>37</v>
      </c>
      <c r="H308" s="1" t="n">
        <v>33.3</v>
      </c>
      <c r="I308" s="1" t="n">
        <v>29.9</v>
      </c>
      <c r="J308" s="1" t="n">
        <v>10.6</v>
      </c>
      <c r="K308" s="1" t="n">
        <v>131.5</v>
      </c>
      <c r="L308" s="1" t="n">
        <v>0</v>
      </c>
      <c r="M308" s="1" t="n">
        <v>0</v>
      </c>
      <c r="N308" s="1" t="s">
        <v>238</v>
      </c>
      <c r="Z308" s="0" t="n">
        <f aca="false">I308-3</f>
        <v>26.9</v>
      </c>
      <c r="AB308" s="0" t="n">
        <f aca="false">IF(Z308&lt;0,Z308+360,Z308+0)</f>
        <v>26.9</v>
      </c>
    </row>
    <row r="309" customFormat="false" ht="15.8" hidden="false" customHeight="false" outlineLevel="0" collapsed="false">
      <c r="A309" s="1" t="n">
        <v>7</v>
      </c>
      <c r="B309" s="1" t="n">
        <v>5</v>
      </c>
      <c r="C309" s="1" t="n">
        <v>2.6</v>
      </c>
      <c r="D309" s="1" t="n">
        <v>1.1324</v>
      </c>
      <c r="E309" s="1" t="n">
        <v>0.071177</v>
      </c>
      <c r="F309" s="1" t="n">
        <v>0.000154966</v>
      </c>
      <c r="G309" s="1" t="s">
        <v>37</v>
      </c>
      <c r="H309" s="1" t="n">
        <v>25.5</v>
      </c>
      <c r="I309" s="1" t="n">
        <v>3.1</v>
      </c>
      <c r="J309" s="1" t="n">
        <v>-9.3</v>
      </c>
      <c r="K309" s="1" t="n">
        <v>33.3</v>
      </c>
      <c r="L309" s="1" t="n">
        <v>0</v>
      </c>
      <c r="M309" s="1" t="n">
        <v>0</v>
      </c>
      <c r="N309" s="1" t="s">
        <v>249</v>
      </c>
      <c r="Z309" s="0" t="n">
        <f aca="false">I309-3</f>
        <v>0.1</v>
      </c>
      <c r="AB309" s="0" t="n">
        <f aca="false">IF(Z309&lt;0,Z309+360,Z309+0)</f>
        <v>0.1</v>
      </c>
    </row>
    <row r="310" customFormat="false" ht="15.8" hidden="false" customHeight="false" outlineLevel="0" collapsed="false">
      <c r="A310" s="1" t="n">
        <v>7</v>
      </c>
      <c r="B310" s="1" t="n">
        <v>5</v>
      </c>
      <c r="C310" s="1" t="n">
        <v>1.2</v>
      </c>
      <c r="D310" s="1" t="n">
        <v>1.1992</v>
      </c>
      <c r="E310" s="1" t="n">
        <v>0.03275</v>
      </c>
      <c r="F310" s="1" t="n">
        <v>7.1303E-005</v>
      </c>
      <c r="G310" s="1" t="s">
        <v>27</v>
      </c>
      <c r="H310" s="1" t="n">
        <v>44.9</v>
      </c>
      <c r="I310" s="1" t="n">
        <v>74.2</v>
      </c>
      <c r="J310" s="1" t="n">
        <v>-47.8</v>
      </c>
      <c r="K310" s="1"/>
      <c r="L310" s="1" t="n">
        <v>0</v>
      </c>
      <c r="M310" s="1" t="n">
        <v>0</v>
      </c>
      <c r="N310" s="1" t="s">
        <v>249</v>
      </c>
      <c r="Z310" s="0" t="n">
        <f aca="false">I310-3</f>
        <v>71.2</v>
      </c>
      <c r="AB310" s="0" t="n">
        <f aca="false">IF(Z310&lt;0,Z310+360,Z310+0)</f>
        <v>71.2</v>
      </c>
    </row>
    <row r="311" customFormat="false" ht="15.8" hidden="false" customHeight="false" outlineLevel="0" collapsed="false">
      <c r="A311" s="1" t="n">
        <v>7</v>
      </c>
      <c r="B311" s="1" t="n">
        <v>4</v>
      </c>
      <c r="C311" s="1" t="n">
        <v>1.9</v>
      </c>
      <c r="D311" s="1" t="n">
        <v>1.1968</v>
      </c>
      <c r="E311" s="1" t="n">
        <v>0.0523803</v>
      </c>
      <c r="F311" s="1" t="n">
        <v>0.000114042</v>
      </c>
      <c r="G311" s="1" t="s">
        <v>37</v>
      </c>
      <c r="H311" s="1" t="n">
        <v>71.9</v>
      </c>
      <c r="I311" s="1" t="n">
        <v>22</v>
      </c>
      <c r="J311" s="1" t="n">
        <v>-27.6</v>
      </c>
      <c r="K311" s="1" t="n">
        <v>44.9</v>
      </c>
      <c r="L311" s="1" t="n">
        <v>0</v>
      </c>
      <c r="M311" s="1" t="n">
        <v>0</v>
      </c>
      <c r="N311" s="1" t="s">
        <v>250</v>
      </c>
      <c r="Z311" s="0" t="n">
        <f aca="false">I311-3</f>
        <v>19</v>
      </c>
      <c r="AB311" s="0" t="n">
        <f aca="false">IF(Z311&lt;0,Z311+360,Z311+0)</f>
        <v>19</v>
      </c>
    </row>
    <row r="312" customFormat="false" ht="15.8" hidden="false" customHeight="false" outlineLevel="0" collapsed="false">
      <c r="A312" s="1" t="n">
        <v>7</v>
      </c>
      <c r="B312" s="1" t="n">
        <v>4</v>
      </c>
      <c r="C312" s="1" t="n">
        <v>1.5</v>
      </c>
      <c r="D312" s="1" t="n">
        <v>1.2149</v>
      </c>
      <c r="E312" s="1" t="n">
        <v>0.0416874</v>
      </c>
      <c r="F312" s="1" t="n">
        <v>9.07614E-005</v>
      </c>
      <c r="G312" s="1" t="s">
        <v>27</v>
      </c>
      <c r="H312" s="1" t="n">
        <v>18.5</v>
      </c>
      <c r="I312" s="1" t="n">
        <v>351.2</v>
      </c>
      <c r="J312" s="1" t="n">
        <v>17.2</v>
      </c>
      <c r="K312" s="1"/>
      <c r="L312" s="1" t="n">
        <v>0</v>
      </c>
      <c r="M312" s="1" t="n">
        <v>0</v>
      </c>
      <c r="N312" s="1" t="s">
        <v>250</v>
      </c>
      <c r="Z312" s="0" t="n">
        <f aca="false">I312-3</f>
        <v>348.2</v>
      </c>
      <c r="AB312" s="0" t="n">
        <f aca="false">IF(Z312&lt;0,Z312+360,Z312+0)</f>
        <v>348.2</v>
      </c>
    </row>
    <row r="313" customFormat="false" ht="15.8" hidden="false" customHeight="false" outlineLevel="0" collapsed="false">
      <c r="A313" s="1" t="n">
        <v>7</v>
      </c>
      <c r="B313" s="1" t="n">
        <v>3</v>
      </c>
      <c r="C313" s="1" t="n">
        <v>0.9</v>
      </c>
      <c r="D313" s="1" t="n">
        <v>1.2003</v>
      </c>
      <c r="E313" s="1" t="n">
        <v>0.024918</v>
      </c>
      <c r="F313" s="1" t="n">
        <v>5.42512E-005</v>
      </c>
      <c r="G313" s="1" t="s">
        <v>37</v>
      </c>
      <c r="H313" s="1" t="n">
        <v>30.1</v>
      </c>
      <c r="I313" s="1" t="n">
        <v>335.8</v>
      </c>
      <c r="J313" s="1" t="n">
        <v>29.2</v>
      </c>
      <c r="K313" s="1" t="n">
        <v>71.9</v>
      </c>
      <c r="L313" s="1" t="n">
        <v>0</v>
      </c>
      <c r="M313" s="1" t="n">
        <v>0</v>
      </c>
      <c r="N313" s="1" t="s">
        <v>251</v>
      </c>
      <c r="Z313" s="0" t="n">
        <f aca="false">I313-3</f>
        <v>332.8</v>
      </c>
      <c r="AB313" s="0" t="n">
        <f aca="false">IF(Z313&lt;0,Z313+360,Z313+0)</f>
        <v>332.8</v>
      </c>
    </row>
    <row r="314" customFormat="false" ht="15.8" hidden="false" customHeight="false" outlineLevel="0" collapsed="false">
      <c r="A314" s="1" t="n">
        <v>7</v>
      </c>
      <c r="B314" s="1" t="n">
        <v>5</v>
      </c>
      <c r="C314" s="1" t="n">
        <v>6</v>
      </c>
      <c r="D314" s="1" t="n">
        <v>1.2344</v>
      </c>
      <c r="E314" s="1" t="n">
        <v>0.164805</v>
      </c>
      <c r="F314" s="1" t="n">
        <v>0.000358813</v>
      </c>
      <c r="G314" s="1" t="s">
        <v>27</v>
      </c>
      <c r="H314" s="1" t="n">
        <v>21.2</v>
      </c>
      <c r="I314" s="1" t="n">
        <v>5.6</v>
      </c>
      <c r="J314" s="1" t="n">
        <v>-4.3</v>
      </c>
      <c r="K314" s="1"/>
      <c r="L314" s="1" t="n">
        <v>0</v>
      </c>
      <c r="M314" s="1" t="n">
        <v>0</v>
      </c>
      <c r="N314" s="1" t="s">
        <v>252</v>
      </c>
      <c r="Z314" s="0" t="n">
        <f aca="false">I314-3</f>
        <v>2.6</v>
      </c>
      <c r="AB314" s="0" t="n">
        <f aca="false">IF(Z314&lt;0,Z314+360,Z314+0)</f>
        <v>2.6</v>
      </c>
    </row>
    <row r="315" customFormat="false" ht="15.8" hidden="false" customHeight="false" outlineLevel="0" collapsed="false">
      <c r="A315" s="1" t="n">
        <v>7</v>
      </c>
      <c r="B315" s="1" t="n">
        <v>5</v>
      </c>
      <c r="C315" s="1" t="n">
        <v>1.3</v>
      </c>
      <c r="D315" s="1" t="n">
        <v>1.1929</v>
      </c>
      <c r="E315" s="1" t="n">
        <v>0.0364356</v>
      </c>
      <c r="F315" s="1" t="n">
        <v>7.93273E-005</v>
      </c>
      <c r="G315" s="1" t="s">
        <v>27</v>
      </c>
      <c r="H315" s="1" t="n">
        <v>72.2</v>
      </c>
      <c r="I315" s="1" t="n">
        <v>66.6</v>
      </c>
      <c r="J315" s="1" t="n">
        <v>-19.4</v>
      </c>
      <c r="K315" s="1"/>
      <c r="L315" s="1" t="n">
        <v>0</v>
      </c>
      <c r="M315" s="1" t="n">
        <v>0</v>
      </c>
      <c r="N315" s="1" t="s">
        <v>252</v>
      </c>
      <c r="Z315" s="0" t="n">
        <f aca="false">I315-3</f>
        <v>63.6</v>
      </c>
      <c r="AB315" s="0" t="n">
        <f aca="false">IF(Z315&lt;0,Z315+360,Z315+0)</f>
        <v>63.6</v>
      </c>
    </row>
    <row r="316" customFormat="false" ht="15.8" hidden="false" customHeight="false" outlineLevel="0" collapsed="false">
      <c r="A316" s="1" t="n">
        <v>7</v>
      </c>
      <c r="B316" s="1" t="n">
        <v>4</v>
      </c>
      <c r="C316" s="1" t="n">
        <v>15.3</v>
      </c>
      <c r="D316" s="1" t="n">
        <v>1.3195</v>
      </c>
      <c r="E316" s="1" t="n">
        <v>0.419281</v>
      </c>
      <c r="F316" s="1" t="n">
        <v>0.000912857</v>
      </c>
      <c r="G316" s="1" t="s">
        <v>37</v>
      </c>
      <c r="H316" s="1" t="n">
        <v>73.7</v>
      </c>
      <c r="I316" s="1" t="n">
        <v>2.9</v>
      </c>
      <c r="J316" s="1" t="n">
        <v>16.7</v>
      </c>
      <c r="K316" s="1" t="n">
        <v>72.2</v>
      </c>
      <c r="L316" s="1" t="n">
        <v>0</v>
      </c>
      <c r="M316" s="1" t="n">
        <v>0</v>
      </c>
      <c r="N316" s="1" t="s">
        <v>253</v>
      </c>
      <c r="Z316" s="0" t="n">
        <f aca="false">I316-3</f>
        <v>-0.1</v>
      </c>
      <c r="AB316" s="0" t="n">
        <f aca="false">IF(Z316&lt;0,Z316+360,Z316+0)</f>
        <v>359.9</v>
      </c>
    </row>
    <row r="317" customFormat="false" ht="15.8" hidden="false" customHeight="false" outlineLevel="0" collapsed="false">
      <c r="A317" s="1" t="n">
        <v>7</v>
      </c>
      <c r="B317" s="1" t="n">
        <v>4</v>
      </c>
      <c r="C317" s="1" t="n">
        <v>1</v>
      </c>
      <c r="D317" s="1" t="n">
        <v>1.2328</v>
      </c>
      <c r="E317" s="1" t="n">
        <v>0.0274127</v>
      </c>
      <c r="F317" s="1" t="n">
        <v>5.96828E-005</v>
      </c>
      <c r="G317" s="1" t="s">
        <v>27</v>
      </c>
      <c r="H317" s="1" t="n">
        <v>43</v>
      </c>
      <c r="I317" s="1" t="n">
        <v>230.4</v>
      </c>
      <c r="J317" s="1" t="n">
        <v>27.1</v>
      </c>
      <c r="K317" s="1"/>
      <c r="L317" s="1" t="n">
        <v>0</v>
      </c>
      <c r="M317" s="1" t="n">
        <v>0</v>
      </c>
      <c r="N317" s="1" t="s">
        <v>253</v>
      </c>
      <c r="Z317" s="0" t="n">
        <f aca="false">I317-3</f>
        <v>227.4</v>
      </c>
      <c r="AB317" s="0" t="n">
        <f aca="false">IF(Z317&lt;0,Z317+360,Z317+0)</f>
        <v>227.4</v>
      </c>
    </row>
    <row r="318" customFormat="false" ht="15.8" hidden="false" customHeight="false" outlineLevel="0" collapsed="false">
      <c r="A318" s="1" t="n">
        <v>7</v>
      </c>
      <c r="B318" s="1" t="n">
        <v>3</v>
      </c>
      <c r="C318" s="1" t="n">
        <v>2.1</v>
      </c>
      <c r="D318" s="1" t="n">
        <v>1.2211</v>
      </c>
      <c r="E318" s="1" t="n">
        <v>0.057368</v>
      </c>
      <c r="F318" s="1" t="n">
        <v>0.000124901</v>
      </c>
      <c r="G318" s="1" t="s">
        <v>37</v>
      </c>
      <c r="H318" s="1" t="n">
        <v>69.8</v>
      </c>
      <c r="I318" s="1" t="n">
        <v>280.3</v>
      </c>
      <c r="J318" s="1" t="n">
        <v>40.3</v>
      </c>
      <c r="K318" s="1" t="n">
        <v>73.7</v>
      </c>
      <c r="L318" s="1" t="n">
        <v>0</v>
      </c>
      <c r="M318" s="1" t="n">
        <v>0</v>
      </c>
      <c r="N318" s="1" t="s">
        <v>251</v>
      </c>
      <c r="Z318" s="0" t="n">
        <f aca="false">I318-3</f>
        <v>277.3</v>
      </c>
      <c r="AB318" s="0" t="n">
        <f aca="false">IF(Z318&lt;0,Z318+360,Z318+0)</f>
        <v>277.3</v>
      </c>
    </row>
    <row r="319" customFormat="false" ht="15.8" hidden="false" customHeight="false" outlineLevel="0" collapsed="false">
      <c r="A319" s="1" t="n">
        <v>7</v>
      </c>
      <c r="B319" s="1" t="n">
        <v>2</v>
      </c>
      <c r="C319" s="1" t="n">
        <v>2.2</v>
      </c>
      <c r="D319" s="1" t="n">
        <v>1.0489</v>
      </c>
      <c r="E319" s="1" t="n">
        <v>0.0596992</v>
      </c>
      <c r="F319" s="1" t="n">
        <v>0.000129977</v>
      </c>
      <c r="G319" s="1" t="s">
        <v>37</v>
      </c>
      <c r="H319" s="1" t="n">
        <v>84.3</v>
      </c>
      <c r="I319" s="1" t="n">
        <v>343.5</v>
      </c>
      <c r="J319" s="1" t="n">
        <v>0</v>
      </c>
      <c r="K319" s="1" t="n">
        <v>69.8</v>
      </c>
      <c r="L319" s="1" t="n">
        <v>0</v>
      </c>
      <c r="M319" s="1" t="n">
        <v>0</v>
      </c>
      <c r="N319" s="1" t="s">
        <v>230</v>
      </c>
      <c r="Z319" s="0" t="n">
        <f aca="false">I319-3</f>
        <v>340.5</v>
      </c>
      <c r="AB319" s="0" t="n">
        <f aca="false">IF(Z319&lt;0,Z319+360,Z319+0)</f>
        <v>340.5</v>
      </c>
    </row>
    <row r="320" customFormat="false" ht="15.8" hidden="false" customHeight="false" outlineLevel="0" collapsed="false">
      <c r="A320" s="1" t="n">
        <v>7</v>
      </c>
      <c r="B320" s="1" t="n">
        <v>1</v>
      </c>
      <c r="C320" s="1" t="n">
        <v>4.5</v>
      </c>
      <c r="D320" s="1" t="n">
        <v>1.1949</v>
      </c>
      <c r="E320" s="1" t="n">
        <v>0.12404</v>
      </c>
      <c r="F320" s="1" t="n">
        <v>0.000270058</v>
      </c>
      <c r="G320" s="1" t="s">
        <v>37</v>
      </c>
      <c r="H320" s="1"/>
      <c r="I320" s="1" t="n">
        <v>67.3</v>
      </c>
      <c r="J320" s="1" t="n">
        <v>-23</v>
      </c>
      <c r="K320" s="1" t="n">
        <v>84.3</v>
      </c>
      <c r="L320" s="1" t="n">
        <v>0</v>
      </c>
      <c r="M320" s="1" t="n">
        <v>0</v>
      </c>
      <c r="N320" s="1" t="s">
        <v>254</v>
      </c>
      <c r="Z320" s="0" t="n">
        <f aca="false">I320-3</f>
        <v>64.3</v>
      </c>
      <c r="AB320" s="0" t="n">
        <f aca="false">IF(Z320&lt;0,Z320+360,Z320+0)</f>
        <v>64.3</v>
      </c>
    </row>
    <row r="321" customFormat="false" ht="15.8" hidden="false" customHeight="false" outlineLevel="0" collapsed="false">
      <c r="A321" s="1" t="n">
        <v>8</v>
      </c>
      <c r="B321" s="1" t="n">
        <v>2</v>
      </c>
      <c r="C321" s="1" t="n">
        <v>1</v>
      </c>
      <c r="D321" s="1" t="n">
        <v>1.1877</v>
      </c>
      <c r="E321" s="1" t="n">
        <v>0.0340952</v>
      </c>
      <c r="F321" s="1" t="n">
        <v>9.27897E-005</v>
      </c>
      <c r="G321" s="1" t="s">
        <v>27</v>
      </c>
      <c r="H321" s="1" t="n">
        <v>63.3</v>
      </c>
      <c r="I321" s="1" t="n">
        <v>195.9</v>
      </c>
      <c r="J321" s="1" t="n">
        <v>61.8</v>
      </c>
      <c r="K321" s="1"/>
      <c r="L321" s="1" t="n">
        <v>0</v>
      </c>
      <c r="M321" s="1" t="n">
        <v>0</v>
      </c>
      <c r="N321" s="1" t="s">
        <v>255</v>
      </c>
      <c r="Z321" s="0" t="n">
        <f aca="false">I321-3</f>
        <v>192.9</v>
      </c>
      <c r="AB321" s="0" t="n">
        <f aca="false">IF(Z321&lt;0,Z321+360,Z321+0)</f>
        <v>192.9</v>
      </c>
    </row>
    <row r="322" customFormat="false" ht="15.8" hidden="false" customHeight="false" outlineLevel="0" collapsed="false">
      <c r="A322" s="1" t="n">
        <v>8</v>
      </c>
      <c r="B322" s="1" t="n">
        <v>4</v>
      </c>
      <c r="C322" s="1" t="n">
        <v>0.9</v>
      </c>
      <c r="D322" s="1" t="n">
        <v>1.0176</v>
      </c>
      <c r="E322" s="1" t="n">
        <v>0.0310752</v>
      </c>
      <c r="F322" s="1" t="n">
        <v>8.45708E-005</v>
      </c>
      <c r="G322" s="1" t="s">
        <v>27</v>
      </c>
      <c r="H322" s="1" t="n">
        <v>39.6</v>
      </c>
      <c r="I322" s="1" t="n">
        <v>135</v>
      </c>
      <c r="J322" s="1" t="n">
        <v>0</v>
      </c>
      <c r="K322" s="1"/>
      <c r="L322" s="1" t="n">
        <v>0</v>
      </c>
      <c r="M322" s="1" t="n">
        <v>0</v>
      </c>
      <c r="N322" s="1" t="s">
        <v>256</v>
      </c>
      <c r="Z322" s="0" t="n">
        <f aca="false">I322-3</f>
        <v>132</v>
      </c>
      <c r="AB322" s="0" t="n">
        <f aca="false">IF(Z322&lt;0,Z322+360,Z322+0)</f>
        <v>132</v>
      </c>
    </row>
    <row r="323" customFormat="false" ht="15.8" hidden="false" customHeight="false" outlineLevel="0" collapsed="false">
      <c r="A323" s="1" t="n">
        <v>8</v>
      </c>
      <c r="B323" s="1" t="n">
        <v>4</v>
      </c>
      <c r="C323" s="1" t="n">
        <v>6.3</v>
      </c>
      <c r="D323" s="1" t="n">
        <v>1.3056</v>
      </c>
      <c r="E323" s="1" t="n">
        <v>0.214672</v>
      </c>
      <c r="F323" s="1" t="n">
        <v>0.000584228</v>
      </c>
      <c r="G323" s="1" t="s">
        <v>27</v>
      </c>
      <c r="H323" s="1" t="n">
        <v>19.4</v>
      </c>
      <c r="I323" s="1" t="n">
        <v>191.9</v>
      </c>
      <c r="J323" s="1" t="n">
        <v>8.9</v>
      </c>
      <c r="K323" s="1"/>
      <c r="L323" s="1" t="n">
        <v>0</v>
      </c>
      <c r="M323" s="1" t="n">
        <v>0</v>
      </c>
      <c r="N323" s="1" t="s">
        <v>256</v>
      </c>
      <c r="Z323" s="0" t="n">
        <f aca="false">I323-3</f>
        <v>188.9</v>
      </c>
      <c r="AB323" s="0" t="n">
        <f aca="false">IF(Z323&lt;0,Z323+360,Z323+0)</f>
        <v>188.9</v>
      </c>
    </row>
    <row r="324" customFormat="false" ht="15.8" hidden="false" customHeight="false" outlineLevel="0" collapsed="false">
      <c r="A324" s="1" t="n">
        <v>8</v>
      </c>
      <c r="B324" s="1" t="n">
        <v>3</v>
      </c>
      <c r="C324" s="1" t="n">
        <v>1</v>
      </c>
      <c r="D324" s="1" t="n">
        <v>1.04</v>
      </c>
      <c r="E324" s="1" t="n">
        <v>0.0330555</v>
      </c>
      <c r="F324" s="1" t="n">
        <v>8.99604E-005</v>
      </c>
      <c r="G324" s="1" t="s">
        <v>37</v>
      </c>
      <c r="H324" s="1" t="n">
        <v>28.4</v>
      </c>
      <c r="I324" s="1" t="n">
        <v>174.6</v>
      </c>
      <c r="J324" s="1" t="n">
        <v>0</v>
      </c>
      <c r="K324" s="1" t="n">
        <v>39.6</v>
      </c>
      <c r="L324" s="1" t="n">
        <v>0</v>
      </c>
      <c r="M324" s="1" t="n">
        <v>0</v>
      </c>
      <c r="N324" s="1" t="s">
        <v>257</v>
      </c>
      <c r="Z324" s="0" t="n">
        <f aca="false">I324-3</f>
        <v>171.6</v>
      </c>
      <c r="AB324" s="0" t="n">
        <f aca="false">IF(Z324&lt;0,Z324+360,Z324+0)</f>
        <v>171.6</v>
      </c>
    </row>
    <row r="325" customFormat="false" ht="15.8" hidden="false" customHeight="false" outlineLevel="0" collapsed="false">
      <c r="A325" s="1" t="n">
        <v>8</v>
      </c>
      <c r="B325" s="1" t="n">
        <v>4</v>
      </c>
      <c r="C325" s="1" t="n">
        <v>2.7</v>
      </c>
      <c r="D325" s="1" t="n">
        <v>1.2996</v>
      </c>
      <c r="E325" s="1" t="n">
        <v>0.0920838</v>
      </c>
      <c r="F325" s="1" t="n">
        <v>0.000250605</v>
      </c>
      <c r="G325" s="1" t="s">
        <v>27</v>
      </c>
      <c r="H325" s="1" t="n">
        <v>68</v>
      </c>
      <c r="I325" s="1" t="n">
        <v>174.6</v>
      </c>
      <c r="J325" s="1" t="n">
        <v>-32.4</v>
      </c>
      <c r="K325" s="1"/>
      <c r="L325" s="1" t="n">
        <v>0</v>
      </c>
      <c r="M325" s="1" t="n">
        <v>0</v>
      </c>
      <c r="N325" s="1" t="s">
        <v>258</v>
      </c>
      <c r="Z325" s="0" t="n">
        <f aca="false">I325-3</f>
        <v>171.6</v>
      </c>
      <c r="AB325" s="0" t="n">
        <f aca="false">IF(Z325&lt;0,Z325+360,Z325+0)</f>
        <v>171.6</v>
      </c>
    </row>
    <row r="326" customFormat="false" ht="15.8" hidden="false" customHeight="false" outlineLevel="0" collapsed="false">
      <c r="A326" s="1" t="n">
        <v>8</v>
      </c>
      <c r="B326" s="1" t="n">
        <v>5</v>
      </c>
      <c r="C326" s="1" t="n">
        <v>1.2</v>
      </c>
      <c r="D326" s="1" t="n">
        <v>1.218</v>
      </c>
      <c r="E326" s="1" t="n">
        <v>0.0426639</v>
      </c>
      <c r="F326" s="1" t="n">
        <v>0.00011611</v>
      </c>
      <c r="G326" s="1" t="s">
        <v>27</v>
      </c>
      <c r="H326" s="1" t="n">
        <v>100.2</v>
      </c>
      <c r="I326" s="1" t="n">
        <v>133.2</v>
      </c>
      <c r="J326" s="1" t="n">
        <v>21.2</v>
      </c>
      <c r="K326" s="1"/>
      <c r="L326" s="1" t="n">
        <v>0</v>
      </c>
      <c r="M326" s="1" t="n">
        <v>0</v>
      </c>
      <c r="N326" s="1" t="s">
        <v>259</v>
      </c>
      <c r="Z326" s="0" t="n">
        <f aca="false">I326-3</f>
        <v>130.2</v>
      </c>
      <c r="AB326" s="0" t="n">
        <f aca="false">IF(Z326&lt;0,Z326+360,Z326+0)</f>
        <v>130.2</v>
      </c>
    </row>
    <row r="327" customFormat="false" ht="15.8" hidden="false" customHeight="false" outlineLevel="0" collapsed="false">
      <c r="A327" s="1" t="n">
        <v>8</v>
      </c>
      <c r="B327" s="1" t="n">
        <v>6</v>
      </c>
      <c r="C327" s="1" t="n">
        <v>1.1</v>
      </c>
      <c r="D327" s="1" t="n">
        <v>1.0261</v>
      </c>
      <c r="E327" s="1" t="n">
        <v>0.0373402</v>
      </c>
      <c r="F327" s="1" t="n">
        <v>0.000101621</v>
      </c>
      <c r="G327" s="1" t="s">
        <v>27</v>
      </c>
      <c r="H327" s="1" t="n">
        <v>88.8</v>
      </c>
      <c r="I327" s="1" t="n">
        <v>187.1</v>
      </c>
      <c r="J327" s="1" t="n">
        <v>0</v>
      </c>
      <c r="K327" s="1"/>
      <c r="L327" s="1" t="n">
        <v>0</v>
      </c>
      <c r="M327" s="1" t="n">
        <v>0</v>
      </c>
      <c r="N327" s="1" t="s">
        <v>260</v>
      </c>
      <c r="Z327" s="0" t="n">
        <f aca="false">I327-3</f>
        <v>184.1</v>
      </c>
      <c r="AB327" s="0" t="n">
        <f aca="false">IF(Z327&lt;0,Z327+360,Z327+0)</f>
        <v>184.1</v>
      </c>
    </row>
    <row r="328" customFormat="false" ht="15.8" hidden="false" customHeight="false" outlineLevel="0" collapsed="false">
      <c r="A328" s="1" t="n">
        <v>8</v>
      </c>
      <c r="B328" s="1" t="n">
        <v>7</v>
      </c>
      <c r="C328" s="1" t="n">
        <v>2</v>
      </c>
      <c r="D328" s="1" t="n">
        <v>1.3291</v>
      </c>
      <c r="E328" s="1" t="n">
        <v>0.0689503</v>
      </c>
      <c r="F328" s="1" t="n">
        <v>0.000187648</v>
      </c>
      <c r="G328" s="1" t="s">
        <v>27</v>
      </c>
      <c r="H328" s="1" t="n">
        <v>45.2</v>
      </c>
      <c r="I328" s="1" t="n">
        <v>2.5</v>
      </c>
      <c r="J328" s="1" t="n">
        <v>-14.1</v>
      </c>
      <c r="K328" s="1"/>
      <c r="L328" s="1" t="n">
        <v>0</v>
      </c>
      <c r="M328" s="1" t="n">
        <v>0</v>
      </c>
      <c r="N328" s="1" t="s">
        <v>261</v>
      </c>
      <c r="Z328" s="0" t="n">
        <f aca="false">I328-3</f>
        <v>-0.5</v>
      </c>
      <c r="AB328" s="0" t="n">
        <f aca="false">IF(Z328&lt;0,Z328+360,Z328+0)</f>
        <v>359.5</v>
      </c>
    </row>
    <row r="329" customFormat="false" ht="15.8" hidden="false" customHeight="false" outlineLevel="0" collapsed="false">
      <c r="A329" s="1" t="n">
        <v>8</v>
      </c>
      <c r="B329" s="1" t="n">
        <v>9</v>
      </c>
      <c r="C329" s="1" t="n">
        <v>0.8</v>
      </c>
      <c r="D329" s="1" t="n">
        <v>1.1424</v>
      </c>
      <c r="E329" s="1" t="n">
        <v>0.0272196</v>
      </c>
      <c r="F329" s="1" t="n">
        <v>7.4078E-005</v>
      </c>
      <c r="G329" s="1" t="s">
        <v>27</v>
      </c>
      <c r="H329" s="1" t="n">
        <v>42.3</v>
      </c>
      <c r="I329" s="1" t="n">
        <v>95.3</v>
      </c>
      <c r="J329" s="1" t="n">
        <v>-32.1</v>
      </c>
      <c r="K329" s="1"/>
      <c r="L329" s="1" t="n">
        <v>0</v>
      </c>
      <c r="M329" s="1" t="n">
        <v>0</v>
      </c>
      <c r="N329" s="1" t="s">
        <v>262</v>
      </c>
      <c r="Z329" s="0" t="n">
        <f aca="false">I329-3</f>
        <v>92.3</v>
      </c>
      <c r="AB329" s="0" t="n">
        <f aca="false">IF(Z329&lt;0,Z329+360,Z329+0)</f>
        <v>92.3</v>
      </c>
    </row>
    <row r="330" customFormat="false" ht="15.8" hidden="false" customHeight="false" outlineLevel="0" collapsed="false">
      <c r="A330" s="1" t="n">
        <v>8</v>
      </c>
      <c r="B330" s="1" t="n">
        <v>9</v>
      </c>
      <c r="C330" s="1" t="n">
        <v>1</v>
      </c>
      <c r="D330" s="1" t="n">
        <v>1.1885</v>
      </c>
      <c r="E330" s="1" t="n">
        <v>0.0328592</v>
      </c>
      <c r="F330" s="1" t="n">
        <v>8.9426E-005</v>
      </c>
      <c r="G330" s="1" t="s">
        <v>27</v>
      </c>
      <c r="H330" s="1" t="n">
        <v>70.8</v>
      </c>
      <c r="I330" s="1" t="n">
        <v>54.9</v>
      </c>
      <c r="J330" s="1" t="n">
        <v>27.2</v>
      </c>
      <c r="K330" s="1"/>
      <c r="L330" s="1" t="n">
        <v>0</v>
      </c>
      <c r="M330" s="1" t="n">
        <v>0</v>
      </c>
      <c r="N330" s="1" t="s">
        <v>262</v>
      </c>
      <c r="Z330" s="0" t="n">
        <f aca="false">I330-3</f>
        <v>51.9</v>
      </c>
      <c r="AB330" s="0" t="n">
        <f aca="false">IF(Z330&lt;0,Z330+360,Z330+0)</f>
        <v>51.9</v>
      </c>
    </row>
    <row r="331" customFormat="false" ht="15.8" hidden="false" customHeight="false" outlineLevel="0" collapsed="false">
      <c r="A331" s="1" t="n">
        <v>8</v>
      </c>
      <c r="B331" s="1" t="n">
        <v>8</v>
      </c>
      <c r="C331" s="1" t="n">
        <v>0.7</v>
      </c>
      <c r="D331" s="1" t="n">
        <v>1.197</v>
      </c>
      <c r="E331" s="1" t="n">
        <v>0.0223243</v>
      </c>
      <c r="F331" s="1" t="n">
        <v>6.07554E-005</v>
      </c>
      <c r="G331" s="1" t="s">
        <v>37</v>
      </c>
      <c r="H331" s="1" t="n">
        <v>36.9</v>
      </c>
      <c r="I331" s="1" t="n">
        <v>42.8</v>
      </c>
      <c r="J331" s="1" t="n">
        <v>-42.7</v>
      </c>
      <c r="K331" s="1" t="n">
        <v>70.8</v>
      </c>
      <c r="L331" s="1" t="n">
        <v>0</v>
      </c>
      <c r="M331" s="1" t="n">
        <v>0</v>
      </c>
      <c r="N331" s="1" t="s">
        <v>263</v>
      </c>
      <c r="Z331" s="0" t="n">
        <f aca="false">I331-3</f>
        <v>39.8</v>
      </c>
      <c r="AB331" s="0" t="n">
        <f aca="false">IF(Z331&lt;0,Z331+360,Z331+0)</f>
        <v>39.8</v>
      </c>
    </row>
    <row r="332" customFormat="false" ht="15.8" hidden="false" customHeight="false" outlineLevel="0" collapsed="false">
      <c r="A332" s="1" t="n">
        <v>8</v>
      </c>
      <c r="B332" s="1" t="n">
        <v>8</v>
      </c>
      <c r="C332" s="1" t="n">
        <v>9.8</v>
      </c>
      <c r="D332" s="1" t="n">
        <v>1.2808</v>
      </c>
      <c r="E332" s="1" t="n">
        <v>0.33364</v>
      </c>
      <c r="F332" s="1" t="n">
        <v>0.000907999</v>
      </c>
      <c r="G332" s="1" t="s">
        <v>27</v>
      </c>
      <c r="H332" s="1" t="n">
        <v>77.8</v>
      </c>
      <c r="I332" s="1" t="n">
        <v>11.3</v>
      </c>
      <c r="J332" s="1" t="n">
        <v>5.6</v>
      </c>
      <c r="K332" s="1"/>
      <c r="L332" s="1" t="n">
        <v>0</v>
      </c>
      <c r="M332" s="1" t="n">
        <v>0</v>
      </c>
      <c r="N332" s="1" t="s">
        <v>263</v>
      </c>
      <c r="Z332" s="0" t="n">
        <f aca="false">I332-3</f>
        <v>8.3</v>
      </c>
      <c r="AB332" s="0" t="n">
        <f aca="false">IF(Z332&lt;0,Z332+360,Z332+0)</f>
        <v>8.3</v>
      </c>
    </row>
    <row r="333" customFormat="false" ht="15.8" hidden="false" customHeight="false" outlineLevel="0" collapsed="false">
      <c r="A333" s="1" t="n">
        <v>8</v>
      </c>
      <c r="B333" s="1" t="n">
        <v>7</v>
      </c>
      <c r="C333" s="1" t="n">
        <v>1.3</v>
      </c>
      <c r="D333" s="1" t="n">
        <v>1.1046</v>
      </c>
      <c r="E333" s="1" t="n">
        <v>0.0442199</v>
      </c>
      <c r="F333" s="1" t="n">
        <v>0.000120344</v>
      </c>
      <c r="G333" s="1" t="s">
        <v>37</v>
      </c>
      <c r="H333" s="1" t="n">
        <v>12.8</v>
      </c>
      <c r="I333" s="1" t="n">
        <v>355</v>
      </c>
      <c r="J333" s="1" t="n">
        <v>-71.5</v>
      </c>
      <c r="K333" s="1" t="n">
        <v>77.8</v>
      </c>
      <c r="L333" s="1" t="n">
        <v>0</v>
      </c>
      <c r="M333" s="1" t="n">
        <v>0</v>
      </c>
      <c r="N333" s="1" t="s">
        <v>261</v>
      </c>
      <c r="Z333" s="0" t="n">
        <f aca="false">I333-3</f>
        <v>352</v>
      </c>
      <c r="AB333" s="0" t="n">
        <f aca="false">IF(Z333&lt;0,Z333+360,Z333+0)</f>
        <v>352</v>
      </c>
    </row>
    <row r="334" customFormat="false" ht="15.8" hidden="false" customHeight="false" outlineLevel="0" collapsed="false">
      <c r="A334" s="1" t="n">
        <v>8</v>
      </c>
      <c r="B334" s="1" t="n">
        <v>6</v>
      </c>
      <c r="C334" s="1" t="n">
        <v>3.9</v>
      </c>
      <c r="D334" s="1" t="n">
        <v>1.1247</v>
      </c>
      <c r="E334" s="1" t="n">
        <v>0.133228</v>
      </c>
      <c r="F334" s="1" t="n">
        <v>0.000362579</v>
      </c>
      <c r="G334" s="1" t="s">
        <v>37</v>
      </c>
      <c r="H334" s="1" t="n">
        <v>34.5</v>
      </c>
      <c r="I334" s="1" t="n">
        <v>353</v>
      </c>
      <c r="J334" s="1" t="n">
        <v>-58.7</v>
      </c>
      <c r="K334" s="1" t="n">
        <v>45.2</v>
      </c>
      <c r="L334" s="1" t="n">
        <v>0</v>
      </c>
      <c r="M334" s="1" t="n">
        <v>0</v>
      </c>
      <c r="N334" s="1" t="s">
        <v>260</v>
      </c>
      <c r="Z334" s="0" t="n">
        <f aca="false">I334-3</f>
        <v>350</v>
      </c>
      <c r="AB334" s="0" t="n">
        <f aca="false">IF(Z334&lt;0,Z334+360,Z334+0)</f>
        <v>350</v>
      </c>
    </row>
    <row r="335" customFormat="false" ht="15.8" hidden="false" customHeight="false" outlineLevel="0" collapsed="false">
      <c r="A335" s="1" t="n">
        <v>8</v>
      </c>
      <c r="B335" s="1" t="n">
        <v>8</v>
      </c>
      <c r="C335" s="1" t="n">
        <v>1.2</v>
      </c>
      <c r="D335" s="1" t="n">
        <v>1.0112</v>
      </c>
      <c r="E335" s="1" t="n">
        <v>0.0407358</v>
      </c>
      <c r="F335" s="1" t="n">
        <v>0.000110862</v>
      </c>
      <c r="G335" s="1" t="s">
        <v>27</v>
      </c>
      <c r="H335" s="1" t="n">
        <v>47.9</v>
      </c>
      <c r="I335" s="1" t="n">
        <v>43.9</v>
      </c>
      <c r="J335" s="1" t="n">
        <v>0</v>
      </c>
      <c r="K335" s="1"/>
      <c r="L335" s="1" t="n">
        <v>0</v>
      </c>
      <c r="M335" s="1" t="n">
        <v>0</v>
      </c>
      <c r="N335" s="1" t="s">
        <v>264</v>
      </c>
      <c r="Z335" s="0" t="n">
        <f aca="false">I335-3</f>
        <v>40.9</v>
      </c>
      <c r="AB335" s="0" t="n">
        <f aca="false">IF(Z335&lt;0,Z335+360,Z335+0)</f>
        <v>40.9</v>
      </c>
    </row>
    <row r="336" customFormat="false" ht="15.8" hidden="false" customHeight="false" outlineLevel="0" collapsed="false">
      <c r="A336" s="1" t="n">
        <v>8</v>
      </c>
      <c r="B336" s="1" t="n">
        <v>8</v>
      </c>
      <c r="C336" s="1" t="n">
        <v>1.3</v>
      </c>
      <c r="D336" s="1" t="n">
        <v>1.1352</v>
      </c>
      <c r="E336" s="1" t="n">
        <v>0.0434192</v>
      </c>
      <c r="F336" s="1" t="n">
        <v>0.000118165</v>
      </c>
      <c r="G336" s="1" t="s">
        <v>27</v>
      </c>
      <c r="H336" s="1" t="n">
        <v>47.4</v>
      </c>
      <c r="I336" s="1" t="n">
        <v>330.4</v>
      </c>
      <c r="J336" s="1" t="n">
        <v>-41.4</v>
      </c>
      <c r="K336" s="1"/>
      <c r="L336" s="1" t="n">
        <v>0</v>
      </c>
      <c r="M336" s="1" t="n">
        <v>0</v>
      </c>
      <c r="N336" s="1" t="s">
        <v>264</v>
      </c>
      <c r="Z336" s="0" t="n">
        <f aca="false">I336-3</f>
        <v>327.4</v>
      </c>
      <c r="AB336" s="0" t="n">
        <f aca="false">IF(Z336&lt;0,Z336+360,Z336+0)</f>
        <v>327.4</v>
      </c>
    </row>
    <row r="337" customFormat="false" ht="15.8" hidden="false" customHeight="false" outlineLevel="0" collapsed="false">
      <c r="A337" s="1" t="n">
        <v>8</v>
      </c>
      <c r="B337" s="1" t="n">
        <v>7</v>
      </c>
      <c r="C337" s="1" t="n">
        <v>0.9</v>
      </c>
      <c r="D337" s="1" t="n">
        <v>1.0017</v>
      </c>
      <c r="E337" s="1" t="n">
        <v>0.0317755</v>
      </c>
      <c r="F337" s="1" t="n">
        <v>8.64768E-005</v>
      </c>
      <c r="G337" s="1" t="s">
        <v>37</v>
      </c>
      <c r="H337" s="1" t="n">
        <v>105.5</v>
      </c>
      <c r="I337" s="1" t="n">
        <v>356</v>
      </c>
      <c r="J337" s="1" t="n">
        <v>0</v>
      </c>
      <c r="K337" s="1" t="n">
        <v>47.9</v>
      </c>
      <c r="L337" s="1" t="n">
        <v>0</v>
      </c>
      <c r="M337" s="1" t="n">
        <v>0</v>
      </c>
      <c r="N337" s="1" t="s">
        <v>265</v>
      </c>
      <c r="Z337" s="0" t="n">
        <f aca="false">I337-3</f>
        <v>353</v>
      </c>
      <c r="AB337" s="0" t="n">
        <f aca="false">IF(Z337&lt;0,Z337+360,Z337+0)</f>
        <v>353</v>
      </c>
    </row>
    <row r="338" customFormat="false" ht="15.8" hidden="false" customHeight="false" outlineLevel="0" collapsed="false">
      <c r="A338" s="1" t="n">
        <v>8</v>
      </c>
      <c r="B338" s="1" t="n">
        <v>8</v>
      </c>
      <c r="C338" s="1" t="n">
        <v>2.4</v>
      </c>
      <c r="D338" s="1" t="n">
        <v>1.2333</v>
      </c>
      <c r="E338" s="1" t="n">
        <v>0.0816814</v>
      </c>
      <c r="F338" s="1" t="n">
        <v>0.000222295</v>
      </c>
      <c r="G338" s="1" t="s">
        <v>27</v>
      </c>
      <c r="H338" s="1" t="n">
        <v>92</v>
      </c>
      <c r="I338" s="1" t="n">
        <v>275.9</v>
      </c>
      <c r="J338" s="1" t="n">
        <v>-35</v>
      </c>
      <c r="K338" s="1"/>
      <c r="L338" s="1" t="n">
        <v>0</v>
      </c>
      <c r="M338" s="1" t="n">
        <v>0</v>
      </c>
      <c r="N338" s="1" t="s">
        <v>266</v>
      </c>
      <c r="Z338" s="0" t="n">
        <f aca="false">I338-3</f>
        <v>272.9</v>
      </c>
      <c r="AB338" s="0" t="n">
        <f aca="false">IF(Z338&lt;0,Z338+360,Z338+0)</f>
        <v>272.9</v>
      </c>
    </row>
    <row r="339" customFormat="false" ht="15.8" hidden="false" customHeight="false" outlineLevel="0" collapsed="false">
      <c r="A339" s="1" t="n">
        <v>8</v>
      </c>
      <c r="B339" s="1" t="n">
        <v>8</v>
      </c>
      <c r="C339" s="1" t="n">
        <v>1</v>
      </c>
      <c r="D339" s="1" t="n">
        <v>1.1351</v>
      </c>
      <c r="E339" s="1" t="n">
        <v>0.0356764</v>
      </c>
      <c r="F339" s="1" t="n">
        <v>9.7093E-005</v>
      </c>
      <c r="G339" s="1" t="s">
        <v>27</v>
      </c>
      <c r="H339" s="1" t="n">
        <v>83.6</v>
      </c>
      <c r="I339" s="1" t="n">
        <v>100.4</v>
      </c>
      <c r="J339" s="1" t="n">
        <v>-23.7</v>
      </c>
      <c r="K339" s="1"/>
      <c r="L339" s="1" t="n">
        <v>0</v>
      </c>
      <c r="M339" s="1" t="n">
        <v>0</v>
      </c>
      <c r="N339" s="1" t="s">
        <v>266</v>
      </c>
      <c r="Z339" s="0" t="n">
        <f aca="false">I339-3</f>
        <v>97.4</v>
      </c>
      <c r="AB339" s="0" t="n">
        <f aca="false">IF(Z339&lt;0,Z339+360,Z339+0)</f>
        <v>97.4</v>
      </c>
    </row>
    <row r="340" customFormat="false" ht="15.8" hidden="false" customHeight="false" outlineLevel="0" collapsed="false">
      <c r="A340" s="1" t="n">
        <v>8</v>
      </c>
      <c r="B340" s="1" t="n">
        <v>9</v>
      </c>
      <c r="C340" s="1" t="n">
        <v>0.5</v>
      </c>
      <c r="D340" s="1" t="n">
        <v>1.0176</v>
      </c>
      <c r="E340" s="1" t="n">
        <v>0.0178704</v>
      </c>
      <c r="F340" s="1" t="n">
        <v>4.86341E-005</v>
      </c>
      <c r="G340" s="1" t="s">
        <v>27</v>
      </c>
      <c r="H340" s="1" t="n">
        <v>48.6</v>
      </c>
      <c r="I340" s="1" t="n">
        <v>302</v>
      </c>
      <c r="J340" s="1" t="n">
        <v>0</v>
      </c>
      <c r="K340" s="1"/>
      <c r="L340" s="1" t="n">
        <v>0</v>
      </c>
      <c r="M340" s="1" t="n">
        <v>0</v>
      </c>
      <c r="N340" s="1" t="s">
        <v>267</v>
      </c>
      <c r="Z340" s="0" t="n">
        <f aca="false">I340-3</f>
        <v>299</v>
      </c>
      <c r="AB340" s="0" t="n">
        <f aca="false">IF(Z340&lt;0,Z340+360,Z340+0)</f>
        <v>299</v>
      </c>
    </row>
    <row r="341" customFormat="false" ht="15.8" hidden="false" customHeight="false" outlineLevel="0" collapsed="false">
      <c r="A341" s="1" t="n">
        <v>8</v>
      </c>
      <c r="B341" s="1" t="n">
        <v>9</v>
      </c>
      <c r="C341" s="1" t="n">
        <v>0.9</v>
      </c>
      <c r="D341" s="1" t="n">
        <v>1.0896</v>
      </c>
      <c r="E341" s="1" t="n">
        <v>0.0314057</v>
      </c>
      <c r="F341" s="1" t="n">
        <v>8.54704E-005</v>
      </c>
      <c r="G341" s="1" t="s">
        <v>27</v>
      </c>
      <c r="H341" s="1" t="n">
        <v>67.2</v>
      </c>
      <c r="I341" s="1" t="n">
        <v>93.1</v>
      </c>
      <c r="J341" s="1" t="n">
        <v>61.4</v>
      </c>
      <c r="K341" s="1"/>
      <c r="L341" s="1" t="n">
        <v>0</v>
      </c>
      <c r="M341" s="1" t="n">
        <v>0</v>
      </c>
      <c r="N341" s="1" t="s">
        <v>267</v>
      </c>
      <c r="Z341" s="0" t="n">
        <f aca="false">I341-3</f>
        <v>90.1</v>
      </c>
      <c r="AB341" s="0" t="n">
        <f aca="false">IF(Z341&lt;0,Z341+360,Z341+0)</f>
        <v>90.1</v>
      </c>
    </row>
    <row r="342" customFormat="false" ht="15.8" hidden="false" customHeight="false" outlineLevel="0" collapsed="false">
      <c r="A342" s="1" t="n">
        <v>8</v>
      </c>
      <c r="B342" s="1" t="n">
        <v>8</v>
      </c>
      <c r="C342" s="1" t="n">
        <v>2.1</v>
      </c>
      <c r="D342" s="1" t="n">
        <v>1.2872</v>
      </c>
      <c r="E342" s="1" t="n">
        <v>0.0732486</v>
      </c>
      <c r="F342" s="1" t="n">
        <v>0.000199345</v>
      </c>
      <c r="G342" s="1" t="s">
        <v>37</v>
      </c>
      <c r="H342" s="1" t="n">
        <v>128.1</v>
      </c>
      <c r="I342" s="1" t="n">
        <v>329.4</v>
      </c>
      <c r="J342" s="1" t="n">
        <v>41.8</v>
      </c>
      <c r="K342" s="1" t="n">
        <v>67.2</v>
      </c>
      <c r="L342" s="1" t="n">
        <v>0</v>
      </c>
      <c r="M342" s="1" t="n">
        <v>0</v>
      </c>
      <c r="N342" s="1" t="s">
        <v>266</v>
      </c>
      <c r="Z342" s="0" t="n">
        <f aca="false">I342-3</f>
        <v>326.4</v>
      </c>
      <c r="AB342" s="0" t="n">
        <f aca="false">IF(Z342&lt;0,Z342+360,Z342+0)</f>
        <v>326.4</v>
      </c>
    </row>
    <row r="343" customFormat="false" ht="15.8" hidden="false" customHeight="false" outlineLevel="0" collapsed="false">
      <c r="A343" s="1" t="n">
        <v>8</v>
      </c>
      <c r="B343" s="1" t="n">
        <v>9</v>
      </c>
      <c r="C343" s="1" t="n">
        <v>1</v>
      </c>
      <c r="D343" s="1" t="n">
        <v>1.0116</v>
      </c>
      <c r="E343" s="1" t="n">
        <v>0.035684</v>
      </c>
      <c r="F343" s="1" t="n">
        <v>9.71136E-005</v>
      </c>
      <c r="G343" s="1" t="s">
        <v>27</v>
      </c>
      <c r="H343" s="1" t="n">
        <v>57.9</v>
      </c>
      <c r="I343" s="1" t="n">
        <v>135</v>
      </c>
      <c r="J343" s="1" t="n">
        <v>0</v>
      </c>
      <c r="K343" s="1"/>
      <c r="L343" s="1" t="n">
        <v>0</v>
      </c>
      <c r="M343" s="1" t="n">
        <v>0</v>
      </c>
      <c r="N343" s="1" t="s">
        <v>268</v>
      </c>
      <c r="Z343" s="0" t="n">
        <f aca="false">I343-3</f>
        <v>132</v>
      </c>
      <c r="AB343" s="0" t="n">
        <f aca="false">IF(Z343&lt;0,Z343+360,Z343+0)</f>
        <v>132</v>
      </c>
    </row>
    <row r="344" customFormat="false" ht="15.8" hidden="false" customHeight="false" outlineLevel="0" collapsed="false">
      <c r="A344" s="1" t="n">
        <v>8</v>
      </c>
      <c r="B344" s="1" t="n">
        <v>11</v>
      </c>
      <c r="C344" s="1" t="n">
        <v>0.8</v>
      </c>
      <c r="D344" s="1" t="n">
        <v>1.0164</v>
      </c>
      <c r="E344" s="1" t="n">
        <v>0.0258235</v>
      </c>
      <c r="F344" s="1" t="n">
        <v>7.02783E-005</v>
      </c>
      <c r="G344" s="1" t="s">
        <v>27</v>
      </c>
      <c r="H344" s="1" t="n">
        <v>18.2</v>
      </c>
      <c r="I344" s="1" t="n">
        <v>214.9</v>
      </c>
      <c r="J344" s="1" t="n">
        <v>0</v>
      </c>
      <c r="K344" s="1"/>
      <c r="L344" s="1" t="n">
        <v>0</v>
      </c>
      <c r="M344" s="1" t="n">
        <v>0</v>
      </c>
      <c r="N344" s="1" t="s">
        <v>269</v>
      </c>
      <c r="Z344" s="0" t="n">
        <f aca="false">I344-3</f>
        <v>211.9</v>
      </c>
      <c r="AB344" s="0" t="n">
        <f aca="false">IF(Z344&lt;0,Z344+360,Z344+0)</f>
        <v>211.9</v>
      </c>
    </row>
    <row r="345" customFormat="false" ht="15.8" hidden="false" customHeight="false" outlineLevel="0" collapsed="false">
      <c r="A345" s="1" t="n">
        <v>8</v>
      </c>
      <c r="B345" s="1" t="n">
        <v>12</v>
      </c>
      <c r="C345" s="1" t="n">
        <v>1</v>
      </c>
      <c r="D345" s="1" t="n">
        <v>1.0168</v>
      </c>
      <c r="E345" s="1" t="n">
        <v>0.0337967</v>
      </c>
      <c r="F345" s="1" t="n">
        <v>9.19775E-005</v>
      </c>
      <c r="G345" s="1" t="s">
        <v>27</v>
      </c>
      <c r="H345" s="1" t="n">
        <v>57.7</v>
      </c>
      <c r="I345" s="1" t="n">
        <v>85.5</v>
      </c>
      <c r="J345" s="1" t="n">
        <v>0</v>
      </c>
      <c r="K345" s="1"/>
      <c r="L345" s="1" t="n">
        <v>0</v>
      </c>
      <c r="M345" s="1" t="n">
        <v>0</v>
      </c>
      <c r="N345" s="1" t="s">
        <v>270</v>
      </c>
      <c r="Z345" s="0" t="n">
        <f aca="false">I345-3</f>
        <v>82.5</v>
      </c>
      <c r="AB345" s="0" t="n">
        <f aca="false">IF(Z345&lt;0,Z345+360,Z345+0)</f>
        <v>82.5</v>
      </c>
    </row>
    <row r="346" customFormat="false" ht="15.8" hidden="false" customHeight="false" outlineLevel="0" collapsed="false">
      <c r="A346" s="1" t="n">
        <v>8</v>
      </c>
      <c r="B346" s="1" t="n">
        <v>13</v>
      </c>
      <c r="C346" s="1" t="n">
        <v>0.9</v>
      </c>
      <c r="D346" s="1" t="n">
        <v>1.1095</v>
      </c>
      <c r="E346" s="1" t="n">
        <v>0.0309011</v>
      </c>
      <c r="F346" s="1" t="n">
        <v>8.40972E-005</v>
      </c>
      <c r="G346" s="1" t="s">
        <v>27</v>
      </c>
      <c r="H346" s="1" t="n">
        <v>59.4</v>
      </c>
      <c r="I346" s="1" t="n">
        <v>140.2</v>
      </c>
      <c r="J346" s="1" t="n">
        <v>65.3</v>
      </c>
      <c r="K346" s="1"/>
      <c r="L346" s="1" t="n">
        <v>0</v>
      </c>
      <c r="M346" s="1" t="n">
        <v>0</v>
      </c>
      <c r="N346" s="1" t="s">
        <v>271</v>
      </c>
      <c r="Z346" s="0" t="n">
        <f aca="false">I346-3</f>
        <v>137.2</v>
      </c>
      <c r="AB346" s="0" t="n">
        <f aca="false">IF(Z346&lt;0,Z346+360,Z346+0)</f>
        <v>137.2</v>
      </c>
    </row>
    <row r="347" customFormat="false" ht="15.8" hidden="false" customHeight="false" outlineLevel="0" collapsed="false">
      <c r="A347" s="1" t="n">
        <v>8</v>
      </c>
      <c r="B347" s="1" t="n">
        <v>14</v>
      </c>
      <c r="C347" s="1" t="n">
        <v>0.8</v>
      </c>
      <c r="D347" s="1" t="n">
        <v>1.2442</v>
      </c>
      <c r="E347" s="1" t="n">
        <v>0.02693</v>
      </c>
      <c r="F347" s="1" t="n">
        <v>7.32898E-005</v>
      </c>
      <c r="G347" s="1" t="s">
        <v>27</v>
      </c>
      <c r="H347" s="1" t="n">
        <v>40.8</v>
      </c>
      <c r="I347" s="1" t="n">
        <v>158.9</v>
      </c>
      <c r="J347" s="1" t="n">
        <v>35.8</v>
      </c>
      <c r="K347" s="1"/>
      <c r="L347" s="1" t="n">
        <v>0</v>
      </c>
      <c r="M347" s="1" t="n">
        <v>0</v>
      </c>
      <c r="N347" s="1" t="s">
        <v>272</v>
      </c>
      <c r="Z347" s="0" t="n">
        <f aca="false">I347-3</f>
        <v>155.9</v>
      </c>
      <c r="AB347" s="0" t="n">
        <f aca="false">IF(Z347&lt;0,Z347+360,Z347+0)</f>
        <v>155.9</v>
      </c>
    </row>
    <row r="348" customFormat="false" ht="15.8" hidden="false" customHeight="false" outlineLevel="0" collapsed="false">
      <c r="A348" s="1" t="n">
        <v>8</v>
      </c>
      <c r="B348" s="1" t="n">
        <v>14</v>
      </c>
      <c r="C348" s="1" t="n">
        <v>2.1</v>
      </c>
      <c r="D348" s="1" t="n">
        <v>1.983</v>
      </c>
      <c r="E348" s="1" t="n">
        <v>0.0716878</v>
      </c>
      <c r="F348" s="1" t="n">
        <v>0.000195098</v>
      </c>
      <c r="G348" s="1" t="s">
        <v>27</v>
      </c>
      <c r="H348" s="1" t="n">
        <v>155</v>
      </c>
      <c r="I348" s="1" t="n">
        <v>345.4</v>
      </c>
      <c r="J348" s="1" t="n">
        <v>-20.5</v>
      </c>
      <c r="K348" s="1"/>
      <c r="L348" s="1" t="n">
        <v>0</v>
      </c>
      <c r="M348" s="1" t="n">
        <v>0</v>
      </c>
      <c r="N348" s="1" t="s">
        <v>272</v>
      </c>
      <c r="Z348" s="0" t="n">
        <f aca="false">I348-3</f>
        <v>342.4</v>
      </c>
      <c r="AB348" s="0" t="n">
        <f aca="false">IF(Z348&lt;0,Z348+360,Z348+0)</f>
        <v>342.4</v>
      </c>
    </row>
    <row r="349" customFormat="false" ht="15.8" hidden="false" customHeight="false" outlineLevel="0" collapsed="false">
      <c r="A349" s="1" t="n">
        <v>8</v>
      </c>
      <c r="B349" s="1" t="n">
        <v>13</v>
      </c>
      <c r="C349" s="1" t="n">
        <v>0.5</v>
      </c>
      <c r="D349" s="1" t="n">
        <v>1</v>
      </c>
      <c r="E349" s="1" t="n">
        <v>0.0174984</v>
      </c>
      <c r="F349" s="1" t="n">
        <v>4.76217E-005</v>
      </c>
      <c r="G349" s="1" t="s">
        <v>37</v>
      </c>
      <c r="H349" s="1" t="n">
        <v>11.9</v>
      </c>
      <c r="I349" s="1" t="n">
        <v>180</v>
      </c>
      <c r="J349" s="1" t="n">
        <v>0</v>
      </c>
      <c r="K349" s="1" t="n">
        <v>155</v>
      </c>
      <c r="L349" s="1" t="n">
        <v>0</v>
      </c>
      <c r="M349" s="1" t="n">
        <v>0</v>
      </c>
      <c r="N349" s="1" t="s">
        <v>271</v>
      </c>
      <c r="Z349" s="0" t="n">
        <f aca="false">I349-3</f>
        <v>177</v>
      </c>
      <c r="AB349" s="0" t="n">
        <f aca="false">IF(Z349&lt;0,Z349+360,Z349+0)</f>
        <v>177</v>
      </c>
    </row>
    <row r="350" customFormat="false" ht="15.8" hidden="false" customHeight="false" outlineLevel="0" collapsed="false">
      <c r="A350" s="1" t="n">
        <v>8</v>
      </c>
      <c r="B350" s="1" t="n">
        <v>12</v>
      </c>
      <c r="C350" s="1" t="n">
        <v>2.5</v>
      </c>
      <c r="D350" s="1" t="n">
        <v>1.3244</v>
      </c>
      <c r="E350" s="1" t="n">
        <v>0.0856501</v>
      </c>
      <c r="F350" s="1" t="n">
        <v>0.000233096</v>
      </c>
      <c r="G350" s="1" t="s">
        <v>37</v>
      </c>
      <c r="H350" s="1" t="n">
        <v>47.1</v>
      </c>
      <c r="I350" s="1" t="n">
        <v>176.3</v>
      </c>
      <c r="J350" s="1" t="n">
        <v>11.3</v>
      </c>
      <c r="K350" s="1" t="n">
        <v>59.4</v>
      </c>
      <c r="L350" s="1" t="n">
        <v>0</v>
      </c>
      <c r="M350" s="1" t="n">
        <v>0</v>
      </c>
      <c r="N350" s="1" t="s">
        <v>270</v>
      </c>
      <c r="Z350" s="0" t="n">
        <f aca="false">I350-3</f>
        <v>173.3</v>
      </c>
      <c r="AB350" s="0" t="n">
        <f aca="false">IF(Z350&lt;0,Z350+360,Z350+0)</f>
        <v>173.3</v>
      </c>
    </row>
    <row r="351" customFormat="false" ht="15.8" hidden="false" customHeight="false" outlineLevel="0" collapsed="false">
      <c r="A351" s="1" t="n">
        <v>8</v>
      </c>
      <c r="B351" s="1" t="n">
        <v>11</v>
      </c>
      <c r="C351" s="1" t="n">
        <v>1.3</v>
      </c>
      <c r="D351" s="1" t="n">
        <v>1.1876</v>
      </c>
      <c r="E351" s="1" t="n">
        <v>0.0432306</v>
      </c>
      <c r="F351" s="1" t="n">
        <v>0.000117652</v>
      </c>
      <c r="G351" s="1" t="s">
        <v>37</v>
      </c>
      <c r="H351" s="1" t="n">
        <v>58.3</v>
      </c>
      <c r="I351" s="1" t="n">
        <v>140.8</v>
      </c>
      <c r="J351" s="1" t="n">
        <v>-20.3</v>
      </c>
      <c r="K351" s="1" t="n">
        <v>57.7</v>
      </c>
      <c r="L351" s="1" t="n">
        <v>0</v>
      </c>
      <c r="M351" s="1" t="n">
        <v>0</v>
      </c>
      <c r="N351" s="1" t="s">
        <v>269</v>
      </c>
      <c r="Z351" s="0" t="n">
        <f aca="false">I351-3</f>
        <v>137.8</v>
      </c>
      <c r="AB351" s="0" t="n">
        <f aca="false">IF(Z351&lt;0,Z351+360,Z351+0)</f>
        <v>137.8</v>
      </c>
    </row>
    <row r="352" customFormat="false" ht="15.8" hidden="false" customHeight="false" outlineLevel="0" collapsed="false">
      <c r="A352" s="1" t="n">
        <v>8</v>
      </c>
      <c r="B352" s="1" t="n">
        <v>10</v>
      </c>
      <c r="C352" s="1" t="n">
        <v>0.7</v>
      </c>
      <c r="D352" s="1" t="n">
        <v>1.0164</v>
      </c>
      <c r="E352" s="1" t="n">
        <v>0.0237038</v>
      </c>
      <c r="F352" s="1" t="n">
        <v>6.45097E-005</v>
      </c>
      <c r="G352" s="1" t="s">
        <v>37</v>
      </c>
      <c r="H352" s="1" t="n">
        <v>12.2</v>
      </c>
      <c r="I352" s="1" t="n">
        <v>196.7</v>
      </c>
      <c r="J352" s="1" t="n">
        <v>0</v>
      </c>
      <c r="K352" s="1" t="n">
        <v>58.3</v>
      </c>
      <c r="L352" s="1" t="n">
        <v>0</v>
      </c>
      <c r="M352" s="1" t="n">
        <v>0</v>
      </c>
      <c r="N352" s="1" t="s">
        <v>273</v>
      </c>
      <c r="Z352" s="0" t="n">
        <f aca="false">I352-3</f>
        <v>193.7</v>
      </c>
      <c r="AB352" s="0" t="n">
        <f aca="false">IF(Z352&lt;0,Z352+360,Z352+0)</f>
        <v>193.7</v>
      </c>
    </row>
    <row r="353" customFormat="false" ht="15.8" hidden="false" customHeight="false" outlineLevel="0" collapsed="false">
      <c r="A353" s="1" t="n">
        <v>8</v>
      </c>
      <c r="B353" s="1" t="n">
        <v>12</v>
      </c>
      <c r="C353" s="1" t="n">
        <v>0.8</v>
      </c>
      <c r="D353" s="1" t="n">
        <v>1.0076</v>
      </c>
      <c r="E353" s="1" t="n">
        <v>0.0278387</v>
      </c>
      <c r="F353" s="1" t="n">
        <v>7.57628E-005</v>
      </c>
      <c r="G353" s="1" t="s">
        <v>27</v>
      </c>
      <c r="H353" s="1" t="n">
        <v>106.5</v>
      </c>
      <c r="I353" s="1" t="n">
        <v>104</v>
      </c>
      <c r="J353" s="1" t="n">
        <v>0</v>
      </c>
      <c r="K353" s="1"/>
      <c r="L353" s="1" t="n">
        <v>0</v>
      </c>
      <c r="M353" s="1" t="n">
        <v>0</v>
      </c>
      <c r="N353" s="1" t="s">
        <v>274</v>
      </c>
      <c r="Z353" s="0" t="n">
        <f aca="false">I353-3</f>
        <v>101</v>
      </c>
      <c r="AB353" s="0" t="n">
        <f aca="false">IF(Z353&lt;0,Z353+360,Z353+0)</f>
        <v>101</v>
      </c>
    </row>
    <row r="354" customFormat="false" ht="15.8" hidden="false" customHeight="false" outlineLevel="0" collapsed="false">
      <c r="A354" s="1" t="n">
        <v>8</v>
      </c>
      <c r="B354" s="1" t="n">
        <v>14</v>
      </c>
      <c r="C354" s="1" t="n">
        <v>1</v>
      </c>
      <c r="D354" s="1" t="n">
        <v>1.1016</v>
      </c>
      <c r="E354" s="1" t="n">
        <v>0.033957</v>
      </c>
      <c r="F354" s="1" t="n">
        <v>9.24136E-005</v>
      </c>
      <c r="G354" s="1" t="s">
        <v>27</v>
      </c>
      <c r="H354" s="1" t="n">
        <v>86.1</v>
      </c>
      <c r="I354" s="1" t="n">
        <v>276.1</v>
      </c>
      <c r="J354" s="1" t="n">
        <v>55.2</v>
      </c>
      <c r="K354" s="1"/>
      <c r="L354" s="1" t="n">
        <v>0</v>
      </c>
      <c r="M354" s="1" t="n">
        <v>0</v>
      </c>
      <c r="N354" s="1" t="s">
        <v>275</v>
      </c>
      <c r="Z354" s="0" t="n">
        <f aca="false">I354-3</f>
        <v>273.1</v>
      </c>
      <c r="AB354" s="0" t="n">
        <f aca="false">IF(Z354&lt;0,Z354+360,Z354+0)</f>
        <v>273.1</v>
      </c>
    </row>
    <row r="355" customFormat="false" ht="15.8" hidden="false" customHeight="false" outlineLevel="0" collapsed="false">
      <c r="A355" s="1" t="n">
        <v>8</v>
      </c>
      <c r="B355" s="1" t="n">
        <v>15</v>
      </c>
      <c r="C355" s="1" t="n">
        <v>1.7</v>
      </c>
      <c r="D355" s="1" t="n">
        <v>1.2181</v>
      </c>
      <c r="E355" s="1" t="n">
        <v>0.0584024</v>
      </c>
      <c r="F355" s="1" t="n">
        <v>0.000158942</v>
      </c>
      <c r="G355" s="1" t="s">
        <v>27</v>
      </c>
      <c r="H355" s="1" t="n">
        <v>61.9</v>
      </c>
      <c r="I355" s="1" t="n">
        <v>112.6</v>
      </c>
      <c r="J355" s="1" t="n">
        <v>-31.9</v>
      </c>
      <c r="K355" s="1"/>
      <c r="L355" s="1" t="n">
        <v>0</v>
      </c>
      <c r="M355" s="1" t="n">
        <v>0</v>
      </c>
      <c r="N355" s="1" t="s">
        <v>276</v>
      </c>
      <c r="Z355" s="0" t="n">
        <f aca="false">I355-3</f>
        <v>109.6</v>
      </c>
      <c r="AB355" s="0" t="n">
        <f aca="false">IF(Z355&lt;0,Z355+360,Z355+0)</f>
        <v>109.6</v>
      </c>
    </row>
    <row r="356" customFormat="false" ht="15.8" hidden="false" customHeight="false" outlineLevel="0" collapsed="false">
      <c r="A356" s="1" t="n">
        <v>8</v>
      </c>
      <c r="B356" s="1" t="n">
        <v>16</v>
      </c>
      <c r="C356" s="1" t="n">
        <v>1</v>
      </c>
      <c r="D356" s="1" t="n">
        <v>1.1623</v>
      </c>
      <c r="E356" s="1" t="n">
        <v>0.033103</v>
      </c>
      <c r="F356" s="1" t="n">
        <v>9.00896E-005</v>
      </c>
      <c r="G356" s="1" t="s">
        <v>27</v>
      </c>
      <c r="H356" s="1" t="n">
        <v>82.8</v>
      </c>
      <c r="I356" s="1" t="n">
        <v>336.8</v>
      </c>
      <c r="J356" s="1" t="n">
        <v>26.4</v>
      </c>
      <c r="K356" s="1"/>
      <c r="L356" s="1" t="n">
        <v>0</v>
      </c>
      <c r="M356" s="1" t="n">
        <v>0</v>
      </c>
      <c r="N356" s="1" t="s">
        <v>277</v>
      </c>
      <c r="Z356" s="0" t="n">
        <f aca="false">I356-3</f>
        <v>333.8</v>
      </c>
      <c r="AB356" s="0" t="n">
        <f aca="false">IF(Z356&lt;0,Z356+360,Z356+0)</f>
        <v>333.8</v>
      </c>
    </row>
    <row r="357" customFormat="false" ht="15.8" hidden="false" customHeight="false" outlineLevel="0" collapsed="false">
      <c r="A357" s="1" t="n">
        <v>8</v>
      </c>
      <c r="B357" s="1" t="n">
        <v>17</v>
      </c>
      <c r="C357" s="1" t="n">
        <v>1</v>
      </c>
      <c r="D357" s="1" t="n">
        <v>1.1703</v>
      </c>
      <c r="E357" s="1" t="n">
        <v>0.0331402</v>
      </c>
      <c r="F357" s="1" t="n">
        <v>9.01908E-005</v>
      </c>
      <c r="G357" s="1" t="s">
        <v>27</v>
      </c>
      <c r="H357" s="1" t="n">
        <v>55.7</v>
      </c>
      <c r="I357" s="1" t="n">
        <v>241.7</v>
      </c>
      <c r="J357" s="1" t="n">
        <v>0</v>
      </c>
      <c r="K357" s="1"/>
      <c r="L357" s="1" t="n">
        <v>0</v>
      </c>
      <c r="M357" s="1" t="n">
        <v>0</v>
      </c>
      <c r="N357" s="1" t="s">
        <v>278</v>
      </c>
      <c r="Z357" s="0" t="n">
        <f aca="false">I357-3</f>
        <v>238.7</v>
      </c>
      <c r="AB357" s="0" t="n">
        <f aca="false">IF(Z357&lt;0,Z357+360,Z357+0)</f>
        <v>238.7</v>
      </c>
    </row>
    <row r="358" customFormat="false" ht="15.8" hidden="false" customHeight="false" outlineLevel="0" collapsed="false">
      <c r="A358" s="1" t="n">
        <v>8</v>
      </c>
      <c r="B358" s="1" t="n">
        <v>17</v>
      </c>
      <c r="C358" s="1" t="n">
        <v>3.4</v>
      </c>
      <c r="D358" s="1" t="n">
        <v>1.8426</v>
      </c>
      <c r="E358" s="1" t="n">
        <v>0.11743</v>
      </c>
      <c r="F358" s="1" t="n">
        <v>0.000319585</v>
      </c>
      <c r="G358" s="1" t="s">
        <v>27</v>
      </c>
      <c r="H358" s="1" t="n">
        <v>60</v>
      </c>
      <c r="I358" s="1" t="n">
        <v>129.1</v>
      </c>
      <c r="J358" s="1" t="n">
        <v>23.4</v>
      </c>
      <c r="K358" s="1"/>
      <c r="L358" s="1" t="n">
        <v>0</v>
      </c>
      <c r="M358" s="1" t="n">
        <v>0</v>
      </c>
      <c r="N358" s="1" t="s">
        <v>278</v>
      </c>
      <c r="Z358" s="0" t="n">
        <f aca="false">I358-3</f>
        <v>126.1</v>
      </c>
      <c r="AB358" s="0" t="n">
        <f aca="false">IF(Z358&lt;0,Z358+360,Z358+0)</f>
        <v>126.1</v>
      </c>
    </row>
    <row r="359" customFormat="false" ht="15.8" hidden="false" customHeight="false" outlineLevel="0" collapsed="false">
      <c r="A359" s="1" t="n">
        <v>8</v>
      </c>
      <c r="B359" s="1" t="n">
        <v>16</v>
      </c>
      <c r="C359" s="1" t="n">
        <v>1.9</v>
      </c>
      <c r="D359" s="1" t="n">
        <v>1.1281</v>
      </c>
      <c r="E359" s="1" t="n">
        <v>0.0637707</v>
      </c>
      <c r="F359" s="1" t="n">
        <v>0.000173552</v>
      </c>
      <c r="G359" s="1" t="s">
        <v>37</v>
      </c>
      <c r="H359" s="1" t="n">
        <v>58.9</v>
      </c>
      <c r="I359" s="1" t="n">
        <v>186</v>
      </c>
      <c r="J359" s="1" t="n">
        <v>0</v>
      </c>
      <c r="K359" s="1" t="n">
        <v>60</v>
      </c>
      <c r="L359" s="1" t="n">
        <v>0</v>
      </c>
      <c r="M359" s="1" t="n">
        <v>0</v>
      </c>
      <c r="N359" s="1" t="s">
        <v>277</v>
      </c>
      <c r="Z359" s="0" t="n">
        <f aca="false">I359-3</f>
        <v>183</v>
      </c>
      <c r="AB359" s="0" t="n">
        <f aca="false">IF(Z359&lt;0,Z359+360,Z359+0)</f>
        <v>183</v>
      </c>
    </row>
    <row r="360" customFormat="false" ht="15.8" hidden="false" customHeight="false" outlineLevel="0" collapsed="false">
      <c r="A360" s="1" t="n">
        <v>8</v>
      </c>
      <c r="B360" s="1" t="n">
        <v>15</v>
      </c>
      <c r="C360" s="1" t="n">
        <v>1.7</v>
      </c>
      <c r="D360" s="1" t="n">
        <v>1.201</v>
      </c>
      <c r="E360" s="1" t="n">
        <v>0.0586435</v>
      </c>
      <c r="F360" s="1" t="n">
        <v>0.000159598</v>
      </c>
      <c r="G360" s="1" t="s">
        <v>37</v>
      </c>
      <c r="H360" s="1" t="n">
        <v>78.4</v>
      </c>
      <c r="I360" s="1" t="n">
        <v>238.9</v>
      </c>
      <c r="J360" s="1" t="n">
        <v>31.2</v>
      </c>
      <c r="K360" s="1" t="n">
        <v>82.8</v>
      </c>
      <c r="L360" s="1" t="n">
        <v>0</v>
      </c>
      <c r="M360" s="1" t="n">
        <v>0</v>
      </c>
      <c r="N360" s="1" t="s">
        <v>276</v>
      </c>
      <c r="Z360" s="0" t="n">
        <f aca="false">I360-3</f>
        <v>235.9</v>
      </c>
      <c r="AB360" s="0" t="n">
        <f aca="false">IF(Z360&lt;0,Z360+360,Z360+0)</f>
        <v>235.9</v>
      </c>
    </row>
    <row r="361" customFormat="false" ht="15.8" hidden="false" customHeight="false" outlineLevel="0" collapsed="false">
      <c r="A361" s="1" t="n">
        <v>8</v>
      </c>
      <c r="B361" s="1" t="n">
        <v>14</v>
      </c>
      <c r="C361" s="1" t="n">
        <v>1.9</v>
      </c>
      <c r="D361" s="1" t="n">
        <v>1.2118</v>
      </c>
      <c r="E361" s="1" t="n">
        <v>0.0644189</v>
      </c>
      <c r="F361" s="1" t="n">
        <v>0.000175316</v>
      </c>
      <c r="G361" s="1" t="s">
        <v>37</v>
      </c>
      <c r="H361" s="1" t="n">
        <v>36.8</v>
      </c>
      <c r="I361" s="1" t="n">
        <v>185.5</v>
      </c>
      <c r="J361" s="1" t="n">
        <v>-28.4</v>
      </c>
      <c r="K361" s="1" t="n">
        <v>78.4</v>
      </c>
      <c r="L361" s="1" t="n">
        <v>0</v>
      </c>
      <c r="M361" s="1" t="n">
        <v>0</v>
      </c>
      <c r="N361" s="1" t="s">
        <v>275</v>
      </c>
      <c r="Z361" s="0" t="n">
        <f aca="false">I361-3</f>
        <v>182.5</v>
      </c>
      <c r="AB361" s="0" t="n">
        <f aca="false">IF(Z361&lt;0,Z361+360,Z361+0)</f>
        <v>182.5</v>
      </c>
    </row>
    <row r="362" customFormat="false" ht="15.8" hidden="false" customHeight="false" outlineLevel="0" collapsed="false">
      <c r="A362" s="1" t="n">
        <v>8</v>
      </c>
      <c r="B362" s="1" t="n">
        <v>13</v>
      </c>
      <c r="C362" s="1" t="n">
        <v>2.9</v>
      </c>
      <c r="D362" s="1" t="n">
        <v>1.0965</v>
      </c>
      <c r="E362" s="1" t="n">
        <v>0.0985731</v>
      </c>
      <c r="F362" s="1" t="n">
        <v>0.000268266</v>
      </c>
      <c r="G362" s="1" t="s">
        <v>37</v>
      </c>
      <c r="H362" s="1" t="n">
        <v>29.1</v>
      </c>
      <c r="I362" s="1" t="n">
        <v>181.2</v>
      </c>
      <c r="J362" s="1" t="n">
        <v>8.1</v>
      </c>
      <c r="K362" s="1" t="n">
        <v>86.1</v>
      </c>
      <c r="L362" s="1" t="n">
        <v>0</v>
      </c>
      <c r="M362" s="1" t="n">
        <v>0</v>
      </c>
      <c r="N362" s="1" t="s">
        <v>279</v>
      </c>
      <c r="Z362" s="0" t="n">
        <f aca="false">I362-3</f>
        <v>178.2</v>
      </c>
      <c r="AB362" s="0" t="n">
        <f aca="false">IF(Z362&lt;0,Z362+360,Z362+0)</f>
        <v>178.2</v>
      </c>
    </row>
    <row r="363" customFormat="false" ht="15.8" hidden="false" customHeight="false" outlineLevel="0" collapsed="false">
      <c r="A363" s="1" t="n">
        <v>8</v>
      </c>
      <c r="B363" s="1" t="n">
        <v>14</v>
      </c>
      <c r="C363" s="1" t="n">
        <v>1.2</v>
      </c>
      <c r="D363" s="1" t="n">
        <v>1.2453</v>
      </c>
      <c r="E363" s="1" t="n">
        <v>0.0416754</v>
      </c>
      <c r="F363" s="1" t="n">
        <v>0.000113419</v>
      </c>
      <c r="G363" s="1" t="s">
        <v>27</v>
      </c>
      <c r="H363" s="1" t="n">
        <v>46.9</v>
      </c>
      <c r="I363" s="1" t="n">
        <v>215.3</v>
      </c>
      <c r="J363" s="1" t="n">
        <v>49.1</v>
      </c>
      <c r="K363" s="1"/>
      <c r="L363" s="1" t="n">
        <v>0</v>
      </c>
      <c r="M363" s="1" t="n">
        <v>0</v>
      </c>
      <c r="N363" s="1" t="s">
        <v>280</v>
      </c>
      <c r="Z363" s="0" t="n">
        <f aca="false">I363-3</f>
        <v>212.3</v>
      </c>
      <c r="AB363" s="0" t="n">
        <f aca="false">IF(Z363&lt;0,Z363+360,Z363+0)</f>
        <v>212.3</v>
      </c>
    </row>
    <row r="364" customFormat="false" ht="15.8" hidden="false" customHeight="false" outlineLevel="0" collapsed="false">
      <c r="A364" s="1" t="n">
        <v>8</v>
      </c>
      <c r="B364" s="1" t="n">
        <v>15</v>
      </c>
      <c r="C364" s="1" t="n">
        <v>6.6</v>
      </c>
      <c r="D364" s="1" t="n">
        <v>1.267</v>
      </c>
      <c r="E364" s="1" t="n">
        <v>0.22435</v>
      </c>
      <c r="F364" s="1" t="n">
        <v>0.000610566</v>
      </c>
      <c r="G364" s="1" t="s">
        <v>27</v>
      </c>
      <c r="H364" s="1" t="n">
        <v>28.2</v>
      </c>
      <c r="I364" s="1" t="n">
        <v>295.6</v>
      </c>
      <c r="J364" s="1" t="n">
        <v>16.6</v>
      </c>
      <c r="K364" s="1"/>
      <c r="L364" s="1" t="n">
        <v>0</v>
      </c>
      <c r="M364" s="1" t="n">
        <v>0</v>
      </c>
      <c r="N364" s="1" t="s">
        <v>281</v>
      </c>
      <c r="Z364" s="0" t="n">
        <f aca="false">I364-3</f>
        <v>292.6</v>
      </c>
      <c r="AB364" s="0" t="n">
        <f aca="false">IF(Z364&lt;0,Z364+360,Z364+0)</f>
        <v>292.6</v>
      </c>
    </row>
    <row r="365" customFormat="false" ht="15.8" hidden="false" customHeight="false" outlineLevel="0" collapsed="false">
      <c r="A365" s="1" t="n">
        <v>8</v>
      </c>
      <c r="B365" s="1" t="n">
        <v>16</v>
      </c>
      <c r="C365" s="1" t="n">
        <v>1.2</v>
      </c>
      <c r="D365" s="1" t="n">
        <v>1.026</v>
      </c>
      <c r="E365" s="1" t="n">
        <v>0.0419316</v>
      </c>
      <c r="F365" s="1" t="n">
        <v>0.000114117</v>
      </c>
      <c r="G365" s="1" t="s">
        <v>27</v>
      </c>
      <c r="H365" s="1" t="n">
        <v>61.9</v>
      </c>
      <c r="I365" s="1" t="n">
        <v>149.9</v>
      </c>
      <c r="J365" s="1" t="n">
        <v>0</v>
      </c>
      <c r="K365" s="1"/>
      <c r="L365" s="1" t="n">
        <v>0</v>
      </c>
      <c r="M365" s="1" t="n">
        <v>0</v>
      </c>
      <c r="N365" s="1" t="s">
        <v>282</v>
      </c>
      <c r="Z365" s="0" t="n">
        <f aca="false">I365-3</f>
        <v>146.9</v>
      </c>
      <c r="AB365" s="0" t="n">
        <f aca="false">IF(Z365&lt;0,Z365+360,Z365+0)</f>
        <v>146.9</v>
      </c>
    </row>
    <row r="366" customFormat="false" ht="15.8" hidden="false" customHeight="false" outlineLevel="0" collapsed="false">
      <c r="A366" s="1" t="n">
        <v>8</v>
      </c>
      <c r="B366" s="1" t="n">
        <v>16</v>
      </c>
      <c r="C366" s="1" t="n">
        <v>3.3</v>
      </c>
      <c r="D366" s="1" t="n">
        <v>1.3441</v>
      </c>
      <c r="E366" s="1" t="n">
        <v>0.113412</v>
      </c>
      <c r="F366" s="1" t="n">
        <v>0.000308651</v>
      </c>
      <c r="G366" s="1" t="s">
        <v>27</v>
      </c>
      <c r="H366" s="1" t="n">
        <v>6.7</v>
      </c>
      <c r="I366" s="1" t="n">
        <v>205.7</v>
      </c>
      <c r="J366" s="1" t="n">
        <v>-8.6</v>
      </c>
      <c r="K366" s="1"/>
      <c r="L366" s="1" t="n">
        <v>0</v>
      </c>
      <c r="M366" s="1" t="n">
        <v>0</v>
      </c>
      <c r="N366" s="1" t="s">
        <v>282</v>
      </c>
      <c r="Z366" s="0" t="n">
        <f aca="false">I366-3</f>
        <v>202.7</v>
      </c>
      <c r="AB366" s="0" t="n">
        <f aca="false">IF(Z366&lt;0,Z366+360,Z366+0)</f>
        <v>202.7</v>
      </c>
    </row>
    <row r="367" customFormat="false" ht="15.8" hidden="false" customHeight="false" outlineLevel="0" collapsed="false">
      <c r="A367" s="1" t="n">
        <v>8</v>
      </c>
      <c r="B367" s="1" t="n">
        <v>15</v>
      </c>
      <c r="C367" s="1" t="n">
        <v>1.9</v>
      </c>
      <c r="D367" s="1" t="n">
        <v>1.1382</v>
      </c>
      <c r="E367" s="1" t="n">
        <v>0.0649166</v>
      </c>
      <c r="F367" s="1" t="n">
        <v>0.00017667</v>
      </c>
      <c r="G367" s="1" t="s">
        <v>37</v>
      </c>
      <c r="H367" s="1" t="n">
        <v>85.1</v>
      </c>
      <c r="I367" s="1" t="n">
        <v>211</v>
      </c>
      <c r="J367" s="1" t="n">
        <v>-12.8</v>
      </c>
      <c r="K367" s="1" t="n">
        <v>61.9</v>
      </c>
      <c r="L367" s="1" t="n">
        <v>0</v>
      </c>
      <c r="M367" s="1" t="n">
        <v>0</v>
      </c>
      <c r="N367" s="1" t="s">
        <v>281</v>
      </c>
      <c r="Z367" s="0" t="n">
        <f aca="false">I367-3</f>
        <v>208</v>
      </c>
      <c r="AB367" s="0" t="n">
        <f aca="false">IF(Z367&lt;0,Z367+360,Z367+0)</f>
        <v>208</v>
      </c>
    </row>
    <row r="368" customFormat="false" ht="15.8" hidden="false" customHeight="false" outlineLevel="0" collapsed="false">
      <c r="A368" s="1" t="n">
        <v>8</v>
      </c>
      <c r="B368" s="1" t="n">
        <v>16</v>
      </c>
      <c r="C368" s="1" t="n">
        <v>4.3</v>
      </c>
      <c r="D368" s="1" t="n">
        <v>1.1545</v>
      </c>
      <c r="E368" s="1" t="n">
        <v>0.146522</v>
      </c>
      <c r="F368" s="1" t="n">
        <v>0.000398759</v>
      </c>
      <c r="G368" s="1" t="s">
        <v>27</v>
      </c>
      <c r="H368" s="1" t="n">
        <v>120.8</v>
      </c>
      <c r="I368" s="1" t="n">
        <v>1</v>
      </c>
      <c r="J368" s="1" t="n">
        <v>11.5</v>
      </c>
      <c r="K368" s="1"/>
      <c r="L368" s="1" t="n">
        <v>0</v>
      </c>
      <c r="M368" s="1" t="n">
        <v>0</v>
      </c>
      <c r="N368" s="1" t="s">
        <v>283</v>
      </c>
      <c r="Z368" s="0" t="n">
        <f aca="false">I368-3</f>
        <v>-2</v>
      </c>
      <c r="AB368" s="0" t="n">
        <f aca="false">IF(Z368&lt;0,Z368+360,Z368+0)</f>
        <v>358</v>
      </c>
    </row>
    <row r="369" customFormat="false" ht="15.8" hidden="false" customHeight="false" outlineLevel="0" collapsed="false">
      <c r="A369" s="1" t="n">
        <v>8</v>
      </c>
      <c r="B369" s="1" t="n">
        <v>17</v>
      </c>
      <c r="C369" s="1" t="n">
        <v>1.6</v>
      </c>
      <c r="D369" s="1" t="n">
        <v>1.219</v>
      </c>
      <c r="E369" s="1" t="n">
        <v>0.053672</v>
      </c>
      <c r="F369" s="1" t="n">
        <v>0.000146068</v>
      </c>
      <c r="G369" s="1" t="s">
        <v>27</v>
      </c>
      <c r="H369" s="1" t="n">
        <v>69.8</v>
      </c>
      <c r="I369" s="1" t="n">
        <v>76.3</v>
      </c>
      <c r="J369" s="1" t="n">
        <v>35.1</v>
      </c>
      <c r="K369" s="1"/>
      <c r="L369" s="1" t="n">
        <v>0</v>
      </c>
      <c r="M369" s="1" t="n">
        <v>0</v>
      </c>
      <c r="N369" s="1" t="s">
        <v>284</v>
      </c>
      <c r="Z369" s="0" t="n">
        <f aca="false">I369-3</f>
        <v>73.3</v>
      </c>
      <c r="AB369" s="0" t="n">
        <f aca="false">IF(Z369&lt;0,Z369+360,Z369+0)</f>
        <v>73.3</v>
      </c>
    </row>
    <row r="370" customFormat="false" ht="15.8" hidden="false" customHeight="false" outlineLevel="0" collapsed="false">
      <c r="A370" s="1" t="n">
        <v>8</v>
      </c>
      <c r="B370" s="1" t="n">
        <v>17</v>
      </c>
      <c r="C370" s="1" t="n">
        <v>4.5</v>
      </c>
      <c r="D370" s="1" t="n">
        <v>1.384</v>
      </c>
      <c r="E370" s="1" t="n">
        <v>0.154463</v>
      </c>
      <c r="F370" s="1" t="n">
        <v>0.000420371</v>
      </c>
      <c r="G370" s="1" t="s">
        <v>27</v>
      </c>
      <c r="H370" s="1" t="n">
        <v>46.8</v>
      </c>
      <c r="I370" s="1" t="n">
        <v>186.7</v>
      </c>
      <c r="J370" s="1" t="n">
        <v>-13.1</v>
      </c>
      <c r="K370" s="1"/>
      <c r="L370" s="1" t="n">
        <v>0</v>
      </c>
      <c r="M370" s="1" t="n">
        <v>0</v>
      </c>
      <c r="N370" s="1" t="s">
        <v>284</v>
      </c>
      <c r="Z370" s="0" t="n">
        <f aca="false">I370-3</f>
        <v>183.7</v>
      </c>
      <c r="AB370" s="0" t="n">
        <f aca="false">IF(Z370&lt;0,Z370+360,Z370+0)</f>
        <v>183.7</v>
      </c>
    </row>
    <row r="371" customFormat="false" ht="15.8" hidden="false" customHeight="false" outlineLevel="0" collapsed="false">
      <c r="A371" s="1" t="n">
        <v>8</v>
      </c>
      <c r="B371" s="1" t="n">
        <v>16</v>
      </c>
      <c r="C371" s="1" t="n">
        <v>0.9</v>
      </c>
      <c r="D371" s="1" t="n">
        <v>1.1266</v>
      </c>
      <c r="E371" s="1" t="n">
        <v>0.0322281</v>
      </c>
      <c r="F371" s="1" t="n">
        <v>8.77084E-005</v>
      </c>
      <c r="G371" s="1" t="s">
        <v>37</v>
      </c>
      <c r="H371" s="1" t="n">
        <v>57</v>
      </c>
      <c r="I371" s="1" t="n">
        <v>141.3</v>
      </c>
      <c r="J371" s="1" t="n">
        <v>0</v>
      </c>
      <c r="K371" s="1" t="n">
        <v>69.8</v>
      </c>
      <c r="L371" s="1" t="n">
        <v>0</v>
      </c>
      <c r="M371" s="1" t="n">
        <v>0</v>
      </c>
      <c r="N371" s="1" t="s">
        <v>283</v>
      </c>
      <c r="Z371" s="0" t="n">
        <f aca="false">I371-3</f>
        <v>138.3</v>
      </c>
      <c r="AB371" s="0" t="n">
        <f aca="false">IF(Z371&lt;0,Z371+360,Z371+0)</f>
        <v>138.3</v>
      </c>
    </row>
    <row r="372" customFormat="false" ht="15.8" hidden="false" customHeight="false" outlineLevel="0" collapsed="false">
      <c r="A372" s="1" t="n">
        <v>8</v>
      </c>
      <c r="B372" s="1" t="n">
        <v>15</v>
      </c>
      <c r="C372" s="1" t="n">
        <v>3</v>
      </c>
      <c r="D372" s="1" t="n">
        <v>1.2134</v>
      </c>
      <c r="E372" s="1" t="n">
        <v>0.103953</v>
      </c>
      <c r="F372" s="1" t="n">
        <v>0.000282906</v>
      </c>
      <c r="G372" s="1" t="s">
        <v>37</v>
      </c>
      <c r="H372" s="1" t="n">
        <v>119.3</v>
      </c>
      <c r="I372" s="1" t="n">
        <v>177.4</v>
      </c>
      <c r="J372" s="1" t="n">
        <v>47.6</v>
      </c>
      <c r="K372" s="1" t="n">
        <v>120.8</v>
      </c>
      <c r="L372" s="1" t="n">
        <v>0</v>
      </c>
      <c r="M372" s="1" t="n">
        <v>0</v>
      </c>
      <c r="N372" s="1" t="s">
        <v>281</v>
      </c>
      <c r="Z372" s="0" t="n">
        <f aca="false">I372-3</f>
        <v>174.4</v>
      </c>
      <c r="AB372" s="0" t="n">
        <f aca="false">IF(Z372&lt;0,Z372+360,Z372+0)</f>
        <v>174.4</v>
      </c>
    </row>
    <row r="373" customFormat="false" ht="15.8" hidden="false" customHeight="false" outlineLevel="0" collapsed="false">
      <c r="A373" s="1" t="n">
        <v>8</v>
      </c>
      <c r="B373" s="1" t="n">
        <v>14</v>
      </c>
      <c r="C373" s="1" t="n">
        <v>2.4</v>
      </c>
      <c r="D373" s="1" t="n">
        <v>1.2734</v>
      </c>
      <c r="E373" s="1" t="n">
        <v>0.0809585</v>
      </c>
      <c r="F373" s="1" t="n">
        <v>0.000220328</v>
      </c>
      <c r="G373" s="1" t="s">
        <v>37</v>
      </c>
      <c r="H373" s="1" t="n">
        <v>51.2</v>
      </c>
      <c r="I373" s="1" t="n">
        <v>298.6</v>
      </c>
      <c r="J373" s="1" t="n">
        <v>-11.5</v>
      </c>
      <c r="K373" s="1" t="n">
        <v>119.3</v>
      </c>
      <c r="L373" s="1" t="n">
        <v>0</v>
      </c>
      <c r="M373" s="1" t="n">
        <v>0</v>
      </c>
      <c r="N373" s="1" t="s">
        <v>280</v>
      </c>
      <c r="Z373" s="0" t="n">
        <f aca="false">I373-3</f>
        <v>295.6</v>
      </c>
      <c r="AB373" s="0" t="n">
        <f aca="false">IF(Z373&lt;0,Z373+360,Z373+0)</f>
        <v>295.6</v>
      </c>
    </row>
    <row r="374" customFormat="false" ht="15.8" hidden="false" customHeight="false" outlineLevel="0" collapsed="false">
      <c r="A374" s="1" t="n">
        <v>8</v>
      </c>
      <c r="B374" s="1" t="n">
        <v>13</v>
      </c>
      <c r="C374" s="1" t="n">
        <v>1.6</v>
      </c>
      <c r="D374" s="1" t="n">
        <v>1.2666</v>
      </c>
      <c r="E374" s="1" t="n">
        <v>0.0543425</v>
      </c>
      <c r="F374" s="1" t="n">
        <v>0.000147893</v>
      </c>
      <c r="G374" s="1" t="s">
        <v>37</v>
      </c>
      <c r="H374" s="1" t="n">
        <v>73.5</v>
      </c>
      <c r="I374" s="1" t="n">
        <v>278.6</v>
      </c>
      <c r="J374" s="1" t="n">
        <v>36.1</v>
      </c>
      <c r="K374" s="1" t="n">
        <v>51.2</v>
      </c>
      <c r="L374" s="1" t="n">
        <v>0</v>
      </c>
      <c r="M374" s="1" t="n">
        <v>0</v>
      </c>
      <c r="N374" s="1" t="s">
        <v>279</v>
      </c>
      <c r="Z374" s="0" t="n">
        <f aca="false">I374-3</f>
        <v>275.6</v>
      </c>
      <c r="AB374" s="0" t="n">
        <f aca="false">IF(Z374&lt;0,Z374+360,Z374+0)</f>
        <v>275.6</v>
      </c>
    </row>
    <row r="375" customFormat="false" ht="15.8" hidden="false" customHeight="false" outlineLevel="0" collapsed="false">
      <c r="A375" s="1" t="n">
        <v>8</v>
      </c>
      <c r="B375" s="1" t="n">
        <v>12</v>
      </c>
      <c r="C375" s="1" t="n">
        <v>0.4</v>
      </c>
      <c r="D375" s="1" t="n">
        <v>1.0048</v>
      </c>
      <c r="E375" s="1" t="n">
        <v>0.0145696</v>
      </c>
      <c r="F375" s="1" t="n">
        <v>3.9651E-005</v>
      </c>
      <c r="G375" s="1" t="s">
        <v>37</v>
      </c>
      <c r="H375" s="1" t="n">
        <v>1.3</v>
      </c>
      <c r="I375" s="1" t="n">
        <v>209.2</v>
      </c>
      <c r="J375" s="1" t="n">
        <v>0</v>
      </c>
      <c r="K375" s="1" t="n">
        <v>73.5</v>
      </c>
      <c r="L375" s="1" t="n">
        <v>0</v>
      </c>
      <c r="M375" s="1" t="n">
        <v>0</v>
      </c>
      <c r="N375" s="1" t="s">
        <v>274</v>
      </c>
      <c r="Z375" s="0" t="n">
        <f aca="false">I375-3</f>
        <v>206.2</v>
      </c>
      <c r="AB375" s="0" t="n">
        <f aca="false">IF(Z375&lt;0,Z375+360,Z375+0)</f>
        <v>206.2</v>
      </c>
    </row>
    <row r="376" customFormat="false" ht="15.8" hidden="false" customHeight="false" outlineLevel="0" collapsed="false">
      <c r="A376" s="1" t="n">
        <v>8</v>
      </c>
      <c r="B376" s="1" t="n">
        <v>11</v>
      </c>
      <c r="C376" s="1" t="n">
        <v>1.6</v>
      </c>
      <c r="D376" s="1" t="n">
        <v>1.0132</v>
      </c>
      <c r="E376" s="1" t="n">
        <v>0.0534349</v>
      </c>
      <c r="F376" s="1" t="n">
        <v>0.000145423</v>
      </c>
      <c r="G376" s="1" t="s">
        <v>37</v>
      </c>
      <c r="H376" s="1" t="n">
        <v>86.2</v>
      </c>
      <c r="I376" s="1" t="n">
        <v>210.5</v>
      </c>
      <c r="J376" s="1" t="n">
        <v>0</v>
      </c>
      <c r="K376" s="1" t="n">
        <v>106.5</v>
      </c>
      <c r="L376" s="1" t="n">
        <v>0</v>
      </c>
      <c r="M376" s="1" t="n">
        <v>0</v>
      </c>
      <c r="N376" s="1" t="s">
        <v>285</v>
      </c>
      <c r="Z376" s="0" t="n">
        <f aca="false">I376-3</f>
        <v>207.5</v>
      </c>
      <c r="AB376" s="0" t="n">
        <f aca="false">IF(Z376&lt;0,Z376+360,Z376+0)</f>
        <v>207.5</v>
      </c>
    </row>
    <row r="377" customFormat="false" ht="15.8" hidden="false" customHeight="false" outlineLevel="0" collapsed="false">
      <c r="A377" s="1" t="n">
        <v>8</v>
      </c>
      <c r="B377" s="1" t="n">
        <v>11</v>
      </c>
      <c r="C377" s="1" t="n">
        <v>5.3</v>
      </c>
      <c r="D377" s="1" t="n">
        <v>1.0792</v>
      </c>
      <c r="E377" s="1" t="n">
        <v>0.182568</v>
      </c>
      <c r="F377" s="1" t="n">
        <v>0.000496858</v>
      </c>
      <c r="G377" s="1" t="s">
        <v>27</v>
      </c>
      <c r="H377" s="1" t="n">
        <v>71.4</v>
      </c>
      <c r="I377" s="1" t="n">
        <v>8.6</v>
      </c>
      <c r="J377" s="1" t="n">
        <v>4.3</v>
      </c>
      <c r="K377" s="1"/>
      <c r="L377" s="1" t="n">
        <v>0</v>
      </c>
      <c r="M377" s="1" t="n">
        <v>0</v>
      </c>
      <c r="N377" s="1" t="s">
        <v>285</v>
      </c>
      <c r="Z377" s="0" t="n">
        <f aca="false">I377-3</f>
        <v>5.6</v>
      </c>
      <c r="AB377" s="0" t="n">
        <f aca="false">IF(Z377&lt;0,Z377+360,Z377+0)</f>
        <v>5.6</v>
      </c>
    </row>
    <row r="378" customFormat="false" ht="15.8" hidden="false" customHeight="false" outlineLevel="0" collapsed="false">
      <c r="A378" s="1" t="n">
        <v>8</v>
      </c>
      <c r="B378" s="1" t="n">
        <v>10</v>
      </c>
      <c r="C378" s="1" t="n">
        <v>2.3</v>
      </c>
      <c r="D378" s="1" t="n">
        <v>1.2343</v>
      </c>
      <c r="E378" s="1" t="n">
        <v>0.0792369</v>
      </c>
      <c r="F378" s="1" t="n">
        <v>0.000215643</v>
      </c>
      <c r="G378" s="1" t="s">
        <v>37</v>
      </c>
      <c r="H378" s="1" t="n">
        <v>87.9</v>
      </c>
      <c r="I378" s="1" t="n">
        <v>296.7</v>
      </c>
      <c r="J378" s="1" t="n">
        <v>11.4</v>
      </c>
      <c r="K378" s="1" t="n">
        <v>86.2</v>
      </c>
      <c r="L378" s="1" t="n">
        <v>0</v>
      </c>
      <c r="M378" s="1" t="n">
        <v>0</v>
      </c>
      <c r="N378" s="1" t="s">
        <v>273</v>
      </c>
      <c r="Z378" s="0" t="n">
        <f aca="false">I378-3</f>
        <v>293.7</v>
      </c>
      <c r="AB378" s="0" t="n">
        <f aca="false">IF(Z378&lt;0,Z378+360,Z378+0)</f>
        <v>293.7</v>
      </c>
    </row>
    <row r="379" customFormat="false" ht="15.8" hidden="false" customHeight="false" outlineLevel="0" collapsed="false">
      <c r="A379" s="1" t="n">
        <v>8</v>
      </c>
      <c r="B379" s="1" t="n">
        <v>9</v>
      </c>
      <c r="C379" s="1" t="n">
        <v>0.6</v>
      </c>
      <c r="D379" s="1" t="n">
        <v>1.0087</v>
      </c>
      <c r="E379" s="1" t="n">
        <v>0.0210095</v>
      </c>
      <c r="F379" s="1" t="n">
        <v>5.71772E-005</v>
      </c>
      <c r="G379" s="1" t="s">
        <v>37</v>
      </c>
      <c r="H379" s="1" t="n">
        <v>21.3</v>
      </c>
      <c r="I379" s="1" t="n">
        <v>208.9</v>
      </c>
      <c r="J379" s="1" t="n">
        <v>0</v>
      </c>
      <c r="K379" s="1" t="n">
        <v>87.9</v>
      </c>
      <c r="L379" s="1" t="n">
        <v>0</v>
      </c>
      <c r="M379" s="1" t="n">
        <v>0</v>
      </c>
      <c r="N379" s="1" t="s">
        <v>268</v>
      </c>
      <c r="Z379" s="0" t="n">
        <f aca="false">I379-3</f>
        <v>205.9</v>
      </c>
      <c r="AB379" s="0" t="n">
        <f aca="false">IF(Z379&lt;0,Z379+360,Z379+0)</f>
        <v>205.9</v>
      </c>
    </row>
    <row r="380" customFormat="false" ht="15.8" hidden="false" customHeight="false" outlineLevel="0" collapsed="false">
      <c r="A380" s="1" t="n">
        <v>8</v>
      </c>
      <c r="B380" s="1" t="n">
        <v>10</v>
      </c>
      <c r="C380" s="1" t="n">
        <v>0.8</v>
      </c>
      <c r="D380" s="1" t="n">
        <v>1.0224</v>
      </c>
      <c r="E380" s="1" t="n">
        <v>0.0260397</v>
      </c>
      <c r="F380" s="1" t="n">
        <v>7.08668E-005</v>
      </c>
      <c r="G380" s="1" t="s">
        <v>27</v>
      </c>
      <c r="H380" s="1" t="n">
        <v>0.8</v>
      </c>
      <c r="I380" s="1" t="n">
        <v>74.7</v>
      </c>
      <c r="J380" s="1" t="n">
        <v>0</v>
      </c>
      <c r="K380" s="1"/>
      <c r="L380" s="1" t="n">
        <v>0</v>
      </c>
      <c r="M380" s="1" t="n">
        <v>0</v>
      </c>
      <c r="N380" s="1" t="s">
        <v>286</v>
      </c>
      <c r="Z380" s="0" t="n">
        <f aca="false">I380-3</f>
        <v>71.7</v>
      </c>
      <c r="AB380" s="0" t="n">
        <f aca="false">IF(Z380&lt;0,Z380+360,Z380+0)</f>
        <v>71.7</v>
      </c>
    </row>
    <row r="381" customFormat="false" ht="15.8" hidden="false" customHeight="false" outlineLevel="0" collapsed="false">
      <c r="A381" s="1" t="n">
        <v>8</v>
      </c>
      <c r="B381" s="1" t="n">
        <v>11</v>
      </c>
      <c r="C381" s="1" t="n">
        <v>1.4</v>
      </c>
      <c r="D381" s="1" t="n">
        <v>1.207</v>
      </c>
      <c r="E381" s="1" t="n">
        <v>0.0485672</v>
      </c>
      <c r="F381" s="1" t="n">
        <v>0.000132175</v>
      </c>
      <c r="G381" s="1" t="s">
        <v>27</v>
      </c>
      <c r="H381" s="1" t="n">
        <v>104.5</v>
      </c>
      <c r="I381" s="1" t="n">
        <v>38.2</v>
      </c>
      <c r="J381" s="1" t="n">
        <v>-39</v>
      </c>
      <c r="K381" s="1"/>
      <c r="L381" s="1" t="n">
        <v>0</v>
      </c>
      <c r="M381" s="1" t="n">
        <v>0</v>
      </c>
      <c r="N381" s="1" t="s">
        <v>287</v>
      </c>
      <c r="Z381" s="0" t="n">
        <f aca="false">I381-3</f>
        <v>35.2</v>
      </c>
      <c r="AB381" s="0" t="n">
        <f aca="false">IF(Z381&lt;0,Z381+360,Z381+0)</f>
        <v>35.2</v>
      </c>
    </row>
    <row r="382" customFormat="false" ht="15.8" hidden="false" customHeight="false" outlineLevel="0" collapsed="false">
      <c r="A382" s="1" t="n">
        <v>8</v>
      </c>
      <c r="B382" s="1" t="n">
        <v>11</v>
      </c>
      <c r="C382" s="1" t="n">
        <v>2.3</v>
      </c>
      <c r="D382" s="1" t="n">
        <v>1.4121</v>
      </c>
      <c r="E382" s="1" t="n">
        <v>0.0784139</v>
      </c>
      <c r="F382" s="1" t="n">
        <v>0.000213403</v>
      </c>
      <c r="G382" s="1" t="s">
        <v>27</v>
      </c>
      <c r="H382" s="1" t="n">
        <v>64</v>
      </c>
      <c r="I382" s="1" t="n">
        <v>109</v>
      </c>
      <c r="J382" s="1" t="n">
        <v>-65.7</v>
      </c>
      <c r="K382" s="1"/>
      <c r="L382" s="1" t="n">
        <v>0</v>
      </c>
      <c r="M382" s="1" t="n">
        <v>0</v>
      </c>
      <c r="N382" s="1" t="s">
        <v>287</v>
      </c>
      <c r="Z382" s="0" t="n">
        <f aca="false">I382-3</f>
        <v>106</v>
      </c>
      <c r="AB382" s="0" t="n">
        <f aca="false">IF(Z382&lt;0,Z382+360,Z382+0)</f>
        <v>106</v>
      </c>
    </row>
    <row r="383" customFormat="false" ht="15.8" hidden="false" customHeight="false" outlineLevel="0" collapsed="false">
      <c r="A383" s="1" t="n">
        <v>8</v>
      </c>
      <c r="B383" s="1" t="n">
        <v>11</v>
      </c>
      <c r="C383" s="1" t="n">
        <v>2</v>
      </c>
      <c r="D383" s="1" t="n">
        <v>1.3104</v>
      </c>
      <c r="E383" s="1" t="n">
        <v>0.0667338</v>
      </c>
      <c r="F383" s="1" t="n">
        <v>0.000181615</v>
      </c>
      <c r="G383" s="1" t="s">
        <v>27</v>
      </c>
      <c r="H383" s="1" t="n">
        <v>47.3</v>
      </c>
      <c r="I383" s="1" t="n">
        <v>203.3</v>
      </c>
      <c r="J383" s="1" t="n">
        <v>-29.8</v>
      </c>
      <c r="K383" s="1"/>
      <c r="L383" s="1" t="n">
        <v>0</v>
      </c>
      <c r="M383" s="1" t="n">
        <v>0</v>
      </c>
      <c r="N383" s="1" t="s">
        <v>287</v>
      </c>
      <c r="Z383" s="0" t="n">
        <f aca="false">I383-3</f>
        <v>200.3</v>
      </c>
      <c r="AB383" s="0" t="n">
        <f aca="false">IF(Z383&lt;0,Z383+360,Z383+0)</f>
        <v>200.3</v>
      </c>
    </row>
    <row r="384" customFormat="false" ht="15.8" hidden="false" customHeight="false" outlineLevel="0" collapsed="false">
      <c r="A384" s="1" t="n">
        <v>8</v>
      </c>
      <c r="B384" s="1" t="n">
        <v>10</v>
      </c>
      <c r="C384" s="1" t="n">
        <v>2.3</v>
      </c>
      <c r="D384" s="1" t="n">
        <v>1.1541</v>
      </c>
      <c r="E384" s="1" t="n">
        <v>0.0798797</v>
      </c>
      <c r="F384" s="1" t="n">
        <v>0.000217392</v>
      </c>
      <c r="G384" s="1" t="s">
        <v>37</v>
      </c>
      <c r="H384" s="1" t="n">
        <v>81.4</v>
      </c>
      <c r="I384" s="1" t="n">
        <v>156.8</v>
      </c>
      <c r="J384" s="1" t="n">
        <v>-10.5</v>
      </c>
      <c r="K384" s="1" t="n">
        <v>104.5</v>
      </c>
      <c r="L384" s="1" t="n">
        <v>0</v>
      </c>
      <c r="M384" s="1" t="n">
        <v>0</v>
      </c>
      <c r="N384" s="1" t="s">
        <v>286</v>
      </c>
      <c r="Z384" s="0" t="n">
        <f aca="false">I384-3</f>
        <v>153.8</v>
      </c>
      <c r="AB384" s="0" t="n">
        <f aca="false">IF(Z384&lt;0,Z384+360,Z384+0)</f>
        <v>153.8</v>
      </c>
    </row>
    <row r="385" customFormat="false" ht="15.8" hidden="false" customHeight="false" outlineLevel="0" collapsed="false">
      <c r="A385" s="1" t="n">
        <v>8</v>
      </c>
      <c r="B385" s="1" t="n">
        <v>9</v>
      </c>
      <c r="C385" s="1" t="n">
        <v>1.4</v>
      </c>
      <c r="D385" s="1" t="n">
        <v>1.0306</v>
      </c>
      <c r="E385" s="1" t="n">
        <v>0.0491366</v>
      </c>
      <c r="F385" s="1" t="n">
        <v>0.000133725</v>
      </c>
      <c r="G385" s="1" t="s">
        <v>37</v>
      </c>
      <c r="H385" s="1" t="n">
        <v>115.7</v>
      </c>
      <c r="I385" s="1" t="n">
        <v>75.5</v>
      </c>
      <c r="J385" s="1" t="n">
        <v>0</v>
      </c>
      <c r="K385" s="1" t="n">
        <v>81.4</v>
      </c>
      <c r="L385" s="1" t="n">
        <v>0</v>
      </c>
      <c r="M385" s="1" t="n">
        <v>0</v>
      </c>
      <c r="N385" s="1" t="s">
        <v>268</v>
      </c>
      <c r="Z385" s="0" t="n">
        <f aca="false">I385-3</f>
        <v>72.5</v>
      </c>
      <c r="AB385" s="0" t="n">
        <f aca="false">IF(Z385&lt;0,Z385+360,Z385+0)</f>
        <v>72.5</v>
      </c>
    </row>
    <row r="386" customFormat="false" ht="15.8" hidden="false" customHeight="false" outlineLevel="0" collapsed="false">
      <c r="A386" s="1" t="n">
        <v>8</v>
      </c>
      <c r="B386" s="1" t="n">
        <v>8</v>
      </c>
      <c r="C386" s="1" t="n">
        <v>1.8</v>
      </c>
      <c r="D386" s="1" t="n">
        <v>1.0932</v>
      </c>
      <c r="E386" s="1" t="n">
        <v>0.0606701</v>
      </c>
      <c r="F386" s="1" t="n">
        <v>0.000165113</v>
      </c>
      <c r="G386" s="1" t="s">
        <v>37</v>
      </c>
      <c r="H386" s="1" t="n">
        <v>15.6</v>
      </c>
      <c r="I386" s="1" t="n">
        <v>191.9</v>
      </c>
      <c r="J386" s="1" t="n">
        <v>13.2</v>
      </c>
      <c r="K386" s="1" t="n">
        <v>115.7</v>
      </c>
      <c r="L386" s="1" t="n">
        <v>0</v>
      </c>
      <c r="M386" s="1" t="n">
        <v>0</v>
      </c>
      <c r="N386" s="1" t="s">
        <v>266</v>
      </c>
      <c r="Z386" s="0" t="n">
        <f aca="false">I386-3</f>
        <v>188.9</v>
      </c>
      <c r="AB386" s="0" t="n">
        <f aca="false">IF(Z386&lt;0,Z386+360,Z386+0)</f>
        <v>188.9</v>
      </c>
    </row>
    <row r="387" customFormat="false" ht="15.8" hidden="false" customHeight="false" outlineLevel="0" collapsed="false">
      <c r="A387" s="1" t="n">
        <v>8</v>
      </c>
      <c r="B387" s="1" t="n">
        <v>7</v>
      </c>
      <c r="C387" s="1" t="n">
        <v>0.9</v>
      </c>
      <c r="D387" s="1" t="n">
        <v>1.6958</v>
      </c>
      <c r="E387" s="1" t="n">
        <v>0.0316241</v>
      </c>
      <c r="F387" s="1" t="n">
        <v>8.60646E-005</v>
      </c>
      <c r="G387" s="1" t="s">
        <v>37</v>
      </c>
      <c r="H387" s="1" t="n">
        <v>72.6</v>
      </c>
      <c r="I387" s="1" t="n">
        <v>183.4</v>
      </c>
      <c r="J387" s="1" t="n">
        <v>0</v>
      </c>
      <c r="K387" s="1" t="n">
        <v>128.1</v>
      </c>
      <c r="L387" s="1" t="n">
        <v>0</v>
      </c>
      <c r="M387" s="1" t="n">
        <v>0</v>
      </c>
      <c r="N387" s="1" t="s">
        <v>265</v>
      </c>
      <c r="Z387" s="0" t="n">
        <f aca="false">I387-3</f>
        <v>180.4</v>
      </c>
      <c r="AB387" s="0" t="n">
        <f aca="false">IF(Z387&lt;0,Z387+360,Z387+0)</f>
        <v>180.4</v>
      </c>
    </row>
    <row r="388" customFormat="false" ht="15.8" hidden="false" customHeight="false" outlineLevel="0" collapsed="false">
      <c r="A388" s="1" t="n">
        <v>8</v>
      </c>
      <c r="B388" s="1" t="n">
        <v>6</v>
      </c>
      <c r="C388" s="1" t="n">
        <v>3.3</v>
      </c>
      <c r="D388" s="1" t="n">
        <v>1.1908</v>
      </c>
      <c r="E388" s="1" t="n">
        <v>0.11349</v>
      </c>
      <c r="F388" s="1" t="n">
        <v>0.000308861</v>
      </c>
      <c r="G388" s="1" t="s">
        <v>37</v>
      </c>
      <c r="H388" s="1" t="n">
        <v>140.4</v>
      </c>
      <c r="I388" s="1" t="n">
        <v>219.4</v>
      </c>
      <c r="J388" s="1" t="n">
        <v>68.3</v>
      </c>
      <c r="K388" s="1" t="n">
        <v>105.5</v>
      </c>
      <c r="L388" s="1" t="n">
        <v>0</v>
      </c>
      <c r="M388" s="1" t="n">
        <v>0</v>
      </c>
      <c r="N388" s="1" t="s">
        <v>260</v>
      </c>
      <c r="Z388" s="0" t="n">
        <f aca="false">I388-3</f>
        <v>216.4</v>
      </c>
      <c r="AB388" s="0" t="n">
        <f aca="false">IF(Z388&lt;0,Z388+360,Z388+0)</f>
        <v>216.4</v>
      </c>
    </row>
    <row r="389" customFormat="false" ht="15.8" hidden="false" customHeight="false" outlineLevel="0" collapsed="false">
      <c r="A389" s="1" t="n">
        <v>8</v>
      </c>
      <c r="B389" s="1" t="n">
        <v>5</v>
      </c>
      <c r="C389" s="1" t="n">
        <v>0.9</v>
      </c>
      <c r="D389" s="1" t="n">
        <v>1.1355</v>
      </c>
      <c r="E389" s="1" t="n">
        <v>0.0312531</v>
      </c>
      <c r="F389" s="1" t="n">
        <v>8.5055E-005</v>
      </c>
      <c r="G389" s="1" t="s">
        <v>37</v>
      </c>
      <c r="H389" s="1" t="n">
        <v>57</v>
      </c>
      <c r="I389" s="1" t="n">
        <v>273.9</v>
      </c>
      <c r="J389" s="1" t="n">
        <v>-66.8</v>
      </c>
      <c r="K389" s="1" t="n">
        <v>140.4</v>
      </c>
      <c r="L389" s="1" t="n">
        <v>0</v>
      </c>
      <c r="M389" s="1" t="n">
        <v>0</v>
      </c>
      <c r="N389" s="1" t="s">
        <v>259</v>
      </c>
      <c r="Z389" s="0" t="n">
        <f aca="false">I389-3</f>
        <v>270.9</v>
      </c>
      <c r="AB389" s="0" t="n">
        <f aca="false">IF(Z389&lt;0,Z389+360,Z389+0)</f>
        <v>270.9</v>
      </c>
    </row>
    <row r="390" customFormat="false" ht="15.8" hidden="false" customHeight="false" outlineLevel="0" collapsed="false">
      <c r="A390" s="1" t="n">
        <v>8</v>
      </c>
      <c r="B390" s="1" t="n">
        <v>4</v>
      </c>
      <c r="C390" s="1" t="n">
        <v>3.5</v>
      </c>
      <c r="D390" s="1" t="n">
        <v>1.4764</v>
      </c>
      <c r="E390" s="1" t="n">
        <v>0.119574</v>
      </c>
      <c r="F390" s="1" t="n">
        <v>0.00032542</v>
      </c>
      <c r="G390" s="1" t="s">
        <v>37</v>
      </c>
      <c r="H390" s="1" t="n">
        <v>32.7</v>
      </c>
      <c r="I390" s="1" t="n">
        <v>227.4</v>
      </c>
      <c r="J390" s="1" t="n">
        <v>-18.2</v>
      </c>
      <c r="K390" s="1" t="n">
        <v>100.2</v>
      </c>
      <c r="L390" s="1" t="n">
        <v>0</v>
      </c>
      <c r="M390" s="1" t="n">
        <v>0</v>
      </c>
      <c r="N390" s="1" t="s">
        <v>258</v>
      </c>
      <c r="Z390" s="0" t="n">
        <f aca="false">I390-3</f>
        <v>224.4</v>
      </c>
      <c r="AB390" s="0" t="n">
        <f aca="false">IF(Z390&lt;0,Z390+360,Z390+0)</f>
        <v>224.4</v>
      </c>
    </row>
    <row r="391" customFormat="false" ht="15.8" hidden="false" customHeight="false" outlineLevel="0" collapsed="false">
      <c r="A391" s="1" t="n">
        <v>8</v>
      </c>
      <c r="B391" s="1" t="n">
        <v>3</v>
      </c>
      <c r="C391" s="1" t="n">
        <v>3.3</v>
      </c>
      <c r="D391" s="1" t="n">
        <v>1.2646</v>
      </c>
      <c r="E391" s="1" t="n">
        <v>0.111746</v>
      </c>
      <c r="F391" s="1" t="n">
        <v>0.000304116</v>
      </c>
      <c r="G391" s="1" t="s">
        <v>37</v>
      </c>
      <c r="H391" s="1" t="n">
        <v>57.1</v>
      </c>
      <c r="I391" s="1" t="n">
        <v>259</v>
      </c>
      <c r="J391" s="1" t="n">
        <v>-34.9</v>
      </c>
      <c r="K391" s="1" t="n">
        <v>68</v>
      </c>
      <c r="L391" s="1" t="n">
        <v>0</v>
      </c>
      <c r="M391" s="1" t="n">
        <v>0</v>
      </c>
      <c r="N391" s="1" t="s">
        <v>257</v>
      </c>
      <c r="Z391" s="0" t="n">
        <f aca="false">I391-3</f>
        <v>256</v>
      </c>
      <c r="AB391" s="0" t="n">
        <f aca="false">IF(Z391&lt;0,Z391+360,Z391+0)</f>
        <v>256</v>
      </c>
    </row>
    <row r="392" customFormat="false" ht="15.8" hidden="false" customHeight="false" outlineLevel="0" collapsed="false">
      <c r="A392" s="1" t="n">
        <v>8</v>
      </c>
      <c r="B392" s="1" t="n">
        <v>2</v>
      </c>
      <c r="C392" s="1" t="n">
        <v>3.3</v>
      </c>
      <c r="D392" s="1" t="n">
        <v>1.1539</v>
      </c>
      <c r="E392" s="1" t="n">
        <v>0.112405</v>
      </c>
      <c r="F392" s="1" t="n">
        <v>0.000305909</v>
      </c>
      <c r="G392" s="1" t="s">
        <v>37</v>
      </c>
      <c r="H392" s="1" t="n">
        <v>21.3</v>
      </c>
      <c r="I392" s="1" t="n">
        <v>198.9</v>
      </c>
      <c r="J392" s="1" t="n">
        <v>-15.1</v>
      </c>
      <c r="K392" s="1" t="n">
        <v>57.1</v>
      </c>
      <c r="L392" s="1" t="n">
        <v>0</v>
      </c>
      <c r="M392" s="1" t="n">
        <v>0</v>
      </c>
      <c r="N392" s="1" t="s">
        <v>255</v>
      </c>
      <c r="Z392" s="0" t="n">
        <f aca="false">I392-3</f>
        <v>195.9</v>
      </c>
      <c r="AB392" s="0" t="n">
        <f aca="false">IF(Z392&lt;0,Z392+360,Z392+0)</f>
        <v>195.9</v>
      </c>
    </row>
    <row r="393" customFormat="false" ht="15.8" hidden="false" customHeight="false" outlineLevel="0" collapsed="false">
      <c r="A393" s="1" t="n">
        <v>8</v>
      </c>
      <c r="B393" s="1" t="n">
        <v>1</v>
      </c>
      <c r="C393" s="1" t="n">
        <v>1.7</v>
      </c>
      <c r="D393" s="1" t="n">
        <v>1.0713</v>
      </c>
      <c r="E393" s="1" t="n">
        <v>0.0597368</v>
      </c>
      <c r="F393" s="1" t="n">
        <v>0.000162573</v>
      </c>
      <c r="G393" s="1" t="s">
        <v>37</v>
      </c>
      <c r="H393" s="1"/>
      <c r="I393" s="1" t="n">
        <v>214.1</v>
      </c>
      <c r="J393" s="1" t="n">
        <v>0</v>
      </c>
      <c r="K393" s="1" t="n">
        <v>63.3</v>
      </c>
      <c r="L393" s="1" t="n">
        <v>0</v>
      </c>
      <c r="M393" s="1" t="n">
        <v>0</v>
      </c>
      <c r="N393" s="1" t="s">
        <v>288</v>
      </c>
      <c r="Z393" s="0" t="n">
        <f aca="false">I393-3</f>
        <v>211.1</v>
      </c>
      <c r="AB393" s="0" t="n">
        <f aca="false">IF(Z393&lt;0,Z393+360,Z393+0)</f>
        <v>211.1</v>
      </c>
    </row>
    <row r="394" customFormat="false" ht="15.8" hidden="false" customHeight="false" outlineLevel="0" collapsed="false">
      <c r="A394" s="1" t="n">
        <v>9</v>
      </c>
      <c r="B394" s="1" t="n">
        <v>2</v>
      </c>
      <c r="C394" s="1" t="n">
        <v>0.7</v>
      </c>
      <c r="D394" s="1" t="n">
        <v>1.0189</v>
      </c>
      <c r="E394" s="1" t="n">
        <v>0.023519</v>
      </c>
      <c r="F394" s="1" t="n">
        <v>6.40069E-005</v>
      </c>
      <c r="G394" s="1" t="s">
        <v>27</v>
      </c>
      <c r="H394" s="1" t="n">
        <v>70.5</v>
      </c>
      <c r="I394" s="1" t="n">
        <v>52.2</v>
      </c>
      <c r="J394" s="1" t="n">
        <v>0</v>
      </c>
      <c r="K394" s="1"/>
      <c r="L394" s="1" t="n">
        <v>0</v>
      </c>
      <c r="M394" s="1" t="n">
        <v>0</v>
      </c>
      <c r="N394" s="1" t="s">
        <v>289</v>
      </c>
      <c r="Z394" s="0" t="n">
        <f aca="false">I394-3</f>
        <v>49.2</v>
      </c>
      <c r="AB394" s="0" t="n">
        <f aca="false">IF(Z394&lt;0,Z394+360,Z394+0)</f>
        <v>49.2</v>
      </c>
    </row>
    <row r="395" customFormat="false" ht="15.8" hidden="false" customHeight="false" outlineLevel="0" collapsed="false">
      <c r="A395" s="1" t="n">
        <v>9</v>
      </c>
      <c r="B395" s="1" t="n">
        <v>3</v>
      </c>
      <c r="C395" s="1" t="n">
        <v>0.7</v>
      </c>
      <c r="D395" s="1" t="n">
        <v>1.0159</v>
      </c>
      <c r="E395" s="1" t="n">
        <v>0.0235578</v>
      </c>
      <c r="F395" s="1" t="n">
        <v>6.41123E-005</v>
      </c>
      <c r="G395" s="1" t="s">
        <v>27</v>
      </c>
      <c r="H395" s="1" t="n">
        <v>81.7</v>
      </c>
      <c r="I395" s="1" t="n">
        <v>275.5</v>
      </c>
      <c r="J395" s="1" t="n">
        <v>0</v>
      </c>
      <c r="K395" s="1"/>
      <c r="L395" s="1" t="n">
        <v>0</v>
      </c>
      <c r="M395" s="1" t="n">
        <v>0</v>
      </c>
      <c r="N395" s="1" t="s">
        <v>290</v>
      </c>
      <c r="Z395" s="0" t="n">
        <f aca="false">I395-3</f>
        <v>272.5</v>
      </c>
      <c r="AB395" s="0" t="n">
        <f aca="false">IF(Z395&lt;0,Z395+360,Z395+0)</f>
        <v>272.5</v>
      </c>
    </row>
    <row r="396" customFormat="false" ht="15.8" hidden="false" customHeight="false" outlineLevel="0" collapsed="false">
      <c r="A396" s="1" t="n">
        <v>9</v>
      </c>
      <c r="B396" s="1" t="n">
        <v>3</v>
      </c>
      <c r="C396" s="1" t="n">
        <v>1.8</v>
      </c>
      <c r="D396" s="1" t="n">
        <v>1.2421</v>
      </c>
      <c r="E396" s="1" t="n">
        <v>0.061146</v>
      </c>
      <c r="F396" s="1" t="n">
        <v>0.000166408</v>
      </c>
      <c r="G396" s="1" t="s">
        <v>27</v>
      </c>
      <c r="H396" s="1" t="n">
        <v>55.1</v>
      </c>
      <c r="I396" s="1" t="n">
        <v>140.1</v>
      </c>
      <c r="J396" s="1" t="n">
        <v>-14.9</v>
      </c>
      <c r="K396" s="1"/>
      <c r="L396" s="1" t="n">
        <v>0</v>
      </c>
      <c r="M396" s="1" t="n">
        <v>0</v>
      </c>
      <c r="N396" s="1" t="s">
        <v>290</v>
      </c>
      <c r="Z396" s="0" t="n">
        <f aca="false">I396-3</f>
        <v>137.1</v>
      </c>
      <c r="AB396" s="0" t="n">
        <f aca="false">IF(Z396&lt;0,Z396+360,Z396+0)</f>
        <v>137.1</v>
      </c>
    </row>
    <row r="397" customFormat="false" ht="15.8" hidden="false" customHeight="false" outlineLevel="0" collapsed="false">
      <c r="A397" s="1" t="n">
        <v>9</v>
      </c>
      <c r="B397" s="1" t="n">
        <v>2</v>
      </c>
      <c r="C397" s="1" t="n">
        <v>2.6</v>
      </c>
      <c r="D397" s="1" t="n">
        <v>1.3068</v>
      </c>
      <c r="E397" s="1" t="n">
        <v>0.0876735</v>
      </c>
      <c r="F397" s="1" t="n">
        <v>0.000238603</v>
      </c>
      <c r="G397" s="1" t="s">
        <v>37</v>
      </c>
      <c r="H397" s="1" t="n">
        <v>71.1</v>
      </c>
      <c r="I397" s="1" t="n">
        <v>193.8</v>
      </c>
      <c r="J397" s="1" t="n">
        <v>0</v>
      </c>
      <c r="K397" s="1" t="n">
        <v>81.7</v>
      </c>
      <c r="L397" s="1" t="n">
        <v>0</v>
      </c>
      <c r="M397" s="1" t="n">
        <v>0</v>
      </c>
      <c r="N397" s="1" t="s">
        <v>289</v>
      </c>
      <c r="Z397" s="0" t="n">
        <f aca="false">I397-3</f>
        <v>190.8</v>
      </c>
      <c r="AB397" s="0" t="n">
        <f aca="false">IF(Z397&lt;0,Z397+360,Z397+0)</f>
        <v>190.8</v>
      </c>
    </row>
    <row r="398" customFormat="false" ht="15.8" hidden="false" customHeight="false" outlineLevel="0" collapsed="false">
      <c r="A398" s="1" t="n">
        <v>9</v>
      </c>
      <c r="B398" s="1" t="n">
        <v>1</v>
      </c>
      <c r="C398" s="1" t="n">
        <v>1.9</v>
      </c>
      <c r="D398" s="1" t="n">
        <v>1.0411</v>
      </c>
      <c r="E398" s="1" t="n">
        <v>0.0645083</v>
      </c>
      <c r="F398" s="1" t="n">
        <v>0.000175559</v>
      </c>
      <c r="G398" s="1" t="s">
        <v>37</v>
      </c>
      <c r="H398" s="1"/>
      <c r="I398" s="1" t="n">
        <v>122.7</v>
      </c>
      <c r="J398" s="1" t="n">
        <v>0</v>
      </c>
      <c r="K398" s="1" t="n">
        <v>71.1</v>
      </c>
      <c r="L398" s="1" t="n">
        <v>0</v>
      </c>
      <c r="M398" s="1" t="n">
        <v>0</v>
      </c>
      <c r="N398" s="1" t="s">
        <v>291</v>
      </c>
      <c r="Z398" s="0" t="n">
        <f aca="false">I398-3</f>
        <v>119.7</v>
      </c>
      <c r="AB398" s="0" t="n">
        <f aca="false">IF(Z398&lt;0,Z398+360,Z398+0)</f>
        <v>119.7</v>
      </c>
    </row>
    <row r="399" customFormat="false" ht="15.8" hidden="false" customHeight="false" outlineLevel="0" collapsed="false">
      <c r="A399" s="1" t="n">
        <v>10</v>
      </c>
      <c r="B399" s="1" t="n">
        <v>3</v>
      </c>
      <c r="C399" s="1" t="n">
        <v>1.2</v>
      </c>
      <c r="D399" s="1" t="n">
        <v>1.0991</v>
      </c>
      <c r="E399" s="1" t="n">
        <v>0.041099</v>
      </c>
      <c r="F399" s="1" t="n">
        <v>0.00011185</v>
      </c>
      <c r="G399" s="1" t="s">
        <v>27</v>
      </c>
      <c r="H399" s="1" t="n">
        <v>43.3</v>
      </c>
      <c r="I399" s="1" t="n">
        <v>9.7</v>
      </c>
      <c r="J399" s="1" t="n">
        <v>0</v>
      </c>
      <c r="K399" s="1"/>
      <c r="L399" s="1" t="n">
        <v>0</v>
      </c>
      <c r="M399" s="1" t="n">
        <v>0</v>
      </c>
      <c r="N399" s="1" t="s">
        <v>292</v>
      </c>
      <c r="Z399" s="0" t="n">
        <f aca="false">I399-3</f>
        <v>6.7</v>
      </c>
      <c r="AB399" s="0" t="n">
        <f aca="false">IF(Z399&lt;0,Z399+360,Z399+0)</f>
        <v>6.7</v>
      </c>
    </row>
    <row r="400" customFormat="false" ht="15.8" hidden="false" customHeight="false" outlineLevel="0" collapsed="false">
      <c r="A400" s="1" t="n">
        <v>10</v>
      </c>
      <c r="B400" s="1" t="n">
        <v>4</v>
      </c>
      <c r="C400" s="1" t="n">
        <v>0.8</v>
      </c>
      <c r="D400" s="1" t="n">
        <v>1.132</v>
      </c>
      <c r="E400" s="1" t="n">
        <v>0.0265603</v>
      </c>
      <c r="F400" s="1" t="n">
        <v>7.22837E-005</v>
      </c>
      <c r="G400" s="1" t="s">
        <v>27</v>
      </c>
      <c r="H400" s="1" t="n">
        <v>58.1</v>
      </c>
      <c r="I400" s="1" t="n">
        <v>312.7</v>
      </c>
      <c r="J400" s="1" t="n">
        <v>-32.6</v>
      </c>
      <c r="K400" s="1"/>
      <c r="L400" s="1" t="n">
        <v>0</v>
      </c>
      <c r="M400" s="1" t="n">
        <v>0</v>
      </c>
      <c r="N400" s="1" t="s">
        <v>293</v>
      </c>
      <c r="Z400" s="0" t="n">
        <f aca="false">I400-3</f>
        <v>309.7</v>
      </c>
      <c r="AB400" s="0" t="n">
        <f aca="false">IF(Z400&lt;0,Z400+360,Z400+0)</f>
        <v>309.7</v>
      </c>
    </row>
    <row r="401" customFormat="false" ht="15.8" hidden="false" customHeight="false" outlineLevel="0" collapsed="false">
      <c r="A401" s="1" t="n">
        <v>10</v>
      </c>
      <c r="B401" s="1" t="n">
        <v>4</v>
      </c>
      <c r="C401" s="1" t="n">
        <v>1.3</v>
      </c>
      <c r="D401" s="1" t="n">
        <v>1.1949</v>
      </c>
      <c r="E401" s="1" t="n">
        <v>0.0431821</v>
      </c>
      <c r="F401" s="1" t="n">
        <v>0.00011752</v>
      </c>
      <c r="G401" s="1" t="s">
        <v>27</v>
      </c>
      <c r="H401" s="1" t="n">
        <v>150.2</v>
      </c>
      <c r="I401" s="1" t="n">
        <v>171.8</v>
      </c>
      <c r="J401" s="1" t="n">
        <v>20.5</v>
      </c>
      <c r="K401" s="1"/>
      <c r="L401" s="1" t="n">
        <v>0</v>
      </c>
      <c r="M401" s="1" t="n">
        <v>0</v>
      </c>
      <c r="N401" s="1" t="s">
        <v>293</v>
      </c>
      <c r="Z401" s="0" t="n">
        <f aca="false">I401-3</f>
        <v>168.8</v>
      </c>
      <c r="AB401" s="0" t="n">
        <f aca="false">IF(Z401&lt;0,Z401+360,Z401+0)</f>
        <v>168.8</v>
      </c>
    </row>
    <row r="402" customFormat="false" ht="15.8" hidden="false" customHeight="false" outlineLevel="0" collapsed="false">
      <c r="A402" s="1" t="n">
        <v>10</v>
      </c>
      <c r="B402" s="1" t="n">
        <v>4</v>
      </c>
      <c r="C402" s="1" t="n">
        <v>1.2</v>
      </c>
      <c r="D402" s="1" t="n">
        <v>1.2024</v>
      </c>
      <c r="E402" s="1" t="n">
        <v>0.0393299</v>
      </c>
      <c r="F402" s="1" t="n">
        <v>0.000107036</v>
      </c>
      <c r="G402" s="1" t="s">
        <v>27</v>
      </c>
      <c r="H402" s="1" t="n">
        <v>42.9</v>
      </c>
      <c r="I402" s="1" t="n">
        <v>342.2</v>
      </c>
      <c r="J402" s="1" t="n">
        <v>50.7</v>
      </c>
      <c r="K402" s="1"/>
      <c r="L402" s="1" t="n">
        <v>0</v>
      </c>
      <c r="M402" s="1" t="n">
        <v>0</v>
      </c>
      <c r="N402" s="1" t="s">
        <v>293</v>
      </c>
      <c r="Z402" s="0" t="n">
        <f aca="false">I402-3</f>
        <v>339.2</v>
      </c>
      <c r="AB402" s="0" t="n">
        <f aca="false">IF(Z402&lt;0,Z402+360,Z402+0)</f>
        <v>339.2</v>
      </c>
    </row>
    <row r="403" customFormat="false" ht="15.8" hidden="false" customHeight="false" outlineLevel="0" collapsed="false">
      <c r="A403" s="1" t="n">
        <v>10</v>
      </c>
      <c r="B403" s="1" t="n">
        <v>4</v>
      </c>
      <c r="C403" s="1" t="n">
        <v>1.1</v>
      </c>
      <c r="D403" s="1" t="n">
        <v>1.2151</v>
      </c>
      <c r="E403" s="1" t="n">
        <v>0.0361674</v>
      </c>
      <c r="F403" s="1" t="n">
        <v>9.84292E-005</v>
      </c>
      <c r="G403" s="1" t="s">
        <v>27</v>
      </c>
      <c r="H403" s="1" t="n">
        <v>80.5</v>
      </c>
      <c r="I403" s="1" t="n">
        <v>78.8</v>
      </c>
      <c r="J403" s="1" t="n">
        <v>25.2</v>
      </c>
      <c r="K403" s="1"/>
      <c r="L403" s="1" t="n">
        <v>0</v>
      </c>
      <c r="M403" s="1" t="n">
        <v>0</v>
      </c>
      <c r="N403" s="1" t="s">
        <v>293</v>
      </c>
      <c r="Z403" s="0" t="n">
        <f aca="false">I403-3</f>
        <v>75.8</v>
      </c>
      <c r="AB403" s="0" t="n">
        <f aca="false">IF(Z403&lt;0,Z403+360,Z403+0)</f>
        <v>75.8</v>
      </c>
    </row>
    <row r="404" customFormat="false" ht="15.8" hidden="false" customHeight="false" outlineLevel="0" collapsed="false">
      <c r="A404" s="1" t="n">
        <v>10</v>
      </c>
      <c r="B404" s="1" t="n">
        <v>3</v>
      </c>
      <c r="C404" s="1" t="n">
        <v>3</v>
      </c>
      <c r="D404" s="1" t="n">
        <v>1.2717</v>
      </c>
      <c r="E404" s="1" t="n">
        <v>0.10107</v>
      </c>
      <c r="F404" s="1" t="n">
        <v>0.000275061</v>
      </c>
      <c r="G404" s="1" t="s">
        <v>37</v>
      </c>
      <c r="H404" s="1" t="n">
        <v>30</v>
      </c>
      <c r="I404" s="1" t="n">
        <v>355.1</v>
      </c>
      <c r="J404" s="1" t="n">
        <v>9.2</v>
      </c>
      <c r="K404" s="1" t="n">
        <v>150.2</v>
      </c>
      <c r="L404" s="1" t="n">
        <v>0</v>
      </c>
      <c r="M404" s="1" t="n">
        <v>0</v>
      </c>
      <c r="N404" s="1" t="s">
        <v>292</v>
      </c>
      <c r="Z404" s="0" t="n">
        <f aca="false">I404-3</f>
        <v>352.1</v>
      </c>
      <c r="AB404" s="0" t="n">
        <f aca="false">IF(Z404&lt;0,Z404+360,Z404+0)</f>
        <v>352.1</v>
      </c>
    </row>
    <row r="405" customFormat="false" ht="15.8" hidden="false" customHeight="false" outlineLevel="0" collapsed="false">
      <c r="A405" s="1" t="n">
        <v>10</v>
      </c>
      <c r="B405" s="1" t="n">
        <v>2</v>
      </c>
      <c r="C405" s="1" t="n">
        <v>1.2</v>
      </c>
      <c r="D405" s="1" t="n">
        <v>1.0079</v>
      </c>
      <c r="E405" s="1" t="n">
        <v>0.0414246</v>
      </c>
      <c r="F405" s="1" t="n">
        <v>0.000112737</v>
      </c>
      <c r="G405" s="1" t="s">
        <v>37</v>
      </c>
      <c r="H405" s="1" t="n">
        <v>45.5</v>
      </c>
      <c r="I405" s="1" t="n">
        <v>326.5</v>
      </c>
      <c r="J405" s="1" t="n">
        <v>0</v>
      </c>
      <c r="K405" s="1" t="n">
        <v>43.3</v>
      </c>
      <c r="L405" s="1" t="n">
        <v>0</v>
      </c>
      <c r="M405" s="1" t="n">
        <v>0</v>
      </c>
      <c r="N405" s="1" t="s">
        <v>294</v>
      </c>
      <c r="Z405" s="0" t="n">
        <f aca="false">I405-3</f>
        <v>323.5</v>
      </c>
      <c r="AB405" s="0" t="n">
        <f aca="false">IF(Z405&lt;0,Z405+360,Z405+0)</f>
        <v>323.5</v>
      </c>
    </row>
    <row r="406" customFormat="false" ht="15.8" hidden="false" customHeight="false" outlineLevel="0" collapsed="false">
      <c r="A406" s="1" t="n">
        <v>10</v>
      </c>
      <c r="B406" s="1" t="n">
        <v>3</v>
      </c>
      <c r="C406" s="1" t="n">
        <v>1.8</v>
      </c>
      <c r="D406" s="1" t="n">
        <v>1.0129</v>
      </c>
      <c r="E406" s="1" t="n">
        <v>0.0600353</v>
      </c>
      <c r="F406" s="1" t="n">
        <v>0.000163386</v>
      </c>
      <c r="G406" s="1" t="s">
        <v>27</v>
      </c>
      <c r="H406" s="1" t="n">
        <v>96.8</v>
      </c>
      <c r="I406" s="1" t="n">
        <v>304</v>
      </c>
      <c r="J406" s="1" t="n">
        <v>0</v>
      </c>
      <c r="K406" s="1"/>
      <c r="L406" s="1" t="n">
        <v>0</v>
      </c>
      <c r="M406" s="1" t="n">
        <v>0</v>
      </c>
      <c r="N406" s="1" t="s">
        <v>295</v>
      </c>
      <c r="Z406" s="0" t="n">
        <f aca="false">I406-3</f>
        <v>301</v>
      </c>
      <c r="AB406" s="0" t="n">
        <f aca="false">IF(Z406&lt;0,Z406+360,Z406+0)</f>
        <v>301</v>
      </c>
    </row>
    <row r="407" customFormat="false" ht="15.8" hidden="false" customHeight="false" outlineLevel="0" collapsed="false">
      <c r="A407" s="1" t="n">
        <v>10</v>
      </c>
      <c r="B407" s="1" t="n">
        <v>5</v>
      </c>
      <c r="C407" s="1" t="n">
        <v>9.6</v>
      </c>
      <c r="D407" s="1" t="n">
        <v>1.3062</v>
      </c>
      <c r="E407" s="1" t="n">
        <v>0.328177</v>
      </c>
      <c r="F407" s="1" t="n">
        <v>0.00089313</v>
      </c>
      <c r="G407" s="1" t="s">
        <v>27</v>
      </c>
      <c r="H407" s="1" t="n">
        <v>21.6</v>
      </c>
      <c r="I407" s="1" t="n">
        <v>184.9</v>
      </c>
      <c r="J407" s="1" t="n">
        <v>5.8</v>
      </c>
      <c r="K407" s="1"/>
      <c r="L407" s="1" t="n">
        <v>0</v>
      </c>
      <c r="M407" s="1" t="n">
        <v>0</v>
      </c>
      <c r="N407" s="1" t="s">
        <v>296</v>
      </c>
      <c r="Z407" s="0" t="n">
        <f aca="false">I407-3</f>
        <v>181.9</v>
      </c>
      <c r="AB407" s="0" t="n">
        <f aca="false">IF(Z407&lt;0,Z407+360,Z407+0)</f>
        <v>181.9</v>
      </c>
    </row>
    <row r="408" customFormat="false" ht="15.8" hidden="false" customHeight="false" outlineLevel="0" collapsed="false">
      <c r="A408" s="1" t="n">
        <v>10</v>
      </c>
      <c r="B408" s="1" t="n">
        <v>6</v>
      </c>
      <c r="C408" s="1" t="n">
        <v>1.5</v>
      </c>
      <c r="D408" s="1" t="n">
        <v>1.1475</v>
      </c>
      <c r="E408" s="1" t="n">
        <v>0.0512918</v>
      </c>
      <c r="F408" s="1" t="n">
        <v>0.00013959</v>
      </c>
      <c r="G408" s="1" t="s">
        <v>27</v>
      </c>
      <c r="H408" s="1" t="n">
        <v>115</v>
      </c>
      <c r="I408" s="1" t="n">
        <v>330</v>
      </c>
      <c r="J408" s="1" t="n">
        <v>0</v>
      </c>
      <c r="K408" s="1"/>
      <c r="L408" s="1" t="n">
        <v>0</v>
      </c>
      <c r="M408" s="1" t="n">
        <v>0</v>
      </c>
      <c r="N408" s="1" t="s">
        <v>297</v>
      </c>
      <c r="Z408" s="0" t="n">
        <f aca="false">I408-3</f>
        <v>327</v>
      </c>
      <c r="AB408" s="0" t="n">
        <f aca="false">IF(Z408&lt;0,Z408+360,Z408+0)</f>
        <v>327</v>
      </c>
    </row>
    <row r="409" customFormat="false" ht="15.8" hidden="false" customHeight="false" outlineLevel="0" collapsed="false">
      <c r="A409" s="1" t="n">
        <v>10</v>
      </c>
      <c r="B409" s="1" t="n">
        <v>7</v>
      </c>
      <c r="C409" s="1" t="n">
        <v>1.9</v>
      </c>
      <c r="D409" s="1" t="n">
        <v>1.1624</v>
      </c>
      <c r="E409" s="1" t="n">
        <v>0.0638551</v>
      </c>
      <c r="F409" s="1" t="n">
        <v>0.000173781</v>
      </c>
      <c r="G409" s="1" t="s">
        <v>27</v>
      </c>
      <c r="H409" s="1" t="n">
        <v>43.6</v>
      </c>
      <c r="I409" s="1" t="n">
        <v>117.8</v>
      </c>
      <c r="J409" s="1" t="n">
        <v>-13.3</v>
      </c>
      <c r="K409" s="1"/>
      <c r="L409" s="1" t="n">
        <v>0</v>
      </c>
      <c r="M409" s="1" t="n">
        <v>0</v>
      </c>
      <c r="N409" s="1" t="s">
        <v>298</v>
      </c>
      <c r="Z409" s="0" t="n">
        <f aca="false">I409-3</f>
        <v>114.8</v>
      </c>
      <c r="AB409" s="0" t="n">
        <f aca="false">IF(Z409&lt;0,Z409+360,Z409+0)</f>
        <v>114.8</v>
      </c>
    </row>
    <row r="410" customFormat="false" ht="15.8" hidden="false" customHeight="false" outlineLevel="0" collapsed="false">
      <c r="A410" s="1" t="n">
        <v>10</v>
      </c>
      <c r="B410" s="1" t="n">
        <v>10</v>
      </c>
      <c r="C410" s="1" t="n">
        <v>0.5</v>
      </c>
      <c r="D410" s="1" t="n">
        <v>1.0235</v>
      </c>
      <c r="E410" s="1" t="n">
        <v>0.0180536</v>
      </c>
      <c r="F410" s="1" t="n">
        <v>4.91328E-005</v>
      </c>
      <c r="G410" s="1" t="s">
        <v>27</v>
      </c>
      <c r="H410" s="1" t="n">
        <v>82.4</v>
      </c>
      <c r="I410" s="1" t="n">
        <v>97.3</v>
      </c>
      <c r="J410" s="1" t="n">
        <v>0</v>
      </c>
      <c r="K410" s="1"/>
      <c r="L410" s="1" t="n">
        <v>0</v>
      </c>
      <c r="M410" s="1" t="n">
        <v>0</v>
      </c>
      <c r="N410" s="1" t="s">
        <v>299</v>
      </c>
      <c r="Z410" s="0" t="n">
        <f aca="false">I410-3</f>
        <v>94.3</v>
      </c>
      <c r="AB410" s="0" t="n">
        <f aca="false">IF(Z410&lt;0,Z410+360,Z410+0)</f>
        <v>94.3</v>
      </c>
    </row>
    <row r="411" customFormat="false" ht="15.8" hidden="false" customHeight="false" outlineLevel="0" collapsed="false">
      <c r="A411" s="1" t="n">
        <v>10</v>
      </c>
      <c r="B411" s="1" t="n">
        <v>11</v>
      </c>
      <c r="C411" s="1" t="n">
        <v>0.9</v>
      </c>
      <c r="D411" s="1" t="n">
        <v>1.1128</v>
      </c>
      <c r="E411" s="1" t="n">
        <v>0.0316269</v>
      </c>
      <c r="F411" s="1" t="n">
        <v>8.60724E-005</v>
      </c>
      <c r="G411" s="1" t="s">
        <v>27</v>
      </c>
      <c r="H411" s="1" t="n">
        <v>114.4</v>
      </c>
      <c r="I411" s="1" t="n">
        <v>20.6</v>
      </c>
      <c r="J411" s="1" t="n">
        <v>-26.4</v>
      </c>
      <c r="K411" s="1"/>
      <c r="L411" s="1" t="n">
        <v>0</v>
      </c>
      <c r="M411" s="1" t="n">
        <v>0</v>
      </c>
      <c r="N411" s="1" t="s">
        <v>300</v>
      </c>
      <c r="Z411" s="0" t="n">
        <f aca="false">I411-3</f>
        <v>17.6</v>
      </c>
      <c r="AB411" s="0" t="n">
        <f aca="false">IF(Z411&lt;0,Z411+360,Z411+0)</f>
        <v>17.6</v>
      </c>
    </row>
    <row r="412" customFormat="false" ht="15.8" hidden="false" customHeight="false" outlineLevel="0" collapsed="false">
      <c r="A412" s="1" t="n">
        <v>10</v>
      </c>
      <c r="B412" s="1" t="n">
        <v>12</v>
      </c>
      <c r="C412" s="1" t="n">
        <v>1.5</v>
      </c>
      <c r="D412" s="1" t="n">
        <v>1.0235</v>
      </c>
      <c r="E412" s="1" t="n">
        <v>0.0522255</v>
      </c>
      <c r="F412" s="1" t="n">
        <v>0.000142131</v>
      </c>
      <c r="G412" s="1" t="s">
        <v>27</v>
      </c>
      <c r="H412" s="1" t="n">
        <v>65</v>
      </c>
      <c r="I412" s="1" t="n">
        <v>172.9</v>
      </c>
      <c r="J412" s="1" t="n">
        <v>0</v>
      </c>
      <c r="K412" s="1"/>
      <c r="L412" s="1" t="n">
        <v>0</v>
      </c>
      <c r="M412" s="1" t="n">
        <v>0</v>
      </c>
      <c r="N412" s="1" t="s">
        <v>301</v>
      </c>
      <c r="Z412" s="0" t="n">
        <f aca="false">I412-3</f>
        <v>169.9</v>
      </c>
      <c r="AB412" s="0" t="n">
        <f aca="false">IF(Z412&lt;0,Z412+360,Z412+0)</f>
        <v>169.9</v>
      </c>
    </row>
    <row r="413" customFormat="false" ht="15.8" hidden="false" customHeight="false" outlineLevel="0" collapsed="false">
      <c r="A413" s="1" t="n">
        <v>10</v>
      </c>
      <c r="B413" s="1" t="n">
        <v>12</v>
      </c>
      <c r="C413" s="1" t="n">
        <v>2.8</v>
      </c>
      <c r="D413" s="1" t="n">
        <v>1.1343</v>
      </c>
      <c r="E413" s="1" t="n">
        <v>0.094896</v>
      </c>
      <c r="F413" s="1" t="n">
        <v>0.000258259</v>
      </c>
      <c r="G413" s="1" t="s">
        <v>27</v>
      </c>
      <c r="H413" s="1" t="n">
        <v>83.6</v>
      </c>
      <c r="I413" s="1" t="n">
        <v>20.2</v>
      </c>
      <c r="J413" s="1" t="n">
        <v>-17.6</v>
      </c>
      <c r="K413" s="1"/>
      <c r="L413" s="1" t="n">
        <v>0</v>
      </c>
      <c r="M413" s="1" t="n">
        <v>0</v>
      </c>
      <c r="N413" s="1" t="s">
        <v>301</v>
      </c>
      <c r="Z413" s="0" t="n">
        <f aca="false">I413-3</f>
        <v>17.2</v>
      </c>
      <c r="AB413" s="0" t="n">
        <f aca="false">IF(Z413&lt;0,Z413+360,Z413+0)</f>
        <v>17.2</v>
      </c>
    </row>
    <row r="414" customFormat="false" ht="15.8" hidden="false" customHeight="false" outlineLevel="0" collapsed="false">
      <c r="A414" s="1" t="n">
        <v>10</v>
      </c>
      <c r="B414" s="1" t="n">
        <v>11</v>
      </c>
      <c r="C414" s="1" t="n">
        <v>3.5</v>
      </c>
      <c r="D414" s="1" t="n">
        <v>1.5125</v>
      </c>
      <c r="E414" s="1" t="n">
        <v>0.118548</v>
      </c>
      <c r="F414" s="1" t="n">
        <v>0.000322629</v>
      </c>
      <c r="G414" s="1" t="s">
        <v>37</v>
      </c>
      <c r="H414" s="1" t="n">
        <v>62.4</v>
      </c>
      <c r="I414" s="1" t="n">
        <v>109.3</v>
      </c>
      <c r="J414" s="1" t="n">
        <v>-18.8</v>
      </c>
      <c r="K414" s="1" t="n">
        <v>83.6</v>
      </c>
      <c r="L414" s="1" t="n">
        <v>0</v>
      </c>
      <c r="M414" s="1" t="n">
        <v>0</v>
      </c>
      <c r="N414" s="1" t="s">
        <v>300</v>
      </c>
      <c r="Z414" s="0" t="n">
        <f aca="false">I414-3</f>
        <v>106.3</v>
      </c>
      <c r="AB414" s="0" t="n">
        <f aca="false">IF(Z414&lt;0,Z414+360,Z414+0)</f>
        <v>106.3</v>
      </c>
    </row>
    <row r="415" customFormat="false" ht="15.8" hidden="false" customHeight="false" outlineLevel="0" collapsed="false">
      <c r="A415" s="1" t="n">
        <v>10</v>
      </c>
      <c r="B415" s="1" t="n">
        <v>10</v>
      </c>
      <c r="C415" s="1" t="n">
        <v>6.9</v>
      </c>
      <c r="D415" s="1" t="n">
        <v>1.3536</v>
      </c>
      <c r="E415" s="1" t="n">
        <v>0.234857</v>
      </c>
      <c r="F415" s="1" t="n">
        <v>0.00063916</v>
      </c>
      <c r="G415" s="1" t="s">
        <v>37</v>
      </c>
      <c r="H415" s="1" t="n">
        <v>2.4</v>
      </c>
      <c r="I415" s="1" t="n">
        <v>178.3</v>
      </c>
      <c r="J415" s="1" t="n">
        <v>-35.7</v>
      </c>
      <c r="K415" s="1" t="n">
        <v>114.4</v>
      </c>
      <c r="L415" s="1" t="n">
        <v>0</v>
      </c>
      <c r="M415" s="1" t="n">
        <v>0</v>
      </c>
      <c r="N415" s="1" t="s">
        <v>299</v>
      </c>
      <c r="Z415" s="0" t="n">
        <f aca="false">I415-3</f>
        <v>175.3</v>
      </c>
      <c r="AB415" s="0" t="n">
        <f aca="false">IF(Z415&lt;0,Z415+360,Z415+0)</f>
        <v>175.3</v>
      </c>
    </row>
    <row r="416" customFormat="false" ht="15.8" hidden="false" customHeight="false" outlineLevel="0" collapsed="false">
      <c r="A416" s="1" t="n">
        <v>10</v>
      </c>
      <c r="B416" s="1" t="n">
        <v>9</v>
      </c>
      <c r="C416" s="1" t="n">
        <v>2.7</v>
      </c>
      <c r="D416" s="1" t="n">
        <v>1.3205</v>
      </c>
      <c r="E416" s="1" t="n">
        <v>0.0912414</v>
      </c>
      <c r="F416" s="1" t="n">
        <v>0.000248313</v>
      </c>
      <c r="G416" s="1" t="s">
        <v>37</v>
      </c>
      <c r="H416" s="1" t="n">
        <v>53.9</v>
      </c>
      <c r="I416" s="1" t="n">
        <v>178.2</v>
      </c>
      <c r="J416" s="1" t="n">
        <v>-33.3</v>
      </c>
      <c r="K416" s="1" t="n">
        <v>82.4</v>
      </c>
      <c r="L416" s="1" t="n">
        <v>0</v>
      </c>
      <c r="M416" s="1" t="n">
        <v>0</v>
      </c>
      <c r="N416" s="1" t="s">
        <v>302</v>
      </c>
      <c r="Z416" s="0" t="n">
        <f aca="false">I416-3</f>
        <v>175.2</v>
      </c>
      <c r="AB416" s="0" t="n">
        <f aca="false">IF(Z416&lt;0,Z416+360,Z416+0)</f>
        <v>175.2</v>
      </c>
    </row>
    <row r="417" customFormat="false" ht="15.8" hidden="false" customHeight="false" outlineLevel="0" collapsed="false">
      <c r="A417" s="1" t="n">
        <v>10</v>
      </c>
      <c r="B417" s="1" t="n">
        <v>10</v>
      </c>
      <c r="C417" s="1" t="n">
        <v>0.6</v>
      </c>
      <c r="D417" s="1" t="n">
        <v>1.001</v>
      </c>
      <c r="E417" s="1" t="n">
        <v>0.0196906</v>
      </c>
      <c r="F417" s="1" t="n">
        <v>5.35878E-005</v>
      </c>
      <c r="G417" s="1" t="s">
        <v>27</v>
      </c>
      <c r="H417" s="1" t="n">
        <v>27.4</v>
      </c>
      <c r="I417" s="1" t="n">
        <v>330.5</v>
      </c>
      <c r="J417" s="1" t="n">
        <v>0</v>
      </c>
      <c r="K417" s="1"/>
      <c r="L417" s="1" t="n">
        <v>0</v>
      </c>
      <c r="M417" s="1" t="n">
        <v>0</v>
      </c>
      <c r="N417" s="1" t="s">
        <v>303</v>
      </c>
      <c r="Z417" s="0" t="n">
        <f aca="false">I417-3</f>
        <v>327.5</v>
      </c>
      <c r="AB417" s="0" t="n">
        <f aca="false">IF(Z417&lt;0,Z417+360,Z417+0)</f>
        <v>327.5</v>
      </c>
    </row>
    <row r="418" customFormat="false" ht="15.8" hidden="false" customHeight="false" outlineLevel="0" collapsed="false">
      <c r="A418" s="1" t="n">
        <v>10</v>
      </c>
      <c r="B418" s="1" t="n">
        <v>12</v>
      </c>
      <c r="C418" s="1" t="n">
        <v>0.5</v>
      </c>
      <c r="D418" s="1" t="n">
        <v>1.0027</v>
      </c>
      <c r="E418" s="1" t="n">
        <v>0.0178092</v>
      </c>
      <c r="F418" s="1" t="n">
        <v>4.84675E-005</v>
      </c>
      <c r="G418" s="1" t="s">
        <v>27</v>
      </c>
      <c r="H418" s="1" t="n">
        <v>55.4</v>
      </c>
      <c r="I418" s="1" t="n">
        <v>327</v>
      </c>
      <c r="J418" s="1" t="n">
        <v>0</v>
      </c>
      <c r="K418" s="1"/>
      <c r="L418" s="1" t="n">
        <v>0</v>
      </c>
      <c r="M418" s="1" t="n">
        <v>0</v>
      </c>
      <c r="N418" s="1" t="s">
        <v>304</v>
      </c>
      <c r="Z418" s="0" t="n">
        <f aca="false">I418-3</f>
        <v>324</v>
      </c>
      <c r="AB418" s="0" t="n">
        <f aca="false">IF(Z418&lt;0,Z418+360,Z418+0)</f>
        <v>324</v>
      </c>
    </row>
    <row r="419" customFormat="false" ht="15.8" hidden="false" customHeight="false" outlineLevel="0" collapsed="false">
      <c r="A419" s="1" t="n">
        <v>10</v>
      </c>
      <c r="B419" s="1" t="n">
        <v>12</v>
      </c>
      <c r="C419" s="1" t="n">
        <v>1.3</v>
      </c>
      <c r="D419" s="1" t="n">
        <v>1.0965</v>
      </c>
      <c r="E419" s="1" t="n">
        <v>0.0429067</v>
      </c>
      <c r="F419" s="1" t="n">
        <v>0.00011677</v>
      </c>
      <c r="G419" s="1" t="s">
        <v>27</v>
      </c>
      <c r="H419" s="1" t="n">
        <v>80.4</v>
      </c>
      <c r="I419" s="1" t="n">
        <v>318.2</v>
      </c>
      <c r="J419" s="1" t="n">
        <v>76</v>
      </c>
      <c r="K419" s="1"/>
      <c r="L419" s="1" t="n">
        <v>0</v>
      </c>
      <c r="M419" s="1" t="n">
        <v>0</v>
      </c>
      <c r="N419" s="1" t="s">
        <v>304</v>
      </c>
      <c r="Z419" s="0" t="n">
        <f aca="false">I419-3</f>
        <v>315.2</v>
      </c>
      <c r="AB419" s="0" t="n">
        <f aca="false">IF(Z419&lt;0,Z419+360,Z419+0)</f>
        <v>315.2</v>
      </c>
    </row>
    <row r="420" customFormat="false" ht="15.8" hidden="false" customHeight="false" outlineLevel="0" collapsed="false">
      <c r="A420" s="1" t="n">
        <v>10</v>
      </c>
      <c r="B420" s="1" t="n">
        <v>11</v>
      </c>
      <c r="C420" s="1" t="n">
        <v>0.4</v>
      </c>
      <c r="D420" s="1" t="n">
        <v>1.0005</v>
      </c>
      <c r="E420" s="1" t="n">
        <v>0.0134154</v>
      </c>
      <c r="F420" s="1" t="n">
        <v>3.65099E-005</v>
      </c>
      <c r="G420" s="1" t="s">
        <v>37</v>
      </c>
      <c r="H420" s="1" t="n">
        <v>86.8</v>
      </c>
      <c r="I420" s="1" t="n">
        <v>271.6</v>
      </c>
      <c r="J420" s="1" t="n">
        <v>0</v>
      </c>
      <c r="K420" s="1" t="n">
        <v>80.4</v>
      </c>
      <c r="L420" s="1" t="n">
        <v>0</v>
      </c>
      <c r="M420" s="1" t="n">
        <v>0</v>
      </c>
      <c r="N420" s="1" t="s">
        <v>305</v>
      </c>
      <c r="Z420" s="0" t="n">
        <f aca="false">I420-3</f>
        <v>268.6</v>
      </c>
      <c r="AB420" s="0" t="n">
        <f aca="false">IF(Z420&lt;0,Z420+360,Z420+0)</f>
        <v>268.6</v>
      </c>
    </row>
    <row r="421" customFormat="false" ht="15.8" hidden="false" customHeight="false" outlineLevel="0" collapsed="false">
      <c r="A421" s="1" t="n">
        <v>10</v>
      </c>
      <c r="B421" s="1" t="n">
        <v>12</v>
      </c>
      <c r="C421" s="1" t="n">
        <v>2.3</v>
      </c>
      <c r="D421" s="1" t="n">
        <v>1.8396</v>
      </c>
      <c r="E421" s="1" t="n">
        <v>0.0782741</v>
      </c>
      <c r="F421" s="1" t="n">
        <v>0.000213022</v>
      </c>
      <c r="G421" s="1" t="s">
        <v>27</v>
      </c>
      <c r="H421" s="1" t="n">
        <v>95.4</v>
      </c>
      <c r="I421" s="1" t="n">
        <v>224.2</v>
      </c>
      <c r="J421" s="1" t="n">
        <v>63.1</v>
      </c>
      <c r="K421" s="1"/>
      <c r="L421" s="1" t="n">
        <v>0</v>
      </c>
      <c r="M421" s="1" t="n">
        <v>0</v>
      </c>
      <c r="N421" s="1" t="s">
        <v>306</v>
      </c>
      <c r="Z421" s="0" t="n">
        <f aca="false">I421-3</f>
        <v>221.2</v>
      </c>
      <c r="AB421" s="0" t="n">
        <f aca="false">IF(Z421&lt;0,Z421+360,Z421+0)</f>
        <v>221.2</v>
      </c>
    </row>
    <row r="422" customFormat="false" ht="15.8" hidden="false" customHeight="false" outlineLevel="0" collapsed="false">
      <c r="A422" s="1" t="n">
        <v>10</v>
      </c>
      <c r="B422" s="1" t="n">
        <v>12</v>
      </c>
      <c r="C422" s="1" t="n">
        <v>1.9</v>
      </c>
      <c r="D422" s="1" t="n">
        <v>1.3554</v>
      </c>
      <c r="E422" s="1" t="n">
        <v>0.0646306</v>
      </c>
      <c r="F422" s="1" t="n">
        <v>0.000175892</v>
      </c>
      <c r="G422" s="1" t="s">
        <v>27</v>
      </c>
      <c r="H422" s="1" t="n">
        <v>28.5</v>
      </c>
      <c r="I422" s="1" t="n">
        <v>31.8</v>
      </c>
      <c r="J422" s="1" t="n">
        <v>15.4</v>
      </c>
      <c r="K422" s="1"/>
      <c r="L422" s="1" t="n">
        <v>0</v>
      </c>
      <c r="M422" s="1" t="n">
        <v>0</v>
      </c>
      <c r="N422" s="1" t="s">
        <v>306</v>
      </c>
      <c r="Z422" s="0" t="n">
        <f aca="false">I422-3</f>
        <v>28.8</v>
      </c>
      <c r="AB422" s="0" t="n">
        <f aca="false">IF(Z422&lt;0,Z422+360,Z422+0)</f>
        <v>28.8</v>
      </c>
    </row>
    <row r="423" customFormat="false" ht="15.8" hidden="false" customHeight="false" outlineLevel="0" collapsed="false">
      <c r="A423" s="1" t="n">
        <v>10</v>
      </c>
      <c r="B423" s="1" t="n">
        <v>11</v>
      </c>
      <c r="C423" s="1" t="n">
        <v>4.6</v>
      </c>
      <c r="D423" s="1" t="n">
        <v>1.6146</v>
      </c>
      <c r="E423" s="1" t="n">
        <v>0.158165</v>
      </c>
      <c r="F423" s="1" t="n">
        <v>0.000430445</v>
      </c>
      <c r="G423" s="1" t="s">
        <v>37</v>
      </c>
      <c r="H423" s="1" t="n">
        <v>34.8</v>
      </c>
      <c r="I423" s="1" t="n">
        <v>2.3</v>
      </c>
      <c r="J423" s="1" t="n">
        <v>15</v>
      </c>
      <c r="K423" s="1" t="n">
        <v>95.4</v>
      </c>
      <c r="L423" s="1" t="n">
        <v>0</v>
      </c>
      <c r="M423" s="1" t="n">
        <v>0</v>
      </c>
      <c r="N423" s="1" t="s">
        <v>305</v>
      </c>
      <c r="Z423" s="0" t="n">
        <f aca="false">I423-3</f>
        <v>-0.7</v>
      </c>
      <c r="AB423" s="0" t="n">
        <f aca="false">IF(Z423&lt;0,Z423+360,Z423+0)</f>
        <v>359.3</v>
      </c>
    </row>
    <row r="424" customFormat="false" ht="15.8" hidden="false" customHeight="false" outlineLevel="0" collapsed="false">
      <c r="A424" s="1" t="n">
        <v>10</v>
      </c>
      <c r="B424" s="1" t="n">
        <v>10</v>
      </c>
      <c r="C424" s="1" t="n">
        <v>1.7</v>
      </c>
      <c r="D424" s="1" t="n">
        <v>1.1505</v>
      </c>
      <c r="E424" s="1" t="n">
        <v>0.0574518</v>
      </c>
      <c r="F424" s="1" t="n">
        <v>0.000156355</v>
      </c>
      <c r="G424" s="1" t="s">
        <v>37</v>
      </c>
      <c r="H424" s="1" t="n">
        <v>52.9</v>
      </c>
      <c r="I424" s="1" t="n">
        <v>356.7</v>
      </c>
      <c r="J424" s="1" t="n">
        <v>49.5</v>
      </c>
      <c r="K424" s="1" t="n">
        <v>86.8</v>
      </c>
      <c r="L424" s="1" t="n">
        <v>0</v>
      </c>
      <c r="M424" s="1" t="n">
        <v>0</v>
      </c>
      <c r="N424" s="1" t="s">
        <v>303</v>
      </c>
      <c r="Z424" s="0" t="n">
        <f aca="false">I424-3</f>
        <v>353.7</v>
      </c>
      <c r="AB424" s="0" t="n">
        <f aca="false">IF(Z424&lt;0,Z424+360,Z424+0)</f>
        <v>353.7</v>
      </c>
    </row>
    <row r="425" customFormat="false" ht="15.8" hidden="false" customHeight="false" outlineLevel="0" collapsed="false">
      <c r="A425" s="1" t="n">
        <v>10</v>
      </c>
      <c r="B425" s="1" t="n">
        <v>10</v>
      </c>
      <c r="C425" s="1" t="n">
        <v>2.5</v>
      </c>
      <c r="D425" s="1" t="n">
        <v>1.293</v>
      </c>
      <c r="E425" s="1" t="n">
        <v>0.0853469</v>
      </c>
      <c r="F425" s="1" t="n">
        <v>0.000232271</v>
      </c>
      <c r="G425" s="1" t="s">
        <v>27</v>
      </c>
      <c r="H425" s="1" t="n">
        <v>103.7</v>
      </c>
      <c r="I425" s="1" t="n">
        <v>195.2</v>
      </c>
      <c r="J425" s="1" t="n">
        <v>22.5</v>
      </c>
      <c r="K425" s="1"/>
      <c r="L425" s="1" t="n">
        <v>0</v>
      </c>
      <c r="M425" s="1" t="n">
        <v>0</v>
      </c>
      <c r="N425" s="1" t="s">
        <v>303</v>
      </c>
      <c r="Z425" s="0" t="n">
        <f aca="false">I425-3</f>
        <v>192.2</v>
      </c>
      <c r="AB425" s="0" t="n">
        <f aca="false">IF(Z425&lt;0,Z425+360,Z425+0)</f>
        <v>192.2</v>
      </c>
    </row>
    <row r="426" customFormat="false" ht="15.8" hidden="false" customHeight="false" outlineLevel="0" collapsed="false">
      <c r="A426" s="1" t="n">
        <v>10</v>
      </c>
      <c r="B426" s="1" t="n">
        <v>9</v>
      </c>
      <c r="C426" s="1" t="n">
        <v>1.7</v>
      </c>
      <c r="D426" s="1" t="n">
        <v>1.1472</v>
      </c>
      <c r="E426" s="1" t="n">
        <v>0.0566031</v>
      </c>
      <c r="F426" s="1" t="n">
        <v>0.000154045</v>
      </c>
      <c r="G426" s="1" t="s">
        <v>37</v>
      </c>
      <c r="H426" s="1" t="n">
        <v>84.1</v>
      </c>
      <c r="I426" s="1" t="n">
        <v>307.2</v>
      </c>
      <c r="J426" s="1" t="n">
        <v>14.9</v>
      </c>
      <c r="K426" s="1" t="n">
        <v>103.7</v>
      </c>
      <c r="L426" s="1" t="n">
        <v>0</v>
      </c>
      <c r="M426" s="1" t="n">
        <v>0</v>
      </c>
      <c r="N426" s="1" t="s">
        <v>302</v>
      </c>
      <c r="Z426" s="0" t="n">
        <f aca="false">I426-3</f>
        <v>304.2</v>
      </c>
      <c r="AB426" s="0" t="n">
        <f aca="false">IF(Z426&lt;0,Z426+360,Z426+0)</f>
        <v>304.2</v>
      </c>
    </row>
    <row r="427" customFormat="false" ht="15.8" hidden="false" customHeight="false" outlineLevel="0" collapsed="false">
      <c r="A427" s="1" t="n">
        <v>10</v>
      </c>
      <c r="B427" s="1" t="n">
        <v>8</v>
      </c>
      <c r="C427" s="1" t="n">
        <v>0.7</v>
      </c>
      <c r="D427" s="1" t="n">
        <v>1.0272</v>
      </c>
      <c r="E427" s="1" t="n">
        <v>0.0250775</v>
      </c>
      <c r="F427" s="1" t="n">
        <v>6.82481E-005</v>
      </c>
      <c r="G427" s="1" t="s">
        <v>37</v>
      </c>
      <c r="H427" s="1" t="n">
        <v>26.1</v>
      </c>
      <c r="I427" s="1" t="n">
        <v>223.4</v>
      </c>
      <c r="J427" s="1" t="n">
        <v>0</v>
      </c>
      <c r="K427" s="1" t="n">
        <v>84.1</v>
      </c>
      <c r="L427" s="1" t="n">
        <v>0</v>
      </c>
      <c r="M427" s="1" t="n">
        <v>0</v>
      </c>
      <c r="N427" s="1" t="s">
        <v>307</v>
      </c>
      <c r="Z427" s="0" t="n">
        <f aca="false">I427-3</f>
        <v>220.4</v>
      </c>
      <c r="AB427" s="0" t="n">
        <f aca="false">IF(Z427&lt;0,Z427+360,Z427+0)</f>
        <v>220.4</v>
      </c>
    </row>
    <row r="428" customFormat="false" ht="15.8" hidden="false" customHeight="false" outlineLevel="0" collapsed="false">
      <c r="A428" s="1" t="n">
        <v>10</v>
      </c>
      <c r="B428" s="1" t="n">
        <v>8</v>
      </c>
      <c r="C428" s="1" t="n">
        <v>2.1</v>
      </c>
      <c r="D428" s="1" t="n">
        <v>1.2577</v>
      </c>
      <c r="E428" s="1" t="n">
        <v>0.0729263</v>
      </c>
      <c r="F428" s="1" t="n">
        <v>0.000198468</v>
      </c>
      <c r="G428" s="1" t="s">
        <v>27</v>
      </c>
      <c r="H428" s="1" t="n">
        <v>110.5</v>
      </c>
      <c r="I428" s="1" t="n">
        <v>353.7</v>
      </c>
      <c r="J428" s="1" t="n">
        <v>-40.9</v>
      </c>
      <c r="K428" s="1"/>
      <c r="L428" s="1" t="n">
        <v>0</v>
      </c>
      <c r="M428" s="1" t="n">
        <v>0</v>
      </c>
      <c r="N428" s="1" t="s">
        <v>307</v>
      </c>
      <c r="Z428" s="0" t="n">
        <f aca="false">I428-3</f>
        <v>350.7</v>
      </c>
      <c r="AB428" s="0" t="n">
        <f aca="false">IF(Z428&lt;0,Z428+360,Z428+0)</f>
        <v>350.7</v>
      </c>
    </row>
    <row r="429" customFormat="false" ht="15.8" hidden="false" customHeight="false" outlineLevel="0" collapsed="false">
      <c r="A429" s="1" t="n">
        <v>10</v>
      </c>
      <c r="B429" s="1" t="n">
        <v>9</v>
      </c>
      <c r="C429" s="1" t="n">
        <v>1.2</v>
      </c>
      <c r="D429" s="1" t="n">
        <v>1.1875</v>
      </c>
      <c r="E429" s="1" t="n">
        <v>0.0425328</v>
      </c>
      <c r="F429" s="1" t="n">
        <v>0.000115753</v>
      </c>
      <c r="G429" s="1" t="s">
        <v>27</v>
      </c>
      <c r="H429" s="1" t="n">
        <v>47.4</v>
      </c>
      <c r="I429" s="1" t="n">
        <v>179.4</v>
      </c>
      <c r="J429" s="1" t="n">
        <v>-20.7</v>
      </c>
      <c r="K429" s="1"/>
      <c r="L429" s="1" t="n">
        <v>0</v>
      </c>
      <c r="M429" s="1" t="n">
        <v>0</v>
      </c>
      <c r="N429" s="1" t="s">
        <v>308</v>
      </c>
      <c r="Z429" s="0" t="n">
        <f aca="false">I429-3</f>
        <v>176.4</v>
      </c>
      <c r="AB429" s="0" t="n">
        <f aca="false">IF(Z429&lt;0,Z429+360,Z429+0)</f>
        <v>176.4</v>
      </c>
    </row>
    <row r="430" customFormat="false" ht="15.8" hidden="false" customHeight="false" outlineLevel="0" collapsed="false">
      <c r="A430" s="1" t="n">
        <v>10</v>
      </c>
      <c r="B430" s="1" t="n">
        <v>10</v>
      </c>
      <c r="C430" s="1" t="n">
        <v>0.5</v>
      </c>
      <c r="D430" s="1" t="n">
        <v>1.0004</v>
      </c>
      <c r="E430" s="1" t="n">
        <v>0.017912</v>
      </c>
      <c r="F430" s="1" t="n">
        <v>4.87475E-005</v>
      </c>
      <c r="G430" s="1" t="s">
        <v>27</v>
      </c>
      <c r="H430" s="1" t="n">
        <v>45.7</v>
      </c>
      <c r="I430" s="1" t="n">
        <v>86.4</v>
      </c>
      <c r="J430" s="1" t="n">
        <v>0</v>
      </c>
      <c r="K430" s="1"/>
      <c r="L430" s="1" t="n">
        <v>0</v>
      </c>
      <c r="M430" s="1" t="n">
        <v>0</v>
      </c>
      <c r="N430" s="1" t="s">
        <v>309</v>
      </c>
      <c r="Z430" s="0" t="n">
        <f aca="false">I430-3</f>
        <v>83.4</v>
      </c>
      <c r="AB430" s="0" t="n">
        <f aca="false">IF(Z430&lt;0,Z430+360,Z430+0)</f>
        <v>83.4</v>
      </c>
    </row>
    <row r="431" customFormat="false" ht="15.8" hidden="false" customHeight="false" outlineLevel="0" collapsed="false">
      <c r="A431" s="1" t="n">
        <v>10</v>
      </c>
      <c r="B431" s="1" t="n">
        <v>10</v>
      </c>
      <c r="C431" s="1" t="n">
        <v>3.8</v>
      </c>
      <c r="D431" s="1" t="n">
        <v>2.1868</v>
      </c>
      <c r="E431" s="1" t="n">
        <v>0.129037</v>
      </c>
      <c r="F431" s="1" t="n">
        <v>0.000351172</v>
      </c>
      <c r="G431" s="1" t="s">
        <v>27</v>
      </c>
      <c r="H431" s="1" t="n">
        <v>92.1</v>
      </c>
      <c r="I431" s="1" t="n">
        <v>307.4</v>
      </c>
      <c r="J431" s="1" t="n">
        <v>12.4</v>
      </c>
      <c r="K431" s="1"/>
      <c r="L431" s="1" t="n">
        <v>0</v>
      </c>
      <c r="M431" s="1" t="n">
        <v>0</v>
      </c>
      <c r="N431" s="1" t="s">
        <v>309</v>
      </c>
      <c r="Z431" s="0" t="n">
        <f aca="false">I431-3</f>
        <v>304.4</v>
      </c>
      <c r="AB431" s="0" t="n">
        <f aca="false">IF(Z431&lt;0,Z431+360,Z431+0)</f>
        <v>304.4</v>
      </c>
    </row>
    <row r="432" customFormat="false" ht="15.8" hidden="false" customHeight="false" outlineLevel="0" collapsed="false">
      <c r="A432" s="1" t="n">
        <v>10</v>
      </c>
      <c r="B432" s="1" t="n">
        <v>9</v>
      </c>
      <c r="C432" s="1" t="n">
        <v>2.9</v>
      </c>
      <c r="D432" s="1" t="n">
        <v>1.2642</v>
      </c>
      <c r="E432" s="1" t="n">
        <v>0.0994851</v>
      </c>
      <c r="F432" s="1" t="n">
        <v>0.000270748</v>
      </c>
      <c r="G432" s="1" t="s">
        <v>37</v>
      </c>
      <c r="H432" s="1" t="n">
        <v>110.6</v>
      </c>
      <c r="I432" s="1" t="n">
        <v>44</v>
      </c>
      <c r="J432" s="1" t="n">
        <v>18.8</v>
      </c>
      <c r="K432" s="1" t="n">
        <v>92.1</v>
      </c>
      <c r="L432" s="1" t="n">
        <v>0</v>
      </c>
      <c r="M432" s="1" t="n">
        <v>0</v>
      </c>
      <c r="N432" s="1" t="s">
        <v>308</v>
      </c>
      <c r="Z432" s="0" t="n">
        <f aca="false">I432-3</f>
        <v>41</v>
      </c>
      <c r="AB432" s="0" t="n">
        <f aca="false">IF(Z432&lt;0,Z432+360,Z432+0)</f>
        <v>41</v>
      </c>
    </row>
    <row r="433" customFormat="false" ht="15.8" hidden="false" customHeight="false" outlineLevel="0" collapsed="false">
      <c r="A433" s="1" t="n">
        <v>10</v>
      </c>
      <c r="B433" s="1" t="n">
        <v>8</v>
      </c>
      <c r="C433" s="1" t="n">
        <v>5.1</v>
      </c>
      <c r="D433" s="1" t="n">
        <v>1.1969</v>
      </c>
      <c r="E433" s="1" t="n">
        <v>0.173946</v>
      </c>
      <c r="F433" s="1" t="n">
        <v>0.000473393</v>
      </c>
      <c r="G433" s="1" t="s">
        <v>37</v>
      </c>
      <c r="H433" s="1" t="n">
        <v>59.5</v>
      </c>
      <c r="I433" s="1" t="n">
        <v>142.8</v>
      </c>
      <c r="J433" s="1" t="n">
        <v>-60.5</v>
      </c>
      <c r="K433" s="1" t="n">
        <v>110.6</v>
      </c>
      <c r="L433" s="1" t="n">
        <v>0</v>
      </c>
      <c r="M433" s="1" t="n">
        <v>0</v>
      </c>
      <c r="N433" s="1" t="s">
        <v>307</v>
      </c>
      <c r="Z433" s="0" t="n">
        <f aca="false">I433-3</f>
        <v>139.8</v>
      </c>
      <c r="AB433" s="0" t="n">
        <f aca="false">IF(Z433&lt;0,Z433+360,Z433+0)</f>
        <v>139.8</v>
      </c>
    </row>
    <row r="434" customFormat="false" ht="15.8" hidden="false" customHeight="false" outlineLevel="0" collapsed="false">
      <c r="A434" s="1" t="n">
        <v>10</v>
      </c>
      <c r="B434" s="1" t="n">
        <v>7</v>
      </c>
      <c r="C434" s="1" t="n">
        <v>1.2</v>
      </c>
      <c r="D434" s="1" t="n">
        <v>1.1852</v>
      </c>
      <c r="E434" s="1" t="n">
        <v>0.0417873</v>
      </c>
      <c r="F434" s="1" t="n">
        <v>0.000113724</v>
      </c>
      <c r="G434" s="1" t="s">
        <v>37</v>
      </c>
      <c r="H434" s="1" t="n">
        <v>51.3</v>
      </c>
      <c r="I434" s="1" t="n">
        <v>207.6</v>
      </c>
      <c r="J434" s="1" t="n">
        <v>-21</v>
      </c>
      <c r="K434" s="1" t="n">
        <v>110.5</v>
      </c>
      <c r="L434" s="1" t="n">
        <v>0</v>
      </c>
      <c r="M434" s="1" t="n">
        <v>0</v>
      </c>
      <c r="N434" s="1" t="s">
        <v>298</v>
      </c>
      <c r="Z434" s="0" t="n">
        <f aca="false">I434-3</f>
        <v>204.6</v>
      </c>
      <c r="AB434" s="0" t="n">
        <f aca="false">IF(Z434&lt;0,Z434+360,Z434+0)</f>
        <v>204.6</v>
      </c>
    </row>
    <row r="435" customFormat="false" ht="15.8" hidden="false" customHeight="false" outlineLevel="0" collapsed="false">
      <c r="A435" s="1" t="n">
        <v>10</v>
      </c>
      <c r="B435" s="1" t="n">
        <v>6</v>
      </c>
      <c r="C435" s="1" t="n">
        <v>0.6</v>
      </c>
      <c r="D435" s="1" t="n">
        <v>1.0178</v>
      </c>
      <c r="E435" s="1" t="n">
        <v>0.0218216</v>
      </c>
      <c r="F435" s="1" t="n">
        <v>5.93873E-005</v>
      </c>
      <c r="G435" s="1" t="s">
        <v>37</v>
      </c>
      <c r="H435" s="1" t="n">
        <v>55.3</v>
      </c>
      <c r="I435" s="1" t="n">
        <v>159.7</v>
      </c>
      <c r="J435" s="1" t="n">
        <v>0</v>
      </c>
      <c r="K435" s="1" t="n">
        <v>51.3</v>
      </c>
      <c r="L435" s="1" t="n">
        <v>0</v>
      </c>
      <c r="M435" s="1" t="n">
        <v>0</v>
      </c>
      <c r="N435" s="1" t="s">
        <v>297</v>
      </c>
      <c r="Z435" s="0" t="n">
        <f aca="false">I435-3</f>
        <v>156.7</v>
      </c>
      <c r="AB435" s="0" t="n">
        <f aca="false">IF(Z435&lt;0,Z435+360,Z435+0)</f>
        <v>156.7</v>
      </c>
    </row>
    <row r="436" customFormat="false" ht="15.8" hidden="false" customHeight="false" outlineLevel="0" collapsed="false">
      <c r="A436" s="1" t="n">
        <v>10</v>
      </c>
      <c r="B436" s="1" t="n">
        <v>5</v>
      </c>
      <c r="C436" s="1" t="n">
        <v>2.3</v>
      </c>
      <c r="D436" s="1" t="n">
        <v>1.2859</v>
      </c>
      <c r="E436" s="1" t="n">
        <v>0.0800863</v>
      </c>
      <c r="F436" s="1" t="n">
        <v>0.000217954</v>
      </c>
      <c r="G436" s="1" t="s">
        <v>37</v>
      </c>
      <c r="H436" s="1" t="n">
        <v>51</v>
      </c>
      <c r="I436" s="1" t="n">
        <v>215</v>
      </c>
      <c r="J436" s="1" t="n">
        <v>0</v>
      </c>
      <c r="K436" s="1" t="n">
        <v>115</v>
      </c>
      <c r="L436" s="1" t="n">
        <v>0</v>
      </c>
      <c r="M436" s="1" t="n">
        <v>0</v>
      </c>
      <c r="N436" s="1" t="s">
        <v>296</v>
      </c>
      <c r="Z436" s="0" t="n">
        <f aca="false">I436-3</f>
        <v>212</v>
      </c>
      <c r="AB436" s="0" t="n">
        <f aca="false">IF(Z436&lt;0,Z436+360,Z436+0)</f>
        <v>212</v>
      </c>
    </row>
    <row r="437" customFormat="false" ht="15.8" hidden="false" customHeight="false" outlineLevel="0" collapsed="false">
      <c r="A437" s="1" t="n">
        <v>10</v>
      </c>
      <c r="B437" s="1" t="n">
        <v>4</v>
      </c>
      <c r="C437" s="1" t="n">
        <v>2.3</v>
      </c>
      <c r="D437" s="1" t="n">
        <v>1.2821</v>
      </c>
      <c r="E437" s="1" t="n">
        <v>0.0779576</v>
      </c>
      <c r="F437" s="1" t="n">
        <v>0.000212161</v>
      </c>
      <c r="G437" s="1" t="s">
        <v>37</v>
      </c>
      <c r="H437" s="1" t="n">
        <v>42.1</v>
      </c>
      <c r="I437" s="1" t="n">
        <v>164</v>
      </c>
      <c r="J437" s="1" t="n">
        <v>0</v>
      </c>
      <c r="K437" s="1" t="n">
        <v>51</v>
      </c>
      <c r="L437" s="1" t="n">
        <v>0</v>
      </c>
      <c r="M437" s="1" t="n">
        <v>0</v>
      </c>
      <c r="N437" s="1" t="s">
        <v>310</v>
      </c>
      <c r="Z437" s="0" t="n">
        <f aca="false">I437-3</f>
        <v>161</v>
      </c>
      <c r="AB437" s="0" t="n">
        <f aca="false">IF(Z437&lt;0,Z437+360,Z437+0)</f>
        <v>161</v>
      </c>
    </row>
    <row r="438" customFormat="false" ht="15.8" hidden="false" customHeight="false" outlineLevel="0" collapsed="false">
      <c r="A438" s="1" t="n">
        <v>10</v>
      </c>
      <c r="B438" s="1" t="n">
        <v>5</v>
      </c>
      <c r="C438" s="1" t="n">
        <v>1.2</v>
      </c>
      <c r="D438" s="1" t="n">
        <v>1.0307</v>
      </c>
      <c r="E438" s="1" t="n">
        <v>0.0415088</v>
      </c>
      <c r="F438" s="1" t="n">
        <v>0.000112966</v>
      </c>
      <c r="G438" s="1" t="s">
        <v>27</v>
      </c>
      <c r="H438" s="1" t="n">
        <v>80.1</v>
      </c>
      <c r="I438" s="1" t="n">
        <v>166.1</v>
      </c>
      <c r="J438" s="1" t="n">
        <v>0</v>
      </c>
      <c r="K438" s="1"/>
      <c r="L438" s="1" t="n">
        <v>0</v>
      </c>
      <c r="M438" s="1" t="n">
        <v>0</v>
      </c>
      <c r="N438" s="1" t="s">
        <v>311</v>
      </c>
      <c r="Z438" s="0" t="n">
        <f aca="false">I438-3</f>
        <v>163.1</v>
      </c>
      <c r="AB438" s="0" t="n">
        <f aca="false">IF(Z438&lt;0,Z438+360,Z438+0)</f>
        <v>163.1</v>
      </c>
    </row>
    <row r="439" customFormat="false" ht="15.8" hidden="false" customHeight="false" outlineLevel="0" collapsed="false">
      <c r="A439" s="1" t="n">
        <v>10</v>
      </c>
      <c r="B439" s="1" t="n">
        <v>7</v>
      </c>
      <c r="C439" s="1" t="n">
        <v>0.9</v>
      </c>
      <c r="D439" s="1" t="n">
        <v>1.0071</v>
      </c>
      <c r="E439" s="1" t="n">
        <v>0.0299987</v>
      </c>
      <c r="F439" s="1" t="n">
        <v>8.16412E-005</v>
      </c>
      <c r="G439" s="1" t="s">
        <v>27</v>
      </c>
      <c r="H439" s="1" t="n">
        <v>93.7</v>
      </c>
      <c r="I439" s="1" t="n">
        <v>251.8</v>
      </c>
      <c r="J439" s="1" t="n">
        <v>0</v>
      </c>
      <c r="K439" s="1"/>
      <c r="L439" s="1" t="n">
        <v>0</v>
      </c>
      <c r="M439" s="1" t="n">
        <v>0</v>
      </c>
      <c r="N439" s="1" t="s">
        <v>312</v>
      </c>
      <c r="Z439" s="0" t="n">
        <f aca="false">I439-3</f>
        <v>248.8</v>
      </c>
      <c r="AB439" s="0" t="n">
        <f aca="false">IF(Z439&lt;0,Z439+360,Z439+0)</f>
        <v>248.8</v>
      </c>
    </row>
    <row r="440" customFormat="false" ht="15.8" hidden="false" customHeight="false" outlineLevel="0" collapsed="false">
      <c r="A440" s="1" t="n">
        <v>10</v>
      </c>
      <c r="B440" s="1" t="n">
        <v>8</v>
      </c>
      <c r="C440" s="1" t="n">
        <v>0.9</v>
      </c>
      <c r="D440" s="1" t="n">
        <v>1.1213</v>
      </c>
      <c r="E440" s="1" t="n">
        <v>0.0321328</v>
      </c>
      <c r="F440" s="1" t="n">
        <v>8.74492E-005</v>
      </c>
      <c r="G440" s="1" t="s">
        <v>27</v>
      </c>
      <c r="H440" s="1" t="n">
        <v>109.4</v>
      </c>
      <c r="I440" s="1" t="n">
        <v>87.5</v>
      </c>
      <c r="J440" s="1" t="n">
        <v>-26.2</v>
      </c>
      <c r="K440" s="1"/>
      <c r="L440" s="1" t="n">
        <v>0</v>
      </c>
      <c r="M440" s="1" t="n">
        <v>0</v>
      </c>
      <c r="N440" s="1" t="s">
        <v>313</v>
      </c>
      <c r="Z440" s="0" t="n">
        <f aca="false">I440-3</f>
        <v>84.5</v>
      </c>
      <c r="AB440" s="0" t="n">
        <f aca="false">IF(Z440&lt;0,Z440+360,Z440+0)</f>
        <v>84.5</v>
      </c>
    </row>
    <row r="441" customFormat="false" ht="15.8" hidden="false" customHeight="false" outlineLevel="0" collapsed="false">
      <c r="A441" s="1" t="n">
        <v>10</v>
      </c>
      <c r="B441" s="1" t="n">
        <v>9</v>
      </c>
      <c r="C441" s="1" t="n">
        <v>0.7</v>
      </c>
      <c r="D441" s="1" t="n">
        <v>1.2131</v>
      </c>
      <c r="E441" s="1" t="n">
        <v>0.0228836</v>
      </c>
      <c r="F441" s="1" t="n">
        <v>6.22775E-005</v>
      </c>
      <c r="G441" s="1" t="s">
        <v>27</v>
      </c>
      <c r="H441" s="1" t="n">
        <v>68.7</v>
      </c>
      <c r="I441" s="1" t="n">
        <v>64.8</v>
      </c>
      <c r="J441" s="1" t="n">
        <v>-42.1</v>
      </c>
      <c r="K441" s="1"/>
      <c r="L441" s="1" t="n">
        <v>0</v>
      </c>
      <c r="M441" s="1" t="n">
        <v>0</v>
      </c>
      <c r="N441" s="1" t="s">
        <v>314</v>
      </c>
      <c r="Z441" s="0" t="n">
        <f aca="false">I441-3</f>
        <v>61.8</v>
      </c>
      <c r="AB441" s="0" t="n">
        <f aca="false">IF(Z441&lt;0,Z441+360,Z441+0)</f>
        <v>61.8</v>
      </c>
    </row>
    <row r="442" customFormat="false" ht="15.8" hidden="false" customHeight="false" outlineLevel="0" collapsed="false">
      <c r="A442" s="1" t="n">
        <v>10</v>
      </c>
      <c r="B442" s="1" t="n">
        <v>9</v>
      </c>
      <c r="C442" s="1" t="n">
        <v>7.8</v>
      </c>
      <c r="D442" s="1" t="n">
        <v>1.2385</v>
      </c>
      <c r="E442" s="1" t="n">
        <v>0.265279</v>
      </c>
      <c r="F442" s="1" t="n">
        <v>0.000721956</v>
      </c>
      <c r="G442" s="1" t="s">
        <v>27</v>
      </c>
      <c r="H442" s="1" t="n">
        <v>31</v>
      </c>
      <c r="I442" s="1" t="n">
        <v>347.6</v>
      </c>
      <c r="J442" s="1" t="n">
        <v>13.7</v>
      </c>
      <c r="K442" s="1"/>
      <c r="L442" s="1" t="n">
        <v>0</v>
      </c>
      <c r="M442" s="1" t="n">
        <v>0</v>
      </c>
      <c r="N442" s="1" t="s">
        <v>314</v>
      </c>
      <c r="Z442" s="0" t="n">
        <f aca="false">I442-3</f>
        <v>344.6</v>
      </c>
      <c r="AB442" s="0" t="n">
        <f aca="false">IF(Z442&lt;0,Z442+360,Z442+0)</f>
        <v>344.6</v>
      </c>
    </row>
    <row r="443" customFormat="false" ht="15.8" hidden="false" customHeight="false" outlineLevel="0" collapsed="false">
      <c r="A443" s="1" t="n">
        <v>10</v>
      </c>
      <c r="B443" s="1" t="n">
        <v>8</v>
      </c>
      <c r="C443" s="1" t="n">
        <v>2.2</v>
      </c>
      <c r="D443" s="1" t="n">
        <v>1.2888</v>
      </c>
      <c r="E443" s="1" t="n">
        <v>0.0755308</v>
      </c>
      <c r="F443" s="1" t="n">
        <v>0.000205557</v>
      </c>
      <c r="G443" s="1" t="s">
        <v>37</v>
      </c>
      <c r="H443" s="1" t="n">
        <v>35.6</v>
      </c>
      <c r="I443" s="1" t="n">
        <v>19.4</v>
      </c>
      <c r="J443" s="1" t="n">
        <v>12.5</v>
      </c>
      <c r="K443" s="1" t="n">
        <v>68.7</v>
      </c>
      <c r="L443" s="1" t="n">
        <v>0</v>
      </c>
      <c r="M443" s="1" t="n">
        <v>0</v>
      </c>
      <c r="N443" s="1" t="s">
        <v>313</v>
      </c>
      <c r="Z443" s="0" t="n">
        <f aca="false">I443-3</f>
        <v>16.4</v>
      </c>
      <c r="AB443" s="0" t="n">
        <f aca="false">IF(Z443&lt;0,Z443+360,Z443+0)</f>
        <v>16.4</v>
      </c>
    </row>
    <row r="444" customFormat="false" ht="15.8" hidden="false" customHeight="false" outlineLevel="0" collapsed="false">
      <c r="A444" s="1" t="n">
        <v>10</v>
      </c>
      <c r="B444" s="1" t="n">
        <v>7</v>
      </c>
      <c r="C444" s="1" t="n">
        <v>2.8</v>
      </c>
      <c r="D444" s="1" t="n">
        <v>1.1929</v>
      </c>
      <c r="E444" s="1" t="n">
        <v>0.0946421</v>
      </c>
      <c r="F444" s="1" t="n">
        <v>0.000257568</v>
      </c>
      <c r="G444" s="1" t="s">
        <v>37</v>
      </c>
      <c r="H444" s="1" t="n">
        <v>23</v>
      </c>
      <c r="I444" s="1" t="n">
        <v>353.4</v>
      </c>
      <c r="J444" s="1" t="n">
        <v>39.6</v>
      </c>
      <c r="K444" s="1" t="n">
        <v>109.4</v>
      </c>
      <c r="L444" s="1" t="n">
        <v>0</v>
      </c>
      <c r="M444" s="1" t="n">
        <v>0</v>
      </c>
      <c r="N444" s="1" t="s">
        <v>312</v>
      </c>
      <c r="Z444" s="0" t="n">
        <f aca="false">I444-3</f>
        <v>350.4</v>
      </c>
      <c r="AB444" s="0" t="n">
        <f aca="false">IF(Z444&lt;0,Z444+360,Z444+0)</f>
        <v>350.4</v>
      </c>
    </row>
    <row r="445" customFormat="false" ht="15.8" hidden="false" customHeight="false" outlineLevel="0" collapsed="false">
      <c r="A445" s="1" t="n">
        <v>10</v>
      </c>
      <c r="B445" s="1" t="n">
        <v>6</v>
      </c>
      <c r="C445" s="1" t="n">
        <v>3</v>
      </c>
      <c r="D445" s="1" t="n">
        <v>1.2174</v>
      </c>
      <c r="E445" s="1" t="n">
        <v>0.102042</v>
      </c>
      <c r="F445" s="1" t="n">
        <v>0.000277707</v>
      </c>
      <c r="G445" s="1" t="s">
        <v>37</v>
      </c>
      <c r="H445" s="1" t="n">
        <v>82.9</v>
      </c>
      <c r="I445" s="1" t="n">
        <v>345.7</v>
      </c>
      <c r="J445" s="1" t="n">
        <v>17.6</v>
      </c>
      <c r="K445" s="1" t="n">
        <v>93.7</v>
      </c>
      <c r="L445" s="1" t="n">
        <v>0</v>
      </c>
      <c r="M445" s="1" t="n">
        <v>0</v>
      </c>
      <c r="N445" s="1" t="s">
        <v>315</v>
      </c>
      <c r="Z445" s="0" t="n">
        <f aca="false">I445-3</f>
        <v>342.7</v>
      </c>
      <c r="AB445" s="0" t="n">
        <f aca="false">IF(Z445&lt;0,Z445+360,Z445+0)</f>
        <v>342.7</v>
      </c>
    </row>
    <row r="446" customFormat="false" ht="15.8" hidden="false" customHeight="false" outlineLevel="0" collapsed="false">
      <c r="A446" s="1" t="n">
        <v>10</v>
      </c>
      <c r="B446" s="1" t="n">
        <v>7</v>
      </c>
      <c r="C446" s="1" t="n">
        <v>1.4</v>
      </c>
      <c r="D446" s="1" t="n">
        <v>1.2205</v>
      </c>
      <c r="E446" s="1" t="n">
        <v>0.0490815</v>
      </c>
      <c r="F446" s="1" t="n">
        <v>0.000133575</v>
      </c>
      <c r="G446" s="1" t="s">
        <v>27</v>
      </c>
      <c r="H446" s="1" t="n">
        <v>48.6</v>
      </c>
      <c r="I446" s="1" t="n">
        <v>290.6</v>
      </c>
      <c r="J446" s="1" t="n">
        <v>18.3</v>
      </c>
      <c r="K446" s="1"/>
      <c r="L446" s="1" t="n">
        <v>0</v>
      </c>
      <c r="M446" s="1" t="n">
        <v>0</v>
      </c>
      <c r="N446" s="1" t="s">
        <v>316</v>
      </c>
      <c r="Z446" s="0" t="n">
        <f aca="false">I446-3</f>
        <v>287.6</v>
      </c>
      <c r="AB446" s="0" t="n">
        <f aca="false">IF(Z446&lt;0,Z446+360,Z446+0)</f>
        <v>287.6</v>
      </c>
    </row>
    <row r="447" customFormat="false" ht="15.8" hidden="false" customHeight="false" outlineLevel="0" collapsed="false">
      <c r="A447" s="1" t="n">
        <v>10</v>
      </c>
      <c r="B447" s="1" t="n">
        <v>8</v>
      </c>
      <c r="C447" s="1" t="n">
        <v>2</v>
      </c>
      <c r="D447" s="1" t="n">
        <v>1.1439</v>
      </c>
      <c r="E447" s="1" t="n">
        <v>0.0700144</v>
      </c>
      <c r="F447" s="1" t="n">
        <v>0.000190544</v>
      </c>
      <c r="G447" s="1" t="s">
        <v>27</v>
      </c>
      <c r="H447" s="1" t="n">
        <v>37.6</v>
      </c>
      <c r="I447" s="1" t="n">
        <v>167.4</v>
      </c>
      <c r="J447" s="1" t="n">
        <v>-11.9</v>
      </c>
      <c r="K447" s="1"/>
      <c r="L447" s="1" t="n">
        <v>0</v>
      </c>
      <c r="M447" s="1" t="n">
        <v>0</v>
      </c>
      <c r="N447" s="1" t="s">
        <v>317</v>
      </c>
      <c r="Z447" s="0" t="n">
        <f aca="false">I447-3</f>
        <v>164.4</v>
      </c>
      <c r="AB447" s="0" t="n">
        <f aca="false">IF(Z447&lt;0,Z447+360,Z447+0)</f>
        <v>164.4</v>
      </c>
    </row>
    <row r="448" customFormat="false" ht="15.8" hidden="false" customHeight="false" outlineLevel="0" collapsed="false">
      <c r="A448" s="1" t="n">
        <v>10</v>
      </c>
      <c r="B448" s="1" t="n">
        <v>14</v>
      </c>
      <c r="C448" s="1" t="n">
        <v>5.3</v>
      </c>
      <c r="D448" s="1" t="n">
        <v>1.3698</v>
      </c>
      <c r="E448" s="1" t="n">
        <v>0.181974</v>
      </c>
      <c r="F448" s="1" t="n">
        <v>0.00049524</v>
      </c>
      <c r="G448" s="1" t="s">
        <v>27</v>
      </c>
      <c r="H448" s="1" t="n">
        <v>31.4</v>
      </c>
      <c r="I448" s="1" t="n">
        <v>339.4</v>
      </c>
      <c r="J448" s="1" t="n">
        <v>-11</v>
      </c>
      <c r="K448" s="1"/>
      <c r="L448" s="1" t="n">
        <v>0</v>
      </c>
      <c r="M448" s="1" t="n">
        <v>0</v>
      </c>
      <c r="N448" s="1" t="s">
        <v>318</v>
      </c>
      <c r="Z448" s="0" t="n">
        <f aca="false">I448-3</f>
        <v>336.4</v>
      </c>
      <c r="AB448" s="0" t="n">
        <f aca="false">IF(Z448&lt;0,Z448+360,Z448+0)</f>
        <v>336.4</v>
      </c>
    </row>
    <row r="449" customFormat="false" ht="15.8" hidden="false" customHeight="false" outlineLevel="0" collapsed="false">
      <c r="A449" s="1" t="n">
        <v>10</v>
      </c>
      <c r="B449" s="1" t="n">
        <v>16</v>
      </c>
      <c r="C449" s="1" t="n">
        <v>2.1</v>
      </c>
      <c r="D449" s="1" t="n">
        <v>1.1769</v>
      </c>
      <c r="E449" s="1" t="n">
        <v>0.071911</v>
      </c>
      <c r="F449" s="1" t="n">
        <v>0.000195705</v>
      </c>
      <c r="G449" s="1" t="s">
        <v>27</v>
      </c>
      <c r="H449" s="1" t="n">
        <v>13.9</v>
      </c>
      <c r="I449" s="1" t="n">
        <v>18.1</v>
      </c>
      <c r="J449" s="1" t="n">
        <v>0</v>
      </c>
      <c r="K449" s="1"/>
      <c r="L449" s="1" t="n">
        <v>0</v>
      </c>
      <c r="M449" s="1" t="n">
        <v>0</v>
      </c>
      <c r="N449" s="1" t="s">
        <v>319</v>
      </c>
      <c r="Z449" s="0" t="n">
        <f aca="false">I449-3</f>
        <v>15.1</v>
      </c>
      <c r="AB449" s="0" t="n">
        <f aca="false">IF(Z449&lt;0,Z449+360,Z449+0)</f>
        <v>15.1</v>
      </c>
    </row>
    <row r="450" customFormat="false" ht="15.8" hidden="false" customHeight="false" outlineLevel="0" collapsed="false">
      <c r="A450" s="1" t="n">
        <v>10</v>
      </c>
      <c r="B450" s="1" t="n">
        <v>17</v>
      </c>
      <c r="C450" s="1" t="n">
        <v>4.3</v>
      </c>
      <c r="D450" s="1" t="n">
        <v>1.5384</v>
      </c>
      <c r="E450" s="1" t="n">
        <v>0.148175</v>
      </c>
      <c r="F450" s="1" t="n">
        <v>0.000403257</v>
      </c>
      <c r="G450" s="1" t="s">
        <v>27</v>
      </c>
      <c r="H450" s="1" t="n">
        <v>66.4</v>
      </c>
      <c r="I450" s="1" t="n">
        <v>42.6</v>
      </c>
      <c r="J450" s="1" t="n">
        <v>-31.7</v>
      </c>
      <c r="K450" s="1"/>
      <c r="L450" s="1" t="n">
        <v>0</v>
      </c>
      <c r="M450" s="1" t="n">
        <v>0</v>
      </c>
      <c r="N450" s="1" t="s">
        <v>320</v>
      </c>
      <c r="Z450" s="0" t="n">
        <f aca="false">I450-3</f>
        <v>39.6</v>
      </c>
      <c r="AB450" s="0" t="n">
        <f aca="false">IF(Z450&lt;0,Z450+360,Z450+0)</f>
        <v>39.6</v>
      </c>
    </row>
    <row r="451" customFormat="false" ht="15.8" hidden="false" customHeight="false" outlineLevel="0" collapsed="false">
      <c r="A451" s="1" t="n">
        <v>10</v>
      </c>
      <c r="B451" s="1" t="n">
        <v>17</v>
      </c>
      <c r="C451" s="1" t="n">
        <v>2.2</v>
      </c>
      <c r="D451" s="1" t="n">
        <v>1.1702</v>
      </c>
      <c r="E451" s="1" t="n">
        <v>0.0744997</v>
      </c>
      <c r="F451" s="1" t="n">
        <v>0.00020275</v>
      </c>
      <c r="G451" s="1" t="s">
        <v>27</v>
      </c>
      <c r="H451" s="1" t="n">
        <v>6.3</v>
      </c>
      <c r="I451" s="1" t="n">
        <v>341.6</v>
      </c>
      <c r="J451" s="1" t="n">
        <v>11.5</v>
      </c>
      <c r="K451" s="1"/>
      <c r="L451" s="1" t="n">
        <v>0</v>
      </c>
      <c r="M451" s="1" t="n">
        <v>0</v>
      </c>
      <c r="N451" s="1" t="s">
        <v>320</v>
      </c>
      <c r="Z451" s="0" t="n">
        <f aca="false">I451-3</f>
        <v>338.6</v>
      </c>
      <c r="AB451" s="0" t="n">
        <f aca="false">IF(Z451&lt;0,Z451+360,Z451+0)</f>
        <v>338.6</v>
      </c>
    </row>
    <row r="452" customFormat="false" ht="15.8" hidden="false" customHeight="false" outlineLevel="0" collapsed="false">
      <c r="A452" s="1" t="n">
        <v>10</v>
      </c>
      <c r="B452" s="1" t="n">
        <v>16</v>
      </c>
      <c r="C452" s="1" t="n">
        <v>3.4</v>
      </c>
      <c r="D452" s="1" t="n">
        <v>1.0966</v>
      </c>
      <c r="E452" s="1" t="n">
        <v>0.117461</v>
      </c>
      <c r="F452" s="1" t="n">
        <v>0.000319668</v>
      </c>
      <c r="G452" s="1" t="s">
        <v>37</v>
      </c>
      <c r="H452" s="1" t="n">
        <v>27.6</v>
      </c>
      <c r="I452" s="1" t="n">
        <v>345.8</v>
      </c>
      <c r="J452" s="1" t="n">
        <v>6.8</v>
      </c>
      <c r="K452" s="1" t="n">
        <v>66.4</v>
      </c>
      <c r="L452" s="1" t="n">
        <v>0</v>
      </c>
      <c r="M452" s="1" t="n">
        <v>0</v>
      </c>
      <c r="N452" s="1" t="s">
        <v>319</v>
      </c>
      <c r="Z452" s="0" t="n">
        <f aca="false">I452-3</f>
        <v>342.8</v>
      </c>
      <c r="AB452" s="0" t="n">
        <f aca="false">IF(Z452&lt;0,Z452+360,Z452+0)</f>
        <v>342.8</v>
      </c>
    </row>
    <row r="453" customFormat="false" ht="15.8" hidden="false" customHeight="false" outlineLevel="0" collapsed="false">
      <c r="A453" s="1" t="n">
        <v>10</v>
      </c>
      <c r="B453" s="1" t="n">
        <v>16</v>
      </c>
      <c r="C453" s="1" t="n">
        <v>4.2</v>
      </c>
      <c r="D453" s="1" t="n">
        <v>1.427</v>
      </c>
      <c r="E453" s="1" t="n">
        <v>0.141928</v>
      </c>
      <c r="F453" s="1" t="n">
        <v>0.000386255</v>
      </c>
      <c r="G453" s="1" t="s">
        <v>27</v>
      </c>
      <c r="H453" s="1" t="n">
        <v>91.7</v>
      </c>
      <c r="I453" s="1" t="n">
        <v>108.3</v>
      </c>
      <c r="J453" s="1" t="n">
        <v>-39.5</v>
      </c>
      <c r="K453" s="1"/>
      <c r="L453" s="1" t="n">
        <v>0</v>
      </c>
      <c r="M453" s="1" t="n">
        <v>0</v>
      </c>
      <c r="N453" s="1" t="s">
        <v>319</v>
      </c>
      <c r="Z453" s="0" t="n">
        <f aca="false">I453-3</f>
        <v>105.3</v>
      </c>
      <c r="AB453" s="0" t="n">
        <f aca="false">IF(Z453&lt;0,Z453+360,Z453+0)</f>
        <v>105.3</v>
      </c>
    </row>
    <row r="454" customFormat="false" ht="15.8" hidden="false" customHeight="false" outlineLevel="0" collapsed="false">
      <c r="A454" s="1" t="n">
        <v>10</v>
      </c>
      <c r="B454" s="1" t="n">
        <v>15</v>
      </c>
      <c r="C454" s="1" t="n">
        <v>2.4</v>
      </c>
      <c r="D454" s="1" t="n">
        <v>1.1004</v>
      </c>
      <c r="E454" s="1" t="n">
        <v>0.0831004</v>
      </c>
      <c r="F454" s="1" t="n">
        <v>0.000226157</v>
      </c>
      <c r="G454" s="1" t="s">
        <v>37</v>
      </c>
      <c r="H454" s="1" t="n">
        <v>12.5</v>
      </c>
      <c r="I454" s="1" t="n">
        <v>8</v>
      </c>
      <c r="J454" s="1" t="n">
        <v>-9.6</v>
      </c>
      <c r="K454" s="1" t="n">
        <v>91.7</v>
      </c>
      <c r="L454" s="1" t="n">
        <v>0</v>
      </c>
      <c r="M454" s="1" t="n">
        <v>0</v>
      </c>
      <c r="N454" s="1" t="s">
        <v>321</v>
      </c>
      <c r="Z454" s="0" t="n">
        <f aca="false">I454-3</f>
        <v>5</v>
      </c>
      <c r="AB454" s="0" t="n">
        <f aca="false">IF(Z454&lt;0,Z454+360,Z454+0)</f>
        <v>5</v>
      </c>
    </row>
    <row r="455" customFormat="false" ht="15.8" hidden="false" customHeight="false" outlineLevel="0" collapsed="false">
      <c r="A455" s="1" t="n">
        <v>10</v>
      </c>
      <c r="B455" s="1" t="n">
        <v>15</v>
      </c>
      <c r="C455" s="1" t="n">
        <v>5.3</v>
      </c>
      <c r="D455" s="1" t="n">
        <v>1.6778</v>
      </c>
      <c r="E455" s="1" t="n">
        <v>0.181577</v>
      </c>
      <c r="F455" s="1" t="n">
        <v>0.00049416</v>
      </c>
      <c r="G455" s="1" t="s">
        <v>27</v>
      </c>
      <c r="H455" s="1" t="n">
        <v>11.3</v>
      </c>
      <c r="I455" s="1" t="n">
        <v>350.8</v>
      </c>
      <c r="J455" s="1" t="n">
        <v>6.7</v>
      </c>
      <c r="K455" s="1"/>
      <c r="L455" s="1" t="n">
        <v>0</v>
      </c>
      <c r="M455" s="1" t="n">
        <v>0</v>
      </c>
      <c r="N455" s="1" t="s">
        <v>321</v>
      </c>
      <c r="Z455" s="0" t="n">
        <f aca="false">I455-3</f>
        <v>347.8</v>
      </c>
      <c r="AB455" s="0" t="n">
        <f aca="false">IF(Z455&lt;0,Z455+360,Z455+0)</f>
        <v>347.8</v>
      </c>
    </row>
    <row r="456" customFormat="false" ht="15.8" hidden="false" customHeight="false" outlineLevel="0" collapsed="false">
      <c r="A456" s="1" t="n">
        <v>10</v>
      </c>
      <c r="B456" s="1" t="n">
        <v>14</v>
      </c>
      <c r="C456" s="1" t="n">
        <v>0.5</v>
      </c>
      <c r="D456" s="1" t="n">
        <v>1.001</v>
      </c>
      <c r="E456" s="1" t="n">
        <v>0.0175145</v>
      </c>
      <c r="F456" s="1" t="n">
        <v>4.76655E-005</v>
      </c>
      <c r="G456" s="1" t="s">
        <v>37</v>
      </c>
      <c r="H456" s="1" t="n">
        <v>9</v>
      </c>
      <c r="I456" s="1" t="n">
        <v>0</v>
      </c>
      <c r="J456" s="1" t="n">
        <v>0</v>
      </c>
      <c r="K456" s="1" t="n">
        <v>12.5</v>
      </c>
      <c r="L456" s="1" t="n">
        <v>0</v>
      </c>
      <c r="M456" s="1" t="n">
        <v>0</v>
      </c>
      <c r="N456" s="1" t="s">
        <v>318</v>
      </c>
      <c r="Z456" s="0" t="n">
        <f aca="false">I456-3</f>
        <v>-3</v>
      </c>
      <c r="AB456" s="0" t="n">
        <f aca="false">IF(Z456&lt;0,Z456+360,Z456+0)</f>
        <v>357</v>
      </c>
    </row>
    <row r="457" customFormat="false" ht="15.8" hidden="false" customHeight="false" outlineLevel="0" collapsed="false">
      <c r="A457" s="1" t="n">
        <v>10</v>
      </c>
      <c r="B457" s="1" t="n">
        <v>13</v>
      </c>
      <c r="C457" s="1" t="n">
        <v>5.3</v>
      </c>
      <c r="D457" s="1" t="n">
        <v>1.1844</v>
      </c>
      <c r="E457" s="1" t="n">
        <v>0.182607</v>
      </c>
      <c r="F457" s="1" t="n">
        <v>0.000496962</v>
      </c>
      <c r="G457" s="1" t="s">
        <v>37</v>
      </c>
      <c r="H457" s="1" t="n">
        <v>27.5</v>
      </c>
      <c r="I457" s="1" t="n">
        <v>9</v>
      </c>
      <c r="J457" s="1" t="n">
        <v>0</v>
      </c>
      <c r="K457" s="1" t="n">
        <v>31.4</v>
      </c>
      <c r="L457" s="1" t="n">
        <v>0</v>
      </c>
      <c r="M457" s="1" t="n">
        <v>0</v>
      </c>
      <c r="N457" s="1" t="s">
        <v>322</v>
      </c>
      <c r="Z457" s="0" t="n">
        <f aca="false">I457-3</f>
        <v>6</v>
      </c>
      <c r="AB457" s="0" t="n">
        <f aca="false">IF(Z457&lt;0,Z457+360,Z457+0)</f>
        <v>6</v>
      </c>
    </row>
    <row r="458" customFormat="false" ht="15.8" hidden="false" customHeight="false" outlineLevel="0" collapsed="false">
      <c r="A458" s="1" t="n">
        <v>10</v>
      </c>
      <c r="B458" s="1" t="n">
        <v>16</v>
      </c>
      <c r="C458" s="1" t="n">
        <v>2.7</v>
      </c>
      <c r="D458" s="1" t="n">
        <v>1.2676</v>
      </c>
      <c r="E458" s="1" t="n">
        <v>0.0911373</v>
      </c>
      <c r="F458" s="1" t="n">
        <v>0.000248029</v>
      </c>
      <c r="G458" s="1" t="s">
        <v>27</v>
      </c>
      <c r="H458" s="1" t="n">
        <v>25</v>
      </c>
      <c r="I458" s="1" t="n">
        <v>208.4</v>
      </c>
      <c r="J458" s="1" t="n">
        <v>20.6</v>
      </c>
      <c r="K458" s="1"/>
      <c r="L458" s="1" t="n">
        <v>0</v>
      </c>
      <c r="M458" s="1" t="n">
        <v>0</v>
      </c>
      <c r="N458" s="1" t="s">
        <v>323</v>
      </c>
      <c r="Z458" s="0" t="n">
        <f aca="false">I458-3</f>
        <v>205.4</v>
      </c>
      <c r="AB458" s="0" t="n">
        <f aca="false">IF(Z458&lt;0,Z458+360,Z458+0)</f>
        <v>205.4</v>
      </c>
    </row>
    <row r="459" customFormat="false" ht="15.8" hidden="false" customHeight="false" outlineLevel="0" collapsed="false">
      <c r="A459" s="1" t="n">
        <v>10</v>
      </c>
      <c r="B459" s="1" t="n">
        <v>16</v>
      </c>
      <c r="C459" s="1" t="n">
        <v>1</v>
      </c>
      <c r="D459" s="1" t="n">
        <v>1.2097</v>
      </c>
      <c r="E459" s="1" t="n">
        <v>0.0350511</v>
      </c>
      <c r="F459" s="1" t="n">
        <v>9.53912E-005</v>
      </c>
      <c r="G459" s="1" t="s">
        <v>27</v>
      </c>
      <c r="H459" s="1" t="n">
        <v>48.1</v>
      </c>
      <c r="I459" s="1" t="n">
        <v>180.8</v>
      </c>
      <c r="J459" s="1" t="n">
        <v>25.9</v>
      </c>
      <c r="K459" s="1"/>
      <c r="L459" s="1" t="n">
        <v>0</v>
      </c>
      <c r="M459" s="1" t="n">
        <v>0</v>
      </c>
      <c r="N459" s="1" t="s">
        <v>323</v>
      </c>
      <c r="Z459" s="0" t="n">
        <f aca="false">I459-3</f>
        <v>177.8</v>
      </c>
      <c r="AB459" s="0" t="n">
        <f aca="false">IF(Z459&lt;0,Z459+360,Z459+0)</f>
        <v>177.8</v>
      </c>
    </row>
    <row r="460" customFormat="false" ht="15.8" hidden="false" customHeight="false" outlineLevel="0" collapsed="false">
      <c r="A460" s="1" t="n">
        <v>10</v>
      </c>
      <c r="B460" s="1" t="n">
        <v>15</v>
      </c>
      <c r="C460" s="1" t="n">
        <v>1.7</v>
      </c>
      <c r="D460" s="1" t="n">
        <v>1.0577</v>
      </c>
      <c r="E460" s="1" t="n">
        <v>0.058512</v>
      </c>
      <c r="F460" s="1" t="n">
        <v>0.00015924</v>
      </c>
      <c r="G460" s="1" t="s">
        <v>37</v>
      </c>
      <c r="H460" s="1" t="n">
        <v>69</v>
      </c>
      <c r="I460" s="1" t="n">
        <v>222.8</v>
      </c>
      <c r="J460" s="1" t="n">
        <v>0</v>
      </c>
      <c r="K460" s="1" t="n">
        <v>48.1</v>
      </c>
      <c r="L460" s="1" t="n">
        <v>0</v>
      </c>
      <c r="M460" s="1" t="n">
        <v>0</v>
      </c>
      <c r="N460" s="1" t="s">
        <v>324</v>
      </c>
      <c r="Z460" s="0" t="n">
        <f aca="false">I460-3</f>
        <v>219.8</v>
      </c>
      <c r="AB460" s="0" t="n">
        <f aca="false">IF(Z460&lt;0,Z460+360,Z460+0)</f>
        <v>219.8</v>
      </c>
    </row>
    <row r="461" customFormat="false" ht="15.8" hidden="false" customHeight="false" outlineLevel="0" collapsed="false">
      <c r="A461" s="1" t="n">
        <v>10</v>
      </c>
      <c r="B461" s="1" t="n">
        <v>15</v>
      </c>
      <c r="C461" s="1" t="n">
        <v>1.5</v>
      </c>
      <c r="D461" s="1" t="n">
        <v>1.1455</v>
      </c>
      <c r="E461" s="1" t="n">
        <v>0.0497521</v>
      </c>
      <c r="F461" s="1" t="n">
        <v>0.0001354</v>
      </c>
      <c r="G461" s="1" t="s">
        <v>27</v>
      </c>
      <c r="H461" s="1" t="n">
        <v>122.2</v>
      </c>
      <c r="I461" s="1" t="n">
        <v>53.7</v>
      </c>
      <c r="J461" s="1" t="n">
        <v>-16.9</v>
      </c>
      <c r="K461" s="1"/>
      <c r="L461" s="1" t="n">
        <v>0</v>
      </c>
      <c r="M461" s="1" t="n">
        <v>0</v>
      </c>
      <c r="N461" s="1" t="s">
        <v>324</v>
      </c>
      <c r="Z461" s="0" t="n">
        <f aca="false">I461-3</f>
        <v>50.7</v>
      </c>
      <c r="AB461" s="0" t="n">
        <f aca="false">IF(Z461&lt;0,Z461+360,Z461+0)</f>
        <v>50.7</v>
      </c>
    </row>
    <row r="462" customFormat="false" ht="15.8" hidden="false" customHeight="false" outlineLevel="0" collapsed="false">
      <c r="A462" s="1" t="n">
        <v>10</v>
      </c>
      <c r="B462" s="1" t="n">
        <v>14</v>
      </c>
      <c r="C462" s="1" t="n">
        <v>4.1</v>
      </c>
      <c r="D462" s="1" t="n">
        <v>1.0553</v>
      </c>
      <c r="E462" s="1" t="n">
        <v>0.141867</v>
      </c>
      <c r="F462" s="1" t="n">
        <v>0.00038609</v>
      </c>
      <c r="G462" s="1" t="s">
        <v>37</v>
      </c>
      <c r="H462" s="1" t="n">
        <v>69.1</v>
      </c>
      <c r="I462" s="1" t="n">
        <v>291.7</v>
      </c>
      <c r="J462" s="1" t="n">
        <v>5.4</v>
      </c>
      <c r="K462" s="1" t="n">
        <v>122.2</v>
      </c>
      <c r="L462" s="1" t="n">
        <v>0</v>
      </c>
      <c r="M462" s="1" t="n">
        <v>0</v>
      </c>
      <c r="N462" s="1" t="s">
        <v>325</v>
      </c>
      <c r="Z462" s="0" t="n">
        <f aca="false">I462-3</f>
        <v>288.7</v>
      </c>
      <c r="AB462" s="0" t="n">
        <f aca="false">IF(Z462&lt;0,Z462+360,Z462+0)</f>
        <v>288.7</v>
      </c>
    </row>
    <row r="463" customFormat="false" ht="15.8" hidden="false" customHeight="false" outlineLevel="0" collapsed="false">
      <c r="A463" s="1" t="n">
        <v>10</v>
      </c>
      <c r="B463" s="1" t="n">
        <v>14</v>
      </c>
      <c r="C463" s="1" t="n">
        <v>0.7</v>
      </c>
      <c r="D463" s="1" t="n">
        <v>1.0384</v>
      </c>
      <c r="E463" s="1" t="n">
        <v>0.0226907</v>
      </c>
      <c r="F463" s="1" t="n">
        <v>6.17525E-005</v>
      </c>
      <c r="G463" s="1" t="s">
        <v>27</v>
      </c>
      <c r="H463" s="1" t="n">
        <v>83.5</v>
      </c>
      <c r="I463" s="1" t="n">
        <v>203.1</v>
      </c>
      <c r="J463" s="1" t="n">
        <v>0</v>
      </c>
      <c r="K463" s="1"/>
      <c r="L463" s="1" t="n">
        <v>0</v>
      </c>
      <c r="M463" s="1" t="n">
        <v>0</v>
      </c>
      <c r="N463" s="1" t="s">
        <v>325</v>
      </c>
      <c r="Z463" s="0" t="n">
        <f aca="false">I463-3</f>
        <v>200.1</v>
      </c>
      <c r="AB463" s="0" t="n">
        <f aca="false">IF(Z463&lt;0,Z463+360,Z463+0)</f>
        <v>200.1</v>
      </c>
    </row>
    <row r="464" customFormat="false" ht="15.8" hidden="false" customHeight="false" outlineLevel="0" collapsed="false">
      <c r="A464" s="1" t="n">
        <v>10</v>
      </c>
      <c r="B464" s="1" t="n">
        <v>13</v>
      </c>
      <c r="C464" s="1" t="n">
        <v>2.5</v>
      </c>
      <c r="D464" s="1" t="n">
        <v>1.6105</v>
      </c>
      <c r="E464" s="1" t="n">
        <v>0.0851421</v>
      </c>
      <c r="F464" s="1" t="n">
        <v>0.000231714</v>
      </c>
      <c r="G464" s="1" t="s">
        <v>37</v>
      </c>
      <c r="H464" s="1" t="n">
        <v>84.8</v>
      </c>
      <c r="I464" s="1" t="n">
        <v>270</v>
      </c>
      <c r="J464" s="1" t="n">
        <v>73.2</v>
      </c>
      <c r="K464" s="1" t="n">
        <v>83.5</v>
      </c>
      <c r="L464" s="1" t="n">
        <v>0</v>
      </c>
      <c r="M464" s="1" t="n">
        <v>0</v>
      </c>
      <c r="N464" s="1" t="s">
        <v>322</v>
      </c>
      <c r="Z464" s="0" t="n">
        <f aca="false">I464-3</f>
        <v>267</v>
      </c>
      <c r="AB464" s="0" t="n">
        <f aca="false">IF(Z464&lt;0,Z464+360,Z464+0)</f>
        <v>267</v>
      </c>
    </row>
    <row r="465" customFormat="false" ht="15.8" hidden="false" customHeight="false" outlineLevel="0" collapsed="false">
      <c r="A465" s="1" t="n">
        <v>10</v>
      </c>
      <c r="B465" s="1" t="n">
        <v>12</v>
      </c>
      <c r="C465" s="1" t="n">
        <v>2.7</v>
      </c>
      <c r="D465" s="1" t="n">
        <v>1.0273</v>
      </c>
      <c r="E465" s="1" t="n">
        <v>0.0931283</v>
      </c>
      <c r="F465" s="1" t="n">
        <v>0.000253448</v>
      </c>
      <c r="G465" s="1" t="s">
        <v>37</v>
      </c>
      <c r="H465" s="1" t="n">
        <v>25.9</v>
      </c>
      <c r="I465" s="1" t="n">
        <v>341.6</v>
      </c>
      <c r="J465" s="1" t="n">
        <v>0</v>
      </c>
      <c r="K465" s="1" t="n">
        <v>84.8</v>
      </c>
      <c r="L465" s="1" t="n">
        <v>0</v>
      </c>
      <c r="M465" s="1" t="n">
        <v>0</v>
      </c>
      <c r="N465" s="1" t="s">
        <v>326</v>
      </c>
      <c r="Z465" s="0" t="n">
        <f aca="false">I465-3</f>
        <v>338.6</v>
      </c>
      <c r="AB465" s="0" t="n">
        <f aca="false">IF(Z465&lt;0,Z465+360,Z465+0)</f>
        <v>338.6</v>
      </c>
    </row>
    <row r="466" customFormat="false" ht="15.8" hidden="false" customHeight="false" outlineLevel="0" collapsed="false">
      <c r="A466" s="1" t="n">
        <v>10</v>
      </c>
      <c r="B466" s="1" t="n">
        <v>13</v>
      </c>
      <c r="C466" s="1" t="n">
        <v>1.2</v>
      </c>
      <c r="D466" s="1" t="n">
        <v>1.2102</v>
      </c>
      <c r="E466" s="1" t="n">
        <v>0.0415265</v>
      </c>
      <c r="F466" s="1" t="n">
        <v>0.000113014</v>
      </c>
      <c r="G466" s="1" t="s">
        <v>27</v>
      </c>
      <c r="H466" s="1" t="n">
        <v>139.7</v>
      </c>
      <c r="I466" s="1" t="n">
        <v>203.7</v>
      </c>
      <c r="J466" s="1" t="n">
        <v>-47.5</v>
      </c>
      <c r="K466" s="1"/>
      <c r="L466" s="1" t="n">
        <v>0</v>
      </c>
      <c r="M466" s="1" t="n">
        <v>0</v>
      </c>
      <c r="N466" s="1" t="s">
        <v>327</v>
      </c>
      <c r="Z466" s="0" t="n">
        <f aca="false">I466-3</f>
        <v>200.7</v>
      </c>
      <c r="AB466" s="0" t="n">
        <f aca="false">IF(Z466&lt;0,Z466+360,Z466+0)</f>
        <v>200.7</v>
      </c>
    </row>
    <row r="467" customFormat="false" ht="15.8" hidden="false" customHeight="false" outlineLevel="0" collapsed="false">
      <c r="A467" s="1" t="n">
        <v>10</v>
      </c>
      <c r="B467" s="1" t="n">
        <v>15</v>
      </c>
      <c r="C467" s="1" t="n">
        <v>0.8</v>
      </c>
      <c r="D467" s="1" t="n">
        <v>1.0367</v>
      </c>
      <c r="E467" s="1" t="n">
        <v>0.0270866</v>
      </c>
      <c r="F467" s="1" t="n">
        <v>7.3716E-005</v>
      </c>
      <c r="G467" s="1" t="s">
        <v>27</v>
      </c>
      <c r="H467" s="1" t="n">
        <v>65.8</v>
      </c>
      <c r="I467" s="1" t="n">
        <v>274.1</v>
      </c>
      <c r="J467" s="1" t="n">
        <v>0</v>
      </c>
      <c r="K467" s="1"/>
      <c r="L467" s="1" t="n">
        <v>0</v>
      </c>
      <c r="M467" s="1" t="n">
        <v>0</v>
      </c>
      <c r="N467" s="1" t="s">
        <v>328</v>
      </c>
      <c r="Z467" s="0" t="n">
        <f aca="false">I467-3</f>
        <v>271.1</v>
      </c>
      <c r="AB467" s="0" t="n">
        <f aca="false">IF(Z467&lt;0,Z467+360,Z467+0)</f>
        <v>271.1</v>
      </c>
    </row>
    <row r="468" customFormat="false" ht="15.8" hidden="false" customHeight="false" outlineLevel="0" collapsed="false">
      <c r="A468" s="1" t="n">
        <v>10</v>
      </c>
      <c r="B468" s="1" t="n">
        <v>15</v>
      </c>
      <c r="C468" s="1" t="n">
        <v>1.6</v>
      </c>
      <c r="D468" s="1" t="n">
        <v>1.1327</v>
      </c>
      <c r="E468" s="1" t="n">
        <v>0.0545019</v>
      </c>
      <c r="F468" s="1" t="n">
        <v>0.000148327</v>
      </c>
      <c r="G468" s="1" t="s">
        <v>27</v>
      </c>
      <c r="H468" s="1" t="n">
        <v>41.9</v>
      </c>
      <c r="I468" s="1" t="n">
        <v>21.8</v>
      </c>
      <c r="J468" s="1" t="n">
        <v>0</v>
      </c>
      <c r="K468" s="1"/>
      <c r="L468" s="1" t="n">
        <v>0</v>
      </c>
      <c r="M468" s="1" t="n">
        <v>0</v>
      </c>
      <c r="N468" s="1" t="s">
        <v>328</v>
      </c>
      <c r="Z468" s="0" t="n">
        <f aca="false">I468-3</f>
        <v>18.8</v>
      </c>
      <c r="AB468" s="0" t="n">
        <f aca="false">IF(Z468&lt;0,Z468+360,Z468+0)</f>
        <v>18.8</v>
      </c>
    </row>
    <row r="469" customFormat="false" ht="15.8" hidden="false" customHeight="false" outlineLevel="0" collapsed="false">
      <c r="A469" s="1" t="n">
        <v>10</v>
      </c>
      <c r="B469" s="1" t="n">
        <v>14</v>
      </c>
      <c r="C469" s="1" t="n">
        <v>0.9</v>
      </c>
      <c r="D469" s="1" t="n">
        <v>1.0372</v>
      </c>
      <c r="E469" s="1" t="n">
        <v>0.0291954</v>
      </c>
      <c r="F469" s="1" t="n">
        <v>7.94551E-005</v>
      </c>
      <c r="G469" s="1" t="s">
        <v>37</v>
      </c>
      <c r="H469" s="1" t="n">
        <v>35.5</v>
      </c>
      <c r="I469" s="1" t="n">
        <v>339.9</v>
      </c>
      <c r="J469" s="1" t="n">
        <v>0</v>
      </c>
      <c r="K469" s="1" t="n">
        <v>65.8</v>
      </c>
      <c r="L469" s="1" t="n">
        <v>0</v>
      </c>
      <c r="M469" s="1" t="n">
        <v>0</v>
      </c>
      <c r="N469" s="1" t="s">
        <v>329</v>
      </c>
      <c r="Z469" s="0" t="n">
        <f aca="false">I469-3</f>
        <v>336.9</v>
      </c>
      <c r="AB469" s="0" t="n">
        <f aca="false">IF(Z469&lt;0,Z469+360,Z469+0)</f>
        <v>336.9</v>
      </c>
    </row>
    <row r="470" customFormat="false" ht="15.8" hidden="false" customHeight="false" outlineLevel="0" collapsed="false">
      <c r="A470" s="1" t="n">
        <v>10</v>
      </c>
      <c r="B470" s="1" t="n">
        <v>14</v>
      </c>
      <c r="C470" s="1" t="n">
        <v>1.4</v>
      </c>
      <c r="D470" s="1" t="n">
        <v>1.1963</v>
      </c>
      <c r="E470" s="1" t="n">
        <v>0.0480172</v>
      </c>
      <c r="F470" s="1" t="n">
        <v>0.000130678</v>
      </c>
      <c r="G470" s="1" t="s">
        <v>27</v>
      </c>
      <c r="H470" s="1" t="n">
        <v>82.9</v>
      </c>
      <c r="I470" s="1" t="n">
        <v>75.5</v>
      </c>
      <c r="J470" s="1" t="n">
        <v>39.1</v>
      </c>
      <c r="K470" s="1"/>
      <c r="L470" s="1" t="n">
        <v>0</v>
      </c>
      <c r="M470" s="1" t="n">
        <v>0</v>
      </c>
      <c r="N470" s="1" t="s">
        <v>329</v>
      </c>
      <c r="Z470" s="0" t="n">
        <f aca="false">I470-3</f>
        <v>72.5</v>
      </c>
      <c r="AB470" s="0" t="n">
        <f aca="false">IF(Z470&lt;0,Z470+360,Z470+0)</f>
        <v>72.5</v>
      </c>
    </row>
    <row r="471" customFormat="false" ht="15.8" hidden="false" customHeight="false" outlineLevel="0" collapsed="false">
      <c r="A471" s="1" t="n">
        <v>10</v>
      </c>
      <c r="B471" s="1" t="n">
        <v>13</v>
      </c>
      <c r="C471" s="1" t="n">
        <v>1.4</v>
      </c>
      <c r="D471" s="1" t="n">
        <v>1.1343</v>
      </c>
      <c r="E471" s="1" t="n">
        <v>0.0465724</v>
      </c>
      <c r="F471" s="1" t="n">
        <v>0.000126746</v>
      </c>
      <c r="G471" s="1" t="s">
        <v>37</v>
      </c>
      <c r="H471" s="1" t="n">
        <v>26.2</v>
      </c>
      <c r="I471" s="1" t="n">
        <v>11</v>
      </c>
      <c r="J471" s="1" t="n">
        <v>-18</v>
      </c>
      <c r="K471" s="1" t="n">
        <v>82.9</v>
      </c>
      <c r="L471" s="1" t="n">
        <v>0</v>
      </c>
      <c r="M471" s="1" t="n">
        <v>0</v>
      </c>
      <c r="N471" s="1" t="s">
        <v>327</v>
      </c>
      <c r="Z471" s="0" t="n">
        <f aca="false">I471-3</f>
        <v>8</v>
      </c>
      <c r="AB471" s="0" t="n">
        <f aca="false">IF(Z471&lt;0,Z471+360,Z471+0)</f>
        <v>8</v>
      </c>
    </row>
    <row r="472" customFormat="false" ht="15.8" hidden="false" customHeight="false" outlineLevel="0" collapsed="false">
      <c r="A472" s="1" t="n">
        <v>10</v>
      </c>
      <c r="B472" s="1" t="n">
        <v>12</v>
      </c>
      <c r="C472" s="1" t="n">
        <v>3.8</v>
      </c>
      <c r="D472" s="1" t="n">
        <v>1.3924</v>
      </c>
      <c r="E472" s="1" t="n">
        <v>0.13032</v>
      </c>
      <c r="F472" s="1" t="n">
        <v>0.000354665</v>
      </c>
      <c r="G472" s="1" t="s">
        <v>37</v>
      </c>
      <c r="H472" s="1" t="n">
        <v>10.1</v>
      </c>
      <c r="I472" s="1" t="n">
        <v>16.2</v>
      </c>
      <c r="J472" s="1" t="n">
        <v>7.8</v>
      </c>
      <c r="K472" s="1" t="n">
        <v>139.7</v>
      </c>
      <c r="L472" s="1" t="n">
        <v>0</v>
      </c>
      <c r="M472" s="1" t="n">
        <v>0</v>
      </c>
      <c r="N472" s="1" t="s">
        <v>326</v>
      </c>
      <c r="Z472" s="0" t="n">
        <f aca="false">I472-3</f>
        <v>13.2</v>
      </c>
      <c r="AB472" s="0" t="n">
        <f aca="false">IF(Z472&lt;0,Z472+360,Z472+0)</f>
        <v>13.2</v>
      </c>
    </row>
    <row r="473" customFormat="false" ht="15.8" hidden="false" customHeight="false" outlineLevel="0" collapsed="false">
      <c r="A473" s="1" t="n">
        <v>10</v>
      </c>
      <c r="B473" s="1" t="n">
        <v>11</v>
      </c>
      <c r="C473" s="1" t="n">
        <v>6</v>
      </c>
      <c r="D473" s="1" t="n">
        <v>1.2079</v>
      </c>
      <c r="E473" s="1" t="n">
        <v>0.206237</v>
      </c>
      <c r="F473" s="1" t="n">
        <v>0.000561272</v>
      </c>
      <c r="G473" s="1" t="s">
        <v>37</v>
      </c>
      <c r="H473" s="1" t="n">
        <v>34.7</v>
      </c>
      <c r="I473" s="1" t="n">
        <v>6.1</v>
      </c>
      <c r="J473" s="1" t="n">
        <v>8.5</v>
      </c>
      <c r="K473" s="1" t="n">
        <v>25.9</v>
      </c>
      <c r="L473" s="1" t="n">
        <v>0</v>
      </c>
      <c r="M473" s="1" t="n">
        <v>0</v>
      </c>
      <c r="N473" s="1" t="s">
        <v>330</v>
      </c>
      <c r="Z473" s="0" t="n">
        <f aca="false">I473-3</f>
        <v>3.1</v>
      </c>
      <c r="AB473" s="0" t="n">
        <f aca="false">IF(Z473&lt;0,Z473+360,Z473+0)</f>
        <v>3.1</v>
      </c>
    </row>
    <row r="474" customFormat="false" ht="15.8" hidden="false" customHeight="false" outlineLevel="0" collapsed="false">
      <c r="A474" s="1" t="n">
        <v>10</v>
      </c>
      <c r="B474" s="1" t="n">
        <v>14</v>
      </c>
      <c r="C474" s="1" t="n">
        <v>2.5</v>
      </c>
      <c r="D474" s="1" t="n">
        <v>1.1017</v>
      </c>
      <c r="E474" s="1" t="n">
        <v>0.0860976</v>
      </c>
      <c r="F474" s="1" t="n">
        <v>0.000234314</v>
      </c>
      <c r="G474" s="1" t="s">
        <v>27</v>
      </c>
      <c r="H474" s="1" t="n">
        <v>46.5</v>
      </c>
      <c r="I474" s="1" t="n">
        <v>35.8</v>
      </c>
      <c r="J474" s="1" t="n">
        <v>-54.1</v>
      </c>
      <c r="K474" s="1"/>
      <c r="L474" s="1" t="n">
        <v>0</v>
      </c>
      <c r="M474" s="1" t="n">
        <v>0</v>
      </c>
      <c r="N474" s="1" t="s">
        <v>331</v>
      </c>
      <c r="Z474" s="0" t="n">
        <f aca="false">I474-3</f>
        <v>32.8</v>
      </c>
      <c r="AB474" s="0" t="n">
        <f aca="false">IF(Z474&lt;0,Z474+360,Z474+0)</f>
        <v>32.8</v>
      </c>
    </row>
    <row r="475" customFormat="false" ht="15.8" hidden="false" customHeight="false" outlineLevel="0" collapsed="false">
      <c r="A475" s="1" t="n">
        <v>10</v>
      </c>
      <c r="B475" s="1" t="n">
        <v>14</v>
      </c>
      <c r="C475" s="1" t="n">
        <v>2.3</v>
      </c>
      <c r="D475" s="1" t="n">
        <v>1.182</v>
      </c>
      <c r="E475" s="1" t="n">
        <v>0.0785535</v>
      </c>
      <c r="F475" s="1" t="n">
        <v>0.000213783</v>
      </c>
      <c r="G475" s="1" t="s">
        <v>27</v>
      </c>
      <c r="H475" s="1" t="n">
        <v>52.4</v>
      </c>
      <c r="I475" s="1" t="n">
        <v>347.4</v>
      </c>
      <c r="J475" s="1" t="n">
        <v>34.8</v>
      </c>
      <c r="K475" s="1"/>
      <c r="L475" s="1" t="n">
        <v>0</v>
      </c>
      <c r="M475" s="1" t="n">
        <v>0</v>
      </c>
      <c r="N475" s="1" t="s">
        <v>331</v>
      </c>
      <c r="Z475" s="0" t="n">
        <f aca="false">I475-3</f>
        <v>344.4</v>
      </c>
      <c r="AB475" s="0" t="n">
        <f aca="false">IF(Z475&lt;0,Z475+360,Z475+0)</f>
        <v>344.4</v>
      </c>
    </row>
    <row r="476" customFormat="false" ht="15.8" hidden="false" customHeight="false" outlineLevel="0" collapsed="false">
      <c r="A476" s="1" t="n">
        <v>10</v>
      </c>
      <c r="B476" s="1" t="n">
        <v>14</v>
      </c>
      <c r="C476" s="1" t="n">
        <v>1.4</v>
      </c>
      <c r="D476" s="1" t="n">
        <v>1.0564</v>
      </c>
      <c r="E476" s="1" t="n">
        <v>0.0469691</v>
      </c>
      <c r="F476" s="1" t="n">
        <v>0.000127826</v>
      </c>
      <c r="G476" s="1" t="s">
        <v>27</v>
      </c>
      <c r="H476" s="1" t="n">
        <v>101</v>
      </c>
      <c r="I476" s="1" t="n">
        <v>281.1</v>
      </c>
      <c r="J476" s="1" t="n">
        <v>58.6</v>
      </c>
      <c r="K476" s="1"/>
      <c r="L476" s="1" t="n">
        <v>0</v>
      </c>
      <c r="M476" s="1" t="n">
        <v>0</v>
      </c>
      <c r="N476" s="1" t="s">
        <v>331</v>
      </c>
      <c r="Z476" s="0" t="n">
        <f aca="false">I476-3</f>
        <v>278.1</v>
      </c>
      <c r="AB476" s="0" t="n">
        <f aca="false">IF(Z476&lt;0,Z476+360,Z476+0)</f>
        <v>278.1</v>
      </c>
    </row>
    <row r="477" customFormat="false" ht="15.8" hidden="false" customHeight="false" outlineLevel="0" collapsed="false">
      <c r="A477" s="1" t="n">
        <v>10</v>
      </c>
      <c r="B477" s="1" t="n">
        <v>13</v>
      </c>
      <c r="C477" s="1" t="n">
        <v>2.2</v>
      </c>
      <c r="D477" s="1" t="n">
        <v>1.0959</v>
      </c>
      <c r="E477" s="1" t="n">
        <v>0.074242</v>
      </c>
      <c r="F477" s="1" t="n">
        <v>0.000202049</v>
      </c>
      <c r="G477" s="1" t="s">
        <v>37</v>
      </c>
      <c r="H477" s="1" t="n">
        <v>39.6</v>
      </c>
      <c r="I477" s="1" t="n">
        <v>14.6</v>
      </c>
      <c r="J477" s="1" t="n">
        <v>-10.8</v>
      </c>
      <c r="K477" s="1" t="n">
        <v>101</v>
      </c>
      <c r="L477" s="1" t="n">
        <v>0</v>
      </c>
      <c r="M477" s="1" t="n">
        <v>0</v>
      </c>
      <c r="N477" s="1" t="s">
        <v>332</v>
      </c>
      <c r="Z477" s="0" t="n">
        <f aca="false">I477-3</f>
        <v>11.6</v>
      </c>
      <c r="AB477" s="0" t="n">
        <f aca="false">IF(Z477&lt;0,Z477+360,Z477+0)</f>
        <v>11.6</v>
      </c>
    </row>
    <row r="478" customFormat="false" ht="15.8" hidden="false" customHeight="false" outlineLevel="0" collapsed="false">
      <c r="A478" s="1" t="n">
        <v>10</v>
      </c>
      <c r="B478" s="1" t="n">
        <v>13</v>
      </c>
      <c r="C478" s="1" t="n">
        <v>2.7</v>
      </c>
      <c r="D478" s="1" t="n">
        <v>1.4514</v>
      </c>
      <c r="E478" s="1" t="n">
        <v>0.0913863</v>
      </c>
      <c r="F478" s="1" t="n">
        <v>0.000248707</v>
      </c>
      <c r="G478" s="1" t="s">
        <v>27</v>
      </c>
      <c r="H478" s="1" t="n">
        <v>113.8</v>
      </c>
      <c r="I478" s="1" t="n">
        <v>222.1</v>
      </c>
      <c r="J478" s="1" t="n">
        <v>11.6</v>
      </c>
      <c r="K478" s="1"/>
      <c r="L478" s="1" t="n">
        <v>0</v>
      </c>
      <c r="M478" s="1" t="n">
        <v>0</v>
      </c>
      <c r="N478" s="1" t="s">
        <v>332</v>
      </c>
      <c r="Z478" s="0" t="n">
        <f aca="false">I478-3</f>
        <v>219.1</v>
      </c>
      <c r="AB478" s="0" t="n">
        <f aca="false">IF(Z478&lt;0,Z478+360,Z478+0)</f>
        <v>219.1</v>
      </c>
    </row>
    <row r="479" customFormat="false" ht="15.8" hidden="false" customHeight="false" outlineLevel="0" collapsed="false">
      <c r="A479" s="1" t="n">
        <v>10</v>
      </c>
      <c r="B479" s="1" t="n">
        <v>12</v>
      </c>
      <c r="C479" s="1" t="n">
        <v>5.8</v>
      </c>
      <c r="D479" s="1" t="n">
        <v>1.1582</v>
      </c>
      <c r="E479" s="1" t="n">
        <v>0.198046</v>
      </c>
      <c r="F479" s="1" t="n">
        <v>0.00053898</v>
      </c>
      <c r="G479" s="1" t="s">
        <v>37</v>
      </c>
      <c r="H479" s="1" t="n">
        <v>43.1</v>
      </c>
      <c r="I479" s="1" t="n">
        <v>334.1</v>
      </c>
      <c r="J479" s="1" t="n">
        <v>-12.8</v>
      </c>
      <c r="K479" s="1" t="n">
        <v>113.8</v>
      </c>
      <c r="L479" s="1" t="n">
        <v>0</v>
      </c>
      <c r="M479" s="1" t="n">
        <v>0</v>
      </c>
      <c r="N479" s="1" t="s">
        <v>333</v>
      </c>
      <c r="Z479" s="0" t="n">
        <f aca="false">I479-3</f>
        <v>331.1</v>
      </c>
      <c r="AB479" s="0" t="n">
        <f aca="false">IF(Z479&lt;0,Z479+360,Z479+0)</f>
        <v>331.1</v>
      </c>
    </row>
    <row r="480" customFormat="false" ht="15.8" hidden="false" customHeight="false" outlineLevel="0" collapsed="false">
      <c r="A480" s="1" t="n">
        <v>10</v>
      </c>
      <c r="B480" s="1" t="n">
        <v>13</v>
      </c>
      <c r="C480" s="1" t="n">
        <v>2</v>
      </c>
      <c r="D480" s="1" t="n">
        <v>1.1242</v>
      </c>
      <c r="E480" s="1" t="n">
        <v>0.0693255</v>
      </c>
      <c r="F480" s="1" t="n">
        <v>0.000188669</v>
      </c>
      <c r="G480" s="1" t="s">
        <v>27</v>
      </c>
      <c r="H480" s="1" t="n">
        <v>75</v>
      </c>
      <c r="I480" s="1" t="n">
        <v>219</v>
      </c>
      <c r="J480" s="1" t="n">
        <v>-11.8</v>
      </c>
      <c r="K480" s="1"/>
      <c r="L480" s="1" t="n">
        <v>0</v>
      </c>
      <c r="M480" s="1" t="n">
        <v>0</v>
      </c>
      <c r="N480" s="1" t="s">
        <v>334</v>
      </c>
      <c r="Z480" s="0" t="n">
        <f aca="false">I480-3</f>
        <v>216</v>
      </c>
      <c r="AB480" s="0" t="n">
        <f aca="false">IF(Z480&lt;0,Z480+360,Z480+0)</f>
        <v>216</v>
      </c>
    </row>
    <row r="481" customFormat="false" ht="15.8" hidden="false" customHeight="false" outlineLevel="0" collapsed="false">
      <c r="A481" s="1" t="n">
        <v>10</v>
      </c>
      <c r="B481" s="1" t="n">
        <v>14</v>
      </c>
      <c r="C481" s="1" t="n">
        <v>1.5</v>
      </c>
      <c r="D481" s="1" t="n">
        <v>1.1737</v>
      </c>
      <c r="E481" s="1" t="n">
        <v>0.0516547</v>
      </c>
      <c r="F481" s="1" t="n">
        <v>0.000140578</v>
      </c>
      <c r="G481" s="1" t="s">
        <v>27</v>
      </c>
      <c r="H481" s="1" t="n">
        <v>49.3</v>
      </c>
      <c r="I481" s="1" t="n">
        <v>125.7</v>
      </c>
      <c r="J481" s="1" t="n">
        <v>16.7</v>
      </c>
      <c r="K481" s="1"/>
      <c r="L481" s="1" t="n">
        <v>0</v>
      </c>
      <c r="M481" s="1" t="n">
        <v>0</v>
      </c>
      <c r="N481" s="1" t="s">
        <v>335</v>
      </c>
      <c r="Z481" s="0" t="n">
        <f aca="false">I481-3</f>
        <v>122.7</v>
      </c>
      <c r="AB481" s="0" t="n">
        <f aca="false">IF(Z481&lt;0,Z481+360,Z481+0)</f>
        <v>122.7</v>
      </c>
    </row>
    <row r="482" customFormat="false" ht="15.8" hidden="false" customHeight="false" outlineLevel="0" collapsed="false">
      <c r="A482" s="1" t="n">
        <v>10</v>
      </c>
      <c r="B482" s="1" t="n">
        <v>15</v>
      </c>
      <c r="C482" s="1" t="n">
        <v>0.9</v>
      </c>
      <c r="D482" s="1" t="n">
        <v>1.0409</v>
      </c>
      <c r="E482" s="1" t="n">
        <v>0.0301482</v>
      </c>
      <c r="F482" s="1" t="n">
        <v>8.2048E-005</v>
      </c>
      <c r="G482" s="1" t="s">
        <v>27</v>
      </c>
      <c r="H482" s="1" t="n">
        <v>52.9</v>
      </c>
      <c r="I482" s="1" t="n">
        <v>52.8</v>
      </c>
      <c r="J482" s="1" t="n">
        <v>0</v>
      </c>
      <c r="K482" s="1"/>
      <c r="L482" s="1" t="n">
        <v>0</v>
      </c>
      <c r="M482" s="1" t="n">
        <v>0</v>
      </c>
      <c r="N482" s="1" t="s">
        <v>336</v>
      </c>
      <c r="Z482" s="0" t="n">
        <f aca="false">I482-3</f>
        <v>49.8</v>
      </c>
      <c r="AB482" s="0" t="n">
        <f aca="false">IF(Z482&lt;0,Z482+360,Z482+0)</f>
        <v>49.8</v>
      </c>
    </row>
    <row r="483" customFormat="false" ht="15.8" hidden="false" customHeight="false" outlineLevel="0" collapsed="false">
      <c r="A483" s="1" t="n">
        <v>10</v>
      </c>
      <c r="B483" s="1" t="n">
        <v>18</v>
      </c>
      <c r="C483" s="1" t="n">
        <v>1.9</v>
      </c>
      <c r="D483" s="1" t="n">
        <v>1.2608</v>
      </c>
      <c r="E483" s="1" t="n">
        <v>0.0646687</v>
      </c>
      <c r="F483" s="1" t="n">
        <v>0.000175995</v>
      </c>
      <c r="G483" s="1" t="s">
        <v>27</v>
      </c>
      <c r="H483" s="1" t="n">
        <v>48.9</v>
      </c>
      <c r="I483" s="1" t="n">
        <v>313.7</v>
      </c>
      <c r="J483" s="1" t="n">
        <v>47.7</v>
      </c>
      <c r="K483" s="1"/>
      <c r="L483" s="1" t="n">
        <v>0</v>
      </c>
      <c r="M483" s="1" t="n">
        <v>0</v>
      </c>
      <c r="N483" s="1" t="s">
        <v>337</v>
      </c>
      <c r="Z483" s="0" t="n">
        <f aca="false">I483-3</f>
        <v>310.7</v>
      </c>
      <c r="AB483" s="0" t="n">
        <f aca="false">IF(Z483&lt;0,Z483+360,Z483+0)</f>
        <v>310.7</v>
      </c>
    </row>
    <row r="484" customFormat="false" ht="15.8" hidden="false" customHeight="false" outlineLevel="0" collapsed="false">
      <c r="A484" s="1" t="n">
        <v>10</v>
      </c>
      <c r="B484" s="1" t="n">
        <v>19</v>
      </c>
      <c r="C484" s="1" t="n">
        <v>1.9</v>
      </c>
      <c r="D484" s="1" t="n">
        <v>1.2515</v>
      </c>
      <c r="E484" s="1" t="n">
        <v>0.0652092</v>
      </c>
      <c r="F484" s="1" t="n">
        <v>0.000177466</v>
      </c>
      <c r="G484" s="1" t="s">
        <v>27</v>
      </c>
      <c r="H484" s="1" t="n">
        <v>52.1</v>
      </c>
      <c r="I484" s="1" t="n">
        <v>46</v>
      </c>
      <c r="J484" s="1" t="n">
        <v>29.1</v>
      </c>
      <c r="K484" s="1"/>
      <c r="L484" s="1" t="n">
        <v>0</v>
      </c>
      <c r="M484" s="1" t="n">
        <v>0</v>
      </c>
      <c r="N484" s="1" t="s">
        <v>338</v>
      </c>
      <c r="Z484" s="0" t="n">
        <f aca="false">I484-3</f>
        <v>43</v>
      </c>
      <c r="AB484" s="0" t="n">
        <f aca="false">IF(Z484&lt;0,Z484+360,Z484+0)</f>
        <v>43</v>
      </c>
    </row>
    <row r="485" customFormat="false" ht="15.8" hidden="false" customHeight="false" outlineLevel="0" collapsed="false">
      <c r="A485" s="1" t="n">
        <v>10</v>
      </c>
      <c r="B485" s="1" t="n">
        <v>19</v>
      </c>
      <c r="C485" s="1" t="n">
        <v>2.5</v>
      </c>
      <c r="D485" s="1" t="n">
        <v>1.301</v>
      </c>
      <c r="E485" s="1" t="n">
        <v>0.0845504</v>
      </c>
      <c r="F485" s="1" t="n">
        <v>0.000230103</v>
      </c>
      <c r="G485" s="1" t="s">
        <v>27</v>
      </c>
      <c r="H485" s="1" t="n">
        <v>5.1</v>
      </c>
      <c r="I485" s="1" t="n">
        <v>355.4</v>
      </c>
      <c r="J485" s="1" t="n">
        <v>0</v>
      </c>
      <c r="K485" s="1"/>
      <c r="L485" s="1" t="n">
        <v>0</v>
      </c>
      <c r="M485" s="1" t="n">
        <v>0</v>
      </c>
      <c r="N485" s="1" t="s">
        <v>338</v>
      </c>
      <c r="Z485" s="0" t="n">
        <f aca="false">I485-3</f>
        <v>352.4</v>
      </c>
      <c r="AB485" s="0" t="n">
        <f aca="false">IF(Z485&lt;0,Z485+360,Z485+0)</f>
        <v>352.4</v>
      </c>
    </row>
    <row r="486" customFormat="false" ht="15.8" hidden="false" customHeight="false" outlineLevel="0" collapsed="false">
      <c r="A486" s="1" t="n">
        <v>10</v>
      </c>
      <c r="B486" s="1" t="n">
        <v>19</v>
      </c>
      <c r="C486" s="1" t="n">
        <v>2.4</v>
      </c>
      <c r="D486" s="1" t="n">
        <v>1.0367</v>
      </c>
      <c r="E486" s="1" t="n">
        <v>0.0825976</v>
      </c>
      <c r="F486" s="1" t="n">
        <v>0.000224789</v>
      </c>
      <c r="G486" s="1" t="s">
        <v>27</v>
      </c>
      <c r="H486" s="1" t="n">
        <v>128.3</v>
      </c>
      <c r="I486" s="1" t="n">
        <v>228.8</v>
      </c>
      <c r="J486" s="1" t="n">
        <v>0</v>
      </c>
      <c r="K486" s="1"/>
      <c r="L486" s="1" t="n">
        <v>0</v>
      </c>
      <c r="M486" s="1" t="n">
        <v>0</v>
      </c>
      <c r="N486" s="1" t="s">
        <v>338</v>
      </c>
      <c r="Z486" s="0" t="n">
        <f aca="false">I486-3</f>
        <v>225.8</v>
      </c>
      <c r="AB486" s="0" t="n">
        <f aca="false">IF(Z486&lt;0,Z486+360,Z486+0)</f>
        <v>225.8</v>
      </c>
    </row>
    <row r="487" customFormat="false" ht="15.8" hidden="false" customHeight="false" outlineLevel="0" collapsed="false">
      <c r="A487" s="1" t="n">
        <v>10</v>
      </c>
      <c r="B487" s="1" t="n">
        <v>18</v>
      </c>
      <c r="C487" s="1" t="n">
        <v>4.9</v>
      </c>
      <c r="D487" s="1" t="n">
        <v>1.0965</v>
      </c>
      <c r="E487" s="1" t="n">
        <v>0.168139</v>
      </c>
      <c r="F487" s="1" t="n">
        <v>0.000457588</v>
      </c>
      <c r="G487" s="1" t="s">
        <v>37</v>
      </c>
      <c r="H487" s="1" t="n">
        <v>13.3</v>
      </c>
      <c r="I487" s="1" t="n">
        <v>357.2</v>
      </c>
      <c r="J487" s="1" t="n">
        <v>4.7</v>
      </c>
      <c r="K487" s="1" t="n">
        <v>128.3</v>
      </c>
      <c r="L487" s="1" t="n">
        <v>0</v>
      </c>
      <c r="M487" s="1" t="n">
        <v>0</v>
      </c>
      <c r="N487" s="1" t="s">
        <v>337</v>
      </c>
      <c r="Z487" s="0" t="n">
        <f aca="false">I487-3</f>
        <v>354.2</v>
      </c>
      <c r="AB487" s="0" t="n">
        <f aca="false">IF(Z487&lt;0,Z487+360,Z487+0)</f>
        <v>354.2</v>
      </c>
    </row>
    <row r="488" customFormat="false" ht="15.8" hidden="false" customHeight="false" outlineLevel="0" collapsed="false">
      <c r="A488" s="1" t="n">
        <v>10</v>
      </c>
      <c r="B488" s="1" t="n">
        <v>17</v>
      </c>
      <c r="C488" s="1" t="n">
        <v>4.9</v>
      </c>
      <c r="D488" s="1" t="n">
        <v>1.4263</v>
      </c>
      <c r="E488" s="1" t="n">
        <v>0.167343</v>
      </c>
      <c r="F488" s="1" t="n">
        <v>0.000455423</v>
      </c>
      <c r="G488" s="1" t="s">
        <v>37</v>
      </c>
      <c r="H488" s="1" t="n">
        <v>49.9</v>
      </c>
      <c r="I488" s="1" t="n">
        <v>343.9</v>
      </c>
      <c r="J488" s="1" t="n">
        <v>6.2</v>
      </c>
      <c r="K488" s="1" t="n">
        <v>48.9</v>
      </c>
      <c r="L488" s="1" t="n">
        <v>0</v>
      </c>
      <c r="M488" s="1" t="n">
        <v>0</v>
      </c>
      <c r="N488" s="1" t="s">
        <v>339</v>
      </c>
      <c r="Z488" s="0" t="n">
        <f aca="false">I488-3</f>
        <v>340.9</v>
      </c>
      <c r="AB488" s="0" t="n">
        <f aca="false">IF(Z488&lt;0,Z488+360,Z488+0)</f>
        <v>340.9</v>
      </c>
    </row>
    <row r="489" customFormat="false" ht="15.8" hidden="false" customHeight="false" outlineLevel="0" collapsed="false">
      <c r="A489" s="1" t="n">
        <v>10</v>
      </c>
      <c r="B489" s="1" t="n">
        <v>18</v>
      </c>
      <c r="C489" s="1" t="n">
        <v>3.4</v>
      </c>
      <c r="D489" s="1" t="n">
        <v>1.1937</v>
      </c>
      <c r="E489" s="1" t="n">
        <v>0.117354</v>
      </c>
      <c r="F489" s="1" t="n">
        <v>0.000319378</v>
      </c>
      <c r="G489" s="1" t="s">
        <v>27</v>
      </c>
      <c r="H489" s="1" t="n">
        <v>81</v>
      </c>
      <c r="I489" s="1" t="n">
        <v>124.4</v>
      </c>
      <c r="J489" s="1" t="n">
        <v>0</v>
      </c>
      <c r="K489" s="1"/>
      <c r="L489" s="1" t="n">
        <v>0</v>
      </c>
      <c r="M489" s="1" t="n">
        <v>0</v>
      </c>
      <c r="N489" s="1" t="s">
        <v>340</v>
      </c>
      <c r="Z489" s="0" t="n">
        <f aca="false">I489-3</f>
        <v>121.4</v>
      </c>
      <c r="AB489" s="0" t="n">
        <f aca="false">IF(Z489&lt;0,Z489+360,Z489+0)</f>
        <v>121.4</v>
      </c>
    </row>
    <row r="490" customFormat="false" ht="15.8" hidden="false" customHeight="false" outlineLevel="0" collapsed="false">
      <c r="A490" s="1" t="n">
        <v>10</v>
      </c>
      <c r="B490" s="1" t="n">
        <v>18</v>
      </c>
      <c r="C490" s="1" t="n">
        <v>7.3</v>
      </c>
      <c r="D490" s="1" t="n">
        <v>1.4561</v>
      </c>
      <c r="E490" s="1" t="n">
        <v>0.250844</v>
      </c>
      <c r="F490" s="1" t="n">
        <v>0.00068267</v>
      </c>
      <c r="G490" s="1" t="s">
        <v>27</v>
      </c>
      <c r="H490" s="1" t="n">
        <v>54.1</v>
      </c>
      <c r="I490" s="1" t="n">
        <v>170.1</v>
      </c>
      <c r="J490" s="1" t="n">
        <v>-21.5</v>
      </c>
      <c r="K490" s="1"/>
      <c r="L490" s="1" t="n">
        <v>0</v>
      </c>
      <c r="M490" s="1" t="n">
        <v>0</v>
      </c>
      <c r="N490" s="1" t="s">
        <v>340</v>
      </c>
      <c r="Z490" s="0" t="n">
        <f aca="false">I490-3</f>
        <v>167.1</v>
      </c>
      <c r="AB490" s="0" t="n">
        <f aca="false">IF(Z490&lt;0,Z490+360,Z490+0)</f>
        <v>167.1</v>
      </c>
    </row>
    <row r="491" customFormat="false" ht="15.8" hidden="false" customHeight="false" outlineLevel="0" collapsed="false">
      <c r="A491" s="1" t="n">
        <v>10</v>
      </c>
      <c r="B491" s="1" t="n">
        <v>17</v>
      </c>
      <c r="C491" s="1" t="n">
        <v>5.1</v>
      </c>
      <c r="D491" s="1" t="n">
        <v>1.3411</v>
      </c>
      <c r="E491" s="1" t="n">
        <v>0.175199</v>
      </c>
      <c r="F491" s="1" t="n">
        <v>0.000476802</v>
      </c>
      <c r="G491" s="1" t="s">
        <v>37</v>
      </c>
      <c r="H491" s="1" t="n">
        <v>61.8</v>
      </c>
      <c r="I491" s="1" t="n">
        <v>175.4</v>
      </c>
      <c r="J491" s="1" t="n">
        <v>-75.6</v>
      </c>
      <c r="K491" s="1" t="n">
        <v>81</v>
      </c>
      <c r="L491" s="1" t="n">
        <v>0</v>
      </c>
      <c r="M491" s="1" t="n">
        <v>0</v>
      </c>
      <c r="N491" s="1" t="s">
        <v>339</v>
      </c>
      <c r="Z491" s="0" t="n">
        <f aca="false">I491-3</f>
        <v>172.4</v>
      </c>
      <c r="AB491" s="0" t="n">
        <f aca="false">IF(Z491&lt;0,Z491+360,Z491+0)</f>
        <v>172.4</v>
      </c>
    </row>
    <row r="492" customFormat="false" ht="15.8" hidden="false" customHeight="false" outlineLevel="0" collapsed="false">
      <c r="A492" s="1" t="n">
        <v>10</v>
      </c>
      <c r="B492" s="1" t="n">
        <v>16</v>
      </c>
      <c r="C492" s="1" t="n">
        <v>1.3</v>
      </c>
      <c r="D492" s="1" t="n">
        <v>1.1636</v>
      </c>
      <c r="E492" s="1" t="n">
        <v>0.0448028</v>
      </c>
      <c r="F492" s="1" t="n">
        <v>0.000121931</v>
      </c>
      <c r="G492" s="1" t="s">
        <v>37</v>
      </c>
      <c r="H492" s="1" t="n">
        <v>10.1</v>
      </c>
      <c r="I492" s="1" t="n">
        <v>326.5</v>
      </c>
      <c r="J492" s="1" t="n">
        <v>-41.1</v>
      </c>
      <c r="K492" s="1" t="n">
        <v>61.8</v>
      </c>
      <c r="L492" s="1" t="n">
        <v>0</v>
      </c>
      <c r="M492" s="1" t="n">
        <v>0</v>
      </c>
      <c r="N492" s="1" t="s">
        <v>341</v>
      </c>
      <c r="Z492" s="0" t="n">
        <f aca="false">I492-3</f>
        <v>323.5</v>
      </c>
      <c r="AB492" s="0" t="n">
        <f aca="false">IF(Z492&lt;0,Z492+360,Z492+0)</f>
        <v>323.5</v>
      </c>
    </row>
    <row r="493" customFormat="false" ht="15.8" hidden="false" customHeight="false" outlineLevel="0" collapsed="false">
      <c r="A493" s="1" t="n">
        <v>10</v>
      </c>
      <c r="B493" s="1" t="n">
        <v>17</v>
      </c>
      <c r="C493" s="1" t="n">
        <v>1.1</v>
      </c>
      <c r="D493" s="1" t="n">
        <v>1.0269</v>
      </c>
      <c r="E493" s="1" t="n">
        <v>0.0359462</v>
      </c>
      <c r="F493" s="1" t="n">
        <v>9.78273E-005</v>
      </c>
      <c r="G493" s="1" t="s">
        <v>27</v>
      </c>
      <c r="H493" s="1" t="n">
        <v>28.1</v>
      </c>
      <c r="I493" s="1" t="n">
        <v>209.3</v>
      </c>
      <c r="J493" s="1" t="n">
        <v>0</v>
      </c>
      <c r="K493" s="1"/>
      <c r="L493" s="1" t="n">
        <v>0</v>
      </c>
      <c r="M493" s="1" t="n">
        <v>0</v>
      </c>
      <c r="N493" s="1" t="s">
        <v>342</v>
      </c>
      <c r="Z493" s="0" t="n">
        <f aca="false">I493-3</f>
        <v>206.3</v>
      </c>
      <c r="AB493" s="0" t="n">
        <f aca="false">IF(Z493&lt;0,Z493+360,Z493+0)</f>
        <v>206.3</v>
      </c>
    </row>
    <row r="494" customFormat="false" ht="15.8" hidden="false" customHeight="false" outlineLevel="0" collapsed="false">
      <c r="A494" s="1" t="n">
        <v>10</v>
      </c>
      <c r="B494" s="1" t="n">
        <v>18</v>
      </c>
      <c r="C494" s="1" t="n">
        <v>1</v>
      </c>
      <c r="D494" s="1" t="n">
        <v>1.2093</v>
      </c>
      <c r="E494" s="1" t="n">
        <v>0.0348666</v>
      </c>
      <c r="F494" s="1" t="n">
        <v>9.48893E-005</v>
      </c>
      <c r="G494" s="1" t="s">
        <v>27</v>
      </c>
      <c r="H494" s="1" t="n">
        <v>58.1</v>
      </c>
      <c r="I494" s="1" t="n">
        <v>187.4</v>
      </c>
      <c r="J494" s="1" t="n">
        <v>26</v>
      </c>
      <c r="K494" s="1"/>
      <c r="L494" s="1" t="n">
        <v>0</v>
      </c>
      <c r="M494" s="1" t="n">
        <v>0</v>
      </c>
      <c r="N494" s="1" t="s">
        <v>343</v>
      </c>
      <c r="Z494" s="0" t="n">
        <f aca="false">I494-3</f>
        <v>184.4</v>
      </c>
      <c r="AB494" s="0" t="n">
        <f aca="false">IF(Z494&lt;0,Z494+360,Z494+0)</f>
        <v>184.4</v>
      </c>
    </row>
    <row r="495" customFormat="false" ht="15.8" hidden="false" customHeight="false" outlineLevel="0" collapsed="false">
      <c r="A495" s="1" t="n">
        <v>10</v>
      </c>
      <c r="B495" s="1" t="n">
        <v>19</v>
      </c>
      <c r="C495" s="1" t="n">
        <v>0.5</v>
      </c>
      <c r="D495" s="1" t="n">
        <v>1.0176</v>
      </c>
      <c r="E495" s="1" t="n">
        <v>0.0160244</v>
      </c>
      <c r="F495" s="1" t="n">
        <v>4.36103E-005</v>
      </c>
      <c r="G495" s="1" t="s">
        <v>27</v>
      </c>
      <c r="H495" s="1" t="n">
        <v>63.7</v>
      </c>
      <c r="I495" s="1" t="n">
        <v>6.8</v>
      </c>
      <c r="J495" s="1" t="n">
        <v>0</v>
      </c>
      <c r="K495" s="1"/>
      <c r="L495" s="1" t="n">
        <v>0</v>
      </c>
      <c r="M495" s="1" t="n">
        <v>0</v>
      </c>
      <c r="N495" s="1" t="s">
        <v>344</v>
      </c>
      <c r="Z495" s="0" t="n">
        <f aca="false">I495-3</f>
        <v>3.8</v>
      </c>
      <c r="AB495" s="0" t="n">
        <f aca="false">IF(Z495&lt;0,Z495+360,Z495+0)</f>
        <v>3.8</v>
      </c>
    </row>
    <row r="496" customFormat="false" ht="15.8" hidden="false" customHeight="false" outlineLevel="0" collapsed="false">
      <c r="A496" s="1" t="n">
        <v>10</v>
      </c>
      <c r="B496" s="1" t="n">
        <v>19</v>
      </c>
      <c r="C496" s="1" t="n">
        <v>1.9</v>
      </c>
      <c r="D496" s="1" t="n">
        <v>1.2497</v>
      </c>
      <c r="E496" s="1" t="n">
        <v>0.0633883</v>
      </c>
      <c r="F496" s="1" t="n">
        <v>0.000172511</v>
      </c>
      <c r="G496" s="1" t="s">
        <v>27</v>
      </c>
      <c r="H496" s="1" t="n">
        <v>95.1</v>
      </c>
      <c r="I496" s="1" t="n">
        <v>207.2</v>
      </c>
      <c r="J496" s="1" t="n">
        <v>-29.9</v>
      </c>
      <c r="K496" s="1"/>
      <c r="L496" s="1" t="n">
        <v>0</v>
      </c>
      <c r="M496" s="1" t="n">
        <v>0</v>
      </c>
      <c r="N496" s="1" t="s">
        <v>344</v>
      </c>
      <c r="Z496" s="0" t="n">
        <f aca="false">I496-3</f>
        <v>204.2</v>
      </c>
      <c r="AB496" s="0" t="n">
        <f aca="false">IF(Z496&lt;0,Z496+360,Z496+0)</f>
        <v>204.2</v>
      </c>
    </row>
    <row r="497" customFormat="false" ht="15.8" hidden="false" customHeight="false" outlineLevel="0" collapsed="false">
      <c r="A497" s="1" t="n">
        <v>10</v>
      </c>
      <c r="B497" s="1" t="n">
        <v>18</v>
      </c>
      <c r="C497" s="1" t="n">
        <v>0.3</v>
      </c>
      <c r="D497" s="1" t="n">
        <v>1.0115</v>
      </c>
      <c r="E497" s="1" t="n">
        <v>0.0103392</v>
      </c>
      <c r="F497" s="1" t="n">
        <v>2.8138E-005</v>
      </c>
      <c r="G497" s="1" t="s">
        <v>37</v>
      </c>
      <c r="H497" s="1" t="n">
        <v>58.4</v>
      </c>
      <c r="I497" s="1" t="n">
        <v>303.1</v>
      </c>
      <c r="J497" s="1" t="n">
        <v>0</v>
      </c>
      <c r="K497" s="1" t="n">
        <v>95.1</v>
      </c>
      <c r="L497" s="1" t="n">
        <v>0</v>
      </c>
      <c r="M497" s="1" t="n">
        <v>0</v>
      </c>
      <c r="N497" s="1" t="s">
        <v>343</v>
      </c>
      <c r="Z497" s="0" t="n">
        <f aca="false">I497-3</f>
        <v>300.1</v>
      </c>
      <c r="AB497" s="0" t="n">
        <f aca="false">IF(Z497&lt;0,Z497+360,Z497+0)</f>
        <v>300.1</v>
      </c>
    </row>
    <row r="498" customFormat="false" ht="15.8" hidden="false" customHeight="false" outlineLevel="0" collapsed="false">
      <c r="A498" s="1" t="n">
        <v>10</v>
      </c>
      <c r="B498" s="1" t="n">
        <v>17</v>
      </c>
      <c r="C498" s="1" t="n">
        <v>5.6</v>
      </c>
      <c r="D498" s="1" t="n">
        <v>1.6796</v>
      </c>
      <c r="E498" s="1" t="n">
        <v>0.193071</v>
      </c>
      <c r="F498" s="1" t="n">
        <v>0.000525442</v>
      </c>
      <c r="G498" s="1" t="s">
        <v>37</v>
      </c>
      <c r="H498" s="1" t="n">
        <v>56.5</v>
      </c>
      <c r="I498" s="1" t="n">
        <v>244.9</v>
      </c>
      <c r="J498" s="1" t="n">
        <v>6.3</v>
      </c>
      <c r="K498" s="1" t="n">
        <v>58.4</v>
      </c>
      <c r="L498" s="1" t="n">
        <v>0</v>
      </c>
      <c r="M498" s="1" t="n">
        <v>0</v>
      </c>
      <c r="N498" s="1" t="s">
        <v>342</v>
      </c>
      <c r="Z498" s="0" t="n">
        <f aca="false">I498-3</f>
        <v>241.9</v>
      </c>
      <c r="AB498" s="0" t="n">
        <f aca="false">IF(Z498&lt;0,Z498+360,Z498+0)</f>
        <v>241.9</v>
      </c>
    </row>
    <row r="499" customFormat="false" ht="15.8" hidden="false" customHeight="false" outlineLevel="0" collapsed="false">
      <c r="A499" s="1" t="n">
        <v>10</v>
      </c>
      <c r="B499" s="1" t="n">
        <v>16</v>
      </c>
      <c r="C499" s="1" t="n">
        <v>4.2</v>
      </c>
      <c r="D499" s="1" t="n">
        <v>1.2171</v>
      </c>
      <c r="E499" s="1" t="n">
        <v>0.143604</v>
      </c>
      <c r="F499" s="1" t="n">
        <v>0.000390818</v>
      </c>
      <c r="G499" s="1" t="s">
        <v>37</v>
      </c>
      <c r="H499" s="1" t="n">
        <v>89.8</v>
      </c>
      <c r="I499" s="1" t="n">
        <v>196.9</v>
      </c>
      <c r="J499" s="1" t="n">
        <v>-25.4</v>
      </c>
      <c r="K499" s="1" t="n">
        <v>56.5</v>
      </c>
      <c r="L499" s="1" t="n">
        <v>0</v>
      </c>
      <c r="M499" s="1" t="n">
        <v>0</v>
      </c>
      <c r="N499" s="1" t="s">
        <v>341</v>
      </c>
      <c r="Z499" s="0" t="n">
        <f aca="false">I499-3</f>
        <v>193.9</v>
      </c>
      <c r="AB499" s="0" t="n">
        <f aca="false">IF(Z499&lt;0,Z499+360,Z499+0)</f>
        <v>193.9</v>
      </c>
    </row>
    <row r="500" customFormat="false" ht="15.8" hidden="false" customHeight="false" outlineLevel="0" collapsed="false">
      <c r="A500" s="1" t="n">
        <v>10</v>
      </c>
      <c r="B500" s="1" t="n">
        <v>15</v>
      </c>
      <c r="C500" s="1" t="n">
        <v>1.3</v>
      </c>
      <c r="D500" s="1" t="n">
        <v>1.2312</v>
      </c>
      <c r="E500" s="1" t="n">
        <v>0.0452007</v>
      </c>
      <c r="F500" s="1" t="n">
        <v>0.000123013</v>
      </c>
      <c r="G500" s="1" t="s">
        <v>37</v>
      </c>
      <c r="H500" s="1" t="n">
        <v>45.6</v>
      </c>
      <c r="I500" s="1" t="n">
        <v>313.3</v>
      </c>
      <c r="J500" s="1" t="n">
        <v>-43.6</v>
      </c>
      <c r="K500" s="1" t="n">
        <v>89.8</v>
      </c>
      <c r="L500" s="1" t="n">
        <v>0</v>
      </c>
      <c r="M500" s="1" t="n">
        <v>0</v>
      </c>
      <c r="N500" s="1" t="s">
        <v>336</v>
      </c>
      <c r="Z500" s="0" t="n">
        <f aca="false">I500-3</f>
        <v>310.3</v>
      </c>
      <c r="AB500" s="0" t="n">
        <f aca="false">IF(Z500&lt;0,Z500+360,Z500+0)</f>
        <v>310.3</v>
      </c>
    </row>
    <row r="501" customFormat="false" ht="15.8" hidden="false" customHeight="false" outlineLevel="0" collapsed="false">
      <c r="A501" s="1" t="n">
        <v>10</v>
      </c>
      <c r="B501" s="1" t="n">
        <v>14</v>
      </c>
      <c r="C501" s="1" t="n">
        <v>1.2</v>
      </c>
      <c r="D501" s="1" t="n">
        <v>1.1017</v>
      </c>
      <c r="E501" s="1" t="n">
        <v>0.0418972</v>
      </c>
      <c r="F501" s="1" t="n">
        <v>0.000114023</v>
      </c>
      <c r="G501" s="1" t="s">
        <v>37</v>
      </c>
      <c r="H501" s="1" t="n">
        <v>83.1</v>
      </c>
      <c r="I501" s="1" t="n">
        <v>16.8</v>
      </c>
      <c r="J501" s="1" t="n">
        <v>-41.7</v>
      </c>
      <c r="K501" s="1" t="n">
        <v>52.9</v>
      </c>
      <c r="L501" s="1" t="n">
        <v>0</v>
      </c>
      <c r="M501" s="1" t="n">
        <v>0</v>
      </c>
      <c r="N501" s="1" t="s">
        <v>335</v>
      </c>
      <c r="Z501" s="0" t="n">
        <f aca="false">I501-3</f>
        <v>13.8</v>
      </c>
      <c r="AB501" s="0" t="n">
        <f aca="false">IF(Z501&lt;0,Z501+360,Z501+0)</f>
        <v>13.8</v>
      </c>
    </row>
    <row r="502" customFormat="false" ht="15.8" hidden="false" customHeight="false" outlineLevel="0" collapsed="false">
      <c r="A502" s="1" t="n">
        <v>10</v>
      </c>
      <c r="B502" s="1" t="n">
        <v>14</v>
      </c>
      <c r="C502" s="1" t="n">
        <v>6.8</v>
      </c>
      <c r="D502" s="1" t="n">
        <v>1.3146</v>
      </c>
      <c r="E502" s="1" t="n">
        <v>0.232677</v>
      </c>
      <c r="F502" s="1" t="n">
        <v>0.000633228</v>
      </c>
      <c r="G502" s="1" t="s">
        <v>27</v>
      </c>
      <c r="H502" s="1" t="n">
        <v>51.2</v>
      </c>
      <c r="I502" s="1" t="n">
        <v>185.4</v>
      </c>
      <c r="J502" s="1" t="n">
        <v>-20.9</v>
      </c>
      <c r="K502" s="1"/>
      <c r="L502" s="1" t="n">
        <v>0</v>
      </c>
      <c r="M502" s="1" t="n">
        <v>0</v>
      </c>
      <c r="N502" s="1" t="s">
        <v>335</v>
      </c>
      <c r="Z502" s="0" t="n">
        <f aca="false">I502-3</f>
        <v>182.4</v>
      </c>
      <c r="AB502" s="0" t="n">
        <f aca="false">IF(Z502&lt;0,Z502+360,Z502+0)</f>
        <v>182.4</v>
      </c>
    </row>
    <row r="503" customFormat="false" ht="15.8" hidden="false" customHeight="false" outlineLevel="0" collapsed="false">
      <c r="A503" s="1" t="n">
        <v>10</v>
      </c>
      <c r="B503" s="1" t="n">
        <v>13</v>
      </c>
      <c r="C503" s="1" t="n">
        <v>1.6</v>
      </c>
      <c r="D503" s="1" t="n">
        <v>1.1551</v>
      </c>
      <c r="E503" s="1" t="n">
        <v>0.0543947</v>
      </c>
      <c r="F503" s="1" t="n">
        <v>0.000148035</v>
      </c>
      <c r="G503" s="1" t="s">
        <v>37</v>
      </c>
      <c r="H503" s="1" t="n">
        <v>38.5</v>
      </c>
      <c r="I503" s="1" t="n">
        <v>128.9</v>
      </c>
      <c r="J503" s="1" t="n">
        <v>-32.5</v>
      </c>
      <c r="K503" s="1" t="n">
        <v>83.1</v>
      </c>
      <c r="L503" s="1" t="n">
        <v>0</v>
      </c>
      <c r="M503" s="1" t="n">
        <v>0</v>
      </c>
      <c r="N503" s="1" t="s">
        <v>334</v>
      </c>
      <c r="Z503" s="0" t="n">
        <f aca="false">I503-3</f>
        <v>125.9</v>
      </c>
      <c r="AB503" s="0" t="n">
        <f aca="false">IF(Z503&lt;0,Z503+360,Z503+0)</f>
        <v>125.9</v>
      </c>
    </row>
    <row r="504" customFormat="false" ht="15.8" hidden="false" customHeight="false" outlineLevel="0" collapsed="false">
      <c r="A504" s="1" t="n">
        <v>10</v>
      </c>
      <c r="B504" s="1" t="n">
        <v>12</v>
      </c>
      <c r="C504" s="1" t="n">
        <v>7.5</v>
      </c>
      <c r="D504" s="1" t="n">
        <v>1.2695</v>
      </c>
      <c r="E504" s="1" t="n">
        <v>0.255591</v>
      </c>
      <c r="F504" s="1" t="n">
        <v>0.00069559</v>
      </c>
      <c r="G504" s="1" t="s">
        <v>37</v>
      </c>
      <c r="H504" s="1" t="n">
        <v>55.7</v>
      </c>
      <c r="I504" s="1" t="n">
        <v>140.4</v>
      </c>
      <c r="J504" s="1" t="n">
        <v>-70.5</v>
      </c>
      <c r="K504" s="1" t="n">
        <v>75</v>
      </c>
      <c r="L504" s="1" t="n">
        <v>0</v>
      </c>
      <c r="M504" s="1" t="n">
        <v>0</v>
      </c>
      <c r="N504" s="1" t="s">
        <v>333</v>
      </c>
      <c r="Z504" s="0" t="n">
        <f aca="false">I504-3</f>
        <v>137.4</v>
      </c>
      <c r="AB504" s="0" t="n">
        <f aca="false">IF(Z504&lt;0,Z504+360,Z504+0)</f>
        <v>137.4</v>
      </c>
    </row>
    <row r="505" customFormat="false" ht="15.8" hidden="false" customHeight="false" outlineLevel="0" collapsed="false">
      <c r="A505" s="1" t="n">
        <v>10</v>
      </c>
      <c r="B505" s="1" t="n">
        <v>11</v>
      </c>
      <c r="C505" s="1" t="n">
        <v>3</v>
      </c>
      <c r="D505" s="1" t="n">
        <v>1.261</v>
      </c>
      <c r="E505" s="1" t="n">
        <v>0.103417</v>
      </c>
      <c r="F505" s="1" t="n">
        <v>0.000281449</v>
      </c>
      <c r="G505" s="1" t="s">
        <v>37</v>
      </c>
      <c r="H505" s="1" t="n">
        <v>24.8</v>
      </c>
      <c r="I505" s="1" t="n">
        <v>359.9</v>
      </c>
      <c r="J505" s="1" t="n">
        <v>-50.5</v>
      </c>
      <c r="K505" s="1" t="n">
        <v>55.7</v>
      </c>
      <c r="L505" s="1" t="n">
        <v>0</v>
      </c>
      <c r="M505" s="1" t="n">
        <v>0</v>
      </c>
      <c r="N505" s="1" t="s">
        <v>330</v>
      </c>
      <c r="Z505" s="0" t="n">
        <f aca="false">I505-3</f>
        <v>356.9</v>
      </c>
      <c r="AB505" s="0" t="n">
        <f aca="false">IF(Z505&lt;0,Z505+360,Z505+0)</f>
        <v>356.9</v>
      </c>
    </row>
    <row r="506" customFormat="false" ht="15.8" hidden="false" customHeight="false" outlineLevel="0" collapsed="false">
      <c r="A506" s="1" t="n">
        <v>10</v>
      </c>
      <c r="B506" s="1" t="n">
        <v>10</v>
      </c>
      <c r="C506" s="1" t="n">
        <v>2.1</v>
      </c>
      <c r="D506" s="1" t="n">
        <v>1.2468</v>
      </c>
      <c r="E506" s="1" t="n">
        <v>0.0726598</v>
      </c>
      <c r="F506" s="1" t="n">
        <v>0.000197743</v>
      </c>
      <c r="G506" s="1" t="s">
        <v>37</v>
      </c>
      <c r="H506" s="1" t="n">
        <v>7.3</v>
      </c>
      <c r="I506" s="1" t="n">
        <v>0.4</v>
      </c>
      <c r="J506" s="1" t="n">
        <v>-25.7</v>
      </c>
      <c r="K506" s="1" t="n">
        <v>34.7</v>
      </c>
      <c r="L506" s="1" t="n">
        <v>0</v>
      </c>
      <c r="M506" s="1" t="n">
        <v>0</v>
      </c>
      <c r="N506" s="1" t="s">
        <v>345</v>
      </c>
      <c r="Z506" s="0" t="n">
        <f aca="false">I506-3</f>
        <v>-2.6</v>
      </c>
      <c r="AB506" s="0" t="n">
        <f aca="false">IF(Z506&lt;0,Z506+360,Z506+0)</f>
        <v>357.4</v>
      </c>
    </row>
    <row r="507" customFormat="false" ht="15.8" hidden="false" customHeight="false" outlineLevel="0" collapsed="false">
      <c r="A507" s="1" t="n">
        <v>10</v>
      </c>
      <c r="B507" s="1" t="n">
        <v>10</v>
      </c>
      <c r="C507" s="1" t="n">
        <v>3.1</v>
      </c>
      <c r="D507" s="1" t="n">
        <v>1.2391</v>
      </c>
      <c r="E507" s="1" t="n">
        <v>0.107368</v>
      </c>
      <c r="F507" s="1" t="n">
        <v>0.000292202</v>
      </c>
      <c r="G507" s="1" t="s">
        <v>27</v>
      </c>
      <c r="H507" s="1" t="n">
        <v>42.1</v>
      </c>
      <c r="I507" s="1" t="n">
        <v>37.3</v>
      </c>
      <c r="J507" s="1" t="n">
        <v>-17</v>
      </c>
      <c r="K507" s="1"/>
      <c r="L507" s="1" t="n">
        <v>0</v>
      </c>
      <c r="M507" s="1" t="n">
        <v>0</v>
      </c>
      <c r="N507" s="1" t="s">
        <v>345</v>
      </c>
      <c r="Z507" s="0" t="n">
        <f aca="false">I507-3</f>
        <v>34.3</v>
      </c>
      <c r="AB507" s="0" t="n">
        <f aca="false">IF(Z507&lt;0,Z507+360,Z507+0)</f>
        <v>34.3</v>
      </c>
    </row>
    <row r="508" customFormat="false" ht="15.8" hidden="false" customHeight="false" outlineLevel="0" collapsed="false">
      <c r="A508" s="1" t="n">
        <v>10</v>
      </c>
      <c r="B508" s="1" t="n">
        <v>9</v>
      </c>
      <c r="C508" s="1" t="n">
        <v>3.5</v>
      </c>
      <c r="D508" s="1" t="n">
        <v>1.1469</v>
      </c>
      <c r="E508" s="1" t="n">
        <v>0.118787</v>
      </c>
      <c r="F508" s="1" t="n">
        <v>0.000323277</v>
      </c>
      <c r="G508" s="1" t="s">
        <v>37</v>
      </c>
      <c r="H508" s="1" t="n">
        <v>54.1</v>
      </c>
      <c r="I508" s="1" t="n">
        <v>353.2</v>
      </c>
      <c r="J508" s="1" t="n">
        <v>-29.3</v>
      </c>
      <c r="K508" s="1" t="n">
        <v>42.1</v>
      </c>
      <c r="L508" s="1" t="n">
        <v>0</v>
      </c>
      <c r="M508" s="1" t="n">
        <v>0</v>
      </c>
      <c r="N508" s="1" t="s">
        <v>346</v>
      </c>
      <c r="Z508" s="0" t="n">
        <f aca="false">I508-3</f>
        <v>350.2</v>
      </c>
      <c r="AB508" s="0" t="n">
        <f aca="false">IF(Z508&lt;0,Z508+360,Z508+0)</f>
        <v>350.2</v>
      </c>
    </row>
    <row r="509" customFormat="false" ht="15.8" hidden="false" customHeight="false" outlineLevel="0" collapsed="false">
      <c r="A509" s="1" t="n">
        <v>10</v>
      </c>
      <c r="B509" s="1" t="n">
        <v>11</v>
      </c>
      <c r="C509" s="1" t="n">
        <v>3.2</v>
      </c>
      <c r="D509" s="1" t="n">
        <v>1.3933</v>
      </c>
      <c r="E509" s="1" t="n">
        <v>0.111024</v>
      </c>
      <c r="F509" s="1" t="n">
        <v>0.000302151</v>
      </c>
      <c r="G509" s="1" t="s">
        <v>27</v>
      </c>
      <c r="H509" s="1" t="n">
        <v>45.5</v>
      </c>
      <c r="I509" s="1" t="n">
        <v>172.5</v>
      </c>
      <c r="J509" s="1" t="n">
        <v>-52.6</v>
      </c>
      <c r="K509" s="1"/>
      <c r="L509" s="1" t="n">
        <v>0</v>
      </c>
      <c r="M509" s="1" t="n">
        <v>0</v>
      </c>
      <c r="N509" s="1" t="s">
        <v>347</v>
      </c>
      <c r="Z509" s="0" t="n">
        <f aca="false">I509-3</f>
        <v>169.5</v>
      </c>
      <c r="AB509" s="0" t="n">
        <f aca="false">IF(Z509&lt;0,Z509+360,Z509+0)</f>
        <v>169.5</v>
      </c>
    </row>
    <row r="510" customFormat="false" ht="15.8" hidden="false" customHeight="false" outlineLevel="0" collapsed="false">
      <c r="A510" s="1" t="n">
        <v>10</v>
      </c>
      <c r="B510" s="1" t="n">
        <v>11</v>
      </c>
      <c r="C510" s="1" t="n">
        <v>5.3</v>
      </c>
      <c r="D510" s="1" t="n">
        <v>1.1725</v>
      </c>
      <c r="E510" s="1" t="n">
        <v>0.181502</v>
      </c>
      <c r="F510" s="1" t="n">
        <v>0.000493957</v>
      </c>
      <c r="G510" s="1" t="s">
        <v>27</v>
      </c>
      <c r="H510" s="1" t="n">
        <v>23.7</v>
      </c>
      <c r="I510" s="1" t="n">
        <v>205.3</v>
      </c>
      <c r="J510" s="1" t="n">
        <v>9.4</v>
      </c>
      <c r="K510" s="1"/>
      <c r="L510" s="1" t="n">
        <v>0</v>
      </c>
      <c r="M510" s="1" t="n">
        <v>0</v>
      </c>
      <c r="N510" s="1" t="s">
        <v>347</v>
      </c>
      <c r="Z510" s="0" t="n">
        <f aca="false">I510-3</f>
        <v>202.3</v>
      </c>
      <c r="AB510" s="0" t="n">
        <f aca="false">IF(Z510&lt;0,Z510+360,Z510+0)</f>
        <v>202.3</v>
      </c>
    </row>
    <row r="511" customFormat="false" ht="15.8" hidden="false" customHeight="false" outlineLevel="0" collapsed="false">
      <c r="A511" s="1" t="n">
        <v>10</v>
      </c>
      <c r="B511" s="1" t="n">
        <v>10</v>
      </c>
      <c r="C511" s="1" t="n">
        <v>1.7</v>
      </c>
      <c r="D511" s="1" t="n">
        <v>1.1019</v>
      </c>
      <c r="E511" s="1" t="n">
        <v>0.0566851</v>
      </c>
      <c r="F511" s="1" t="n">
        <v>0.000154268</v>
      </c>
      <c r="G511" s="1" t="s">
        <v>37</v>
      </c>
      <c r="H511" s="1" t="n">
        <v>28.7</v>
      </c>
      <c r="I511" s="1" t="n">
        <v>203.3</v>
      </c>
      <c r="J511" s="1" t="n">
        <v>-14.2</v>
      </c>
      <c r="K511" s="1" t="n">
        <v>45.5</v>
      </c>
      <c r="L511" s="1" t="n">
        <v>0</v>
      </c>
      <c r="M511" s="1" t="n">
        <v>0</v>
      </c>
      <c r="N511" s="1" t="s">
        <v>348</v>
      </c>
      <c r="Z511" s="0" t="n">
        <f aca="false">I511-3</f>
        <v>200.3</v>
      </c>
      <c r="AB511" s="0" t="n">
        <f aca="false">IF(Z511&lt;0,Z511+360,Z511+0)</f>
        <v>200.3</v>
      </c>
    </row>
    <row r="512" customFormat="false" ht="15.8" hidden="false" customHeight="false" outlineLevel="0" collapsed="false">
      <c r="A512" s="1" t="n">
        <v>10</v>
      </c>
      <c r="B512" s="1" t="n">
        <v>12</v>
      </c>
      <c r="C512" s="1" t="n">
        <v>0.6</v>
      </c>
      <c r="D512" s="1" t="n">
        <v>1.0066</v>
      </c>
      <c r="E512" s="1" t="n">
        <v>0.0201683</v>
      </c>
      <c r="F512" s="1" t="n">
        <v>5.48877E-005</v>
      </c>
      <c r="G512" s="1" t="s">
        <v>27</v>
      </c>
      <c r="H512" s="1" t="n">
        <v>44.2</v>
      </c>
      <c r="I512" s="1" t="n">
        <v>48</v>
      </c>
      <c r="J512" s="1" t="n">
        <v>0</v>
      </c>
      <c r="K512" s="1"/>
      <c r="L512" s="1" t="n">
        <v>0</v>
      </c>
      <c r="M512" s="1" t="n">
        <v>0</v>
      </c>
      <c r="N512" s="1" t="s">
        <v>349</v>
      </c>
      <c r="Z512" s="0" t="n">
        <f aca="false">I512-3</f>
        <v>45</v>
      </c>
      <c r="AB512" s="0" t="n">
        <f aca="false">IF(Z512&lt;0,Z512+360,Z512+0)</f>
        <v>45</v>
      </c>
    </row>
    <row r="513" customFormat="false" ht="15.8" hidden="false" customHeight="false" outlineLevel="0" collapsed="false">
      <c r="A513" s="1" t="n">
        <v>10</v>
      </c>
      <c r="B513" s="1" t="n">
        <v>12</v>
      </c>
      <c r="C513" s="1" t="n">
        <v>1</v>
      </c>
      <c r="D513" s="1" t="n">
        <v>1.2168</v>
      </c>
      <c r="E513" s="1" t="n">
        <v>0.0341779</v>
      </c>
      <c r="F513" s="1" t="n">
        <v>9.30148E-005</v>
      </c>
      <c r="G513" s="1" t="s">
        <v>27</v>
      </c>
      <c r="H513" s="1" t="n">
        <v>52.5</v>
      </c>
      <c r="I513" s="1" t="n">
        <v>139.2</v>
      </c>
      <c r="J513" s="1" t="n">
        <v>-26.8</v>
      </c>
      <c r="K513" s="1"/>
      <c r="L513" s="1" t="n">
        <v>0</v>
      </c>
      <c r="M513" s="1" t="n">
        <v>0</v>
      </c>
      <c r="N513" s="1" t="s">
        <v>349</v>
      </c>
      <c r="Z513" s="0" t="n">
        <f aca="false">I513-3</f>
        <v>136.2</v>
      </c>
      <c r="AB513" s="0" t="n">
        <f aca="false">IF(Z513&lt;0,Z513+360,Z513+0)</f>
        <v>136.2</v>
      </c>
    </row>
    <row r="514" customFormat="false" ht="15.8" hidden="false" customHeight="false" outlineLevel="0" collapsed="false">
      <c r="A514" s="1" t="n">
        <v>10</v>
      </c>
      <c r="B514" s="1" t="n">
        <v>11</v>
      </c>
      <c r="C514" s="1" t="n">
        <v>1.1</v>
      </c>
      <c r="D514" s="1" t="n">
        <v>1.0002</v>
      </c>
      <c r="E514" s="1" t="n">
        <v>0.0391263</v>
      </c>
      <c r="F514" s="1" t="n">
        <v>0.000106482</v>
      </c>
      <c r="G514" s="1" t="s">
        <v>37</v>
      </c>
      <c r="H514" s="1" t="n">
        <v>41</v>
      </c>
      <c r="I514" s="1" t="n">
        <v>92.2</v>
      </c>
      <c r="J514" s="1" t="n">
        <v>0</v>
      </c>
      <c r="K514" s="1" t="n">
        <v>52.5</v>
      </c>
      <c r="L514" s="1" t="n">
        <v>0</v>
      </c>
      <c r="M514" s="1" t="n">
        <v>0</v>
      </c>
      <c r="N514" s="1" t="s">
        <v>350</v>
      </c>
      <c r="Z514" s="0" t="n">
        <f aca="false">I514-3</f>
        <v>89.2</v>
      </c>
      <c r="AB514" s="0" t="n">
        <f aca="false">IF(Z514&lt;0,Z514+360,Z514+0)</f>
        <v>89.2</v>
      </c>
    </row>
    <row r="515" customFormat="false" ht="15.8" hidden="false" customHeight="false" outlineLevel="0" collapsed="false">
      <c r="A515" s="1" t="n">
        <v>10</v>
      </c>
      <c r="B515" s="1" t="n">
        <v>13</v>
      </c>
      <c r="C515" s="1" t="n">
        <v>0.9</v>
      </c>
      <c r="D515" s="1" t="n">
        <v>1.1278</v>
      </c>
      <c r="E515" s="1" t="n">
        <v>0.0296917</v>
      </c>
      <c r="F515" s="1" t="n">
        <v>8.08058E-005</v>
      </c>
      <c r="G515" s="1" t="s">
        <v>27</v>
      </c>
      <c r="H515" s="1" t="n">
        <v>77.7</v>
      </c>
      <c r="I515" s="1" t="n">
        <v>90.9</v>
      </c>
      <c r="J515" s="1" t="n">
        <v>-28.7</v>
      </c>
      <c r="K515" s="1"/>
      <c r="L515" s="1" t="n">
        <v>0</v>
      </c>
      <c r="M515" s="1" t="n">
        <v>0</v>
      </c>
      <c r="N515" s="1" t="s">
        <v>351</v>
      </c>
      <c r="Z515" s="0" t="n">
        <f aca="false">I515-3</f>
        <v>87.9</v>
      </c>
      <c r="AB515" s="0" t="n">
        <f aca="false">IF(Z515&lt;0,Z515+360,Z515+0)</f>
        <v>87.9</v>
      </c>
    </row>
    <row r="516" customFormat="false" ht="15.8" hidden="false" customHeight="false" outlineLevel="0" collapsed="false">
      <c r="A516" s="1" t="n">
        <v>10</v>
      </c>
      <c r="B516" s="1" t="n">
        <v>13</v>
      </c>
      <c r="C516" s="1" t="n">
        <v>2.7</v>
      </c>
      <c r="D516" s="1" t="n">
        <v>1.3268</v>
      </c>
      <c r="E516" s="1" t="n">
        <v>0.0932274</v>
      </c>
      <c r="F516" s="1" t="n">
        <v>0.000253718</v>
      </c>
      <c r="G516" s="1" t="s">
        <v>27</v>
      </c>
      <c r="H516" s="1" t="n">
        <v>16.7</v>
      </c>
      <c r="I516" s="1" t="n">
        <v>163.2</v>
      </c>
      <c r="J516" s="1" t="n">
        <v>-32.7</v>
      </c>
      <c r="K516" s="1"/>
      <c r="L516" s="1" t="n">
        <v>0</v>
      </c>
      <c r="M516" s="1" t="n">
        <v>0</v>
      </c>
      <c r="N516" s="1" t="s">
        <v>351</v>
      </c>
      <c r="Z516" s="0" t="n">
        <f aca="false">I516-3</f>
        <v>160.2</v>
      </c>
      <c r="AB516" s="0" t="n">
        <f aca="false">IF(Z516&lt;0,Z516+360,Z516+0)</f>
        <v>160.2</v>
      </c>
    </row>
    <row r="517" customFormat="false" ht="15.8" hidden="false" customHeight="false" outlineLevel="0" collapsed="false">
      <c r="A517" s="1" t="n">
        <v>10</v>
      </c>
      <c r="B517" s="1" t="n">
        <v>12</v>
      </c>
      <c r="C517" s="1" t="n">
        <v>2.2</v>
      </c>
      <c r="D517" s="1" t="n">
        <v>1.318</v>
      </c>
      <c r="E517" s="1" t="n">
        <v>0.0737388</v>
      </c>
      <c r="F517" s="1" t="n">
        <v>0.000200679</v>
      </c>
      <c r="G517" s="1" t="s">
        <v>37</v>
      </c>
      <c r="H517" s="1" t="n">
        <v>36.4</v>
      </c>
      <c r="I517" s="1" t="n">
        <v>181.3</v>
      </c>
      <c r="J517" s="1" t="n">
        <v>-26.9</v>
      </c>
      <c r="K517" s="1" t="n">
        <v>77.7</v>
      </c>
      <c r="L517" s="1" t="n">
        <v>0</v>
      </c>
      <c r="M517" s="1" t="n">
        <v>0</v>
      </c>
      <c r="N517" s="1" t="s">
        <v>352</v>
      </c>
      <c r="Z517" s="0" t="n">
        <f aca="false">I517-3</f>
        <v>178.3</v>
      </c>
      <c r="AB517" s="0" t="n">
        <f aca="false">IF(Z517&lt;0,Z517+360,Z517+0)</f>
        <v>178.3</v>
      </c>
    </row>
    <row r="518" customFormat="false" ht="15.8" hidden="false" customHeight="false" outlineLevel="0" collapsed="false">
      <c r="A518" s="1" t="n">
        <v>10</v>
      </c>
      <c r="B518" s="1" t="n">
        <v>12</v>
      </c>
      <c r="C518" s="1" t="n">
        <v>2</v>
      </c>
      <c r="D518" s="1" t="n">
        <v>1.1781</v>
      </c>
      <c r="E518" s="1" t="n">
        <v>0.0684642</v>
      </c>
      <c r="F518" s="1" t="n">
        <v>0.000186325</v>
      </c>
      <c r="G518" s="1" t="s">
        <v>27</v>
      </c>
      <c r="H518" s="1" t="n">
        <v>40.8</v>
      </c>
      <c r="I518" s="1" t="n">
        <v>156</v>
      </c>
      <c r="J518" s="1" t="n">
        <v>40.8</v>
      </c>
      <c r="K518" s="1"/>
      <c r="L518" s="1" t="n">
        <v>0</v>
      </c>
      <c r="M518" s="1" t="n">
        <v>0</v>
      </c>
      <c r="N518" s="1" t="s">
        <v>352</v>
      </c>
      <c r="Z518" s="0" t="n">
        <f aca="false">I518-3</f>
        <v>153</v>
      </c>
      <c r="AB518" s="0" t="n">
        <f aca="false">IF(Z518&lt;0,Z518+360,Z518+0)</f>
        <v>153</v>
      </c>
    </row>
    <row r="519" customFormat="false" ht="15.8" hidden="false" customHeight="false" outlineLevel="0" collapsed="false">
      <c r="A519" s="1" t="n">
        <v>10</v>
      </c>
      <c r="B519" s="1" t="n">
        <v>11</v>
      </c>
      <c r="C519" s="1" t="n">
        <v>0.6</v>
      </c>
      <c r="D519" s="1" t="n">
        <v>1.0005</v>
      </c>
      <c r="E519" s="1" t="n">
        <v>0.0208393</v>
      </c>
      <c r="F519" s="1" t="n">
        <v>5.67139E-005</v>
      </c>
      <c r="G519" s="1" t="s">
        <v>37</v>
      </c>
      <c r="H519" s="1" t="n">
        <v>43.5</v>
      </c>
      <c r="I519" s="1" t="n">
        <v>155.7</v>
      </c>
      <c r="J519" s="1" t="n">
        <v>0</v>
      </c>
      <c r="K519" s="1" t="n">
        <v>40.8</v>
      </c>
      <c r="L519" s="1" t="n">
        <v>0</v>
      </c>
      <c r="M519" s="1" t="n">
        <v>0</v>
      </c>
      <c r="N519" s="1" t="s">
        <v>350</v>
      </c>
      <c r="Z519" s="0" t="n">
        <f aca="false">I519-3</f>
        <v>152.7</v>
      </c>
      <c r="AB519" s="0" t="n">
        <f aca="false">IF(Z519&lt;0,Z519+360,Z519+0)</f>
        <v>152.7</v>
      </c>
    </row>
    <row r="520" customFormat="false" ht="15.8" hidden="false" customHeight="false" outlineLevel="0" collapsed="false">
      <c r="A520" s="1" t="n">
        <v>10</v>
      </c>
      <c r="B520" s="1" t="n">
        <v>10</v>
      </c>
      <c r="C520" s="1" t="n">
        <v>0.8</v>
      </c>
      <c r="D520" s="1" t="n">
        <v>1.1226</v>
      </c>
      <c r="E520" s="1" t="n">
        <v>0.0288962</v>
      </c>
      <c r="F520" s="1" t="n">
        <v>7.86407E-005</v>
      </c>
      <c r="G520" s="1" t="s">
        <v>37</v>
      </c>
      <c r="H520" s="1" t="n">
        <v>86.6</v>
      </c>
      <c r="I520" s="1" t="n">
        <v>122.1</v>
      </c>
      <c r="J520" s="1" t="n">
        <v>29.4</v>
      </c>
      <c r="K520" s="1" t="n">
        <v>43.5</v>
      </c>
      <c r="L520" s="1" t="n">
        <v>0</v>
      </c>
      <c r="M520" s="1" t="n">
        <v>0</v>
      </c>
      <c r="N520" s="1" t="s">
        <v>348</v>
      </c>
      <c r="Z520" s="0" t="n">
        <f aca="false">I520-3</f>
        <v>119.1</v>
      </c>
      <c r="AB520" s="0" t="n">
        <f aca="false">IF(Z520&lt;0,Z520+360,Z520+0)</f>
        <v>119.1</v>
      </c>
    </row>
    <row r="521" customFormat="false" ht="15.8" hidden="false" customHeight="false" outlineLevel="0" collapsed="false">
      <c r="A521" s="1" t="n">
        <v>10</v>
      </c>
      <c r="B521" s="1" t="n">
        <v>9</v>
      </c>
      <c r="C521" s="1" t="n">
        <v>2.4</v>
      </c>
      <c r="D521" s="1" t="n">
        <v>1.2527</v>
      </c>
      <c r="E521" s="1" t="n">
        <v>0.0808193</v>
      </c>
      <c r="F521" s="1" t="n">
        <v>0.000219949</v>
      </c>
      <c r="G521" s="1" t="s">
        <v>37</v>
      </c>
      <c r="H521" s="1" t="n">
        <v>62.4</v>
      </c>
      <c r="I521" s="1" t="n">
        <v>182.5</v>
      </c>
      <c r="J521" s="1" t="n">
        <v>-36</v>
      </c>
      <c r="K521" s="1" t="n">
        <v>86.6</v>
      </c>
      <c r="L521" s="1" t="n">
        <v>0</v>
      </c>
      <c r="M521" s="1" t="n">
        <v>0</v>
      </c>
      <c r="N521" s="1" t="s">
        <v>346</v>
      </c>
      <c r="Z521" s="0" t="n">
        <f aca="false">I521-3</f>
        <v>179.5</v>
      </c>
      <c r="AB521" s="0" t="n">
        <f aca="false">IF(Z521&lt;0,Z521+360,Z521+0)</f>
        <v>179.5</v>
      </c>
    </row>
    <row r="522" customFormat="false" ht="15.8" hidden="false" customHeight="false" outlineLevel="0" collapsed="false">
      <c r="A522" s="1" t="n">
        <v>10</v>
      </c>
      <c r="B522" s="1" t="n">
        <v>8</v>
      </c>
      <c r="C522" s="1" t="n">
        <v>2.4</v>
      </c>
      <c r="D522" s="1" t="n">
        <v>1.1859</v>
      </c>
      <c r="E522" s="1" t="n">
        <v>0.0815064</v>
      </c>
      <c r="F522" s="1" t="n">
        <v>0.000221819</v>
      </c>
      <c r="G522" s="1" t="s">
        <v>37</v>
      </c>
      <c r="H522" s="1" t="n">
        <v>54</v>
      </c>
      <c r="I522" s="1" t="n">
        <v>286.9</v>
      </c>
      <c r="J522" s="1" t="n">
        <v>-67</v>
      </c>
      <c r="K522" s="1" t="n">
        <v>62.4</v>
      </c>
      <c r="L522" s="1" t="n">
        <v>0</v>
      </c>
      <c r="M522" s="1" t="n">
        <v>0</v>
      </c>
      <c r="N522" s="1" t="s">
        <v>317</v>
      </c>
      <c r="Z522" s="0" t="n">
        <f aca="false">I522-3</f>
        <v>283.9</v>
      </c>
      <c r="AB522" s="0" t="n">
        <f aca="false">IF(Z522&lt;0,Z522+360,Z522+0)</f>
        <v>283.9</v>
      </c>
    </row>
    <row r="523" customFormat="false" ht="15.8" hidden="false" customHeight="false" outlineLevel="0" collapsed="false">
      <c r="A523" s="1" t="n">
        <v>10</v>
      </c>
      <c r="B523" s="1" t="n">
        <v>7</v>
      </c>
      <c r="C523" s="1" t="n">
        <v>1.5</v>
      </c>
      <c r="D523" s="1" t="n">
        <v>1.2901</v>
      </c>
      <c r="E523" s="1" t="n">
        <v>0.050353</v>
      </c>
      <c r="F523" s="1" t="n">
        <v>0.000137035</v>
      </c>
      <c r="G523" s="1" t="s">
        <v>37</v>
      </c>
      <c r="H523" s="1" t="n">
        <v>60.3</v>
      </c>
      <c r="I523" s="1" t="n">
        <v>195.3</v>
      </c>
      <c r="J523" s="1" t="n">
        <v>-40.4</v>
      </c>
      <c r="K523" s="1" t="n">
        <v>54</v>
      </c>
      <c r="L523" s="1" t="n">
        <v>0</v>
      </c>
      <c r="M523" s="1" t="n">
        <v>0</v>
      </c>
      <c r="N523" s="1" t="s">
        <v>316</v>
      </c>
      <c r="Z523" s="0" t="n">
        <f aca="false">I523-3</f>
        <v>192.3</v>
      </c>
      <c r="AB523" s="0" t="n">
        <f aca="false">IF(Z523&lt;0,Z523+360,Z523+0)</f>
        <v>192.3</v>
      </c>
    </row>
    <row r="524" customFormat="false" ht="15.8" hidden="false" customHeight="false" outlineLevel="0" collapsed="false">
      <c r="A524" s="1" t="n">
        <v>10</v>
      </c>
      <c r="B524" s="1" t="n">
        <v>6</v>
      </c>
      <c r="C524" s="1" t="n">
        <v>0.7</v>
      </c>
      <c r="D524" s="1" t="n">
        <v>1.0143</v>
      </c>
      <c r="E524" s="1" t="n">
        <v>0.0229722</v>
      </c>
      <c r="F524" s="1" t="n">
        <v>6.25188E-005</v>
      </c>
      <c r="G524" s="1" t="s">
        <v>37</v>
      </c>
      <c r="H524" s="1" t="n">
        <v>29.2</v>
      </c>
      <c r="I524" s="1" t="n">
        <v>244.7</v>
      </c>
      <c r="J524" s="1" t="n">
        <v>0</v>
      </c>
      <c r="K524" s="1" t="n">
        <v>60.3</v>
      </c>
      <c r="L524" s="1" t="n">
        <v>0</v>
      </c>
      <c r="M524" s="1" t="n">
        <v>0</v>
      </c>
      <c r="N524" s="1" t="s">
        <v>315</v>
      </c>
      <c r="Z524" s="0" t="n">
        <f aca="false">I524-3</f>
        <v>241.7</v>
      </c>
      <c r="AB524" s="0" t="n">
        <f aca="false">IF(Z524&lt;0,Z524+360,Z524+0)</f>
        <v>241.7</v>
      </c>
    </row>
    <row r="525" customFormat="false" ht="15.8" hidden="false" customHeight="false" outlineLevel="0" collapsed="false">
      <c r="A525" s="1" t="n">
        <v>10</v>
      </c>
      <c r="B525" s="1" t="n">
        <v>5</v>
      </c>
      <c r="C525" s="1" t="n">
        <v>3.2</v>
      </c>
      <c r="D525" s="1" t="n">
        <v>1.23</v>
      </c>
      <c r="E525" s="1" t="n">
        <v>0.108089</v>
      </c>
      <c r="F525" s="1" t="n">
        <v>0.000294163</v>
      </c>
      <c r="G525" s="1" t="s">
        <v>37</v>
      </c>
      <c r="H525" s="1" t="n">
        <v>23</v>
      </c>
      <c r="I525" s="1" t="n">
        <v>269</v>
      </c>
      <c r="J525" s="1" t="n">
        <v>-16.7</v>
      </c>
      <c r="K525" s="1" t="n">
        <v>82.9</v>
      </c>
      <c r="L525" s="1" t="n">
        <v>0</v>
      </c>
      <c r="M525" s="1" t="n">
        <v>0</v>
      </c>
      <c r="N525" s="1" t="s">
        <v>311</v>
      </c>
      <c r="Z525" s="0" t="n">
        <f aca="false">I525-3</f>
        <v>266</v>
      </c>
      <c r="AB525" s="0" t="n">
        <f aca="false">IF(Z525&lt;0,Z525+360,Z525+0)</f>
        <v>266</v>
      </c>
    </row>
    <row r="526" customFormat="false" ht="15.8" hidden="false" customHeight="false" outlineLevel="0" collapsed="false">
      <c r="A526" s="1" t="n">
        <v>10</v>
      </c>
      <c r="B526" s="1" t="n">
        <v>4</v>
      </c>
      <c r="C526" s="1" t="n">
        <v>2.2</v>
      </c>
      <c r="D526" s="1" t="n">
        <v>1.1372</v>
      </c>
      <c r="E526" s="1" t="n">
        <v>0.0759581</v>
      </c>
      <c r="F526" s="1" t="n">
        <v>0.000206719</v>
      </c>
      <c r="G526" s="1" t="s">
        <v>37</v>
      </c>
      <c r="H526" s="1" t="n">
        <v>44.8</v>
      </c>
      <c r="I526" s="1" t="n">
        <v>246.1</v>
      </c>
      <c r="J526" s="1" t="n">
        <v>-10.9</v>
      </c>
      <c r="K526" s="1" t="n">
        <v>80.1</v>
      </c>
      <c r="L526" s="1" t="n">
        <v>0</v>
      </c>
      <c r="M526" s="1" t="n">
        <v>0</v>
      </c>
      <c r="N526" s="1" t="s">
        <v>310</v>
      </c>
      <c r="Z526" s="0" t="n">
        <f aca="false">I526-3</f>
        <v>243.1</v>
      </c>
      <c r="AB526" s="0" t="n">
        <f aca="false">IF(Z526&lt;0,Z526+360,Z526+0)</f>
        <v>243.1</v>
      </c>
    </row>
    <row r="527" customFormat="false" ht="15.8" hidden="false" customHeight="false" outlineLevel="0" collapsed="false">
      <c r="A527" s="1" t="n">
        <v>10</v>
      </c>
      <c r="B527" s="1" t="n">
        <v>3</v>
      </c>
      <c r="C527" s="1" t="n">
        <v>1.1</v>
      </c>
      <c r="D527" s="1" t="n">
        <v>1.1448</v>
      </c>
      <c r="E527" s="1" t="n">
        <v>0.0379418</v>
      </c>
      <c r="F527" s="1" t="n">
        <v>0.000103258</v>
      </c>
      <c r="G527" s="1" t="s">
        <v>37</v>
      </c>
      <c r="H527" s="1" t="n">
        <v>18.9</v>
      </c>
      <c r="I527" s="1" t="n">
        <v>200.6</v>
      </c>
      <c r="J527" s="1" t="n">
        <v>-22.4</v>
      </c>
      <c r="K527" s="1" t="n">
        <v>44.8</v>
      </c>
      <c r="L527" s="1" t="n">
        <v>0</v>
      </c>
      <c r="M527" s="1" t="n">
        <v>0</v>
      </c>
      <c r="N527" s="1" t="s">
        <v>295</v>
      </c>
      <c r="Z527" s="0" t="n">
        <f aca="false">I527-3</f>
        <v>197.6</v>
      </c>
      <c r="AB527" s="0" t="n">
        <f aca="false">IF(Z527&lt;0,Z527+360,Z527+0)</f>
        <v>197.6</v>
      </c>
    </row>
    <row r="528" customFormat="false" ht="15.8" hidden="false" customHeight="false" outlineLevel="0" collapsed="false">
      <c r="A528" s="1" t="n">
        <v>10</v>
      </c>
      <c r="B528" s="1" t="n">
        <v>2</v>
      </c>
      <c r="C528" s="1" t="n">
        <v>1.4</v>
      </c>
      <c r="D528" s="1" t="n">
        <v>1.218</v>
      </c>
      <c r="E528" s="1" t="n">
        <v>0.0470158</v>
      </c>
      <c r="F528" s="1" t="n">
        <v>0.000127953</v>
      </c>
      <c r="G528" s="1" t="s">
        <v>37</v>
      </c>
      <c r="H528" s="1" t="n">
        <v>79.5</v>
      </c>
      <c r="I528" s="1" t="n">
        <v>204.9</v>
      </c>
      <c r="J528" s="1" t="n">
        <v>-41</v>
      </c>
      <c r="K528" s="1" t="n">
        <v>96.8</v>
      </c>
      <c r="L528" s="1" t="n">
        <v>0</v>
      </c>
      <c r="M528" s="1" t="n">
        <v>0</v>
      </c>
      <c r="N528" s="1" t="s">
        <v>294</v>
      </c>
      <c r="Z528" s="0" t="n">
        <f aca="false">I528-3</f>
        <v>201.9</v>
      </c>
      <c r="AB528" s="0" t="n">
        <f aca="false">IF(Z528&lt;0,Z528+360,Z528+0)</f>
        <v>201.9</v>
      </c>
    </row>
    <row r="529" customFormat="false" ht="15.8" hidden="false" customHeight="false" outlineLevel="0" collapsed="false">
      <c r="A529" s="1" t="n">
        <v>10</v>
      </c>
      <c r="B529" s="1" t="n">
        <v>1</v>
      </c>
      <c r="C529" s="1" t="n">
        <v>1.6</v>
      </c>
      <c r="D529" s="1" t="n">
        <v>1.0244</v>
      </c>
      <c r="E529" s="1" t="n">
        <v>0.0563236</v>
      </c>
      <c r="F529" s="1" t="n">
        <v>0.000153284</v>
      </c>
      <c r="G529" s="1" t="s">
        <v>37</v>
      </c>
      <c r="H529" s="1"/>
      <c r="I529" s="1" t="n">
        <v>280.9</v>
      </c>
      <c r="J529" s="1" t="n">
        <v>0</v>
      </c>
      <c r="K529" s="1" t="n">
        <v>79.5</v>
      </c>
      <c r="L529" s="1" t="n">
        <v>0</v>
      </c>
      <c r="M529" s="1" t="n">
        <v>0</v>
      </c>
      <c r="N529" s="1" t="s">
        <v>353</v>
      </c>
      <c r="Z529" s="0" t="n">
        <f aca="false">I529-3</f>
        <v>277.9</v>
      </c>
      <c r="AB529" s="0" t="n">
        <f aca="false">IF(Z529&lt;0,Z529+360,Z529+0)</f>
        <v>277.9</v>
      </c>
    </row>
    <row r="530" customFormat="false" ht="15.8" hidden="false" customHeight="false" outlineLevel="0" collapsed="false">
      <c r="A530" s="1" t="n">
        <v>11</v>
      </c>
      <c r="B530" s="1" t="n">
        <v>2</v>
      </c>
      <c r="C530" s="1" t="n">
        <v>0.5</v>
      </c>
      <c r="D530" s="1" t="n">
        <v>1.0022</v>
      </c>
      <c r="E530" s="1" t="n">
        <v>0.0171676</v>
      </c>
      <c r="F530" s="1" t="n">
        <v>4.67216E-005</v>
      </c>
      <c r="G530" s="1" t="s">
        <v>27</v>
      </c>
      <c r="H530" s="1" t="n">
        <v>82.2</v>
      </c>
      <c r="I530" s="1" t="n">
        <v>312.4</v>
      </c>
      <c r="J530" s="1" t="n">
        <v>0</v>
      </c>
      <c r="K530" s="1"/>
      <c r="L530" s="1" t="n">
        <v>0</v>
      </c>
      <c r="M530" s="1" t="n">
        <v>0</v>
      </c>
      <c r="N530" s="1" t="s">
        <v>354</v>
      </c>
      <c r="Z530" s="0" t="n">
        <f aca="false">I530-3</f>
        <v>309.4</v>
      </c>
      <c r="AB530" s="0" t="n">
        <f aca="false">IF(Z530&lt;0,Z530+360,Z530+0)</f>
        <v>309.4</v>
      </c>
    </row>
    <row r="531" customFormat="false" ht="15.8" hidden="false" customHeight="false" outlineLevel="0" collapsed="false">
      <c r="A531" s="1" t="n">
        <v>11</v>
      </c>
      <c r="B531" s="1" t="n">
        <v>2</v>
      </c>
      <c r="C531" s="1" t="n">
        <v>0.8</v>
      </c>
      <c r="D531" s="1" t="n">
        <v>1.0072</v>
      </c>
      <c r="E531" s="1" t="n">
        <v>0.0272313</v>
      </c>
      <c r="F531" s="1" t="n">
        <v>7.41097E-005</v>
      </c>
      <c r="G531" s="1" t="s">
        <v>27</v>
      </c>
      <c r="H531" s="1" t="n">
        <v>27.1</v>
      </c>
      <c r="I531" s="1" t="n">
        <v>51.7</v>
      </c>
      <c r="J531" s="1" t="n">
        <v>0</v>
      </c>
      <c r="K531" s="1"/>
      <c r="L531" s="1" t="n">
        <v>0</v>
      </c>
      <c r="M531" s="1" t="n">
        <v>0</v>
      </c>
      <c r="N531" s="1" t="s">
        <v>354</v>
      </c>
      <c r="Z531" s="0" t="n">
        <f aca="false">I531-3</f>
        <v>48.7</v>
      </c>
      <c r="AB531" s="0" t="n">
        <f aca="false">IF(Z531&lt;0,Z531+360,Z531+0)</f>
        <v>48.7</v>
      </c>
    </row>
    <row r="532" customFormat="false" ht="15.8" hidden="false" customHeight="false" outlineLevel="0" collapsed="false">
      <c r="A532" s="1" t="n">
        <v>11</v>
      </c>
      <c r="B532" s="1" t="n">
        <v>1</v>
      </c>
      <c r="C532" s="1" t="n">
        <v>2.9</v>
      </c>
      <c r="D532" s="1" t="n">
        <v>1.411</v>
      </c>
      <c r="E532" s="1" t="n">
        <v>0.100392</v>
      </c>
      <c r="F532" s="1" t="n">
        <v>0.000273216</v>
      </c>
      <c r="G532" s="1" t="s">
        <v>37</v>
      </c>
      <c r="H532" s="1"/>
      <c r="I532" s="1" t="n">
        <v>34</v>
      </c>
      <c r="J532" s="1" t="n">
        <v>-20.8</v>
      </c>
      <c r="K532" s="1" t="n">
        <v>82.2</v>
      </c>
      <c r="L532" s="1" t="n">
        <v>0</v>
      </c>
      <c r="M532" s="1" t="n">
        <v>0</v>
      </c>
      <c r="N532" s="1" t="s">
        <v>355</v>
      </c>
      <c r="Z532" s="0" t="n">
        <f aca="false">I532-3</f>
        <v>31</v>
      </c>
      <c r="AB532" s="0" t="n">
        <f aca="false">IF(Z532&lt;0,Z532+360,Z532+0)</f>
        <v>31</v>
      </c>
    </row>
    <row r="533" customFormat="false" ht="15.8" hidden="false" customHeight="false" outlineLevel="0" collapsed="false">
      <c r="A533" s="1" t="n">
        <v>12</v>
      </c>
      <c r="B533" s="1" t="n">
        <v>2</v>
      </c>
      <c r="C533" s="1" t="n">
        <v>1.1</v>
      </c>
      <c r="D533" s="1" t="n">
        <v>1.0167</v>
      </c>
      <c r="E533" s="1" t="n">
        <v>0.0376469</v>
      </c>
      <c r="F533" s="1" t="n">
        <v>0.000102456</v>
      </c>
      <c r="G533" s="1" t="s">
        <v>27</v>
      </c>
      <c r="H533" s="1" t="n">
        <v>62.5</v>
      </c>
      <c r="I533" s="1" t="n">
        <v>102.8</v>
      </c>
      <c r="J533" s="1" t="n">
        <v>0</v>
      </c>
      <c r="K533" s="1"/>
      <c r="L533" s="1" t="n">
        <v>0</v>
      </c>
      <c r="M533" s="1" t="n">
        <v>0</v>
      </c>
      <c r="N533" s="1" t="s">
        <v>356</v>
      </c>
      <c r="Z533" s="0" t="n">
        <f aca="false">I533-3</f>
        <v>99.8</v>
      </c>
      <c r="AB533" s="0" t="n">
        <f aca="false">IF(Z533&lt;0,Z533+360,Z533+0)</f>
        <v>99.8</v>
      </c>
    </row>
    <row r="534" customFormat="false" ht="15.8" hidden="false" customHeight="false" outlineLevel="0" collapsed="false">
      <c r="A534" s="1" t="n">
        <v>12</v>
      </c>
      <c r="B534" s="1" t="n">
        <v>5</v>
      </c>
      <c r="C534" s="1" t="n">
        <v>0.9</v>
      </c>
      <c r="D534" s="1" t="n">
        <v>1.0631</v>
      </c>
      <c r="E534" s="1" t="n">
        <v>0.0295393</v>
      </c>
      <c r="F534" s="1" t="n">
        <v>8.03911E-005</v>
      </c>
      <c r="G534" s="1" t="s">
        <v>27</v>
      </c>
      <c r="H534" s="1" t="n">
        <v>67.4</v>
      </c>
      <c r="I534" s="1" t="n">
        <v>125.2</v>
      </c>
      <c r="J534" s="1" t="n">
        <v>0</v>
      </c>
      <c r="K534" s="1"/>
      <c r="L534" s="1" t="n">
        <v>0</v>
      </c>
      <c r="M534" s="1" t="n">
        <v>0</v>
      </c>
      <c r="N534" s="1" t="s">
        <v>357</v>
      </c>
      <c r="Z534" s="0" t="n">
        <f aca="false">I534-3</f>
        <v>122.2</v>
      </c>
      <c r="AB534" s="0" t="n">
        <f aca="false">IF(Z534&lt;0,Z534+360,Z534+0)</f>
        <v>122.2</v>
      </c>
    </row>
    <row r="535" customFormat="false" ht="15.8" hidden="false" customHeight="false" outlineLevel="0" collapsed="false">
      <c r="A535" s="1" t="n">
        <v>12</v>
      </c>
      <c r="B535" s="1" t="n">
        <v>5</v>
      </c>
      <c r="C535" s="1" t="n">
        <v>1.1</v>
      </c>
      <c r="D535" s="1" t="n">
        <v>1.2218</v>
      </c>
      <c r="E535" s="1" t="n">
        <v>0.0376302</v>
      </c>
      <c r="F535" s="1" t="n">
        <v>0.00010241</v>
      </c>
      <c r="G535" s="1" t="s">
        <v>27</v>
      </c>
      <c r="H535" s="1" t="n">
        <v>75.1</v>
      </c>
      <c r="I535" s="1" t="n">
        <v>186.1</v>
      </c>
      <c r="J535" s="1" t="n">
        <v>-24.3</v>
      </c>
      <c r="K535" s="1"/>
      <c r="L535" s="1" t="n">
        <v>0</v>
      </c>
      <c r="M535" s="1" t="n">
        <v>0</v>
      </c>
      <c r="N535" s="1" t="s">
        <v>357</v>
      </c>
      <c r="Z535" s="0" t="n">
        <f aca="false">I535-3</f>
        <v>183.1</v>
      </c>
      <c r="AB535" s="0" t="n">
        <f aca="false">IF(Z535&lt;0,Z535+360,Z535+0)</f>
        <v>183.1</v>
      </c>
    </row>
    <row r="536" customFormat="false" ht="15.8" hidden="false" customHeight="false" outlineLevel="0" collapsed="false">
      <c r="A536" s="1" t="n">
        <v>12</v>
      </c>
      <c r="B536" s="1" t="n">
        <v>4</v>
      </c>
      <c r="C536" s="1" t="n">
        <v>0.6</v>
      </c>
      <c r="D536" s="1" t="n">
        <v>1.2494</v>
      </c>
      <c r="E536" s="1" t="n">
        <v>0.0204893</v>
      </c>
      <c r="F536" s="1" t="n">
        <v>5.57614E-005</v>
      </c>
      <c r="G536" s="1" t="s">
        <v>37</v>
      </c>
      <c r="H536" s="1" t="n">
        <v>54.9</v>
      </c>
      <c r="I536" s="1" t="n">
        <v>178</v>
      </c>
      <c r="J536" s="1" t="n">
        <v>50.5</v>
      </c>
      <c r="K536" s="1" t="n">
        <v>75.1</v>
      </c>
      <c r="L536" s="1" t="n">
        <v>0</v>
      </c>
      <c r="M536" s="1" t="n">
        <v>0</v>
      </c>
      <c r="N536" s="1" t="s">
        <v>358</v>
      </c>
      <c r="Z536" s="0" t="n">
        <f aca="false">I536-3</f>
        <v>175</v>
      </c>
      <c r="AB536" s="0" t="n">
        <f aca="false">IF(Z536&lt;0,Z536+360,Z536+0)</f>
        <v>175</v>
      </c>
    </row>
    <row r="537" customFormat="false" ht="15.8" hidden="false" customHeight="false" outlineLevel="0" collapsed="false">
      <c r="A537" s="1" t="n">
        <v>12</v>
      </c>
      <c r="B537" s="1" t="n">
        <v>4</v>
      </c>
      <c r="C537" s="1" t="n">
        <v>1.8</v>
      </c>
      <c r="D537" s="1" t="n">
        <v>1.1943</v>
      </c>
      <c r="E537" s="1" t="n">
        <v>0.0625011</v>
      </c>
      <c r="F537" s="1" t="n">
        <v>0.000170096</v>
      </c>
      <c r="G537" s="1" t="s">
        <v>27</v>
      </c>
      <c r="H537" s="1" t="n">
        <v>75.3</v>
      </c>
      <c r="I537" s="1" t="n">
        <v>197.9</v>
      </c>
      <c r="J537" s="1" t="n">
        <v>75.3</v>
      </c>
      <c r="K537" s="1"/>
      <c r="L537" s="1" t="n">
        <v>0</v>
      </c>
      <c r="M537" s="1" t="n">
        <v>0</v>
      </c>
      <c r="N537" s="1" t="s">
        <v>358</v>
      </c>
      <c r="Z537" s="0" t="n">
        <f aca="false">I537-3</f>
        <v>194.9</v>
      </c>
      <c r="AB537" s="0" t="n">
        <f aca="false">IF(Z537&lt;0,Z537+360,Z537+0)</f>
        <v>194.9</v>
      </c>
    </row>
    <row r="538" customFormat="false" ht="15.8" hidden="false" customHeight="false" outlineLevel="0" collapsed="false">
      <c r="A538" s="1" t="n">
        <v>12</v>
      </c>
      <c r="B538" s="1" t="n">
        <v>3</v>
      </c>
      <c r="C538" s="1" t="n">
        <v>0.6</v>
      </c>
      <c r="D538" s="1" t="n">
        <v>1.0115</v>
      </c>
      <c r="E538" s="1" t="n">
        <v>0.0209146</v>
      </c>
      <c r="F538" s="1" t="n">
        <v>5.6919E-005</v>
      </c>
      <c r="G538" s="1" t="s">
        <v>37</v>
      </c>
      <c r="H538" s="1" t="n">
        <v>17.6</v>
      </c>
      <c r="I538" s="1" t="n">
        <v>203.3</v>
      </c>
      <c r="J538" s="1" t="n">
        <v>0</v>
      </c>
      <c r="K538" s="1" t="n">
        <v>75.3</v>
      </c>
      <c r="L538" s="1" t="n">
        <v>0</v>
      </c>
      <c r="M538" s="1" t="n">
        <v>0</v>
      </c>
      <c r="N538" s="1" t="s">
        <v>359</v>
      </c>
      <c r="Z538" s="0" t="n">
        <f aca="false">I538-3</f>
        <v>200.3</v>
      </c>
      <c r="AB538" s="0" t="n">
        <f aca="false">IF(Z538&lt;0,Z538+360,Z538+0)</f>
        <v>200.3</v>
      </c>
    </row>
    <row r="539" customFormat="false" ht="15.8" hidden="false" customHeight="false" outlineLevel="0" collapsed="false">
      <c r="A539" s="1" t="n">
        <v>12</v>
      </c>
      <c r="B539" s="1" t="n">
        <v>4</v>
      </c>
      <c r="C539" s="1" t="n">
        <v>0.7</v>
      </c>
      <c r="D539" s="1" t="n">
        <v>1.065</v>
      </c>
      <c r="E539" s="1" t="n">
        <v>0.0248992</v>
      </c>
      <c r="F539" s="1" t="n">
        <v>6.7763E-005</v>
      </c>
      <c r="G539" s="1" t="s">
        <v>27</v>
      </c>
      <c r="H539" s="1" t="n">
        <v>80.6</v>
      </c>
      <c r="I539" s="1" t="n">
        <v>37.2</v>
      </c>
      <c r="J539" s="1" t="n">
        <v>0</v>
      </c>
      <c r="K539" s="1"/>
      <c r="L539" s="1" t="n">
        <v>0</v>
      </c>
      <c r="M539" s="1" t="n">
        <v>0</v>
      </c>
      <c r="N539" s="1" t="s">
        <v>360</v>
      </c>
      <c r="Z539" s="0" t="n">
        <f aca="false">I539-3</f>
        <v>34.2</v>
      </c>
      <c r="AB539" s="0" t="n">
        <f aca="false">IF(Z539&lt;0,Z539+360,Z539+0)</f>
        <v>34.2</v>
      </c>
    </row>
    <row r="540" customFormat="false" ht="15.8" hidden="false" customHeight="false" outlineLevel="0" collapsed="false">
      <c r="A540" s="1" t="n">
        <v>12</v>
      </c>
      <c r="B540" s="1" t="n">
        <v>5</v>
      </c>
      <c r="C540" s="1" t="n">
        <v>2.2</v>
      </c>
      <c r="D540" s="1" t="n">
        <v>1.2685</v>
      </c>
      <c r="E540" s="1" t="n">
        <v>0.0748774</v>
      </c>
      <c r="F540" s="1" t="n">
        <v>0.000203778</v>
      </c>
      <c r="G540" s="1" t="s">
        <v>27</v>
      </c>
      <c r="H540" s="1" t="n">
        <v>72.4</v>
      </c>
      <c r="I540" s="1" t="n">
        <v>248.4</v>
      </c>
      <c r="J540" s="1" t="n">
        <v>12.4</v>
      </c>
      <c r="K540" s="1"/>
      <c r="L540" s="1" t="n">
        <v>0</v>
      </c>
      <c r="M540" s="1" t="n">
        <v>0</v>
      </c>
      <c r="N540" s="1" t="s">
        <v>361</v>
      </c>
      <c r="Z540" s="0" t="n">
        <f aca="false">I540-3</f>
        <v>245.4</v>
      </c>
      <c r="AB540" s="0" t="n">
        <f aca="false">IF(Z540&lt;0,Z540+360,Z540+0)</f>
        <v>245.4</v>
      </c>
    </row>
    <row r="541" customFormat="false" ht="15.8" hidden="false" customHeight="false" outlineLevel="0" collapsed="false">
      <c r="A541" s="1" t="n">
        <v>12</v>
      </c>
      <c r="B541" s="1" t="n">
        <v>5</v>
      </c>
      <c r="C541" s="1" t="n">
        <v>0.8</v>
      </c>
      <c r="D541" s="1" t="n">
        <v>1.1924</v>
      </c>
      <c r="E541" s="1" t="n">
        <v>0.0270179</v>
      </c>
      <c r="F541" s="1" t="n">
        <v>7.3529E-005</v>
      </c>
      <c r="G541" s="1" t="s">
        <v>27</v>
      </c>
      <c r="H541" s="1" t="n">
        <v>93.6</v>
      </c>
      <c r="I541" s="1" t="n">
        <v>82</v>
      </c>
      <c r="J541" s="1" t="n">
        <v>33.9</v>
      </c>
      <c r="K541" s="1"/>
      <c r="L541" s="1" t="n">
        <v>0</v>
      </c>
      <c r="M541" s="1" t="n">
        <v>0</v>
      </c>
      <c r="N541" s="1" t="s">
        <v>361</v>
      </c>
      <c r="Z541" s="0" t="n">
        <f aca="false">I541-3</f>
        <v>79</v>
      </c>
      <c r="AB541" s="0" t="n">
        <f aca="false">IF(Z541&lt;0,Z541+360,Z541+0)</f>
        <v>79</v>
      </c>
    </row>
    <row r="542" customFormat="false" ht="15.8" hidden="false" customHeight="false" outlineLevel="0" collapsed="false">
      <c r="A542" s="1" t="n">
        <v>12</v>
      </c>
      <c r="B542" s="1" t="n">
        <v>6</v>
      </c>
      <c r="C542" s="1" t="n">
        <v>2.2</v>
      </c>
      <c r="D542" s="1" t="n">
        <v>1.4336</v>
      </c>
      <c r="E542" s="1" t="n">
        <v>0.0736522</v>
      </c>
      <c r="F542" s="1" t="n">
        <v>0.000200444</v>
      </c>
      <c r="G542" s="1" t="s">
        <v>27</v>
      </c>
      <c r="H542" s="1" t="n">
        <v>35.5</v>
      </c>
      <c r="I542" s="1" t="n">
        <v>216.5</v>
      </c>
      <c r="J542" s="1" t="n">
        <v>0</v>
      </c>
      <c r="K542" s="1"/>
      <c r="L542" s="1" t="n">
        <v>0</v>
      </c>
      <c r="M542" s="1" t="n">
        <v>0</v>
      </c>
      <c r="N542" s="1" t="s">
        <v>362</v>
      </c>
      <c r="Z542" s="0" t="n">
        <f aca="false">I542-3</f>
        <v>213.5</v>
      </c>
      <c r="AB542" s="0" t="n">
        <f aca="false">IF(Z542&lt;0,Z542+360,Z542+0)</f>
        <v>213.5</v>
      </c>
    </row>
    <row r="543" customFormat="false" ht="15.8" hidden="false" customHeight="false" outlineLevel="0" collapsed="false">
      <c r="A543" s="1" t="n">
        <v>12</v>
      </c>
      <c r="B543" s="1" t="n">
        <v>6</v>
      </c>
      <c r="C543" s="1" t="n">
        <v>2.1</v>
      </c>
      <c r="D543" s="1" t="n">
        <v>1.2298</v>
      </c>
      <c r="E543" s="1" t="n">
        <v>0.072224</v>
      </c>
      <c r="F543" s="1" t="n">
        <v>0.000196557</v>
      </c>
      <c r="G543" s="1" t="s">
        <v>27</v>
      </c>
      <c r="H543" s="1" t="n">
        <v>22.3</v>
      </c>
      <c r="I543" s="1" t="n">
        <v>160.3</v>
      </c>
      <c r="J543" s="1" t="n">
        <v>12.4</v>
      </c>
      <c r="K543" s="1"/>
      <c r="L543" s="1" t="n">
        <v>0</v>
      </c>
      <c r="M543" s="1" t="n">
        <v>0</v>
      </c>
      <c r="N543" s="1" t="s">
        <v>362</v>
      </c>
      <c r="Z543" s="0" t="n">
        <f aca="false">I543-3</f>
        <v>157.3</v>
      </c>
      <c r="AB543" s="0" t="n">
        <f aca="false">IF(Z543&lt;0,Z543+360,Z543+0)</f>
        <v>157.3</v>
      </c>
    </row>
    <row r="544" customFormat="false" ht="15.8" hidden="false" customHeight="false" outlineLevel="0" collapsed="false">
      <c r="A544" s="1" t="n">
        <v>12</v>
      </c>
      <c r="B544" s="1" t="n">
        <v>7</v>
      </c>
      <c r="C544" s="1" t="n">
        <v>3.1</v>
      </c>
      <c r="D544" s="1" t="n">
        <v>1.514</v>
      </c>
      <c r="E544" s="1" t="n">
        <v>0.106886</v>
      </c>
      <c r="F544" s="1" t="n">
        <v>0.000290889</v>
      </c>
      <c r="G544" s="1" t="s">
        <v>27</v>
      </c>
      <c r="H544" s="1" t="n">
        <v>130.2</v>
      </c>
      <c r="I544" s="1" t="n">
        <v>342.4</v>
      </c>
      <c r="J544" s="1" t="n">
        <v>-45.8</v>
      </c>
      <c r="K544" s="1"/>
      <c r="L544" s="1" t="n">
        <v>0</v>
      </c>
      <c r="M544" s="1" t="n">
        <v>0</v>
      </c>
      <c r="N544" s="1" t="s">
        <v>363</v>
      </c>
      <c r="Z544" s="0" t="n">
        <f aca="false">I544-3</f>
        <v>339.4</v>
      </c>
      <c r="AB544" s="0" t="n">
        <f aca="false">IF(Z544&lt;0,Z544+360,Z544+0)</f>
        <v>339.4</v>
      </c>
    </row>
    <row r="545" customFormat="false" ht="15.8" hidden="false" customHeight="false" outlineLevel="0" collapsed="false">
      <c r="A545" s="1" t="n">
        <v>12</v>
      </c>
      <c r="B545" s="1" t="n">
        <v>8</v>
      </c>
      <c r="C545" s="1" t="n">
        <v>0.8</v>
      </c>
      <c r="D545" s="1" t="n">
        <v>1.0404</v>
      </c>
      <c r="E545" s="1" t="n">
        <v>0.0276746</v>
      </c>
      <c r="F545" s="1" t="n">
        <v>7.53163E-005</v>
      </c>
      <c r="G545" s="1" t="s">
        <v>27</v>
      </c>
      <c r="H545" s="1" t="n">
        <v>91.4</v>
      </c>
      <c r="I545" s="1" t="n">
        <v>313.3</v>
      </c>
      <c r="J545" s="1" t="n">
        <v>0</v>
      </c>
      <c r="K545" s="1"/>
      <c r="L545" s="1" t="n">
        <v>0</v>
      </c>
      <c r="M545" s="1" t="n">
        <v>0</v>
      </c>
      <c r="N545" s="1" t="s">
        <v>364</v>
      </c>
      <c r="Z545" s="0" t="n">
        <f aca="false">I545-3</f>
        <v>310.3</v>
      </c>
      <c r="AB545" s="0" t="n">
        <f aca="false">IF(Z545&lt;0,Z545+360,Z545+0)</f>
        <v>310.3</v>
      </c>
    </row>
    <row r="546" customFormat="false" ht="15.8" hidden="false" customHeight="false" outlineLevel="0" collapsed="false">
      <c r="A546" s="1" t="n">
        <v>12</v>
      </c>
      <c r="B546" s="1" t="n">
        <v>9</v>
      </c>
      <c r="C546" s="1" t="n">
        <v>1</v>
      </c>
      <c r="D546" s="1" t="n">
        <v>1.2142</v>
      </c>
      <c r="E546" s="1" t="n">
        <v>0.0351754</v>
      </c>
      <c r="F546" s="1" t="n">
        <v>9.57296E-005</v>
      </c>
      <c r="G546" s="1" t="s">
        <v>27</v>
      </c>
      <c r="H546" s="1" t="n">
        <v>84.2</v>
      </c>
      <c r="I546" s="1" t="n">
        <v>53.1</v>
      </c>
      <c r="J546" s="1" t="n">
        <v>25.9</v>
      </c>
      <c r="K546" s="1"/>
      <c r="L546" s="1" t="n">
        <v>0</v>
      </c>
      <c r="M546" s="1" t="n">
        <v>0</v>
      </c>
      <c r="N546" s="1" t="s">
        <v>365</v>
      </c>
      <c r="Z546" s="0" t="n">
        <f aca="false">I546-3</f>
        <v>50.1</v>
      </c>
      <c r="AB546" s="0" t="n">
        <f aca="false">IF(Z546&lt;0,Z546+360,Z546+0)</f>
        <v>50.1</v>
      </c>
    </row>
    <row r="547" customFormat="false" ht="15.8" hidden="false" customHeight="false" outlineLevel="0" collapsed="false">
      <c r="A547" s="1" t="n">
        <v>12</v>
      </c>
      <c r="B547" s="1" t="n">
        <v>11</v>
      </c>
      <c r="C547" s="1" t="n">
        <v>1</v>
      </c>
      <c r="D547" s="1" t="n">
        <v>1.1609</v>
      </c>
      <c r="E547" s="1" t="n">
        <v>0.0339559</v>
      </c>
      <c r="F547" s="1" t="n">
        <v>9.24106E-005</v>
      </c>
      <c r="G547" s="1" t="s">
        <v>27</v>
      </c>
      <c r="H547" s="1" t="n">
        <v>80.1</v>
      </c>
      <c r="I547" s="1" t="n">
        <v>76.9</v>
      </c>
      <c r="J547" s="1" t="n">
        <v>-25.6</v>
      </c>
      <c r="K547" s="1"/>
      <c r="L547" s="1" t="n">
        <v>0</v>
      </c>
      <c r="M547" s="1" t="n">
        <v>0</v>
      </c>
      <c r="N547" s="1" t="s">
        <v>366</v>
      </c>
      <c r="Z547" s="0" t="n">
        <f aca="false">I547-3</f>
        <v>73.9</v>
      </c>
      <c r="AB547" s="0" t="n">
        <f aca="false">IF(Z547&lt;0,Z547+360,Z547+0)</f>
        <v>73.9</v>
      </c>
    </row>
    <row r="548" customFormat="false" ht="15.8" hidden="false" customHeight="false" outlineLevel="0" collapsed="false">
      <c r="A548" s="1" t="n">
        <v>12</v>
      </c>
      <c r="B548" s="1" t="n">
        <v>11</v>
      </c>
      <c r="C548" s="1" t="n">
        <v>3.6</v>
      </c>
      <c r="D548" s="1" t="n">
        <v>1.1367</v>
      </c>
      <c r="E548" s="1" t="n">
        <v>0.124346</v>
      </c>
      <c r="F548" s="1" t="n">
        <v>0.000338407</v>
      </c>
      <c r="G548" s="1" t="s">
        <v>27</v>
      </c>
      <c r="H548" s="1" t="n">
        <v>43</v>
      </c>
      <c r="I548" s="1" t="n">
        <v>353.8</v>
      </c>
      <c r="J548" s="1" t="n">
        <v>27.6</v>
      </c>
      <c r="K548" s="1"/>
      <c r="L548" s="1" t="n">
        <v>0</v>
      </c>
      <c r="M548" s="1" t="n">
        <v>0</v>
      </c>
      <c r="N548" s="1" t="s">
        <v>366</v>
      </c>
      <c r="Z548" s="0" t="n">
        <f aca="false">I548-3</f>
        <v>350.8</v>
      </c>
      <c r="AB548" s="0" t="n">
        <f aca="false">IF(Z548&lt;0,Z548+360,Z548+0)</f>
        <v>350.8</v>
      </c>
    </row>
    <row r="549" customFormat="false" ht="15.8" hidden="false" customHeight="false" outlineLevel="0" collapsed="false">
      <c r="A549" s="1" t="n">
        <v>12</v>
      </c>
      <c r="B549" s="1" t="n">
        <v>10</v>
      </c>
      <c r="C549" s="1" t="n">
        <v>1.5</v>
      </c>
      <c r="D549" s="1" t="n">
        <v>1.0909</v>
      </c>
      <c r="E549" s="1" t="n">
        <v>0.0520727</v>
      </c>
      <c r="F549" s="1" t="n">
        <v>0.000141715</v>
      </c>
      <c r="G549" s="1" t="s">
        <v>37</v>
      </c>
      <c r="H549" s="1" t="n">
        <v>126.6</v>
      </c>
      <c r="I549" s="1" t="n">
        <v>350.7</v>
      </c>
      <c r="J549" s="1" t="n">
        <v>-15.4</v>
      </c>
      <c r="K549" s="1" t="n">
        <v>80.1</v>
      </c>
      <c r="L549" s="1" t="n">
        <v>0</v>
      </c>
      <c r="M549" s="1" t="n">
        <v>0</v>
      </c>
      <c r="N549" s="1" t="s">
        <v>367</v>
      </c>
      <c r="Z549" s="0" t="n">
        <f aca="false">I549-3</f>
        <v>347.7</v>
      </c>
      <c r="AB549" s="0" t="n">
        <f aca="false">IF(Z549&lt;0,Z549+360,Z549+0)</f>
        <v>347.7</v>
      </c>
    </row>
    <row r="550" customFormat="false" ht="15.8" hidden="false" customHeight="false" outlineLevel="0" collapsed="false">
      <c r="A550" s="1" t="n">
        <v>12</v>
      </c>
      <c r="B550" s="1" t="n">
        <v>10</v>
      </c>
      <c r="C550" s="1" t="n">
        <v>2.3</v>
      </c>
      <c r="D550" s="1" t="n">
        <v>1.1558</v>
      </c>
      <c r="E550" s="1" t="n">
        <v>0.0769677</v>
      </c>
      <c r="F550" s="1" t="n">
        <v>0.000209467</v>
      </c>
      <c r="G550" s="1" t="s">
        <v>27</v>
      </c>
      <c r="H550" s="1" t="n">
        <v>65.3</v>
      </c>
      <c r="I550" s="1" t="n">
        <v>157.6</v>
      </c>
      <c r="J550" s="1" t="n">
        <v>22.3</v>
      </c>
      <c r="K550" s="1"/>
      <c r="L550" s="1" t="n">
        <v>0</v>
      </c>
      <c r="M550" s="1" t="n">
        <v>0</v>
      </c>
      <c r="N550" s="1" t="s">
        <v>367</v>
      </c>
      <c r="Z550" s="0" t="n">
        <f aca="false">I550-3</f>
        <v>154.6</v>
      </c>
      <c r="AB550" s="0" t="n">
        <f aca="false">IF(Z550&lt;0,Z550+360,Z550+0)</f>
        <v>154.6</v>
      </c>
    </row>
    <row r="551" customFormat="false" ht="15.8" hidden="false" customHeight="false" outlineLevel="0" collapsed="false">
      <c r="A551" s="1" t="n">
        <v>12</v>
      </c>
      <c r="B551" s="1" t="n">
        <v>11</v>
      </c>
      <c r="C551" s="1" t="n">
        <v>4.5</v>
      </c>
      <c r="D551" s="1" t="n">
        <v>1.6609</v>
      </c>
      <c r="E551" s="1" t="n">
        <v>0.154462</v>
      </c>
      <c r="F551" s="1" t="n">
        <v>0.000420366</v>
      </c>
      <c r="G551" s="1" t="s">
        <v>27</v>
      </c>
      <c r="H551" s="1" t="n">
        <v>54.4</v>
      </c>
      <c r="I551" s="1" t="n">
        <v>160.5</v>
      </c>
      <c r="J551" s="1" t="n">
        <v>24.1</v>
      </c>
      <c r="K551" s="1"/>
      <c r="L551" s="1" t="n">
        <v>0</v>
      </c>
      <c r="M551" s="1" t="n">
        <v>0</v>
      </c>
      <c r="N551" s="1" t="s">
        <v>368</v>
      </c>
      <c r="Z551" s="0" t="n">
        <f aca="false">I551-3</f>
        <v>157.5</v>
      </c>
      <c r="AB551" s="0" t="n">
        <f aca="false">IF(Z551&lt;0,Z551+360,Z551+0)</f>
        <v>157.5</v>
      </c>
    </row>
    <row r="552" customFormat="false" ht="15.8" hidden="false" customHeight="false" outlineLevel="0" collapsed="false">
      <c r="A552" s="1" t="n">
        <v>12</v>
      </c>
      <c r="B552" s="1" t="n">
        <v>13</v>
      </c>
      <c r="C552" s="1" t="n">
        <v>0.5</v>
      </c>
      <c r="D552" s="1" t="n">
        <v>1.0098</v>
      </c>
      <c r="E552" s="1" t="n">
        <v>0.0156855</v>
      </c>
      <c r="F552" s="1" t="n">
        <v>4.26879E-005</v>
      </c>
      <c r="G552" s="1" t="s">
        <v>27</v>
      </c>
      <c r="H552" s="1" t="n">
        <v>46.5</v>
      </c>
      <c r="I552" s="1" t="n">
        <v>226</v>
      </c>
      <c r="J552" s="1" t="n">
        <v>0</v>
      </c>
      <c r="K552" s="1"/>
      <c r="L552" s="1" t="n">
        <v>0</v>
      </c>
      <c r="M552" s="1" t="n">
        <v>0</v>
      </c>
      <c r="N552" s="1" t="s">
        <v>369</v>
      </c>
      <c r="Z552" s="0" t="n">
        <f aca="false">I552-3</f>
        <v>223</v>
      </c>
      <c r="AB552" s="0" t="n">
        <f aca="false">IF(Z552&lt;0,Z552+360,Z552+0)</f>
        <v>223</v>
      </c>
    </row>
    <row r="553" customFormat="false" ht="15.8" hidden="false" customHeight="false" outlineLevel="0" collapsed="false">
      <c r="A553" s="1" t="n">
        <v>12</v>
      </c>
      <c r="B553" s="1" t="n">
        <v>13</v>
      </c>
      <c r="C553" s="1" t="n">
        <v>0.6</v>
      </c>
      <c r="D553" s="1" t="n">
        <v>1.1548</v>
      </c>
      <c r="E553" s="1" t="n">
        <v>0.0217405</v>
      </c>
      <c r="F553" s="1" t="n">
        <v>5.91666E-005</v>
      </c>
      <c r="G553" s="1" t="s">
        <v>27</v>
      </c>
      <c r="H553" s="1" t="n">
        <v>114.2</v>
      </c>
      <c r="I553" s="1" t="n">
        <v>55.9</v>
      </c>
      <c r="J553" s="1" t="n">
        <v>42.2</v>
      </c>
      <c r="K553" s="1"/>
      <c r="L553" s="1" t="n">
        <v>0</v>
      </c>
      <c r="M553" s="1" t="n">
        <v>0</v>
      </c>
      <c r="N553" s="1" t="s">
        <v>369</v>
      </c>
      <c r="Z553" s="0" t="n">
        <f aca="false">I553-3</f>
        <v>52.9</v>
      </c>
      <c r="AB553" s="0" t="n">
        <f aca="false">IF(Z553&lt;0,Z553+360,Z553+0)</f>
        <v>52.9</v>
      </c>
    </row>
    <row r="554" customFormat="false" ht="15.8" hidden="false" customHeight="false" outlineLevel="0" collapsed="false">
      <c r="A554" s="1" t="n">
        <v>12</v>
      </c>
      <c r="B554" s="1" t="n">
        <v>12</v>
      </c>
      <c r="C554" s="1" t="n">
        <v>1.1</v>
      </c>
      <c r="D554" s="1" t="n">
        <v>1.0294</v>
      </c>
      <c r="E554" s="1" t="n">
        <v>0.0390919</v>
      </c>
      <c r="F554" s="1" t="n">
        <v>0.000106388</v>
      </c>
      <c r="G554" s="1" t="s">
        <v>37</v>
      </c>
      <c r="H554" s="1" t="n">
        <v>70.9</v>
      </c>
      <c r="I554" s="1" t="n">
        <v>179.4</v>
      </c>
      <c r="J554" s="1" t="n">
        <v>0</v>
      </c>
      <c r="K554" s="1" t="n">
        <v>114.2</v>
      </c>
      <c r="L554" s="1" t="n">
        <v>0</v>
      </c>
      <c r="M554" s="1" t="n">
        <v>0</v>
      </c>
      <c r="N554" s="1" t="s">
        <v>370</v>
      </c>
      <c r="Z554" s="0" t="n">
        <f aca="false">I554-3</f>
        <v>176.4</v>
      </c>
      <c r="AB554" s="0" t="n">
        <f aca="false">IF(Z554&lt;0,Z554+360,Z554+0)</f>
        <v>176.4</v>
      </c>
    </row>
    <row r="555" customFormat="false" ht="15.8" hidden="false" customHeight="false" outlineLevel="0" collapsed="false">
      <c r="A555" s="1" t="n">
        <v>12</v>
      </c>
      <c r="B555" s="1" t="n">
        <v>12</v>
      </c>
      <c r="C555" s="1" t="n">
        <v>1.3</v>
      </c>
      <c r="D555" s="1" t="n">
        <v>1.6067</v>
      </c>
      <c r="E555" s="1" t="n">
        <v>0.0445504</v>
      </c>
      <c r="F555" s="1" t="n">
        <v>0.000121243</v>
      </c>
      <c r="G555" s="1" t="s">
        <v>27</v>
      </c>
      <c r="H555" s="1" t="n">
        <v>36.2</v>
      </c>
      <c r="I555" s="1" t="n">
        <v>275.2</v>
      </c>
      <c r="J555" s="1" t="n">
        <v>27.2</v>
      </c>
      <c r="K555" s="1"/>
      <c r="L555" s="1" t="n">
        <v>0</v>
      </c>
      <c r="M555" s="1" t="n">
        <v>0</v>
      </c>
      <c r="N555" s="1" t="s">
        <v>370</v>
      </c>
      <c r="Z555" s="0" t="n">
        <f aca="false">I555-3</f>
        <v>272.2</v>
      </c>
      <c r="AB555" s="0" t="n">
        <f aca="false">IF(Z555&lt;0,Z555+360,Z555+0)</f>
        <v>272.2</v>
      </c>
    </row>
    <row r="556" customFormat="false" ht="15.8" hidden="false" customHeight="false" outlineLevel="0" collapsed="false">
      <c r="A556" s="1" t="n">
        <v>12</v>
      </c>
      <c r="B556" s="1" t="n">
        <v>11</v>
      </c>
      <c r="C556" s="1" t="n">
        <v>0.3</v>
      </c>
      <c r="D556" s="1" t="n">
        <v>1.0036</v>
      </c>
      <c r="E556" s="1" t="n">
        <v>0.011109</v>
      </c>
      <c r="F556" s="1" t="n">
        <v>3.02331E-005</v>
      </c>
      <c r="G556" s="1" t="s">
        <v>37</v>
      </c>
      <c r="H556" s="1" t="n">
        <v>39.4</v>
      </c>
      <c r="I556" s="1" t="n">
        <v>250.3</v>
      </c>
      <c r="J556" s="1" t="n">
        <v>0</v>
      </c>
      <c r="K556" s="1" t="n">
        <v>70.9</v>
      </c>
      <c r="L556" s="1" t="n">
        <v>0</v>
      </c>
      <c r="M556" s="1" t="n">
        <v>0</v>
      </c>
      <c r="N556" s="1" t="s">
        <v>368</v>
      </c>
      <c r="Z556" s="0" t="n">
        <f aca="false">I556-3</f>
        <v>247.3</v>
      </c>
      <c r="AB556" s="0" t="n">
        <f aca="false">IF(Z556&lt;0,Z556+360,Z556+0)</f>
        <v>247.3</v>
      </c>
    </row>
    <row r="557" customFormat="false" ht="15.8" hidden="false" customHeight="false" outlineLevel="0" collapsed="false">
      <c r="A557" s="1" t="n">
        <v>12</v>
      </c>
      <c r="B557" s="1" t="n">
        <v>10</v>
      </c>
      <c r="C557" s="1" t="n">
        <v>0.9</v>
      </c>
      <c r="D557" s="1" t="n">
        <v>1.0121</v>
      </c>
      <c r="E557" s="1" t="n">
        <v>0.0307565</v>
      </c>
      <c r="F557" s="1" t="n">
        <v>8.37036E-005</v>
      </c>
      <c r="G557" s="1" t="s">
        <v>37</v>
      </c>
      <c r="H557" s="1" t="n">
        <v>19.3</v>
      </c>
      <c r="I557" s="1" t="n">
        <v>211</v>
      </c>
      <c r="J557" s="1" t="n">
        <v>0</v>
      </c>
      <c r="K557" s="1" t="n">
        <v>54.4</v>
      </c>
      <c r="L557" s="1" t="n">
        <v>0</v>
      </c>
      <c r="M557" s="1" t="n">
        <v>0</v>
      </c>
      <c r="N557" s="1" t="s">
        <v>367</v>
      </c>
      <c r="Z557" s="0" t="n">
        <f aca="false">I557-3</f>
        <v>208</v>
      </c>
      <c r="AB557" s="0" t="n">
        <f aca="false">IF(Z557&lt;0,Z557+360,Z557+0)</f>
        <v>208</v>
      </c>
    </row>
    <row r="558" customFormat="false" ht="15.8" hidden="false" customHeight="false" outlineLevel="0" collapsed="false">
      <c r="A558" s="1" t="n">
        <v>12</v>
      </c>
      <c r="B558" s="1" t="n">
        <v>10</v>
      </c>
      <c r="C558" s="1" t="n">
        <v>5.3</v>
      </c>
      <c r="D558" s="1" t="n">
        <v>1.1609</v>
      </c>
      <c r="E558" s="1" t="n">
        <v>0.181</v>
      </c>
      <c r="F558" s="1" t="n">
        <v>0.000492591</v>
      </c>
      <c r="G558" s="1" t="s">
        <v>27</v>
      </c>
      <c r="H558" s="1" t="n">
        <v>60.2</v>
      </c>
      <c r="I558" s="1" t="n">
        <v>285.2</v>
      </c>
      <c r="J558" s="1" t="n">
        <v>46.9</v>
      </c>
      <c r="K558" s="1"/>
      <c r="L558" s="1" t="n">
        <v>0</v>
      </c>
      <c r="M558" s="1" t="n">
        <v>0</v>
      </c>
      <c r="N558" s="1" t="s">
        <v>367</v>
      </c>
      <c r="Z558" s="0" t="n">
        <f aca="false">I558-3</f>
        <v>282.2</v>
      </c>
      <c r="AB558" s="0" t="n">
        <f aca="false">IF(Z558&lt;0,Z558+360,Z558+0)</f>
        <v>282.2</v>
      </c>
    </row>
    <row r="559" customFormat="false" ht="15.8" hidden="false" customHeight="false" outlineLevel="0" collapsed="false">
      <c r="A559" s="1" t="n">
        <v>12</v>
      </c>
      <c r="B559" s="1" t="n">
        <v>9</v>
      </c>
      <c r="C559" s="1" t="n">
        <v>2.4</v>
      </c>
      <c r="D559" s="1" t="n">
        <v>1.4159</v>
      </c>
      <c r="E559" s="1" t="n">
        <v>0.0828558</v>
      </c>
      <c r="F559" s="1" t="n">
        <v>0.000225491</v>
      </c>
      <c r="G559" s="1" t="s">
        <v>37</v>
      </c>
      <c r="H559" s="1" t="n">
        <v>66.4</v>
      </c>
      <c r="I559" s="1" t="n">
        <v>225.8</v>
      </c>
      <c r="J559" s="1" t="n">
        <v>12.5</v>
      </c>
      <c r="K559" s="1" t="n">
        <v>126.6</v>
      </c>
      <c r="L559" s="1" t="n">
        <v>0</v>
      </c>
      <c r="M559" s="1" t="n">
        <v>0</v>
      </c>
      <c r="N559" s="1" t="s">
        <v>365</v>
      </c>
      <c r="Z559" s="0" t="n">
        <f aca="false">I559-3</f>
        <v>222.8</v>
      </c>
      <c r="AB559" s="0" t="n">
        <f aca="false">IF(Z559&lt;0,Z559+360,Z559+0)</f>
        <v>222.8</v>
      </c>
    </row>
    <row r="560" customFormat="false" ht="15.8" hidden="false" customHeight="false" outlineLevel="0" collapsed="false">
      <c r="A560" s="1" t="n">
        <v>12</v>
      </c>
      <c r="B560" s="1" t="n">
        <v>8</v>
      </c>
      <c r="C560" s="1" t="n">
        <v>2.2</v>
      </c>
      <c r="D560" s="1" t="n">
        <v>1.1974</v>
      </c>
      <c r="E560" s="1" t="n">
        <v>0.075648</v>
      </c>
      <c r="F560" s="1" t="n">
        <v>0.000205875</v>
      </c>
      <c r="G560" s="1" t="s">
        <v>37</v>
      </c>
      <c r="H560" s="1" t="n">
        <v>47.2</v>
      </c>
      <c r="I560" s="1" t="n">
        <v>156.1</v>
      </c>
      <c r="J560" s="1" t="n">
        <v>36.9</v>
      </c>
      <c r="K560" s="1" t="n">
        <v>84.2</v>
      </c>
      <c r="L560" s="1" t="n">
        <v>0</v>
      </c>
      <c r="M560" s="1" t="n">
        <v>0</v>
      </c>
      <c r="N560" s="1" t="s">
        <v>364</v>
      </c>
      <c r="Z560" s="0" t="n">
        <f aca="false">I560-3</f>
        <v>153.1</v>
      </c>
      <c r="AB560" s="0" t="n">
        <f aca="false">IF(Z560&lt;0,Z560+360,Z560+0)</f>
        <v>153.1</v>
      </c>
    </row>
    <row r="561" customFormat="false" ht="15.8" hidden="false" customHeight="false" outlineLevel="0" collapsed="false">
      <c r="A561" s="1" t="n">
        <v>12</v>
      </c>
      <c r="B561" s="1" t="n">
        <v>7</v>
      </c>
      <c r="C561" s="1" t="n">
        <v>1.7</v>
      </c>
      <c r="D561" s="1" t="n">
        <v>1.1888</v>
      </c>
      <c r="E561" s="1" t="n">
        <v>0.0579723</v>
      </c>
      <c r="F561" s="1" t="n">
        <v>0.000157771</v>
      </c>
      <c r="G561" s="1" t="s">
        <v>37</v>
      </c>
      <c r="H561" s="1" t="n">
        <v>29</v>
      </c>
      <c r="I561" s="1" t="n">
        <v>221.1</v>
      </c>
      <c r="J561" s="1" t="n">
        <v>51.1</v>
      </c>
      <c r="K561" s="1" t="n">
        <v>91.4</v>
      </c>
      <c r="L561" s="1" t="n">
        <v>0</v>
      </c>
      <c r="M561" s="1" t="n">
        <v>0</v>
      </c>
      <c r="N561" s="1" t="s">
        <v>363</v>
      </c>
      <c r="Z561" s="0" t="n">
        <f aca="false">I561-3</f>
        <v>218.1</v>
      </c>
      <c r="AB561" s="0" t="n">
        <f aca="false">IF(Z561&lt;0,Z561+360,Z561+0)</f>
        <v>218.1</v>
      </c>
    </row>
    <row r="562" customFormat="false" ht="15.8" hidden="false" customHeight="false" outlineLevel="0" collapsed="false">
      <c r="A562" s="1" t="n">
        <v>12</v>
      </c>
      <c r="B562" s="1" t="n">
        <v>6</v>
      </c>
      <c r="C562" s="1" t="n">
        <v>7.2</v>
      </c>
      <c r="D562" s="1" t="n">
        <v>1.4721</v>
      </c>
      <c r="E562" s="1" t="n">
        <v>0.24567</v>
      </c>
      <c r="F562" s="1" t="n">
        <v>0.00066859</v>
      </c>
      <c r="G562" s="1" t="s">
        <v>37</v>
      </c>
      <c r="H562" s="1" t="n">
        <v>33.5</v>
      </c>
      <c r="I562" s="1" t="n">
        <v>217.1</v>
      </c>
      <c r="J562" s="1" t="n">
        <v>22.3</v>
      </c>
      <c r="K562" s="1" t="n">
        <v>130.2</v>
      </c>
      <c r="L562" s="1" t="n">
        <v>0</v>
      </c>
      <c r="M562" s="1" t="n">
        <v>0</v>
      </c>
      <c r="N562" s="1" t="s">
        <v>362</v>
      </c>
      <c r="Z562" s="0" t="n">
        <f aca="false">I562-3</f>
        <v>214.1</v>
      </c>
      <c r="AB562" s="0" t="n">
        <f aca="false">IF(Z562&lt;0,Z562+360,Z562+0)</f>
        <v>214.1</v>
      </c>
    </row>
    <row r="563" customFormat="false" ht="15.8" hidden="false" customHeight="false" outlineLevel="0" collapsed="false">
      <c r="A563" s="1" t="n">
        <v>12</v>
      </c>
      <c r="B563" s="1" t="n">
        <v>5</v>
      </c>
      <c r="C563" s="1" t="n">
        <v>1.8</v>
      </c>
      <c r="D563" s="1" t="n">
        <v>1.1265</v>
      </c>
      <c r="E563" s="1" t="n">
        <v>0.0625513</v>
      </c>
      <c r="F563" s="1" t="n">
        <v>0.000170233</v>
      </c>
      <c r="G563" s="1" t="s">
        <v>37</v>
      </c>
      <c r="H563" s="1" t="n">
        <v>14.8</v>
      </c>
      <c r="I563" s="1" t="n">
        <v>183.2</v>
      </c>
      <c r="J563" s="1" t="n">
        <v>13.2</v>
      </c>
      <c r="K563" s="1" t="n">
        <v>35.5</v>
      </c>
      <c r="L563" s="1" t="n">
        <v>0</v>
      </c>
      <c r="M563" s="1" t="n">
        <v>0</v>
      </c>
      <c r="N563" s="1" t="s">
        <v>361</v>
      </c>
      <c r="Z563" s="0" t="n">
        <f aca="false">I563-3</f>
        <v>180.2</v>
      </c>
      <c r="AB563" s="0" t="n">
        <f aca="false">IF(Z563&lt;0,Z563+360,Z563+0)</f>
        <v>180.2</v>
      </c>
    </row>
    <row r="564" customFormat="false" ht="15.8" hidden="false" customHeight="false" outlineLevel="0" collapsed="false">
      <c r="A564" s="1" t="n">
        <v>12</v>
      </c>
      <c r="B564" s="1" t="n">
        <v>4</v>
      </c>
      <c r="C564" s="1" t="n">
        <v>1.4</v>
      </c>
      <c r="D564" s="1" t="n">
        <v>1.0281</v>
      </c>
      <c r="E564" s="1" t="n">
        <v>0.0487068</v>
      </c>
      <c r="F564" s="1" t="n">
        <v>0.000132555</v>
      </c>
      <c r="G564" s="1" t="s">
        <v>37</v>
      </c>
      <c r="H564" s="1" t="n">
        <v>60.8</v>
      </c>
      <c r="I564" s="1" t="n">
        <v>176.4</v>
      </c>
      <c r="J564" s="1" t="n">
        <v>0</v>
      </c>
      <c r="K564" s="1" t="n">
        <v>93.6</v>
      </c>
      <c r="L564" s="1" t="n">
        <v>0</v>
      </c>
      <c r="M564" s="1" t="n">
        <v>0</v>
      </c>
      <c r="N564" s="1" t="s">
        <v>360</v>
      </c>
      <c r="Z564" s="0" t="n">
        <f aca="false">I564-3</f>
        <v>173.4</v>
      </c>
      <c r="AB564" s="0" t="n">
        <f aca="false">IF(Z564&lt;0,Z564+360,Z564+0)</f>
        <v>173.4</v>
      </c>
    </row>
    <row r="565" customFormat="false" ht="15.8" hidden="false" customHeight="false" outlineLevel="0" collapsed="false">
      <c r="A565" s="1" t="n">
        <v>12</v>
      </c>
      <c r="B565" s="1" t="n">
        <v>3</v>
      </c>
      <c r="C565" s="1" t="n">
        <v>1.4</v>
      </c>
      <c r="D565" s="1" t="n">
        <v>1.2268</v>
      </c>
      <c r="E565" s="1" t="n">
        <v>0.0492862</v>
      </c>
      <c r="F565" s="1" t="n">
        <v>0.000134132</v>
      </c>
      <c r="G565" s="1" t="s">
        <v>37</v>
      </c>
      <c r="H565" s="1" t="n">
        <v>77.7</v>
      </c>
      <c r="I565" s="1" t="n">
        <v>117.3</v>
      </c>
      <c r="J565" s="1" t="n">
        <v>-18.4</v>
      </c>
      <c r="K565" s="1" t="n">
        <v>80.6</v>
      </c>
      <c r="L565" s="1" t="n">
        <v>0</v>
      </c>
      <c r="M565" s="1" t="n">
        <v>0</v>
      </c>
      <c r="N565" s="1" t="s">
        <v>359</v>
      </c>
      <c r="Z565" s="0" t="n">
        <f aca="false">I565-3</f>
        <v>114.3</v>
      </c>
      <c r="AB565" s="0" t="n">
        <f aca="false">IF(Z565&lt;0,Z565+360,Z565+0)</f>
        <v>114.3</v>
      </c>
    </row>
    <row r="566" customFormat="false" ht="15.8" hidden="false" customHeight="false" outlineLevel="0" collapsed="false">
      <c r="A566" s="1" t="n">
        <v>12</v>
      </c>
      <c r="B566" s="1" t="n">
        <v>2</v>
      </c>
      <c r="C566" s="1" t="n">
        <v>1.4</v>
      </c>
      <c r="D566" s="1" t="n">
        <v>1.133</v>
      </c>
      <c r="E566" s="1" t="n">
        <v>0.0483393</v>
      </c>
      <c r="F566" s="1" t="n">
        <v>0.000131555</v>
      </c>
      <c r="G566" s="1" t="s">
        <v>37</v>
      </c>
      <c r="H566" s="1" t="n">
        <v>38.1</v>
      </c>
      <c r="I566" s="1" t="n">
        <v>199.8</v>
      </c>
      <c r="J566" s="1" t="n">
        <v>-17.3</v>
      </c>
      <c r="K566" s="1" t="n">
        <v>77.7</v>
      </c>
      <c r="L566" s="1" t="n">
        <v>0</v>
      </c>
      <c r="M566" s="1" t="n">
        <v>0</v>
      </c>
      <c r="N566" s="1" t="s">
        <v>356</v>
      </c>
      <c r="Z566" s="0" t="n">
        <f aca="false">I566-3</f>
        <v>196.8</v>
      </c>
      <c r="AB566" s="0" t="n">
        <f aca="false">IF(Z566&lt;0,Z566+360,Z566+0)</f>
        <v>196.8</v>
      </c>
    </row>
    <row r="567" customFormat="false" ht="15.8" hidden="false" customHeight="false" outlineLevel="0" collapsed="false">
      <c r="A567" s="1" t="n">
        <v>12</v>
      </c>
      <c r="B567" s="1" t="n">
        <v>1</v>
      </c>
      <c r="C567" s="1" t="n">
        <v>1.1</v>
      </c>
      <c r="D567" s="1" t="n">
        <v>1.0142</v>
      </c>
      <c r="E567" s="1" t="n">
        <v>0.0386465</v>
      </c>
      <c r="F567" s="1" t="n">
        <v>0.000105176</v>
      </c>
      <c r="G567" s="1" t="s">
        <v>37</v>
      </c>
      <c r="H567" s="1"/>
      <c r="I567" s="1" t="n">
        <v>165.3</v>
      </c>
      <c r="J567" s="1" t="n">
        <v>0</v>
      </c>
      <c r="K567" s="1" t="n">
        <v>62.5</v>
      </c>
      <c r="L567" s="1" t="n">
        <v>0</v>
      </c>
      <c r="M567" s="1" t="n">
        <v>0</v>
      </c>
      <c r="N567" s="1" t="s">
        <v>371</v>
      </c>
      <c r="Z567" s="0" t="n">
        <f aca="false">I567-3</f>
        <v>162.3</v>
      </c>
      <c r="AB567" s="0" t="n">
        <f aca="false">IF(Z567&lt;0,Z567+360,Z567+0)</f>
        <v>162.3</v>
      </c>
    </row>
    <row r="568" customFormat="false" ht="15.8" hidden="false" customHeight="false" outlineLevel="0" collapsed="false">
      <c r="A568" s="1" t="n">
        <v>13</v>
      </c>
      <c r="B568" s="1" t="n">
        <v>4</v>
      </c>
      <c r="C568" s="1" t="n">
        <v>1.4</v>
      </c>
      <c r="D568" s="1" t="n">
        <v>1.1539</v>
      </c>
      <c r="E568" s="1" t="n">
        <v>0.048518</v>
      </c>
      <c r="F568" s="1" t="n">
        <v>0.000132041</v>
      </c>
      <c r="G568" s="1" t="s">
        <v>27</v>
      </c>
      <c r="H568" s="1" t="n">
        <v>70.7</v>
      </c>
      <c r="I568" s="1" t="n">
        <v>254.9</v>
      </c>
      <c r="J568" s="1" t="n">
        <v>17.5</v>
      </c>
      <c r="K568" s="1"/>
      <c r="L568" s="1" t="n">
        <v>0</v>
      </c>
      <c r="M568" s="1" t="n">
        <v>0</v>
      </c>
      <c r="N568" s="1" t="s">
        <v>372</v>
      </c>
      <c r="Z568" s="0" t="n">
        <f aca="false">I568-3</f>
        <v>251.9</v>
      </c>
      <c r="AB568" s="0" t="n">
        <f aca="false">IF(Z568&lt;0,Z568+360,Z568+0)</f>
        <v>251.9</v>
      </c>
    </row>
    <row r="569" customFormat="false" ht="15.8" hidden="false" customHeight="false" outlineLevel="0" collapsed="false">
      <c r="A569" s="1" t="n">
        <v>13</v>
      </c>
      <c r="B569" s="1" t="n">
        <v>5</v>
      </c>
      <c r="C569" s="1" t="n">
        <v>1.3</v>
      </c>
      <c r="D569" s="1" t="n">
        <v>1.2432</v>
      </c>
      <c r="E569" s="1" t="n">
        <v>0.0432574</v>
      </c>
      <c r="F569" s="1" t="n">
        <v>0.000117725</v>
      </c>
      <c r="G569" s="1" t="s">
        <v>27</v>
      </c>
      <c r="H569" s="1" t="n">
        <v>102.8</v>
      </c>
      <c r="I569" s="1" t="n">
        <v>239</v>
      </c>
      <c r="J569" s="1" t="n">
        <v>46.7</v>
      </c>
      <c r="K569" s="1"/>
      <c r="L569" s="1" t="n">
        <v>0</v>
      </c>
      <c r="M569" s="1" t="n">
        <v>0</v>
      </c>
      <c r="N569" s="1" t="s">
        <v>373</v>
      </c>
      <c r="Z569" s="0" t="n">
        <f aca="false">I569-3</f>
        <v>236</v>
      </c>
      <c r="AB569" s="0" t="n">
        <f aca="false">IF(Z569&lt;0,Z569+360,Z569+0)</f>
        <v>236</v>
      </c>
    </row>
    <row r="570" customFormat="false" ht="15.8" hidden="false" customHeight="false" outlineLevel="0" collapsed="false">
      <c r="A570" s="1" t="n">
        <v>13</v>
      </c>
      <c r="B570" s="1" t="n">
        <v>7</v>
      </c>
      <c r="C570" s="1" t="n">
        <v>3.3</v>
      </c>
      <c r="D570" s="1" t="n">
        <v>1.3903</v>
      </c>
      <c r="E570" s="1" t="n">
        <v>0.113969</v>
      </c>
      <c r="F570" s="1" t="n">
        <v>0.000310167</v>
      </c>
      <c r="G570" s="1" t="s">
        <v>27</v>
      </c>
      <c r="H570" s="1" t="n">
        <v>158.5</v>
      </c>
      <c r="I570" s="1" t="n">
        <v>261</v>
      </c>
      <c r="J570" s="1" t="n">
        <v>67.8</v>
      </c>
      <c r="K570" s="1"/>
      <c r="L570" s="1" t="n">
        <v>0</v>
      </c>
      <c r="M570" s="1" t="n">
        <v>0</v>
      </c>
      <c r="N570" s="1" t="s">
        <v>374</v>
      </c>
      <c r="Z570" s="0" t="n">
        <f aca="false">I570-3</f>
        <v>258</v>
      </c>
      <c r="AB570" s="0" t="n">
        <f aca="false">IF(Z570&lt;0,Z570+360,Z570+0)</f>
        <v>258</v>
      </c>
    </row>
    <row r="571" customFormat="false" ht="15.8" hidden="false" customHeight="false" outlineLevel="0" collapsed="false">
      <c r="A571" s="1" t="n">
        <v>13</v>
      </c>
      <c r="B571" s="1" t="n">
        <v>7</v>
      </c>
      <c r="C571" s="1" t="n">
        <v>3.5</v>
      </c>
      <c r="D571" s="1" t="n">
        <v>1.4297</v>
      </c>
      <c r="E571" s="1" t="n">
        <v>0.12074</v>
      </c>
      <c r="F571" s="1" t="n">
        <v>0.000328593</v>
      </c>
      <c r="G571" s="1" t="s">
        <v>27</v>
      </c>
      <c r="H571" s="1" t="n">
        <v>125.2</v>
      </c>
      <c r="I571" s="1" t="n">
        <v>186.1</v>
      </c>
      <c r="J571" s="1" t="n">
        <v>8.6</v>
      </c>
      <c r="K571" s="1"/>
      <c r="L571" s="1" t="n">
        <v>0</v>
      </c>
      <c r="M571" s="1" t="n">
        <v>0</v>
      </c>
      <c r="N571" s="1" t="s">
        <v>374</v>
      </c>
      <c r="Z571" s="0" t="n">
        <f aca="false">I571-3</f>
        <v>183.1</v>
      </c>
      <c r="AB571" s="0" t="n">
        <f aca="false">IF(Z571&lt;0,Z571+360,Z571+0)</f>
        <v>183.1</v>
      </c>
    </row>
    <row r="572" customFormat="false" ht="15.8" hidden="false" customHeight="false" outlineLevel="0" collapsed="false">
      <c r="A572" s="1" t="n">
        <v>13</v>
      </c>
      <c r="B572" s="1" t="n">
        <v>7</v>
      </c>
      <c r="C572" s="1" t="n">
        <v>3.1</v>
      </c>
      <c r="D572" s="1" t="n">
        <v>1.2823</v>
      </c>
      <c r="E572" s="1" t="n">
        <v>0.106088</v>
      </c>
      <c r="F572" s="1" t="n">
        <v>0.000288718</v>
      </c>
      <c r="G572" s="1" t="s">
        <v>27</v>
      </c>
      <c r="H572" s="1" t="n">
        <v>45.1</v>
      </c>
      <c r="I572" s="1" t="n">
        <v>118.4</v>
      </c>
      <c r="J572" s="1" t="n">
        <v>-49.9</v>
      </c>
      <c r="K572" s="1"/>
      <c r="L572" s="1" t="n">
        <v>0</v>
      </c>
      <c r="M572" s="1" t="n">
        <v>0</v>
      </c>
      <c r="N572" s="1" t="s">
        <v>374</v>
      </c>
      <c r="Z572" s="0" t="n">
        <f aca="false">I572-3</f>
        <v>115.4</v>
      </c>
      <c r="AB572" s="0" t="n">
        <f aca="false">IF(Z572&lt;0,Z572+360,Z572+0)</f>
        <v>115.4</v>
      </c>
    </row>
    <row r="573" customFormat="false" ht="15.8" hidden="false" customHeight="false" outlineLevel="0" collapsed="false">
      <c r="A573" s="1" t="n">
        <v>13</v>
      </c>
      <c r="B573" s="1" t="n">
        <v>6</v>
      </c>
      <c r="C573" s="1" t="n">
        <v>4.1</v>
      </c>
      <c r="D573" s="1" t="n">
        <v>1.172</v>
      </c>
      <c r="E573" s="1" t="n">
        <v>0.140777</v>
      </c>
      <c r="F573" s="1" t="n">
        <v>0.000383124</v>
      </c>
      <c r="G573" s="1" t="s">
        <v>37</v>
      </c>
      <c r="H573" s="1" t="n">
        <v>24.6</v>
      </c>
      <c r="I573" s="1" t="n">
        <v>38.5</v>
      </c>
      <c r="J573" s="1" t="n">
        <v>-57.4</v>
      </c>
      <c r="K573" s="1" t="n">
        <v>158.5</v>
      </c>
      <c r="L573" s="1" t="n">
        <v>0</v>
      </c>
      <c r="M573" s="1" t="n">
        <v>0</v>
      </c>
      <c r="N573" s="1" t="s">
        <v>375</v>
      </c>
      <c r="Z573" s="0" t="n">
        <f aca="false">I573-3</f>
        <v>35.5</v>
      </c>
      <c r="AB573" s="0" t="n">
        <f aca="false">IF(Z573&lt;0,Z573+360,Z573+0)</f>
        <v>35.5</v>
      </c>
    </row>
    <row r="574" customFormat="false" ht="15.8" hidden="false" customHeight="false" outlineLevel="0" collapsed="false">
      <c r="A574" s="1" t="n">
        <v>13</v>
      </c>
      <c r="B574" s="1" t="n">
        <v>6</v>
      </c>
      <c r="C574" s="1" t="n">
        <v>2.2</v>
      </c>
      <c r="D574" s="1" t="n">
        <v>1.5718</v>
      </c>
      <c r="E574" s="1" t="n">
        <v>0.0741845</v>
      </c>
      <c r="F574" s="1" t="n">
        <v>0.000201892</v>
      </c>
      <c r="G574" s="1" t="s">
        <v>27</v>
      </c>
      <c r="H574" s="1" t="n">
        <v>44.9</v>
      </c>
      <c r="I574" s="1" t="n">
        <v>6.3</v>
      </c>
      <c r="J574" s="1" t="n">
        <v>0</v>
      </c>
      <c r="K574" s="1"/>
      <c r="L574" s="1" t="n">
        <v>0</v>
      </c>
      <c r="M574" s="1" t="n">
        <v>0</v>
      </c>
      <c r="N574" s="1" t="s">
        <v>375</v>
      </c>
      <c r="Z574" s="0" t="n">
        <f aca="false">I574-3</f>
        <v>3.3</v>
      </c>
      <c r="AB574" s="0" t="n">
        <f aca="false">IF(Z574&lt;0,Z574+360,Z574+0)</f>
        <v>3.3</v>
      </c>
    </row>
    <row r="575" customFormat="false" ht="15.8" hidden="false" customHeight="false" outlineLevel="0" collapsed="false">
      <c r="A575" s="1" t="n">
        <v>13</v>
      </c>
      <c r="B575" s="1" t="n">
        <v>5</v>
      </c>
      <c r="C575" s="1" t="n">
        <v>0.8</v>
      </c>
      <c r="D575" s="1" t="n">
        <v>1.1925</v>
      </c>
      <c r="E575" s="1" t="n">
        <v>0.0278142</v>
      </c>
      <c r="F575" s="1" t="n">
        <v>7.56962E-005</v>
      </c>
      <c r="G575" s="1" t="s">
        <v>37</v>
      </c>
      <c r="H575" s="1" t="n">
        <v>58.1</v>
      </c>
      <c r="I575" s="1" t="n">
        <v>38.8</v>
      </c>
      <c r="J575" s="1" t="n">
        <v>-32.9</v>
      </c>
      <c r="K575" s="1" t="n">
        <v>44.9</v>
      </c>
      <c r="L575" s="1" t="n">
        <v>0</v>
      </c>
      <c r="M575" s="1" t="n">
        <v>0</v>
      </c>
      <c r="N575" s="1" t="s">
        <v>373</v>
      </c>
      <c r="Z575" s="0" t="n">
        <f aca="false">I575-3</f>
        <v>35.8</v>
      </c>
      <c r="AB575" s="0" t="n">
        <f aca="false">IF(Z575&lt;0,Z575+360,Z575+0)</f>
        <v>35.8</v>
      </c>
    </row>
    <row r="576" customFormat="false" ht="15.8" hidden="false" customHeight="false" outlineLevel="0" collapsed="false">
      <c r="A576" s="1" t="n">
        <v>13</v>
      </c>
      <c r="B576" s="1" t="n">
        <v>4</v>
      </c>
      <c r="C576" s="1" t="n">
        <v>1.3</v>
      </c>
      <c r="D576" s="1" t="n">
        <v>1.2607</v>
      </c>
      <c r="E576" s="1" t="n">
        <v>0.0446466</v>
      </c>
      <c r="F576" s="1" t="n">
        <v>0.000121505</v>
      </c>
      <c r="G576" s="1" t="s">
        <v>37</v>
      </c>
      <c r="H576" s="1" t="n">
        <v>41.5</v>
      </c>
      <c r="I576" s="1" t="n">
        <v>347.9</v>
      </c>
      <c r="J576" s="1" t="n">
        <v>0</v>
      </c>
      <c r="K576" s="1" t="n">
        <v>102.8</v>
      </c>
      <c r="L576" s="1" t="n">
        <v>0</v>
      </c>
      <c r="M576" s="1" t="n">
        <v>0</v>
      </c>
      <c r="N576" s="1" t="s">
        <v>372</v>
      </c>
      <c r="Z576" s="0" t="n">
        <f aca="false">I576-3</f>
        <v>344.9</v>
      </c>
      <c r="AB576" s="0" t="n">
        <f aca="false">IF(Z576&lt;0,Z576+360,Z576+0)</f>
        <v>344.9</v>
      </c>
    </row>
    <row r="577" customFormat="false" ht="15.8" hidden="false" customHeight="false" outlineLevel="0" collapsed="false">
      <c r="A577" s="1" t="n">
        <v>13</v>
      </c>
      <c r="B577" s="1" t="n">
        <v>3</v>
      </c>
      <c r="C577" s="1" t="n">
        <v>1.4</v>
      </c>
      <c r="D577" s="1" t="n">
        <v>1.1694</v>
      </c>
      <c r="E577" s="1" t="n">
        <v>0.0464677</v>
      </c>
      <c r="F577" s="1" t="n">
        <v>0.000126461</v>
      </c>
      <c r="G577" s="1" t="s">
        <v>37</v>
      </c>
      <c r="H577" s="1" t="n">
        <v>11.3</v>
      </c>
      <c r="I577" s="1" t="n">
        <v>334.1</v>
      </c>
      <c r="J577" s="1" t="n">
        <v>39.6</v>
      </c>
      <c r="K577" s="1" t="n">
        <v>70.7</v>
      </c>
      <c r="L577" s="1" t="n">
        <v>0</v>
      </c>
      <c r="M577" s="1" t="n">
        <v>0</v>
      </c>
      <c r="N577" s="1" t="s">
        <v>376</v>
      </c>
      <c r="Z577" s="0" t="n">
        <f aca="false">I577-3</f>
        <v>331.1</v>
      </c>
      <c r="AB577" s="0" t="n">
        <f aca="false">IF(Z577&lt;0,Z577+360,Z577+0)</f>
        <v>331.1</v>
      </c>
    </row>
    <row r="578" customFormat="false" ht="15.8" hidden="false" customHeight="false" outlineLevel="0" collapsed="false">
      <c r="A578" s="1" t="n">
        <v>13</v>
      </c>
      <c r="B578" s="1" t="n">
        <v>3</v>
      </c>
      <c r="C578" s="1" t="n">
        <v>2.7</v>
      </c>
      <c r="D578" s="1" t="n">
        <v>1.3121</v>
      </c>
      <c r="E578" s="1" t="n">
        <v>0.0935368</v>
      </c>
      <c r="F578" s="1" t="n">
        <v>0.00025456</v>
      </c>
      <c r="G578" s="1" t="s">
        <v>27</v>
      </c>
      <c r="H578" s="1" t="n">
        <v>129.7</v>
      </c>
      <c r="I578" s="1" t="n">
        <v>215.3</v>
      </c>
      <c r="J578" s="1" t="n">
        <v>-62.6</v>
      </c>
      <c r="K578" s="1"/>
      <c r="L578" s="1" t="n">
        <v>0</v>
      </c>
      <c r="M578" s="1" t="n">
        <v>0</v>
      </c>
      <c r="N578" s="1" t="s">
        <v>376</v>
      </c>
      <c r="Z578" s="0" t="n">
        <f aca="false">I578-3</f>
        <v>212.3</v>
      </c>
      <c r="AB578" s="0" t="n">
        <f aca="false">IF(Z578&lt;0,Z578+360,Z578+0)</f>
        <v>212.3</v>
      </c>
    </row>
    <row r="579" customFormat="false" ht="15.8" hidden="false" customHeight="false" outlineLevel="0" collapsed="false">
      <c r="A579" s="1" t="n">
        <v>13</v>
      </c>
      <c r="B579" s="1" t="n">
        <v>4</v>
      </c>
      <c r="C579" s="1" t="n">
        <v>1.4</v>
      </c>
      <c r="D579" s="1" t="n">
        <v>1.4463</v>
      </c>
      <c r="E579" s="1" t="n">
        <v>0.0461941</v>
      </c>
      <c r="F579" s="1" t="n">
        <v>0.000125717</v>
      </c>
      <c r="G579" s="1" t="s">
        <v>27</v>
      </c>
      <c r="H579" s="1" t="n">
        <v>43.1</v>
      </c>
      <c r="I579" s="1" t="n">
        <v>262</v>
      </c>
      <c r="J579" s="1" t="n">
        <v>23.3</v>
      </c>
      <c r="K579" s="1"/>
      <c r="L579" s="1" t="n">
        <v>0</v>
      </c>
      <c r="M579" s="1" t="n">
        <v>0</v>
      </c>
      <c r="N579" s="1" t="s">
        <v>377</v>
      </c>
      <c r="Z579" s="0" t="n">
        <f aca="false">I579-3</f>
        <v>259</v>
      </c>
      <c r="AB579" s="0" t="n">
        <f aca="false">IF(Z579&lt;0,Z579+360,Z579+0)</f>
        <v>259</v>
      </c>
    </row>
    <row r="580" customFormat="false" ht="15.8" hidden="false" customHeight="false" outlineLevel="0" collapsed="false">
      <c r="A580" s="1" t="n">
        <v>13</v>
      </c>
      <c r="B580" s="1" t="n">
        <v>5</v>
      </c>
      <c r="C580" s="1" t="n">
        <v>1.2</v>
      </c>
      <c r="D580" s="1" t="n">
        <v>1.0094</v>
      </c>
      <c r="E580" s="1" t="n">
        <v>0.041008</v>
      </c>
      <c r="F580" s="1" t="n">
        <v>0.000111603</v>
      </c>
      <c r="G580" s="1" t="s">
        <v>27</v>
      </c>
      <c r="H580" s="1" t="n">
        <v>46.6</v>
      </c>
      <c r="I580" s="1" t="n">
        <v>152.7</v>
      </c>
      <c r="J580" s="1" t="n">
        <v>0</v>
      </c>
      <c r="K580" s="1"/>
      <c r="L580" s="1" t="n">
        <v>0</v>
      </c>
      <c r="M580" s="1" t="n">
        <v>0</v>
      </c>
      <c r="N580" s="1" t="s">
        <v>378</v>
      </c>
      <c r="Z580" s="0" t="n">
        <f aca="false">I580-3</f>
        <v>149.7</v>
      </c>
      <c r="AB580" s="0" t="n">
        <f aca="false">IF(Z580&lt;0,Z580+360,Z580+0)</f>
        <v>149.7</v>
      </c>
    </row>
    <row r="581" customFormat="false" ht="15.8" hidden="false" customHeight="false" outlineLevel="0" collapsed="false">
      <c r="A581" s="1" t="n">
        <v>13</v>
      </c>
      <c r="B581" s="1" t="n">
        <v>6</v>
      </c>
      <c r="C581" s="1" t="n">
        <v>1.2</v>
      </c>
      <c r="D581" s="1" t="n">
        <v>1.0159</v>
      </c>
      <c r="E581" s="1" t="n">
        <v>0.0403044</v>
      </c>
      <c r="F581" s="1" t="n">
        <v>0.000109688</v>
      </c>
      <c r="G581" s="1" t="s">
        <v>27</v>
      </c>
      <c r="H581" s="1" t="n">
        <v>49.5</v>
      </c>
      <c r="I581" s="1" t="n">
        <v>264.1</v>
      </c>
      <c r="J581" s="1" t="n">
        <v>0</v>
      </c>
      <c r="K581" s="1"/>
      <c r="L581" s="1" t="n">
        <v>0</v>
      </c>
      <c r="M581" s="1" t="n">
        <v>0</v>
      </c>
      <c r="N581" s="1" t="s">
        <v>379</v>
      </c>
      <c r="Z581" s="0" t="n">
        <f aca="false">I581-3</f>
        <v>261.1</v>
      </c>
      <c r="AB581" s="0" t="n">
        <f aca="false">IF(Z581&lt;0,Z581+360,Z581+0)</f>
        <v>261.1</v>
      </c>
    </row>
    <row r="582" customFormat="false" ht="15.8" hidden="false" customHeight="false" outlineLevel="0" collapsed="false">
      <c r="A582" s="1" t="n">
        <v>13</v>
      </c>
      <c r="B582" s="1" t="n">
        <v>6</v>
      </c>
      <c r="C582" s="1" t="n">
        <v>2.1</v>
      </c>
      <c r="D582" s="1" t="n">
        <v>1.1772</v>
      </c>
      <c r="E582" s="1" t="n">
        <v>0.0729689</v>
      </c>
      <c r="F582" s="1" t="n">
        <v>0.000198584</v>
      </c>
      <c r="G582" s="1" t="s">
        <v>27</v>
      </c>
      <c r="H582" s="1" t="n">
        <v>83</v>
      </c>
      <c r="I582" s="1" t="n">
        <v>359.6</v>
      </c>
      <c r="J582" s="1" t="n">
        <v>24.1</v>
      </c>
      <c r="K582" s="1"/>
      <c r="L582" s="1" t="n">
        <v>0</v>
      </c>
      <c r="M582" s="1" t="n">
        <v>0</v>
      </c>
      <c r="N582" s="1" t="s">
        <v>379</v>
      </c>
      <c r="Z582" s="0" t="n">
        <f aca="false">I582-3</f>
        <v>356.6</v>
      </c>
      <c r="AB582" s="0" t="n">
        <f aca="false">IF(Z582&lt;0,Z582+360,Z582+0)</f>
        <v>356.6</v>
      </c>
    </row>
    <row r="583" customFormat="false" ht="15.8" hidden="false" customHeight="false" outlineLevel="0" collapsed="false">
      <c r="A583" s="1" t="n">
        <v>13</v>
      </c>
      <c r="B583" s="1" t="n">
        <v>7</v>
      </c>
      <c r="C583" s="1" t="n">
        <v>1.2</v>
      </c>
      <c r="D583" s="1" t="n">
        <v>1.1748</v>
      </c>
      <c r="E583" s="1" t="n">
        <v>0.0415873</v>
      </c>
      <c r="F583" s="1" t="n">
        <v>0.000113179</v>
      </c>
      <c r="G583" s="1" t="s">
        <v>27</v>
      </c>
      <c r="H583" s="1" t="n">
        <v>110.7</v>
      </c>
      <c r="I583" s="1" t="n">
        <v>316.2</v>
      </c>
      <c r="J583" s="1" t="n">
        <v>-45.6</v>
      </c>
      <c r="K583" s="1"/>
      <c r="L583" s="1" t="n">
        <v>0</v>
      </c>
      <c r="M583" s="1" t="n">
        <v>0</v>
      </c>
      <c r="N583" s="1" t="s">
        <v>380</v>
      </c>
      <c r="Z583" s="0" t="n">
        <f aca="false">I583-3</f>
        <v>313.2</v>
      </c>
      <c r="AB583" s="0" t="n">
        <f aca="false">IF(Z583&lt;0,Z583+360,Z583+0)</f>
        <v>313.2</v>
      </c>
    </row>
    <row r="584" customFormat="false" ht="15.8" hidden="false" customHeight="false" outlineLevel="0" collapsed="false">
      <c r="A584" s="1" t="n">
        <v>13</v>
      </c>
      <c r="B584" s="1" t="n">
        <v>8</v>
      </c>
      <c r="C584" s="1" t="n">
        <v>1.3</v>
      </c>
      <c r="D584" s="1" t="n">
        <v>1.1054</v>
      </c>
      <c r="E584" s="1" t="n">
        <v>0.0433475</v>
      </c>
      <c r="F584" s="1" t="n">
        <v>0.00011797</v>
      </c>
      <c r="G584" s="1" t="s">
        <v>27</v>
      </c>
      <c r="H584" s="1" t="n">
        <v>52.2</v>
      </c>
      <c r="I584" s="1" t="n">
        <v>232.7</v>
      </c>
      <c r="J584" s="1" t="n">
        <v>75.5</v>
      </c>
      <c r="K584" s="1"/>
      <c r="L584" s="1" t="n">
        <v>0</v>
      </c>
      <c r="M584" s="1" t="n">
        <v>0</v>
      </c>
      <c r="N584" s="1" t="s">
        <v>381</v>
      </c>
      <c r="Z584" s="0" t="n">
        <f aca="false">I584-3</f>
        <v>229.7</v>
      </c>
      <c r="AB584" s="0" t="n">
        <f aca="false">IF(Z584&lt;0,Z584+360,Z584+0)</f>
        <v>229.7</v>
      </c>
    </row>
    <row r="585" customFormat="false" ht="15.8" hidden="false" customHeight="false" outlineLevel="0" collapsed="false">
      <c r="A585" s="1" t="n">
        <v>13</v>
      </c>
      <c r="B585" s="1" t="n">
        <v>9</v>
      </c>
      <c r="C585" s="1" t="n">
        <v>6.8</v>
      </c>
      <c r="D585" s="1" t="n">
        <v>1.5699</v>
      </c>
      <c r="E585" s="1" t="n">
        <v>0.23251</v>
      </c>
      <c r="F585" s="1" t="n">
        <v>0.000632773</v>
      </c>
      <c r="G585" s="1" t="s">
        <v>27</v>
      </c>
      <c r="H585" s="1" t="n">
        <v>16.6</v>
      </c>
      <c r="I585" s="1" t="n">
        <v>194.8</v>
      </c>
      <c r="J585" s="1" t="n">
        <v>-9.8</v>
      </c>
      <c r="K585" s="1"/>
      <c r="L585" s="1" t="n">
        <v>0</v>
      </c>
      <c r="M585" s="1" t="n">
        <v>0</v>
      </c>
      <c r="N585" s="1" t="s">
        <v>382</v>
      </c>
      <c r="Z585" s="0" t="n">
        <f aca="false">I585-3</f>
        <v>191.8</v>
      </c>
      <c r="AB585" s="0" t="n">
        <f aca="false">IF(Z585&lt;0,Z585+360,Z585+0)</f>
        <v>191.8</v>
      </c>
    </row>
    <row r="586" customFormat="false" ht="15.8" hidden="false" customHeight="false" outlineLevel="0" collapsed="false">
      <c r="A586" s="1" t="n">
        <v>13</v>
      </c>
      <c r="B586" s="1" t="n">
        <v>10</v>
      </c>
      <c r="C586" s="1" t="n">
        <v>0.4</v>
      </c>
      <c r="D586" s="1" t="n">
        <v>1.0045</v>
      </c>
      <c r="E586" s="1" t="n">
        <v>0.0145893</v>
      </c>
      <c r="F586" s="1" t="n">
        <v>3.97047E-005</v>
      </c>
      <c r="G586" s="1" t="s">
        <v>27</v>
      </c>
      <c r="H586" s="1" t="n">
        <v>56.1</v>
      </c>
      <c r="I586" s="1" t="n">
        <v>268.5</v>
      </c>
      <c r="J586" s="1" t="n">
        <v>0</v>
      </c>
      <c r="K586" s="1"/>
      <c r="L586" s="1" t="n">
        <v>0</v>
      </c>
      <c r="M586" s="1" t="n">
        <v>0</v>
      </c>
      <c r="N586" s="1" t="s">
        <v>383</v>
      </c>
      <c r="Z586" s="0" t="n">
        <f aca="false">I586-3</f>
        <v>265.5</v>
      </c>
      <c r="AB586" s="0" t="n">
        <f aca="false">IF(Z586&lt;0,Z586+360,Z586+0)</f>
        <v>265.5</v>
      </c>
    </row>
    <row r="587" customFormat="false" ht="15.8" hidden="false" customHeight="false" outlineLevel="0" collapsed="false">
      <c r="A587" s="1" t="n">
        <v>13</v>
      </c>
      <c r="B587" s="1" t="n">
        <v>10</v>
      </c>
      <c r="C587" s="1" t="n">
        <v>1.5</v>
      </c>
      <c r="D587" s="1" t="n">
        <v>1.1823</v>
      </c>
      <c r="E587" s="1" t="n">
        <v>0.0504607</v>
      </c>
      <c r="F587" s="1" t="n">
        <v>0.000137328</v>
      </c>
      <c r="G587" s="1" t="s">
        <v>27</v>
      </c>
      <c r="H587" s="1" t="n">
        <v>23.5</v>
      </c>
      <c r="I587" s="1" t="n">
        <v>189.5</v>
      </c>
      <c r="J587" s="1" t="n">
        <v>17.2</v>
      </c>
      <c r="K587" s="1"/>
      <c r="L587" s="1" t="n">
        <v>0</v>
      </c>
      <c r="M587" s="1" t="n">
        <v>0</v>
      </c>
      <c r="N587" s="1" t="s">
        <v>383</v>
      </c>
      <c r="Z587" s="0" t="n">
        <f aca="false">I587-3</f>
        <v>186.5</v>
      </c>
      <c r="AB587" s="0" t="n">
        <f aca="false">IF(Z587&lt;0,Z587+360,Z587+0)</f>
        <v>186.5</v>
      </c>
    </row>
    <row r="588" customFormat="false" ht="15.8" hidden="false" customHeight="false" outlineLevel="0" collapsed="false">
      <c r="A588" s="1" t="n">
        <v>13</v>
      </c>
      <c r="B588" s="1" t="n">
        <v>9</v>
      </c>
      <c r="C588" s="1" t="n">
        <v>1.8</v>
      </c>
      <c r="D588" s="1" t="n">
        <v>1.1064</v>
      </c>
      <c r="E588" s="1" t="n">
        <v>0.0613673</v>
      </c>
      <c r="F588" s="1" t="n">
        <v>0.000167011</v>
      </c>
      <c r="G588" s="1" t="s">
        <v>37</v>
      </c>
      <c r="H588" s="1" t="n">
        <v>41.1</v>
      </c>
      <c r="I588" s="1" t="n">
        <v>213.5</v>
      </c>
      <c r="J588" s="1" t="n">
        <v>13.2</v>
      </c>
      <c r="K588" s="1" t="n">
        <v>56.1</v>
      </c>
      <c r="L588" s="1" t="n">
        <v>0</v>
      </c>
      <c r="M588" s="1" t="n">
        <v>0</v>
      </c>
      <c r="N588" s="1" t="s">
        <v>382</v>
      </c>
      <c r="Z588" s="0" t="n">
        <f aca="false">I588-3</f>
        <v>210.5</v>
      </c>
      <c r="AB588" s="0" t="n">
        <f aca="false">IF(Z588&lt;0,Z588+360,Z588+0)</f>
        <v>210.5</v>
      </c>
    </row>
    <row r="589" customFormat="false" ht="15.8" hidden="false" customHeight="false" outlineLevel="0" collapsed="false">
      <c r="A589" s="1" t="n">
        <v>13</v>
      </c>
      <c r="B589" s="1" t="n">
        <v>8</v>
      </c>
      <c r="C589" s="1" t="n">
        <v>3.1</v>
      </c>
      <c r="D589" s="1" t="n">
        <v>1.1884</v>
      </c>
      <c r="E589" s="1" t="n">
        <v>0.105986</v>
      </c>
      <c r="F589" s="1" t="n">
        <v>0.000288441</v>
      </c>
      <c r="G589" s="1" t="s">
        <v>37</v>
      </c>
      <c r="H589" s="1" t="n">
        <v>45.6</v>
      </c>
      <c r="I589" s="1" t="n">
        <v>178.1</v>
      </c>
      <c r="J589" s="1" t="n">
        <v>-8.2</v>
      </c>
      <c r="K589" s="1" t="n">
        <v>41.1</v>
      </c>
      <c r="L589" s="1" t="n">
        <v>0</v>
      </c>
      <c r="M589" s="1" t="n">
        <v>0</v>
      </c>
      <c r="N589" s="1" t="s">
        <v>381</v>
      </c>
      <c r="Z589" s="0" t="n">
        <f aca="false">I589-3</f>
        <v>175.1</v>
      </c>
      <c r="AB589" s="0" t="n">
        <f aca="false">IF(Z589&lt;0,Z589+360,Z589+0)</f>
        <v>175.1</v>
      </c>
    </row>
    <row r="590" customFormat="false" ht="15.8" hidden="false" customHeight="false" outlineLevel="0" collapsed="false">
      <c r="A590" s="1" t="n">
        <v>13</v>
      </c>
      <c r="B590" s="1" t="n">
        <v>7</v>
      </c>
      <c r="C590" s="1" t="n">
        <v>2.1</v>
      </c>
      <c r="D590" s="1" t="n">
        <v>1.1708</v>
      </c>
      <c r="E590" s="1" t="n">
        <v>0.0713295</v>
      </c>
      <c r="F590" s="1" t="n">
        <v>0.000194123</v>
      </c>
      <c r="G590" s="1" t="s">
        <v>37</v>
      </c>
      <c r="H590" s="1" t="n">
        <v>14.4</v>
      </c>
      <c r="I590" s="1" t="n">
        <v>210.7</v>
      </c>
      <c r="J590" s="1" t="n">
        <v>24.5</v>
      </c>
      <c r="K590" s="1" t="n">
        <v>52.2</v>
      </c>
      <c r="L590" s="1" t="n">
        <v>0</v>
      </c>
      <c r="M590" s="1" t="n">
        <v>0</v>
      </c>
      <c r="N590" s="1" t="s">
        <v>380</v>
      </c>
      <c r="Z590" s="0" t="n">
        <f aca="false">I590-3</f>
        <v>207.7</v>
      </c>
      <c r="AB590" s="0" t="n">
        <f aca="false">IF(Z590&lt;0,Z590+360,Z590+0)</f>
        <v>207.7</v>
      </c>
    </row>
    <row r="591" customFormat="false" ht="15.8" hidden="false" customHeight="false" outlineLevel="0" collapsed="false">
      <c r="A591" s="1" t="n">
        <v>13</v>
      </c>
      <c r="B591" s="1" t="n">
        <v>6</v>
      </c>
      <c r="C591" s="1" t="n">
        <v>2.8</v>
      </c>
      <c r="D591" s="1" t="n">
        <v>1.2332</v>
      </c>
      <c r="E591" s="1" t="n">
        <v>0.0953958</v>
      </c>
      <c r="F591" s="1" t="n">
        <v>0.000259619</v>
      </c>
      <c r="G591" s="1" t="s">
        <v>37</v>
      </c>
      <c r="H591" s="1" t="n">
        <v>27.6</v>
      </c>
      <c r="I591" s="1" t="n">
        <v>225.9</v>
      </c>
      <c r="J591" s="1" t="n">
        <v>29.4</v>
      </c>
      <c r="K591" s="1" t="n">
        <v>110.7</v>
      </c>
      <c r="L591" s="1" t="n">
        <v>0</v>
      </c>
      <c r="M591" s="1" t="n">
        <v>0</v>
      </c>
      <c r="N591" s="1" t="s">
        <v>379</v>
      </c>
      <c r="Z591" s="0" t="n">
        <f aca="false">I591-3</f>
        <v>222.9</v>
      </c>
      <c r="AB591" s="0" t="n">
        <f aca="false">IF(Z591&lt;0,Z591+360,Z591+0)</f>
        <v>222.9</v>
      </c>
    </row>
    <row r="592" customFormat="false" ht="15.8" hidden="false" customHeight="false" outlineLevel="0" collapsed="false">
      <c r="A592" s="1" t="n">
        <v>13</v>
      </c>
      <c r="B592" s="1" t="n">
        <v>5</v>
      </c>
      <c r="C592" s="1" t="n">
        <v>8.4</v>
      </c>
      <c r="D592" s="1" t="n">
        <v>1.2082</v>
      </c>
      <c r="E592" s="1" t="n">
        <v>0.286215</v>
      </c>
      <c r="F592" s="1" t="n">
        <v>0.000778933</v>
      </c>
      <c r="G592" s="1" t="s">
        <v>37</v>
      </c>
      <c r="H592" s="1" t="n">
        <v>51.7</v>
      </c>
      <c r="I592" s="1" t="n">
        <v>252.1</v>
      </c>
      <c r="J592" s="1" t="n">
        <v>48.4</v>
      </c>
      <c r="K592" s="1" t="n">
        <v>83</v>
      </c>
      <c r="L592" s="1" t="n">
        <v>0</v>
      </c>
      <c r="M592" s="1" t="n">
        <v>0</v>
      </c>
      <c r="N592" s="1" t="s">
        <v>378</v>
      </c>
      <c r="Z592" s="0" t="n">
        <f aca="false">I592-3</f>
        <v>249.1</v>
      </c>
      <c r="AB592" s="0" t="n">
        <f aca="false">IF(Z592&lt;0,Z592+360,Z592+0)</f>
        <v>249.1</v>
      </c>
    </row>
    <row r="593" customFormat="false" ht="15.8" hidden="false" customHeight="false" outlineLevel="0" collapsed="false">
      <c r="A593" s="1" t="n">
        <v>13</v>
      </c>
      <c r="B593" s="1" t="n">
        <v>4</v>
      </c>
      <c r="C593" s="1" t="n">
        <v>0.6</v>
      </c>
      <c r="D593" s="1" t="n">
        <v>1.0591</v>
      </c>
      <c r="E593" s="1" t="n">
        <v>0.0204153</v>
      </c>
      <c r="F593" s="1" t="n">
        <v>5.55599E-005</v>
      </c>
      <c r="G593" s="1" t="s">
        <v>37</v>
      </c>
      <c r="H593" s="1" t="n">
        <v>34.8</v>
      </c>
      <c r="I593" s="1" t="n">
        <v>177.1</v>
      </c>
      <c r="J593" s="1" t="n">
        <v>41</v>
      </c>
      <c r="K593" s="1" t="n">
        <v>51.7</v>
      </c>
      <c r="L593" s="1" t="n">
        <v>0</v>
      </c>
      <c r="M593" s="1" t="n">
        <v>0</v>
      </c>
      <c r="N593" s="1" t="s">
        <v>377</v>
      </c>
      <c r="Z593" s="0" t="n">
        <f aca="false">I593-3</f>
        <v>174.1</v>
      </c>
      <c r="AB593" s="0" t="n">
        <f aca="false">IF(Z593&lt;0,Z593+360,Z593+0)</f>
        <v>174.1</v>
      </c>
    </row>
    <row r="594" customFormat="false" ht="15.8" hidden="false" customHeight="false" outlineLevel="0" collapsed="false">
      <c r="A594" s="1" t="n">
        <v>13</v>
      </c>
      <c r="B594" s="1" t="n">
        <v>3</v>
      </c>
      <c r="C594" s="1" t="n">
        <v>1.4</v>
      </c>
      <c r="D594" s="1" t="n">
        <v>1.0486</v>
      </c>
      <c r="E594" s="1" t="n">
        <v>0.0470715</v>
      </c>
      <c r="F594" s="1" t="n">
        <v>0.000128105</v>
      </c>
      <c r="G594" s="1" t="s">
        <v>37</v>
      </c>
      <c r="H594" s="1" t="n">
        <v>60.5</v>
      </c>
      <c r="I594" s="1" t="n">
        <v>225.6</v>
      </c>
      <c r="J594" s="1" t="n">
        <v>57.7</v>
      </c>
      <c r="K594" s="1" t="n">
        <v>43.1</v>
      </c>
      <c r="L594" s="1" t="n">
        <v>0</v>
      </c>
      <c r="M594" s="1" t="n">
        <v>0</v>
      </c>
      <c r="N594" s="1" t="s">
        <v>376</v>
      </c>
      <c r="Z594" s="0" t="n">
        <f aca="false">I594-3</f>
        <v>222.6</v>
      </c>
      <c r="AB594" s="0" t="n">
        <f aca="false">IF(Z594&lt;0,Z594+360,Z594+0)</f>
        <v>222.6</v>
      </c>
    </row>
    <row r="595" customFormat="false" ht="15.8" hidden="false" customHeight="false" outlineLevel="0" collapsed="false">
      <c r="A595" s="1" t="n">
        <v>13</v>
      </c>
      <c r="B595" s="1" t="n">
        <v>2</v>
      </c>
      <c r="C595" s="1" t="n">
        <v>2.3</v>
      </c>
      <c r="D595" s="1" t="n">
        <v>1.2536</v>
      </c>
      <c r="E595" s="1" t="n">
        <v>0.0770491</v>
      </c>
      <c r="F595" s="1" t="n">
        <v>0.000209689</v>
      </c>
      <c r="G595" s="1" t="s">
        <v>37</v>
      </c>
      <c r="H595" s="1" t="n">
        <v>43.4</v>
      </c>
      <c r="I595" s="1" t="n">
        <v>319.7</v>
      </c>
      <c r="J595" s="1" t="n">
        <v>38.1</v>
      </c>
      <c r="K595" s="1" t="n">
        <v>129.7</v>
      </c>
      <c r="L595" s="1" t="n">
        <v>0</v>
      </c>
      <c r="M595" s="1" t="n">
        <v>0</v>
      </c>
      <c r="N595" s="1" t="s">
        <v>384</v>
      </c>
      <c r="Z595" s="0" t="n">
        <f aca="false">I595-3</f>
        <v>316.7</v>
      </c>
      <c r="AB595" s="0" t="n">
        <f aca="false">IF(Z595&lt;0,Z595+360,Z595+0)</f>
        <v>316.7</v>
      </c>
    </row>
    <row r="596" customFormat="false" ht="15.8" hidden="false" customHeight="false" outlineLevel="0" collapsed="false">
      <c r="A596" s="1" t="n">
        <v>13</v>
      </c>
      <c r="B596" s="1" t="n">
        <v>4</v>
      </c>
      <c r="C596" s="1" t="n">
        <v>1.2</v>
      </c>
      <c r="D596" s="1" t="n">
        <v>1.128</v>
      </c>
      <c r="E596" s="1" t="n">
        <v>0.0416762</v>
      </c>
      <c r="F596" s="1" t="n">
        <v>0.000113422</v>
      </c>
      <c r="G596" s="1" t="s">
        <v>27</v>
      </c>
      <c r="H596" s="1" t="n">
        <v>110.4</v>
      </c>
      <c r="I596" s="1" t="n">
        <v>337.3</v>
      </c>
      <c r="J596" s="1" t="n">
        <v>20</v>
      </c>
      <c r="K596" s="1"/>
      <c r="L596" s="1" t="n">
        <v>0</v>
      </c>
      <c r="M596" s="1" t="n">
        <v>0</v>
      </c>
      <c r="N596" s="1" t="s">
        <v>385</v>
      </c>
      <c r="Z596" s="0" t="n">
        <f aca="false">I596-3</f>
        <v>334.3</v>
      </c>
      <c r="AB596" s="0" t="n">
        <f aca="false">IF(Z596&lt;0,Z596+360,Z596+0)</f>
        <v>334.3</v>
      </c>
    </row>
    <row r="597" customFormat="false" ht="15.8" hidden="false" customHeight="false" outlineLevel="0" collapsed="false">
      <c r="A597" s="1" t="n">
        <v>13</v>
      </c>
      <c r="B597" s="1" t="n">
        <v>5</v>
      </c>
      <c r="C597" s="1" t="n">
        <v>2.3</v>
      </c>
      <c r="D597" s="1" t="n">
        <v>1.2111</v>
      </c>
      <c r="E597" s="1" t="n">
        <v>0.0788449</v>
      </c>
      <c r="F597" s="1" t="n">
        <v>0.000214576</v>
      </c>
      <c r="G597" s="1" t="s">
        <v>27</v>
      </c>
      <c r="H597" s="1" t="n">
        <v>117.7</v>
      </c>
      <c r="I597" s="1" t="n">
        <v>13.6</v>
      </c>
      <c r="J597" s="1" t="n">
        <v>0</v>
      </c>
      <c r="K597" s="1"/>
      <c r="L597" s="1" t="n">
        <v>0</v>
      </c>
      <c r="M597" s="1" t="n">
        <v>0</v>
      </c>
      <c r="N597" s="1" t="s">
        <v>386</v>
      </c>
      <c r="Z597" s="0" t="n">
        <f aca="false">I597-3</f>
        <v>10.6</v>
      </c>
      <c r="AB597" s="0" t="n">
        <f aca="false">IF(Z597&lt;0,Z597+360,Z597+0)</f>
        <v>10.6</v>
      </c>
    </row>
    <row r="598" customFormat="false" ht="15.8" hidden="false" customHeight="false" outlineLevel="0" collapsed="false">
      <c r="A598" s="1" t="n">
        <v>13</v>
      </c>
      <c r="B598" s="1" t="n">
        <v>7</v>
      </c>
      <c r="C598" s="1" t="n">
        <v>0.6</v>
      </c>
      <c r="D598" s="1" t="n">
        <v>1.1665</v>
      </c>
      <c r="E598" s="1" t="n">
        <v>0.0204398</v>
      </c>
      <c r="F598" s="1" t="n">
        <v>5.56267E-005</v>
      </c>
      <c r="G598" s="1" t="s">
        <v>27</v>
      </c>
      <c r="H598" s="1" t="n">
        <v>120.4</v>
      </c>
      <c r="I598" s="1" t="n">
        <v>312.5</v>
      </c>
      <c r="J598" s="1" t="n">
        <v>46.2</v>
      </c>
      <c r="K598" s="1"/>
      <c r="L598" s="1" t="n">
        <v>0</v>
      </c>
      <c r="M598" s="1" t="n">
        <v>0</v>
      </c>
      <c r="N598" s="1" t="s">
        <v>387</v>
      </c>
      <c r="Z598" s="0" t="n">
        <f aca="false">I598-3</f>
        <v>309.5</v>
      </c>
      <c r="AB598" s="0" t="n">
        <f aca="false">IF(Z598&lt;0,Z598+360,Z598+0)</f>
        <v>309.5</v>
      </c>
    </row>
    <row r="599" customFormat="false" ht="15.8" hidden="false" customHeight="false" outlineLevel="0" collapsed="false">
      <c r="A599" s="1" t="n">
        <v>13</v>
      </c>
      <c r="B599" s="1" t="n">
        <v>7</v>
      </c>
      <c r="C599" s="1" t="n">
        <v>1.3</v>
      </c>
      <c r="D599" s="1" t="n">
        <v>1.2873</v>
      </c>
      <c r="E599" s="1" t="n">
        <v>0.0443338</v>
      </c>
      <c r="F599" s="1" t="n">
        <v>0.000120654</v>
      </c>
      <c r="G599" s="1" t="s">
        <v>27</v>
      </c>
      <c r="H599" s="1" t="n">
        <v>32</v>
      </c>
      <c r="I599" s="1" t="n">
        <v>199.7</v>
      </c>
      <c r="J599" s="1" t="n">
        <v>21.6</v>
      </c>
      <c r="K599" s="1"/>
      <c r="L599" s="1" t="n">
        <v>0</v>
      </c>
      <c r="M599" s="1" t="n">
        <v>0</v>
      </c>
      <c r="N599" s="1" t="s">
        <v>387</v>
      </c>
      <c r="Z599" s="0" t="n">
        <f aca="false">I599-3</f>
        <v>196.7</v>
      </c>
      <c r="AB599" s="0" t="n">
        <f aca="false">IF(Z599&lt;0,Z599+360,Z599+0)</f>
        <v>196.7</v>
      </c>
    </row>
    <row r="600" customFormat="false" ht="15.8" hidden="false" customHeight="false" outlineLevel="0" collapsed="false">
      <c r="A600" s="1" t="n">
        <v>13</v>
      </c>
      <c r="B600" s="1" t="n">
        <v>6</v>
      </c>
      <c r="C600" s="1" t="n">
        <v>2.9</v>
      </c>
      <c r="D600" s="1" t="n">
        <v>1.646</v>
      </c>
      <c r="E600" s="1" t="n">
        <v>0.1002</v>
      </c>
      <c r="F600" s="1" t="n">
        <v>0.000272692</v>
      </c>
      <c r="G600" s="1" t="s">
        <v>37</v>
      </c>
      <c r="H600" s="1" t="n">
        <v>26.9</v>
      </c>
      <c r="I600" s="1" t="n">
        <v>175.4</v>
      </c>
      <c r="J600" s="1" t="n">
        <v>0</v>
      </c>
      <c r="K600" s="1" t="n">
        <v>120.4</v>
      </c>
      <c r="L600" s="1" t="n">
        <v>0</v>
      </c>
      <c r="M600" s="1" t="n">
        <v>0</v>
      </c>
      <c r="N600" s="1" t="s">
        <v>388</v>
      </c>
      <c r="Z600" s="0" t="n">
        <f aca="false">I600-3</f>
        <v>172.4</v>
      </c>
      <c r="AB600" s="0" t="n">
        <f aca="false">IF(Z600&lt;0,Z600+360,Z600+0)</f>
        <v>172.4</v>
      </c>
    </row>
    <row r="601" customFormat="false" ht="15.8" hidden="false" customHeight="false" outlineLevel="0" collapsed="false">
      <c r="A601" s="1" t="n">
        <v>13</v>
      </c>
      <c r="B601" s="1" t="n">
        <v>7</v>
      </c>
      <c r="C601" s="1" t="n">
        <v>0.5</v>
      </c>
      <c r="D601" s="1" t="n">
        <v>1.0428</v>
      </c>
      <c r="E601" s="1" t="n">
        <v>0.0183954</v>
      </c>
      <c r="F601" s="1" t="n">
        <v>5.00631E-005</v>
      </c>
      <c r="G601" s="1" t="s">
        <v>27</v>
      </c>
      <c r="H601" s="1" t="n">
        <v>104.2</v>
      </c>
      <c r="I601" s="1" t="n">
        <v>314.1</v>
      </c>
      <c r="J601" s="1" t="n">
        <v>0</v>
      </c>
      <c r="K601" s="1"/>
      <c r="L601" s="1" t="n">
        <v>0</v>
      </c>
      <c r="M601" s="1" t="n">
        <v>0</v>
      </c>
      <c r="N601" s="1" t="s">
        <v>389</v>
      </c>
      <c r="Z601" s="0" t="n">
        <f aca="false">I601-3</f>
        <v>311.1</v>
      </c>
      <c r="AB601" s="0" t="n">
        <f aca="false">IF(Z601&lt;0,Z601+360,Z601+0)</f>
        <v>311.1</v>
      </c>
    </row>
    <row r="602" customFormat="false" ht="15.8" hidden="false" customHeight="false" outlineLevel="0" collapsed="false">
      <c r="A602" s="1" t="n">
        <v>13</v>
      </c>
      <c r="B602" s="1" t="n">
        <v>10</v>
      </c>
      <c r="C602" s="1" t="n">
        <v>0.5</v>
      </c>
      <c r="D602" s="1" t="n">
        <v>1.0423</v>
      </c>
      <c r="E602" s="1" t="n">
        <v>0.0168348</v>
      </c>
      <c r="F602" s="1" t="n">
        <v>4.58158E-005</v>
      </c>
      <c r="G602" s="1" t="s">
        <v>27</v>
      </c>
      <c r="H602" s="1" t="n">
        <v>128.3</v>
      </c>
      <c r="I602" s="1" t="n">
        <v>334</v>
      </c>
      <c r="J602" s="1" t="n">
        <v>0</v>
      </c>
      <c r="K602" s="1"/>
      <c r="L602" s="1" t="n">
        <v>0</v>
      </c>
      <c r="M602" s="1" t="n">
        <v>0</v>
      </c>
      <c r="N602" s="1" t="s">
        <v>390</v>
      </c>
      <c r="Z602" s="0" t="n">
        <f aca="false">I602-3</f>
        <v>331</v>
      </c>
      <c r="AB602" s="0" t="n">
        <f aca="false">IF(Z602&lt;0,Z602+360,Z602+0)</f>
        <v>331</v>
      </c>
    </row>
    <row r="603" customFormat="false" ht="15.8" hidden="false" customHeight="false" outlineLevel="0" collapsed="false">
      <c r="A603" s="1" t="n">
        <v>13</v>
      </c>
      <c r="B603" s="1" t="n">
        <v>10</v>
      </c>
      <c r="C603" s="1" t="n">
        <v>0.6</v>
      </c>
      <c r="D603" s="1" t="n">
        <v>1.0255</v>
      </c>
      <c r="E603" s="1" t="n">
        <v>0.020354</v>
      </c>
      <c r="F603" s="1" t="n">
        <v>5.53933E-005</v>
      </c>
      <c r="G603" s="1" t="s">
        <v>27</v>
      </c>
      <c r="H603" s="1" t="n">
        <v>35.8</v>
      </c>
      <c r="I603" s="1" t="n">
        <v>203.2</v>
      </c>
      <c r="J603" s="1" t="n">
        <v>0</v>
      </c>
      <c r="K603" s="1"/>
      <c r="L603" s="1" t="n">
        <v>0</v>
      </c>
      <c r="M603" s="1" t="n">
        <v>0</v>
      </c>
      <c r="N603" s="1" t="s">
        <v>390</v>
      </c>
      <c r="Z603" s="0" t="n">
        <f aca="false">I603-3</f>
        <v>200.2</v>
      </c>
      <c r="AB603" s="0" t="n">
        <f aca="false">IF(Z603&lt;0,Z603+360,Z603+0)</f>
        <v>200.2</v>
      </c>
    </row>
    <row r="604" customFormat="false" ht="15.8" hidden="false" customHeight="false" outlineLevel="0" collapsed="false">
      <c r="A604" s="1" t="n">
        <v>13</v>
      </c>
      <c r="B604" s="1" t="n">
        <v>9</v>
      </c>
      <c r="C604" s="1" t="n">
        <v>1.7</v>
      </c>
      <c r="D604" s="1" t="n">
        <v>1.33</v>
      </c>
      <c r="E604" s="1" t="n">
        <v>0.0587577</v>
      </c>
      <c r="F604" s="1" t="n">
        <v>0.000159909</v>
      </c>
      <c r="G604" s="1" t="s">
        <v>37</v>
      </c>
      <c r="H604" s="1" t="n">
        <v>114.8</v>
      </c>
      <c r="I604" s="1" t="n">
        <v>194.9</v>
      </c>
      <c r="J604" s="1" t="n">
        <v>-34.9</v>
      </c>
      <c r="K604" s="1" t="n">
        <v>128.3</v>
      </c>
      <c r="L604" s="1" t="n">
        <v>0</v>
      </c>
      <c r="M604" s="1" t="n">
        <v>0</v>
      </c>
      <c r="N604" s="1" t="s">
        <v>391</v>
      </c>
      <c r="Z604" s="0" t="n">
        <f aca="false">I604-3</f>
        <v>191.9</v>
      </c>
      <c r="AB604" s="0" t="n">
        <f aca="false">IF(Z604&lt;0,Z604+360,Z604+0)</f>
        <v>191.9</v>
      </c>
    </row>
    <row r="605" customFormat="false" ht="15.8" hidden="false" customHeight="false" outlineLevel="0" collapsed="false">
      <c r="A605" s="1" t="n">
        <v>13</v>
      </c>
      <c r="B605" s="1" t="n">
        <v>9</v>
      </c>
      <c r="C605" s="1" t="n">
        <v>1.9</v>
      </c>
      <c r="D605" s="1" t="n">
        <v>1.3188</v>
      </c>
      <c r="E605" s="1" t="n">
        <v>0.0637184</v>
      </c>
      <c r="F605" s="1" t="n">
        <v>0.000173409</v>
      </c>
      <c r="G605" s="1" t="s">
        <v>27</v>
      </c>
      <c r="H605" s="1" t="n">
        <v>66</v>
      </c>
      <c r="I605" s="1" t="n">
        <v>218.5</v>
      </c>
      <c r="J605" s="1" t="n">
        <v>15.2</v>
      </c>
      <c r="K605" s="1"/>
      <c r="L605" s="1" t="n">
        <v>0</v>
      </c>
      <c r="M605" s="1" t="n">
        <v>0</v>
      </c>
      <c r="N605" s="1" t="s">
        <v>391</v>
      </c>
      <c r="Z605" s="0" t="n">
        <f aca="false">I605-3</f>
        <v>215.5</v>
      </c>
      <c r="AB605" s="0" t="n">
        <f aca="false">IF(Z605&lt;0,Z605+360,Z605+0)</f>
        <v>215.5</v>
      </c>
    </row>
    <row r="606" customFormat="false" ht="15.8" hidden="false" customHeight="false" outlineLevel="0" collapsed="false">
      <c r="A606" s="1" t="n">
        <v>13</v>
      </c>
      <c r="B606" s="1" t="n">
        <v>8</v>
      </c>
      <c r="C606" s="1" t="n">
        <v>0.8</v>
      </c>
      <c r="D606" s="1" t="n">
        <v>1.0715</v>
      </c>
      <c r="E606" s="1" t="n">
        <v>0.027547</v>
      </c>
      <c r="F606" s="1" t="n">
        <v>7.4969E-005</v>
      </c>
      <c r="G606" s="1" t="s">
        <v>37</v>
      </c>
      <c r="H606" s="1" t="n">
        <v>69.2</v>
      </c>
      <c r="I606" s="1" t="n">
        <v>189.5</v>
      </c>
      <c r="J606" s="1" t="n">
        <v>79.9</v>
      </c>
      <c r="K606" s="1" t="n">
        <v>114.8</v>
      </c>
      <c r="L606" s="1" t="n">
        <v>0</v>
      </c>
      <c r="M606" s="1" t="n">
        <v>0</v>
      </c>
      <c r="N606" s="1" t="s">
        <v>392</v>
      </c>
      <c r="Z606" s="0" t="n">
        <f aca="false">I606-3</f>
        <v>186.5</v>
      </c>
      <c r="AB606" s="0" t="n">
        <f aca="false">IF(Z606&lt;0,Z606+360,Z606+0)</f>
        <v>186.5</v>
      </c>
    </row>
    <row r="607" customFormat="false" ht="15.8" hidden="false" customHeight="false" outlineLevel="0" collapsed="false">
      <c r="A607" s="1" t="n">
        <v>13</v>
      </c>
      <c r="B607" s="1" t="n">
        <v>8</v>
      </c>
      <c r="C607" s="1" t="n">
        <v>2.9</v>
      </c>
      <c r="D607" s="1" t="n">
        <v>1.2573</v>
      </c>
      <c r="E607" s="1" t="n">
        <v>0.0976821</v>
      </c>
      <c r="F607" s="1" t="n">
        <v>0.000265841</v>
      </c>
      <c r="G607" s="1" t="s">
        <v>27</v>
      </c>
      <c r="H607" s="1" t="n">
        <v>33.3</v>
      </c>
      <c r="I607" s="1" t="n">
        <v>176.8</v>
      </c>
      <c r="J607" s="1" t="n">
        <v>-19</v>
      </c>
      <c r="K607" s="1"/>
      <c r="L607" s="1" t="n">
        <v>0</v>
      </c>
      <c r="M607" s="1" t="n">
        <v>0</v>
      </c>
      <c r="N607" s="1" t="s">
        <v>392</v>
      </c>
      <c r="Z607" s="0" t="n">
        <f aca="false">I607-3</f>
        <v>173.8</v>
      </c>
      <c r="AB607" s="0" t="n">
        <f aca="false">IF(Z607&lt;0,Z607+360,Z607+0)</f>
        <v>173.8</v>
      </c>
    </row>
    <row r="608" customFormat="false" ht="15.8" hidden="false" customHeight="false" outlineLevel="0" collapsed="false">
      <c r="A608" s="1" t="n">
        <v>13</v>
      </c>
      <c r="B608" s="1" t="n">
        <v>7</v>
      </c>
      <c r="C608" s="1" t="n">
        <v>12.4</v>
      </c>
      <c r="D608" s="1" t="n">
        <v>1.2437</v>
      </c>
      <c r="E608" s="1" t="n">
        <v>0.42501</v>
      </c>
      <c r="F608" s="1" t="n">
        <v>0.00115666</v>
      </c>
      <c r="G608" s="1" t="s">
        <v>37</v>
      </c>
      <c r="H608" s="1" t="n">
        <v>23.2</v>
      </c>
      <c r="I608" s="1" t="n">
        <v>192.1</v>
      </c>
      <c r="J608" s="1" t="n">
        <v>10.7</v>
      </c>
      <c r="K608" s="1" t="n">
        <v>69.2</v>
      </c>
      <c r="L608" s="1" t="n">
        <v>0</v>
      </c>
      <c r="M608" s="1" t="n">
        <v>0</v>
      </c>
      <c r="N608" s="1" t="s">
        <v>389</v>
      </c>
      <c r="Z608" s="0" t="n">
        <f aca="false">I608-3</f>
        <v>189.1</v>
      </c>
      <c r="AB608" s="0" t="n">
        <f aca="false">IF(Z608&lt;0,Z608+360,Z608+0)</f>
        <v>189.1</v>
      </c>
    </row>
    <row r="609" customFormat="false" ht="15.8" hidden="false" customHeight="false" outlineLevel="0" collapsed="false">
      <c r="A609" s="1" t="n">
        <v>13</v>
      </c>
      <c r="B609" s="1" t="n">
        <v>6</v>
      </c>
      <c r="C609" s="1" t="n">
        <v>1.9</v>
      </c>
      <c r="D609" s="1" t="n">
        <v>1.2389</v>
      </c>
      <c r="E609" s="1" t="n">
        <v>0.065911</v>
      </c>
      <c r="F609" s="1" t="n">
        <v>0.000179376</v>
      </c>
      <c r="G609" s="1" t="s">
        <v>37</v>
      </c>
      <c r="H609" s="1" t="n">
        <v>28.9</v>
      </c>
      <c r="I609" s="1" t="n">
        <v>208</v>
      </c>
      <c r="J609" s="1" t="n">
        <v>28.4</v>
      </c>
      <c r="K609" s="1" t="n">
        <v>104.2</v>
      </c>
      <c r="L609" s="1" t="n">
        <v>0</v>
      </c>
      <c r="M609" s="1" t="n">
        <v>0</v>
      </c>
      <c r="N609" s="1" t="s">
        <v>388</v>
      </c>
      <c r="Z609" s="0" t="n">
        <f aca="false">I609-3</f>
        <v>205</v>
      </c>
      <c r="AB609" s="0" t="n">
        <f aca="false">IF(Z609&lt;0,Z609+360,Z609+0)</f>
        <v>205</v>
      </c>
    </row>
    <row r="610" customFormat="false" ht="15.8" hidden="false" customHeight="false" outlineLevel="0" collapsed="false">
      <c r="A610" s="1" t="n">
        <v>13</v>
      </c>
      <c r="B610" s="1" t="n">
        <v>5</v>
      </c>
      <c r="C610" s="1" t="n">
        <v>0.8</v>
      </c>
      <c r="D610" s="1" t="n">
        <v>1.0146</v>
      </c>
      <c r="E610" s="1" t="n">
        <v>0.0277767</v>
      </c>
      <c r="F610" s="1" t="n">
        <v>7.55941E-005</v>
      </c>
      <c r="G610" s="1" t="s">
        <v>37</v>
      </c>
      <c r="H610" s="1" t="n">
        <v>70</v>
      </c>
      <c r="I610" s="1" t="n">
        <v>202.4</v>
      </c>
      <c r="J610" s="1" t="n">
        <v>0</v>
      </c>
      <c r="K610" s="1" t="n">
        <v>28.9</v>
      </c>
      <c r="L610" s="1" t="n">
        <v>0</v>
      </c>
      <c r="M610" s="1" t="n">
        <v>0</v>
      </c>
      <c r="N610" s="1" t="s">
        <v>386</v>
      </c>
      <c r="Z610" s="0" t="n">
        <f aca="false">I610-3</f>
        <v>199.4</v>
      </c>
      <c r="AB610" s="0" t="n">
        <f aca="false">IF(Z610&lt;0,Z610+360,Z610+0)</f>
        <v>199.4</v>
      </c>
    </row>
    <row r="611" customFormat="false" ht="15.8" hidden="false" customHeight="false" outlineLevel="0" collapsed="false">
      <c r="A611" s="1" t="n">
        <v>13</v>
      </c>
      <c r="B611" s="1" t="n">
        <v>4</v>
      </c>
      <c r="C611" s="1" t="n">
        <v>1</v>
      </c>
      <c r="D611" s="1" t="n">
        <v>1.171</v>
      </c>
      <c r="E611" s="1" t="n">
        <v>0.0325432</v>
      </c>
      <c r="F611" s="1" t="n">
        <v>8.8566E-005</v>
      </c>
      <c r="G611" s="1" t="s">
        <v>37</v>
      </c>
      <c r="H611" s="1" t="n">
        <v>28.9</v>
      </c>
      <c r="I611" s="1" t="n">
        <v>135</v>
      </c>
      <c r="J611" s="1" t="n">
        <v>27.1</v>
      </c>
      <c r="K611" s="1" t="n">
        <v>117.7</v>
      </c>
      <c r="L611" s="1" t="n">
        <v>0</v>
      </c>
      <c r="M611" s="1" t="n">
        <v>0</v>
      </c>
      <c r="N611" s="1" t="s">
        <v>385</v>
      </c>
      <c r="Z611" s="0" t="n">
        <f aca="false">I611-3</f>
        <v>132</v>
      </c>
      <c r="AB611" s="0" t="n">
        <f aca="false">IF(Z611&lt;0,Z611+360,Z611+0)</f>
        <v>132</v>
      </c>
    </row>
    <row r="612" customFormat="false" ht="15.8" hidden="false" customHeight="false" outlineLevel="0" collapsed="false">
      <c r="A612" s="1" t="n">
        <v>13</v>
      </c>
      <c r="B612" s="1" t="n">
        <v>3</v>
      </c>
      <c r="C612" s="1" t="n">
        <v>2.4</v>
      </c>
      <c r="D612" s="1" t="n">
        <v>1.369</v>
      </c>
      <c r="E612" s="1" t="n">
        <v>0.0814313</v>
      </c>
      <c r="F612" s="1" t="n">
        <v>0.000221615</v>
      </c>
      <c r="G612" s="1" t="s">
        <v>37</v>
      </c>
      <c r="H612" s="1" t="n">
        <v>61.7</v>
      </c>
      <c r="I612" s="1" t="n">
        <v>102.8</v>
      </c>
      <c r="J612" s="1" t="n">
        <v>25.2</v>
      </c>
      <c r="K612" s="1" t="n">
        <v>110.4</v>
      </c>
      <c r="L612" s="1" t="n">
        <v>0</v>
      </c>
      <c r="M612" s="1" t="n">
        <v>0</v>
      </c>
      <c r="N612" s="1" t="s">
        <v>393</v>
      </c>
      <c r="Z612" s="0" t="n">
        <f aca="false">I612-3</f>
        <v>99.8</v>
      </c>
      <c r="AB612" s="0" t="n">
        <f aca="false">IF(Z612&lt;0,Z612+360,Z612+0)</f>
        <v>99.8</v>
      </c>
    </row>
    <row r="613" customFormat="false" ht="15.8" hidden="false" customHeight="false" outlineLevel="0" collapsed="false">
      <c r="A613" s="1" t="n">
        <v>13</v>
      </c>
      <c r="B613" s="1" t="n">
        <v>4</v>
      </c>
      <c r="C613" s="1" t="n">
        <v>4.6</v>
      </c>
      <c r="D613" s="1" t="n">
        <v>1.2379</v>
      </c>
      <c r="E613" s="1" t="n">
        <v>0.158481</v>
      </c>
      <c r="F613" s="1" t="n">
        <v>0.000431304</v>
      </c>
      <c r="G613" s="1" t="s">
        <v>27</v>
      </c>
      <c r="H613" s="1" t="n">
        <v>64.1</v>
      </c>
      <c r="I613" s="1" t="n">
        <v>64.6</v>
      </c>
      <c r="J613" s="1" t="n">
        <v>-5.7</v>
      </c>
      <c r="K613" s="1"/>
      <c r="L613" s="1" t="n">
        <v>0</v>
      </c>
      <c r="M613" s="1" t="n">
        <v>0</v>
      </c>
      <c r="N613" s="1" t="s">
        <v>394</v>
      </c>
      <c r="Z613" s="0" t="n">
        <f aca="false">I613-3</f>
        <v>61.6</v>
      </c>
      <c r="AB613" s="0" t="n">
        <f aca="false">IF(Z613&lt;0,Z613+360,Z613+0)</f>
        <v>61.6</v>
      </c>
    </row>
    <row r="614" customFormat="false" ht="15.8" hidden="false" customHeight="false" outlineLevel="0" collapsed="false">
      <c r="A614" s="1" t="n">
        <v>13</v>
      </c>
      <c r="B614" s="1" t="n">
        <v>5</v>
      </c>
      <c r="C614" s="1" t="n">
        <v>0.7</v>
      </c>
      <c r="D614" s="1" t="n">
        <v>1.0637</v>
      </c>
      <c r="E614" s="1" t="n">
        <v>0.0239083</v>
      </c>
      <c r="F614" s="1" t="n">
        <v>6.50662E-005</v>
      </c>
      <c r="G614" s="1" t="s">
        <v>27</v>
      </c>
      <c r="H614" s="1" t="n">
        <v>76.2</v>
      </c>
      <c r="I614" s="1" t="n">
        <v>116.6</v>
      </c>
      <c r="J614" s="1" t="n">
        <v>0</v>
      </c>
      <c r="K614" s="1"/>
      <c r="L614" s="1" t="n">
        <v>0</v>
      </c>
      <c r="M614" s="1" t="n">
        <v>0</v>
      </c>
      <c r="N614" s="1" t="s">
        <v>395</v>
      </c>
      <c r="Z614" s="0" t="n">
        <f aca="false">I614-3</f>
        <v>113.6</v>
      </c>
      <c r="AB614" s="0" t="n">
        <f aca="false">IF(Z614&lt;0,Z614+360,Z614+0)</f>
        <v>113.6</v>
      </c>
    </row>
    <row r="615" customFormat="false" ht="15.8" hidden="false" customHeight="false" outlineLevel="0" collapsed="false">
      <c r="A615" s="1" t="n">
        <v>13</v>
      </c>
      <c r="B615" s="1" t="n">
        <v>6</v>
      </c>
      <c r="C615" s="1" t="n">
        <v>0.5</v>
      </c>
      <c r="D615" s="1" t="n">
        <v>1.0164</v>
      </c>
      <c r="E615" s="1" t="n">
        <v>0.0156015</v>
      </c>
      <c r="F615" s="1" t="n">
        <v>4.24594E-005</v>
      </c>
      <c r="G615" s="1" t="s">
        <v>27</v>
      </c>
      <c r="H615" s="1" t="n">
        <v>62.3</v>
      </c>
      <c r="I615" s="1" t="n">
        <v>284</v>
      </c>
      <c r="J615" s="1" t="n">
        <v>0</v>
      </c>
      <c r="K615" s="1"/>
      <c r="L615" s="1" t="n">
        <v>0</v>
      </c>
      <c r="M615" s="1" t="n">
        <v>0</v>
      </c>
      <c r="N615" s="1" t="s">
        <v>396</v>
      </c>
      <c r="Z615" s="0" t="n">
        <f aca="false">I615-3</f>
        <v>281</v>
      </c>
      <c r="AB615" s="0" t="n">
        <f aca="false">IF(Z615&lt;0,Z615+360,Z615+0)</f>
        <v>281</v>
      </c>
    </row>
    <row r="616" customFormat="false" ht="15.8" hidden="false" customHeight="false" outlineLevel="0" collapsed="false">
      <c r="A616" s="1" t="n">
        <v>13</v>
      </c>
      <c r="B616" s="1" t="n">
        <v>8</v>
      </c>
      <c r="C616" s="1" t="n">
        <v>1.8</v>
      </c>
      <c r="D616" s="1" t="n">
        <v>1.2119</v>
      </c>
      <c r="E616" s="1" t="n">
        <v>0.0624623</v>
      </c>
      <c r="F616" s="1" t="n">
        <v>0.000169991</v>
      </c>
      <c r="G616" s="1" t="s">
        <v>27</v>
      </c>
      <c r="H616" s="1" t="n">
        <v>47.7</v>
      </c>
      <c r="I616" s="1" t="n">
        <v>6.7</v>
      </c>
      <c r="J616" s="1" t="n">
        <v>-47.4</v>
      </c>
      <c r="K616" s="1"/>
      <c r="L616" s="1" t="n">
        <v>0</v>
      </c>
      <c r="M616" s="1" t="n">
        <v>0</v>
      </c>
      <c r="N616" s="1" t="s">
        <v>397</v>
      </c>
      <c r="Z616" s="0" t="n">
        <f aca="false">I616-3</f>
        <v>3.7</v>
      </c>
      <c r="AB616" s="0" t="n">
        <f aca="false">IF(Z616&lt;0,Z616+360,Z616+0)</f>
        <v>3.7</v>
      </c>
    </row>
    <row r="617" customFormat="false" ht="15.8" hidden="false" customHeight="false" outlineLevel="0" collapsed="false">
      <c r="A617" s="1" t="n">
        <v>13</v>
      </c>
      <c r="B617" s="1" t="n">
        <v>10</v>
      </c>
      <c r="C617" s="1" t="n">
        <v>1.9</v>
      </c>
      <c r="D617" s="1" t="n">
        <v>1.3613</v>
      </c>
      <c r="E617" s="1" t="n">
        <v>0.0661476</v>
      </c>
      <c r="F617" s="1" t="n">
        <v>0.00018002</v>
      </c>
      <c r="G617" s="1" t="s">
        <v>27</v>
      </c>
      <c r="H617" s="1" t="n">
        <v>146.7</v>
      </c>
      <c r="I617" s="1" t="n">
        <v>270.9</v>
      </c>
      <c r="J617" s="1" t="n">
        <v>-15.1</v>
      </c>
      <c r="K617" s="1"/>
      <c r="L617" s="1" t="n">
        <v>0</v>
      </c>
      <c r="M617" s="1" t="n">
        <v>0</v>
      </c>
      <c r="N617" s="1" t="s">
        <v>398</v>
      </c>
      <c r="Z617" s="0" t="n">
        <f aca="false">I617-3</f>
        <v>267.9</v>
      </c>
      <c r="AB617" s="0" t="n">
        <f aca="false">IF(Z617&lt;0,Z617+360,Z617+0)</f>
        <v>267.9</v>
      </c>
    </row>
    <row r="618" customFormat="false" ht="15.8" hidden="false" customHeight="false" outlineLevel="0" collapsed="false">
      <c r="A618" s="1" t="n">
        <v>13</v>
      </c>
      <c r="B618" s="1" t="n">
        <v>11</v>
      </c>
      <c r="C618" s="1" t="n">
        <v>4.1</v>
      </c>
      <c r="D618" s="1" t="n">
        <v>1.1666</v>
      </c>
      <c r="E618" s="1" t="n">
        <v>0.140231</v>
      </c>
      <c r="F618" s="1" t="n">
        <v>0.000381637</v>
      </c>
      <c r="G618" s="1" t="s">
        <v>27</v>
      </c>
      <c r="H618" s="1" t="n">
        <v>71.5</v>
      </c>
      <c r="I618" s="1" t="n">
        <v>47.3</v>
      </c>
      <c r="J618" s="1" t="n">
        <v>12.2</v>
      </c>
      <c r="K618" s="1"/>
      <c r="L618" s="1" t="n">
        <v>0</v>
      </c>
      <c r="M618" s="1" t="n">
        <v>0</v>
      </c>
      <c r="N618" s="1" t="s">
        <v>399</v>
      </c>
      <c r="Z618" s="0" t="n">
        <f aca="false">I618-3</f>
        <v>44.3</v>
      </c>
      <c r="AB618" s="0" t="n">
        <f aca="false">IF(Z618&lt;0,Z618+360,Z618+0)</f>
        <v>44.3</v>
      </c>
    </row>
    <row r="619" customFormat="false" ht="15.8" hidden="false" customHeight="false" outlineLevel="0" collapsed="false">
      <c r="A619" s="1" t="n">
        <v>13</v>
      </c>
      <c r="B619" s="1" t="n">
        <v>13</v>
      </c>
      <c r="C619" s="1" t="n">
        <v>1</v>
      </c>
      <c r="D619" s="1" t="n">
        <v>1.2724</v>
      </c>
      <c r="E619" s="1" t="n">
        <v>0.0352966</v>
      </c>
      <c r="F619" s="1" t="n">
        <v>9.60594E-005</v>
      </c>
      <c r="G619" s="1" t="s">
        <v>27</v>
      </c>
      <c r="H619" s="1" t="n">
        <v>7.9</v>
      </c>
      <c r="I619" s="1" t="n">
        <v>293.1</v>
      </c>
      <c r="J619" s="1" t="n">
        <v>-27.1</v>
      </c>
      <c r="K619" s="1"/>
      <c r="L619" s="1" t="n">
        <v>0</v>
      </c>
      <c r="M619" s="1" t="n">
        <v>0</v>
      </c>
      <c r="N619" s="1" t="s">
        <v>400</v>
      </c>
      <c r="Z619" s="0" t="n">
        <f aca="false">I619-3</f>
        <v>290.1</v>
      </c>
      <c r="AB619" s="0" t="n">
        <f aca="false">IF(Z619&lt;0,Z619+360,Z619+0)</f>
        <v>290.1</v>
      </c>
    </row>
    <row r="620" customFormat="false" ht="15.8" hidden="false" customHeight="false" outlineLevel="0" collapsed="false">
      <c r="A620" s="1" t="n">
        <v>13</v>
      </c>
      <c r="B620" s="1" t="n">
        <v>13</v>
      </c>
      <c r="C620" s="1" t="n">
        <v>1</v>
      </c>
      <c r="D620" s="1" t="n">
        <v>1.4095</v>
      </c>
      <c r="E620" s="1" t="n">
        <v>0.0352747</v>
      </c>
      <c r="F620" s="1" t="n">
        <v>9.59998E-005</v>
      </c>
      <c r="G620" s="1" t="s">
        <v>27</v>
      </c>
      <c r="H620" s="1" t="n">
        <v>65</v>
      </c>
      <c r="I620" s="1" t="n">
        <v>226.4</v>
      </c>
      <c r="J620" s="1" t="n">
        <v>-30.4</v>
      </c>
      <c r="K620" s="1"/>
      <c r="L620" s="1" t="n">
        <v>0</v>
      </c>
      <c r="M620" s="1" t="n">
        <v>0</v>
      </c>
      <c r="N620" s="1" t="s">
        <v>400</v>
      </c>
      <c r="Z620" s="0" t="n">
        <f aca="false">I620-3</f>
        <v>223.4</v>
      </c>
      <c r="AB620" s="0" t="n">
        <f aca="false">IF(Z620&lt;0,Z620+360,Z620+0)</f>
        <v>223.4</v>
      </c>
    </row>
    <row r="621" customFormat="false" ht="15.8" hidden="false" customHeight="false" outlineLevel="0" collapsed="false">
      <c r="A621" s="1" t="n">
        <v>13</v>
      </c>
      <c r="B621" s="1" t="n">
        <v>12</v>
      </c>
      <c r="C621" s="1" t="n">
        <v>1.2</v>
      </c>
      <c r="D621" s="1" t="n">
        <v>1.1981</v>
      </c>
      <c r="E621" s="1" t="n">
        <v>0.0412291</v>
      </c>
      <c r="F621" s="1" t="n">
        <v>0.000112205</v>
      </c>
      <c r="G621" s="1" t="s">
        <v>37</v>
      </c>
      <c r="H621" s="1" t="n">
        <v>122.3</v>
      </c>
      <c r="I621" s="1" t="n">
        <v>299.2</v>
      </c>
      <c r="J621" s="1" t="n">
        <v>-21.6</v>
      </c>
      <c r="K621" s="1" t="n">
        <v>65</v>
      </c>
      <c r="L621" s="1" t="n">
        <v>0</v>
      </c>
      <c r="M621" s="1" t="n">
        <v>0</v>
      </c>
      <c r="N621" s="1" t="s">
        <v>401</v>
      </c>
      <c r="Z621" s="0" t="n">
        <f aca="false">I621-3</f>
        <v>296.2</v>
      </c>
      <c r="AB621" s="0" t="n">
        <f aca="false">IF(Z621&lt;0,Z621+360,Z621+0)</f>
        <v>296.2</v>
      </c>
    </row>
    <row r="622" customFormat="false" ht="15.8" hidden="false" customHeight="false" outlineLevel="0" collapsed="false">
      <c r="A622" s="1" t="n">
        <v>13</v>
      </c>
      <c r="B622" s="1" t="n">
        <v>12</v>
      </c>
      <c r="C622" s="1" t="n">
        <v>6.2</v>
      </c>
      <c r="D622" s="1" t="n">
        <v>1.2564</v>
      </c>
      <c r="E622" s="1" t="n">
        <v>0.210946</v>
      </c>
      <c r="F622" s="1" t="n">
        <v>0.000574087</v>
      </c>
      <c r="G622" s="1" t="s">
        <v>27</v>
      </c>
      <c r="H622" s="1" t="n">
        <v>108.6</v>
      </c>
      <c r="I622" s="1" t="n">
        <v>14.1</v>
      </c>
      <c r="J622" s="1" t="n">
        <v>17.5</v>
      </c>
      <c r="K622" s="1"/>
      <c r="L622" s="1" t="n">
        <v>0</v>
      </c>
      <c r="M622" s="1" t="n">
        <v>0</v>
      </c>
      <c r="N622" s="1" t="s">
        <v>401</v>
      </c>
      <c r="Z622" s="0" t="n">
        <f aca="false">I622-3</f>
        <v>11.1</v>
      </c>
      <c r="AB622" s="0" t="n">
        <f aca="false">IF(Z622&lt;0,Z622+360,Z622+0)</f>
        <v>11.1</v>
      </c>
    </row>
    <row r="623" customFormat="false" ht="15.8" hidden="false" customHeight="false" outlineLevel="0" collapsed="false">
      <c r="A623" s="1" t="n">
        <v>13</v>
      </c>
      <c r="B623" s="1" t="n">
        <v>13</v>
      </c>
      <c r="C623" s="1" t="n">
        <v>0.7</v>
      </c>
      <c r="D623" s="1" t="n">
        <v>1.0123</v>
      </c>
      <c r="E623" s="1" t="n">
        <v>0.0234325</v>
      </c>
      <c r="F623" s="1" t="n">
        <v>6.37715E-005</v>
      </c>
      <c r="G623" s="1" t="s">
        <v>27</v>
      </c>
      <c r="H623" s="1" t="n">
        <v>117.6</v>
      </c>
      <c r="I623" s="1" t="n">
        <v>62.2</v>
      </c>
      <c r="J623" s="1" t="n">
        <v>0</v>
      </c>
      <c r="K623" s="1"/>
      <c r="L623" s="1" t="n">
        <v>0</v>
      </c>
      <c r="M623" s="1" t="n">
        <v>0</v>
      </c>
      <c r="N623" s="1" t="s">
        <v>402</v>
      </c>
      <c r="Z623" s="0" t="n">
        <f aca="false">I623-3</f>
        <v>59.2</v>
      </c>
      <c r="AB623" s="0" t="n">
        <f aca="false">IF(Z623&lt;0,Z623+360,Z623+0)</f>
        <v>59.2</v>
      </c>
    </row>
    <row r="624" customFormat="false" ht="15.8" hidden="false" customHeight="false" outlineLevel="0" collapsed="false">
      <c r="A624" s="1" t="n">
        <v>13</v>
      </c>
      <c r="B624" s="1" t="n">
        <v>13</v>
      </c>
      <c r="C624" s="1" t="n">
        <v>1</v>
      </c>
      <c r="D624" s="1" t="n">
        <v>1.2298</v>
      </c>
      <c r="E624" s="1" t="n">
        <v>0.0334214</v>
      </c>
      <c r="F624" s="1" t="n">
        <v>9.09562E-005</v>
      </c>
      <c r="G624" s="1" t="s">
        <v>27</v>
      </c>
      <c r="H624" s="1" t="n">
        <v>90.3</v>
      </c>
      <c r="I624" s="1" t="n">
        <v>90</v>
      </c>
      <c r="J624" s="1" t="n">
        <v>0</v>
      </c>
      <c r="K624" s="1"/>
      <c r="L624" s="1" t="n">
        <v>0</v>
      </c>
      <c r="M624" s="1" t="n">
        <v>0</v>
      </c>
      <c r="N624" s="1" t="s">
        <v>402</v>
      </c>
      <c r="Z624" s="0" t="n">
        <f aca="false">I624-3</f>
        <v>87</v>
      </c>
      <c r="AB624" s="0" t="n">
        <f aca="false">IF(Z624&lt;0,Z624+360,Z624+0)</f>
        <v>87</v>
      </c>
    </row>
    <row r="625" customFormat="false" ht="15.8" hidden="false" customHeight="false" outlineLevel="0" collapsed="false">
      <c r="A625" s="1" t="n">
        <v>13</v>
      </c>
      <c r="B625" s="1" t="n">
        <v>14</v>
      </c>
      <c r="C625" s="1" t="n">
        <v>1.9</v>
      </c>
      <c r="D625" s="1" t="n">
        <v>1.5023</v>
      </c>
      <c r="E625" s="1" t="n">
        <v>0.0645654</v>
      </c>
      <c r="F625" s="1" t="n">
        <v>0.000175714</v>
      </c>
      <c r="G625" s="1" t="s">
        <v>27</v>
      </c>
      <c r="H625" s="1" t="n">
        <v>72.9</v>
      </c>
      <c r="I625" s="1" t="n">
        <v>135.7</v>
      </c>
      <c r="J625" s="1" t="n">
        <v>17.1</v>
      </c>
      <c r="K625" s="1"/>
      <c r="L625" s="1" t="n">
        <v>0</v>
      </c>
      <c r="M625" s="1" t="n">
        <v>0</v>
      </c>
      <c r="N625" s="1" t="s">
        <v>403</v>
      </c>
      <c r="Z625" s="0" t="n">
        <f aca="false">I625-3</f>
        <v>132.7</v>
      </c>
      <c r="AB625" s="0" t="n">
        <f aca="false">IF(Z625&lt;0,Z625+360,Z625+0)</f>
        <v>132.7</v>
      </c>
    </row>
    <row r="626" customFormat="false" ht="15.8" hidden="false" customHeight="false" outlineLevel="0" collapsed="false">
      <c r="A626" s="1" t="n">
        <v>13</v>
      </c>
      <c r="B626" s="1" t="n">
        <v>15</v>
      </c>
      <c r="C626" s="1" t="n">
        <v>0.7</v>
      </c>
      <c r="D626" s="1" t="n">
        <v>1.2209</v>
      </c>
      <c r="E626" s="1" t="n">
        <v>0.0254709</v>
      </c>
      <c r="F626" s="1" t="n">
        <v>6.93188E-005</v>
      </c>
      <c r="G626" s="1" t="s">
        <v>27</v>
      </c>
      <c r="H626" s="1" t="n">
        <v>33</v>
      </c>
      <c r="I626" s="1" t="n">
        <v>225.9</v>
      </c>
      <c r="J626" s="1" t="n">
        <v>-37.3</v>
      </c>
      <c r="K626" s="1"/>
      <c r="L626" s="1" t="n">
        <v>0</v>
      </c>
      <c r="M626" s="1" t="n">
        <v>0</v>
      </c>
      <c r="N626" s="1" t="s">
        <v>404</v>
      </c>
      <c r="Z626" s="0" t="n">
        <f aca="false">I626-3</f>
        <v>222.9</v>
      </c>
      <c r="AB626" s="0" t="n">
        <f aca="false">IF(Z626&lt;0,Z626+360,Z626+0)</f>
        <v>222.9</v>
      </c>
    </row>
    <row r="627" customFormat="false" ht="15.8" hidden="false" customHeight="false" outlineLevel="0" collapsed="false">
      <c r="A627" s="1" t="n">
        <v>13</v>
      </c>
      <c r="B627" s="1" t="n">
        <v>15</v>
      </c>
      <c r="C627" s="1" t="n">
        <v>0.8</v>
      </c>
      <c r="D627" s="1" t="n">
        <v>1.2437</v>
      </c>
      <c r="E627" s="1" t="n">
        <v>0.0284733</v>
      </c>
      <c r="F627" s="1" t="n">
        <v>7.74897E-005</v>
      </c>
      <c r="G627" s="1" t="s">
        <v>27</v>
      </c>
      <c r="H627" s="1" t="n">
        <v>65.2</v>
      </c>
      <c r="I627" s="1" t="n">
        <v>163</v>
      </c>
      <c r="J627" s="1" t="n">
        <v>33.6</v>
      </c>
      <c r="K627" s="1"/>
      <c r="L627" s="1" t="n">
        <v>0</v>
      </c>
      <c r="M627" s="1" t="n">
        <v>0</v>
      </c>
      <c r="N627" s="1" t="s">
        <v>404</v>
      </c>
      <c r="Z627" s="0" t="n">
        <f aca="false">I627-3</f>
        <v>160</v>
      </c>
      <c r="AB627" s="0" t="n">
        <f aca="false">IF(Z627&lt;0,Z627+360,Z627+0)</f>
        <v>160</v>
      </c>
    </row>
    <row r="628" customFormat="false" ht="15.8" hidden="false" customHeight="false" outlineLevel="0" collapsed="false">
      <c r="A628" s="1" t="n">
        <v>13</v>
      </c>
      <c r="B628" s="1" t="n">
        <v>14</v>
      </c>
      <c r="C628" s="1" t="n">
        <v>1</v>
      </c>
      <c r="D628" s="1" t="n">
        <v>1.2716</v>
      </c>
      <c r="E628" s="1" t="n">
        <v>0.0354637</v>
      </c>
      <c r="F628" s="1" t="n">
        <v>9.65141E-005</v>
      </c>
      <c r="G628" s="1" t="s">
        <v>37</v>
      </c>
      <c r="H628" s="1" t="n">
        <v>50</v>
      </c>
      <c r="I628" s="1" t="n">
        <v>188.6</v>
      </c>
      <c r="J628" s="1" t="n">
        <v>-27</v>
      </c>
      <c r="K628" s="1" t="n">
        <v>65.2</v>
      </c>
      <c r="L628" s="1" t="n">
        <v>0</v>
      </c>
      <c r="M628" s="1" t="n">
        <v>0</v>
      </c>
      <c r="N628" s="1" t="s">
        <v>403</v>
      </c>
      <c r="Z628" s="0" t="n">
        <f aca="false">I628-3</f>
        <v>185.6</v>
      </c>
      <c r="AB628" s="0" t="n">
        <f aca="false">IF(Z628&lt;0,Z628+360,Z628+0)</f>
        <v>185.6</v>
      </c>
    </row>
    <row r="629" customFormat="false" ht="15.8" hidden="false" customHeight="false" outlineLevel="0" collapsed="false">
      <c r="A629" s="1" t="n">
        <v>13</v>
      </c>
      <c r="B629" s="1" t="n">
        <v>13</v>
      </c>
      <c r="C629" s="1" t="n">
        <v>4.7</v>
      </c>
      <c r="D629" s="1" t="n">
        <v>1.2479</v>
      </c>
      <c r="E629" s="1" t="n">
        <v>0.15952</v>
      </c>
      <c r="F629" s="1" t="n">
        <v>0.000434133</v>
      </c>
      <c r="G629" s="1" t="s">
        <v>37</v>
      </c>
      <c r="H629" s="1" t="n">
        <v>32.1</v>
      </c>
      <c r="I629" s="1" t="n">
        <v>212.7</v>
      </c>
      <c r="J629" s="1" t="n">
        <v>17.3</v>
      </c>
      <c r="K629" s="1" t="n">
        <v>72.9</v>
      </c>
      <c r="L629" s="1" t="n">
        <v>0</v>
      </c>
      <c r="M629" s="1" t="n">
        <v>0</v>
      </c>
      <c r="N629" s="1" t="s">
        <v>402</v>
      </c>
      <c r="Z629" s="0" t="n">
        <f aca="false">I629-3</f>
        <v>209.7</v>
      </c>
      <c r="AB629" s="0" t="n">
        <f aca="false">IF(Z629&lt;0,Z629+360,Z629+0)</f>
        <v>209.7</v>
      </c>
    </row>
    <row r="630" customFormat="false" ht="15.8" hidden="false" customHeight="false" outlineLevel="0" collapsed="false">
      <c r="A630" s="1" t="n">
        <v>13</v>
      </c>
      <c r="B630" s="1" t="n">
        <v>12</v>
      </c>
      <c r="C630" s="1" t="n">
        <v>2.5</v>
      </c>
      <c r="D630" s="1" t="n">
        <v>1.1967</v>
      </c>
      <c r="E630" s="1" t="n">
        <v>0.0842323</v>
      </c>
      <c r="F630" s="1" t="n">
        <v>0.000229238</v>
      </c>
      <c r="G630" s="1" t="s">
        <v>37</v>
      </c>
      <c r="H630" s="1" t="n">
        <v>43</v>
      </c>
      <c r="I630" s="1" t="n">
        <v>180.3</v>
      </c>
      <c r="J630" s="1" t="n">
        <v>10.4</v>
      </c>
      <c r="K630" s="1" t="n">
        <v>117.6</v>
      </c>
      <c r="L630" s="1" t="n">
        <v>0</v>
      </c>
      <c r="M630" s="1" t="n">
        <v>0</v>
      </c>
      <c r="N630" s="1" t="s">
        <v>401</v>
      </c>
      <c r="Z630" s="0" t="n">
        <f aca="false">I630-3</f>
        <v>177.3</v>
      </c>
      <c r="AB630" s="0" t="n">
        <f aca="false">IF(Z630&lt;0,Z630+360,Z630+0)</f>
        <v>177.3</v>
      </c>
    </row>
    <row r="631" customFormat="false" ht="15.8" hidden="false" customHeight="false" outlineLevel="0" collapsed="false">
      <c r="A631" s="1" t="n">
        <v>13</v>
      </c>
      <c r="B631" s="1" t="n">
        <v>11</v>
      </c>
      <c r="C631" s="1" t="n">
        <v>1.6</v>
      </c>
      <c r="D631" s="1" t="n">
        <v>1.1451</v>
      </c>
      <c r="E631" s="1" t="n">
        <v>0.054257</v>
      </c>
      <c r="F631" s="1" t="n">
        <v>0.00014766</v>
      </c>
      <c r="G631" s="1" t="s">
        <v>37</v>
      </c>
      <c r="H631" s="1" t="n">
        <v>33.9</v>
      </c>
      <c r="I631" s="1" t="n">
        <v>183.8</v>
      </c>
      <c r="J631" s="1" t="n">
        <v>53.2</v>
      </c>
      <c r="K631" s="1" t="n">
        <v>122.3</v>
      </c>
      <c r="L631" s="1" t="n">
        <v>0</v>
      </c>
      <c r="M631" s="1" t="n">
        <v>0</v>
      </c>
      <c r="N631" s="1" t="s">
        <v>399</v>
      </c>
      <c r="Z631" s="0" t="n">
        <f aca="false">I631-3</f>
        <v>180.8</v>
      </c>
      <c r="AB631" s="0" t="n">
        <f aca="false">IF(Z631&lt;0,Z631+360,Z631+0)</f>
        <v>180.8</v>
      </c>
    </row>
    <row r="632" customFormat="false" ht="15.8" hidden="false" customHeight="false" outlineLevel="0" collapsed="false">
      <c r="A632" s="1" t="n">
        <v>13</v>
      </c>
      <c r="B632" s="1" t="n">
        <v>10</v>
      </c>
      <c r="C632" s="1" t="n">
        <v>0.8</v>
      </c>
      <c r="D632" s="1" t="n">
        <v>1.0109</v>
      </c>
      <c r="E632" s="1" t="n">
        <v>0.0270397</v>
      </c>
      <c r="F632" s="1" t="n">
        <v>7.35884E-005</v>
      </c>
      <c r="G632" s="1" t="s">
        <v>37</v>
      </c>
      <c r="H632" s="1" t="n">
        <v>27.9</v>
      </c>
      <c r="I632" s="1" t="n">
        <v>115.5</v>
      </c>
      <c r="J632" s="1" t="n">
        <v>71.1</v>
      </c>
      <c r="K632" s="1" t="n">
        <v>71.5</v>
      </c>
      <c r="L632" s="1" t="n">
        <v>0</v>
      </c>
      <c r="M632" s="1" t="n">
        <v>0</v>
      </c>
      <c r="N632" s="1" t="s">
        <v>398</v>
      </c>
      <c r="Z632" s="0" t="n">
        <f aca="false">I632-3</f>
        <v>112.5</v>
      </c>
      <c r="AB632" s="0" t="n">
        <f aca="false">IF(Z632&lt;0,Z632+360,Z632+0)</f>
        <v>112.5</v>
      </c>
    </row>
    <row r="633" customFormat="false" ht="15.8" hidden="false" customHeight="false" outlineLevel="0" collapsed="false">
      <c r="A633" s="1" t="n">
        <v>13</v>
      </c>
      <c r="B633" s="1" t="n">
        <v>9</v>
      </c>
      <c r="C633" s="1" t="n">
        <v>4.9</v>
      </c>
      <c r="D633" s="1" t="n">
        <v>1.2235</v>
      </c>
      <c r="E633" s="1" t="n">
        <v>0.167312</v>
      </c>
      <c r="F633" s="1" t="n">
        <v>0.000455338</v>
      </c>
      <c r="G633" s="1" t="s">
        <v>37</v>
      </c>
      <c r="H633" s="1" t="n">
        <v>56.2</v>
      </c>
      <c r="I633" s="1" t="n">
        <v>82.8</v>
      </c>
      <c r="J633" s="1" t="n">
        <v>47.8</v>
      </c>
      <c r="K633" s="1" t="n">
        <v>146.7</v>
      </c>
      <c r="L633" s="1" t="n">
        <v>0</v>
      </c>
      <c r="M633" s="1" t="n">
        <v>0</v>
      </c>
      <c r="N633" s="1" t="s">
        <v>405</v>
      </c>
      <c r="Z633" s="0" t="n">
        <f aca="false">I633-3</f>
        <v>79.8</v>
      </c>
      <c r="AB633" s="0" t="n">
        <f aca="false">IF(Z633&lt;0,Z633+360,Z633+0)</f>
        <v>79.8</v>
      </c>
    </row>
    <row r="634" customFormat="false" ht="15.8" hidden="false" customHeight="false" outlineLevel="0" collapsed="false">
      <c r="A634" s="1" t="n">
        <v>13</v>
      </c>
      <c r="B634" s="1" t="n">
        <v>11</v>
      </c>
      <c r="C634" s="1" t="n">
        <v>1</v>
      </c>
      <c r="D634" s="1" t="n">
        <v>1.1665</v>
      </c>
      <c r="E634" s="1" t="n">
        <v>0.03528</v>
      </c>
      <c r="F634" s="1" t="n">
        <v>9.60142E-005</v>
      </c>
      <c r="G634" s="1" t="s">
        <v>27</v>
      </c>
      <c r="H634" s="1" t="n">
        <v>78</v>
      </c>
      <c r="I634" s="1" t="n">
        <v>57.2</v>
      </c>
      <c r="J634" s="1" t="n">
        <v>-24.7</v>
      </c>
      <c r="K634" s="1"/>
      <c r="L634" s="1" t="n">
        <v>0</v>
      </c>
      <c r="M634" s="1" t="n">
        <v>0</v>
      </c>
      <c r="N634" s="1" t="s">
        <v>406</v>
      </c>
      <c r="Z634" s="0" t="n">
        <f aca="false">I634-3</f>
        <v>54.2</v>
      </c>
      <c r="AB634" s="0" t="n">
        <f aca="false">IF(Z634&lt;0,Z634+360,Z634+0)</f>
        <v>54.2</v>
      </c>
    </row>
    <row r="635" customFormat="false" ht="15.8" hidden="false" customHeight="false" outlineLevel="0" collapsed="false">
      <c r="A635" s="1" t="n">
        <v>13</v>
      </c>
      <c r="B635" s="1" t="n">
        <v>12</v>
      </c>
      <c r="C635" s="1" t="n">
        <v>0.9</v>
      </c>
      <c r="D635" s="1" t="n">
        <v>1.0095</v>
      </c>
      <c r="E635" s="1" t="n">
        <v>0.0318918</v>
      </c>
      <c r="F635" s="1" t="n">
        <v>8.67932E-005</v>
      </c>
      <c r="G635" s="1" t="s">
        <v>27</v>
      </c>
      <c r="H635" s="1" t="n">
        <v>112.9</v>
      </c>
      <c r="I635" s="1" t="n">
        <v>188.1</v>
      </c>
      <c r="J635" s="1" t="n">
        <v>0</v>
      </c>
      <c r="K635" s="1"/>
      <c r="L635" s="1" t="n">
        <v>0</v>
      </c>
      <c r="M635" s="1" t="n">
        <v>0</v>
      </c>
      <c r="N635" s="1" t="s">
        <v>407</v>
      </c>
      <c r="Z635" s="0" t="n">
        <f aca="false">I635-3</f>
        <v>185.1</v>
      </c>
      <c r="AB635" s="0" t="n">
        <f aca="false">IF(Z635&lt;0,Z635+360,Z635+0)</f>
        <v>185.1</v>
      </c>
    </row>
    <row r="636" customFormat="false" ht="15.8" hidden="false" customHeight="false" outlineLevel="0" collapsed="false">
      <c r="A636" s="1" t="n">
        <v>13</v>
      </c>
      <c r="B636" s="1" t="n">
        <v>13</v>
      </c>
      <c r="C636" s="1" t="n">
        <v>1</v>
      </c>
      <c r="D636" s="1" t="n">
        <v>1.01</v>
      </c>
      <c r="E636" s="1" t="n">
        <v>0.034307</v>
      </c>
      <c r="F636" s="1" t="n">
        <v>9.33662E-005</v>
      </c>
      <c r="G636" s="1" t="s">
        <v>27</v>
      </c>
      <c r="H636" s="1" t="n">
        <v>106.5</v>
      </c>
      <c r="I636" s="1" t="n">
        <v>242.6</v>
      </c>
      <c r="J636" s="1" t="n">
        <v>0</v>
      </c>
      <c r="K636" s="1"/>
      <c r="L636" s="1" t="n">
        <v>0</v>
      </c>
      <c r="M636" s="1" t="n">
        <v>0</v>
      </c>
      <c r="N636" s="1" t="s">
        <v>408</v>
      </c>
      <c r="Z636" s="0" t="n">
        <f aca="false">I636-3</f>
        <v>239.6</v>
      </c>
      <c r="AB636" s="0" t="n">
        <f aca="false">IF(Z636&lt;0,Z636+360,Z636+0)</f>
        <v>239.6</v>
      </c>
    </row>
    <row r="637" customFormat="false" ht="15.8" hidden="false" customHeight="false" outlineLevel="0" collapsed="false">
      <c r="A637" s="1" t="n">
        <v>13</v>
      </c>
      <c r="B637" s="1" t="n">
        <v>13</v>
      </c>
      <c r="C637" s="1" t="n">
        <v>2.5</v>
      </c>
      <c r="D637" s="1" t="n">
        <v>1.3406</v>
      </c>
      <c r="E637" s="1" t="n">
        <v>0.0849985</v>
      </c>
      <c r="F637" s="1" t="n">
        <v>0.000231323</v>
      </c>
      <c r="G637" s="1" t="s">
        <v>27</v>
      </c>
      <c r="H637" s="1" t="n">
        <v>100.3</v>
      </c>
      <c r="I637" s="1" t="n">
        <v>95.2</v>
      </c>
      <c r="J637" s="1" t="n">
        <v>86.3</v>
      </c>
      <c r="K637" s="1"/>
      <c r="L637" s="1" t="n">
        <v>0</v>
      </c>
      <c r="M637" s="1" t="n">
        <v>0</v>
      </c>
      <c r="N637" s="1" t="s">
        <v>408</v>
      </c>
      <c r="Z637" s="0" t="n">
        <f aca="false">I637-3</f>
        <v>92.2</v>
      </c>
      <c r="AB637" s="0" t="n">
        <f aca="false">IF(Z637&lt;0,Z637+360,Z637+0)</f>
        <v>92.2</v>
      </c>
    </row>
    <row r="638" customFormat="false" ht="15.8" hidden="false" customHeight="false" outlineLevel="0" collapsed="false">
      <c r="A638" s="1" t="n">
        <v>13</v>
      </c>
      <c r="B638" s="1" t="n">
        <v>13</v>
      </c>
      <c r="C638" s="1" t="n">
        <v>3.4</v>
      </c>
      <c r="D638" s="1" t="n">
        <v>1.1914</v>
      </c>
      <c r="E638" s="1" t="n">
        <v>0.117356</v>
      </c>
      <c r="F638" s="1" t="n">
        <v>0.000319384</v>
      </c>
      <c r="G638" s="1" t="s">
        <v>27</v>
      </c>
      <c r="H638" s="1" t="n">
        <v>32.5</v>
      </c>
      <c r="I638" s="1" t="n">
        <v>22.1</v>
      </c>
      <c r="J638" s="1" t="n">
        <v>-14.9</v>
      </c>
      <c r="K638" s="1"/>
      <c r="L638" s="1" t="n">
        <v>0</v>
      </c>
      <c r="M638" s="1" t="n">
        <v>0</v>
      </c>
      <c r="N638" s="1" t="s">
        <v>408</v>
      </c>
      <c r="Z638" s="0" t="n">
        <f aca="false">I638-3</f>
        <v>19.1</v>
      </c>
      <c r="AB638" s="0" t="n">
        <f aca="false">IF(Z638&lt;0,Z638+360,Z638+0)</f>
        <v>19.1</v>
      </c>
    </row>
    <row r="639" customFormat="false" ht="15.8" hidden="false" customHeight="false" outlineLevel="0" collapsed="false">
      <c r="A639" s="1" t="n">
        <v>13</v>
      </c>
      <c r="B639" s="1" t="n">
        <v>12</v>
      </c>
      <c r="C639" s="1" t="n">
        <v>5.6</v>
      </c>
      <c r="D639" s="1" t="n">
        <v>1.2216</v>
      </c>
      <c r="E639" s="1" t="n">
        <v>0.190911</v>
      </c>
      <c r="F639" s="1" t="n">
        <v>0.000519563</v>
      </c>
      <c r="G639" s="1" t="s">
        <v>37</v>
      </c>
      <c r="H639" s="1" t="n">
        <v>46.3</v>
      </c>
      <c r="I639" s="1" t="n">
        <v>349.3</v>
      </c>
      <c r="J639" s="1" t="n">
        <v>-9.3</v>
      </c>
      <c r="K639" s="1" t="n">
        <v>106.5</v>
      </c>
      <c r="L639" s="1" t="n">
        <v>0</v>
      </c>
      <c r="M639" s="1" t="n">
        <v>0</v>
      </c>
      <c r="N639" s="1" t="s">
        <v>407</v>
      </c>
      <c r="Z639" s="0" t="n">
        <f aca="false">I639-3</f>
        <v>346.3</v>
      </c>
      <c r="AB639" s="0" t="n">
        <f aca="false">IF(Z639&lt;0,Z639+360,Z639+0)</f>
        <v>346.3</v>
      </c>
    </row>
    <row r="640" customFormat="false" ht="15.8" hidden="false" customHeight="false" outlineLevel="0" collapsed="false">
      <c r="A640" s="1" t="n">
        <v>13</v>
      </c>
      <c r="B640" s="1" t="n">
        <v>11</v>
      </c>
      <c r="C640" s="1" t="n">
        <v>2.6</v>
      </c>
      <c r="D640" s="1" t="n">
        <v>1.2015</v>
      </c>
      <c r="E640" s="1" t="n">
        <v>0.0901605</v>
      </c>
      <c r="F640" s="1" t="n">
        <v>0.000245371</v>
      </c>
      <c r="G640" s="1" t="s">
        <v>37</v>
      </c>
      <c r="H640" s="1" t="n">
        <v>27.9</v>
      </c>
      <c r="I640" s="1" t="n">
        <v>302.5</v>
      </c>
      <c r="J640" s="1" t="n">
        <v>-19.7</v>
      </c>
      <c r="K640" s="1" t="n">
        <v>112.9</v>
      </c>
      <c r="L640" s="1" t="n">
        <v>0</v>
      </c>
      <c r="M640" s="1" t="n">
        <v>0</v>
      </c>
      <c r="N640" s="1" t="s">
        <v>406</v>
      </c>
      <c r="Z640" s="0" t="n">
        <f aca="false">I640-3</f>
        <v>299.5</v>
      </c>
      <c r="AB640" s="0" t="n">
        <f aca="false">IF(Z640&lt;0,Z640+360,Z640+0)</f>
        <v>299.5</v>
      </c>
    </row>
    <row r="641" customFormat="false" ht="15.8" hidden="false" customHeight="false" outlineLevel="0" collapsed="false">
      <c r="A641" s="1" t="n">
        <v>13</v>
      </c>
      <c r="B641" s="1" t="n">
        <v>10</v>
      </c>
      <c r="C641" s="1" t="n">
        <v>2.8</v>
      </c>
      <c r="D641" s="1" t="n">
        <v>1.7243</v>
      </c>
      <c r="E641" s="1" t="n">
        <v>0.095315</v>
      </c>
      <c r="F641" s="1" t="n">
        <v>0.000259399</v>
      </c>
      <c r="G641" s="1" t="s">
        <v>37</v>
      </c>
      <c r="H641" s="1" t="n">
        <v>62.3</v>
      </c>
      <c r="I641" s="1" t="n">
        <v>320.3</v>
      </c>
      <c r="J641" s="1" t="n">
        <v>-43.4</v>
      </c>
      <c r="K641" s="1" t="n">
        <v>78</v>
      </c>
      <c r="L641" s="1" t="n">
        <v>0</v>
      </c>
      <c r="M641" s="1" t="n">
        <v>0</v>
      </c>
      <c r="N641" s="1" t="s">
        <v>409</v>
      </c>
      <c r="Z641" s="0" t="n">
        <f aca="false">I641-3</f>
        <v>317.3</v>
      </c>
      <c r="AB641" s="0" t="n">
        <f aca="false">IF(Z641&lt;0,Z641+360,Z641+0)</f>
        <v>317.3</v>
      </c>
    </row>
    <row r="642" customFormat="false" ht="15.8" hidden="false" customHeight="false" outlineLevel="0" collapsed="false">
      <c r="A642" s="1" t="n">
        <v>13</v>
      </c>
      <c r="B642" s="1" t="n">
        <v>11</v>
      </c>
      <c r="C642" s="1" t="n">
        <v>1.5</v>
      </c>
      <c r="D642" s="1" t="n">
        <v>1.2222</v>
      </c>
      <c r="E642" s="1" t="n">
        <v>0.0525261</v>
      </c>
      <c r="F642" s="1" t="n">
        <v>0.000142949</v>
      </c>
      <c r="G642" s="1" t="s">
        <v>27</v>
      </c>
      <c r="H642" s="1" t="n">
        <v>120.1</v>
      </c>
      <c r="I642" s="1" t="n">
        <v>228.2</v>
      </c>
      <c r="J642" s="1" t="n">
        <v>0</v>
      </c>
      <c r="K642" s="1"/>
      <c r="L642" s="1" t="n">
        <v>0</v>
      </c>
      <c r="M642" s="1" t="n">
        <v>0</v>
      </c>
      <c r="N642" s="1" t="s">
        <v>410</v>
      </c>
      <c r="Z642" s="0" t="n">
        <f aca="false">I642-3</f>
        <v>225.2</v>
      </c>
      <c r="AB642" s="0" t="n">
        <f aca="false">IF(Z642&lt;0,Z642+360,Z642+0)</f>
        <v>225.2</v>
      </c>
    </row>
    <row r="643" customFormat="false" ht="15.8" hidden="false" customHeight="false" outlineLevel="0" collapsed="false">
      <c r="A643" s="1" t="n">
        <v>13</v>
      </c>
      <c r="B643" s="1" t="n">
        <v>11</v>
      </c>
      <c r="C643" s="1" t="n">
        <v>1.3</v>
      </c>
      <c r="D643" s="1" t="n">
        <v>1.0243</v>
      </c>
      <c r="E643" s="1" t="n">
        <v>0.044765</v>
      </c>
      <c r="F643" s="1" t="n">
        <v>0.000121828</v>
      </c>
      <c r="G643" s="1" t="s">
        <v>27</v>
      </c>
      <c r="H643" s="1" t="n">
        <v>138.8</v>
      </c>
      <c r="I643" s="1" t="n">
        <v>135.7</v>
      </c>
      <c r="J643" s="1" t="n">
        <v>0</v>
      </c>
      <c r="K643" s="1"/>
      <c r="L643" s="1" t="n">
        <v>0</v>
      </c>
      <c r="M643" s="1" t="n">
        <v>0</v>
      </c>
      <c r="N643" s="1" t="s">
        <v>410</v>
      </c>
      <c r="Z643" s="0" t="n">
        <f aca="false">I643-3</f>
        <v>132.7</v>
      </c>
      <c r="AB643" s="0" t="n">
        <f aca="false">IF(Z643&lt;0,Z643+360,Z643+0)</f>
        <v>132.7</v>
      </c>
    </row>
    <row r="644" customFormat="false" ht="15.8" hidden="false" customHeight="false" outlineLevel="0" collapsed="false">
      <c r="A644" s="1" t="n">
        <v>13</v>
      </c>
      <c r="B644" s="1" t="n">
        <v>12</v>
      </c>
      <c r="C644" s="1" t="n">
        <v>2.1</v>
      </c>
      <c r="D644" s="1" t="n">
        <v>1.1062</v>
      </c>
      <c r="E644" s="1" t="n">
        <v>0.0711005</v>
      </c>
      <c r="F644" s="1" t="n">
        <v>0.000193499</v>
      </c>
      <c r="G644" s="1" t="s">
        <v>27</v>
      </c>
      <c r="H644" s="1" t="n">
        <v>127.3</v>
      </c>
      <c r="I644" s="1" t="n">
        <v>156.3</v>
      </c>
      <c r="J644" s="1" t="n">
        <v>-11.4</v>
      </c>
      <c r="K644" s="1"/>
      <c r="L644" s="1" t="n">
        <v>0</v>
      </c>
      <c r="M644" s="1" t="n">
        <v>0</v>
      </c>
      <c r="N644" s="1" t="s">
        <v>411</v>
      </c>
      <c r="Z644" s="0" t="n">
        <f aca="false">I644-3</f>
        <v>153.3</v>
      </c>
      <c r="AB644" s="0" t="n">
        <f aca="false">IF(Z644&lt;0,Z644+360,Z644+0)</f>
        <v>153.3</v>
      </c>
    </row>
    <row r="645" customFormat="false" ht="15.8" hidden="false" customHeight="false" outlineLevel="0" collapsed="false">
      <c r="A645" s="1" t="n">
        <v>13</v>
      </c>
      <c r="B645" s="1" t="n">
        <v>12</v>
      </c>
      <c r="C645" s="1" t="n">
        <v>3.2</v>
      </c>
      <c r="D645" s="1" t="n">
        <v>1.1211</v>
      </c>
      <c r="E645" s="1" t="n">
        <v>0.109674</v>
      </c>
      <c r="F645" s="1" t="n">
        <v>0.000298478</v>
      </c>
      <c r="G645" s="1" t="s">
        <v>27</v>
      </c>
      <c r="H645" s="1" t="n">
        <v>44.2</v>
      </c>
      <c r="I645" s="1" t="n">
        <v>344.4</v>
      </c>
      <c r="J645" s="1" t="n">
        <v>-7.4</v>
      </c>
      <c r="K645" s="1"/>
      <c r="L645" s="1" t="n">
        <v>0</v>
      </c>
      <c r="M645" s="1" t="n">
        <v>0</v>
      </c>
      <c r="N645" s="1" t="s">
        <v>411</v>
      </c>
      <c r="Z645" s="0" t="n">
        <f aca="false">I645-3</f>
        <v>341.4</v>
      </c>
      <c r="AB645" s="0" t="n">
        <f aca="false">IF(Z645&lt;0,Z645+360,Z645+0)</f>
        <v>341.4</v>
      </c>
    </row>
    <row r="646" customFormat="false" ht="15.8" hidden="false" customHeight="false" outlineLevel="0" collapsed="false">
      <c r="A646" s="1" t="n">
        <v>13</v>
      </c>
      <c r="B646" s="1" t="n">
        <v>12</v>
      </c>
      <c r="C646" s="1" t="n">
        <v>3.7</v>
      </c>
      <c r="D646" s="1" t="n">
        <v>1.3505</v>
      </c>
      <c r="E646" s="1" t="n">
        <v>0.126756</v>
      </c>
      <c r="F646" s="1" t="n">
        <v>0.000344967</v>
      </c>
      <c r="G646" s="1" t="s">
        <v>27</v>
      </c>
      <c r="H646" s="1" t="n">
        <v>25.8</v>
      </c>
      <c r="I646" s="1" t="n">
        <v>52.8</v>
      </c>
      <c r="J646" s="1" t="n">
        <v>-7.7</v>
      </c>
      <c r="K646" s="1"/>
      <c r="L646" s="1" t="n">
        <v>0</v>
      </c>
      <c r="M646" s="1" t="n">
        <v>0</v>
      </c>
      <c r="N646" s="1" t="s">
        <v>411</v>
      </c>
      <c r="Z646" s="0" t="n">
        <f aca="false">I646-3</f>
        <v>49.8</v>
      </c>
      <c r="AB646" s="0" t="n">
        <f aca="false">IF(Z646&lt;0,Z646+360,Z646+0)</f>
        <v>49.8</v>
      </c>
    </row>
    <row r="647" customFormat="false" ht="15.8" hidden="false" customHeight="false" outlineLevel="0" collapsed="false">
      <c r="A647" s="1" t="n">
        <v>13</v>
      </c>
      <c r="B647" s="1" t="n">
        <v>11</v>
      </c>
      <c r="C647" s="1" t="n">
        <v>1.9</v>
      </c>
      <c r="D647" s="1" t="n">
        <v>1.065</v>
      </c>
      <c r="E647" s="1" t="n">
        <v>0.0656297</v>
      </c>
      <c r="F647" s="1" t="n">
        <v>0.000178611</v>
      </c>
      <c r="G647" s="1" t="s">
        <v>37</v>
      </c>
      <c r="H647" s="1" t="n">
        <v>42.6</v>
      </c>
      <c r="I647" s="1" t="n">
        <v>28.1</v>
      </c>
      <c r="J647" s="1" t="n">
        <v>0</v>
      </c>
      <c r="K647" s="1" t="n">
        <v>127.3</v>
      </c>
      <c r="L647" s="1" t="n">
        <v>0</v>
      </c>
      <c r="M647" s="1" t="n">
        <v>0</v>
      </c>
      <c r="N647" s="1" t="s">
        <v>410</v>
      </c>
      <c r="Z647" s="0" t="n">
        <f aca="false">I647-3</f>
        <v>25.1</v>
      </c>
      <c r="AB647" s="0" t="n">
        <f aca="false">IF(Z647&lt;0,Z647+360,Z647+0)</f>
        <v>25.1</v>
      </c>
    </row>
    <row r="648" customFormat="false" ht="15.8" hidden="false" customHeight="false" outlineLevel="0" collapsed="false">
      <c r="A648" s="1" t="n">
        <v>13</v>
      </c>
      <c r="B648" s="1" t="n">
        <v>10</v>
      </c>
      <c r="C648" s="1" t="n">
        <v>3.7</v>
      </c>
      <c r="D648" s="1" t="n">
        <v>1.2765</v>
      </c>
      <c r="E648" s="1" t="n">
        <v>0.125664</v>
      </c>
      <c r="F648" s="1" t="n">
        <v>0.000341994</v>
      </c>
      <c r="G648" s="1" t="s">
        <v>37</v>
      </c>
      <c r="H648" s="1" t="n">
        <v>45.4</v>
      </c>
      <c r="I648" s="1" t="n">
        <v>351</v>
      </c>
      <c r="J648" s="1" t="n">
        <v>22.7</v>
      </c>
      <c r="K648" s="1" t="n">
        <v>138.8</v>
      </c>
      <c r="L648" s="1" t="n">
        <v>0</v>
      </c>
      <c r="M648" s="1" t="n">
        <v>0</v>
      </c>
      <c r="N648" s="1" t="s">
        <v>409</v>
      </c>
      <c r="Z648" s="0" t="n">
        <f aca="false">I648-3</f>
        <v>348</v>
      </c>
      <c r="AB648" s="0" t="n">
        <f aca="false">IF(Z648&lt;0,Z648+360,Z648+0)</f>
        <v>348</v>
      </c>
    </row>
    <row r="649" customFormat="false" ht="15.8" hidden="false" customHeight="false" outlineLevel="0" collapsed="false">
      <c r="A649" s="1" t="n">
        <v>13</v>
      </c>
      <c r="B649" s="1" t="n">
        <v>11</v>
      </c>
      <c r="C649" s="1" t="n">
        <v>0.8</v>
      </c>
      <c r="D649" s="1" t="n">
        <v>1.0247</v>
      </c>
      <c r="E649" s="1" t="n">
        <v>0.0288342</v>
      </c>
      <c r="F649" s="1" t="n">
        <v>7.84719E-005</v>
      </c>
      <c r="G649" s="1" t="s">
        <v>27</v>
      </c>
      <c r="H649" s="1" t="n">
        <v>90.6</v>
      </c>
      <c r="I649" s="1" t="n">
        <v>197.7</v>
      </c>
      <c r="J649" s="1" t="n">
        <v>0</v>
      </c>
      <c r="K649" s="1"/>
      <c r="L649" s="1" t="n">
        <v>0</v>
      </c>
      <c r="M649" s="1" t="n">
        <v>0</v>
      </c>
      <c r="N649" s="1" t="s">
        <v>412</v>
      </c>
      <c r="Z649" s="0" t="n">
        <f aca="false">I649-3</f>
        <v>194.7</v>
      </c>
      <c r="AB649" s="0" t="n">
        <f aca="false">IF(Z649&lt;0,Z649+360,Z649+0)</f>
        <v>194.7</v>
      </c>
    </row>
    <row r="650" customFormat="false" ht="15.8" hidden="false" customHeight="false" outlineLevel="0" collapsed="false">
      <c r="A650" s="1" t="n">
        <v>13</v>
      </c>
      <c r="B650" s="1" t="n">
        <v>11</v>
      </c>
      <c r="C650" s="1" t="n">
        <v>2.5</v>
      </c>
      <c r="D650" s="1" t="n">
        <v>1.2095</v>
      </c>
      <c r="E650" s="1" t="n">
        <v>0.086547</v>
      </c>
      <c r="F650" s="1" t="n">
        <v>0.000235537</v>
      </c>
      <c r="G650" s="1" t="s">
        <v>27</v>
      </c>
      <c r="H650" s="1" t="n">
        <v>66.4</v>
      </c>
      <c r="I650" s="1" t="n">
        <v>98.7</v>
      </c>
      <c r="J650" s="1" t="n">
        <v>0</v>
      </c>
      <c r="K650" s="1"/>
      <c r="L650" s="1" t="n">
        <v>0</v>
      </c>
      <c r="M650" s="1" t="n">
        <v>0</v>
      </c>
      <c r="N650" s="1" t="s">
        <v>412</v>
      </c>
      <c r="Z650" s="0" t="n">
        <f aca="false">I650-3</f>
        <v>95.7</v>
      </c>
      <c r="AB650" s="0" t="n">
        <f aca="false">IF(Z650&lt;0,Z650+360,Z650+0)</f>
        <v>95.7</v>
      </c>
    </row>
    <row r="651" customFormat="false" ht="15.8" hidden="false" customHeight="false" outlineLevel="0" collapsed="false">
      <c r="A651" s="1" t="n">
        <v>13</v>
      </c>
      <c r="B651" s="1" t="n">
        <v>10</v>
      </c>
      <c r="C651" s="1" t="n">
        <v>2.5</v>
      </c>
      <c r="D651" s="1" t="n">
        <v>1.2517</v>
      </c>
      <c r="E651" s="1" t="n">
        <v>0.0865643</v>
      </c>
      <c r="F651" s="1" t="n">
        <v>0.000235584</v>
      </c>
      <c r="G651" s="1" t="s">
        <v>37</v>
      </c>
      <c r="H651" s="1" t="n">
        <v>77.7</v>
      </c>
      <c r="I651" s="1" t="n">
        <v>106.3</v>
      </c>
      <c r="J651" s="1" t="n">
        <v>-66.2</v>
      </c>
      <c r="K651" s="1" t="n">
        <v>90.6</v>
      </c>
      <c r="L651" s="1" t="n">
        <v>0</v>
      </c>
      <c r="M651" s="1" t="n">
        <v>0</v>
      </c>
      <c r="N651" s="1" t="s">
        <v>409</v>
      </c>
      <c r="Z651" s="0" t="n">
        <f aca="false">I651-3</f>
        <v>103.3</v>
      </c>
      <c r="AB651" s="0" t="n">
        <f aca="false">IF(Z651&lt;0,Z651+360,Z651+0)</f>
        <v>103.3</v>
      </c>
    </row>
    <row r="652" customFormat="false" ht="15.8" hidden="false" customHeight="false" outlineLevel="0" collapsed="false">
      <c r="A652" s="1" t="n">
        <v>13</v>
      </c>
      <c r="B652" s="1" t="n">
        <v>9</v>
      </c>
      <c r="C652" s="1" t="n">
        <v>2.3</v>
      </c>
      <c r="D652" s="1" t="n">
        <v>1.1546</v>
      </c>
      <c r="E652" s="1" t="n">
        <v>0.0775419</v>
      </c>
      <c r="F652" s="1" t="n">
        <v>0.00021103</v>
      </c>
      <c r="G652" s="1" t="s">
        <v>37</v>
      </c>
      <c r="H652" s="1" t="n">
        <v>28.4</v>
      </c>
      <c r="I652" s="1" t="n">
        <v>22.2</v>
      </c>
      <c r="J652" s="1" t="n">
        <v>-10.9</v>
      </c>
      <c r="K652" s="1" t="n">
        <v>77.7</v>
      </c>
      <c r="L652" s="1" t="n">
        <v>0</v>
      </c>
      <c r="M652" s="1" t="n">
        <v>0</v>
      </c>
      <c r="N652" s="1" t="s">
        <v>405</v>
      </c>
      <c r="Z652" s="0" t="n">
        <f aca="false">I652-3</f>
        <v>19.2</v>
      </c>
      <c r="AB652" s="0" t="n">
        <f aca="false">IF(Z652&lt;0,Z652+360,Z652+0)</f>
        <v>19.2</v>
      </c>
    </row>
    <row r="653" customFormat="false" ht="15.8" hidden="false" customHeight="false" outlineLevel="0" collapsed="false">
      <c r="A653" s="1" t="n">
        <v>13</v>
      </c>
      <c r="B653" s="1" t="n">
        <v>8</v>
      </c>
      <c r="C653" s="1" t="n">
        <v>0.7</v>
      </c>
      <c r="D653" s="1" t="n">
        <v>1.0021</v>
      </c>
      <c r="E653" s="1" t="n">
        <v>0.0253744</v>
      </c>
      <c r="F653" s="1" t="n">
        <v>6.90562E-005</v>
      </c>
      <c r="G653" s="1" t="s">
        <v>37</v>
      </c>
      <c r="H653" s="1" t="n">
        <v>38.2</v>
      </c>
      <c r="I653" s="1" t="n">
        <v>48.6</v>
      </c>
      <c r="J653" s="1" t="n">
        <v>0</v>
      </c>
      <c r="K653" s="1" t="n">
        <v>56.2</v>
      </c>
      <c r="L653" s="1" t="n">
        <v>0</v>
      </c>
      <c r="M653" s="1" t="n">
        <v>0</v>
      </c>
      <c r="N653" s="1" t="s">
        <v>397</v>
      </c>
      <c r="Z653" s="0" t="n">
        <f aca="false">I653-3</f>
        <v>45.6</v>
      </c>
      <c r="AB653" s="0" t="n">
        <f aca="false">IF(Z653&lt;0,Z653+360,Z653+0)</f>
        <v>45.6</v>
      </c>
    </row>
    <row r="654" customFormat="false" ht="15.8" hidden="false" customHeight="false" outlineLevel="0" collapsed="false">
      <c r="A654" s="1" t="n">
        <v>13</v>
      </c>
      <c r="B654" s="1" t="n">
        <v>7</v>
      </c>
      <c r="C654" s="1" t="n">
        <v>0.8</v>
      </c>
      <c r="D654" s="1" t="n">
        <v>1.203</v>
      </c>
      <c r="E654" s="1" t="n">
        <v>0.0276822</v>
      </c>
      <c r="F654" s="1" t="n">
        <v>7.53369E-005</v>
      </c>
      <c r="G654" s="1" t="s">
        <v>37</v>
      </c>
      <c r="H654" s="1" t="n">
        <v>42.9</v>
      </c>
      <c r="I654" s="1" t="n">
        <v>68.4</v>
      </c>
      <c r="J654" s="1" t="n">
        <v>-33.4</v>
      </c>
      <c r="K654" s="1" t="n">
        <v>47.7</v>
      </c>
      <c r="L654" s="1" t="n">
        <v>0</v>
      </c>
      <c r="M654" s="1" t="n">
        <v>0</v>
      </c>
      <c r="N654" s="1" t="s">
        <v>413</v>
      </c>
      <c r="Z654" s="0" t="n">
        <f aca="false">I654-3</f>
        <v>65.4</v>
      </c>
      <c r="AB654" s="0" t="n">
        <f aca="false">IF(Z654&lt;0,Z654+360,Z654+0)</f>
        <v>65.4</v>
      </c>
    </row>
    <row r="655" customFormat="false" ht="15.8" hidden="false" customHeight="false" outlineLevel="0" collapsed="false">
      <c r="A655" s="1" t="n">
        <v>13</v>
      </c>
      <c r="B655" s="1" t="n">
        <v>7</v>
      </c>
      <c r="C655" s="1" t="n">
        <v>4.4</v>
      </c>
      <c r="D655" s="1" t="n">
        <v>2.2751</v>
      </c>
      <c r="E655" s="1" t="n">
        <v>0.150516</v>
      </c>
      <c r="F655" s="1" t="n">
        <v>0.000409629</v>
      </c>
      <c r="G655" s="1" t="s">
        <v>27</v>
      </c>
      <c r="H655" s="1" t="n">
        <v>99.8</v>
      </c>
      <c r="I655" s="1" t="n">
        <v>279.6</v>
      </c>
      <c r="J655" s="1" t="n">
        <v>-11</v>
      </c>
      <c r="K655" s="1"/>
      <c r="L655" s="1" t="n">
        <v>0</v>
      </c>
      <c r="M655" s="1" t="n">
        <v>0</v>
      </c>
      <c r="N655" s="1" t="s">
        <v>413</v>
      </c>
      <c r="Z655" s="0" t="n">
        <f aca="false">I655-3</f>
        <v>276.6</v>
      </c>
      <c r="AB655" s="0" t="n">
        <f aca="false">IF(Z655&lt;0,Z655+360,Z655+0)</f>
        <v>276.6</v>
      </c>
    </row>
    <row r="656" customFormat="false" ht="15.8" hidden="false" customHeight="false" outlineLevel="0" collapsed="false">
      <c r="A656" s="1" t="n">
        <v>13</v>
      </c>
      <c r="B656" s="1" t="n">
        <v>6</v>
      </c>
      <c r="C656" s="1" t="n">
        <v>2.9</v>
      </c>
      <c r="D656" s="1" t="n">
        <v>1.2058</v>
      </c>
      <c r="E656" s="1" t="n">
        <v>0.100803</v>
      </c>
      <c r="F656" s="1" t="n">
        <v>0.000274335</v>
      </c>
      <c r="G656" s="1" t="s">
        <v>37</v>
      </c>
      <c r="H656" s="1" t="n">
        <v>69.5</v>
      </c>
      <c r="I656" s="1" t="n">
        <v>23.7</v>
      </c>
      <c r="J656" s="1" t="n">
        <v>-17.6</v>
      </c>
      <c r="K656" s="1" t="n">
        <v>99.8</v>
      </c>
      <c r="L656" s="1" t="n">
        <v>0</v>
      </c>
      <c r="M656" s="1" t="n">
        <v>0</v>
      </c>
      <c r="N656" s="1" t="s">
        <v>396</v>
      </c>
      <c r="Z656" s="0" t="n">
        <f aca="false">I656-3</f>
        <v>20.7</v>
      </c>
      <c r="AB656" s="0" t="n">
        <f aca="false">IF(Z656&lt;0,Z656+360,Z656+0)</f>
        <v>20.7</v>
      </c>
    </row>
    <row r="657" customFormat="false" ht="15.8" hidden="false" customHeight="false" outlineLevel="0" collapsed="false">
      <c r="A657" s="1" t="n">
        <v>13</v>
      </c>
      <c r="B657" s="1" t="n">
        <v>5</v>
      </c>
      <c r="C657" s="1" t="n">
        <v>3.9</v>
      </c>
      <c r="D657" s="1" t="n">
        <v>1.6071</v>
      </c>
      <c r="E657" s="1" t="n">
        <v>0.134314</v>
      </c>
      <c r="F657" s="1" t="n">
        <v>0.000365535</v>
      </c>
      <c r="G657" s="1" t="s">
        <v>37</v>
      </c>
      <c r="H657" s="1" t="n">
        <v>89.2</v>
      </c>
      <c r="I657" s="1" t="n">
        <v>338.3</v>
      </c>
      <c r="J657" s="1" t="n">
        <v>37.3</v>
      </c>
      <c r="K657" s="1" t="n">
        <v>69.5</v>
      </c>
      <c r="L657" s="1" t="n">
        <v>0</v>
      </c>
      <c r="M657" s="1" t="n">
        <v>0</v>
      </c>
      <c r="N657" s="1" t="s">
        <v>395</v>
      </c>
      <c r="Z657" s="0" t="n">
        <f aca="false">I657-3</f>
        <v>335.3</v>
      </c>
      <c r="AB657" s="0" t="n">
        <f aca="false">IF(Z657&lt;0,Z657+360,Z657+0)</f>
        <v>335.3</v>
      </c>
    </row>
    <row r="658" customFormat="false" ht="15.8" hidden="false" customHeight="false" outlineLevel="0" collapsed="false">
      <c r="A658" s="1" t="n">
        <v>13</v>
      </c>
      <c r="B658" s="1" t="n">
        <v>4</v>
      </c>
      <c r="C658" s="1" t="n">
        <v>3.1</v>
      </c>
      <c r="D658" s="1" t="n">
        <v>1.3606</v>
      </c>
      <c r="E658" s="1" t="n">
        <v>0.107207</v>
      </c>
      <c r="F658" s="1" t="n">
        <v>0.000291764</v>
      </c>
      <c r="G658" s="1" t="s">
        <v>37</v>
      </c>
      <c r="H658" s="1" t="n">
        <v>73.2</v>
      </c>
      <c r="I658" s="1" t="n">
        <v>42.4</v>
      </c>
      <c r="J658" s="1" t="n">
        <v>-28.8</v>
      </c>
      <c r="K658" s="1" t="n">
        <v>89.2</v>
      </c>
      <c r="L658" s="1" t="n">
        <v>0</v>
      </c>
      <c r="M658" s="1" t="n">
        <v>0</v>
      </c>
      <c r="N658" s="1" t="s">
        <v>394</v>
      </c>
      <c r="Z658" s="0" t="n">
        <f aca="false">I658-3</f>
        <v>39.4</v>
      </c>
      <c r="AB658" s="0" t="n">
        <f aca="false">IF(Z658&lt;0,Z658+360,Z658+0)</f>
        <v>39.4</v>
      </c>
    </row>
    <row r="659" customFormat="false" ht="15.8" hidden="false" customHeight="false" outlineLevel="0" collapsed="false">
      <c r="A659" s="1" t="n">
        <v>13</v>
      </c>
      <c r="B659" s="1" t="n">
        <v>3</v>
      </c>
      <c r="C659" s="1" t="n">
        <v>2.1</v>
      </c>
      <c r="D659" s="1" t="n">
        <v>1.191</v>
      </c>
      <c r="E659" s="1" t="n">
        <v>0.0701413</v>
      </c>
      <c r="F659" s="1" t="n">
        <v>0.000190889</v>
      </c>
      <c r="G659" s="1" t="s">
        <v>37</v>
      </c>
      <c r="H659" s="1" t="n">
        <v>43.9</v>
      </c>
      <c r="I659" s="1" t="n">
        <v>15.8</v>
      </c>
      <c r="J659" s="1" t="n">
        <v>40.1</v>
      </c>
      <c r="K659" s="1" t="n">
        <v>73.2</v>
      </c>
      <c r="L659" s="1" t="n">
        <v>0</v>
      </c>
      <c r="M659" s="1" t="n">
        <v>0</v>
      </c>
      <c r="N659" s="1" t="s">
        <v>393</v>
      </c>
      <c r="Z659" s="0" t="n">
        <f aca="false">I659-3</f>
        <v>12.8</v>
      </c>
      <c r="AB659" s="0" t="n">
        <f aca="false">IF(Z659&lt;0,Z659+360,Z659+0)</f>
        <v>12.8</v>
      </c>
    </row>
    <row r="660" customFormat="false" ht="15.8" hidden="false" customHeight="false" outlineLevel="0" collapsed="false">
      <c r="A660" s="1" t="n">
        <v>13</v>
      </c>
      <c r="B660" s="1" t="n">
        <v>2</v>
      </c>
      <c r="C660" s="1" t="n">
        <v>1.2</v>
      </c>
      <c r="D660" s="1" t="n">
        <v>1.057</v>
      </c>
      <c r="E660" s="1" t="n">
        <v>0.0404039</v>
      </c>
      <c r="F660" s="1" t="n">
        <v>0.000109959</v>
      </c>
      <c r="G660" s="1" t="s">
        <v>37</v>
      </c>
      <c r="H660" s="1" t="n">
        <v>61.2</v>
      </c>
      <c r="I660" s="1" t="n">
        <v>41.6</v>
      </c>
      <c r="J660" s="1" t="n">
        <v>83.3</v>
      </c>
      <c r="K660" s="1" t="n">
        <v>61.7</v>
      </c>
      <c r="L660" s="1" t="n">
        <v>0</v>
      </c>
      <c r="M660" s="1" t="n">
        <v>0</v>
      </c>
      <c r="N660" s="1" t="s">
        <v>384</v>
      </c>
      <c r="Z660" s="0" t="n">
        <f aca="false">I660-3</f>
        <v>38.6</v>
      </c>
      <c r="AB660" s="0" t="n">
        <f aca="false">IF(Z660&lt;0,Z660+360,Z660+0)</f>
        <v>38.6</v>
      </c>
    </row>
    <row r="661" customFormat="false" ht="15.8" hidden="false" customHeight="false" outlineLevel="0" collapsed="false">
      <c r="A661" s="1" t="n">
        <v>13</v>
      </c>
      <c r="B661" s="1" t="n">
        <v>1</v>
      </c>
      <c r="C661" s="1" t="n">
        <v>3.1</v>
      </c>
      <c r="D661" s="1" t="n">
        <v>1.1013</v>
      </c>
      <c r="E661" s="1" t="n">
        <v>0.105844</v>
      </c>
      <c r="F661" s="1" t="n">
        <v>0.000288054</v>
      </c>
      <c r="G661" s="1" t="s">
        <v>37</v>
      </c>
      <c r="H661" s="1"/>
      <c r="I661" s="1" t="n">
        <v>7.8</v>
      </c>
      <c r="J661" s="1" t="n">
        <v>23.3</v>
      </c>
      <c r="K661" s="1" t="n">
        <v>61.2</v>
      </c>
      <c r="L661" s="1" t="n">
        <v>0</v>
      </c>
      <c r="M661" s="1" t="n">
        <v>0</v>
      </c>
      <c r="N661" s="1" t="s">
        <v>414</v>
      </c>
      <c r="Z661" s="0" t="n">
        <f aca="false">I661-3</f>
        <v>4.8</v>
      </c>
      <c r="AB661" s="0" t="n">
        <f aca="false">IF(Z661&lt;0,Z661+360,Z661+0)</f>
        <v>4.8</v>
      </c>
    </row>
    <row r="662" customFormat="false" ht="15.8" hidden="false" customHeight="false" outlineLevel="0" collapsed="false">
      <c r="A662" s="1" t="n">
        <v>14</v>
      </c>
      <c r="B662" s="1" t="n">
        <v>2</v>
      </c>
      <c r="C662" s="1" t="n">
        <v>2.9</v>
      </c>
      <c r="D662" s="1" t="n">
        <v>1.2787</v>
      </c>
      <c r="E662" s="1" t="n">
        <v>0.100696</v>
      </c>
      <c r="F662" s="1" t="n">
        <v>0.000274043</v>
      </c>
      <c r="G662" s="1" t="s">
        <v>27</v>
      </c>
      <c r="H662" s="1" t="n">
        <v>137.1</v>
      </c>
      <c r="I662" s="1" t="n">
        <v>215</v>
      </c>
      <c r="J662" s="1" t="n">
        <v>18.7</v>
      </c>
      <c r="K662" s="1"/>
      <c r="L662" s="1" t="n">
        <v>0</v>
      </c>
      <c r="M662" s="1" t="n">
        <v>0</v>
      </c>
      <c r="N662" s="1" t="s">
        <v>415</v>
      </c>
      <c r="Z662" s="0" t="n">
        <f aca="false">I662-3</f>
        <v>212</v>
      </c>
      <c r="AB662" s="0" t="n">
        <f aca="false">IF(Z662&lt;0,Z662+360,Z662+0)</f>
        <v>212</v>
      </c>
    </row>
    <row r="663" customFormat="false" ht="15.8" hidden="false" customHeight="false" outlineLevel="0" collapsed="false">
      <c r="A663" s="1" t="n">
        <v>14</v>
      </c>
      <c r="B663" s="1" t="n">
        <v>3</v>
      </c>
      <c r="C663" s="1" t="n">
        <v>0.7</v>
      </c>
      <c r="D663" s="1" t="n">
        <v>1.1566</v>
      </c>
      <c r="E663" s="1" t="n">
        <v>0.02474</v>
      </c>
      <c r="F663" s="1" t="n">
        <v>6.73297E-005</v>
      </c>
      <c r="G663" s="1" t="s">
        <v>27</v>
      </c>
      <c r="H663" s="1" t="n">
        <v>28</v>
      </c>
      <c r="I663" s="1" t="n">
        <v>76.3</v>
      </c>
      <c r="J663" s="1" t="n">
        <v>-36.3</v>
      </c>
      <c r="K663" s="1"/>
      <c r="L663" s="1" t="n">
        <v>0</v>
      </c>
      <c r="M663" s="1" t="n">
        <v>0</v>
      </c>
      <c r="N663" s="1" t="s">
        <v>416</v>
      </c>
      <c r="Z663" s="0" t="n">
        <f aca="false">I663-3</f>
        <v>73.3</v>
      </c>
      <c r="AB663" s="0" t="n">
        <f aca="false">IF(Z663&lt;0,Z663+360,Z663+0)</f>
        <v>73.3</v>
      </c>
    </row>
    <row r="664" customFormat="false" ht="15.8" hidden="false" customHeight="false" outlineLevel="0" collapsed="false">
      <c r="A664" s="1" t="n">
        <v>14</v>
      </c>
      <c r="B664" s="1" t="n">
        <v>3</v>
      </c>
      <c r="C664" s="1" t="n">
        <v>12.9</v>
      </c>
      <c r="D664" s="1" t="n">
        <v>1.2356</v>
      </c>
      <c r="E664" s="1" t="n">
        <v>0.440358</v>
      </c>
      <c r="F664" s="1" t="n">
        <v>0.00119843</v>
      </c>
      <c r="G664" s="1" t="s">
        <v>27</v>
      </c>
      <c r="H664" s="1" t="n">
        <v>44.3</v>
      </c>
      <c r="I664" s="1" t="n">
        <v>10.1</v>
      </c>
      <c r="J664" s="1" t="n">
        <v>-2</v>
      </c>
      <c r="K664" s="1"/>
      <c r="L664" s="1" t="n">
        <v>0</v>
      </c>
      <c r="M664" s="1" t="n">
        <v>0</v>
      </c>
      <c r="N664" s="1" t="s">
        <v>416</v>
      </c>
      <c r="Z664" s="0" t="n">
        <f aca="false">I664-3</f>
        <v>7.1</v>
      </c>
      <c r="AB664" s="0" t="n">
        <f aca="false">IF(Z664&lt;0,Z664+360,Z664+0)</f>
        <v>7.1</v>
      </c>
    </row>
    <row r="665" customFormat="false" ht="15.8" hidden="false" customHeight="false" outlineLevel="0" collapsed="false">
      <c r="A665" s="1" t="n">
        <v>14</v>
      </c>
      <c r="B665" s="1" t="n">
        <v>2</v>
      </c>
      <c r="C665" s="1" t="n">
        <v>0.7</v>
      </c>
      <c r="D665" s="1" t="n">
        <v>1.1571</v>
      </c>
      <c r="E665" s="1" t="n">
        <v>0.0253945</v>
      </c>
      <c r="F665" s="1" t="n">
        <v>6.91108E-005</v>
      </c>
      <c r="G665" s="1" t="s">
        <v>37</v>
      </c>
      <c r="H665" s="1" t="n">
        <v>55.3</v>
      </c>
      <c r="I665" s="1" t="n">
        <v>41.6</v>
      </c>
      <c r="J665" s="1" t="n">
        <v>-35.2</v>
      </c>
      <c r="K665" s="1" t="n">
        <v>44.3</v>
      </c>
      <c r="L665" s="1" t="n">
        <v>0</v>
      </c>
      <c r="M665" s="1" t="n">
        <v>0</v>
      </c>
      <c r="N665" s="1" t="s">
        <v>415</v>
      </c>
      <c r="Z665" s="0" t="n">
        <f aca="false">I665-3</f>
        <v>38.6</v>
      </c>
      <c r="AB665" s="0" t="n">
        <f aca="false">IF(Z665&lt;0,Z665+360,Z665+0)</f>
        <v>38.6</v>
      </c>
    </row>
    <row r="666" customFormat="false" ht="15.8" hidden="false" customHeight="false" outlineLevel="0" collapsed="false">
      <c r="A666" s="1" t="n">
        <v>14</v>
      </c>
      <c r="B666" s="1" t="n">
        <v>1</v>
      </c>
      <c r="C666" s="1" t="n">
        <v>3</v>
      </c>
      <c r="D666" s="1" t="n">
        <v>1.008</v>
      </c>
      <c r="E666" s="1" t="n">
        <v>0.1016</v>
      </c>
      <c r="F666" s="1" t="n">
        <v>0.000276503</v>
      </c>
      <c r="G666" s="1" t="s">
        <v>37</v>
      </c>
      <c r="H666" s="1"/>
      <c r="I666" s="1" t="n">
        <v>355.8</v>
      </c>
      <c r="J666" s="1" t="n">
        <v>0</v>
      </c>
      <c r="K666" s="1" t="n">
        <v>137.1</v>
      </c>
      <c r="L666" s="1" t="n">
        <v>0</v>
      </c>
      <c r="M666" s="1" t="n">
        <v>0</v>
      </c>
      <c r="N666" s="1" t="s">
        <v>417</v>
      </c>
      <c r="Z666" s="0" t="n">
        <f aca="false">I666-3</f>
        <v>352.8</v>
      </c>
      <c r="AB666" s="0" t="n">
        <f aca="false">IF(Z666&lt;0,Z666+360,Z666+0)</f>
        <v>352.8</v>
      </c>
    </row>
    <row r="667" customFormat="false" ht="15.8" hidden="false" customHeight="false" outlineLevel="0" collapsed="false">
      <c r="A667" s="1" t="n">
        <v>15</v>
      </c>
      <c r="B667" s="1" t="n">
        <v>1</v>
      </c>
      <c r="C667" s="1" t="n">
        <v>1.3</v>
      </c>
      <c r="D667" s="1" t="n">
        <v>1.0247</v>
      </c>
      <c r="E667" s="1" t="n">
        <v>0.0441015</v>
      </c>
      <c r="F667" s="1" t="n">
        <v>0.000120022</v>
      </c>
      <c r="G667" s="1" t="s">
        <v>27</v>
      </c>
      <c r="H667" s="1"/>
      <c r="I667" s="1" t="n">
        <v>322.7</v>
      </c>
      <c r="J667" s="1" t="n">
        <v>0</v>
      </c>
      <c r="K667" s="1"/>
      <c r="L667" s="1" t="n">
        <v>0</v>
      </c>
      <c r="M667" s="1" t="n">
        <v>0</v>
      </c>
      <c r="N667" s="1" t="s">
        <v>418</v>
      </c>
      <c r="Z667" s="0" t="n">
        <f aca="false">I667-3</f>
        <v>319.7</v>
      </c>
      <c r="AB667" s="0" t="n">
        <f aca="false">IF(Z667&lt;0,Z667+360,Z667+0)</f>
        <v>319.7</v>
      </c>
    </row>
    <row r="668" customFormat="false" ht="15.8" hidden="false" customHeight="false" outlineLevel="0" collapsed="false">
      <c r="A668" s="1" t="n">
        <v>16</v>
      </c>
      <c r="B668" s="1" t="n">
        <v>2</v>
      </c>
      <c r="C668" s="1" t="n">
        <v>1.4</v>
      </c>
      <c r="D668" s="1" t="n">
        <v>1.0974</v>
      </c>
      <c r="E668" s="1" t="n">
        <v>0.0468823</v>
      </c>
      <c r="F668" s="1" t="n">
        <v>0.00012759</v>
      </c>
      <c r="G668" s="1" t="s">
        <v>27</v>
      </c>
      <c r="H668" s="1" t="n">
        <v>82.5</v>
      </c>
      <c r="I668" s="1" t="n">
        <v>308.8</v>
      </c>
      <c r="J668" s="1" t="n">
        <v>-62.7</v>
      </c>
      <c r="K668" s="1"/>
      <c r="L668" s="1" t="n">
        <v>0</v>
      </c>
      <c r="M668" s="1" t="n">
        <v>0</v>
      </c>
      <c r="N668" s="1" t="s">
        <v>419</v>
      </c>
      <c r="Z668" s="0" t="n">
        <f aca="false">I668-3</f>
        <v>305.8</v>
      </c>
      <c r="AB668" s="0" t="n">
        <f aca="false">IF(Z668&lt;0,Z668+360,Z668+0)</f>
        <v>305.8</v>
      </c>
    </row>
    <row r="669" customFormat="false" ht="15.8" hidden="false" customHeight="false" outlineLevel="0" collapsed="false">
      <c r="A669" s="1" t="n">
        <v>16</v>
      </c>
      <c r="B669" s="1" t="n">
        <v>2</v>
      </c>
      <c r="C669" s="1" t="n">
        <v>0.9</v>
      </c>
      <c r="D669" s="1" t="n">
        <v>1.1527</v>
      </c>
      <c r="E669" s="1" t="n">
        <v>0.0297645</v>
      </c>
      <c r="F669" s="1" t="n">
        <v>8.10038E-005</v>
      </c>
      <c r="G669" s="1" t="s">
        <v>27</v>
      </c>
      <c r="H669" s="1" t="n">
        <v>39.6</v>
      </c>
      <c r="I669" s="1" t="n">
        <v>214.2</v>
      </c>
      <c r="J669" s="1" t="n">
        <v>29.3</v>
      </c>
      <c r="K669" s="1"/>
      <c r="L669" s="1" t="n">
        <v>0</v>
      </c>
      <c r="M669" s="1" t="n">
        <v>0</v>
      </c>
      <c r="N669" s="1" t="s">
        <v>419</v>
      </c>
      <c r="Z669" s="0" t="n">
        <f aca="false">I669-3</f>
        <v>211.2</v>
      </c>
      <c r="AB669" s="0" t="n">
        <f aca="false">IF(Z669&lt;0,Z669+360,Z669+0)</f>
        <v>211.2</v>
      </c>
    </row>
    <row r="670" customFormat="false" ht="15.8" hidden="false" customHeight="false" outlineLevel="0" collapsed="false">
      <c r="A670" s="1" t="n">
        <v>16</v>
      </c>
      <c r="B670" s="1" t="n">
        <v>1</v>
      </c>
      <c r="C670" s="1" t="n">
        <v>2.4</v>
      </c>
      <c r="D670" s="1" t="n">
        <v>1.1338</v>
      </c>
      <c r="E670" s="1" t="n">
        <v>0.080923</v>
      </c>
      <c r="F670" s="1" t="n">
        <v>0.000220231</v>
      </c>
      <c r="G670" s="1" t="s">
        <v>37</v>
      </c>
      <c r="H670" s="1"/>
      <c r="I670" s="1" t="n">
        <v>215.3</v>
      </c>
      <c r="J670" s="1" t="n">
        <v>-10.2</v>
      </c>
      <c r="K670" s="1" t="n">
        <v>82.5</v>
      </c>
      <c r="L670" s="1" t="n">
        <v>0</v>
      </c>
      <c r="M670" s="1" t="n">
        <v>0</v>
      </c>
      <c r="N670" s="1" t="s">
        <v>420</v>
      </c>
      <c r="Z670" s="0" t="n">
        <f aca="false">I670-3</f>
        <v>212.3</v>
      </c>
      <c r="AB670" s="0" t="n">
        <f aca="false">IF(Z670&lt;0,Z670+360,Z670+0)</f>
        <v>212.3</v>
      </c>
    </row>
    <row r="671" customFormat="false" ht="15.8" hidden="false" customHeight="false" outlineLevel="0" collapsed="false">
      <c r="A671" s="1" t="n">
        <v>17</v>
      </c>
      <c r="B671" s="1" t="n">
        <v>1</v>
      </c>
      <c r="C671" s="1" t="n">
        <v>1.2</v>
      </c>
      <c r="D671" s="1" t="n">
        <v>1.2738</v>
      </c>
      <c r="E671" s="1" t="n">
        <v>0.042522</v>
      </c>
      <c r="F671" s="1" t="n">
        <v>0.000115723</v>
      </c>
      <c r="G671" s="1" t="s">
        <v>27</v>
      </c>
      <c r="H671" s="1"/>
      <c r="I671" s="1" t="n">
        <v>102.5</v>
      </c>
      <c r="J671" s="1" t="n">
        <v>22.3</v>
      </c>
      <c r="K671" s="1"/>
      <c r="L671" s="1" t="n">
        <v>0</v>
      </c>
      <c r="M671" s="1" t="n">
        <v>0</v>
      </c>
      <c r="N671" s="1" t="s">
        <v>421</v>
      </c>
      <c r="Z671" s="0" t="n">
        <f aca="false">I671-3</f>
        <v>99.5</v>
      </c>
      <c r="AB671" s="0" t="n">
        <f aca="false">IF(Z671&lt;0,Z671+360,Z671+0)</f>
        <v>99.5</v>
      </c>
    </row>
    <row r="672" customFormat="false" ht="15.8" hidden="false" customHeight="false" outlineLevel="0" collapsed="false">
      <c r="A672" s="1" t="n">
        <v>18</v>
      </c>
      <c r="B672" s="1" t="n">
        <v>1</v>
      </c>
      <c r="C672" s="1" t="n">
        <v>1.8</v>
      </c>
      <c r="D672" s="1" t="n">
        <v>1.3094</v>
      </c>
      <c r="E672" s="1" t="n">
        <v>0.062991</v>
      </c>
      <c r="F672" s="1" t="n">
        <v>0.00017143</v>
      </c>
      <c r="G672" s="1" t="s">
        <v>27</v>
      </c>
      <c r="H672" s="1"/>
      <c r="I672" s="1" t="n">
        <v>250.9</v>
      </c>
      <c r="J672" s="1" t="n">
        <v>52.1</v>
      </c>
      <c r="K672" s="1"/>
      <c r="L672" s="1" t="n">
        <v>0</v>
      </c>
      <c r="M672" s="1" t="n">
        <v>0</v>
      </c>
      <c r="N672" s="1" t="s">
        <v>422</v>
      </c>
      <c r="Z672" s="0" t="n">
        <f aca="false">I672-3</f>
        <v>247.9</v>
      </c>
      <c r="AB672" s="0" t="n">
        <f aca="false">IF(Z672&lt;0,Z672+360,Z672+0)</f>
        <v>247.9</v>
      </c>
    </row>
    <row r="673" customFormat="false" ht="15.8" hidden="false" customHeight="false" outlineLevel="0" collapsed="false">
      <c r="A673" s="1" t="n">
        <v>19</v>
      </c>
      <c r="B673" s="1" t="n">
        <v>2</v>
      </c>
      <c r="C673" s="1" t="n">
        <v>3.7</v>
      </c>
      <c r="D673" s="1" t="n">
        <v>1.4485</v>
      </c>
      <c r="E673" s="1" t="n">
        <v>0.127336</v>
      </c>
      <c r="F673" s="1" t="n">
        <v>0.000346543</v>
      </c>
      <c r="G673" s="1" t="s">
        <v>27</v>
      </c>
      <c r="H673" s="1" t="n">
        <v>56.1</v>
      </c>
      <c r="I673" s="1" t="n">
        <v>191</v>
      </c>
      <c r="J673" s="1" t="n">
        <v>-16.7</v>
      </c>
      <c r="K673" s="1"/>
      <c r="L673" s="1" t="n">
        <v>0</v>
      </c>
      <c r="M673" s="1" t="n">
        <v>0</v>
      </c>
      <c r="N673" s="1" t="s">
        <v>423</v>
      </c>
      <c r="Z673" s="0" t="n">
        <f aca="false">I673-3</f>
        <v>188</v>
      </c>
      <c r="AB673" s="0" t="n">
        <f aca="false">IF(Z673&lt;0,Z673+360,Z673+0)</f>
        <v>188</v>
      </c>
    </row>
    <row r="674" customFormat="false" ht="15.8" hidden="false" customHeight="false" outlineLevel="0" collapsed="false">
      <c r="A674" s="1" t="n">
        <v>19</v>
      </c>
      <c r="B674" s="1" t="n">
        <v>3</v>
      </c>
      <c r="C674" s="1" t="n">
        <v>1.3</v>
      </c>
      <c r="D674" s="1" t="n">
        <v>1.2151</v>
      </c>
      <c r="E674" s="1" t="n">
        <v>0.0436262</v>
      </c>
      <c r="F674" s="1" t="n">
        <v>0.000118728</v>
      </c>
      <c r="G674" s="1" t="s">
        <v>27</v>
      </c>
      <c r="H674" s="1" t="n">
        <v>20.5</v>
      </c>
      <c r="I674" s="1" t="n">
        <v>248.6</v>
      </c>
      <c r="J674" s="1" t="n">
        <v>20.6</v>
      </c>
      <c r="K674" s="1"/>
      <c r="L674" s="1" t="n">
        <v>0</v>
      </c>
      <c r="M674" s="1" t="n">
        <v>0</v>
      </c>
      <c r="N674" s="1" t="s">
        <v>424</v>
      </c>
      <c r="Z674" s="0" t="n">
        <f aca="false">I674-3</f>
        <v>245.6</v>
      </c>
      <c r="AB674" s="0" t="n">
        <f aca="false">IF(Z674&lt;0,Z674+360,Z674+0)</f>
        <v>245.6</v>
      </c>
    </row>
    <row r="675" customFormat="false" ht="15.8" hidden="false" customHeight="false" outlineLevel="0" collapsed="false">
      <c r="A675" s="1" t="n">
        <v>19</v>
      </c>
      <c r="B675" s="1" t="n">
        <v>4</v>
      </c>
      <c r="C675" s="1" t="n">
        <v>4.4</v>
      </c>
      <c r="D675" s="1" t="n">
        <v>1.2931</v>
      </c>
      <c r="E675" s="1" t="n">
        <v>0.15026</v>
      </c>
      <c r="F675" s="1" t="n">
        <v>0.000408931</v>
      </c>
      <c r="G675" s="1" t="s">
        <v>27</v>
      </c>
      <c r="H675" s="1" t="n">
        <v>118.8</v>
      </c>
      <c r="I675" s="1" t="n">
        <v>211.7</v>
      </c>
      <c r="J675" s="1" t="n">
        <v>6.3</v>
      </c>
      <c r="K675" s="1"/>
      <c r="L675" s="1" t="n">
        <v>0</v>
      </c>
      <c r="M675" s="1" t="n">
        <v>0</v>
      </c>
      <c r="N675" s="1" t="s">
        <v>425</v>
      </c>
      <c r="Z675" s="0" t="n">
        <f aca="false">I675-3</f>
        <v>208.7</v>
      </c>
      <c r="AB675" s="0" t="n">
        <f aca="false">IF(Z675&lt;0,Z675+360,Z675+0)</f>
        <v>208.7</v>
      </c>
    </row>
    <row r="676" customFormat="false" ht="15.8" hidden="false" customHeight="false" outlineLevel="0" collapsed="false">
      <c r="A676" s="1" t="n">
        <v>19</v>
      </c>
      <c r="B676" s="1" t="n">
        <v>4</v>
      </c>
      <c r="C676" s="1" t="n">
        <v>2.1</v>
      </c>
      <c r="D676" s="1" t="n">
        <v>1.2002</v>
      </c>
      <c r="E676" s="1" t="n">
        <v>0.0734384</v>
      </c>
      <c r="F676" s="1" t="n">
        <v>0.000199862</v>
      </c>
      <c r="G676" s="1" t="s">
        <v>27</v>
      </c>
      <c r="H676" s="1" t="n">
        <v>64.6</v>
      </c>
      <c r="I676" s="1" t="n">
        <v>14.3</v>
      </c>
      <c r="J676" s="1" t="n">
        <v>-24.4</v>
      </c>
      <c r="K676" s="1"/>
      <c r="L676" s="1" t="n">
        <v>0</v>
      </c>
      <c r="M676" s="1" t="n">
        <v>0</v>
      </c>
      <c r="N676" s="1" t="s">
        <v>425</v>
      </c>
      <c r="Z676" s="0" t="n">
        <f aca="false">I676-3</f>
        <v>11.3</v>
      </c>
      <c r="AB676" s="0" t="n">
        <f aca="false">IF(Z676&lt;0,Z676+360,Z676+0)</f>
        <v>11.3</v>
      </c>
    </row>
    <row r="677" customFormat="false" ht="15.8" hidden="false" customHeight="false" outlineLevel="0" collapsed="false">
      <c r="A677" s="1" t="n">
        <v>19</v>
      </c>
      <c r="B677" s="1" t="n">
        <v>4</v>
      </c>
      <c r="C677" s="1" t="n">
        <v>1.6</v>
      </c>
      <c r="D677" s="1" t="n">
        <v>1.1061</v>
      </c>
      <c r="E677" s="1" t="n">
        <v>0.0542027</v>
      </c>
      <c r="F677" s="1" t="n">
        <v>0.000147512</v>
      </c>
      <c r="G677" s="1" t="s">
        <v>27</v>
      </c>
      <c r="H677" s="1" t="n">
        <v>30.6</v>
      </c>
      <c r="I677" s="1" t="n">
        <v>128.7</v>
      </c>
      <c r="J677" s="1" t="n">
        <v>-50.8</v>
      </c>
      <c r="K677" s="1"/>
      <c r="L677" s="1" t="n">
        <v>0</v>
      </c>
      <c r="M677" s="1" t="n">
        <v>0</v>
      </c>
      <c r="N677" s="1" t="s">
        <v>425</v>
      </c>
      <c r="Z677" s="0" t="n">
        <f aca="false">I677-3</f>
        <v>125.7</v>
      </c>
      <c r="AB677" s="0" t="n">
        <f aca="false">IF(Z677&lt;0,Z677+360,Z677+0)</f>
        <v>125.7</v>
      </c>
    </row>
    <row r="678" customFormat="false" ht="15.8" hidden="false" customHeight="false" outlineLevel="0" collapsed="false">
      <c r="A678" s="1" t="n">
        <v>19</v>
      </c>
      <c r="B678" s="1" t="n">
        <v>3</v>
      </c>
      <c r="C678" s="1" t="n">
        <v>0.7</v>
      </c>
      <c r="D678" s="1" t="n">
        <v>1.1426</v>
      </c>
      <c r="E678" s="1" t="n">
        <v>0.023989</v>
      </c>
      <c r="F678" s="1" t="n">
        <v>6.52859E-005</v>
      </c>
      <c r="G678" s="1" t="s">
        <v>37</v>
      </c>
      <c r="H678" s="1" t="n">
        <v>140.9</v>
      </c>
      <c r="I678" s="1" t="n">
        <v>90</v>
      </c>
      <c r="J678" s="1" t="n">
        <v>-37.1</v>
      </c>
      <c r="K678" s="1" t="n">
        <v>118.8</v>
      </c>
      <c r="L678" s="1" t="n">
        <v>0</v>
      </c>
      <c r="M678" s="1" t="n">
        <v>0</v>
      </c>
      <c r="N678" s="1" t="s">
        <v>424</v>
      </c>
      <c r="Z678" s="0" t="n">
        <f aca="false">I678-3</f>
        <v>87</v>
      </c>
      <c r="AB678" s="0" t="n">
        <f aca="false">IF(Z678&lt;0,Z678+360,Z678+0)</f>
        <v>87</v>
      </c>
    </row>
    <row r="679" customFormat="false" ht="15.8" hidden="false" customHeight="false" outlineLevel="0" collapsed="false">
      <c r="A679" s="1" t="n">
        <v>19</v>
      </c>
      <c r="B679" s="1" t="n">
        <v>2</v>
      </c>
      <c r="C679" s="1" t="n">
        <v>8.3</v>
      </c>
      <c r="D679" s="1" t="n">
        <v>1.527</v>
      </c>
      <c r="E679" s="1" t="n">
        <v>0.283387</v>
      </c>
      <c r="F679" s="1" t="n">
        <v>0.000771237</v>
      </c>
      <c r="G679" s="1" t="s">
        <v>37</v>
      </c>
      <c r="H679" s="1" t="n">
        <v>13.8</v>
      </c>
      <c r="I679" s="1" t="n">
        <v>226.7</v>
      </c>
      <c r="J679" s="1" t="n">
        <v>24.1</v>
      </c>
      <c r="K679" s="1" t="n">
        <v>140.9</v>
      </c>
      <c r="L679" s="1" t="n">
        <v>0</v>
      </c>
      <c r="M679" s="1" t="n">
        <v>0</v>
      </c>
      <c r="N679" s="1" t="s">
        <v>423</v>
      </c>
      <c r="Z679" s="0" t="n">
        <f aca="false">I679-3</f>
        <v>223.7</v>
      </c>
      <c r="AB679" s="0" t="n">
        <f aca="false">IF(Z679&lt;0,Z679+360,Z679+0)</f>
        <v>223.7</v>
      </c>
    </row>
    <row r="680" customFormat="false" ht="15.8" hidden="false" customHeight="false" outlineLevel="0" collapsed="false">
      <c r="A680" s="1" t="n">
        <v>19</v>
      </c>
      <c r="B680" s="1" t="n">
        <v>1</v>
      </c>
      <c r="C680" s="1" t="n">
        <v>3.7</v>
      </c>
      <c r="D680" s="1" t="n">
        <v>1.3899</v>
      </c>
      <c r="E680" s="1" t="n">
        <v>0.153528</v>
      </c>
      <c r="F680" s="1" t="n">
        <v>0.000565187</v>
      </c>
      <c r="G680" s="1" t="s">
        <v>37</v>
      </c>
      <c r="H680" s="1"/>
      <c r="I680" s="1" t="n">
        <v>215.9</v>
      </c>
      <c r="J680" s="1" t="n">
        <v>34.2</v>
      </c>
      <c r="K680" s="1" t="n">
        <v>56.1</v>
      </c>
      <c r="L680" s="1" t="n">
        <v>0</v>
      </c>
      <c r="M680" s="1" t="n">
        <v>0</v>
      </c>
      <c r="N680" s="1" t="s">
        <v>426</v>
      </c>
      <c r="Z680" s="0" t="n">
        <f aca="false">I680-3</f>
        <v>212.9</v>
      </c>
      <c r="AB680" s="0" t="n">
        <f aca="false">IF(Z680&lt;0,Z680+360,Z680+0)</f>
        <v>212.9</v>
      </c>
    </row>
    <row r="681" customFormat="false" ht="15.8" hidden="false" customHeight="false" outlineLevel="0" collapsed="false">
      <c r="A681" s="1" t="n">
        <v>20</v>
      </c>
      <c r="B681" s="1" t="n">
        <v>3</v>
      </c>
      <c r="C681" s="1" t="n">
        <v>2.5</v>
      </c>
      <c r="D681" s="1" t="n">
        <v>1.1193</v>
      </c>
      <c r="E681" s="1" t="n">
        <v>0.0854288</v>
      </c>
      <c r="F681" s="1" t="n">
        <v>0.000232494</v>
      </c>
      <c r="G681" s="1" t="s">
        <v>27</v>
      </c>
      <c r="H681" s="1" t="n">
        <v>40.5</v>
      </c>
      <c r="I681" s="1" t="n">
        <v>180.8</v>
      </c>
      <c r="J681" s="1" t="n">
        <v>0</v>
      </c>
      <c r="K681" s="1"/>
      <c r="L681" s="1" t="n">
        <v>0</v>
      </c>
      <c r="M681" s="1" t="n">
        <v>0</v>
      </c>
      <c r="N681" s="1" t="s">
        <v>427</v>
      </c>
      <c r="Z681" s="0" t="n">
        <f aca="false">I681-3</f>
        <v>177.8</v>
      </c>
      <c r="AB681" s="0" t="n">
        <f aca="false">IF(Z681&lt;0,Z681+360,Z681+0)</f>
        <v>177.8</v>
      </c>
    </row>
    <row r="682" customFormat="false" ht="15.8" hidden="false" customHeight="false" outlineLevel="0" collapsed="false">
      <c r="A682" s="1" t="n">
        <v>20</v>
      </c>
      <c r="B682" s="1" t="n">
        <v>3</v>
      </c>
      <c r="C682" s="1" t="n">
        <v>14.5</v>
      </c>
      <c r="D682" s="1" t="n">
        <v>1.3529</v>
      </c>
      <c r="E682" s="1" t="n">
        <v>0.495541</v>
      </c>
      <c r="F682" s="1" t="n">
        <v>0.00134861</v>
      </c>
      <c r="G682" s="1" t="s">
        <v>27</v>
      </c>
      <c r="H682" s="1" t="n">
        <v>58.2</v>
      </c>
      <c r="I682" s="1" t="n">
        <v>135.5</v>
      </c>
      <c r="J682" s="1" t="n">
        <v>-14</v>
      </c>
      <c r="K682" s="1"/>
      <c r="L682" s="1" t="n">
        <v>0</v>
      </c>
      <c r="M682" s="1" t="n">
        <v>0</v>
      </c>
      <c r="N682" s="1" t="s">
        <v>427</v>
      </c>
      <c r="Z682" s="0" t="n">
        <f aca="false">I682-3</f>
        <v>132.5</v>
      </c>
      <c r="AB682" s="0" t="n">
        <f aca="false">IF(Z682&lt;0,Z682+360,Z682+0)</f>
        <v>132.5</v>
      </c>
    </row>
    <row r="683" customFormat="false" ht="15.8" hidden="false" customHeight="false" outlineLevel="0" collapsed="false">
      <c r="A683" s="1" t="n">
        <v>20</v>
      </c>
      <c r="B683" s="1" t="n">
        <v>2</v>
      </c>
      <c r="C683" s="1" t="n">
        <v>3</v>
      </c>
      <c r="D683" s="1" t="n">
        <v>1.2525</v>
      </c>
      <c r="E683" s="1" t="n">
        <v>0.102779</v>
      </c>
      <c r="F683" s="1" t="n">
        <v>0.000279713</v>
      </c>
      <c r="G683" s="1" t="s">
        <v>37</v>
      </c>
      <c r="H683" s="1" t="n">
        <v>104.4</v>
      </c>
      <c r="I683" s="1" t="n">
        <v>195.9</v>
      </c>
      <c r="J683" s="1" t="n">
        <v>-38.1</v>
      </c>
      <c r="K683" s="1" t="n">
        <v>58.2</v>
      </c>
      <c r="L683" s="1" t="n">
        <v>0</v>
      </c>
      <c r="M683" s="1" t="n">
        <v>0</v>
      </c>
      <c r="N683" s="1" t="s">
        <v>428</v>
      </c>
      <c r="Z683" s="0" t="n">
        <f aca="false">I683-3</f>
        <v>192.9</v>
      </c>
      <c r="AB683" s="0" t="n">
        <f aca="false">IF(Z683&lt;0,Z683+360,Z683+0)</f>
        <v>192.9</v>
      </c>
    </row>
    <row r="684" customFormat="false" ht="15.8" hidden="false" customHeight="false" outlineLevel="0" collapsed="false">
      <c r="A684" s="1" t="n">
        <v>20</v>
      </c>
      <c r="B684" s="1" t="n">
        <v>4</v>
      </c>
      <c r="C684" s="1" t="n">
        <v>7.1</v>
      </c>
      <c r="D684" s="1" t="n">
        <v>1.1147</v>
      </c>
      <c r="E684" s="1" t="n">
        <v>0.241139</v>
      </c>
      <c r="F684" s="1" t="n">
        <v>0.000656259</v>
      </c>
      <c r="G684" s="1" t="s">
        <v>27</v>
      </c>
      <c r="H684" s="1" t="n">
        <v>42.3</v>
      </c>
      <c r="I684" s="1" t="n">
        <v>180.7</v>
      </c>
      <c r="J684" s="1" t="n">
        <v>0</v>
      </c>
      <c r="K684" s="1"/>
      <c r="L684" s="1" t="n">
        <v>0</v>
      </c>
      <c r="M684" s="1" t="n">
        <v>0</v>
      </c>
      <c r="N684" s="1" t="s">
        <v>429</v>
      </c>
      <c r="Z684" s="0" t="n">
        <f aca="false">I684-3</f>
        <v>177.7</v>
      </c>
      <c r="AB684" s="0" t="n">
        <f aca="false">IF(Z684&lt;0,Z684+360,Z684+0)</f>
        <v>177.7</v>
      </c>
    </row>
    <row r="685" customFormat="false" ht="15.8" hidden="false" customHeight="false" outlineLevel="0" collapsed="false">
      <c r="A685" s="1" t="n">
        <v>20</v>
      </c>
      <c r="B685" s="1" t="n">
        <v>4</v>
      </c>
      <c r="C685" s="1" t="n">
        <v>2.1</v>
      </c>
      <c r="D685" s="1" t="n">
        <v>1.1327</v>
      </c>
      <c r="E685" s="1" t="n">
        <v>0.0716744</v>
      </c>
      <c r="F685" s="1" t="n">
        <v>0.000195061</v>
      </c>
      <c r="G685" s="1" t="s">
        <v>27</v>
      </c>
      <c r="H685" s="1" t="n">
        <v>55.8</v>
      </c>
      <c r="I685" s="1" t="n">
        <v>270</v>
      </c>
      <c r="J685" s="1" t="n">
        <v>-53.1</v>
      </c>
      <c r="K685" s="1"/>
      <c r="L685" s="1" t="n">
        <v>0</v>
      </c>
      <c r="M685" s="1" t="n">
        <v>0</v>
      </c>
      <c r="N685" s="1" t="s">
        <v>429</v>
      </c>
      <c r="Z685" s="0" t="n">
        <f aca="false">I685-3</f>
        <v>267</v>
      </c>
      <c r="AB685" s="0" t="n">
        <f aca="false">IF(Z685&lt;0,Z685+360,Z685+0)</f>
        <v>267</v>
      </c>
    </row>
    <row r="686" customFormat="false" ht="15.8" hidden="false" customHeight="false" outlineLevel="0" collapsed="false">
      <c r="A686" s="1" t="n">
        <v>20</v>
      </c>
      <c r="B686" s="1" t="n">
        <v>3</v>
      </c>
      <c r="C686" s="1" t="n">
        <v>21.8</v>
      </c>
      <c r="D686" s="1" t="n">
        <v>1.2758</v>
      </c>
      <c r="E686" s="1" t="n">
        <v>0.743944</v>
      </c>
      <c r="F686" s="1" t="n">
        <v>0.00202464</v>
      </c>
      <c r="G686" s="1" t="s">
        <v>37</v>
      </c>
      <c r="H686" s="1" t="n">
        <v>155.5</v>
      </c>
      <c r="I686" s="1" t="n">
        <v>183</v>
      </c>
      <c r="J686" s="1" t="n">
        <v>-42.3</v>
      </c>
      <c r="K686" s="1" t="n">
        <v>55.8</v>
      </c>
      <c r="L686" s="1" t="n">
        <v>0</v>
      </c>
      <c r="M686" s="1" t="n">
        <v>0</v>
      </c>
      <c r="N686" s="1" t="s">
        <v>430</v>
      </c>
      <c r="Z686" s="0" t="n">
        <f aca="false">I686-3</f>
        <v>180</v>
      </c>
      <c r="AB686" s="0" t="n">
        <f aca="false">IF(Z686&lt;0,Z686+360,Z686+0)</f>
        <v>180</v>
      </c>
    </row>
    <row r="687" customFormat="false" ht="15.8" hidden="false" customHeight="false" outlineLevel="0" collapsed="false">
      <c r="A687" s="1" t="n">
        <v>20</v>
      </c>
      <c r="B687" s="1" t="n">
        <v>5</v>
      </c>
      <c r="C687" s="1" t="n">
        <v>5.4</v>
      </c>
      <c r="D687" s="1" t="n">
        <v>1.2932</v>
      </c>
      <c r="E687" s="1" t="n">
        <v>0.184083</v>
      </c>
      <c r="F687" s="1" t="n">
        <v>0.00050098</v>
      </c>
      <c r="G687" s="1" t="s">
        <v>27</v>
      </c>
      <c r="H687" s="1" t="n">
        <v>47.4</v>
      </c>
      <c r="I687" s="1" t="n">
        <v>159.5</v>
      </c>
      <c r="J687" s="1" t="n">
        <v>-77.9</v>
      </c>
      <c r="K687" s="1"/>
      <c r="L687" s="1" t="n">
        <v>0</v>
      </c>
      <c r="M687" s="1" t="n">
        <v>0</v>
      </c>
      <c r="N687" s="1" t="s">
        <v>431</v>
      </c>
      <c r="Z687" s="0" t="n">
        <f aca="false">I687-3</f>
        <v>156.5</v>
      </c>
      <c r="AB687" s="0" t="n">
        <f aca="false">IF(Z687&lt;0,Z687+360,Z687+0)</f>
        <v>156.5</v>
      </c>
    </row>
    <row r="688" customFormat="false" ht="15.8" hidden="false" customHeight="false" outlineLevel="0" collapsed="false">
      <c r="A688" s="1" t="n">
        <v>20</v>
      </c>
      <c r="B688" s="1" t="n">
        <v>19</v>
      </c>
      <c r="C688" s="1" t="n">
        <v>2.2</v>
      </c>
      <c r="D688" s="1" t="n">
        <v>1.1479</v>
      </c>
      <c r="E688" s="1" t="n">
        <v>0.076403</v>
      </c>
      <c r="F688" s="1" t="n">
        <v>0.00020793</v>
      </c>
      <c r="G688" s="1" t="s">
        <v>27</v>
      </c>
      <c r="H688" s="1" t="n">
        <v>25.7</v>
      </c>
      <c r="I688" s="1" t="n">
        <v>348.5</v>
      </c>
      <c r="J688" s="1" t="n">
        <v>-11</v>
      </c>
      <c r="K688" s="1"/>
      <c r="L688" s="1" t="n">
        <v>0</v>
      </c>
      <c r="M688" s="1" t="n">
        <v>0</v>
      </c>
      <c r="N688" s="1" t="s">
        <v>432</v>
      </c>
      <c r="Z688" s="0" t="n">
        <f aca="false">I688-3</f>
        <v>345.5</v>
      </c>
      <c r="AB688" s="0" t="n">
        <f aca="false">IF(Z688&lt;0,Z688+360,Z688+0)</f>
        <v>345.5</v>
      </c>
    </row>
    <row r="689" customFormat="false" ht="15.8" hidden="false" customHeight="false" outlineLevel="0" collapsed="false">
      <c r="A689" s="1" t="n">
        <v>20</v>
      </c>
      <c r="B689" s="1" t="n">
        <v>19</v>
      </c>
      <c r="C689" s="1" t="n">
        <v>3</v>
      </c>
      <c r="D689" s="1" t="n">
        <v>1.2183</v>
      </c>
      <c r="E689" s="1" t="n">
        <v>0.102557</v>
      </c>
      <c r="F689" s="1" t="n">
        <v>0.000279107</v>
      </c>
      <c r="G689" s="1" t="s">
        <v>27</v>
      </c>
      <c r="H689" s="1" t="n">
        <v>27.1</v>
      </c>
      <c r="I689" s="1" t="n">
        <v>7.7</v>
      </c>
      <c r="J689" s="1" t="n">
        <v>26.8</v>
      </c>
      <c r="K689" s="1"/>
      <c r="L689" s="1" t="n">
        <v>0</v>
      </c>
      <c r="M689" s="1" t="n">
        <v>0</v>
      </c>
      <c r="N689" s="1" t="s">
        <v>432</v>
      </c>
      <c r="Z689" s="0" t="n">
        <f aca="false">I689-3</f>
        <v>4.7</v>
      </c>
      <c r="AB689" s="0" t="n">
        <f aca="false">IF(Z689&lt;0,Z689+360,Z689+0)</f>
        <v>4.7</v>
      </c>
    </row>
    <row r="690" customFormat="false" ht="15.8" hidden="false" customHeight="false" outlineLevel="0" collapsed="false">
      <c r="A690" s="1" t="n">
        <v>20</v>
      </c>
      <c r="B690" s="1" t="n">
        <v>18</v>
      </c>
      <c r="C690" s="1" t="n">
        <v>1.8</v>
      </c>
      <c r="D690" s="1" t="n">
        <v>1.0114</v>
      </c>
      <c r="E690" s="1" t="n">
        <v>0.0619606</v>
      </c>
      <c r="F690" s="1" t="n">
        <v>0.000168625</v>
      </c>
      <c r="G690" s="1" t="s">
        <v>37</v>
      </c>
      <c r="H690" s="1" t="n">
        <v>8.7</v>
      </c>
      <c r="I690" s="1" t="n">
        <v>11.9</v>
      </c>
      <c r="J690" s="1" t="n">
        <v>0</v>
      </c>
      <c r="K690" s="1" t="n">
        <v>27.1</v>
      </c>
      <c r="L690" s="1" t="n">
        <v>0</v>
      </c>
      <c r="M690" s="1" t="n">
        <v>0</v>
      </c>
      <c r="N690" s="1" t="s">
        <v>433</v>
      </c>
      <c r="Z690" s="0" t="n">
        <f aca="false">I690-3</f>
        <v>8.9</v>
      </c>
      <c r="AB690" s="0" t="n">
        <f aca="false">IF(Z690&lt;0,Z690+360,Z690+0)</f>
        <v>8.9</v>
      </c>
    </row>
    <row r="691" customFormat="false" ht="15.8" hidden="false" customHeight="false" outlineLevel="0" collapsed="false">
      <c r="A691" s="1" t="n">
        <v>20</v>
      </c>
      <c r="B691" s="1" t="n">
        <v>20</v>
      </c>
      <c r="C691" s="1" t="n">
        <v>2.5</v>
      </c>
      <c r="D691" s="1" t="n">
        <v>1.1511</v>
      </c>
      <c r="E691" s="1" t="n">
        <v>0.0849784</v>
      </c>
      <c r="F691" s="1" t="n">
        <v>0.000231268</v>
      </c>
      <c r="G691" s="1" t="s">
        <v>27</v>
      </c>
      <c r="H691" s="1" t="n">
        <v>32.7</v>
      </c>
      <c r="I691" s="1" t="n">
        <v>28.8</v>
      </c>
      <c r="J691" s="1" t="n">
        <v>-30.9</v>
      </c>
      <c r="K691" s="1"/>
      <c r="L691" s="1" t="n">
        <v>0</v>
      </c>
      <c r="M691" s="1" t="n">
        <v>0</v>
      </c>
      <c r="N691" s="1" t="s">
        <v>434</v>
      </c>
      <c r="Z691" s="0" t="n">
        <f aca="false">I691-3</f>
        <v>25.8</v>
      </c>
      <c r="AB691" s="0" t="n">
        <f aca="false">IF(Z691&lt;0,Z691+360,Z691+0)</f>
        <v>25.8</v>
      </c>
    </row>
    <row r="692" customFormat="false" ht="15.8" hidden="false" customHeight="false" outlineLevel="0" collapsed="false">
      <c r="A692" s="1" t="n">
        <v>20</v>
      </c>
      <c r="B692" s="1" t="n">
        <v>21</v>
      </c>
      <c r="C692" s="1" t="n">
        <v>1.5</v>
      </c>
      <c r="D692" s="1" t="n">
        <v>1.2793</v>
      </c>
      <c r="E692" s="1" t="n">
        <v>0.0515221</v>
      </c>
      <c r="F692" s="1" t="n">
        <v>0.000140217</v>
      </c>
      <c r="G692" s="1" t="s">
        <v>27</v>
      </c>
      <c r="H692" s="1" t="n">
        <v>34.6</v>
      </c>
      <c r="I692" s="1" t="n">
        <v>356.6</v>
      </c>
      <c r="J692" s="1" t="n">
        <v>38.9</v>
      </c>
      <c r="K692" s="1"/>
      <c r="L692" s="1" t="n">
        <v>0</v>
      </c>
      <c r="M692" s="1" t="n">
        <v>0</v>
      </c>
      <c r="N692" s="1" t="s">
        <v>435</v>
      </c>
      <c r="Z692" s="0" t="n">
        <f aca="false">I692-3</f>
        <v>353.6</v>
      </c>
      <c r="AB692" s="0" t="n">
        <f aca="false">IF(Z692&lt;0,Z692+360,Z692+0)</f>
        <v>353.6</v>
      </c>
    </row>
    <row r="693" customFormat="false" ht="15.8" hidden="false" customHeight="false" outlineLevel="0" collapsed="false">
      <c r="A693" s="1" t="n">
        <v>20</v>
      </c>
      <c r="B693" s="1" t="n">
        <v>21</v>
      </c>
      <c r="C693" s="1" t="n">
        <v>1.6</v>
      </c>
      <c r="D693" s="1" t="n">
        <v>1.4262</v>
      </c>
      <c r="E693" s="1" t="n">
        <v>0.053806</v>
      </c>
      <c r="F693" s="1" t="n">
        <v>0.000146433</v>
      </c>
      <c r="G693" s="1" t="s">
        <v>27</v>
      </c>
      <c r="H693" s="1" t="n">
        <v>88.3</v>
      </c>
      <c r="I693" s="1" t="n">
        <v>244.8</v>
      </c>
      <c r="J693" s="1" t="n">
        <v>42.1</v>
      </c>
      <c r="K693" s="1"/>
      <c r="L693" s="1" t="n">
        <v>0</v>
      </c>
      <c r="M693" s="1" t="n">
        <v>0</v>
      </c>
      <c r="N693" s="1" t="s">
        <v>435</v>
      </c>
      <c r="Z693" s="0" t="n">
        <f aca="false">I693-3</f>
        <v>241.8</v>
      </c>
      <c r="AB693" s="0" t="n">
        <f aca="false">IF(Z693&lt;0,Z693+360,Z693+0)</f>
        <v>241.8</v>
      </c>
    </row>
    <row r="694" customFormat="false" ht="15.8" hidden="false" customHeight="false" outlineLevel="0" collapsed="false">
      <c r="A694" s="1" t="n">
        <v>20</v>
      </c>
      <c r="B694" s="1" t="n">
        <v>20</v>
      </c>
      <c r="C694" s="1" t="n">
        <v>3.3</v>
      </c>
      <c r="D694" s="1" t="n">
        <v>1.2301</v>
      </c>
      <c r="E694" s="1" t="n">
        <v>0.114376</v>
      </c>
      <c r="F694" s="1" t="n">
        <v>0.000311272</v>
      </c>
      <c r="G694" s="1" t="s">
        <v>37</v>
      </c>
      <c r="H694" s="1" t="n">
        <v>31.2</v>
      </c>
      <c r="I694" s="1" t="n">
        <v>339.7</v>
      </c>
      <c r="J694" s="1" t="n">
        <v>7.8</v>
      </c>
      <c r="K694" s="1" t="n">
        <v>88.3</v>
      </c>
      <c r="L694" s="1" t="n">
        <v>0</v>
      </c>
      <c r="M694" s="1" t="n">
        <v>0</v>
      </c>
      <c r="N694" s="1" t="s">
        <v>434</v>
      </c>
      <c r="Z694" s="0" t="n">
        <f aca="false">I694-3</f>
        <v>336.7</v>
      </c>
      <c r="AB694" s="0" t="n">
        <f aca="false">IF(Z694&lt;0,Z694+360,Z694+0)</f>
        <v>336.7</v>
      </c>
    </row>
    <row r="695" customFormat="false" ht="15.8" hidden="false" customHeight="false" outlineLevel="0" collapsed="false">
      <c r="A695" s="1" t="n">
        <v>20</v>
      </c>
      <c r="B695" s="1" t="n">
        <v>19</v>
      </c>
      <c r="C695" s="1" t="n">
        <v>5.3</v>
      </c>
      <c r="D695" s="1" t="n">
        <v>1.1159</v>
      </c>
      <c r="E695" s="1" t="n">
        <v>0.181978</v>
      </c>
      <c r="F695" s="1" t="n">
        <v>0.000495251</v>
      </c>
      <c r="G695" s="1" t="s">
        <v>37</v>
      </c>
      <c r="H695" s="1" t="n">
        <v>62.7</v>
      </c>
      <c r="I695" s="1" t="n">
        <v>8.4</v>
      </c>
      <c r="J695" s="1" t="n">
        <v>-4.5</v>
      </c>
      <c r="K695" s="1" t="n">
        <v>32.7</v>
      </c>
      <c r="L695" s="1" t="n">
        <v>0</v>
      </c>
      <c r="M695" s="1" t="n">
        <v>0</v>
      </c>
      <c r="N695" s="1" t="s">
        <v>436</v>
      </c>
      <c r="Z695" s="0" t="n">
        <f aca="false">I695-3</f>
        <v>5.4</v>
      </c>
      <c r="AB695" s="0" t="n">
        <f aca="false">IF(Z695&lt;0,Z695+360,Z695+0)</f>
        <v>5.4</v>
      </c>
    </row>
    <row r="696" customFormat="false" ht="15.8" hidden="false" customHeight="false" outlineLevel="0" collapsed="false">
      <c r="A696" s="1" t="n">
        <v>20</v>
      </c>
      <c r="B696" s="1" t="n">
        <v>19</v>
      </c>
      <c r="C696" s="1" t="n">
        <v>1.5</v>
      </c>
      <c r="D696" s="1" t="n">
        <v>1.1711</v>
      </c>
      <c r="E696" s="1" t="n">
        <v>0.0513524</v>
      </c>
      <c r="F696" s="1" t="n">
        <v>0.000139755</v>
      </c>
      <c r="G696" s="1" t="s">
        <v>27</v>
      </c>
      <c r="H696" s="1" t="n">
        <v>34.9</v>
      </c>
      <c r="I696" s="1" t="n">
        <v>273.6</v>
      </c>
      <c r="J696" s="1" t="n">
        <v>35.2</v>
      </c>
      <c r="K696" s="1"/>
      <c r="L696" s="1" t="n">
        <v>0</v>
      </c>
      <c r="M696" s="1" t="n">
        <v>0</v>
      </c>
      <c r="N696" s="1" t="s">
        <v>436</v>
      </c>
      <c r="Z696" s="0" t="n">
        <f aca="false">I696-3</f>
        <v>270.6</v>
      </c>
      <c r="AB696" s="0" t="n">
        <f aca="false">IF(Z696&lt;0,Z696+360,Z696+0)</f>
        <v>270.6</v>
      </c>
    </row>
    <row r="697" customFormat="false" ht="15.8" hidden="false" customHeight="false" outlineLevel="0" collapsed="false">
      <c r="A697" s="1" t="n">
        <v>20</v>
      </c>
      <c r="B697" s="1" t="n">
        <v>18</v>
      </c>
      <c r="C697" s="1" t="n">
        <v>4.7</v>
      </c>
      <c r="D697" s="1" t="n">
        <v>2.2565</v>
      </c>
      <c r="E697" s="1" t="n">
        <v>0.159642</v>
      </c>
      <c r="F697" s="1" t="n">
        <v>0.000434464</v>
      </c>
      <c r="G697" s="1" t="s">
        <v>37</v>
      </c>
      <c r="H697" s="1" t="n">
        <v>55.3</v>
      </c>
      <c r="I697" s="1" t="n">
        <v>310</v>
      </c>
      <c r="J697" s="1" t="n">
        <v>21</v>
      </c>
      <c r="K697" s="1" t="n">
        <v>62.7</v>
      </c>
      <c r="L697" s="1" t="n">
        <v>0</v>
      </c>
      <c r="M697" s="1" t="n">
        <v>0</v>
      </c>
      <c r="N697" s="1" t="s">
        <v>433</v>
      </c>
      <c r="Z697" s="0" t="n">
        <f aca="false">I697-3</f>
        <v>307</v>
      </c>
      <c r="AB697" s="0" t="n">
        <f aca="false">IF(Z697&lt;0,Z697+360,Z697+0)</f>
        <v>307</v>
      </c>
    </row>
    <row r="698" customFormat="false" ht="15.8" hidden="false" customHeight="false" outlineLevel="0" collapsed="false">
      <c r="A698" s="1" t="n">
        <v>20</v>
      </c>
      <c r="B698" s="1" t="n">
        <v>17</v>
      </c>
      <c r="C698" s="1" t="n">
        <v>5.8</v>
      </c>
      <c r="D698" s="1" t="n">
        <v>1.1732</v>
      </c>
      <c r="E698" s="1" t="n">
        <v>0.205865</v>
      </c>
      <c r="F698" s="1" t="n">
        <v>0.000592532</v>
      </c>
      <c r="G698" s="1" t="s">
        <v>37</v>
      </c>
      <c r="H698" s="1" t="n">
        <v>8.1</v>
      </c>
      <c r="I698" s="1" t="n">
        <v>4.3</v>
      </c>
      <c r="J698" s="1" t="n">
        <v>4.3</v>
      </c>
      <c r="K698" s="1" t="n">
        <v>55.3</v>
      </c>
      <c r="L698" s="1" t="n">
        <v>0</v>
      </c>
      <c r="M698" s="1" t="n">
        <v>0</v>
      </c>
      <c r="N698" s="1" t="s">
        <v>437</v>
      </c>
      <c r="Z698" s="0" t="n">
        <f aca="false">I698-3</f>
        <v>1.3</v>
      </c>
      <c r="AB698" s="0" t="n">
        <f aca="false">IF(Z698&lt;0,Z698+360,Z698+0)</f>
        <v>1.3</v>
      </c>
    </row>
    <row r="699" customFormat="false" ht="15.8" hidden="false" customHeight="false" outlineLevel="0" collapsed="false">
      <c r="A699" s="1" t="n">
        <v>20</v>
      </c>
      <c r="B699" s="1" t="n">
        <v>19</v>
      </c>
      <c r="C699" s="1" t="n">
        <v>2.1</v>
      </c>
      <c r="D699" s="1" t="n">
        <v>1.5217</v>
      </c>
      <c r="E699" s="1" t="n">
        <v>0.0722161</v>
      </c>
      <c r="F699" s="1" t="n">
        <v>0.000196535</v>
      </c>
      <c r="G699" s="1" t="s">
        <v>27</v>
      </c>
      <c r="H699" s="1" t="n">
        <v>85.5</v>
      </c>
      <c r="I699" s="1" t="n">
        <v>221.8</v>
      </c>
      <c r="J699" s="1" t="n">
        <v>0</v>
      </c>
      <c r="K699" s="1"/>
      <c r="L699" s="1" t="n">
        <v>0</v>
      </c>
      <c r="M699" s="1" t="n">
        <v>0</v>
      </c>
      <c r="N699" s="1" t="s">
        <v>438</v>
      </c>
      <c r="Z699" s="0" t="n">
        <f aca="false">I699-3</f>
        <v>218.8</v>
      </c>
      <c r="AB699" s="0" t="n">
        <f aca="false">IF(Z699&lt;0,Z699+360,Z699+0)</f>
        <v>218.8</v>
      </c>
    </row>
    <row r="700" customFormat="false" ht="15.8" hidden="false" customHeight="false" outlineLevel="0" collapsed="false">
      <c r="A700" s="1" t="n">
        <v>20</v>
      </c>
      <c r="B700" s="1" t="n">
        <v>19</v>
      </c>
      <c r="C700" s="1" t="n">
        <v>2.3</v>
      </c>
      <c r="D700" s="1" t="n">
        <v>1.1144</v>
      </c>
      <c r="E700" s="1" t="n">
        <v>0.0770085</v>
      </c>
      <c r="F700" s="1" t="n">
        <v>0.000209578</v>
      </c>
      <c r="G700" s="1" t="s">
        <v>27</v>
      </c>
      <c r="H700" s="1" t="n">
        <v>70.5</v>
      </c>
      <c r="I700" s="1" t="n">
        <v>17.5</v>
      </c>
      <c r="J700" s="1" t="n">
        <v>10.6</v>
      </c>
      <c r="K700" s="1"/>
      <c r="L700" s="1" t="n">
        <v>0</v>
      </c>
      <c r="M700" s="1" t="n">
        <v>0</v>
      </c>
      <c r="N700" s="1" t="s">
        <v>438</v>
      </c>
      <c r="Z700" s="0" t="n">
        <f aca="false">I700-3</f>
        <v>14.5</v>
      </c>
      <c r="AB700" s="0" t="n">
        <f aca="false">IF(Z700&lt;0,Z700+360,Z700+0)</f>
        <v>14.5</v>
      </c>
    </row>
    <row r="701" customFormat="false" ht="15.8" hidden="false" customHeight="false" outlineLevel="0" collapsed="false">
      <c r="A701" s="1" t="n">
        <v>20</v>
      </c>
      <c r="B701" s="1" t="n">
        <v>18</v>
      </c>
      <c r="C701" s="1" t="n">
        <v>0.6</v>
      </c>
      <c r="D701" s="1" t="n">
        <v>1.2344</v>
      </c>
      <c r="E701" s="1" t="n">
        <v>0.0322846</v>
      </c>
      <c r="F701" s="1" t="n">
        <v>0.000142833</v>
      </c>
      <c r="G701" s="1" t="s">
        <v>37</v>
      </c>
      <c r="H701" s="1" t="n">
        <v>68.1</v>
      </c>
      <c r="I701" s="1" t="n">
        <v>305.1</v>
      </c>
      <c r="J701" s="1" t="n">
        <v>48.3</v>
      </c>
      <c r="K701" s="1" t="n">
        <v>85.5</v>
      </c>
      <c r="L701" s="1" t="n">
        <v>0</v>
      </c>
      <c r="M701" s="1" t="n">
        <v>0</v>
      </c>
      <c r="N701" s="1" t="s">
        <v>439</v>
      </c>
      <c r="Z701" s="0" t="n">
        <f aca="false">I701-3</f>
        <v>302.1</v>
      </c>
      <c r="AB701" s="0" t="n">
        <f aca="false">IF(Z701&lt;0,Z701+360,Z701+0)</f>
        <v>302.1</v>
      </c>
    </row>
    <row r="702" customFormat="false" ht="15.8" hidden="false" customHeight="false" outlineLevel="0" collapsed="false">
      <c r="A702" s="1" t="n">
        <v>20</v>
      </c>
      <c r="B702" s="1" t="n">
        <v>18</v>
      </c>
      <c r="C702" s="1" t="n">
        <v>1.2</v>
      </c>
      <c r="D702" s="1" t="n">
        <v>1.1784</v>
      </c>
      <c r="E702" s="1" t="n">
        <v>0.0464199</v>
      </c>
      <c r="F702" s="1" t="n">
        <v>0.000156813</v>
      </c>
      <c r="G702" s="1" t="s">
        <v>27</v>
      </c>
      <c r="H702" s="1" t="n">
        <v>67.1</v>
      </c>
      <c r="I702" s="1" t="n">
        <v>195.3</v>
      </c>
      <c r="J702" s="1" t="n">
        <v>-48.7</v>
      </c>
      <c r="K702" s="1"/>
      <c r="L702" s="1" t="n">
        <v>0</v>
      </c>
      <c r="M702" s="1" t="n">
        <v>0</v>
      </c>
      <c r="N702" s="1" t="s">
        <v>439</v>
      </c>
      <c r="Z702" s="0" t="n">
        <f aca="false">I702-3</f>
        <v>192.3</v>
      </c>
      <c r="AB702" s="0" t="n">
        <f aca="false">IF(Z702&lt;0,Z702+360,Z702+0)</f>
        <v>192.3</v>
      </c>
    </row>
    <row r="703" customFormat="false" ht="15.8" hidden="false" customHeight="false" outlineLevel="0" collapsed="false">
      <c r="A703" s="1" t="n">
        <v>20</v>
      </c>
      <c r="B703" s="1" t="n">
        <v>17</v>
      </c>
      <c r="C703" s="1" t="n">
        <v>1.2</v>
      </c>
      <c r="D703" s="1" t="n">
        <v>1.0201</v>
      </c>
      <c r="E703" s="1" t="n">
        <v>0.0814023</v>
      </c>
      <c r="F703" s="1" t="n">
        <v>0.000443071</v>
      </c>
      <c r="G703" s="1" t="s">
        <v>37</v>
      </c>
      <c r="H703" s="1" t="n">
        <v>118.3</v>
      </c>
      <c r="I703" s="1" t="n">
        <v>249.3</v>
      </c>
      <c r="J703" s="1" t="n">
        <v>0</v>
      </c>
      <c r="K703" s="1" t="n">
        <v>68.1</v>
      </c>
      <c r="L703" s="1" t="n">
        <v>0</v>
      </c>
      <c r="M703" s="1" t="n">
        <v>0</v>
      </c>
      <c r="N703" s="1" t="s">
        <v>437</v>
      </c>
      <c r="Z703" s="0" t="n">
        <f aca="false">I703-3</f>
        <v>246.3</v>
      </c>
      <c r="AB703" s="0" t="n">
        <f aca="false">IF(Z703&lt;0,Z703+360,Z703+0)</f>
        <v>246.3</v>
      </c>
    </row>
    <row r="704" customFormat="false" ht="15.8" hidden="false" customHeight="false" outlineLevel="0" collapsed="false">
      <c r="A704" s="1" t="n">
        <v>20</v>
      </c>
      <c r="B704" s="1" t="n">
        <v>16</v>
      </c>
      <c r="C704" s="1" t="n">
        <v>8.2</v>
      </c>
      <c r="D704" s="1" t="n">
        <v>1.2173</v>
      </c>
      <c r="E704" s="1" t="n">
        <v>0.369781</v>
      </c>
      <c r="F704" s="1" t="n">
        <v>0.00146686</v>
      </c>
      <c r="G704" s="1" t="s">
        <v>37</v>
      </c>
      <c r="H704" s="1" t="n">
        <v>33.1</v>
      </c>
      <c r="I704" s="1" t="n">
        <v>7.6</v>
      </c>
      <c r="J704" s="1" t="n">
        <v>-3.1</v>
      </c>
      <c r="K704" s="1" t="n">
        <v>118.3</v>
      </c>
      <c r="L704" s="1" t="n">
        <v>0</v>
      </c>
      <c r="M704" s="1" t="n">
        <v>0</v>
      </c>
      <c r="N704" s="1" t="s">
        <v>440</v>
      </c>
      <c r="Z704" s="0" t="n">
        <f aca="false">I704-3</f>
        <v>4.6</v>
      </c>
      <c r="AB704" s="0" t="n">
        <f aca="false">IF(Z704&lt;0,Z704+360,Z704+0)</f>
        <v>4.6</v>
      </c>
    </row>
    <row r="705" customFormat="false" ht="15.8" hidden="false" customHeight="false" outlineLevel="0" collapsed="false">
      <c r="A705" s="1" t="n">
        <v>20</v>
      </c>
      <c r="B705" s="1" t="n">
        <v>16</v>
      </c>
      <c r="C705" s="1" t="n">
        <v>1.3</v>
      </c>
      <c r="D705" s="1" t="n">
        <v>1.1495</v>
      </c>
      <c r="E705" s="1" t="n">
        <v>0.0666959</v>
      </c>
      <c r="F705" s="1" t="n">
        <v>0.000290335</v>
      </c>
      <c r="G705" s="1" t="s">
        <v>27</v>
      </c>
      <c r="H705" s="1" t="n">
        <v>97.5</v>
      </c>
      <c r="I705" s="1" t="n">
        <v>252.7</v>
      </c>
      <c r="J705" s="1" t="n">
        <v>-18.9</v>
      </c>
      <c r="K705" s="1"/>
      <c r="L705" s="1" t="n">
        <v>0</v>
      </c>
      <c r="M705" s="1" t="n">
        <v>0</v>
      </c>
      <c r="N705" s="1" t="s">
        <v>440</v>
      </c>
      <c r="Z705" s="0" t="n">
        <f aca="false">I705-3</f>
        <v>249.7</v>
      </c>
      <c r="AB705" s="0" t="n">
        <f aca="false">IF(Z705&lt;0,Z705+360,Z705+0)</f>
        <v>249.7</v>
      </c>
    </row>
    <row r="706" customFormat="false" ht="15.8" hidden="false" customHeight="false" outlineLevel="0" collapsed="false">
      <c r="A706" s="1" t="n">
        <v>20</v>
      </c>
      <c r="B706" s="1" t="n">
        <v>15</v>
      </c>
      <c r="C706" s="1" t="n">
        <v>3.8</v>
      </c>
      <c r="D706" s="1" t="n">
        <v>1.2121</v>
      </c>
      <c r="E706" s="1" t="n">
        <v>0.131553</v>
      </c>
      <c r="F706" s="1" t="n">
        <v>0.000358021</v>
      </c>
      <c r="G706" s="1" t="s">
        <v>37</v>
      </c>
      <c r="H706" s="1" t="n">
        <v>34.3</v>
      </c>
      <c r="I706" s="1" t="n">
        <v>343.9</v>
      </c>
      <c r="J706" s="1" t="n">
        <v>20.5</v>
      </c>
      <c r="K706" s="1" t="n">
        <v>97.5</v>
      </c>
      <c r="L706" s="1" t="n">
        <v>0</v>
      </c>
      <c r="M706" s="1" t="n">
        <v>0</v>
      </c>
      <c r="N706" s="1" t="s">
        <v>441</v>
      </c>
      <c r="Z706" s="0" t="n">
        <f aca="false">I706-3</f>
        <v>340.9</v>
      </c>
      <c r="AB706" s="0" t="n">
        <f aca="false">IF(Z706&lt;0,Z706+360,Z706+0)</f>
        <v>340.9</v>
      </c>
    </row>
    <row r="707" customFormat="false" ht="15.8" hidden="false" customHeight="false" outlineLevel="0" collapsed="false">
      <c r="A707" s="1" t="n">
        <v>20</v>
      </c>
      <c r="B707" s="1" t="n">
        <v>16</v>
      </c>
      <c r="C707" s="1" t="n">
        <v>1.1</v>
      </c>
      <c r="D707" s="1" t="n">
        <v>1.6183</v>
      </c>
      <c r="E707" s="1" t="n">
        <v>0.0374994</v>
      </c>
      <c r="F707" s="1" t="n">
        <v>0.000102054</v>
      </c>
      <c r="G707" s="1" t="s">
        <v>27</v>
      </c>
      <c r="H707" s="1" t="n">
        <v>85.1</v>
      </c>
      <c r="I707" s="1" t="n">
        <v>313.7</v>
      </c>
      <c r="J707" s="1" t="n">
        <v>0</v>
      </c>
      <c r="K707" s="1"/>
      <c r="L707" s="1" t="n">
        <v>0</v>
      </c>
      <c r="M707" s="1" t="n">
        <v>0</v>
      </c>
      <c r="N707" s="1" t="s">
        <v>442</v>
      </c>
      <c r="Z707" s="0" t="n">
        <f aca="false">I707-3</f>
        <v>310.7</v>
      </c>
      <c r="AB707" s="0" t="n">
        <f aca="false">IF(Z707&lt;0,Z707+360,Z707+0)</f>
        <v>310.7</v>
      </c>
    </row>
    <row r="708" customFormat="false" ht="15.8" hidden="false" customHeight="false" outlineLevel="0" collapsed="false">
      <c r="A708" s="1" t="n">
        <v>20</v>
      </c>
      <c r="B708" s="1" t="n">
        <v>17</v>
      </c>
      <c r="C708" s="1" t="n">
        <v>1.5</v>
      </c>
      <c r="D708" s="1" t="n">
        <v>1.2341</v>
      </c>
      <c r="E708" s="1" t="n">
        <v>0.0517751</v>
      </c>
      <c r="F708" s="1" t="n">
        <v>0.000140906</v>
      </c>
      <c r="G708" s="1" t="s">
        <v>27</v>
      </c>
      <c r="H708" s="1" t="n">
        <v>56.6</v>
      </c>
      <c r="I708" s="1" t="n">
        <v>132.7</v>
      </c>
      <c r="J708" s="1" t="n">
        <v>-37.1</v>
      </c>
      <c r="K708" s="1"/>
      <c r="L708" s="1" t="n">
        <v>0</v>
      </c>
      <c r="M708" s="1" t="n">
        <v>0</v>
      </c>
      <c r="N708" s="1" t="s">
        <v>443</v>
      </c>
      <c r="Z708" s="0" t="n">
        <f aca="false">I708-3</f>
        <v>129.7</v>
      </c>
      <c r="AB708" s="0" t="n">
        <f aca="false">IF(Z708&lt;0,Z708+360,Z708+0)</f>
        <v>129.7</v>
      </c>
    </row>
    <row r="709" customFormat="false" ht="15.8" hidden="false" customHeight="false" outlineLevel="0" collapsed="false">
      <c r="A709" s="1" t="n">
        <v>20</v>
      </c>
      <c r="B709" s="1" t="n">
        <v>18</v>
      </c>
      <c r="C709" s="1" t="n">
        <v>0.8</v>
      </c>
      <c r="D709" s="1" t="n">
        <v>1.1716</v>
      </c>
      <c r="E709" s="1" t="n">
        <v>0.0286811</v>
      </c>
      <c r="F709" s="1" t="n">
        <v>7.80555E-005</v>
      </c>
      <c r="G709" s="1" t="s">
        <v>27</v>
      </c>
      <c r="H709" s="1" t="n">
        <v>106.9</v>
      </c>
      <c r="I709" s="1" t="n">
        <v>282.3</v>
      </c>
      <c r="J709" s="1" t="n">
        <v>31.1</v>
      </c>
      <c r="K709" s="1"/>
      <c r="L709" s="1" t="n">
        <v>0</v>
      </c>
      <c r="M709" s="1" t="n">
        <v>0</v>
      </c>
      <c r="N709" s="1" t="s">
        <v>444</v>
      </c>
      <c r="Z709" s="0" t="n">
        <f aca="false">I709-3</f>
        <v>279.3</v>
      </c>
      <c r="AB709" s="0" t="n">
        <f aca="false">IF(Z709&lt;0,Z709+360,Z709+0)</f>
        <v>279.3</v>
      </c>
    </row>
    <row r="710" customFormat="false" ht="15.8" hidden="false" customHeight="false" outlineLevel="0" collapsed="false">
      <c r="A710" s="1" t="n">
        <v>20</v>
      </c>
      <c r="B710" s="1" t="n">
        <v>18</v>
      </c>
      <c r="C710" s="1" t="n">
        <v>3</v>
      </c>
      <c r="D710" s="1" t="n">
        <v>1.1823</v>
      </c>
      <c r="E710" s="1" t="n">
        <v>0.102154</v>
      </c>
      <c r="F710" s="1" t="n">
        <v>0.000278011</v>
      </c>
      <c r="G710" s="1" t="s">
        <v>27</v>
      </c>
      <c r="H710" s="1" t="n">
        <v>11.5</v>
      </c>
      <c r="I710" s="1" t="n">
        <v>172.5</v>
      </c>
      <c r="J710" s="1" t="n">
        <v>-17</v>
      </c>
      <c r="K710" s="1"/>
      <c r="L710" s="1" t="n">
        <v>0</v>
      </c>
      <c r="M710" s="1" t="n">
        <v>0</v>
      </c>
      <c r="N710" s="1" t="s">
        <v>444</v>
      </c>
      <c r="Z710" s="0" t="n">
        <f aca="false">I710-3</f>
        <v>169.5</v>
      </c>
      <c r="AB710" s="0" t="n">
        <f aca="false">IF(Z710&lt;0,Z710+360,Z710+0)</f>
        <v>169.5</v>
      </c>
    </row>
    <row r="711" customFormat="false" ht="15.8" hidden="false" customHeight="false" outlineLevel="0" collapsed="false">
      <c r="A711" s="1" t="n">
        <v>20</v>
      </c>
      <c r="B711" s="1" t="n">
        <v>17</v>
      </c>
      <c r="C711" s="1" t="n">
        <v>9</v>
      </c>
      <c r="D711" s="1" t="n">
        <v>1.3853</v>
      </c>
      <c r="E711" s="1" t="n">
        <v>0.308096</v>
      </c>
      <c r="F711" s="1" t="n">
        <v>0.00083848</v>
      </c>
      <c r="G711" s="1" t="s">
        <v>37</v>
      </c>
      <c r="H711" s="1" t="n">
        <v>20.9</v>
      </c>
      <c r="I711" s="1" t="n">
        <v>184.2</v>
      </c>
      <c r="J711" s="1" t="n">
        <v>-20</v>
      </c>
      <c r="K711" s="1" t="n">
        <v>106.9</v>
      </c>
      <c r="L711" s="1" t="n">
        <v>0</v>
      </c>
      <c r="M711" s="1" t="n">
        <v>0</v>
      </c>
      <c r="N711" s="1" t="s">
        <v>443</v>
      </c>
      <c r="Z711" s="0" t="n">
        <f aca="false">I711-3</f>
        <v>181.2</v>
      </c>
      <c r="AB711" s="0" t="n">
        <f aca="false">IF(Z711&lt;0,Z711+360,Z711+0)</f>
        <v>181.2</v>
      </c>
    </row>
    <row r="712" customFormat="false" ht="15.8" hidden="false" customHeight="false" outlineLevel="0" collapsed="false">
      <c r="A712" s="1" t="n">
        <v>20</v>
      </c>
      <c r="B712" s="1" t="n">
        <v>16</v>
      </c>
      <c r="C712" s="1" t="n">
        <v>1.7</v>
      </c>
      <c r="D712" s="1" t="n">
        <v>1.1965</v>
      </c>
      <c r="E712" s="1" t="n">
        <v>0.0566686</v>
      </c>
      <c r="F712" s="1" t="n">
        <v>0.000154223</v>
      </c>
      <c r="G712" s="1" t="s">
        <v>37</v>
      </c>
      <c r="H712" s="1" t="n">
        <v>23.4</v>
      </c>
      <c r="I712" s="1" t="n">
        <v>203</v>
      </c>
      <c r="J712" s="1" t="n">
        <v>-32.3</v>
      </c>
      <c r="K712" s="1" t="n">
        <v>56.6</v>
      </c>
      <c r="L712" s="1" t="n">
        <v>0</v>
      </c>
      <c r="M712" s="1" t="n">
        <v>0</v>
      </c>
      <c r="N712" s="1" t="s">
        <v>442</v>
      </c>
      <c r="Z712" s="0" t="n">
        <f aca="false">I712-3</f>
        <v>200</v>
      </c>
      <c r="AB712" s="0" t="n">
        <f aca="false">IF(Z712&lt;0,Z712+360,Z712+0)</f>
        <v>200</v>
      </c>
    </row>
    <row r="713" customFormat="false" ht="15.8" hidden="false" customHeight="false" outlineLevel="0" collapsed="false">
      <c r="A713" s="1" t="n">
        <v>20</v>
      </c>
      <c r="B713" s="1" t="n">
        <v>15</v>
      </c>
      <c r="C713" s="1" t="n">
        <v>4.2</v>
      </c>
      <c r="D713" s="1" t="n">
        <v>1.2817</v>
      </c>
      <c r="E713" s="1" t="n">
        <v>0.144005</v>
      </c>
      <c r="F713" s="1" t="n">
        <v>0.000391908</v>
      </c>
      <c r="G713" s="1" t="s">
        <v>37</v>
      </c>
      <c r="H713" s="1" t="n">
        <v>86.2</v>
      </c>
      <c r="I713" s="1" t="n">
        <v>229.2</v>
      </c>
      <c r="J713" s="1" t="n">
        <v>-26.8</v>
      </c>
      <c r="K713" s="1" t="n">
        <v>85.1</v>
      </c>
      <c r="L713" s="1" t="n">
        <v>0</v>
      </c>
      <c r="M713" s="1" t="n">
        <v>0</v>
      </c>
      <c r="N713" s="1" t="s">
        <v>441</v>
      </c>
      <c r="Z713" s="0" t="n">
        <f aca="false">I713-3</f>
        <v>226.2</v>
      </c>
      <c r="AB713" s="0" t="n">
        <f aca="false">IF(Z713&lt;0,Z713+360,Z713+0)</f>
        <v>226.2</v>
      </c>
    </row>
    <row r="714" customFormat="false" ht="15.8" hidden="false" customHeight="false" outlineLevel="0" collapsed="false">
      <c r="A714" s="1" t="n">
        <v>20</v>
      </c>
      <c r="B714" s="1" t="n">
        <v>14</v>
      </c>
      <c r="C714" s="1" t="n">
        <v>3.5</v>
      </c>
      <c r="D714" s="1" t="n">
        <v>1.2012</v>
      </c>
      <c r="E714" s="1" t="n">
        <v>0.119814</v>
      </c>
      <c r="F714" s="1" t="n">
        <v>0.000326073</v>
      </c>
      <c r="G714" s="1" t="s">
        <v>37</v>
      </c>
      <c r="H714" s="1" t="n">
        <v>24</v>
      </c>
      <c r="I714" s="1" t="n">
        <v>311.2</v>
      </c>
      <c r="J714" s="1" t="n">
        <v>7.3</v>
      </c>
      <c r="K714" s="1" t="n">
        <v>86.2</v>
      </c>
      <c r="L714" s="1" t="n">
        <v>0</v>
      </c>
      <c r="M714" s="1" t="n">
        <v>0</v>
      </c>
      <c r="N714" s="1" t="s">
        <v>445</v>
      </c>
      <c r="Z714" s="0" t="n">
        <f aca="false">I714-3</f>
        <v>308.2</v>
      </c>
      <c r="AB714" s="0" t="n">
        <f aca="false">IF(Z714&lt;0,Z714+360,Z714+0)</f>
        <v>308.2</v>
      </c>
    </row>
    <row r="715" customFormat="false" ht="15.8" hidden="false" customHeight="false" outlineLevel="0" collapsed="false">
      <c r="A715" s="1" t="n">
        <v>20</v>
      </c>
      <c r="B715" s="1" t="n">
        <v>19</v>
      </c>
      <c r="C715" s="1" t="n">
        <v>0.9</v>
      </c>
      <c r="D715" s="1" t="n">
        <v>1.0879</v>
      </c>
      <c r="E715" s="1" t="n">
        <v>0.0298838</v>
      </c>
      <c r="F715" s="1" t="n">
        <v>8.13284E-005</v>
      </c>
      <c r="G715" s="1" t="s">
        <v>27</v>
      </c>
      <c r="H715" s="1" t="n">
        <v>37.9</v>
      </c>
      <c r="I715" s="1" t="n">
        <v>147.2</v>
      </c>
      <c r="J715" s="1" t="n">
        <v>0</v>
      </c>
      <c r="K715" s="1"/>
      <c r="L715" s="1" t="n">
        <v>0</v>
      </c>
      <c r="M715" s="1" t="n">
        <v>0</v>
      </c>
      <c r="N715" s="1" t="s">
        <v>446</v>
      </c>
      <c r="Z715" s="0" t="n">
        <f aca="false">I715-3</f>
        <v>144.2</v>
      </c>
      <c r="AB715" s="0" t="n">
        <f aca="false">IF(Z715&lt;0,Z715+360,Z715+0)</f>
        <v>144.2</v>
      </c>
    </row>
    <row r="716" customFormat="false" ht="15.8" hidden="false" customHeight="false" outlineLevel="0" collapsed="false">
      <c r="A716" s="1" t="n">
        <v>20</v>
      </c>
      <c r="B716" s="1" t="n">
        <v>19</v>
      </c>
      <c r="C716" s="1" t="n">
        <v>0.9</v>
      </c>
      <c r="D716" s="1" t="n">
        <v>1.0108</v>
      </c>
      <c r="E716" s="1" t="n">
        <v>0.0301053</v>
      </c>
      <c r="F716" s="1" t="n">
        <v>8.19315E-005</v>
      </c>
      <c r="G716" s="1" t="s">
        <v>27</v>
      </c>
      <c r="H716" s="1" t="n">
        <v>54.5</v>
      </c>
      <c r="I716" s="1" t="n">
        <v>216.9</v>
      </c>
      <c r="J716" s="1" t="n">
        <v>0</v>
      </c>
      <c r="K716" s="1"/>
      <c r="L716" s="1" t="n">
        <v>0</v>
      </c>
      <c r="M716" s="1" t="n">
        <v>0</v>
      </c>
      <c r="N716" s="1" t="s">
        <v>446</v>
      </c>
      <c r="Z716" s="0" t="n">
        <f aca="false">I716-3</f>
        <v>213.9</v>
      </c>
      <c r="AB716" s="0" t="n">
        <f aca="false">IF(Z716&lt;0,Z716+360,Z716+0)</f>
        <v>213.9</v>
      </c>
    </row>
    <row r="717" customFormat="false" ht="15.8" hidden="false" customHeight="false" outlineLevel="0" collapsed="false">
      <c r="A717" s="1" t="n">
        <v>20</v>
      </c>
      <c r="B717" s="1" t="n">
        <v>18</v>
      </c>
      <c r="C717" s="1" t="n">
        <v>0.8</v>
      </c>
      <c r="D717" s="1" t="n">
        <v>1.1693</v>
      </c>
      <c r="E717" s="1" t="n">
        <v>0.0284788</v>
      </c>
      <c r="F717" s="1" t="n">
        <v>7.75049E-005</v>
      </c>
      <c r="G717" s="1" t="s">
        <v>37</v>
      </c>
      <c r="H717" s="1" t="n">
        <v>39</v>
      </c>
      <c r="I717" s="1" t="n">
        <v>169.7</v>
      </c>
      <c r="J717" s="1" t="n">
        <v>31.3</v>
      </c>
      <c r="K717" s="1" t="n">
        <v>54.5</v>
      </c>
      <c r="L717" s="1" t="n">
        <v>0</v>
      </c>
      <c r="M717" s="1" t="n">
        <v>0</v>
      </c>
      <c r="N717" s="1" t="s">
        <v>447</v>
      </c>
      <c r="Z717" s="0" t="n">
        <f aca="false">I717-3</f>
        <v>166.7</v>
      </c>
      <c r="AB717" s="0" t="n">
        <f aca="false">IF(Z717&lt;0,Z717+360,Z717+0)</f>
        <v>166.7</v>
      </c>
    </row>
    <row r="718" customFormat="false" ht="15.8" hidden="false" customHeight="false" outlineLevel="0" collapsed="false">
      <c r="A718" s="1" t="n">
        <v>20</v>
      </c>
      <c r="B718" s="1" t="n">
        <v>18</v>
      </c>
      <c r="C718" s="1" t="n">
        <v>1.4</v>
      </c>
      <c r="D718" s="1" t="n">
        <v>1.1908</v>
      </c>
      <c r="E718" s="1" t="n">
        <v>0.0491078</v>
      </c>
      <c r="F718" s="1" t="n">
        <v>0.000133646</v>
      </c>
      <c r="G718" s="1" t="s">
        <v>27</v>
      </c>
      <c r="H718" s="1" t="n">
        <v>80.2</v>
      </c>
      <c r="I718" s="1" t="n">
        <v>247.8</v>
      </c>
      <c r="J718" s="1" t="n">
        <v>-37.9</v>
      </c>
      <c r="K718" s="1"/>
      <c r="L718" s="1" t="n">
        <v>0</v>
      </c>
      <c r="M718" s="1" t="n">
        <v>0</v>
      </c>
      <c r="N718" s="1" t="s">
        <v>447</v>
      </c>
      <c r="Z718" s="0" t="n">
        <f aca="false">I718-3</f>
        <v>244.8</v>
      </c>
      <c r="AB718" s="0" t="n">
        <f aca="false">IF(Z718&lt;0,Z718+360,Z718+0)</f>
        <v>244.8</v>
      </c>
    </row>
    <row r="719" customFormat="false" ht="15.8" hidden="false" customHeight="false" outlineLevel="0" collapsed="false">
      <c r="A719" s="1" t="n">
        <v>20</v>
      </c>
      <c r="B719" s="1" t="n">
        <v>17</v>
      </c>
      <c r="C719" s="1" t="n">
        <v>0.7</v>
      </c>
      <c r="D719" s="1" t="n">
        <v>1.1253</v>
      </c>
      <c r="E719" s="1" t="n">
        <v>0.0236244</v>
      </c>
      <c r="F719" s="1" t="n">
        <v>6.42936E-005</v>
      </c>
      <c r="G719" s="1" t="s">
        <v>37</v>
      </c>
      <c r="H719" s="1" t="n">
        <v>76.3</v>
      </c>
      <c r="I719" s="1" t="n">
        <v>216.9</v>
      </c>
      <c r="J719" s="1" t="n">
        <v>37.1</v>
      </c>
      <c r="K719" s="1" t="n">
        <v>80.2</v>
      </c>
      <c r="L719" s="1" t="n">
        <v>0</v>
      </c>
      <c r="M719" s="1" t="n">
        <v>0</v>
      </c>
      <c r="N719" s="1" t="s">
        <v>448</v>
      </c>
      <c r="Z719" s="0" t="n">
        <f aca="false">I719-3</f>
        <v>213.9</v>
      </c>
      <c r="AB719" s="0" t="n">
        <f aca="false">IF(Z719&lt;0,Z719+360,Z719+0)</f>
        <v>213.9</v>
      </c>
    </row>
    <row r="720" customFormat="false" ht="15.8" hidden="false" customHeight="false" outlineLevel="0" collapsed="false">
      <c r="A720" s="1" t="n">
        <v>20</v>
      </c>
      <c r="B720" s="1" t="n">
        <v>17</v>
      </c>
      <c r="C720" s="1" t="n">
        <v>1</v>
      </c>
      <c r="D720" s="1" t="n">
        <v>1.0056</v>
      </c>
      <c r="E720" s="1" t="n">
        <v>0.033373</v>
      </c>
      <c r="F720" s="1" t="n">
        <v>9.08244E-005</v>
      </c>
      <c r="G720" s="1" t="s">
        <v>27</v>
      </c>
      <c r="H720" s="1" t="n">
        <v>77.2</v>
      </c>
      <c r="I720" s="1" t="n">
        <v>93.2</v>
      </c>
      <c r="J720" s="1" t="n">
        <v>0</v>
      </c>
      <c r="K720" s="1"/>
      <c r="L720" s="1" t="n">
        <v>0</v>
      </c>
      <c r="M720" s="1" t="n">
        <v>0</v>
      </c>
      <c r="N720" s="1" t="s">
        <v>448</v>
      </c>
      <c r="Z720" s="0" t="n">
        <f aca="false">I720-3</f>
        <v>90.2</v>
      </c>
      <c r="AB720" s="0" t="n">
        <f aca="false">IF(Z720&lt;0,Z720+360,Z720+0)</f>
        <v>90.2</v>
      </c>
    </row>
    <row r="721" customFormat="false" ht="15.8" hidden="false" customHeight="false" outlineLevel="0" collapsed="false">
      <c r="A721" s="1" t="n">
        <v>20</v>
      </c>
      <c r="B721" s="1" t="n">
        <v>16</v>
      </c>
      <c r="C721" s="1" t="n">
        <v>1</v>
      </c>
      <c r="D721" s="1" t="n">
        <v>1.1498</v>
      </c>
      <c r="E721" s="1" t="n">
        <v>0.0349901</v>
      </c>
      <c r="F721" s="1" t="n">
        <v>9.52253E-005</v>
      </c>
      <c r="G721" s="1" t="s">
        <v>37</v>
      </c>
      <c r="H721" s="1" t="n">
        <v>56.4</v>
      </c>
      <c r="I721" s="1" t="n">
        <v>169.1</v>
      </c>
      <c r="J721" s="1" t="n">
        <v>-24.6</v>
      </c>
      <c r="K721" s="1" t="n">
        <v>77.2</v>
      </c>
      <c r="L721" s="1" t="n">
        <v>0</v>
      </c>
      <c r="M721" s="1" t="n">
        <v>0</v>
      </c>
      <c r="N721" s="1" t="s">
        <v>449</v>
      </c>
      <c r="Z721" s="0" t="n">
        <f aca="false">I721-3</f>
        <v>166.1</v>
      </c>
      <c r="AB721" s="0" t="n">
        <f aca="false">IF(Z721&lt;0,Z721+360,Z721+0)</f>
        <v>166.1</v>
      </c>
    </row>
    <row r="722" customFormat="false" ht="15.8" hidden="false" customHeight="false" outlineLevel="0" collapsed="false">
      <c r="A722" s="1" t="n">
        <v>20</v>
      </c>
      <c r="B722" s="1" t="n">
        <v>16</v>
      </c>
      <c r="C722" s="1" t="n">
        <v>1.9</v>
      </c>
      <c r="D722" s="1" t="n">
        <v>1.3516</v>
      </c>
      <c r="E722" s="1" t="n">
        <v>0.0647525</v>
      </c>
      <c r="F722" s="1" t="n">
        <v>0.000176223</v>
      </c>
      <c r="G722" s="1" t="s">
        <v>27</v>
      </c>
      <c r="H722" s="1" t="n">
        <v>33.8</v>
      </c>
      <c r="I722" s="1" t="n">
        <v>45.5</v>
      </c>
      <c r="J722" s="1" t="n">
        <v>-52.4</v>
      </c>
      <c r="K722" s="1"/>
      <c r="L722" s="1" t="n">
        <v>0</v>
      </c>
      <c r="M722" s="1" t="n">
        <v>0</v>
      </c>
      <c r="N722" s="1" t="s">
        <v>449</v>
      </c>
      <c r="Z722" s="0" t="n">
        <f aca="false">I722-3</f>
        <v>42.5</v>
      </c>
      <c r="AB722" s="0" t="n">
        <f aca="false">IF(Z722&lt;0,Z722+360,Z722+0)</f>
        <v>42.5</v>
      </c>
    </row>
    <row r="723" customFormat="false" ht="15.8" hidden="false" customHeight="false" outlineLevel="0" collapsed="false">
      <c r="A723" s="1" t="n">
        <v>20</v>
      </c>
      <c r="B723" s="1" t="n">
        <v>16</v>
      </c>
      <c r="C723" s="1" t="n">
        <v>1.6</v>
      </c>
      <c r="D723" s="1" t="n">
        <v>1.1546</v>
      </c>
      <c r="E723" s="1" t="n">
        <v>0.0538196</v>
      </c>
      <c r="F723" s="1" t="n">
        <v>0.00014647</v>
      </c>
      <c r="G723" s="1" t="s">
        <v>27</v>
      </c>
      <c r="H723" s="1" t="n">
        <v>44.4</v>
      </c>
      <c r="I723" s="1" t="n">
        <v>72.6</v>
      </c>
      <c r="J723" s="1" t="n">
        <v>-15.8</v>
      </c>
      <c r="K723" s="1"/>
      <c r="L723" s="1" t="n">
        <v>0</v>
      </c>
      <c r="M723" s="1" t="n">
        <v>0</v>
      </c>
      <c r="N723" s="1" t="s">
        <v>449</v>
      </c>
      <c r="Z723" s="0" t="n">
        <f aca="false">I723-3</f>
        <v>69.6</v>
      </c>
      <c r="AB723" s="0" t="n">
        <f aca="false">IF(Z723&lt;0,Z723+360,Z723+0)</f>
        <v>69.6</v>
      </c>
    </row>
    <row r="724" customFormat="false" ht="15.8" hidden="false" customHeight="false" outlineLevel="0" collapsed="false">
      <c r="A724" s="1" t="n">
        <v>20</v>
      </c>
      <c r="B724" s="1" t="n">
        <v>15</v>
      </c>
      <c r="C724" s="1" t="n">
        <v>2.3</v>
      </c>
      <c r="D724" s="1" t="n">
        <v>1.2381</v>
      </c>
      <c r="E724" s="1" t="n">
        <v>0.0782413</v>
      </c>
      <c r="F724" s="1" t="n">
        <v>0.000212933</v>
      </c>
      <c r="G724" s="1" t="s">
        <v>37</v>
      </c>
      <c r="H724" s="1" t="n">
        <v>94.9</v>
      </c>
      <c r="I724" s="1" t="n">
        <v>103.1</v>
      </c>
      <c r="J724" s="1" t="n">
        <v>-53.2</v>
      </c>
      <c r="K724" s="1" t="n">
        <v>56.4</v>
      </c>
      <c r="L724" s="1" t="n">
        <v>0</v>
      </c>
      <c r="M724" s="1" t="n">
        <v>0</v>
      </c>
      <c r="N724" s="1" t="s">
        <v>450</v>
      </c>
      <c r="Z724" s="0" t="n">
        <f aca="false">I724-3</f>
        <v>100.1</v>
      </c>
      <c r="AB724" s="0" t="n">
        <f aca="false">IF(Z724&lt;0,Z724+360,Z724+0)</f>
        <v>100.1</v>
      </c>
    </row>
    <row r="725" customFormat="false" ht="15.8" hidden="false" customHeight="false" outlineLevel="0" collapsed="false">
      <c r="A725" s="1" t="n">
        <v>20</v>
      </c>
      <c r="B725" s="1" t="n">
        <v>16</v>
      </c>
      <c r="C725" s="1" t="n">
        <v>0.7</v>
      </c>
      <c r="D725" s="1" t="n">
        <v>1.1838</v>
      </c>
      <c r="E725" s="1" t="n">
        <v>0.023682</v>
      </c>
      <c r="F725" s="1" t="n">
        <v>6.44505E-005</v>
      </c>
      <c r="G725" s="1" t="s">
        <v>27</v>
      </c>
      <c r="H725" s="1" t="n">
        <v>46.2</v>
      </c>
      <c r="I725" s="1" t="n">
        <v>144.8</v>
      </c>
      <c r="J725" s="1" t="n">
        <v>39.2</v>
      </c>
      <c r="K725" s="1"/>
      <c r="L725" s="1" t="n">
        <v>0</v>
      </c>
      <c r="M725" s="1" t="n">
        <v>0</v>
      </c>
      <c r="N725" s="1" t="s">
        <v>451</v>
      </c>
      <c r="Z725" s="0" t="n">
        <f aca="false">I725-3</f>
        <v>141.8</v>
      </c>
      <c r="AB725" s="0" t="n">
        <f aca="false">IF(Z725&lt;0,Z725+360,Z725+0)</f>
        <v>141.8</v>
      </c>
    </row>
    <row r="726" customFormat="false" ht="15.8" hidden="false" customHeight="false" outlineLevel="0" collapsed="false">
      <c r="A726" s="1" t="n">
        <v>20</v>
      </c>
      <c r="B726" s="1" t="n">
        <v>17</v>
      </c>
      <c r="C726" s="1" t="n">
        <v>0.8</v>
      </c>
      <c r="D726" s="1" t="n">
        <v>1.2225</v>
      </c>
      <c r="E726" s="1" t="n">
        <v>0.0260346</v>
      </c>
      <c r="F726" s="1" t="n">
        <v>7.0853E-005</v>
      </c>
      <c r="G726" s="1" t="s">
        <v>27</v>
      </c>
      <c r="H726" s="1" t="n">
        <v>15.7</v>
      </c>
      <c r="I726" s="1" t="n">
        <v>358.8</v>
      </c>
      <c r="J726" s="1" t="n">
        <v>36.5</v>
      </c>
      <c r="K726" s="1"/>
      <c r="L726" s="1" t="n">
        <v>0</v>
      </c>
      <c r="M726" s="1" t="n">
        <v>0</v>
      </c>
      <c r="N726" s="1" t="s">
        <v>452</v>
      </c>
      <c r="Z726" s="0" t="n">
        <f aca="false">I726-3</f>
        <v>355.8</v>
      </c>
      <c r="AB726" s="0" t="n">
        <f aca="false">IF(Z726&lt;0,Z726+360,Z726+0)</f>
        <v>355.8</v>
      </c>
    </row>
    <row r="727" customFormat="false" ht="15.8" hidden="false" customHeight="false" outlineLevel="0" collapsed="false">
      <c r="A727" s="1" t="n">
        <v>20</v>
      </c>
      <c r="B727" s="1" t="n">
        <v>17</v>
      </c>
      <c r="C727" s="1" t="n">
        <v>1</v>
      </c>
      <c r="D727" s="1" t="n">
        <v>1.1765</v>
      </c>
      <c r="E727" s="1" t="n">
        <v>0.0348107</v>
      </c>
      <c r="F727" s="1" t="n">
        <v>9.47371E-005</v>
      </c>
      <c r="G727" s="1" t="s">
        <v>27</v>
      </c>
      <c r="H727" s="1" t="n">
        <v>74.3</v>
      </c>
      <c r="I727" s="1" t="n">
        <v>308.8</v>
      </c>
      <c r="J727" s="1" t="n">
        <v>-25.3</v>
      </c>
      <c r="K727" s="1"/>
      <c r="L727" s="1" t="n">
        <v>0</v>
      </c>
      <c r="M727" s="1" t="n">
        <v>0</v>
      </c>
      <c r="N727" s="1" t="s">
        <v>452</v>
      </c>
      <c r="Z727" s="0" t="n">
        <f aca="false">I727-3</f>
        <v>305.8</v>
      </c>
      <c r="AB727" s="0" t="n">
        <f aca="false">IF(Z727&lt;0,Z727+360,Z727+0)</f>
        <v>305.8</v>
      </c>
    </row>
    <row r="728" customFormat="false" ht="15.8" hidden="false" customHeight="false" outlineLevel="0" collapsed="false">
      <c r="A728" s="1" t="n">
        <v>20</v>
      </c>
      <c r="B728" s="1" t="n">
        <v>16</v>
      </c>
      <c r="C728" s="1" t="n">
        <v>5.9</v>
      </c>
      <c r="D728" s="1" t="n">
        <v>1.22</v>
      </c>
      <c r="E728" s="1" t="n">
        <v>0.200876</v>
      </c>
      <c r="F728" s="1" t="n">
        <v>0.000546683</v>
      </c>
      <c r="G728" s="1" t="s">
        <v>37</v>
      </c>
      <c r="H728" s="1" t="n">
        <v>109.2</v>
      </c>
      <c r="I728" s="1" t="n">
        <v>7.3</v>
      </c>
      <c r="J728" s="1" t="n">
        <v>22.6</v>
      </c>
      <c r="K728" s="1" t="n">
        <v>74.3</v>
      </c>
      <c r="L728" s="1" t="n">
        <v>0</v>
      </c>
      <c r="M728" s="1" t="n">
        <v>0</v>
      </c>
      <c r="N728" s="1" t="s">
        <v>451</v>
      </c>
      <c r="Z728" s="0" t="n">
        <f aca="false">I728-3</f>
        <v>4.3</v>
      </c>
      <c r="AB728" s="0" t="n">
        <f aca="false">IF(Z728&lt;0,Z728+360,Z728+0)</f>
        <v>4.3</v>
      </c>
    </row>
    <row r="729" customFormat="false" ht="15.8" hidden="false" customHeight="false" outlineLevel="0" collapsed="false">
      <c r="A729" s="1" t="n">
        <v>20</v>
      </c>
      <c r="B729" s="1" t="n">
        <v>15</v>
      </c>
      <c r="C729" s="1" t="n">
        <v>0.5</v>
      </c>
      <c r="D729" s="1" t="n">
        <v>1.0561</v>
      </c>
      <c r="E729" s="1" t="n">
        <v>0.0188066</v>
      </c>
      <c r="F729" s="1" t="n">
        <v>5.1182E-005</v>
      </c>
      <c r="G729" s="1" t="s">
        <v>37</v>
      </c>
      <c r="H729" s="1" t="n">
        <v>95.4</v>
      </c>
      <c r="I729" s="1" t="n">
        <v>118.2</v>
      </c>
      <c r="J729" s="1" t="n">
        <v>0</v>
      </c>
      <c r="K729" s="1" t="n">
        <v>109.2</v>
      </c>
      <c r="L729" s="1" t="n">
        <v>0</v>
      </c>
      <c r="M729" s="1" t="n">
        <v>0</v>
      </c>
      <c r="N729" s="1" t="s">
        <v>450</v>
      </c>
      <c r="Z729" s="0" t="n">
        <f aca="false">I729-3</f>
        <v>115.2</v>
      </c>
      <c r="AB729" s="0" t="n">
        <f aca="false">IF(Z729&lt;0,Z729+360,Z729+0)</f>
        <v>115.2</v>
      </c>
    </row>
    <row r="730" customFormat="false" ht="15.8" hidden="false" customHeight="false" outlineLevel="0" collapsed="false">
      <c r="A730" s="1" t="n">
        <v>20</v>
      </c>
      <c r="B730" s="1" t="n">
        <v>14</v>
      </c>
      <c r="C730" s="1" t="n">
        <v>2</v>
      </c>
      <c r="D730" s="1" t="n">
        <v>1.2375</v>
      </c>
      <c r="E730" s="1" t="n">
        <v>0.0685248</v>
      </c>
      <c r="F730" s="1" t="n">
        <v>0.00018649</v>
      </c>
      <c r="G730" s="1" t="s">
        <v>37</v>
      </c>
      <c r="H730" s="1" t="n">
        <v>49.9</v>
      </c>
      <c r="I730" s="1" t="n">
        <v>22.7</v>
      </c>
      <c r="J730" s="1" t="n">
        <v>13.2</v>
      </c>
      <c r="K730" s="1" t="n">
        <v>95.4</v>
      </c>
      <c r="L730" s="1" t="n">
        <v>0</v>
      </c>
      <c r="M730" s="1" t="n">
        <v>0</v>
      </c>
      <c r="N730" s="1" t="s">
        <v>445</v>
      </c>
      <c r="Z730" s="0" t="n">
        <f aca="false">I730-3</f>
        <v>19.7</v>
      </c>
      <c r="AB730" s="0" t="n">
        <f aca="false">IF(Z730&lt;0,Z730+360,Z730+0)</f>
        <v>19.7</v>
      </c>
    </row>
    <row r="731" customFormat="false" ht="15.8" hidden="false" customHeight="false" outlineLevel="0" collapsed="false">
      <c r="A731" s="1" t="n">
        <v>20</v>
      </c>
      <c r="B731" s="1" t="n">
        <v>13</v>
      </c>
      <c r="C731" s="1" t="n">
        <v>4.6</v>
      </c>
      <c r="D731" s="1" t="n">
        <v>1.6055</v>
      </c>
      <c r="E731" s="1" t="n">
        <v>0.155756</v>
      </c>
      <c r="F731" s="1" t="n">
        <v>0.000423888</v>
      </c>
      <c r="G731" s="1" t="s">
        <v>37</v>
      </c>
      <c r="H731" s="1" t="n">
        <v>60.6</v>
      </c>
      <c r="I731" s="1" t="n">
        <v>334.1</v>
      </c>
      <c r="J731" s="1" t="n">
        <v>0</v>
      </c>
      <c r="K731" s="1" t="n">
        <v>49.9</v>
      </c>
      <c r="L731" s="1" t="n">
        <v>0</v>
      </c>
      <c r="M731" s="1" t="n">
        <v>0</v>
      </c>
      <c r="N731" s="1" t="s">
        <v>453</v>
      </c>
      <c r="Z731" s="0" t="n">
        <f aca="false">I731-3</f>
        <v>331.1</v>
      </c>
      <c r="AB731" s="0" t="n">
        <f aca="false">IF(Z731&lt;0,Z731+360,Z731+0)</f>
        <v>331.1</v>
      </c>
    </row>
    <row r="732" customFormat="false" ht="15.8" hidden="false" customHeight="false" outlineLevel="0" collapsed="false">
      <c r="A732" s="1" t="n">
        <v>20</v>
      </c>
      <c r="B732" s="1" t="n">
        <v>13</v>
      </c>
      <c r="C732" s="1" t="n">
        <v>1</v>
      </c>
      <c r="D732" s="1" t="n">
        <v>1.2005</v>
      </c>
      <c r="E732" s="1" t="n">
        <v>0.0336049</v>
      </c>
      <c r="F732" s="1" t="n">
        <v>9.14554E-005</v>
      </c>
      <c r="G732" s="1" t="s">
        <v>27</v>
      </c>
      <c r="H732" s="1" t="n">
        <v>61.7</v>
      </c>
      <c r="I732" s="1" t="n">
        <v>92.6</v>
      </c>
      <c r="J732" s="1" t="n">
        <v>26.9</v>
      </c>
      <c r="K732" s="1"/>
      <c r="L732" s="1" t="n">
        <v>0</v>
      </c>
      <c r="M732" s="1" t="n">
        <v>0</v>
      </c>
      <c r="N732" s="1" t="s">
        <v>453</v>
      </c>
      <c r="Z732" s="0" t="n">
        <f aca="false">I732-3</f>
        <v>89.6</v>
      </c>
      <c r="AB732" s="0" t="n">
        <f aca="false">IF(Z732&lt;0,Z732+360,Z732+0)</f>
        <v>89.6</v>
      </c>
    </row>
    <row r="733" customFormat="false" ht="15.8" hidden="false" customHeight="false" outlineLevel="0" collapsed="false">
      <c r="A733" s="1" t="n">
        <v>20</v>
      </c>
      <c r="B733" s="1" t="n">
        <v>12</v>
      </c>
      <c r="C733" s="1" t="n">
        <v>2.3</v>
      </c>
      <c r="D733" s="1" t="n">
        <v>1.0293</v>
      </c>
      <c r="E733" s="1" t="n">
        <v>0.0773861</v>
      </c>
      <c r="F733" s="1" t="n">
        <v>0.000210606</v>
      </c>
      <c r="G733" s="1" t="s">
        <v>37</v>
      </c>
      <c r="H733" s="1" t="n">
        <v>57.6</v>
      </c>
      <c r="I733" s="1" t="n">
        <v>34.7</v>
      </c>
      <c r="J733" s="1" t="n">
        <v>0</v>
      </c>
      <c r="K733" s="1" t="n">
        <v>61.7</v>
      </c>
      <c r="L733" s="1" t="n">
        <v>0</v>
      </c>
      <c r="M733" s="1" t="n">
        <v>0</v>
      </c>
      <c r="N733" s="1" t="s">
        <v>454</v>
      </c>
      <c r="Z733" s="0" t="n">
        <f aca="false">I733-3</f>
        <v>31.7</v>
      </c>
      <c r="AB733" s="0" t="n">
        <f aca="false">IF(Z733&lt;0,Z733+360,Z733+0)</f>
        <v>31.7</v>
      </c>
    </row>
    <row r="734" customFormat="false" ht="15.8" hidden="false" customHeight="false" outlineLevel="0" collapsed="false">
      <c r="A734" s="1" t="n">
        <v>20</v>
      </c>
      <c r="B734" s="1" t="n">
        <v>12</v>
      </c>
      <c r="C734" s="1" t="n">
        <v>0.9</v>
      </c>
      <c r="D734" s="1" t="n">
        <v>1.2017</v>
      </c>
      <c r="E734" s="1" t="n">
        <v>0.029812</v>
      </c>
      <c r="F734" s="1" t="n">
        <v>8.11331E-005</v>
      </c>
      <c r="G734" s="1" t="s">
        <v>27</v>
      </c>
      <c r="H734" s="1" t="n">
        <v>65.5</v>
      </c>
      <c r="I734" s="1" t="n">
        <v>276</v>
      </c>
      <c r="J734" s="1" t="n">
        <v>30.7</v>
      </c>
      <c r="K734" s="1"/>
      <c r="L734" s="1" t="n">
        <v>0</v>
      </c>
      <c r="M734" s="1" t="n">
        <v>0</v>
      </c>
      <c r="N734" s="1" t="s">
        <v>454</v>
      </c>
      <c r="Z734" s="0" t="n">
        <f aca="false">I734-3</f>
        <v>273</v>
      </c>
      <c r="AB734" s="0" t="n">
        <f aca="false">IF(Z734&lt;0,Z734+360,Z734+0)</f>
        <v>273</v>
      </c>
    </row>
    <row r="735" customFormat="false" ht="15.8" hidden="false" customHeight="false" outlineLevel="0" collapsed="false">
      <c r="A735" s="1" t="n">
        <v>20</v>
      </c>
      <c r="B735" s="1" t="n">
        <v>11</v>
      </c>
      <c r="C735" s="1" t="n">
        <v>0.9</v>
      </c>
      <c r="D735" s="1" t="n">
        <v>1.0424</v>
      </c>
      <c r="E735" s="1" t="n">
        <v>0.0318499</v>
      </c>
      <c r="F735" s="1" t="n">
        <v>8.66793E-005</v>
      </c>
      <c r="G735" s="1" t="s">
        <v>37</v>
      </c>
      <c r="H735" s="1" t="n">
        <v>75.6</v>
      </c>
      <c r="I735" s="1" t="n">
        <v>337.1</v>
      </c>
      <c r="J735" s="1" t="n">
        <v>0</v>
      </c>
      <c r="K735" s="1" t="n">
        <v>65.5</v>
      </c>
      <c r="L735" s="1" t="n">
        <v>0</v>
      </c>
      <c r="M735" s="1" t="n">
        <v>0</v>
      </c>
      <c r="N735" s="1" t="s">
        <v>455</v>
      </c>
      <c r="Z735" s="0" t="n">
        <f aca="false">I735-3</f>
        <v>334.1</v>
      </c>
      <c r="AB735" s="0" t="n">
        <f aca="false">IF(Z735&lt;0,Z735+360,Z735+0)</f>
        <v>334.1</v>
      </c>
    </row>
    <row r="736" customFormat="false" ht="15.8" hidden="false" customHeight="false" outlineLevel="0" collapsed="false">
      <c r="A736" s="1" t="n">
        <v>20</v>
      </c>
      <c r="B736" s="1" t="n">
        <v>11</v>
      </c>
      <c r="C736" s="1" t="n">
        <v>1.5</v>
      </c>
      <c r="D736" s="1" t="n">
        <v>1.0149</v>
      </c>
      <c r="E736" s="1" t="n">
        <v>0.0522894</v>
      </c>
      <c r="F736" s="1" t="n">
        <v>0.000142305</v>
      </c>
      <c r="G736" s="1" t="s">
        <v>27</v>
      </c>
      <c r="H736" s="1" t="n">
        <v>89.5</v>
      </c>
      <c r="I736" s="1" t="n">
        <v>180.8</v>
      </c>
      <c r="J736" s="1" t="n">
        <v>0</v>
      </c>
      <c r="K736" s="1"/>
      <c r="L736" s="1" t="n">
        <v>0</v>
      </c>
      <c r="M736" s="1" t="n">
        <v>0</v>
      </c>
      <c r="N736" s="1" t="s">
        <v>455</v>
      </c>
      <c r="Z736" s="0" t="n">
        <f aca="false">I736-3</f>
        <v>177.8</v>
      </c>
      <c r="AB736" s="0" t="n">
        <f aca="false">IF(Z736&lt;0,Z736+360,Z736+0)</f>
        <v>177.8</v>
      </c>
    </row>
    <row r="737" customFormat="false" ht="15.8" hidden="false" customHeight="false" outlineLevel="0" collapsed="false">
      <c r="A737" s="1" t="n">
        <v>20</v>
      </c>
      <c r="B737" s="1" t="n">
        <v>10</v>
      </c>
      <c r="C737" s="1" t="n">
        <v>1.7</v>
      </c>
      <c r="D737" s="1" t="n">
        <v>1.1602</v>
      </c>
      <c r="E737" s="1" t="n">
        <v>0.0573377</v>
      </c>
      <c r="F737" s="1" t="n">
        <v>0.000156044</v>
      </c>
      <c r="G737" s="1" t="s">
        <v>37</v>
      </c>
      <c r="H737" s="1" t="n">
        <v>56.3</v>
      </c>
      <c r="I737" s="1" t="n">
        <v>270</v>
      </c>
      <c r="J737" s="1" t="n">
        <v>50.2</v>
      </c>
      <c r="K737" s="1" t="n">
        <v>89.5</v>
      </c>
      <c r="L737" s="1" t="n">
        <v>0</v>
      </c>
      <c r="M737" s="1" t="n">
        <v>0</v>
      </c>
      <c r="N737" s="1" t="s">
        <v>456</v>
      </c>
      <c r="Z737" s="0" t="n">
        <f aca="false">I737-3</f>
        <v>267</v>
      </c>
      <c r="AB737" s="0" t="n">
        <f aca="false">IF(Z737&lt;0,Z737+360,Z737+0)</f>
        <v>267</v>
      </c>
    </row>
    <row r="738" customFormat="false" ht="15.8" hidden="false" customHeight="false" outlineLevel="0" collapsed="false">
      <c r="A738" s="1" t="n">
        <v>20</v>
      </c>
      <c r="B738" s="1" t="n">
        <v>10</v>
      </c>
      <c r="C738" s="1" t="n">
        <v>5.9</v>
      </c>
      <c r="D738" s="1" t="n">
        <v>1.2253</v>
      </c>
      <c r="E738" s="1" t="n">
        <v>0.203052</v>
      </c>
      <c r="F738" s="1" t="n">
        <v>0.000552605</v>
      </c>
      <c r="G738" s="1" t="s">
        <v>27</v>
      </c>
      <c r="H738" s="1" t="n">
        <v>83.6</v>
      </c>
      <c r="I738" s="1" t="n">
        <v>23.5</v>
      </c>
      <c r="J738" s="1" t="n">
        <v>-4.4</v>
      </c>
      <c r="K738" s="1"/>
      <c r="L738" s="1" t="n">
        <v>0</v>
      </c>
      <c r="M738" s="1" t="n">
        <v>0</v>
      </c>
      <c r="N738" s="1" t="s">
        <v>456</v>
      </c>
      <c r="Z738" s="0" t="n">
        <f aca="false">I738-3</f>
        <v>20.5</v>
      </c>
      <c r="AB738" s="0" t="n">
        <f aca="false">IF(Z738&lt;0,Z738+360,Z738+0)</f>
        <v>20.5</v>
      </c>
    </row>
    <row r="739" customFormat="false" ht="15.8" hidden="false" customHeight="false" outlineLevel="0" collapsed="false">
      <c r="A739" s="1" t="n">
        <v>20</v>
      </c>
      <c r="B739" s="1" t="n">
        <v>9</v>
      </c>
      <c r="C739" s="1" t="n">
        <v>0.9</v>
      </c>
      <c r="D739" s="1" t="n">
        <v>1.0294</v>
      </c>
      <c r="E739" s="1" t="n">
        <v>0.0322768</v>
      </c>
      <c r="F739" s="1" t="n">
        <v>8.78411E-005</v>
      </c>
      <c r="G739" s="1" t="s">
        <v>37</v>
      </c>
      <c r="H739" s="1" t="n">
        <v>77.5</v>
      </c>
      <c r="I739" s="1" t="n">
        <v>299.9</v>
      </c>
      <c r="J739" s="1" t="n">
        <v>0</v>
      </c>
      <c r="K739" s="1" t="n">
        <v>83.6</v>
      </c>
      <c r="L739" s="1" t="n">
        <v>0</v>
      </c>
      <c r="M739" s="1" t="n">
        <v>0</v>
      </c>
      <c r="N739" s="1" t="s">
        <v>457</v>
      </c>
      <c r="Z739" s="0" t="n">
        <f aca="false">I739-3</f>
        <v>296.9</v>
      </c>
      <c r="AB739" s="0" t="n">
        <f aca="false">IF(Z739&lt;0,Z739+360,Z739+0)</f>
        <v>296.9</v>
      </c>
    </row>
    <row r="740" customFormat="false" ht="15.8" hidden="false" customHeight="false" outlineLevel="0" collapsed="false">
      <c r="A740" s="1" t="n">
        <v>20</v>
      </c>
      <c r="B740" s="1" t="n">
        <v>13</v>
      </c>
      <c r="C740" s="1" t="n">
        <v>1.5</v>
      </c>
      <c r="D740" s="1" t="n">
        <v>1.1617</v>
      </c>
      <c r="E740" s="1" t="n">
        <v>0.0529785</v>
      </c>
      <c r="F740" s="1" t="n">
        <v>0.000144181</v>
      </c>
      <c r="G740" s="1" t="s">
        <v>27</v>
      </c>
      <c r="H740" s="1" t="n">
        <v>42.5</v>
      </c>
      <c r="I740" s="1" t="n">
        <v>294.6</v>
      </c>
      <c r="J740" s="1" t="n">
        <v>16.1</v>
      </c>
      <c r="K740" s="1"/>
      <c r="L740" s="1" t="n">
        <v>0</v>
      </c>
      <c r="M740" s="1" t="n">
        <v>0</v>
      </c>
      <c r="N740" s="1" t="s">
        <v>458</v>
      </c>
      <c r="Z740" s="0" t="n">
        <f aca="false">I740-3</f>
        <v>291.6</v>
      </c>
      <c r="AB740" s="0" t="n">
        <f aca="false">IF(Z740&lt;0,Z740+360,Z740+0)</f>
        <v>291.6</v>
      </c>
    </row>
    <row r="741" customFormat="false" ht="15.8" hidden="false" customHeight="false" outlineLevel="0" collapsed="false">
      <c r="A741" s="1" t="n">
        <v>20</v>
      </c>
      <c r="B741" s="1" t="n">
        <v>14</v>
      </c>
      <c r="C741" s="1" t="n">
        <v>6.1</v>
      </c>
      <c r="D741" s="1" t="n">
        <v>1.35</v>
      </c>
      <c r="E741" s="1" t="n">
        <v>0.208776</v>
      </c>
      <c r="F741" s="1" t="n">
        <v>0.000568181</v>
      </c>
      <c r="G741" s="1" t="s">
        <v>27</v>
      </c>
      <c r="H741" s="1" t="n">
        <v>42</v>
      </c>
      <c r="I741" s="1" t="n">
        <v>10.5</v>
      </c>
      <c r="J741" s="1" t="n">
        <v>-64.2</v>
      </c>
      <c r="K741" s="1"/>
      <c r="L741" s="1" t="n">
        <v>0</v>
      </c>
      <c r="M741" s="1" t="n">
        <v>0</v>
      </c>
      <c r="N741" s="1" t="s">
        <v>459</v>
      </c>
      <c r="Z741" s="0" t="n">
        <f aca="false">I741-3</f>
        <v>7.5</v>
      </c>
      <c r="AB741" s="0" t="n">
        <f aca="false">IF(Z741&lt;0,Z741+360,Z741+0)</f>
        <v>7.5</v>
      </c>
    </row>
    <row r="742" customFormat="false" ht="15.8" hidden="false" customHeight="false" outlineLevel="0" collapsed="false">
      <c r="A742" s="1" t="n">
        <v>20</v>
      </c>
      <c r="B742" s="1" t="n">
        <v>14</v>
      </c>
      <c r="C742" s="1" t="n">
        <v>2.1</v>
      </c>
      <c r="D742" s="1" t="n">
        <v>1.1647</v>
      </c>
      <c r="E742" s="1" t="n">
        <v>0.0718588</v>
      </c>
      <c r="F742" s="1" t="n">
        <v>0.000195563</v>
      </c>
      <c r="G742" s="1" t="s">
        <v>27</v>
      </c>
      <c r="H742" s="1" t="n">
        <v>61.5</v>
      </c>
      <c r="I742" s="1" t="n">
        <v>354.3</v>
      </c>
      <c r="J742" s="1" t="n">
        <v>38</v>
      </c>
      <c r="K742" s="1"/>
      <c r="L742" s="1" t="n">
        <v>0</v>
      </c>
      <c r="M742" s="1" t="n">
        <v>0</v>
      </c>
      <c r="N742" s="1" t="s">
        <v>459</v>
      </c>
      <c r="Z742" s="0" t="n">
        <f aca="false">I742-3</f>
        <v>351.3</v>
      </c>
      <c r="AB742" s="0" t="n">
        <f aca="false">IF(Z742&lt;0,Z742+360,Z742+0)</f>
        <v>351.3</v>
      </c>
    </row>
    <row r="743" customFormat="false" ht="15.8" hidden="false" customHeight="false" outlineLevel="0" collapsed="false">
      <c r="A743" s="1" t="n">
        <v>20</v>
      </c>
      <c r="B743" s="1" t="n">
        <v>14</v>
      </c>
      <c r="C743" s="1" t="n">
        <v>1.3</v>
      </c>
      <c r="D743" s="1" t="n">
        <v>1.2732</v>
      </c>
      <c r="E743" s="1" t="n">
        <v>0.0429561</v>
      </c>
      <c r="F743" s="1" t="n">
        <v>0.000116905</v>
      </c>
      <c r="G743" s="1" t="s">
        <v>27</v>
      </c>
      <c r="H743" s="1" t="n">
        <v>86.6</v>
      </c>
      <c r="I743" s="1" t="n">
        <v>64.3</v>
      </c>
      <c r="J743" s="1" t="n">
        <v>48.6</v>
      </c>
      <c r="K743" s="1"/>
      <c r="L743" s="1" t="n">
        <v>0</v>
      </c>
      <c r="M743" s="1" t="n">
        <v>0</v>
      </c>
      <c r="N743" s="1" t="s">
        <v>459</v>
      </c>
      <c r="Z743" s="0" t="n">
        <f aca="false">I743-3</f>
        <v>61.3</v>
      </c>
      <c r="AB743" s="0" t="n">
        <f aca="false">IF(Z743&lt;0,Z743+360,Z743+0)</f>
        <v>61.3</v>
      </c>
    </row>
    <row r="744" customFormat="false" ht="15.8" hidden="false" customHeight="false" outlineLevel="0" collapsed="false">
      <c r="A744" s="1" t="n">
        <v>20</v>
      </c>
      <c r="B744" s="1" t="n">
        <v>13</v>
      </c>
      <c r="C744" s="1" t="n">
        <v>6.1</v>
      </c>
      <c r="D744" s="1" t="n">
        <v>1.2535</v>
      </c>
      <c r="E744" s="1" t="n">
        <v>0.210284</v>
      </c>
      <c r="F744" s="1" t="n">
        <v>0.000572285</v>
      </c>
      <c r="G744" s="1" t="s">
        <v>37</v>
      </c>
      <c r="H744" s="1" t="n">
        <v>39.6</v>
      </c>
      <c r="I744" s="1" t="n">
        <v>8.3</v>
      </c>
      <c r="J744" s="1" t="n">
        <v>-22.2</v>
      </c>
      <c r="K744" s="1" t="n">
        <v>86.6</v>
      </c>
      <c r="L744" s="1" t="n">
        <v>0</v>
      </c>
      <c r="M744" s="1" t="n">
        <v>0</v>
      </c>
      <c r="N744" s="1" t="s">
        <v>458</v>
      </c>
      <c r="Z744" s="0" t="n">
        <f aca="false">I744-3</f>
        <v>5.3</v>
      </c>
      <c r="AB744" s="0" t="n">
        <f aca="false">IF(Z744&lt;0,Z744+360,Z744+0)</f>
        <v>5.3</v>
      </c>
    </row>
    <row r="745" customFormat="false" ht="15.8" hidden="false" customHeight="false" outlineLevel="0" collapsed="false">
      <c r="A745" s="1" t="n">
        <v>20</v>
      </c>
      <c r="B745" s="1" t="n">
        <v>12</v>
      </c>
      <c r="C745" s="1" t="n">
        <v>1.3</v>
      </c>
      <c r="D745" s="1" t="n">
        <v>1.0289</v>
      </c>
      <c r="E745" s="1" t="n">
        <v>0.0445481</v>
      </c>
      <c r="F745" s="1" t="n">
        <v>0.000121237</v>
      </c>
      <c r="G745" s="1" t="s">
        <v>37</v>
      </c>
      <c r="H745" s="1" t="n">
        <v>39.3</v>
      </c>
      <c r="I745" s="1" t="n">
        <v>334.5</v>
      </c>
      <c r="J745" s="1" t="n">
        <v>0</v>
      </c>
      <c r="K745" s="1" t="n">
        <v>42.5</v>
      </c>
      <c r="L745" s="1" t="n">
        <v>0</v>
      </c>
      <c r="M745" s="1" t="n">
        <v>0</v>
      </c>
      <c r="N745" s="1" t="s">
        <v>460</v>
      </c>
      <c r="Z745" s="0" t="n">
        <f aca="false">I745-3</f>
        <v>331.5</v>
      </c>
      <c r="AB745" s="0" t="n">
        <f aca="false">IF(Z745&lt;0,Z745+360,Z745+0)</f>
        <v>331.5</v>
      </c>
    </row>
    <row r="746" customFormat="false" ht="15.8" hidden="false" customHeight="false" outlineLevel="0" collapsed="false">
      <c r="A746" s="1" t="n">
        <v>20</v>
      </c>
      <c r="B746" s="1" t="n">
        <v>12</v>
      </c>
      <c r="C746" s="1" t="n">
        <v>2</v>
      </c>
      <c r="D746" s="1" t="n">
        <v>1.2198</v>
      </c>
      <c r="E746" s="1" t="n">
        <v>0.0699019</v>
      </c>
      <c r="F746" s="1" t="n">
        <v>0.000190237</v>
      </c>
      <c r="G746" s="1" t="s">
        <v>27</v>
      </c>
      <c r="H746" s="1" t="n">
        <v>30.6</v>
      </c>
      <c r="I746" s="1" t="n">
        <v>41.8</v>
      </c>
      <c r="J746" s="1" t="n">
        <v>-26.2</v>
      </c>
      <c r="K746" s="1"/>
      <c r="L746" s="1" t="n">
        <v>0</v>
      </c>
      <c r="M746" s="1" t="n">
        <v>0</v>
      </c>
      <c r="N746" s="1" t="s">
        <v>460</v>
      </c>
      <c r="Z746" s="0" t="n">
        <f aca="false">I746-3</f>
        <v>38.8</v>
      </c>
      <c r="AB746" s="0" t="n">
        <f aca="false">IF(Z746&lt;0,Z746+360,Z746+0)</f>
        <v>38.8</v>
      </c>
    </row>
    <row r="747" customFormat="false" ht="15.8" hidden="false" customHeight="false" outlineLevel="0" collapsed="false">
      <c r="A747" s="1" t="n">
        <v>20</v>
      </c>
      <c r="B747" s="1" t="n">
        <v>11</v>
      </c>
      <c r="C747" s="1" t="n">
        <v>4.1</v>
      </c>
      <c r="D747" s="1" t="n">
        <v>1.2356</v>
      </c>
      <c r="E747" s="1" t="n">
        <v>0.139561</v>
      </c>
      <c r="F747" s="1" t="n">
        <v>0.000379814</v>
      </c>
      <c r="G747" s="1" t="s">
        <v>37</v>
      </c>
      <c r="H747" s="1" t="n">
        <v>65.4</v>
      </c>
      <c r="I747" s="1" t="n">
        <v>9.3</v>
      </c>
      <c r="J747" s="1" t="n">
        <v>-19.6</v>
      </c>
      <c r="K747" s="1" t="n">
        <v>39.3</v>
      </c>
      <c r="L747" s="1" t="n">
        <v>0</v>
      </c>
      <c r="M747" s="1" t="n">
        <v>0</v>
      </c>
      <c r="N747" s="1" t="s">
        <v>461</v>
      </c>
      <c r="Z747" s="0" t="n">
        <f aca="false">I747-3</f>
        <v>6.3</v>
      </c>
      <c r="AB747" s="0" t="n">
        <f aca="false">IF(Z747&lt;0,Z747+360,Z747+0)</f>
        <v>6.3</v>
      </c>
    </row>
    <row r="748" customFormat="false" ht="15.8" hidden="false" customHeight="false" outlineLevel="0" collapsed="false">
      <c r="A748" s="1" t="n">
        <v>20</v>
      </c>
      <c r="B748" s="1" t="n">
        <v>13</v>
      </c>
      <c r="C748" s="1" t="n">
        <v>4.1</v>
      </c>
      <c r="D748" s="1" t="n">
        <v>1.2176</v>
      </c>
      <c r="E748" s="1" t="n">
        <v>0.139117</v>
      </c>
      <c r="F748" s="1" t="n">
        <v>0.000378605</v>
      </c>
      <c r="G748" s="1" t="s">
        <v>27</v>
      </c>
      <c r="H748" s="1" t="n">
        <v>65.7</v>
      </c>
      <c r="I748" s="1" t="n">
        <v>183.2</v>
      </c>
      <c r="J748" s="1" t="n">
        <v>-19.4</v>
      </c>
      <c r="K748" s="1"/>
      <c r="L748" s="1" t="n">
        <v>0</v>
      </c>
      <c r="M748" s="1" t="n">
        <v>0</v>
      </c>
      <c r="N748" s="1" t="s">
        <v>462</v>
      </c>
      <c r="Z748" s="0" t="n">
        <f aca="false">I748-3</f>
        <v>180.2</v>
      </c>
      <c r="AB748" s="0" t="n">
        <f aca="false">IF(Z748&lt;0,Z748+360,Z748+0)</f>
        <v>180.2</v>
      </c>
    </row>
    <row r="749" customFormat="false" ht="15.8" hidden="false" customHeight="false" outlineLevel="0" collapsed="false">
      <c r="A749" s="1" t="n">
        <v>20</v>
      </c>
      <c r="B749" s="1" t="n">
        <v>13</v>
      </c>
      <c r="C749" s="1" t="n">
        <v>1.1</v>
      </c>
      <c r="D749" s="1" t="n">
        <v>1.1746</v>
      </c>
      <c r="E749" s="1" t="n">
        <v>0.0382708</v>
      </c>
      <c r="F749" s="1" t="n">
        <v>0.000104154</v>
      </c>
      <c r="G749" s="1" t="s">
        <v>27</v>
      </c>
      <c r="H749" s="1" t="n">
        <v>98.7</v>
      </c>
      <c r="I749" s="1" t="n">
        <v>19.6</v>
      </c>
      <c r="J749" s="1" t="n">
        <v>22.9</v>
      </c>
      <c r="K749" s="1"/>
      <c r="L749" s="1" t="n">
        <v>0</v>
      </c>
      <c r="M749" s="1" t="n">
        <v>0</v>
      </c>
      <c r="N749" s="1" t="s">
        <v>462</v>
      </c>
      <c r="Z749" s="0" t="n">
        <f aca="false">I749-3</f>
        <v>16.6</v>
      </c>
      <c r="AB749" s="0" t="n">
        <f aca="false">IF(Z749&lt;0,Z749+360,Z749+0)</f>
        <v>16.6</v>
      </c>
    </row>
    <row r="750" customFormat="false" ht="15.8" hidden="false" customHeight="false" outlineLevel="0" collapsed="false">
      <c r="A750" s="1" t="n">
        <v>20</v>
      </c>
      <c r="B750" s="1" t="n">
        <v>12</v>
      </c>
      <c r="C750" s="1" t="n">
        <v>0.8</v>
      </c>
      <c r="D750" s="1" t="n">
        <v>1.0352</v>
      </c>
      <c r="E750" s="1" t="n">
        <v>0.0277738</v>
      </c>
      <c r="F750" s="1" t="n">
        <v>7.55861E-005</v>
      </c>
      <c r="G750" s="1" t="s">
        <v>37</v>
      </c>
      <c r="H750" s="1" t="n">
        <v>59.7</v>
      </c>
      <c r="I750" s="1" t="n">
        <v>119.1</v>
      </c>
      <c r="J750" s="1" t="n">
        <v>0</v>
      </c>
      <c r="K750" s="1" t="n">
        <v>98.7</v>
      </c>
      <c r="L750" s="1" t="n">
        <v>0</v>
      </c>
      <c r="M750" s="1" t="n">
        <v>0</v>
      </c>
      <c r="N750" s="1" t="s">
        <v>463</v>
      </c>
      <c r="Z750" s="0" t="n">
        <f aca="false">I750-3</f>
        <v>116.1</v>
      </c>
      <c r="AB750" s="0" t="n">
        <f aca="false">IF(Z750&lt;0,Z750+360,Z750+0)</f>
        <v>116.1</v>
      </c>
    </row>
    <row r="751" customFormat="false" ht="15.8" hidden="false" customHeight="false" outlineLevel="0" collapsed="false">
      <c r="A751" s="1" t="n">
        <v>20</v>
      </c>
      <c r="B751" s="1" t="n">
        <v>13</v>
      </c>
      <c r="C751" s="1" t="n">
        <v>6.1</v>
      </c>
      <c r="D751" s="1" t="n">
        <v>1.3453</v>
      </c>
      <c r="E751" s="1" t="n">
        <v>0.209501</v>
      </c>
      <c r="F751" s="1" t="n">
        <v>0.000570154</v>
      </c>
      <c r="G751" s="1" t="s">
        <v>27</v>
      </c>
      <c r="H751" s="1" t="n">
        <v>48.7</v>
      </c>
      <c r="I751" s="1" t="n">
        <v>9.1</v>
      </c>
      <c r="J751" s="1" t="n">
        <v>29.2</v>
      </c>
      <c r="K751" s="1"/>
      <c r="L751" s="1" t="n">
        <v>0</v>
      </c>
      <c r="M751" s="1" t="n">
        <v>0</v>
      </c>
      <c r="N751" s="1" t="s">
        <v>464</v>
      </c>
      <c r="Z751" s="0" t="n">
        <f aca="false">I751-3</f>
        <v>6.1</v>
      </c>
      <c r="AB751" s="0" t="n">
        <f aca="false">IF(Z751&lt;0,Z751+360,Z751+0)</f>
        <v>6.1</v>
      </c>
    </row>
    <row r="752" customFormat="false" ht="15.8" hidden="false" customHeight="false" outlineLevel="0" collapsed="false">
      <c r="A752" s="1" t="n">
        <v>20</v>
      </c>
      <c r="B752" s="1" t="n">
        <v>14</v>
      </c>
      <c r="C752" s="1" t="n">
        <v>1.8</v>
      </c>
      <c r="D752" s="1" t="n">
        <v>1.0571</v>
      </c>
      <c r="E752" s="1" t="n">
        <v>0.124996</v>
      </c>
      <c r="F752" s="1" t="n">
        <v>0.000680352</v>
      </c>
      <c r="G752" s="1" t="s">
        <v>27</v>
      </c>
      <c r="H752" s="1" t="n">
        <v>102.7</v>
      </c>
      <c r="I752" s="1" t="n">
        <v>185.8</v>
      </c>
      <c r="J752" s="1" t="n">
        <v>0</v>
      </c>
      <c r="K752" s="1"/>
      <c r="L752" s="1" t="n">
        <v>0</v>
      </c>
      <c r="M752" s="1" t="n">
        <v>0</v>
      </c>
      <c r="N752" s="1" t="s">
        <v>465</v>
      </c>
      <c r="Z752" s="0" t="n">
        <f aca="false">I752-3</f>
        <v>182.8</v>
      </c>
      <c r="AB752" s="0" t="n">
        <f aca="false">IF(Z752&lt;0,Z752+360,Z752+0)</f>
        <v>182.8</v>
      </c>
    </row>
    <row r="753" customFormat="false" ht="15.8" hidden="false" customHeight="false" outlineLevel="0" collapsed="false">
      <c r="A753" s="1" t="n">
        <v>20</v>
      </c>
      <c r="B753" s="1" t="n">
        <v>14</v>
      </c>
      <c r="C753" s="1" t="n">
        <v>1.8</v>
      </c>
      <c r="D753" s="1" t="n">
        <v>1.1767</v>
      </c>
      <c r="E753" s="1" t="n">
        <v>0.121663</v>
      </c>
      <c r="F753" s="1" t="n">
        <v>0.000662209</v>
      </c>
      <c r="G753" s="1" t="s">
        <v>27</v>
      </c>
      <c r="H753" s="1" t="n">
        <v>20.5</v>
      </c>
      <c r="I753" s="1" t="n">
        <v>135</v>
      </c>
      <c r="J753" s="1" t="n">
        <v>-78.2</v>
      </c>
      <c r="K753" s="1"/>
      <c r="L753" s="1" t="n">
        <v>0</v>
      </c>
      <c r="M753" s="1" t="n">
        <v>0</v>
      </c>
      <c r="N753" s="1" t="s">
        <v>465</v>
      </c>
      <c r="Z753" s="0" t="n">
        <f aca="false">I753-3</f>
        <v>132</v>
      </c>
      <c r="AB753" s="0" t="n">
        <f aca="false">IF(Z753&lt;0,Z753+360,Z753+0)</f>
        <v>132</v>
      </c>
    </row>
    <row r="754" customFormat="false" ht="15.8" hidden="false" customHeight="false" outlineLevel="0" collapsed="false">
      <c r="A754" s="1" t="n">
        <v>20</v>
      </c>
      <c r="B754" s="1" t="n">
        <v>13</v>
      </c>
      <c r="C754" s="1" t="n">
        <v>3.7</v>
      </c>
      <c r="D754" s="1" t="n">
        <v>1.0889</v>
      </c>
      <c r="E754" s="1" t="n">
        <v>0.247134</v>
      </c>
      <c r="F754" s="1" t="n">
        <v>0.00131646</v>
      </c>
      <c r="G754" s="1" t="s">
        <v>37</v>
      </c>
      <c r="H754" s="1" t="n">
        <v>61.7</v>
      </c>
      <c r="I754" s="1" t="n">
        <v>25.9</v>
      </c>
      <c r="J754" s="1" t="n">
        <v>-76.5</v>
      </c>
      <c r="K754" s="1" t="n">
        <v>102.7</v>
      </c>
      <c r="L754" s="1" t="n">
        <v>0</v>
      </c>
      <c r="M754" s="1" t="n">
        <v>0</v>
      </c>
      <c r="N754" s="1" t="s">
        <v>464</v>
      </c>
      <c r="Z754" s="0" t="n">
        <f aca="false">I754-3</f>
        <v>22.9</v>
      </c>
      <c r="AB754" s="0" t="n">
        <f aca="false">IF(Z754&lt;0,Z754+360,Z754+0)</f>
        <v>22.9</v>
      </c>
    </row>
    <row r="755" customFormat="false" ht="15.8" hidden="false" customHeight="false" outlineLevel="0" collapsed="false">
      <c r="A755" s="1" t="n">
        <v>20</v>
      </c>
      <c r="B755" s="1" t="n">
        <v>12</v>
      </c>
      <c r="C755" s="1" t="n">
        <v>4.5</v>
      </c>
      <c r="D755" s="1" t="n">
        <v>1.5654</v>
      </c>
      <c r="E755" s="1" t="n">
        <v>0.15442</v>
      </c>
      <c r="F755" s="1" t="n">
        <v>0.000420252</v>
      </c>
      <c r="G755" s="1" t="s">
        <v>37</v>
      </c>
      <c r="H755" s="1" t="n">
        <v>32.4</v>
      </c>
      <c r="I755" s="1" t="n">
        <v>30.6</v>
      </c>
      <c r="J755" s="1" t="n">
        <v>-14.9</v>
      </c>
      <c r="K755" s="1" t="n">
        <v>61.7</v>
      </c>
      <c r="L755" s="1" t="n">
        <v>0</v>
      </c>
      <c r="M755" s="1" t="n">
        <v>0</v>
      </c>
      <c r="N755" s="1" t="s">
        <v>463</v>
      </c>
      <c r="Z755" s="0" t="n">
        <f aca="false">I755-3</f>
        <v>27.6</v>
      </c>
      <c r="AB755" s="0" t="n">
        <f aca="false">IF(Z755&lt;0,Z755+360,Z755+0)</f>
        <v>27.6</v>
      </c>
    </row>
    <row r="756" customFormat="false" ht="15.8" hidden="false" customHeight="false" outlineLevel="0" collapsed="false">
      <c r="A756" s="1" t="n">
        <v>20</v>
      </c>
      <c r="B756" s="1" t="n">
        <v>11</v>
      </c>
      <c r="C756" s="1" t="n">
        <v>5</v>
      </c>
      <c r="D756" s="1" t="n">
        <v>1.1917</v>
      </c>
      <c r="E756" s="1" t="n">
        <v>0.171075</v>
      </c>
      <c r="F756" s="1" t="n">
        <v>0.00046558</v>
      </c>
      <c r="G756" s="1" t="s">
        <v>37</v>
      </c>
      <c r="H756" s="1" t="n">
        <v>21.2</v>
      </c>
      <c r="I756" s="1" t="n">
        <v>63.2</v>
      </c>
      <c r="J756" s="1" t="n">
        <v>-26.1</v>
      </c>
      <c r="K756" s="1" t="n">
        <v>59.7</v>
      </c>
      <c r="L756" s="1" t="n">
        <v>0</v>
      </c>
      <c r="M756" s="1" t="n">
        <v>0</v>
      </c>
      <c r="N756" s="1" t="s">
        <v>461</v>
      </c>
      <c r="Z756" s="0" t="n">
        <f aca="false">I756-3</f>
        <v>60.2</v>
      </c>
      <c r="AB756" s="0" t="n">
        <f aca="false">IF(Z756&lt;0,Z756+360,Z756+0)</f>
        <v>60.2</v>
      </c>
    </row>
    <row r="757" customFormat="false" ht="15.8" hidden="false" customHeight="false" outlineLevel="0" collapsed="false">
      <c r="A757" s="1" t="n">
        <v>20</v>
      </c>
      <c r="B757" s="1" t="n">
        <v>10</v>
      </c>
      <c r="C757" s="1" t="n">
        <v>4.2</v>
      </c>
      <c r="D757" s="1" t="n">
        <v>1.7845</v>
      </c>
      <c r="E757" s="1" t="n">
        <v>0.142148</v>
      </c>
      <c r="F757" s="1" t="n">
        <v>0.000386856</v>
      </c>
      <c r="G757" s="1" t="s">
        <v>37</v>
      </c>
      <c r="H757" s="1" t="n">
        <v>46.4</v>
      </c>
      <c r="I757" s="1" t="n">
        <v>83</v>
      </c>
      <c r="J757" s="1" t="n">
        <v>-39.5</v>
      </c>
      <c r="K757" s="1" t="n">
        <v>65.4</v>
      </c>
      <c r="L757" s="1" t="n">
        <v>0</v>
      </c>
      <c r="M757" s="1" t="n">
        <v>0</v>
      </c>
      <c r="N757" s="1" t="s">
        <v>466</v>
      </c>
      <c r="Z757" s="0" t="n">
        <f aca="false">I757-3</f>
        <v>80</v>
      </c>
      <c r="AB757" s="0" t="n">
        <f aca="false">IF(Z757&lt;0,Z757+360,Z757+0)</f>
        <v>80</v>
      </c>
    </row>
    <row r="758" customFormat="false" ht="15.8" hidden="false" customHeight="false" outlineLevel="0" collapsed="false">
      <c r="A758" s="1" t="n">
        <v>20</v>
      </c>
      <c r="B758" s="1" t="n">
        <v>10</v>
      </c>
      <c r="C758" s="1" t="n">
        <v>1.6</v>
      </c>
      <c r="D758" s="1" t="n">
        <v>1.1359</v>
      </c>
      <c r="E758" s="1" t="n">
        <v>0.0532196</v>
      </c>
      <c r="F758" s="1" t="n">
        <v>0.000144837</v>
      </c>
      <c r="G758" s="1" t="s">
        <v>27</v>
      </c>
      <c r="H758" s="1" t="n">
        <v>62.2</v>
      </c>
      <c r="I758" s="1" t="n">
        <v>343.2</v>
      </c>
      <c r="J758" s="1" t="n">
        <v>15.7</v>
      </c>
      <c r="K758" s="1"/>
      <c r="L758" s="1" t="n">
        <v>0</v>
      </c>
      <c r="M758" s="1" t="n">
        <v>0</v>
      </c>
      <c r="N758" s="1" t="s">
        <v>466</v>
      </c>
      <c r="Z758" s="0" t="n">
        <f aca="false">I758-3</f>
        <v>340.2</v>
      </c>
      <c r="AB758" s="0" t="n">
        <f aca="false">IF(Z758&lt;0,Z758+360,Z758+0)</f>
        <v>340.2</v>
      </c>
    </row>
    <row r="759" customFormat="false" ht="15.8" hidden="false" customHeight="false" outlineLevel="0" collapsed="false">
      <c r="A759" s="1" t="n">
        <v>20</v>
      </c>
      <c r="B759" s="1" t="n">
        <v>9</v>
      </c>
      <c r="C759" s="1" t="n">
        <v>5</v>
      </c>
      <c r="D759" s="1" t="n">
        <v>1.1392</v>
      </c>
      <c r="E759" s="1" t="n">
        <v>0.172238</v>
      </c>
      <c r="F759" s="1" t="n">
        <v>0.000468746</v>
      </c>
      <c r="G759" s="1" t="s">
        <v>37</v>
      </c>
      <c r="H759" s="1" t="n">
        <v>25.2</v>
      </c>
      <c r="I759" s="1" t="n">
        <v>38.2</v>
      </c>
      <c r="J759" s="1" t="n">
        <v>-14.5</v>
      </c>
      <c r="K759" s="1" t="n">
        <v>62.2</v>
      </c>
      <c r="L759" s="1" t="n">
        <v>0</v>
      </c>
      <c r="M759" s="1" t="n">
        <v>0</v>
      </c>
      <c r="N759" s="1" t="s">
        <v>457</v>
      </c>
      <c r="Z759" s="0" t="n">
        <f aca="false">I759-3</f>
        <v>35.2</v>
      </c>
      <c r="AB759" s="0" t="n">
        <f aca="false">IF(Z759&lt;0,Z759+360,Z759+0)</f>
        <v>35.2</v>
      </c>
    </row>
    <row r="760" customFormat="false" ht="15.8" hidden="false" customHeight="false" outlineLevel="0" collapsed="false">
      <c r="A760" s="1" t="n">
        <v>20</v>
      </c>
      <c r="B760" s="1" t="n">
        <v>8</v>
      </c>
      <c r="C760" s="1" t="n">
        <v>2.1</v>
      </c>
      <c r="D760" s="1" t="n">
        <v>1.0276</v>
      </c>
      <c r="E760" s="1" t="n">
        <v>0.0732232</v>
      </c>
      <c r="F760" s="1" t="n">
        <v>0.000199276</v>
      </c>
      <c r="G760" s="1" t="s">
        <v>37</v>
      </c>
      <c r="H760" s="1" t="n">
        <v>40.5</v>
      </c>
      <c r="I760" s="1" t="n">
        <v>17.4</v>
      </c>
      <c r="J760" s="1" t="n">
        <v>0</v>
      </c>
      <c r="K760" s="1" t="n">
        <v>77.5</v>
      </c>
      <c r="L760" s="1" t="n">
        <v>0</v>
      </c>
      <c r="M760" s="1" t="n">
        <v>0</v>
      </c>
      <c r="N760" s="1" t="s">
        <v>467</v>
      </c>
      <c r="Z760" s="0" t="n">
        <f aca="false">I760-3</f>
        <v>14.4</v>
      </c>
      <c r="AB760" s="0" t="n">
        <f aca="false">IF(Z760&lt;0,Z760+360,Z760+0)</f>
        <v>14.4</v>
      </c>
    </row>
    <row r="761" customFormat="false" ht="15.8" hidden="false" customHeight="false" outlineLevel="0" collapsed="false">
      <c r="A761" s="1" t="n">
        <v>20</v>
      </c>
      <c r="B761" s="1" t="n">
        <v>9</v>
      </c>
      <c r="C761" s="1" t="n">
        <v>1</v>
      </c>
      <c r="D761" s="1" t="n">
        <v>1.0365</v>
      </c>
      <c r="E761" s="1" t="n">
        <v>0.0356857</v>
      </c>
      <c r="F761" s="1" t="n">
        <v>9.71183E-005</v>
      </c>
      <c r="G761" s="1" t="s">
        <v>27</v>
      </c>
      <c r="H761" s="1" t="n">
        <v>91.1</v>
      </c>
      <c r="I761" s="1" t="n">
        <v>338.4</v>
      </c>
      <c r="J761" s="1" t="n">
        <v>0</v>
      </c>
      <c r="K761" s="1"/>
      <c r="L761" s="1" t="n">
        <v>0</v>
      </c>
      <c r="M761" s="1" t="n">
        <v>0</v>
      </c>
      <c r="N761" s="1" t="s">
        <v>468</v>
      </c>
      <c r="Z761" s="0" t="n">
        <f aca="false">I761-3</f>
        <v>335.4</v>
      </c>
      <c r="AB761" s="0" t="n">
        <f aca="false">IF(Z761&lt;0,Z761+360,Z761+0)</f>
        <v>335.4</v>
      </c>
    </row>
    <row r="762" customFormat="false" ht="15.8" hidden="false" customHeight="false" outlineLevel="0" collapsed="false">
      <c r="A762" s="1" t="n">
        <v>20</v>
      </c>
      <c r="B762" s="1" t="n">
        <v>10</v>
      </c>
      <c r="C762" s="1" t="n">
        <v>5.2</v>
      </c>
      <c r="D762" s="1" t="n">
        <v>1.4126</v>
      </c>
      <c r="E762" s="1" t="n">
        <v>0.176787</v>
      </c>
      <c r="F762" s="1" t="n">
        <v>0.000481125</v>
      </c>
      <c r="G762" s="1" t="s">
        <v>27</v>
      </c>
      <c r="H762" s="1" t="n">
        <v>72.5</v>
      </c>
      <c r="I762" s="1" t="n">
        <v>307.9</v>
      </c>
      <c r="J762" s="1" t="n">
        <v>-30.4</v>
      </c>
      <c r="K762" s="1"/>
      <c r="L762" s="1" t="n">
        <v>0</v>
      </c>
      <c r="M762" s="1" t="n">
        <v>0</v>
      </c>
      <c r="N762" s="1" t="s">
        <v>469</v>
      </c>
      <c r="Z762" s="0" t="n">
        <f aca="false">I762-3</f>
        <v>304.9</v>
      </c>
      <c r="AB762" s="0" t="n">
        <f aca="false">IF(Z762&lt;0,Z762+360,Z762+0)</f>
        <v>304.9</v>
      </c>
    </row>
    <row r="763" customFormat="false" ht="15.8" hidden="false" customHeight="false" outlineLevel="0" collapsed="false">
      <c r="A763" s="1" t="n">
        <v>20</v>
      </c>
      <c r="B763" s="1" t="n">
        <v>10</v>
      </c>
      <c r="C763" s="1" t="n">
        <v>1.7</v>
      </c>
      <c r="D763" s="1" t="n">
        <v>1.1524</v>
      </c>
      <c r="E763" s="1" t="n">
        <v>0.057588</v>
      </c>
      <c r="F763" s="1" t="n">
        <v>0.000156725</v>
      </c>
      <c r="G763" s="1" t="s">
        <v>27</v>
      </c>
      <c r="H763" s="1" t="n">
        <v>66.5</v>
      </c>
      <c r="I763" s="1" t="n">
        <v>144.7</v>
      </c>
      <c r="J763" s="1" t="n">
        <v>-14.7</v>
      </c>
      <c r="K763" s="1"/>
      <c r="L763" s="1" t="n">
        <v>0</v>
      </c>
      <c r="M763" s="1" t="n">
        <v>0</v>
      </c>
      <c r="N763" s="1" t="s">
        <v>469</v>
      </c>
      <c r="Z763" s="0" t="n">
        <f aca="false">I763-3</f>
        <v>141.7</v>
      </c>
      <c r="AB763" s="0" t="n">
        <f aca="false">IF(Z763&lt;0,Z763+360,Z763+0)</f>
        <v>141.7</v>
      </c>
    </row>
    <row r="764" customFormat="false" ht="15.8" hidden="false" customHeight="false" outlineLevel="0" collapsed="false">
      <c r="A764" s="1" t="n">
        <v>20</v>
      </c>
      <c r="B764" s="1" t="n">
        <v>9</v>
      </c>
      <c r="C764" s="1" t="n">
        <v>3.2</v>
      </c>
      <c r="D764" s="1" t="n">
        <v>1.3778</v>
      </c>
      <c r="E764" s="1" t="n">
        <v>0.108615</v>
      </c>
      <c r="F764" s="1" t="n">
        <v>0.000295595</v>
      </c>
      <c r="G764" s="1" t="s">
        <v>37</v>
      </c>
      <c r="H764" s="1" t="n">
        <v>5.1</v>
      </c>
      <c r="I764" s="1" t="n">
        <v>91</v>
      </c>
      <c r="J764" s="1" t="n">
        <v>-74.4</v>
      </c>
      <c r="K764" s="1" t="n">
        <v>72.5</v>
      </c>
      <c r="L764" s="1" t="n">
        <v>0</v>
      </c>
      <c r="M764" s="1" t="n">
        <v>0</v>
      </c>
      <c r="N764" s="1" t="s">
        <v>468</v>
      </c>
      <c r="Z764" s="0" t="n">
        <f aca="false">I764-3</f>
        <v>88</v>
      </c>
      <c r="AB764" s="0" t="n">
        <f aca="false">IF(Z764&lt;0,Z764+360,Z764+0)</f>
        <v>88</v>
      </c>
    </row>
    <row r="765" customFormat="false" ht="15.8" hidden="false" customHeight="false" outlineLevel="0" collapsed="false">
      <c r="A765" s="1" t="n">
        <v>20</v>
      </c>
      <c r="B765" s="1" t="n">
        <v>8</v>
      </c>
      <c r="C765" s="1" t="n">
        <v>16.6</v>
      </c>
      <c r="D765" s="1" t="n">
        <v>1.2298</v>
      </c>
      <c r="E765" s="1" t="n">
        <v>0.567371</v>
      </c>
      <c r="F765" s="1" t="n">
        <v>0.0015441</v>
      </c>
      <c r="G765" s="1" t="s">
        <v>37</v>
      </c>
      <c r="H765" s="1" t="n">
        <v>49.3</v>
      </c>
      <c r="I765" s="1" t="n">
        <v>72.4</v>
      </c>
      <c r="J765" s="1" t="n">
        <v>-73.7</v>
      </c>
      <c r="K765" s="1" t="n">
        <v>91.1</v>
      </c>
      <c r="L765" s="1" t="n">
        <v>0</v>
      </c>
      <c r="M765" s="1" t="n">
        <v>0</v>
      </c>
      <c r="N765" s="1" t="s">
        <v>467</v>
      </c>
      <c r="Z765" s="0" t="n">
        <f aca="false">I765-3</f>
        <v>69.4</v>
      </c>
      <c r="AB765" s="0" t="n">
        <f aca="false">IF(Z765&lt;0,Z765+360,Z765+0)</f>
        <v>69.4</v>
      </c>
    </row>
    <row r="766" customFormat="false" ht="15.8" hidden="false" customHeight="false" outlineLevel="0" collapsed="false">
      <c r="A766" s="1" t="n">
        <v>20</v>
      </c>
      <c r="B766" s="1" t="n">
        <v>9</v>
      </c>
      <c r="C766" s="1" t="n">
        <v>5.7</v>
      </c>
      <c r="D766" s="1" t="n">
        <v>1.2548</v>
      </c>
      <c r="E766" s="1" t="n">
        <v>0.391992</v>
      </c>
      <c r="F766" s="1" t="n">
        <v>0.00213361</v>
      </c>
      <c r="G766" s="1" t="s">
        <v>27</v>
      </c>
      <c r="H766" s="1" t="n">
        <v>69</v>
      </c>
      <c r="I766" s="1" t="n">
        <v>219.5</v>
      </c>
      <c r="J766" s="1" t="n">
        <v>-23.9</v>
      </c>
      <c r="K766" s="1"/>
      <c r="L766" s="1" t="n">
        <v>0</v>
      </c>
      <c r="M766" s="1" t="n">
        <v>0</v>
      </c>
      <c r="N766" s="1" t="s">
        <v>470</v>
      </c>
      <c r="Z766" s="0" t="n">
        <f aca="false">I766-3</f>
        <v>216.5</v>
      </c>
      <c r="AB766" s="0" t="n">
        <f aca="false">IF(Z766&lt;0,Z766+360,Z766+0)</f>
        <v>216.5</v>
      </c>
    </row>
    <row r="767" customFormat="false" ht="15.8" hidden="false" customHeight="false" outlineLevel="0" collapsed="false">
      <c r="A767" s="1" t="n">
        <v>20</v>
      </c>
      <c r="B767" s="1" t="n">
        <v>9</v>
      </c>
      <c r="C767" s="1" t="n">
        <v>4.9</v>
      </c>
      <c r="D767" s="1" t="n">
        <v>1.1161</v>
      </c>
      <c r="E767" s="1" t="n">
        <v>0.33688</v>
      </c>
      <c r="F767" s="1" t="n">
        <v>0.00183363</v>
      </c>
      <c r="G767" s="1" t="s">
        <v>27</v>
      </c>
      <c r="H767" s="1" t="n">
        <v>83.9</v>
      </c>
      <c r="I767" s="1" t="n">
        <v>293.4</v>
      </c>
      <c r="J767" s="1" t="n">
        <v>-14.6</v>
      </c>
      <c r="K767" s="1"/>
      <c r="L767" s="1" t="n">
        <v>0</v>
      </c>
      <c r="M767" s="1" t="n">
        <v>0</v>
      </c>
      <c r="N767" s="1" t="s">
        <v>470</v>
      </c>
      <c r="Z767" s="0" t="n">
        <f aca="false">I767-3</f>
        <v>290.4</v>
      </c>
      <c r="AB767" s="0" t="n">
        <f aca="false">IF(Z767&lt;0,Z767+360,Z767+0)</f>
        <v>290.4</v>
      </c>
    </row>
    <row r="768" customFormat="false" ht="15.8" hidden="false" customHeight="false" outlineLevel="0" collapsed="false">
      <c r="A768" s="1" t="n">
        <v>20</v>
      </c>
      <c r="B768" s="1" t="n">
        <v>10</v>
      </c>
      <c r="C768" s="1" t="n">
        <v>2.4</v>
      </c>
      <c r="D768" s="1" t="n">
        <v>1.052</v>
      </c>
      <c r="E768" s="1" t="n">
        <v>0.166165</v>
      </c>
      <c r="F768" s="1" t="n">
        <v>0.000904433</v>
      </c>
      <c r="G768" s="1" t="s">
        <v>27</v>
      </c>
      <c r="H768" s="1" t="n">
        <v>85.7</v>
      </c>
      <c r="I768" s="1" t="n">
        <v>270.6</v>
      </c>
      <c r="J768" s="1" t="n">
        <v>-28.7</v>
      </c>
      <c r="K768" s="1"/>
      <c r="L768" s="1" t="n">
        <v>0</v>
      </c>
      <c r="M768" s="1" t="n">
        <v>0</v>
      </c>
      <c r="N768" s="1" t="s">
        <v>471</v>
      </c>
      <c r="Z768" s="0" t="n">
        <f aca="false">I768-3</f>
        <v>267.6</v>
      </c>
      <c r="AB768" s="0" t="n">
        <f aca="false">IF(Z768&lt;0,Z768+360,Z768+0)</f>
        <v>267.6</v>
      </c>
    </row>
    <row r="769" customFormat="false" ht="15.8" hidden="false" customHeight="false" outlineLevel="0" collapsed="false">
      <c r="A769" s="1" t="n">
        <v>20</v>
      </c>
      <c r="B769" s="1" t="n">
        <v>11</v>
      </c>
      <c r="C769" s="1" t="n">
        <v>2.1</v>
      </c>
      <c r="D769" s="1" t="n">
        <v>1.1158</v>
      </c>
      <c r="E769" s="1" t="n">
        <v>0.144179</v>
      </c>
      <c r="F769" s="1" t="n">
        <v>0.000784762</v>
      </c>
      <c r="G769" s="1" t="s">
        <v>27</v>
      </c>
      <c r="H769" s="1" t="n">
        <v>70.6</v>
      </c>
      <c r="I769" s="1" t="n">
        <v>150.4</v>
      </c>
      <c r="J769" s="1" t="n">
        <v>-11.3</v>
      </c>
      <c r="K769" s="1"/>
      <c r="L769" s="1" t="n">
        <v>0</v>
      </c>
      <c r="M769" s="1" t="n">
        <v>0</v>
      </c>
      <c r="N769" s="1" t="s">
        <v>472</v>
      </c>
      <c r="Z769" s="0" t="n">
        <f aca="false">I769-3</f>
        <v>147.4</v>
      </c>
      <c r="AB769" s="0" t="n">
        <f aca="false">IF(Z769&lt;0,Z769+360,Z769+0)</f>
        <v>147.4</v>
      </c>
    </row>
    <row r="770" customFormat="false" ht="15.8" hidden="false" customHeight="false" outlineLevel="0" collapsed="false">
      <c r="A770" s="1" t="n">
        <v>20</v>
      </c>
      <c r="B770" s="1" t="n">
        <v>12</v>
      </c>
      <c r="C770" s="1" t="n">
        <v>1.5</v>
      </c>
      <c r="D770" s="1" t="n">
        <v>1.0527</v>
      </c>
      <c r="E770" s="1" t="n">
        <v>0.104887</v>
      </c>
      <c r="F770" s="1" t="n">
        <v>0.0005709</v>
      </c>
      <c r="G770" s="1" t="s">
        <v>27</v>
      </c>
      <c r="H770" s="1" t="n">
        <v>21.1</v>
      </c>
      <c r="I770" s="1" t="n">
        <v>9.5</v>
      </c>
      <c r="J770" s="1" t="n">
        <v>0</v>
      </c>
      <c r="K770" s="1"/>
      <c r="L770" s="1" t="n">
        <v>0</v>
      </c>
      <c r="M770" s="1" t="n">
        <v>0</v>
      </c>
      <c r="N770" s="1" t="s">
        <v>473</v>
      </c>
      <c r="Z770" s="0" t="n">
        <f aca="false">I770-3</f>
        <v>6.5</v>
      </c>
      <c r="AB770" s="0" t="n">
        <f aca="false">IF(Z770&lt;0,Z770+360,Z770+0)</f>
        <v>6.5</v>
      </c>
    </row>
    <row r="771" customFormat="false" ht="15.8" hidden="false" customHeight="false" outlineLevel="0" collapsed="false">
      <c r="A771" s="1" t="n">
        <v>20</v>
      </c>
      <c r="B771" s="1" t="n">
        <v>13</v>
      </c>
      <c r="C771" s="1" t="n">
        <v>3.9</v>
      </c>
      <c r="D771" s="1" t="n">
        <v>1.905</v>
      </c>
      <c r="E771" s="1" t="n">
        <v>0.264013</v>
      </c>
      <c r="F771" s="1" t="n">
        <v>0.00143702</v>
      </c>
      <c r="G771" s="1" t="s">
        <v>27</v>
      </c>
      <c r="H771" s="1" t="n">
        <v>63.4</v>
      </c>
      <c r="I771" s="1" t="n">
        <v>282.7</v>
      </c>
      <c r="J771" s="1" t="n">
        <v>-46.9</v>
      </c>
      <c r="K771" s="1"/>
      <c r="L771" s="1" t="n">
        <v>0</v>
      </c>
      <c r="M771" s="1" t="n">
        <v>0</v>
      </c>
      <c r="N771" s="1" t="s">
        <v>474</v>
      </c>
      <c r="Z771" s="0" t="n">
        <f aca="false">I771-3</f>
        <v>279.7</v>
      </c>
      <c r="AB771" s="0" t="n">
        <f aca="false">IF(Z771&lt;0,Z771+360,Z771+0)</f>
        <v>279.7</v>
      </c>
    </row>
    <row r="772" customFormat="false" ht="15.8" hidden="false" customHeight="false" outlineLevel="0" collapsed="false">
      <c r="A772" s="1" t="n">
        <v>20</v>
      </c>
      <c r="B772" s="1" t="n">
        <v>13</v>
      </c>
      <c r="C772" s="1" t="n">
        <v>1.1</v>
      </c>
      <c r="D772" s="1" t="n">
        <v>1.2556</v>
      </c>
      <c r="E772" s="1" t="n">
        <v>0.0719765</v>
      </c>
      <c r="F772" s="1" t="n">
        <v>0.000391767</v>
      </c>
      <c r="G772" s="1" t="s">
        <v>27</v>
      </c>
      <c r="H772" s="1" t="n">
        <v>99</v>
      </c>
      <c r="I772" s="1" t="n">
        <v>67.9</v>
      </c>
      <c r="J772" s="1" t="n">
        <v>26.2</v>
      </c>
      <c r="K772" s="1"/>
      <c r="L772" s="1" t="n">
        <v>0</v>
      </c>
      <c r="M772" s="1" t="n">
        <v>0</v>
      </c>
      <c r="N772" s="1" t="s">
        <v>474</v>
      </c>
      <c r="Z772" s="0" t="n">
        <f aca="false">I772-3</f>
        <v>64.9</v>
      </c>
      <c r="AB772" s="0" t="n">
        <f aca="false">IF(Z772&lt;0,Z772+360,Z772+0)</f>
        <v>64.9</v>
      </c>
    </row>
    <row r="773" customFormat="false" ht="15.8" hidden="false" customHeight="false" outlineLevel="0" collapsed="false">
      <c r="A773" s="1" t="n">
        <v>20</v>
      </c>
      <c r="B773" s="1" t="n">
        <v>12</v>
      </c>
      <c r="C773" s="1" t="n">
        <v>3</v>
      </c>
      <c r="D773" s="1" t="n">
        <v>1.2507</v>
      </c>
      <c r="E773" s="1" t="n">
        <v>0.202579</v>
      </c>
      <c r="F773" s="1" t="n">
        <v>0.00110263</v>
      </c>
      <c r="G773" s="1" t="s">
        <v>37</v>
      </c>
      <c r="H773" s="1" t="n">
        <v>75.5</v>
      </c>
      <c r="I773" s="1" t="n">
        <v>102.2</v>
      </c>
      <c r="J773" s="1" t="n">
        <v>-69.6</v>
      </c>
      <c r="K773" s="1" t="n">
        <v>99</v>
      </c>
      <c r="L773" s="1" t="n">
        <v>0</v>
      </c>
      <c r="M773" s="1" t="n">
        <v>0</v>
      </c>
      <c r="N773" s="1" t="s">
        <v>473</v>
      </c>
      <c r="Z773" s="0" t="n">
        <f aca="false">I773-3</f>
        <v>99.2</v>
      </c>
      <c r="AB773" s="0" t="n">
        <f aca="false">IF(Z773&lt;0,Z773+360,Z773+0)</f>
        <v>99.2</v>
      </c>
    </row>
    <row r="774" customFormat="false" ht="15.8" hidden="false" customHeight="false" outlineLevel="0" collapsed="false">
      <c r="A774" s="1" t="n">
        <v>20</v>
      </c>
      <c r="B774" s="1" t="n">
        <v>11</v>
      </c>
      <c r="C774" s="1" t="n">
        <v>2.5</v>
      </c>
      <c r="D774" s="1" t="n">
        <v>1.1154</v>
      </c>
      <c r="E774" s="1" t="n">
        <v>0.170324</v>
      </c>
      <c r="F774" s="1" t="n">
        <v>0.000927068</v>
      </c>
      <c r="G774" s="1" t="s">
        <v>37</v>
      </c>
      <c r="H774" s="1" t="n">
        <v>80.6</v>
      </c>
      <c r="I774" s="1" t="n">
        <v>28.3</v>
      </c>
      <c r="J774" s="1" t="n">
        <v>-9.5</v>
      </c>
      <c r="K774" s="1" t="n">
        <v>75.5</v>
      </c>
      <c r="L774" s="1" t="n">
        <v>0</v>
      </c>
      <c r="M774" s="1" t="n">
        <v>0</v>
      </c>
      <c r="N774" s="1" t="s">
        <v>472</v>
      </c>
      <c r="Z774" s="0" t="n">
        <f aca="false">I774-3</f>
        <v>25.3</v>
      </c>
      <c r="AB774" s="0" t="n">
        <f aca="false">IF(Z774&lt;0,Z774+360,Z774+0)</f>
        <v>25.3</v>
      </c>
    </row>
    <row r="775" customFormat="false" ht="15.8" hidden="false" customHeight="false" outlineLevel="0" collapsed="false">
      <c r="A775" s="1" t="n">
        <v>20</v>
      </c>
      <c r="B775" s="1" t="n">
        <v>10</v>
      </c>
      <c r="C775" s="1" t="n">
        <v>5.8</v>
      </c>
      <c r="D775" s="1" t="n">
        <v>1.1939</v>
      </c>
      <c r="E775" s="1" t="n">
        <v>0.398441</v>
      </c>
      <c r="F775" s="1" t="n">
        <v>0.00216871</v>
      </c>
      <c r="G775" s="1" t="s">
        <v>37</v>
      </c>
      <c r="H775" s="1" t="n">
        <v>15.9</v>
      </c>
      <c r="I775" s="1" t="n">
        <v>118.6</v>
      </c>
      <c r="J775" s="1" t="n">
        <v>-80.3</v>
      </c>
      <c r="K775" s="1" t="n">
        <v>80.6</v>
      </c>
      <c r="L775" s="1" t="n">
        <v>0</v>
      </c>
      <c r="M775" s="1" t="n">
        <v>0</v>
      </c>
      <c r="N775" s="1" t="s">
        <v>471</v>
      </c>
      <c r="Z775" s="0" t="n">
        <f aca="false">I775-3</f>
        <v>115.6</v>
      </c>
      <c r="AB775" s="0" t="n">
        <f aca="false">IF(Z775&lt;0,Z775+360,Z775+0)</f>
        <v>115.6</v>
      </c>
    </row>
    <row r="776" customFormat="false" ht="15.8" hidden="false" customHeight="false" outlineLevel="0" collapsed="false">
      <c r="A776" s="1" t="n">
        <v>20</v>
      </c>
      <c r="B776" s="1" t="n">
        <v>9</v>
      </c>
      <c r="C776" s="1" t="n">
        <v>3.6</v>
      </c>
      <c r="D776" s="1" t="n">
        <v>1.269</v>
      </c>
      <c r="E776" s="1" t="n">
        <v>0.247337</v>
      </c>
      <c r="F776" s="1" t="n">
        <v>0.00134625</v>
      </c>
      <c r="G776" s="1" t="s">
        <v>37</v>
      </c>
      <c r="H776" s="1" t="n">
        <v>16.5</v>
      </c>
      <c r="I776" s="1" t="n">
        <v>98.4</v>
      </c>
      <c r="J776" s="1" t="n">
        <v>-65.4</v>
      </c>
      <c r="K776" s="1" t="n">
        <v>85.7</v>
      </c>
      <c r="L776" s="1" t="n">
        <v>0</v>
      </c>
      <c r="M776" s="1" t="n">
        <v>0</v>
      </c>
      <c r="N776" s="1" t="s">
        <v>470</v>
      </c>
      <c r="Z776" s="0" t="n">
        <f aca="false">I776-3</f>
        <v>95.4</v>
      </c>
      <c r="AB776" s="0" t="n">
        <f aca="false">IF(Z776&lt;0,Z776+360,Z776+0)</f>
        <v>95.4</v>
      </c>
    </row>
    <row r="777" customFormat="false" ht="15.8" hidden="false" customHeight="false" outlineLevel="0" collapsed="false">
      <c r="A777" s="1" t="n">
        <v>20</v>
      </c>
      <c r="B777" s="1" t="n">
        <v>8</v>
      </c>
      <c r="C777" s="1" t="n">
        <v>4.7</v>
      </c>
      <c r="D777" s="1" t="n">
        <v>1.1464</v>
      </c>
      <c r="E777" s="1" t="n">
        <v>0.29087</v>
      </c>
      <c r="F777" s="1" t="n">
        <v>0.00146795</v>
      </c>
      <c r="G777" s="1" t="s">
        <v>37</v>
      </c>
      <c r="H777" s="1" t="n">
        <v>56</v>
      </c>
      <c r="I777" s="1" t="n">
        <v>111.1</v>
      </c>
      <c r="J777" s="1" t="n">
        <v>-81.6</v>
      </c>
      <c r="K777" s="1" t="n">
        <v>83.9</v>
      </c>
      <c r="L777" s="1" t="n">
        <v>0</v>
      </c>
      <c r="M777" s="1" t="n">
        <v>0</v>
      </c>
      <c r="N777" s="1" t="s">
        <v>467</v>
      </c>
      <c r="Z777" s="0" t="n">
        <f aca="false">I777-3</f>
        <v>108.1</v>
      </c>
      <c r="AB777" s="0" t="n">
        <f aca="false">IF(Z777&lt;0,Z777+360,Z777+0)</f>
        <v>108.1</v>
      </c>
    </row>
    <row r="778" customFormat="false" ht="15.8" hidden="false" customHeight="false" outlineLevel="0" collapsed="false">
      <c r="A778" s="1" t="n">
        <v>20</v>
      </c>
      <c r="B778" s="1" t="n">
        <v>7</v>
      </c>
      <c r="C778" s="1" t="n">
        <v>1.3</v>
      </c>
      <c r="D778" s="1" t="n">
        <v>1.0597</v>
      </c>
      <c r="E778" s="1" t="n">
        <v>0.0441722</v>
      </c>
      <c r="F778" s="1" t="n">
        <v>0.000120214</v>
      </c>
      <c r="G778" s="1" t="s">
        <v>37</v>
      </c>
      <c r="H778" s="1" t="n">
        <v>26</v>
      </c>
      <c r="I778" s="1" t="n">
        <v>0.6</v>
      </c>
      <c r="J778" s="1" t="n">
        <v>-37.4</v>
      </c>
      <c r="K778" s="1" t="n">
        <v>56</v>
      </c>
      <c r="L778" s="1" t="n">
        <v>0</v>
      </c>
      <c r="M778" s="1" t="n">
        <v>0</v>
      </c>
      <c r="N778" s="1" t="s">
        <v>475</v>
      </c>
      <c r="Z778" s="0" t="n">
        <f aca="false">I778-3</f>
        <v>-2.4</v>
      </c>
      <c r="AB778" s="0" t="n">
        <f aca="false">IF(Z778&lt;0,Z778+360,Z778+0)</f>
        <v>357.6</v>
      </c>
    </row>
    <row r="779" customFormat="false" ht="15.8" hidden="false" customHeight="false" outlineLevel="0" collapsed="false">
      <c r="A779" s="1" t="n">
        <v>20</v>
      </c>
      <c r="B779" s="1" t="n">
        <v>12</v>
      </c>
      <c r="C779" s="1" t="n">
        <v>3.1</v>
      </c>
      <c r="D779" s="1" t="n">
        <v>1.3286</v>
      </c>
      <c r="E779" s="1" t="n">
        <v>0.105286</v>
      </c>
      <c r="F779" s="1" t="n">
        <v>0.000286535</v>
      </c>
      <c r="G779" s="1" t="s">
        <v>27</v>
      </c>
      <c r="H779" s="1" t="n">
        <v>43.1</v>
      </c>
      <c r="I779" s="1" t="n">
        <v>337</v>
      </c>
      <c r="J779" s="1" t="n">
        <v>-28.6</v>
      </c>
      <c r="K779" s="1"/>
      <c r="L779" s="1" t="n">
        <v>0</v>
      </c>
      <c r="M779" s="1" t="n">
        <v>0</v>
      </c>
      <c r="N779" s="1" t="s">
        <v>476</v>
      </c>
      <c r="Z779" s="0" t="n">
        <f aca="false">I779-3</f>
        <v>334</v>
      </c>
      <c r="AB779" s="0" t="n">
        <f aca="false">IF(Z779&lt;0,Z779+360,Z779+0)</f>
        <v>334</v>
      </c>
    </row>
    <row r="780" customFormat="false" ht="15.8" hidden="false" customHeight="false" outlineLevel="0" collapsed="false">
      <c r="A780" s="1" t="n">
        <v>20</v>
      </c>
      <c r="B780" s="1" t="n">
        <v>12</v>
      </c>
      <c r="C780" s="1" t="n">
        <v>1</v>
      </c>
      <c r="D780" s="1" t="n">
        <v>1.1289</v>
      </c>
      <c r="E780" s="1" t="n">
        <v>0.0348335</v>
      </c>
      <c r="F780" s="1" t="n">
        <v>9.4799E-005</v>
      </c>
      <c r="G780" s="1" t="s">
        <v>27</v>
      </c>
      <c r="H780" s="1" t="n">
        <v>62.3</v>
      </c>
      <c r="I780" s="1" t="n">
        <v>335.1</v>
      </c>
      <c r="J780" s="1" t="n">
        <v>55.1</v>
      </c>
      <c r="K780" s="1"/>
      <c r="L780" s="1" t="n">
        <v>0</v>
      </c>
      <c r="M780" s="1" t="n">
        <v>0</v>
      </c>
      <c r="N780" s="1" t="s">
        <v>476</v>
      </c>
      <c r="Z780" s="0" t="n">
        <f aca="false">I780-3</f>
        <v>332.1</v>
      </c>
      <c r="AB780" s="0" t="n">
        <f aca="false">IF(Z780&lt;0,Z780+360,Z780+0)</f>
        <v>332.1</v>
      </c>
    </row>
    <row r="781" customFormat="false" ht="15.8" hidden="false" customHeight="false" outlineLevel="0" collapsed="false">
      <c r="A781" s="1" t="n">
        <v>20</v>
      </c>
      <c r="B781" s="1" t="n">
        <v>11</v>
      </c>
      <c r="C781" s="1" t="n">
        <v>1.9</v>
      </c>
      <c r="D781" s="1" t="n">
        <v>1.1037</v>
      </c>
      <c r="E781" s="1" t="n">
        <v>0.0664805</v>
      </c>
      <c r="F781" s="1" t="n">
        <v>0.000180926</v>
      </c>
      <c r="G781" s="1" t="s">
        <v>37</v>
      </c>
      <c r="H781" s="1" t="n">
        <v>48</v>
      </c>
      <c r="I781" s="1" t="n">
        <v>10.7</v>
      </c>
      <c r="J781" s="1" t="n">
        <v>0</v>
      </c>
      <c r="K781" s="1" t="n">
        <v>62.3</v>
      </c>
      <c r="L781" s="1" t="n">
        <v>0</v>
      </c>
      <c r="M781" s="1" t="n">
        <v>0</v>
      </c>
      <c r="N781" s="1" t="s">
        <v>477</v>
      </c>
      <c r="Z781" s="0" t="n">
        <f aca="false">I781-3</f>
        <v>7.7</v>
      </c>
      <c r="AB781" s="0" t="n">
        <f aca="false">IF(Z781&lt;0,Z781+360,Z781+0)</f>
        <v>7.7</v>
      </c>
    </row>
    <row r="782" customFormat="false" ht="15.8" hidden="false" customHeight="false" outlineLevel="0" collapsed="false">
      <c r="A782" s="1" t="n">
        <v>20</v>
      </c>
      <c r="B782" s="1" t="n">
        <v>12</v>
      </c>
      <c r="C782" s="1" t="n">
        <v>1.6</v>
      </c>
      <c r="D782" s="1" t="n">
        <v>1.12</v>
      </c>
      <c r="E782" s="1" t="n">
        <v>0.054722</v>
      </c>
      <c r="F782" s="1" t="n">
        <v>0.000148926</v>
      </c>
      <c r="G782" s="1" t="s">
        <v>27</v>
      </c>
      <c r="H782" s="1" t="n">
        <v>71.6</v>
      </c>
      <c r="I782" s="1" t="n">
        <v>218.1</v>
      </c>
      <c r="J782" s="1" t="n">
        <v>51</v>
      </c>
      <c r="K782" s="1"/>
      <c r="L782" s="1" t="n">
        <v>0</v>
      </c>
      <c r="M782" s="1" t="n">
        <v>0</v>
      </c>
      <c r="N782" s="1" t="s">
        <v>478</v>
      </c>
      <c r="Z782" s="0" t="n">
        <f aca="false">I782-3</f>
        <v>215.1</v>
      </c>
      <c r="AB782" s="0" t="n">
        <f aca="false">IF(Z782&lt;0,Z782+360,Z782+0)</f>
        <v>215.1</v>
      </c>
    </row>
    <row r="783" customFormat="false" ht="15.8" hidden="false" customHeight="false" outlineLevel="0" collapsed="false">
      <c r="A783" s="1" t="n">
        <v>20</v>
      </c>
      <c r="B783" s="1" t="n">
        <v>12</v>
      </c>
      <c r="C783" s="1" t="n">
        <v>1.5</v>
      </c>
      <c r="D783" s="1" t="n">
        <v>1.191</v>
      </c>
      <c r="E783" s="1" t="n">
        <v>0.0497779</v>
      </c>
      <c r="F783" s="1" t="n">
        <v>0.00013547</v>
      </c>
      <c r="G783" s="1" t="s">
        <v>27</v>
      </c>
      <c r="H783" s="1" t="n">
        <v>27.8</v>
      </c>
      <c r="I783" s="1" t="n">
        <v>180</v>
      </c>
      <c r="J783" s="1" t="n">
        <v>17.6</v>
      </c>
      <c r="K783" s="1"/>
      <c r="L783" s="1" t="n">
        <v>0</v>
      </c>
      <c r="M783" s="1" t="n">
        <v>0</v>
      </c>
      <c r="N783" s="1" t="s">
        <v>478</v>
      </c>
      <c r="Z783" s="0" t="n">
        <f aca="false">I783-3</f>
        <v>177</v>
      </c>
      <c r="AB783" s="0" t="n">
        <f aca="false">IF(Z783&lt;0,Z783+360,Z783+0)</f>
        <v>177</v>
      </c>
    </row>
    <row r="784" customFormat="false" ht="15.8" hidden="false" customHeight="false" outlineLevel="0" collapsed="false">
      <c r="A784" s="1" t="n">
        <v>20</v>
      </c>
      <c r="B784" s="1" t="n">
        <v>11</v>
      </c>
      <c r="C784" s="1" t="n">
        <v>0.7</v>
      </c>
      <c r="D784" s="1" t="n">
        <v>1.0114</v>
      </c>
      <c r="E784" s="1" t="n">
        <v>0.0243313</v>
      </c>
      <c r="F784" s="1" t="n">
        <v>6.62174E-005</v>
      </c>
      <c r="G784" s="1" t="s">
        <v>37</v>
      </c>
      <c r="H784" s="1" t="n">
        <v>101.1</v>
      </c>
      <c r="I784" s="1" t="n">
        <v>158.2</v>
      </c>
      <c r="J784" s="1" t="n">
        <v>0</v>
      </c>
      <c r="K784" s="1" t="n">
        <v>71.6</v>
      </c>
      <c r="L784" s="1" t="n">
        <v>0</v>
      </c>
      <c r="M784" s="1" t="n">
        <v>0</v>
      </c>
      <c r="N784" s="1" t="s">
        <v>477</v>
      </c>
      <c r="Z784" s="0" t="n">
        <f aca="false">I784-3</f>
        <v>155.2</v>
      </c>
      <c r="AB784" s="0" t="n">
        <f aca="false">IF(Z784&lt;0,Z784+360,Z784+0)</f>
        <v>155.2</v>
      </c>
    </row>
    <row r="785" customFormat="false" ht="15.8" hidden="false" customHeight="false" outlineLevel="0" collapsed="false">
      <c r="A785" s="1" t="n">
        <v>20</v>
      </c>
      <c r="B785" s="1" t="n">
        <v>10</v>
      </c>
      <c r="C785" s="1" t="n">
        <v>1.7</v>
      </c>
      <c r="D785" s="1" t="n">
        <v>1.2324</v>
      </c>
      <c r="E785" s="1" t="n">
        <v>0.0581218</v>
      </c>
      <c r="F785" s="1" t="n">
        <v>0.000158178</v>
      </c>
      <c r="G785" s="1" t="s">
        <v>37</v>
      </c>
      <c r="H785" s="1" t="n">
        <v>41.3</v>
      </c>
      <c r="I785" s="1" t="n">
        <v>56.7</v>
      </c>
      <c r="J785" s="1" t="n">
        <v>-15.6</v>
      </c>
      <c r="K785" s="1" t="n">
        <v>101.1</v>
      </c>
      <c r="L785" s="1" t="n">
        <v>0</v>
      </c>
      <c r="M785" s="1" t="n">
        <v>0</v>
      </c>
      <c r="N785" s="1" t="s">
        <v>479</v>
      </c>
      <c r="Z785" s="0" t="n">
        <f aca="false">I785-3</f>
        <v>53.7</v>
      </c>
      <c r="AB785" s="0" t="n">
        <f aca="false">IF(Z785&lt;0,Z785+360,Z785+0)</f>
        <v>53.7</v>
      </c>
    </row>
    <row r="786" customFormat="false" ht="15.8" hidden="false" customHeight="false" outlineLevel="0" collapsed="false">
      <c r="A786" s="1" t="n">
        <v>20</v>
      </c>
      <c r="B786" s="1" t="n">
        <v>10</v>
      </c>
      <c r="C786" s="1" t="n">
        <v>1.3</v>
      </c>
      <c r="D786" s="1" t="n">
        <v>1.2238</v>
      </c>
      <c r="E786" s="1" t="n">
        <v>0.0454297</v>
      </c>
      <c r="F786" s="1" t="n">
        <v>0.000123637</v>
      </c>
      <c r="G786" s="1" t="s">
        <v>27</v>
      </c>
      <c r="H786" s="1" t="n">
        <v>66.9</v>
      </c>
      <c r="I786" s="1" t="n">
        <v>348.9</v>
      </c>
      <c r="J786" s="1" t="n">
        <v>-19.9</v>
      </c>
      <c r="K786" s="1"/>
      <c r="L786" s="1" t="n">
        <v>0</v>
      </c>
      <c r="M786" s="1" t="n">
        <v>0</v>
      </c>
      <c r="N786" s="1" t="s">
        <v>479</v>
      </c>
      <c r="Z786" s="0" t="n">
        <f aca="false">I786-3</f>
        <v>345.9</v>
      </c>
      <c r="AB786" s="0" t="n">
        <f aca="false">IF(Z786&lt;0,Z786+360,Z786+0)</f>
        <v>345.9</v>
      </c>
    </row>
    <row r="787" customFormat="false" ht="15.8" hidden="false" customHeight="false" outlineLevel="0" collapsed="false">
      <c r="A787" s="1" t="n">
        <v>20</v>
      </c>
      <c r="B787" s="1" t="n">
        <v>9</v>
      </c>
      <c r="C787" s="1" t="n">
        <v>0.5</v>
      </c>
      <c r="D787" s="1" t="n">
        <v>1.1395</v>
      </c>
      <c r="E787" s="1" t="n">
        <v>0.0173727</v>
      </c>
      <c r="F787" s="1" t="n">
        <v>4.72796E-005</v>
      </c>
      <c r="G787" s="1" t="s">
        <v>37</v>
      </c>
      <c r="H787" s="1" t="n">
        <v>55</v>
      </c>
      <c r="I787" s="1" t="n">
        <v>66.8</v>
      </c>
      <c r="J787" s="1" t="n">
        <v>-56.1</v>
      </c>
      <c r="K787" s="1" t="n">
        <v>66.9</v>
      </c>
      <c r="L787" s="1" t="n">
        <v>0</v>
      </c>
      <c r="M787" s="1" t="n">
        <v>0</v>
      </c>
      <c r="N787" s="1" t="s">
        <v>480</v>
      </c>
      <c r="Z787" s="0" t="n">
        <f aca="false">I787-3</f>
        <v>63.8</v>
      </c>
      <c r="AB787" s="0" t="n">
        <f aca="false">IF(Z787&lt;0,Z787+360,Z787+0)</f>
        <v>63.8</v>
      </c>
    </row>
    <row r="788" customFormat="false" ht="15.8" hidden="false" customHeight="false" outlineLevel="0" collapsed="false">
      <c r="A788" s="1" t="n">
        <v>20</v>
      </c>
      <c r="B788" s="1" t="n">
        <v>9</v>
      </c>
      <c r="C788" s="1" t="n">
        <v>1.5</v>
      </c>
      <c r="D788" s="1" t="n">
        <v>1.1791</v>
      </c>
      <c r="E788" s="1" t="n">
        <v>0.0508722</v>
      </c>
      <c r="F788" s="1" t="n">
        <v>0.000138448</v>
      </c>
      <c r="G788" s="1" t="s">
        <v>27</v>
      </c>
      <c r="H788" s="1" t="n">
        <v>86.9</v>
      </c>
      <c r="I788" s="1" t="n">
        <v>330.6</v>
      </c>
      <c r="J788" s="1" t="n">
        <v>61.6</v>
      </c>
      <c r="K788" s="1"/>
      <c r="L788" s="1" t="n">
        <v>0</v>
      </c>
      <c r="M788" s="1" t="n">
        <v>0</v>
      </c>
      <c r="N788" s="1" t="s">
        <v>480</v>
      </c>
      <c r="Z788" s="0" t="n">
        <f aca="false">I788-3</f>
        <v>327.6</v>
      </c>
      <c r="AB788" s="0" t="n">
        <f aca="false">IF(Z788&lt;0,Z788+360,Z788+0)</f>
        <v>327.6</v>
      </c>
    </row>
    <row r="789" customFormat="false" ht="15.8" hidden="false" customHeight="false" outlineLevel="0" collapsed="false">
      <c r="A789" s="1" t="n">
        <v>20</v>
      </c>
      <c r="B789" s="1" t="n">
        <v>8</v>
      </c>
      <c r="C789" s="1" t="n">
        <v>3</v>
      </c>
      <c r="D789" s="1" t="n">
        <v>1.3101</v>
      </c>
      <c r="E789" s="1" t="n">
        <v>0.103885</v>
      </c>
      <c r="F789" s="1" t="n">
        <v>0.000282723</v>
      </c>
      <c r="G789" s="1" t="s">
        <v>37</v>
      </c>
      <c r="H789" s="1" t="n">
        <v>21.5</v>
      </c>
      <c r="I789" s="1" t="n">
        <v>12.6</v>
      </c>
      <c r="J789" s="1" t="n">
        <v>-18.6</v>
      </c>
      <c r="K789" s="1" t="n">
        <v>86.9</v>
      </c>
      <c r="L789" s="1" t="n">
        <v>0</v>
      </c>
      <c r="M789" s="1" t="n">
        <v>0</v>
      </c>
      <c r="N789" s="1" t="s">
        <v>481</v>
      </c>
      <c r="Z789" s="0" t="n">
        <f aca="false">I789-3</f>
        <v>9.6</v>
      </c>
      <c r="AB789" s="0" t="n">
        <f aca="false">IF(Z789&lt;0,Z789+360,Z789+0)</f>
        <v>9.6</v>
      </c>
    </row>
    <row r="790" customFormat="false" ht="15.8" hidden="false" customHeight="false" outlineLevel="0" collapsed="false">
      <c r="A790" s="1" t="n">
        <v>20</v>
      </c>
      <c r="B790" s="1" t="n">
        <v>8</v>
      </c>
      <c r="C790" s="1" t="n">
        <v>2.8</v>
      </c>
      <c r="D790" s="1" t="n">
        <v>1.7837</v>
      </c>
      <c r="E790" s="1" t="n">
        <v>0.0946779</v>
      </c>
      <c r="F790" s="1" t="n">
        <v>0.000257665</v>
      </c>
      <c r="G790" s="1" t="s">
        <v>27</v>
      </c>
      <c r="H790" s="1" t="n">
        <v>72.5</v>
      </c>
      <c r="I790" s="1" t="n">
        <v>27.8</v>
      </c>
      <c r="J790" s="1" t="n">
        <v>-72.5</v>
      </c>
      <c r="K790" s="1"/>
      <c r="L790" s="1" t="n">
        <v>0</v>
      </c>
      <c r="M790" s="1" t="n">
        <v>0</v>
      </c>
      <c r="N790" s="1" t="s">
        <v>481</v>
      </c>
      <c r="Z790" s="0" t="n">
        <f aca="false">I790-3</f>
        <v>24.8</v>
      </c>
      <c r="AB790" s="0" t="n">
        <f aca="false">IF(Z790&lt;0,Z790+360,Z790+0)</f>
        <v>24.8</v>
      </c>
    </row>
    <row r="791" customFormat="false" ht="15.8" hidden="false" customHeight="false" outlineLevel="0" collapsed="false">
      <c r="A791" s="1" t="n">
        <v>20</v>
      </c>
      <c r="B791" s="1" t="n">
        <v>7</v>
      </c>
      <c r="C791" s="1" t="n">
        <v>17.2</v>
      </c>
      <c r="D791" s="1" t="n">
        <v>1.3951</v>
      </c>
      <c r="E791" s="1" t="n">
        <v>0.58915</v>
      </c>
      <c r="F791" s="1" t="n">
        <v>0.00160337</v>
      </c>
      <c r="G791" s="1" t="s">
        <v>37</v>
      </c>
      <c r="H791" s="1" t="n">
        <v>18.1</v>
      </c>
      <c r="I791" s="1" t="n">
        <v>23.5</v>
      </c>
      <c r="J791" s="1" t="n">
        <v>0</v>
      </c>
      <c r="K791" s="1" t="n">
        <v>72.5</v>
      </c>
      <c r="L791" s="1" t="n">
        <v>0</v>
      </c>
      <c r="M791" s="1" t="n">
        <v>0</v>
      </c>
      <c r="N791" s="1" t="s">
        <v>475</v>
      </c>
      <c r="Z791" s="0" t="n">
        <f aca="false">I791-3</f>
        <v>20.5</v>
      </c>
      <c r="AB791" s="0" t="n">
        <f aca="false">IF(Z791&lt;0,Z791+360,Z791+0)</f>
        <v>20.5</v>
      </c>
    </row>
    <row r="792" customFormat="false" ht="15.8" hidden="false" customHeight="false" outlineLevel="0" collapsed="false">
      <c r="A792" s="1" t="n">
        <v>20</v>
      </c>
      <c r="B792" s="1" t="n">
        <v>6</v>
      </c>
      <c r="C792" s="1" t="n">
        <v>3.7</v>
      </c>
      <c r="D792" s="1" t="n">
        <v>1.1423</v>
      </c>
      <c r="E792" s="1" t="n">
        <v>0.127613</v>
      </c>
      <c r="F792" s="1" t="n">
        <v>0.000347299</v>
      </c>
      <c r="G792" s="1" t="s">
        <v>37</v>
      </c>
      <c r="H792" s="1" t="n">
        <v>12.8</v>
      </c>
      <c r="I792" s="1" t="n">
        <v>10.9</v>
      </c>
      <c r="J792" s="1" t="n">
        <v>-13.1</v>
      </c>
      <c r="K792" s="1" t="n">
        <v>26</v>
      </c>
      <c r="L792" s="1" t="n">
        <v>0</v>
      </c>
      <c r="M792" s="1" t="n">
        <v>0</v>
      </c>
      <c r="N792" s="1" t="s">
        <v>482</v>
      </c>
      <c r="Z792" s="0" t="n">
        <f aca="false">I792-3</f>
        <v>7.9</v>
      </c>
      <c r="AB792" s="0" t="n">
        <f aca="false">IF(Z792&lt;0,Z792+360,Z792+0)</f>
        <v>7.9</v>
      </c>
    </row>
    <row r="793" customFormat="false" ht="15.8" hidden="false" customHeight="false" outlineLevel="0" collapsed="false">
      <c r="A793" s="1" t="n">
        <v>20</v>
      </c>
      <c r="B793" s="1" t="n">
        <v>7</v>
      </c>
      <c r="C793" s="1" t="n">
        <v>3.9</v>
      </c>
      <c r="D793" s="1" t="n">
        <v>1.1741</v>
      </c>
      <c r="E793" s="1" t="n">
        <v>0.133088</v>
      </c>
      <c r="F793" s="1" t="n">
        <v>0.000362198</v>
      </c>
      <c r="G793" s="1" t="s">
        <v>27</v>
      </c>
      <c r="H793" s="1" t="n">
        <v>33.8</v>
      </c>
      <c r="I793" s="1" t="n">
        <v>52.7</v>
      </c>
      <c r="J793" s="1" t="n">
        <v>-63.3</v>
      </c>
      <c r="K793" s="1"/>
      <c r="L793" s="1" t="n">
        <v>0</v>
      </c>
      <c r="M793" s="1" t="n">
        <v>0</v>
      </c>
      <c r="N793" s="1" t="s">
        <v>483</v>
      </c>
      <c r="Z793" s="0" t="n">
        <f aca="false">I793-3</f>
        <v>49.7</v>
      </c>
      <c r="AB793" s="0" t="n">
        <f aca="false">IF(Z793&lt;0,Z793+360,Z793+0)</f>
        <v>49.7</v>
      </c>
    </row>
    <row r="794" customFormat="false" ht="15.8" hidden="false" customHeight="false" outlineLevel="0" collapsed="false">
      <c r="A794" s="1" t="n">
        <v>20</v>
      </c>
      <c r="B794" s="1" t="n">
        <v>7</v>
      </c>
      <c r="C794" s="1" t="n">
        <v>18.7</v>
      </c>
      <c r="D794" s="1" t="n">
        <v>1.7169</v>
      </c>
      <c r="E794" s="1" t="n">
        <v>0.638025</v>
      </c>
      <c r="F794" s="1" t="n">
        <v>0.00173638</v>
      </c>
      <c r="G794" s="1" t="s">
        <v>27</v>
      </c>
      <c r="H794" s="1" t="n">
        <v>53.7</v>
      </c>
      <c r="I794" s="1" t="n">
        <v>178.1</v>
      </c>
      <c r="J794" s="1" t="n">
        <v>-19.9</v>
      </c>
      <c r="K794" s="1"/>
      <c r="L794" s="1" t="n">
        <v>0</v>
      </c>
      <c r="M794" s="1" t="n">
        <v>0</v>
      </c>
      <c r="N794" s="1" t="s">
        <v>483</v>
      </c>
      <c r="Z794" s="0" t="n">
        <f aca="false">I794-3</f>
        <v>175.1</v>
      </c>
      <c r="AB794" s="0" t="n">
        <f aca="false">IF(Z794&lt;0,Z794+360,Z794+0)</f>
        <v>175.1</v>
      </c>
    </row>
    <row r="795" customFormat="false" ht="15.8" hidden="false" customHeight="false" outlineLevel="0" collapsed="false">
      <c r="A795" s="1" t="n">
        <v>20</v>
      </c>
      <c r="B795" s="1" t="n">
        <v>6</v>
      </c>
      <c r="C795" s="1" t="n">
        <v>8.7</v>
      </c>
      <c r="D795" s="1" t="n">
        <v>1.2705</v>
      </c>
      <c r="E795" s="1" t="n">
        <v>0.298973</v>
      </c>
      <c r="F795" s="1" t="n">
        <v>0.000813652</v>
      </c>
      <c r="G795" s="1" t="s">
        <v>37</v>
      </c>
      <c r="H795" s="1" t="n">
        <v>85.4</v>
      </c>
      <c r="I795" s="1" t="n">
        <v>126.8</v>
      </c>
      <c r="J795" s="1" t="n">
        <v>-59.4</v>
      </c>
      <c r="K795" s="1" t="n">
        <v>53.7</v>
      </c>
      <c r="L795" s="1" t="n">
        <v>0</v>
      </c>
      <c r="M795" s="1" t="n">
        <v>0</v>
      </c>
      <c r="N795" s="1" t="s">
        <v>482</v>
      </c>
      <c r="Z795" s="0" t="n">
        <f aca="false">I795-3</f>
        <v>123.8</v>
      </c>
      <c r="AB795" s="0" t="n">
        <f aca="false">IF(Z795&lt;0,Z795+360,Z795+0)</f>
        <v>123.8</v>
      </c>
    </row>
    <row r="796" customFormat="false" ht="15.8" hidden="false" customHeight="false" outlineLevel="0" collapsed="false">
      <c r="A796" s="1" t="n">
        <v>20</v>
      </c>
      <c r="B796" s="1" t="n">
        <v>5</v>
      </c>
      <c r="C796" s="1" t="n">
        <v>1.2</v>
      </c>
      <c r="D796" s="1" t="n">
        <v>1.3143</v>
      </c>
      <c r="E796" s="1" t="n">
        <v>0.0419074</v>
      </c>
      <c r="F796" s="1" t="n">
        <v>0.000114051</v>
      </c>
      <c r="G796" s="1" t="s">
        <v>37</v>
      </c>
      <c r="H796" s="1" t="n">
        <v>30.7</v>
      </c>
      <c r="I796" s="1" t="n">
        <v>2.9</v>
      </c>
      <c r="J796" s="1" t="n">
        <v>-23.4</v>
      </c>
      <c r="K796" s="1" t="n">
        <v>85.4</v>
      </c>
      <c r="L796" s="1" t="n">
        <v>0</v>
      </c>
      <c r="M796" s="1" t="n">
        <v>0</v>
      </c>
      <c r="N796" s="1" t="s">
        <v>431</v>
      </c>
      <c r="Z796" s="0" t="n">
        <f aca="false">I796-3</f>
        <v>-0.1</v>
      </c>
      <c r="AB796" s="0" t="n">
        <f aca="false">IF(Z796&lt;0,Z796+360,Z796+0)</f>
        <v>359.9</v>
      </c>
    </row>
    <row r="797" customFormat="false" ht="15.8" hidden="false" customHeight="false" outlineLevel="0" collapsed="false">
      <c r="A797" s="1" t="n">
        <v>20</v>
      </c>
      <c r="B797" s="1" t="n">
        <v>4</v>
      </c>
      <c r="C797" s="1" t="n">
        <v>5.4</v>
      </c>
      <c r="D797" s="1" t="n">
        <v>1.1914</v>
      </c>
      <c r="E797" s="1" t="n">
        <v>0.167021</v>
      </c>
      <c r="F797" s="1" t="n">
        <v>0.000419707</v>
      </c>
      <c r="G797" s="1" t="s">
        <v>37</v>
      </c>
      <c r="H797" s="1" t="n">
        <v>23.5</v>
      </c>
      <c r="I797" s="1" t="n">
        <v>0.9</v>
      </c>
      <c r="J797" s="1" t="n">
        <v>-54.1</v>
      </c>
      <c r="K797" s="1" t="n">
        <v>47.4</v>
      </c>
      <c r="L797" s="1" t="n">
        <v>0</v>
      </c>
      <c r="M797" s="1" t="n">
        <v>0</v>
      </c>
      <c r="N797" s="1" t="s">
        <v>484</v>
      </c>
      <c r="Z797" s="0" t="n">
        <f aca="false">I797-3</f>
        <v>-2.1</v>
      </c>
      <c r="AB797" s="0" t="n">
        <f aca="false">IF(Z797&lt;0,Z797+360,Z797+0)</f>
        <v>357.9</v>
      </c>
    </row>
    <row r="798" customFormat="false" ht="15.8" hidden="false" customHeight="false" outlineLevel="0" collapsed="false">
      <c r="A798" s="1" t="n">
        <v>20</v>
      </c>
      <c r="B798" s="1" t="n">
        <v>4</v>
      </c>
      <c r="C798" s="1" t="n">
        <v>3.3</v>
      </c>
      <c r="D798" s="1" t="n">
        <v>1.25</v>
      </c>
      <c r="E798" s="1" t="n">
        <v>0.113653</v>
      </c>
      <c r="F798" s="1" t="n">
        <v>0.000309306</v>
      </c>
      <c r="G798" s="1" t="s">
        <v>27</v>
      </c>
      <c r="H798" s="1" t="n">
        <v>25.5</v>
      </c>
      <c r="I798" s="1" t="n">
        <v>350.7</v>
      </c>
      <c r="J798" s="1" t="n">
        <v>-33.8</v>
      </c>
      <c r="K798" s="1"/>
      <c r="L798" s="1" t="n">
        <v>0</v>
      </c>
      <c r="M798" s="1" t="n">
        <v>0</v>
      </c>
      <c r="N798" s="1" t="s">
        <v>484</v>
      </c>
      <c r="Z798" s="0" t="n">
        <f aca="false">I798-3</f>
        <v>347.7</v>
      </c>
      <c r="AB798" s="0" t="n">
        <f aca="false">IF(Z798&lt;0,Z798+360,Z798+0)</f>
        <v>347.7</v>
      </c>
    </row>
    <row r="799" customFormat="false" ht="15.8" hidden="false" customHeight="false" outlineLevel="0" collapsed="false">
      <c r="A799" s="1" t="n">
        <v>20</v>
      </c>
      <c r="B799" s="1" t="n">
        <v>3</v>
      </c>
      <c r="C799" s="1" t="n">
        <v>2.9</v>
      </c>
      <c r="D799" s="1" t="n">
        <v>1.1239</v>
      </c>
      <c r="E799" s="1" t="n">
        <v>0.0978921</v>
      </c>
      <c r="F799" s="1" t="n">
        <v>0.000266413</v>
      </c>
      <c r="G799" s="1" t="s">
        <v>37</v>
      </c>
      <c r="H799" s="1" t="n">
        <v>103.9</v>
      </c>
      <c r="I799" s="1" t="n">
        <v>21.8</v>
      </c>
      <c r="J799" s="1" t="n">
        <v>-35.5</v>
      </c>
      <c r="K799" s="1" t="n">
        <v>25.5</v>
      </c>
      <c r="L799" s="1" t="n">
        <v>0</v>
      </c>
      <c r="M799" s="1" t="n">
        <v>0</v>
      </c>
      <c r="N799" s="1" t="s">
        <v>430</v>
      </c>
      <c r="Z799" s="0" t="n">
        <f aca="false">I799-3</f>
        <v>18.8</v>
      </c>
      <c r="AB799" s="0" t="n">
        <f aca="false">IF(Z799&lt;0,Z799+360,Z799+0)</f>
        <v>18.8</v>
      </c>
    </row>
    <row r="800" customFormat="false" ht="15.8" hidden="false" customHeight="false" outlineLevel="0" collapsed="false">
      <c r="A800" s="1" t="n">
        <v>20</v>
      </c>
      <c r="B800" s="1" t="n">
        <v>4</v>
      </c>
      <c r="C800" s="1" t="n">
        <v>1.2</v>
      </c>
      <c r="D800" s="1" t="n">
        <v>1.3841</v>
      </c>
      <c r="E800" s="1" t="n">
        <v>0.041876</v>
      </c>
      <c r="F800" s="1" t="n">
        <v>0.000113965</v>
      </c>
      <c r="G800" s="1" t="s">
        <v>27</v>
      </c>
      <c r="H800" s="1" t="n">
        <v>37.1</v>
      </c>
      <c r="I800" s="1" t="n">
        <v>325.5</v>
      </c>
      <c r="J800" s="1" t="n">
        <v>0</v>
      </c>
      <c r="K800" s="1"/>
      <c r="L800" s="1" t="n">
        <v>0</v>
      </c>
      <c r="M800" s="1" t="n">
        <v>0</v>
      </c>
      <c r="N800" s="1" t="s">
        <v>485</v>
      </c>
      <c r="Z800" s="0" t="n">
        <f aca="false">I800-3</f>
        <v>322.5</v>
      </c>
      <c r="AB800" s="0" t="n">
        <f aca="false">IF(Z800&lt;0,Z800+360,Z800+0)</f>
        <v>322.5</v>
      </c>
    </row>
    <row r="801" customFormat="false" ht="15.8" hidden="false" customHeight="false" outlineLevel="0" collapsed="false">
      <c r="A801" s="1" t="n">
        <v>20</v>
      </c>
      <c r="B801" s="1" t="n">
        <v>6</v>
      </c>
      <c r="C801" s="1" t="n">
        <v>2</v>
      </c>
      <c r="D801" s="1" t="n">
        <v>1.2734</v>
      </c>
      <c r="E801" s="1" t="n">
        <v>0.0690003</v>
      </c>
      <c r="F801" s="1" t="n">
        <v>0.000187784</v>
      </c>
      <c r="G801" s="1" t="s">
        <v>27</v>
      </c>
      <c r="H801" s="1" t="n">
        <v>48.8</v>
      </c>
      <c r="I801" s="1" t="n">
        <v>44.4</v>
      </c>
      <c r="J801" s="1" t="n">
        <v>27.8</v>
      </c>
      <c r="K801" s="1"/>
      <c r="L801" s="1" t="n">
        <v>0</v>
      </c>
      <c r="M801" s="1" t="n">
        <v>0</v>
      </c>
      <c r="N801" s="1" t="s">
        <v>486</v>
      </c>
      <c r="Z801" s="0" t="n">
        <f aca="false">I801-3</f>
        <v>41.4</v>
      </c>
      <c r="AB801" s="0" t="n">
        <f aca="false">IF(Z801&lt;0,Z801+360,Z801+0)</f>
        <v>41.4</v>
      </c>
    </row>
    <row r="802" customFormat="false" ht="15.8" hidden="false" customHeight="false" outlineLevel="0" collapsed="false">
      <c r="A802" s="1" t="n">
        <v>20</v>
      </c>
      <c r="B802" s="1" t="n">
        <v>7</v>
      </c>
      <c r="C802" s="1" t="n">
        <v>0.4</v>
      </c>
      <c r="D802" s="1" t="n">
        <v>1</v>
      </c>
      <c r="E802" s="1" t="n">
        <v>0.015115</v>
      </c>
      <c r="F802" s="1" t="n">
        <v>4.11353E-005</v>
      </c>
      <c r="G802" s="1" t="s">
        <v>27</v>
      </c>
      <c r="H802" s="1" t="n">
        <v>64.2</v>
      </c>
      <c r="I802" s="1" t="n">
        <v>35.8</v>
      </c>
      <c r="J802" s="1" t="n">
        <v>-56.8</v>
      </c>
      <c r="K802" s="1"/>
      <c r="L802" s="1" t="n">
        <v>0</v>
      </c>
      <c r="M802" s="1" t="n">
        <v>0</v>
      </c>
      <c r="N802" s="1" t="s">
        <v>487</v>
      </c>
      <c r="Z802" s="0" t="n">
        <f aca="false">I802-3</f>
        <v>32.8</v>
      </c>
      <c r="AB802" s="0" t="n">
        <f aca="false">IF(Z802&lt;0,Z802+360,Z802+0)</f>
        <v>32.8</v>
      </c>
    </row>
    <row r="803" customFormat="false" ht="15.8" hidden="false" customHeight="false" outlineLevel="0" collapsed="false">
      <c r="A803" s="1" t="n">
        <v>20</v>
      </c>
      <c r="B803" s="1" t="n">
        <v>7</v>
      </c>
      <c r="C803" s="1" t="n">
        <v>1.6</v>
      </c>
      <c r="D803" s="1" t="n">
        <v>1.1865</v>
      </c>
      <c r="E803" s="1" t="n">
        <v>0.0531794</v>
      </c>
      <c r="F803" s="1" t="n">
        <v>0.000144727</v>
      </c>
      <c r="G803" s="1" t="s">
        <v>27</v>
      </c>
      <c r="H803" s="1" t="n">
        <v>104.2</v>
      </c>
      <c r="I803" s="1" t="n">
        <v>241</v>
      </c>
      <c r="J803" s="1" t="n">
        <v>-57.9</v>
      </c>
      <c r="K803" s="1"/>
      <c r="L803" s="1" t="n">
        <v>0</v>
      </c>
      <c r="M803" s="1" t="n">
        <v>0</v>
      </c>
      <c r="N803" s="1" t="s">
        <v>487</v>
      </c>
      <c r="Z803" s="0" t="n">
        <f aca="false">I803-3</f>
        <v>238</v>
      </c>
      <c r="AB803" s="0" t="n">
        <f aca="false">IF(Z803&lt;0,Z803+360,Z803+0)</f>
        <v>238</v>
      </c>
    </row>
    <row r="804" customFormat="false" ht="15.8" hidden="false" customHeight="false" outlineLevel="0" collapsed="false">
      <c r="A804" s="1" t="n">
        <v>20</v>
      </c>
      <c r="B804" s="1" t="n">
        <v>6</v>
      </c>
      <c r="C804" s="1" t="n">
        <v>4</v>
      </c>
      <c r="D804" s="1" t="n">
        <v>1.1701</v>
      </c>
      <c r="E804" s="1" t="n">
        <v>0.137706</v>
      </c>
      <c r="F804" s="1" t="n">
        <v>0.000374765</v>
      </c>
      <c r="G804" s="1" t="s">
        <v>37</v>
      </c>
      <c r="H804" s="1" t="n">
        <v>22.6</v>
      </c>
      <c r="I804" s="1" t="n">
        <v>358.5</v>
      </c>
      <c r="J804" s="1" t="n">
        <v>0</v>
      </c>
      <c r="K804" s="1" t="n">
        <v>104.2</v>
      </c>
      <c r="L804" s="1" t="n">
        <v>0</v>
      </c>
      <c r="M804" s="1" t="n">
        <v>0</v>
      </c>
      <c r="N804" s="1" t="s">
        <v>486</v>
      </c>
      <c r="Z804" s="0" t="n">
        <f aca="false">I804-3</f>
        <v>355.5</v>
      </c>
      <c r="AB804" s="0" t="n">
        <f aca="false">IF(Z804&lt;0,Z804+360,Z804+0)</f>
        <v>355.5</v>
      </c>
    </row>
    <row r="805" customFormat="false" ht="15.8" hidden="false" customHeight="false" outlineLevel="0" collapsed="false">
      <c r="A805" s="1" t="n">
        <v>20</v>
      </c>
      <c r="B805" s="1" t="n">
        <v>5</v>
      </c>
      <c r="C805" s="1" t="n">
        <v>7.4</v>
      </c>
      <c r="D805" s="1" t="n">
        <v>1.2114</v>
      </c>
      <c r="E805" s="1" t="n">
        <v>0.253497</v>
      </c>
      <c r="F805" s="1" t="n">
        <v>0.000689889</v>
      </c>
      <c r="G805" s="1" t="s">
        <v>37</v>
      </c>
      <c r="H805" s="1" t="n">
        <v>41.9</v>
      </c>
      <c r="I805" s="1" t="n">
        <v>350.8</v>
      </c>
      <c r="J805" s="1" t="n">
        <v>21.3</v>
      </c>
      <c r="K805" s="1" t="n">
        <v>48.8</v>
      </c>
      <c r="L805" s="1" t="n">
        <v>0</v>
      </c>
      <c r="M805" s="1" t="n">
        <v>0</v>
      </c>
      <c r="N805" s="1" t="s">
        <v>488</v>
      </c>
      <c r="Z805" s="0" t="n">
        <f aca="false">I805-3</f>
        <v>347.8</v>
      </c>
      <c r="AB805" s="0" t="n">
        <f aca="false">IF(Z805&lt;0,Z805+360,Z805+0)</f>
        <v>347.8</v>
      </c>
    </row>
    <row r="806" customFormat="false" ht="15.8" hidden="false" customHeight="false" outlineLevel="0" collapsed="false">
      <c r="A806" s="1" t="n">
        <v>20</v>
      </c>
      <c r="B806" s="1" t="n">
        <v>6</v>
      </c>
      <c r="C806" s="1" t="n">
        <v>6</v>
      </c>
      <c r="D806" s="1" t="n">
        <v>1.3488</v>
      </c>
      <c r="E806" s="1" t="n">
        <v>0.20494</v>
      </c>
      <c r="F806" s="1" t="n">
        <v>0.000557742</v>
      </c>
      <c r="G806" s="1" t="s">
        <v>27</v>
      </c>
      <c r="H806" s="1" t="n">
        <v>1.9</v>
      </c>
      <c r="I806" s="1" t="n">
        <v>3.7</v>
      </c>
      <c r="J806" s="1" t="n">
        <v>-19.5</v>
      </c>
      <c r="K806" s="1"/>
      <c r="L806" s="1" t="n">
        <v>0</v>
      </c>
      <c r="M806" s="1" t="n">
        <v>0</v>
      </c>
      <c r="N806" s="1" t="s">
        <v>489</v>
      </c>
      <c r="Z806" s="0" t="n">
        <f aca="false">I806-3</f>
        <v>0.7</v>
      </c>
      <c r="AB806" s="0" t="n">
        <f aca="false">IF(Z806&lt;0,Z806+360,Z806+0)</f>
        <v>0.7</v>
      </c>
    </row>
    <row r="807" customFormat="false" ht="15.8" hidden="false" customHeight="false" outlineLevel="0" collapsed="false">
      <c r="A807" s="1" t="n">
        <v>20</v>
      </c>
      <c r="B807" s="1" t="n">
        <v>7</v>
      </c>
      <c r="C807" s="1" t="n">
        <v>1</v>
      </c>
      <c r="D807" s="1" t="n">
        <v>1.1357</v>
      </c>
      <c r="E807" s="1" t="n">
        <v>0.0341088</v>
      </c>
      <c r="F807" s="1" t="n">
        <v>9.28268E-005</v>
      </c>
      <c r="G807" s="1" t="s">
        <v>27</v>
      </c>
      <c r="H807" s="1" t="n">
        <v>93.1</v>
      </c>
      <c r="I807" s="1" t="n">
        <v>79.8</v>
      </c>
      <c r="J807" s="1" t="n">
        <v>-24.9</v>
      </c>
      <c r="K807" s="1"/>
      <c r="L807" s="1" t="n">
        <v>0</v>
      </c>
      <c r="M807" s="1" t="n">
        <v>0</v>
      </c>
      <c r="N807" s="1" t="s">
        <v>490</v>
      </c>
      <c r="Z807" s="0" t="n">
        <f aca="false">I807-3</f>
        <v>76.8</v>
      </c>
      <c r="AB807" s="0" t="n">
        <f aca="false">IF(Z807&lt;0,Z807+360,Z807+0)</f>
        <v>76.8</v>
      </c>
    </row>
    <row r="808" customFormat="false" ht="15.8" hidden="false" customHeight="false" outlineLevel="0" collapsed="false">
      <c r="A808" s="1" t="n">
        <v>20</v>
      </c>
      <c r="B808" s="1" t="n">
        <v>8</v>
      </c>
      <c r="C808" s="1" t="n">
        <v>1.1</v>
      </c>
      <c r="D808" s="1" t="n">
        <v>1.1324</v>
      </c>
      <c r="E808" s="1" t="n">
        <v>0.0363823</v>
      </c>
      <c r="F808" s="1" t="n">
        <v>9.90141E-005</v>
      </c>
      <c r="G808" s="1" t="s">
        <v>27</v>
      </c>
      <c r="H808" s="1" t="n">
        <v>89.4</v>
      </c>
      <c r="I808" s="1" t="n">
        <v>123.7</v>
      </c>
      <c r="J808" s="1" t="n">
        <v>23.2</v>
      </c>
      <c r="K808" s="1"/>
      <c r="L808" s="1" t="n">
        <v>0</v>
      </c>
      <c r="M808" s="1" t="n">
        <v>0</v>
      </c>
      <c r="N808" s="1" t="s">
        <v>491</v>
      </c>
      <c r="Z808" s="0" t="n">
        <f aca="false">I808-3</f>
        <v>120.7</v>
      </c>
      <c r="AB808" s="0" t="n">
        <f aca="false">IF(Z808&lt;0,Z808+360,Z808+0)</f>
        <v>120.7</v>
      </c>
    </row>
    <row r="809" customFormat="false" ht="15.8" hidden="false" customHeight="false" outlineLevel="0" collapsed="false">
      <c r="A809" s="1" t="n">
        <v>20</v>
      </c>
      <c r="B809" s="1" t="n">
        <v>10</v>
      </c>
      <c r="C809" s="1" t="n">
        <v>0.9</v>
      </c>
      <c r="D809" s="1" t="n">
        <v>1.0554</v>
      </c>
      <c r="E809" s="1" t="n">
        <v>0.0300518</v>
      </c>
      <c r="F809" s="1" t="n">
        <v>8.17857E-005</v>
      </c>
      <c r="G809" s="1" t="s">
        <v>27</v>
      </c>
      <c r="H809" s="1" t="n">
        <v>90.4</v>
      </c>
      <c r="I809" s="1" t="n">
        <v>221.8</v>
      </c>
      <c r="J809" s="1" t="n">
        <v>0</v>
      </c>
      <c r="K809" s="1"/>
      <c r="L809" s="1" t="n">
        <v>0</v>
      </c>
      <c r="M809" s="1" t="n">
        <v>0</v>
      </c>
      <c r="N809" s="1" t="s">
        <v>492</v>
      </c>
      <c r="Z809" s="0" t="n">
        <f aca="false">I809-3</f>
        <v>218.8</v>
      </c>
      <c r="AB809" s="0" t="n">
        <f aca="false">IF(Z809&lt;0,Z809+360,Z809+0)</f>
        <v>218.8</v>
      </c>
    </row>
    <row r="810" customFormat="false" ht="15.8" hidden="false" customHeight="false" outlineLevel="0" collapsed="false">
      <c r="A810" s="1" t="n">
        <v>20</v>
      </c>
      <c r="B810" s="1" t="n">
        <v>11</v>
      </c>
      <c r="C810" s="1" t="n">
        <v>0.8</v>
      </c>
      <c r="D810" s="1" t="n">
        <v>1.2209</v>
      </c>
      <c r="E810" s="1" t="n">
        <v>0.0257322</v>
      </c>
      <c r="F810" s="1" t="n">
        <v>7.00301E-005</v>
      </c>
      <c r="G810" s="1" t="s">
        <v>27</v>
      </c>
      <c r="H810" s="1" t="n">
        <v>78.5</v>
      </c>
      <c r="I810" s="1" t="n">
        <v>263.7</v>
      </c>
      <c r="J810" s="1" t="n">
        <v>-36.9</v>
      </c>
      <c r="K810" s="1"/>
      <c r="L810" s="1" t="n">
        <v>0</v>
      </c>
      <c r="M810" s="1" t="n">
        <v>0</v>
      </c>
      <c r="N810" s="1" t="s">
        <v>493</v>
      </c>
      <c r="Z810" s="0" t="n">
        <f aca="false">I810-3</f>
        <v>260.7</v>
      </c>
      <c r="AB810" s="0" t="n">
        <f aca="false">IF(Z810&lt;0,Z810+360,Z810+0)</f>
        <v>260.7</v>
      </c>
    </row>
    <row r="811" customFormat="false" ht="15.8" hidden="false" customHeight="false" outlineLevel="0" collapsed="false">
      <c r="A811" s="1" t="n">
        <v>20</v>
      </c>
      <c r="B811" s="1" t="n">
        <v>11</v>
      </c>
      <c r="C811" s="1" t="n">
        <v>1.9</v>
      </c>
      <c r="D811" s="1" t="n">
        <v>1.231</v>
      </c>
      <c r="E811" s="1" t="n">
        <v>0.0633783</v>
      </c>
      <c r="F811" s="1" t="n">
        <v>0.000172484</v>
      </c>
      <c r="G811" s="1" t="s">
        <v>27</v>
      </c>
      <c r="H811" s="1" t="n">
        <v>8.1</v>
      </c>
      <c r="I811" s="1" t="n">
        <v>358.3</v>
      </c>
      <c r="J811" s="1" t="n">
        <v>-14.2</v>
      </c>
      <c r="K811" s="1"/>
      <c r="L811" s="1" t="n">
        <v>0</v>
      </c>
      <c r="M811" s="1" t="n">
        <v>0</v>
      </c>
      <c r="N811" s="1" t="s">
        <v>493</v>
      </c>
      <c r="Z811" s="0" t="n">
        <f aca="false">I811-3</f>
        <v>355.3</v>
      </c>
      <c r="AB811" s="0" t="n">
        <f aca="false">IF(Z811&lt;0,Z811+360,Z811+0)</f>
        <v>355.3</v>
      </c>
    </row>
    <row r="812" customFormat="false" ht="15.8" hidden="false" customHeight="false" outlineLevel="0" collapsed="false">
      <c r="A812" s="1" t="n">
        <v>20</v>
      </c>
      <c r="B812" s="1" t="n">
        <v>10</v>
      </c>
      <c r="C812" s="1" t="n">
        <v>3.5</v>
      </c>
      <c r="D812" s="1" t="n">
        <v>1.1824</v>
      </c>
      <c r="E812" s="1" t="n">
        <v>0.120402</v>
      </c>
      <c r="F812" s="1" t="n">
        <v>0.000327673</v>
      </c>
      <c r="G812" s="1" t="s">
        <v>37</v>
      </c>
      <c r="H812" s="1" t="n">
        <v>47.5</v>
      </c>
      <c r="I812" s="1" t="n">
        <v>355.5</v>
      </c>
      <c r="J812" s="1" t="n">
        <v>-21.9</v>
      </c>
      <c r="K812" s="1" t="n">
        <v>78.5</v>
      </c>
      <c r="L812" s="1" t="n">
        <v>0</v>
      </c>
      <c r="M812" s="1" t="n">
        <v>0</v>
      </c>
      <c r="N812" s="1" t="s">
        <v>492</v>
      </c>
      <c r="Z812" s="0" t="n">
        <f aca="false">I812-3</f>
        <v>352.5</v>
      </c>
      <c r="AB812" s="0" t="n">
        <f aca="false">IF(Z812&lt;0,Z812+360,Z812+0)</f>
        <v>352.5</v>
      </c>
    </row>
    <row r="813" customFormat="false" ht="15.8" hidden="false" customHeight="false" outlineLevel="0" collapsed="false">
      <c r="A813" s="1" t="n">
        <v>20</v>
      </c>
      <c r="B813" s="1" t="n">
        <v>9</v>
      </c>
      <c r="C813" s="1" t="n">
        <v>0.6</v>
      </c>
      <c r="D813" s="1" t="n">
        <v>1.0042</v>
      </c>
      <c r="E813" s="1" t="n">
        <v>0.0217055</v>
      </c>
      <c r="F813" s="1" t="n">
        <v>5.90713E-005</v>
      </c>
      <c r="G813" s="1" t="s">
        <v>37</v>
      </c>
      <c r="H813" s="1" t="n">
        <v>46.8</v>
      </c>
      <c r="I813" s="1" t="n">
        <v>312.2</v>
      </c>
      <c r="J813" s="1" t="n">
        <v>0</v>
      </c>
      <c r="K813" s="1" t="n">
        <v>90.4</v>
      </c>
      <c r="L813" s="1" t="n">
        <v>0</v>
      </c>
      <c r="M813" s="1" t="n">
        <v>0</v>
      </c>
      <c r="N813" s="1" t="s">
        <v>494</v>
      </c>
      <c r="Z813" s="0" t="n">
        <f aca="false">I813-3</f>
        <v>309.2</v>
      </c>
      <c r="AB813" s="0" t="n">
        <f aca="false">IF(Z813&lt;0,Z813+360,Z813+0)</f>
        <v>309.2</v>
      </c>
    </row>
    <row r="814" customFormat="false" ht="15.8" hidden="false" customHeight="false" outlineLevel="0" collapsed="false">
      <c r="A814" s="1" t="n">
        <v>20</v>
      </c>
      <c r="B814" s="1" t="n">
        <v>10</v>
      </c>
      <c r="C814" s="1" t="n">
        <v>1.4</v>
      </c>
      <c r="D814" s="1" t="n">
        <v>1.2095</v>
      </c>
      <c r="E814" s="1" t="n">
        <v>0.0476674</v>
      </c>
      <c r="F814" s="1" t="n">
        <v>0.000129726</v>
      </c>
      <c r="G814" s="1" t="s">
        <v>27</v>
      </c>
      <c r="H814" s="1" t="n">
        <v>73</v>
      </c>
      <c r="I814" s="1" t="n">
        <v>93.5</v>
      </c>
      <c r="J814" s="1" t="n">
        <v>40</v>
      </c>
      <c r="K814" s="1"/>
      <c r="L814" s="1" t="n">
        <v>0</v>
      </c>
      <c r="M814" s="1" t="n">
        <v>0</v>
      </c>
      <c r="N814" s="1" t="s">
        <v>495</v>
      </c>
      <c r="Z814" s="0" t="n">
        <f aca="false">I814-3</f>
        <v>90.5</v>
      </c>
      <c r="AB814" s="0" t="n">
        <f aca="false">IF(Z814&lt;0,Z814+360,Z814+0)</f>
        <v>90.5</v>
      </c>
    </row>
    <row r="815" customFormat="false" ht="15.8" hidden="false" customHeight="false" outlineLevel="0" collapsed="false">
      <c r="A815" s="1" t="n">
        <v>20</v>
      </c>
      <c r="B815" s="1" t="n">
        <v>10</v>
      </c>
      <c r="C815" s="1" t="n">
        <v>3.7</v>
      </c>
      <c r="D815" s="1" t="n">
        <v>1.3166</v>
      </c>
      <c r="E815" s="1" t="n">
        <v>0.125624</v>
      </c>
      <c r="F815" s="1" t="n">
        <v>0.000341886</v>
      </c>
      <c r="G815" s="1" t="s">
        <v>27</v>
      </c>
      <c r="H815" s="1" t="n">
        <v>137.7</v>
      </c>
      <c r="I815" s="1" t="n">
        <v>158.3</v>
      </c>
      <c r="J815" s="1" t="n">
        <v>7.6</v>
      </c>
      <c r="K815" s="1"/>
      <c r="L815" s="1" t="n">
        <v>0</v>
      </c>
      <c r="M815" s="1" t="n">
        <v>0</v>
      </c>
      <c r="N815" s="1" t="s">
        <v>495</v>
      </c>
      <c r="Z815" s="0" t="n">
        <f aca="false">I815-3</f>
        <v>155.3</v>
      </c>
      <c r="AB815" s="0" t="n">
        <f aca="false">IF(Z815&lt;0,Z815+360,Z815+0)</f>
        <v>155.3</v>
      </c>
    </row>
    <row r="816" customFormat="false" ht="15.8" hidden="false" customHeight="false" outlineLevel="0" collapsed="false">
      <c r="A816" s="1" t="n">
        <v>20</v>
      </c>
      <c r="B816" s="1" t="n">
        <v>11</v>
      </c>
      <c r="C816" s="1" t="n">
        <v>5</v>
      </c>
      <c r="D816" s="1" t="n">
        <v>1.7936</v>
      </c>
      <c r="E816" s="1" t="n">
        <v>0.171798</v>
      </c>
      <c r="F816" s="1" t="n">
        <v>0.000467548</v>
      </c>
      <c r="G816" s="1" t="s">
        <v>27</v>
      </c>
      <c r="H816" s="1" t="n">
        <v>128.7</v>
      </c>
      <c r="I816" s="1" t="n">
        <v>158.6</v>
      </c>
      <c r="J816" s="1" t="n">
        <v>23.3</v>
      </c>
      <c r="K816" s="1"/>
      <c r="L816" s="1" t="n">
        <v>0</v>
      </c>
      <c r="M816" s="1" t="n">
        <v>0</v>
      </c>
      <c r="N816" s="1" t="s">
        <v>496</v>
      </c>
      <c r="Z816" s="0" t="n">
        <f aca="false">I816-3</f>
        <v>155.6</v>
      </c>
      <c r="AB816" s="0" t="n">
        <f aca="false">IF(Z816&lt;0,Z816+360,Z816+0)</f>
        <v>155.6</v>
      </c>
    </row>
    <row r="817" customFormat="false" ht="15.8" hidden="false" customHeight="false" outlineLevel="0" collapsed="false">
      <c r="A817" s="1" t="n">
        <v>20</v>
      </c>
      <c r="B817" s="1" t="n">
        <v>12</v>
      </c>
      <c r="C817" s="1" t="n">
        <v>2</v>
      </c>
      <c r="D817" s="1" t="n">
        <v>1.3438</v>
      </c>
      <c r="E817" s="1" t="n">
        <v>0.0691915</v>
      </c>
      <c r="F817" s="1" t="n">
        <v>0.000188304</v>
      </c>
      <c r="G817" s="1" t="s">
        <v>27</v>
      </c>
      <c r="H817" s="1" t="n">
        <v>87.7</v>
      </c>
      <c r="I817" s="1" t="n">
        <v>354.5</v>
      </c>
      <c r="J817" s="1" t="n">
        <v>47.5</v>
      </c>
      <c r="K817" s="1"/>
      <c r="L817" s="1" t="n">
        <v>0</v>
      </c>
      <c r="M817" s="1" t="n">
        <v>0</v>
      </c>
      <c r="N817" s="1" t="s">
        <v>497</v>
      </c>
      <c r="Z817" s="0" t="n">
        <f aca="false">I817-3</f>
        <v>351.5</v>
      </c>
      <c r="AB817" s="0" t="n">
        <f aca="false">IF(Z817&lt;0,Z817+360,Z817+0)</f>
        <v>351.5</v>
      </c>
    </row>
    <row r="818" customFormat="false" ht="15.8" hidden="false" customHeight="false" outlineLevel="0" collapsed="false">
      <c r="A818" s="1" t="n">
        <v>20</v>
      </c>
      <c r="B818" s="1" t="n">
        <v>13</v>
      </c>
      <c r="C818" s="1" t="n">
        <v>1.2</v>
      </c>
      <c r="D818" s="1" t="n">
        <v>1.4248</v>
      </c>
      <c r="E818" s="1" t="n">
        <v>0.0405384</v>
      </c>
      <c r="F818" s="1" t="n">
        <v>0.000110325</v>
      </c>
      <c r="G818" s="1" t="s">
        <v>27</v>
      </c>
      <c r="H818" s="1" t="n">
        <v>110.3</v>
      </c>
      <c r="I818" s="1" t="n">
        <v>276</v>
      </c>
      <c r="J818" s="1" t="n">
        <v>0</v>
      </c>
      <c r="K818" s="1"/>
      <c r="L818" s="1" t="n">
        <v>0</v>
      </c>
      <c r="M818" s="1" t="n">
        <v>0</v>
      </c>
      <c r="N818" s="1" t="s">
        <v>498</v>
      </c>
      <c r="Z818" s="0" t="n">
        <f aca="false">I818-3</f>
        <v>273</v>
      </c>
      <c r="AB818" s="0" t="n">
        <f aca="false">IF(Z818&lt;0,Z818+360,Z818+0)</f>
        <v>273</v>
      </c>
    </row>
    <row r="819" customFormat="false" ht="15.8" hidden="false" customHeight="false" outlineLevel="0" collapsed="false">
      <c r="A819" s="1" t="n">
        <v>20</v>
      </c>
      <c r="B819" s="1" t="n">
        <v>14</v>
      </c>
      <c r="C819" s="1" t="n">
        <v>3.1</v>
      </c>
      <c r="D819" s="1" t="n">
        <v>1.303</v>
      </c>
      <c r="E819" s="1" t="n">
        <v>0.106126</v>
      </c>
      <c r="F819" s="1" t="n">
        <v>0.00028882</v>
      </c>
      <c r="G819" s="1" t="s">
        <v>27</v>
      </c>
      <c r="H819" s="1" t="n">
        <v>140</v>
      </c>
      <c r="I819" s="1" t="n">
        <v>201.9</v>
      </c>
      <c r="J819" s="1" t="n">
        <v>38.4</v>
      </c>
      <c r="K819" s="1"/>
      <c r="L819" s="1" t="n">
        <v>0</v>
      </c>
      <c r="M819" s="1" t="n">
        <v>0</v>
      </c>
      <c r="N819" s="1" t="s">
        <v>499</v>
      </c>
      <c r="Z819" s="0" t="n">
        <f aca="false">I819-3</f>
        <v>198.9</v>
      </c>
      <c r="AB819" s="0" t="n">
        <f aca="false">IF(Z819&lt;0,Z819+360,Z819+0)</f>
        <v>198.9</v>
      </c>
    </row>
    <row r="820" customFormat="false" ht="15.8" hidden="false" customHeight="false" outlineLevel="0" collapsed="false">
      <c r="A820" s="1" t="n">
        <v>20</v>
      </c>
      <c r="B820" s="1" t="n">
        <v>14</v>
      </c>
      <c r="C820" s="1" t="n">
        <v>2.1</v>
      </c>
      <c r="D820" s="1" t="n">
        <v>1.2129</v>
      </c>
      <c r="E820" s="1" t="n">
        <v>0.0732454</v>
      </c>
      <c r="F820" s="1" t="n">
        <v>0.000199337</v>
      </c>
      <c r="G820" s="1" t="s">
        <v>27</v>
      </c>
      <c r="H820" s="1" t="n">
        <v>15.4</v>
      </c>
      <c r="I820" s="1" t="n">
        <v>19.5</v>
      </c>
      <c r="J820" s="1" t="n">
        <v>12.1</v>
      </c>
      <c r="K820" s="1"/>
      <c r="L820" s="1" t="n">
        <v>0</v>
      </c>
      <c r="M820" s="1" t="n">
        <v>0</v>
      </c>
      <c r="N820" s="1" t="s">
        <v>499</v>
      </c>
      <c r="Z820" s="0" t="n">
        <f aca="false">I820-3</f>
        <v>16.5</v>
      </c>
      <c r="AB820" s="0" t="n">
        <f aca="false">IF(Z820&lt;0,Z820+360,Z820+0)</f>
        <v>16.5</v>
      </c>
    </row>
    <row r="821" customFormat="false" ht="15.8" hidden="false" customHeight="false" outlineLevel="0" collapsed="false">
      <c r="A821" s="1" t="n">
        <v>20</v>
      </c>
      <c r="B821" s="1" t="n">
        <v>13</v>
      </c>
      <c r="C821" s="1" t="n">
        <v>3.2</v>
      </c>
      <c r="D821" s="1" t="n">
        <v>1.3646</v>
      </c>
      <c r="E821" s="1" t="n">
        <v>0.108829</v>
      </c>
      <c r="F821" s="1" t="n">
        <v>0.000296178</v>
      </c>
      <c r="G821" s="1" t="s">
        <v>37</v>
      </c>
      <c r="H821" s="1" t="n">
        <v>32</v>
      </c>
      <c r="I821" s="1" t="n">
        <v>9.9</v>
      </c>
      <c r="J821" s="1" t="n">
        <v>0</v>
      </c>
      <c r="K821" s="1" t="n">
        <v>140</v>
      </c>
      <c r="L821" s="1" t="n">
        <v>0</v>
      </c>
      <c r="M821" s="1" t="n">
        <v>0</v>
      </c>
      <c r="N821" s="1" t="s">
        <v>498</v>
      </c>
      <c r="Z821" s="0" t="n">
        <f aca="false">I821-3</f>
        <v>6.9</v>
      </c>
      <c r="AB821" s="0" t="n">
        <f aca="false">IF(Z821&lt;0,Z821+360,Z821+0)</f>
        <v>6.9</v>
      </c>
    </row>
    <row r="822" customFormat="false" ht="15.8" hidden="false" customHeight="false" outlineLevel="0" collapsed="false">
      <c r="A822" s="1" t="n">
        <v>20</v>
      </c>
      <c r="B822" s="1" t="n">
        <v>12</v>
      </c>
      <c r="C822" s="1" t="n">
        <v>1.1</v>
      </c>
      <c r="D822" s="1" t="n">
        <v>1.2944</v>
      </c>
      <c r="E822" s="1" t="n">
        <v>0.0368379</v>
      </c>
      <c r="F822" s="1" t="n">
        <v>0.000100254</v>
      </c>
      <c r="G822" s="1" t="s">
        <v>37</v>
      </c>
      <c r="H822" s="1" t="n">
        <v>14.2</v>
      </c>
      <c r="I822" s="1" t="n">
        <v>28.8</v>
      </c>
      <c r="J822" s="1" t="n">
        <v>-26.4</v>
      </c>
      <c r="K822" s="1" t="n">
        <v>110.3</v>
      </c>
      <c r="L822" s="1" t="n">
        <v>0</v>
      </c>
      <c r="M822" s="1" t="n">
        <v>0</v>
      </c>
      <c r="N822" s="1" t="s">
        <v>497</v>
      </c>
      <c r="Z822" s="0" t="n">
        <f aca="false">I822-3</f>
        <v>25.8</v>
      </c>
      <c r="AB822" s="0" t="n">
        <f aca="false">IF(Z822&lt;0,Z822+360,Z822+0)</f>
        <v>25.8</v>
      </c>
    </row>
    <row r="823" customFormat="false" ht="15.8" hidden="false" customHeight="false" outlineLevel="0" collapsed="false">
      <c r="A823" s="1" t="n">
        <v>20</v>
      </c>
      <c r="B823" s="1" t="n">
        <v>11</v>
      </c>
      <c r="C823" s="1" t="n">
        <v>1.5</v>
      </c>
      <c r="D823" s="1" t="n">
        <v>1.2441</v>
      </c>
      <c r="E823" s="1" t="n">
        <v>0.0517013</v>
      </c>
      <c r="F823" s="1" t="n">
        <v>0.000140705</v>
      </c>
      <c r="G823" s="1" t="s">
        <v>37</v>
      </c>
      <c r="H823" s="1" t="n">
        <v>38.1</v>
      </c>
      <c r="I823" s="1" t="n">
        <v>18.4</v>
      </c>
      <c r="J823" s="1" t="n">
        <v>-37.5</v>
      </c>
      <c r="K823" s="1" t="n">
        <v>87.7</v>
      </c>
      <c r="L823" s="1" t="n">
        <v>0</v>
      </c>
      <c r="M823" s="1" t="n">
        <v>0</v>
      </c>
      <c r="N823" s="1" t="s">
        <v>496</v>
      </c>
      <c r="Z823" s="0" t="n">
        <f aca="false">I823-3</f>
        <v>15.4</v>
      </c>
      <c r="AB823" s="0" t="n">
        <f aca="false">IF(Z823&lt;0,Z823+360,Z823+0)</f>
        <v>15.4</v>
      </c>
    </row>
    <row r="824" customFormat="false" ht="15.8" hidden="false" customHeight="false" outlineLevel="0" collapsed="false">
      <c r="A824" s="1" t="n">
        <v>20</v>
      </c>
      <c r="B824" s="1" t="n">
        <v>10</v>
      </c>
      <c r="C824" s="1" t="n">
        <v>1.8</v>
      </c>
      <c r="D824" s="1" t="n">
        <v>1.0683</v>
      </c>
      <c r="E824" s="1" t="n">
        <v>0.0613714</v>
      </c>
      <c r="F824" s="1" t="n">
        <v>0.000167022</v>
      </c>
      <c r="G824" s="1" t="s">
        <v>37</v>
      </c>
      <c r="H824" s="1" t="n">
        <v>14.4</v>
      </c>
      <c r="I824" s="1" t="n">
        <v>25.7</v>
      </c>
      <c r="J824" s="1" t="n">
        <v>0</v>
      </c>
      <c r="K824" s="1" t="n">
        <v>128.7</v>
      </c>
      <c r="L824" s="1" t="n">
        <v>0</v>
      </c>
      <c r="M824" s="1" t="n">
        <v>0</v>
      </c>
      <c r="N824" s="1" t="s">
        <v>495</v>
      </c>
      <c r="Z824" s="0" t="n">
        <f aca="false">I824-3</f>
        <v>22.7</v>
      </c>
      <c r="AB824" s="0" t="n">
        <f aca="false">IF(Z824&lt;0,Z824+360,Z824+0)</f>
        <v>22.7</v>
      </c>
    </row>
    <row r="825" customFormat="false" ht="15.8" hidden="false" customHeight="false" outlineLevel="0" collapsed="false">
      <c r="A825" s="1" t="n">
        <v>20</v>
      </c>
      <c r="B825" s="1" t="n">
        <v>9</v>
      </c>
      <c r="C825" s="1" t="n">
        <v>2.1</v>
      </c>
      <c r="D825" s="1" t="n">
        <v>1.0999</v>
      </c>
      <c r="E825" s="1" t="n">
        <v>0.0722264</v>
      </c>
      <c r="F825" s="1" t="n">
        <v>0.000196564</v>
      </c>
      <c r="G825" s="1" t="s">
        <v>37</v>
      </c>
      <c r="H825" s="1" t="n">
        <v>29</v>
      </c>
      <c r="I825" s="1" t="n">
        <v>16.4</v>
      </c>
      <c r="J825" s="1" t="n">
        <v>11.1</v>
      </c>
      <c r="K825" s="1" t="n">
        <v>137.7</v>
      </c>
      <c r="L825" s="1" t="n">
        <v>0</v>
      </c>
      <c r="M825" s="1" t="n">
        <v>0</v>
      </c>
      <c r="N825" s="1" t="s">
        <v>494</v>
      </c>
      <c r="Z825" s="0" t="n">
        <f aca="false">I825-3</f>
        <v>13.4</v>
      </c>
      <c r="AB825" s="0" t="n">
        <f aca="false">IF(Z825&lt;0,Z825+360,Z825+0)</f>
        <v>13.4</v>
      </c>
    </row>
    <row r="826" customFormat="false" ht="15.8" hidden="false" customHeight="false" outlineLevel="0" collapsed="false">
      <c r="A826" s="1" t="n">
        <v>20</v>
      </c>
      <c r="B826" s="1" t="n">
        <v>8</v>
      </c>
      <c r="C826" s="1" t="n">
        <v>2.1</v>
      </c>
      <c r="D826" s="1" t="n">
        <v>1.1126</v>
      </c>
      <c r="E826" s="1" t="n">
        <v>0.07185</v>
      </c>
      <c r="F826" s="1" t="n">
        <v>0.000195539</v>
      </c>
      <c r="G826" s="1" t="s">
        <v>37</v>
      </c>
      <c r="H826" s="1" t="n">
        <v>37.7</v>
      </c>
      <c r="I826" s="1" t="n">
        <v>358</v>
      </c>
      <c r="J826" s="1" t="n">
        <v>-11.3</v>
      </c>
      <c r="K826" s="1" t="n">
        <v>46.8</v>
      </c>
      <c r="L826" s="1" t="n">
        <v>0</v>
      </c>
      <c r="M826" s="1" t="n">
        <v>0</v>
      </c>
      <c r="N826" s="1" t="s">
        <v>491</v>
      </c>
      <c r="Z826" s="0" t="n">
        <f aca="false">I826-3</f>
        <v>355</v>
      </c>
      <c r="AB826" s="0" t="n">
        <f aca="false">IF(Z826&lt;0,Z826+360,Z826+0)</f>
        <v>355</v>
      </c>
    </row>
    <row r="827" customFormat="false" ht="15.8" hidden="false" customHeight="false" outlineLevel="0" collapsed="false">
      <c r="A827" s="1" t="n">
        <v>20</v>
      </c>
      <c r="B827" s="1" t="n">
        <v>7</v>
      </c>
      <c r="C827" s="1" t="n">
        <v>4.2</v>
      </c>
      <c r="D827" s="1" t="n">
        <v>1.0874</v>
      </c>
      <c r="E827" s="1" t="n">
        <v>0.143779</v>
      </c>
      <c r="F827" s="1" t="n">
        <v>0.000391294</v>
      </c>
      <c r="G827" s="1" t="s">
        <v>37</v>
      </c>
      <c r="H827" s="1" t="n">
        <v>37.8</v>
      </c>
      <c r="I827" s="1" t="n">
        <v>31.9</v>
      </c>
      <c r="J827" s="1" t="n">
        <v>5.5</v>
      </c>
      <c r="K827" s="1" t="n">
        <v>89.4</v>
      </c>
      <c r="L827" s="1" t="n">
        <v>0</v>
      </c>
      <c r="M827" s="1" t="n">
        <v>0</v>
      </c>
      <c r="N827" s="1" t="s">
        <v>490</v>
      </c>
      <c r="Z827" s="0" t="n">
        <f aca="false">I827-3</f>
        <v>28.9</v>
      </c>
      <c r="AB827" s="0" t="n">
        <f aca="false">IF(Z827&lt;0,Z827+360,Z827+0)</f>
        <v>28.9</v>
      </c>
    </row>
    <row r="828" customFormat="false" ht="15.8" hidden="false" customHeight="false" outlineLevel="0" collapsed="false">
      <c r="A828" s="1" t="n">
        <v>20</v>
      </c>
      <c r="B828" s="1" t="n">
        <v>6</v>
      </c>
      <c r="C828" s="1" t="n">
        <v>4</v>
      </c>
      <c r="D828" s="1" t="n">
        <v>1.2817</v>
      </c>
      <c r="E828" s="1" t="n">
        <v>0.137984</v>
      </c>
      <c r="F828" s="1" t="n">
        <v>0.000375523</v>
      </c>
      <c r="G828" s="1" t="s">
        <v>37</v>
      </c>
      <c r="H828" s="1" t="n">
        <v>39.7</v>
      </c>
      <c r="I828" s="1" t="n">
        <v>356.2</v>
      </c>
      <c r="J828" s="1" t="n">
        <v>20.6</v>
      </c>
      <c r="K828" s="1" t="n">
        <v>93.1</v>
      </c>
      <c r="L828" s="1" t="n">
        <v>0</v>
      </c>
      <c r="M828" s="1" t="n">
        <v>0</v>
      </c>
      <c r="N828" s="1" t="s">
        <v>489</v>
      </c>
      <c r="Z828" s="0" t="n">
        <f aca="false">I828-3</f>
        <v>353.2</v>
      </c>
      <c r="AB828" s="0" t="n">
        <f aca="false">IF(Z828&lt;0,Z828+360,Z828+0)</f>
        <v>353.2</v>
      </c>
    </row>
    <row r="829" customFormat="false" ht="15.8" hidden="false" customHeight="false" outlineLevel="0" collapsed="false">
      <c r="A829" s="1" t="n">
        <v>20</v>
      </c>
      <c r="B829" s="1" t="n">
        <v>5</v>
      </c>
      <c r="C829" s="1" t="n">
        <v>4.9</v>
      </c>
      <c r="D829" s="1" t="n">
        <v>1.362</v>
      </c>
      <c r="E829" s="1" t="n">
        <v>0.166567</v>
      </c>
      <c r="F829" s="1" t="n">
        <v>0.00045331</v>
      </c>
      <c r="G829" s="1" t="s">
        <v>37</v>
      </c>
      <c r="H829" s="1" t="n">
        <v>6.8</v>
      </c>
      <c r="I829" s="1" t="n">
        <v>5.1</v>
      </c>
      <c r="J829" s="1" t="n">
        <v>-18.1</v>
      </c>
      <c r="K829" s="1" t="n">
        <v>39.7</v>
      </c>
      <c r="L829" s="1" t="n">
        <v>0</v>
      </c>
      <c r="M829" s="1" t="n">
        <v>0</v>
      </c>
      <c r="N829" s="1" t="s">
        <v>488</v>
      </c>
      <c r="Z829" s="0" t="n">
        <f aca="false">I829-3</f>
        <v>2.1</v>
      </c>
      <c r="AB829" s="0" t="n">
        <f aca="false">IF(Z829&lt;0,Z829+360,Z829+0)</f>
        <v>2.1</v>
      </c>
    </row>
    <row r="830" customFormat="false" ht="15.8" hidden="false" customHeight="false" outlineLevel="0" collapsed="false">
      <c r="A830" s="1" t="n">
        <v>20</v>
      </c>
      <c r="B830" s="1" t="n">
        <v>4</v>
      </c>
      <c r="C830" s="1" t="n">
        <v>1.6</v>
      </c>
      <c r="D830" s="1" t="n">
        <v>1.1681</v>
      </c>
      <c r="E830" s="1" t="n">
        <v>0.0561331</v>
      </c>
      <c r="F830" s="1" t="n">
        <v>0.000152766</v>
      </c>
      <c r="G830" s="1" t="s">
        <v>37</v>
      </c>
      <c r="H830" s="1" t="n">
        <v>17.7</v>
      </c>
      <c r="I830" s="1" t="n">
        <v>11.6</v>
      </c>
      <c r="J830" s="1" t="n">
        <v>-15.3</v>
      </c>
      <c r="K830" s="1" t="n">
        <v>41.9</v>
      </c>
      <c r="L830" s="1" t="n">
        <v>0</v>
      </c>
      <c r="M830" s="1" t="n">
        <v>0</v>
      </c>
      <c r="N830" s="1" t="s">
        <v>485</v>
      </c>
      <c r="Z830" s="0" t="n">
        <f aca="false">I830-3</f>
        <v>8.6</v>
      </c>
      <c r="AB830" s="0" t="n">
        <f aca="false">IF(Z830&lt;0,Z830+360,Z830+0)</f>
        <v>8.6</v>
      </c>
    </row>
    <row r="831" customFormat="false" ht="15.8" hidden="false" customHeight="false" outlineLevel="0" collapsed="false">
      <c r="A831" s="1" t="n">
        <v>20</v>
      </c>
      <c r="B831" s="1" t="n">
        <v>3</v>
      </c>
      <c r="C831" s="1" t="n">
        <v>3</v>
      </c>
      <c r="D831" s="1" t="n">
        <v>1.1113</v>
      </c>
      <c r="E831" s="1" t="n">
        <v>0.102254</v>
      </c>
      <c r="F831" s="1" t="n">
        <v>0.000278283</v>
      </c>
      <c r="G831" s="1" t="s">
        <v>37</v>
      </c>
      <c r="H831" s="1" t="n">
        <v>66.7</v>
      </c>
      <c r="I831" s="1" t="n">
        <v>2.6</v>
      </c>
      <c r="J831" s="1" t="n">
        <v>0</v>
      </c>
      <c r="K831" s="1" t="n">
        <v>37.1</v>
      </c>
      <c r="L831" s="1" t="n">
        <v>0</v>
      </c>
      <c r="M831" s="1" t="n">
        <v>0</v>
      </c>
      <c r="N831" s="1" t="s">
        <v>430</v>
      </c>
      <c r="Z831" s="0" t="n">
        <f aca="false">I831-3</f>
        <v>-0.4</v>
      </c>
      <c r="AB831" s="0" t="n">
        <f aca="false">IF(Z831&lt;0,Z831+360,Z831+0)</f>
        <v>359.6</v>
      </c>
    </row>
    <row r="832" customFormat="false" ht="15.8" hidden="false" customHeight="false" outlineLevel="0" collapsed="false">
      <c r="A832" s="1" t="n">
        <v>20</v>
      </c>
      <c r="B832" s="1" t="n">
        <v>2</v>
      </c>
      <c r="C832" s="1" t="n">
        <v>3.3</v>
      </c>
      <c r="D832" s="1" t="n">
        <v>2.0324</v>
      </c>
      <c r="E832" s="1" t="n">
        <v>0.112178</v>
      </c>
      <c r="F832" s="1" t="n">
        <v>0.000305291</v>
      </c>
      <c r="G832" s="1" t="s">
        <v>37</v>
      </c>
      <c r="H832" s="1" t="n">
        <v>102.3</v>
      </c>
      <c r="I832" s="1" t="n">
        <v>356.1</v>
      </c>
      <c r="J832" s="1" t="n">
        <v>66.5</v>
      </c>
      <c r="K832" s="1" t="n">
        <v>155.5</v>
      </c>
      <c r="L832" s="1" t="n">
        <v>0</v>
      </c>
      <c r="M832" s="1" t="n">
        <v>0</v>
      </c>
      <c r="N832" s="1" t="s">
        <v>428</v>
      </c>
      <c r="Z832" s="0" t="n">
        <f aca="false">I832-3</f>
        <v>353.1</v>
      </c>
      <c r="AB832" s="0" t="n">
        <f aca="false">IF(Z832&lt;0,Z832+360,Z832+0)</f>
        <v>353.1</v>
      </c>
    </row>
    <row r="833" customFormat="false" ht="15.8" hidden="false" customHeight="false" outlineLevel="0" collapsed="false">
      <c r="A833" s="1" t="n">
        <v>20</v>
      </c>
      <c r="B833" s="1" t="n">
        <v>1</v>
      </c>
      <c r="C833" s="1" t="n">
        <v>4.2</v>
      </c>
      <c r="D833" s="1" t="n">
        <v>1.6494</v>
      </c>
      <c r="E833" s="1" t="n">
        <v>0.207541</v>
      </c>
      <c r="F833" s="1" t="n">
        <v>0.000912125</v>
      </c>
      <c r="G833" s="1" t="s">
        <v>37</v>
      </c>
      <c r="H833" s="1"/>
      <c r="I833" s="1" t="n">
        <v>358.8</v>
      </c>
      <c r="J833" s="1" t="n">
        <v>-35.8</v>
      </c>
      <c r="K833" s="1" t="n">
        <v>104.4</v>
      </c>
      <c r="L833" s="1" t="n">
        <v>0</v>
      </c>
      <c r="M833" s="1" t="n">
        <v>0</v>
      </c>
      <c r="N833" s="1" t="s">
        <v>500</v>
      </c>
      <c r="Z833" s="0" t="n">
        <f aca="false">I833-3</f>
        <v>355.8</v>
      </c>
      <c r="AB833" s="0" t="n">
        <f aca="false">IF(Z833&lt;0,Z833+360,Z833+0)</f>
        <v>355.8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5190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2017-05-18T19:32:26Z</dcterms:created>
  <dc:language>en-US</dc:language>
  <dcterms:modified xsi:type="dcterms:W3CDTF">2017-09-27T21:53:05Z</dcterms:modified>
  <cp:revision>5</cp:revision>
</cp:coreProperties>
</file>