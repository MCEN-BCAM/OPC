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<sst xmlns="http://schemas.openxmlformats.org/spreadsheetml/2006/main" count="2440" uniqueCount="650">
  <si>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</si>
  <si>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</si>
  <si>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</si>
  <si>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</si>
  <si>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</si>
  <si>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</si>
  <si>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</si>
  <si>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</si>
  <si>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</si>
  <si>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</si>
  <si>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</si>
  <si>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</si>
  <si>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</si>
  <si>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</si>
  <si>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</si>
  <si>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</si>
  <si>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</si>
  <si>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</si>
  <si>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</si>
  <si>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</si>
  <si>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</si>
  <si>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</si>
  <si>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</si>
  <si>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</si>
  <si>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</si>
  <si>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</si>
  <si>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</si>
  <si>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</si>
  <si>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(59.44, -59.60, -20.35)</t>
  </si>
  <si>
    <t>[90:75]</t>
  </si>
  <si>
    <t>&gt;75 R</t>
  </si>
  <si>
    <t>-75,-90 R</t>
  </si>
  <si>
    <t>[0:15)</t>
  </si>
  <si>
    <t>(56.53, -60.51, -20.35)</t>
  </si>
  <si>
    <t>[75:60]</t>
  </si>
  <si>
    <t>&gt;60 R</t>
  </si>
  <si>
    <t>-60,-75 R</t>
  </si>
  <si>
    <t>[15:30)</t>
  </si>
  <si>
    <t>(54.55, -60.50, -19.61)</t>
  </si>
  <si>
    <t>[60:45]</t>
  </si>
  <si>
    <t>&gt;45 R</t>
  </si>
  <si>
    <t>-60,-45 R</t>
  </si>
  <si>
    <t>[30:45)</t>
  </si>
  <si>
    <t>(51.43, -59.92, -18.87)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</si>
  <si>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</si>
  <si>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</si>
  <si>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</si>
  <si>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</si>
  <si>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</si>
  <si>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</si>
  <si>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</si>
  <si>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</si>
  <si>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Branch</t>
  </si>
  <si>
    <t>(52.92, -60.25, -18.87)</t>
  </si>
  <si>
    <t>[15:0]</t>
  </si>
  <si>
    <t>&gt;0 R</t>
  </si>
  <si>
    <t>-15,0 R</t>
  </si>
  <si>
    <t>[75:90)</t>
  </si>
  <si>
    <t>[0]</t>
  </si>
  <si>
    <t>&gt;-15 R</t>
  </si>
  <si>
    <t>0,15 R</t>
  </si>
  <si>
    <t>(53.83, -60.66, -19.61)</t>
  </si>
  <si>
    <t>[0:15]</t>
  </si>
  <si>
    <t>&gt;-30 R</t>
  </si>
  <si>
    <t>15,30 R</t>
  </si>
  <si>
    <t>Sum</t>
  </si>
  <si>
    <t>[15:30]</t>
  </si>
  <si>
    <t>&gt;-45 R</t>
  </si>
  <si>
    <t>30,45 R</t>
  </si>
  <si>
    <t>[30:45]</t>
  </si>
  <si>
    <t>&gt;-60 R</t>
  </si>
  <si>
    <t>45,60 R</t>
  </si>
  <si>
    <t>(54.91, -60.22, -19.61)</t>
  </si>
  <si>
    <t>[45:60]</t>
  </si>
  <si>
    <t>&gt;-75 R</t>
  </si>
  <si>
    <t>60,75 R</t>
  </si>
  <si>
    <t>(47.77, -58.62, -15.54)</t>
  </si>
  <si>
    <t>[60:75]</t>
  </si>
  <si>
    <t> &gt;-90 R</t>
  </si>
  <si>
    <t> 75,90 R</t>
  </si>
  <si>
    <t>[75:90]</t>
  </si>
  <si>
    <t>&gt;-90 L</t>
  </si>
  <si>
    <t>90,75 L</t>
  </si>
  <si>
    <t>(51.08, -57.61, -17.02)</t>
  </si>
  <si>
    <t>&gt;-75 L</t>
  </si>
  <si>
    <t>75,60 L</t>
  </si>
  <si>
    <t>(59.28, -52.59, -14.43)</t>
  </si>
  <si>
    <t>&gt;-60 L</t>
  </si>
  <si>
    <t>60,45 L</t>
  </si>
  <si>
    <t>(60.47, -52.73, -14.43)</t>
  </si>
  <si>
    <t>&gt;-45 L</t>
  </si>
  <si>
    <t>45,30 L</t>
  </si>
  <si>
    <t>(61.38, -53.17, -15.17)</t>
  </si>
  <si>
    <t>&gt;-30 L</t>
  </si>
  <si>
    <t>30,15 L</t>
  </si>
  <si>
    <t>&gt;-15 L</t>
  </si>
  <si>
    <t>15,0 L</t>
  </si>
  <si>
    <t>&gt;0 L</t>
  </si>
  <si>
    <t>0,-15 L</t>
  </si>
  <si>
    <t>&gt;15 L</t>
  </si>
  <si>
    <t>-15,-30 L</t>
  </si>
  <si>
    <t>(59.32, -53.86, -11.84)</t>
  </si>
  <si>
    <t>&gt;30 L</t>
  </si>
  <si>
    <t>-30,-45 L</t>
  </si>
  <si>
    <t>&gt;45 L</t>
  </si>
  <si>
    <t>-45,-60 L</t>
  </si>
  <si>
    <t>(58.92, -52.82, -13.69)</t>
  </si>
  <si>
    <t>&gt;60 L</t>
  </si>
  <si>
    <t>-60,-75 L</t>
  </si>
  <si>
    <t>(49.13, -52.16, -9.25)</t>
  </si>
  <si>
    <t>&gt;75 L</t>
  </si>
  <si>
    <t>-75,-90 L</t>
  </si>
  <si>
    <t>Total</t>
  </si>
  <si>
    <t>(52.06, -51.63, -10.73)</t>
  </si>
  <si>
    <t>Count</t>
  </si>
  <si>
    <t>Total L</t>
  </si>
  <si>
    <t>(55.46, -53.58, -12.95)</t>
  </si>
  <si>
    <t>(54.57, -55.26, -12.21)</t>
  </si>
  <si>
    <t>(49.63, -56.81, -10.36)</t>
  </si>
  <si>
    <t>(50.32, -57.34, -10.36)</t>
  </si>
  <si>
    <t>(53.57, -56.20, -11.84)</t>
  </si>
  <si>
    <t>(53.54, -55.56, -11.84)</t>
  </si>
  <si>
    <t>(51.23, -53.79, -12.21)</t>
  </si>
  <si>
    <t>(59.38, -50.47, -15.54)</t>
  </si>
  <si>
    <t>(43.81, -49.39, -9.99)</t>
  </si>
  <si>
    <t>(48.70, -51.73, -14.06)</t>
  </si>
  <si>
    <t>(49.34, -53.03, -15.17)</t>
  </si>
  <si>
    <t>(49.30, -54.30, -15.17)</t>
  </si>
  <si>
    <t>(45.84, -54.10, -15.17)</t>
  </si>
  <si>
    <t>(45.37, -53.21, -15.54)</t>
  </si>
  <si>
    <t>(42.29, -56.41, -15.54)</t>
  </si>
  <si>
    <t>(40.83, -57.61, -16.28)</t>
  </si>
  <si>
    <t>(49.78, -53.85, -15.91)</t>
  </si>
  <si>
    <t>(46.18, -54.08, -17.02)</t>
  </si>
  <si>
    <t>(43.54, -54.96, -18.50)</t>
  </si>
  <si>
    <t>(40.01, -56.34, -19.98)</t>
  </si>
  <si>
    <t>(38.79, -57.02, -21.09)</t>
  </si>
  <si>
    <t>(36.27, -57.66, -21.46)</t>
  </si>
  <si>
    <t>(35.19, -57.76, -21.46)</t>
  </si>
  <si>
    <t>(44.98, -54.21, -18.13)</t>
  </si>
  <si>
    <t>(50.87, -52.18, -15.91)</t>
  </si>
  <si>
    <t>(49.28, -51.04, -16.28)</t>
  </si>
  <si>
    <t>(45.87, -50.21, -16.65)</t>
  </si>
  <si>
    <t>(52.74, -51.52, -15.54)</t>
  </si>
  <si>
    <t>(53.15, -52.59, -13.69)</t>
  </si>
  <si>
    <t>(55.53, -51.12, -7.77)</t>
  </si>
  <si>
    <t>(55.68, -51.75, -7.40)</t>
  </si>
  <si>
    <t>(53.09, -52.78, -14.06)</t>
  </si>
  <si>
    <t>(55.74, -54.88, -16.65)</t>
  </si>
  <si>
    <t>(56.32, -54.89, -16.65)</t>
  </si>
  <si>
    <t>(55.31, -54.55, -15.54)</t>
  </si>
  <si>
    <t>(54.18, -51.37, -16.28)</t>
  </si>
  <si>
    <t>(49.87, -50.19, -18.13)</t>
  </si>
  <si>
    <t>(55.69, -50.48, -16.65)</t>
  </si>
  <si>
    <t>(46.26, -66.75, -17.76)</t>
  </si>
  <si>
    <t>(51.35, -57.50, -17.39)</t>
  </si>
  <si>
    <t>(64.85, -51.55, -10.36)</t>
  </si>
  <si>
    <t>(64.35, -52.75, -9.62)</t>
  </si>
  <si>
    <t>(65.61, -49.22, -13.32)</t>
  </si>
  <si>
    <t>(72.89, -43.72, -11.84)</t>
  </si>
  <si>
    <t>(74.20, -41.63, -11.84)</t>
  </si>
  <si>
    <t>(74.24, -40.17, -11.84)</t>
  </si>
  <si>
    <t>(64.02, -49.11, -13.69)</t>
  </si>
  <si>
    <t>(66.48, -48.39, -10.73)</t>
  </si>
  <si>
    <t>(66.22, -47.97, -11.10)</t>
  </si>
  <si>
    <t>(66.45, -46.86, -9.62)</t>
  </si>
  <si>
    <t>(67.82, -46.71, -8.88)</t>
  </si>
  <si>
    <t>(67.59, -45.28, -8.51)</t>
  </si>
  <si>
    <t>(64.04, -46.52, -8.88)</t>
  </si>
  <si>
    <t>(65.41, -44.60, -8.51)</t>
  </si>
  <si>
    <t>(65.69, -45.48, -8.51)</t>
  </si>
  <si>
    <t>(68.16, -45.30, -8.51)</t>
  </si>
  <si>
    <t>(68.08, -43.07, -6.66)</t>
  </si>
  <si>
    <t>(68.81, -43.74, -7.03)</t>
  </si>
  <si>
    <t>(69.66, -43.31, -6.66)</t>
  </si>
  <si>
    <t>(68.87, -44.39, -7.77)</t>
  </si>
  <si>
    <t>(69.76, -44.35, -7.03)</t>
  </si>
  <si>
    <t>(72.12, -43.15, -6.66)</t>
  </si>
  <si>
    <t>(73.20, -41.54, -6.29)</t>
  </si>
  <si>
    <t>(73.35, -40.44, -6.29)</t>
  </si>
  <si>
    <t>(73.84, -38.45, -6.29)</t>
  </si>
  <si>
    <t>(74.33, -36.37, -6.29)</t>
  </si>
  <si>
    <t>(75.15, -36.35, -5.92)</t>
  </si>
  <si>
    <t>(75.53, -36.01, -5.92)</t>
  </si>
  <si>
    <t>(74.20, -36.08, -6.66)</t>
  </si>
  <si>
    <t>(74.07, -35.73, -6.66)</t>
  </si>
  <si>
    <t>(63.70, -48.21, -13.32)</t>
  </si>
  <si>
    <t>(70.94, -52.58, -15.91)</t>
  </si>
  <si>
    <t>(70.77, -52.37, -14.80)</t>
  </si>
  <si>
    <t>(71.49, -52.70, -14.80)</t>
  </si>
  <si>
    <t>(72.08, -53.27, -14.80)</t>
  </si>
  <si>
    <t>(74.32, -53.18, -15.54)</t>
  </si>
  <si>
    <t>(73.38, -53.23, -15.54)</t>
  </si>
  <si>
    <t>(73.05, -53.85, -14.43)</t>
  </si>
  <si>
    <t>(64.71, -50.61, -15.17)</t>
  </si>
  <si>
    <t>(76.56, -51.54, -13.69)</t>
  </si>
  <si>
    <t>(76.10, -51.61, -13.69)</t>
  </si>
  <si>
    <t>(75.14, -50.88, -13.69)</t>
  </si>
  <si>
    <t>(75.96, -51.98, -13.32)</t>
  </si>
  <si>
    <t>(82.24, -49.02, -10.36)</t>
  </si>
  <si>
    <t>(80.44, -49.33, -10.73)</t>
  </si>
  <si>
    <t>(87.34, -47.98, -9.99)</t>
  </si>
  <si>
    <t>(82.66, -49.63, -11.47)</t>
  </si>
  <si>
    <t>(83.81, -49.14, -11.10)</t>
  </si>
  <si>
    <t>(81.79, -50.62, -11.47)</t>
  </si>
  <si>
    <t>(81.74, -52.86, -12.21)</t>
  </si>
  <si>
    <t>(92.16, -55.08, -18.50)</t>
  </si>
  <si>
    <t>(92.59, -53.48, -17.02)</t>
  </si>
  <si>
    <t>(91.92, -52.76, -16.65)</t>
  </si>
  <si>
    <t>(92.93, -52.34, -16.65)</t>
  </si>
  <si>
    <t>(94.10, -49.74, -11.84)</t>
  </si>
  <si>
    <t>(91.75, -49.09, -11.10)</t>
  </si>
  <si>
    <t>(93.36, -49.52, -11.10)</t>
  </si>
  <si>
    <t>(94.58, -48.75, -12.21)</t>
  </si>
  <si>
    <t>(96.40, -51.57, -14.43)</t>
  </si>
  <si>
    <t>(102.48, -52.35, -13.32)</t>
  </si>
  <si>
    <t>(102.35, -52.66, -14.06)</t>
  </si>
  <si>
    <t>(101.17, -51.80, -14.06)</t>
  </si>
  <si>
    <t>(82.12, -55.71, -22.20)</t>
  </si>
  <si>
    <t>(85.67, -54.95, -19.98)</t>
  </si>
  <si>
    <t>(87.63, -54.12, -18.87)</t>
  </si>
  <si>
    <t>(90.33, -51.95, -15.54)</t>
  </si>
  <si>
    <t>(89.59, -52.26, -15.54)</t>
  </si>
  <si>
    <t>(87.62, -51.51, -14.43)</t>
  </si>
  <si>
    <t>(89.94, -50.86, -14.43)</t>
  </si>
  <si>
    <t>(85.32, -51.52, -13.69)</t>
  </si>
  <si>
    <t>(83.52, -52.76, -12.21)</t>
  </si>
  <si>
    <t>(83.17, -51.56, -10.73)</t>
  </si>
  <si>
    <t>(83.53, -51.84, -10.73)</t>
  </si>
  <si>
    <t>(83.81, -52.40, -12.21)</t>
  </si>
  <si>
    <t>(85.97, -51.86, -12.21)</t>
  </si>
  <si>
    <t>(82.07, -53.07, -12.21)</t>
  </si>
  <si>
    <t>(80.47, -52.69, -12.21)</t>
  </si>
  <si>
    <t>(78.33, -52.56, -12.95)</t>
  </si>
  <si>
    <t>(73.71, -51.76, -13.32)</t>
  </si>
  <si>
    <t>(73.36, -54.12, -12.95)</t>
  </si>
  <si>
    <t>(69.86, -50.82, -14.06)</t>
  </si>
  <si>
    <t>(71.11, -50.40, -12.58)</t>
  </si>
  <si>
    <t>(70.22, -51.00, -13.32)</t>
  </si>
  <si>
    <t>(64.47, -50.18, -14.80)</t>
  </si>
  <si>
    <t>(62.38, -46.57, -14.06)</t>
  </si>
  <si>
    <t>(67.67, -43.96, -11.47)</t>
  </si>
  <si>
    <t>(67.55, -43.06, -11.10)</t>
  </si>
  <si>
    <t>(66.42, -43.32, -9.62)</t>
  </si>
  <si>
    <t>(67.98, -43.55, -11.10)</t>
  </si>
  <si>
    <t>(69.94, -40.01, -9.99)</t>
  </si>
  <si>
    <t>(70.87, -39.57, -9.99)</t>
  </si>
  <si>
    <t>(71.90, -40.22, -9.25)</t>
  </si>
  <si>
    <t>(73.02, -39.44, -9.25)</t>
  </si>
  <si>
    <t>(73.03, -40.81, -8.51)</t>
  </si>
  <si>
    <t>(73.45, -40.82, -8.14)</t>
  </si>
  <si>
    <t>(71.39, -42.96, -8.51)</t>
  </si>
  <si>
    <t>(71.21, -42.77, -8.88)</t>
  </si>
  <si>
    <t>(71.59, -42.34, -11.84)</t>
  </si>
  <si>
    <t>(73.13, -36.94, -11.84)</t>
  </si>
  <si>
    <t>(72.07, -39.05, -11.47)</t>
  </si>
  <si>
    <t>(71.37, -38.65, -11.10)</t>
  </si>
  <si>
    <t>(72.39, -39.75, -11.47)</t>
  </si>
  <si>
    <t>(74.69, -37.32, -10.36)</t>
  </si>
  <si>
    <t>(73.81, -36.99, -9.99)</t>
  </si>
  <si>
    <t>(73.35, -40.92, -10.73)</t>
  </si>
  <si>
    <t>(76.01, -43.50, -9.25)</t>
  </si>
  <si>
    <t>(77.45, -45.21, -9.25)</t>
  </si>
  <si>
    <t>Generated</t>
  </si>
  <si>
    <t>(71.88, -42.24, -11.47)</t>
  </si>
  <si>
    <t>(70.74, -42.57, -11.84)</t>
  </si>
  <si>
    <t>(76.59, -38.25, -14.80)</t>
  </si>
  <si>
    <t>(77.29, -39.43, -14.43)</t>
  </si>
  <si>
    <t>(77.58, -39.79, -14.43)</t>
  </si>
  <si>
    <t>(81.20, -40.00, -16.28)</t>
  </si>
  <si>
    <t>(78.67, -39.42, -14.80)</t>
  </si>
  <si>
    <t>(77.37, -40.01, -14.06)</t>
  </si>
  <si>
    <t>(72.26, -41.90, -13.32)</t>
  </si>
  <si>
    <t>(72.42, -42.86, -13.69)</t>
  </si>
  <si>
    <t>(72.99, -42.09, -13.69)</t>
  </si>
  <si>
    <t>(66.17, -44.98, -11.84)</t>
  </si>
  <si>
    <t>(65.62, -45.41, -12.21)</t>
  </si>
  <si>
    <t>(62.60, -47.37, -11.47)</t>
  </si>
  <si>
    <t>(62.60, -48.12, -11.84)</t>
  </si>
  <si>
    <t>(63.55, -48.26, -11.47)</t>
  </si>
  <si>
    <t>(64.82, -49.85, -10.73)</t>
  </si>
  <si>
    <t>(62.31, -47.46, -11.47)</t>
  </si>
  <si>
    <t>(64.94, -45.53, -12.21)</t>
  </si>
  <si>
    <t>(62.63, -46.16, -14.06)</t>
  </si>
  <si>
    <t>(62.07, -47.74, -14.06)</t>
  </si>
  <si>
    <t>(54.22, -52.30, -18.13)</t>
  </si>
  <si>
    <t>(49.37, -52.62, -19.98)</t>
  </si>
  <si>
    <t>(49.16, -52.11, -19.98)</t>
  </si>
  <si>
    <t>(47.04, -53.34, -24.05)</t>
  </si>
  <si>
    <t>(47.98, -52.08, -23.31)</t>
  </si>
  <si>
    <t>(52.02, -55.77, -25.90)</t>
  </si>
  <si>
    <t>(52.96, -53.99, -27.01)</t>
  </si>
  <si>
    <t>(56.72, -53.45, -27.38)</t>
  </si>
  <si>
    <t>(53.96, -53.84, -24.42)</t>
  </si>
  <si>
    <t>(57.36, -50.73, -27.01)</t>
  </si>
  <si>
    <t>(55.34, -51.89, -26.27)</t>
  </si>
  <si>
    <t>(55.66, -52.86, -21.83)</t>
  </si>
  <si>
    <t>(54.55, -54.29, -22.57)</t>
  </si>
  <si>
    <t>(54.27, -54.74, -22.57)</t>
  </si>
  <si>
    <t>(52.27, -53.71, -23.68)</t>
  </si>
  <si>
    <t>(51.71, -53.25, -23.68)</t>
  </si>
  <si>
    <t>(51.23, -52.53, -23.68)</t>
  </si>
  <si>
    <t>(50.79, -52.14, -23.68)</t>
  </si>
  <si>
    <t>(48.70, -51.37, -24.05)</t>
  </si>
  <si>
    <t>(48.29, -51.49, -24.05)</t>
  </si>
  <si>
    <t>(42.52, -52.74, -25.16)</t>
  </si>
  <si>
    <t>(43.81, -51.78, -25.16)</t>
  </si>
  <si>
    <t>(42.33, -51.66, -26.27)</t>
  </si>
  <si>
    <t>(43.93, -50.51, -25.90)</t>
  </si>
  <si>
    <t>(45.68, -50.90, -25.16)</t>
  </si>
  <si>
    <t>(45.40, -50.17, -25.16)</t>
  </si>
  <si>
    <t>(49.94, -54.78, -20.35)</t>
  </si>
  <si>
    <t>(54.52, -49.60, -18.50)</t>
  </si>
  <si>
    <t>(44.92, -46.20, -18.87)</t>
  </si>
  <si>
    <t>(46.17, -47.12, -18.13)</t>
  </si>
  <si>
    <t>(44.71, -46.68, -17.39)</t>
  </si>
  <si>
    <t>(41.36, -48.19, -16.65)</t>
  </si>
  <si>
    <t>(39.21, -47.83, -17.02)</t>
  </si>
  <si>
    <t>(40.14, -48.16, -16.65)</t>
  </si>
  <si>
    <t>(39.61, -48.70, -17.39)</t>
  </si>
  <si>
    <t>(43.57, -46.64, -17.39)</t>
  </si>
  <si>
    <t>(46.89, -47.10, -18.13)</t>
  </si>
  <si>
    <t>(47.20, -48.81, -16.28)</t>
  </si>
  <si>
    <t>(49.81, -46.45, -18.50)</t>
  </si>
  <si>
    <t>(49.96, -45.87, -18.50)</t>
  </si>
  <si>
    <t>(53.25, -48.94, -19.24)</t>
  </si>
  <si>
    <t>(47.97, -47.61, -21.09)</t>
  </si>
  <si>
    <t>(44.87, -48.61, -22.94)</t>
  </si>
  <si>
    <t>(46.34, -49.02, -22.57)</t>
  </si>
  <si>
    <t>(47.72, -49.01, -22.57)</t>
  </si>
  <si>
    <t>(46.12, -48.51, -21.09)</t>
  </si>
  <si>
    <t>(45.71, -48.68, -21.09)</t>
  </si>
  <si>
    <t>(47.08, -48.78, -21.09)</t>
  </si>
  <si>
    <t>(51.97, -50.84, -21.09)</t>
  </si>
  <si>
    <t>(39.55, -45.18, -22.20)</t>
  </si>
  <si>
    <t>(42.19, -45.81, -18.50)</t>
  </si>
  <si>
    <t>(42.75, -47.03, -18.87)</t>
  </si>
  <si>
    <t>(39.70, -46.45, -23.31)</t>
  </si>
  <si>
    <t>(40.33, -46.33, -24.42)</t>
  </si>
  <si>
    <t>(40.89, -44.06, -22.57)</t>
  </si>
  <si>
    <t>(35.35, -42.39, -23.68)</t>
  </si>
  <si>
    <t>(35.67, -43.07, -22.94)</t>
  </si>
  <si>
    <t>(38.54, -42.65, -23.31)</t>
  </si>
  <si>
    <t>(37.00, -41.05, -24.05)</t>
  </si>
  <si>
    <t>(38.04, -37.69, -24.05)</t>
  </si>
  <si>
    <t>(38.47, -42.18, -23.68)</t>
  </si>
  <si>
    <t>(40.64, -43.55, -22.94)</t>
  </si>
  <si>
    <t>(44.95, -43.33, -22.20)</t>
  </si>
  <si>
    <t>(46.59, -41.45, -27.01)</t>
  </si>
  <si>
    <t>(45.09, -37.98, -24.42)</t>
  </si>
  <si>
    <t>(45.76, -36.73, -24.42)</t>
  </si>
  <si>
    <t>(45.54, -35.75, -24.05)</t>
  </si>
  <si>
    <t>(46.58, -31.51, -24.79)</t>
  </si>
  <si>
    <t>(44.17, -28.78, -26.27)</t>
  </si>
  <si>
    <t>(45.46, -29.07, -26.27)</t>
  </si>
  <si>
    <t>(45.06, -27.40, -26.64)</t>
  </si>
  <si>
    <t>(45.09, -25.49, -27.01)</t>
  </si>
  <si>
    <t>(46.17, -29.38, -25.90)</t>
  </si>
  <si>
    <t>(46.05, -43.49, -21.46)</t>
  </si>
  <si>
    <t>(39.08, -44.14, -21.09)</t>
  </si>
  <si>
    <t>(36.35, -45.02, -23.31)</t>
  </si>
  <si>
    <t>(35.57, -44.74, -23.68)</t>
  </si>
  <si>
    <t>(37.96, -44.12, -21.46)</t>
  </si>
  <si>
    <t>(38.76, -43.99, -21.09)</t>
  </si>
  <si>
    <t>(39.70, -42.79, -20.35)</t>
  </si>
  <si>
    <t>(32.51, -41.31, -20.35)</t>
  </si>
  <si>
    <t>(35.04, -41.63, -22.20)</t>
  </si>
  <si>
    <t>(31.73, -42.15, -22.20)</t>
  </si>
  <si>
    <t>(31.36, -42.19, -22.20)</t>
  </si>
  <si>
    <t>(32.41, -41.79, -20.35)</t>
  </si>
  <si>
    <t>(33.84, -42.41, -20.35)</t>
  </si>
  <si>
    <t>(33.22, -47.28, -21.46)</t>
  </si>
  <si>
    <t>(31.59, -47.11, -24.05)</t>
  </si>
  <si>
    <t>(32.82, -47.68, -22.57)</t>
  </si>
  <si>
    <t>(35.75, -42.59, -19.98)</t>
  </si>
  <si>
    <t>(41.34, -43.14, -20.72)</t>
  </si>
  <si>
    <t>(42.55, -42.88, -20.72)</t>
  </si>
  <si>
    <t>(40.40, -41.43, -21.46)</t>
  </si>
  <si>
    <t>(41.39, -41.57, -21.46)</t>
  </si>
  <si>
    <t>(41.70, -41.45, -22.57)</t>
  </si>
  <si>
    <t>(42.26, -42.09, -21.46)</t>
  </si>
  <si>
    <t>(44.77, -42.71, -21.09)</t>
  </si>
  <si>
    <t>(45.12, -42.55, -21.46)</t>
  </si>
  <si>
    <t>(46.40, -44.35, -21.46)</t>
  </si>
  <si>
    <t>(47.05, -45.51, -21.46)</t>
  </si>
  <si>
    <t>(50.07, -47.66, -20.72)</t>
  </si>
  <si>
    <t>(54.18, -43.92, -25.53)</t>
  </si>
  <si>
    <t>(52.28, -45.44, -25.16)</t>
  </si>
  <si>
    <t>(47.89, -46.61, -24.05)</t>
  </si>
  <si>
    <t>(47.02, -48.84, -29.97)</t>
  </si>
  <si>
    <t>(48.94, -45.84, -22.57)</t>
  </si>
  <si>
    <t>(50.77, -47.82, -20.35)</t>
  </si>
  <si>
    <t>(51.35, -47.79, -20.35)</t>
  </si>
  <si>
    <t>(56.54, -51.36, -18.50)</t>
  </si>
  <si>
    <t>(66.24, -54.15, -16.28)</t>
  </si>
  <si>
    <t>(63.70, -52.85, -17.02)</t>
  </si>
  <si>
    <t>(63.08, -52.39, -17.02)</t>
  </si>
  <si>
    <t>(66.76, -46.16, -15.17)</t>
  </si>
  <si>
    <t>(66.83, -46.47, -15.17)</t>
  </si>
  <si>
    <t>(66.28, -46.78, -15.91)</t>
  </si>
  <si>
    <t>(64.85, -50.12, -18.87)</t>
  </si>
  <si>
    <t>(64.60, -50.51, -19.24)</t>
  </si>
  <si>
    <t>(60.03, -45.60, -19.98)</t>
  </si>
  <si>
    <t>(64.17, -51.23, -19.24)</t>
  </si>
  <si>
    <t>(62.89, -54.39, -19.24)</t>
  </si>
  <si>
    <t>(62.50, -59.02, -21.09)</t>
  </si>
  <si>
    <t>(60.98, -57.46, -21.09)</t>
  </si>
  <si>
    <t>(68.17, -49.52, -19.24)</t>
  </si>
  <si>
    <t>(63.44, -54.65, -16.65)</t>
  </si>
  <si>
    <t>(63.70, -53.62, -15.17)</t>
  </si>
  <si>
    <t>(63.99, -55.49, -17.76)</t>
  </si>
  <si>
    <t>(58.41, -66.70, -15.91)</t>
  </si>
  <si>
    <t>(62.32, -57.57, -17.02)</t>
  </si>
  <si>
    <t>(64.56, -55.32, -19.61)</t>
  </si>
  <si>
    <t>(63.69, -55.38, -19.61)</t>
  </si>
  <si>
    <t>(56.82, -52.16, -18.13)</t>
  </si>
  <si>
    <t>(52.97, -43.78, -15.91)</t>
  </si>
  <si>
    <t>(50.41, -44.72, -14.43)</t>
  </si>
  <si>
    <t>(50.95, -45.53, -14.80)</t>
  </si>
  <si>
    <t>(56.80, -44.35, -14.80)</t>
  </si>
  <si>
    <t>(47.76, -38.35, -16.28)</t>
  </si>
  <si>
    <t>(44.93, -36.78, -15.91)</t>
  </si>
  <si>
    <t>(45.23, -37.36, -15.91)</t>
  </si>
  <si>
    <t>(46.13, -37.68, -15.91)</t>
  </si>
  <si>
    <t>(48.53, -37.44, -15.91)</t>
  </si>
  <si>
    <t>(47.79, -37.04, -15.91)</t>
  </si>
  <si>
    <t>(52.99, -35.13, -15.91)</t>
  </si>
  <si>
    <t>(49.61, -31.13, -17.02)</t>
  </si>
  <si>
    <t>(52.86, -30.60, -16.65)</t>
  </si>
  <si>
    <t>(50.99, -30.25, -17.39)</t>
  </si>
  <si>
    <t>(49.78, -31.76, -17.39)</t>
  </si>
  <si>
    <t>(48.97, -32.63, -17.02)</t>
  </si>
  <si>
    <t>(47.60, -33.35, -18.50)</t>
  </si>
  <si>
    <t>(47.50, -33.06, -18.13)</t>
  </si>
  <si>
    <t>(48.14, -32.91, -17.02)</t>
  </si>
  <si>
    <t>(44.85, -36.76, -20.72)</t>
  </si>
  <si>
    <t>(44.79, -33.16, -18.13)</t>
  </si>
  <si>
    <t>(44.77, -32.56, -18.87)</t>
  </si>
  <si>
    <t>(49.95, -33.21, -17.02)</t>
  </si>
  <si>
    <t>(52.52, -33.30, -16.28)</t>
  </si>
  <si>
    <t>(53.97, -32.46, -14.80)</t>
  </si>
  <si>
    <t>(54.27, -30.78, -15.91)</t>
  </si>
  <si>
    <t>(54.79, -28.78, -15.91)</t>
  </si>
  <si>
    <t>(54.70, -28.77, -15.17)</t>
  </si>
  <si>
    <t>(53.30, -35.50, -15.54)</t>
  </si>
  <si>
    <t>(53.86, -36.10, -15.17)</t>
  </si>
  <si>
    <t>(54.95, -37.25, -15.17)</t>
  </si>
  <si>
    <t>(55.24, -37.32, -15.17)</t>
  </si>
  <si>
    <t>(57.45, -34.11, -15.17)</t>
  </si>
  <si>
    <t>(57.49, -32.03, -13.69)</t>
  </si>
  <si>
    <t>(59.02, -29.75, -12.58)</t>
  </si>
  <si>
    <t>(58.28, -30.94, -12.58)</t>
  </si>
  <si>
    <t>(59.84, -31.23, -12.21)</t>
  </si>
  <si>
    <t>(59.14, -32.64, -15.17)</t>
  </si>
  <si>
    <t>(61.44, -31.10, -14.43)</t>
  </si>
  <si>
    <t>(62.90, -30.44, -14.06)</t>
  </si>
  <si>
    <t>(66.33, -29.04, -13.32)</t>
  </si>
  <si>
    <t>(63.74, -30.12, -14.06)</t>
  </si>
  <si>
    <t>(64.81, -30.80, -13.69)</t>
  </si>
  <si>
    <t>(62.55, -25.68, -15.91)</t>
  </si>
  <si>
    <t>(60.89, -26.09, -16.65)</t>
  </si>
  <si>
    <t>(61.16, -25.25, -17.02)</t>
  </si>
  <si>
    <t>(61.05, -24.44, -17.39)</t>
  </si>
  <si>
    <t>(61.15, -23.79, -17.39)</t>
  </si>
  <si>
    <t>(56.57, -39.25, -14.80)</t>
  </si>
  <si>
    <t>(56.40, -41.70, -14.80)</t>
  </si>
  <si>
    <t>(54.73, -41.77, -14.43)</t>
  </si>
  <si>
    <t>(46.79, -40.03, -15.54)</t>
  </si>
  <si>
    <t>(45.36, -39.50, -16.65)</t>
  </si>
  <si>
    <t>(47.43, -39.31, -15.17)</t>
  </si>
  <si>
    <t>(42.27, -38.12, -15.17)</t>
  </si>
  <si>
    <t>(40.92, -38.88, -14.43)</t>
  </si>
  <si>
    <t>(39.44, -38.59, -14.06)</t>
  </si>
  <si>
    <t>(39.00, -38.19, -13.69)</t>
  </si>
  <si>
    <t>(37.56, -38.13, -13.32)</t>
  </si>
  <si>
    <t>(38.59, -37.53, -13.69)</t>
  </si>
  <si>
    <t>(38.29, -36.30, -14.06)</t>
  </si>
  <si>
    <t>(36.03, -34.34, -14.43)</t>
  </si>
  <si>
    <t>(34.75, -33.21, -14.80)</t>
  </si>
  <si>
    <t>(34.31, -33.44, -14.80)</t>
  </si>
  <si>
    <t>(45.03, -38.78, -14.80)</t>
  </si>
  <si>
    <t>(44.10, -39.52, -14.80)</t>
  </si>
  <si>
    <t>(39.83, -35.60, -14.80)</t>
  </si>
  <si>
    <t>(39.28, -34.98, -15.17)</t>
  </si>
  <si>
    <t>(39.80, -35.26, -15.17)</t>
  </si>
  <si>
    <t>(57.01, -42.42, -14.43)</t>
  </si>
  <si>
    <t>(58.24, -42.09, -14.43)</t>
  </si>
  <si>
    <t>(60.11, -40.13, -14.43)</t>
  </si>
  <si>
    <t>(61.43, -38.24, -14.06)</t>
  </si>
  <si>
    <t>(56.67, -42.76, -14.43)</t>
  </si>
  <si>
    <t>(58.41, -46.32, -15.17)</t>
  </si>
  <si>
    <t>(59.18, -45.80, -13.69)</t>
  </si>
  <si>
    <t>(60.32, -42.76, -13.69)</t>
  </si>
  <si>
    <t>(61.50, -43.06, -14.06)</t>
  </si>
  <si>
    <t>(76.90, -35.11, -15.54)</t>
  </si>
  <si>
    <t>(76.66, -34.60, -15.54)</t>
  </si>
  <si>
    <t>(74.84, -34.80, -15.54)</t>
  </si>
  <si>
    <t>(73.53, -34.31, -16.28)</t>
  </si>
  <si>
    <t>(70.44, -39.77, -15.54)</t>
  </si>
  <si>
    <t>(73.40, -37.96, -16.65)</t>
  </si>
  <si>
    <t>(67.57, -38.53, -16.28)</t>
  </si>
  <si>
    <t>(78.12, -32.25, -18.87)</t>
  </si>
  <si>
    <t>(76.98, -32.61, -18.87)</t>
  </si>
  <si>
    <t>(75.95, -36.17, -19.24)</t>
  </si>
  <si>
    <t>(74.98, -36.23, -19.24)</t>
  </si>
  <si>
    <t>(72.91, -37.61, -19.24)</t>
  </si>
  <si>
    <t>(72.46, -37.93, -19.24)</t>
  </si>
  <si>
    <t>(67.92, -37.13, -17.76)</t>
  </si>
  <si>
    <t>(79.53, -31.03, -16.28)</t>
  </si>
  <si>
    <t>(77.77, -34.02, -16.28)</t>
  </si>
  <si>
    <t>(76.10, -34.41, -16.28)</t>
  </si>
  <si>
    <t>(73.71, -34.60, -17.02)</t>
  </si>
  <si>
    <t>(70.61, -36.64, -17.76)</t>
  </si>
  <si>
    <t>(67.68, -36.51, -17.76)</t>
  </si>
  <si>
    <t>(67.65, -35.10, -18.87)</t>
  </si>
  <si>
    <t>(66.54, -39.29, -16.28)</t>
  </si>
  <si>
    <t>(66.34, -39.75, -15.91)</t>
  </si>
  <si>
    <t>(65.01, -41.64, -15.17)</t>
  </si>
  <si>
    <t>(61.15, -43.52, -14.43)</t>
  </si>
  <si>
    <t>(59.51, -41.16, -17.76)</t>
  </si>
  <si>
    <t>(59.64, -45.11, -13.69)</t>
  </si>
  <si>
    <t>(72.69, -38.44, -13.32)</t>
  </si>
  <si>
    <t>(72.12, -39.16, -13.32)</t>
  </si>
  <si>
    <t>(71.61, -39.42, -12.58)</t>
  </si>
  <si>
    <t>(70.13, -39.27, -13.69)</t>
  </si>
  <si>
    <t>(70.54, -40.13, -13.69)</t>
  </si>
  <si>
    <t>(69.61, -40.92, -14.06)</t>
  </si>
  <si>
    <t>(66.97, -41.33, -13.32)</t>
  </si>
  <si>
    <t>(66.67, -41.25, -13.69)</t>
  </si>
  <si>
    <t>(66.34, -41.54, -13.69)</t>
  </si>
  <si>
    <t>(65.11, -41.67, -13.32)</t>
  </si>
  <si>
    <t>(62.75, -42.81, -13.32)</t>
  </si>
  <si>
    <t>(62.04, -43.41, -12.58)</t>
  </si>
  <si>
    <t>(63.58, -42.09, -8.88)</t>
  </si>
  <si>
    <t>(63.10, -42.58, -8.88)</t>
  </si>
  <si>
    <t>(71.22, -38.57, -7.40)</t>
  </si>
  <si>
    <t>(70.53, -38.47, -7.40)</t>
  </si>
  <si>
    <t>(70.25, -38.80, -7.40)</t>
  </si>
  <si>
    <t>(69.56, -39.75, -7.40)</t>
  </si>
  <si>
    <t>(69.88, -38.56, -5.55)</t>
  </si>
  <si>
    <t>(69.54, -38.93, -5.55)</t>
  </si>
  <si>
    <t>(69.27, -39.71, -7.40)</t>
  </si>
  <si>
    <t>(69.35, -40.82, -7.77)</t>
  </si>
  <si>
    <t>(67.98, -39.69, -7.77)</t>
  </si>
  <si>
    <t>(67.21, -40.27, -7.40)</t>
  </si>
  <si>
    <t>(63.86, -43.52, -8.14)</t>
  </si>
  <si>
    <t>(67.73, -35.10, -9.25)</t>
  </si>
  <si>
    <t>(70.03, -35.42, -8.51)</t>
  </si>
  <si>
    <t>(69.46, -35.29, -8.51)</t>
  </si>
  <si>
    <t>(67.97, -35.26, -8.51)</t>
  </si>
  <si>
    <t>(66.68, -34.76, -9.25)</t>
  </si>
  <si>
    <t>(73.80, -30.36, -8.88)</t>
  </si>
  <si>
    <t>(72.62, -30.52, -8.88)</t>
  </si>
  <si>
    <t>(72.03, -31.41, -8.88)</t>
  </si>
  <si>
    <t>(70.71, -32.40, -8.51)</t>
  </si>
  <si>
    <t>(70.29, -32.55, -8.51)</t>
  </si>
  <si>
    <t>(71.61, -33.31, -6.29)</t>
  </si>
  <si>
    <t>(71.67, -32.83, -6.66)</t>
  </si>
  <si>
    <t>(74.65, -32.65, -7.03)</t>
  </si>
  <si>
    <t>(73.49, -32.64, -6.66)</t>
  </si>
  <si>
    <t>(70.70, -32.90, -7.03)</t>
  </si>
  <si>
    <t>(69.79, -32.84, -8.51)</t>
  </si>
  <si>
    <t>(65.08, -36.86, -8.88)</t>
  </si>
  <si>
    <t>(65.51, -39.28, -8.51)</t>
  </si>
  <si>
    <t>(61.98, -42.91, -9.25)</t>
  </si>
  <si>
    <t>(61.64, -43.03, -10.36)</t>
  </si>
  <si>
    <t>(62.39, -42.76, -10.36)</t>
  </si>
  <si>
    <t>(59.82, -43.65, -10.73)</t>
  </si>
  <si>
    <t>(59.24, -43.40, -10.36)</t>
  </si>
  <si>
    <t>(45.94, -33.27, -5.92)</t>
  </si>
  <si>
    <t>(48.64, -34.32, -5.92)</t>
  </si>
  <si>
    <t>(49.08, -34.43, -5.92)</t>
  </si>
  <si>
    <t>(49.69, -34.75, -6.66)</t>
  </si>
  <si>
    <t>(51.06, -35.42, -8.51)</t>
  </si>
  <si>
    <t>(49.00, -31.54, -6.66)</t>
  </si>
  <si>
    <t>(51.32, -35.80, -8.51)</t>
  </si>
  <si>
    <t>(52.27, -37.33, -9.25)</t>
  </si>
  <si>
    <t>(51.75, -36.20, -10.36)</t>
  </si>
  <si>
    <t>(51.69, -36.23, -9.99)</t>
  </si>
  <si>
    <t>(52.07, -36.11, -9.99)</t>
  </si>
  <si>
    <t>(46.03, -30.41, -11.10)</t>
  </si>
  <si>
    <t>(47.39, -31.14, -10.73)</t>
  </si>
  <si>
    <t>(47.32, -29.58, -10.36)</t>
  </si>
  <si>
    <t>(47.55, -29.87, -10.36)</t>
  </si>
  <si>
    <t>(45.42, -30.82, -8.14)</t>
  </si>
  <si>
    <t>(45.21, -31.35, -8.14)</t>
  </si>
  <si>
    <t>(45.99, -32.59, -10.36)</t>
  </si>
  <si>
    <t>(49.35, -31.79, -11.10)</t>
  </si>
  <si>
    <t>(46.67, -25.63, -12.95)</t>
  </si>
  <si>
    <t>(46.03, -28.09, -12.21)</t>
  </si>
  <si>
    <t>(45.69, -27.23, -12.21)</t>
  </si>
  <si>
    <t>(43.78, -27.98, -12.58)</t>
  </si>
  <si>
    <t>(47.41, -25.49, -12.95)</t>
  </si>
  <si>
    <t>(47.76, -25.46, -12.95)</t>
  </si>
  <si>
    <t>(49.02, -26.16, -12.58)</t>
  </si>
  <si>
    <t>(46.11, -19.66, -14.06)</t>
  </si>
  <si>
    <t>(46.52, -21.28, -13.69)</t>
  </si>
  <si>
    <t>(45.92, -22.89, -13.32)</t>
  </si>
  <si>
    <t>(47.20, -21.29, -13.32)</t>
  </si>
  <si>
    <t>(48.21, -21.09, -13.32)</t>
  </si>
  <si>
    <t>(48.42, -21.79, -12.95)</t>
  </si>
  <si>
    <t>(48.21, -22.15, -12.95)</t>
  </si>
  <si>
    <t>(49.22, -26.59, -12.58)</t>
  </si>
  <si>
    <t>(49.23, -30.15, -11.84)</t>
  </si>
  <si>
    <t>(50.81, -33.36, -11.10)</t>
  </si>
  <si>
    <t>(51.37, -33.47, -9.99)</t>
  </si>
  <si>
    <t>(51.65, -33.59, -9.99)</t>
  </si>
  <si>
    <t>(51.49, -33.94, -9.99)</t>
  </si>
  <si>
    <t>(51.63, -34.52, -9.99)</t>
  </si>
  <si>
    <t>(44.16, -41.87, -12.95)</t>
  </si>
  <si>
    <t>(42.79, -41.62, -12.95)</t>
  </si>
  <si>
    <t>(48.66, -41.42, -10.36)</t>
  </si>
  <si>
    <t>(49.23, -41.87, -10.36)</t>
  </si>
  <si>
    <t>(51.03, -42.40, -10.36)</t>
  </si>
  <si>
    <t>(50.15, -42.60, -10.73)</t>
  </si>
  <si>
    <t>(49.69, -42.63, -10.73)</t>
  </si>
  <si>
    <t>(49.46, -42.75, -10.36)</t>
  </si>
  <si>
    <t>(48.27, -42.92, -11.10)</t>
  </si>
  <si>
    <t>(49.61, -41.32, -10.36)</t>
  </si>
  <si>
    <t>(49.94, -40.95, -10.36)</t>
  </si>
  <si>
    <t>(52.25, -39.50, -9.25)</t>
  </si>
  <si>
    <t>(52.09, -38.97, -9.25)</t>
  </si>
  <si>
    <t>(55.22, -39.72, -9.25)</t>
  </si>
  <si>
    <t>(53.98, -36.29, -5.18)</t>
  </si>
  <si>
    <t>(54.74, -38.36, -6.66)</t>
  </si>
  <si>
    <t>(56.84, -37.63, -5.92)</t>
  </si>
  <si>
    <t>(55.19, -38.14, -6.29)</t>
  </si>
  <si>
    <t>(55.73, -39.62, -8.88)</t>
  </si>
  <si>
    <t>(57.28, -40.76, -8.88)</t>
  </si>
  <si>
    <t>(58.18, -42.25, -9.62)</t>
  </si>
  <si>
    <t>(60.35, -37.89, -4.07)</t>
  </si>
  <si>
    <t>(60.43, -38.46, -4.07)</t>
  </si>
  <si>
    <t>(59.28, -41.84, -6.66)</t>
  </si>
  <si>
    <t>(57.17, -45.46, -3.33)</t>
  </si>
  <si>
    <t>(59.54, -42.56, -7.77)</t>
  </si>
  <si>
    <t>(64.50, -31.56, -12.95)</t>
  </si>
  <si>
    <t>(63.15, -32.49, -12.21)</t>
  </si>
  <si>
    <t>(62.54, -33.35, -11.47)</t>
  </si>
  <si>
    <t>(62.14, -33.74, -11.10)</t>
  </si>
  <si>
    <t>(61.56, -34.77, -11.10)</t>
  </si>
  <si>
    <t>(61.10, -35.17, -11.10)</t>
  </si>
  <si>
    <t>(60.88, -35.08, -11.10)</t>
  </si>
  <si>
    <t>(60.33, -37.96, -10.73)</t>
  </si>
  <si>
    <t>(60.38, -36.16, -7.40)</t>
  </si>
  <si>
    <t>(59.59, -38.92, -11.10)</t>
  </si>
  <si>
    <t>(48.15, -36.49, -13.32)</t>
  </si>
  <si>
    <t>(50.45, -36.66, -13.32)</t>
  </si>
  <si>
    <t>(51.76, -36.40, -12.95)</t>
  </si>
  <si>
    <t>(58.06, -38.85, -11.84)</t>
  </si>
  <si>
    <t>(59.17, -46.65, -14.06)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</si>
</sst>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11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19.4591836734694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1</v>
      </c>
      <c r="C2" s="1" t="n">
        <v>3.1</v>
      </c>
      <c r="D2" s="1" t="n">
        <v>1.1351</v>
      </c>
      <c r="E2" s="1" t="n">
        <v>0.106754</v>
      </c>
      <c r="F2" s="1" t="n">
        <v>0.000290381</v>
      </c>
      <c r="G2" s="1" t="s">
        <v>27</v>
      </c>
      <c r="H2" s="1"/>
      <c r="I2" s="1" t="n">
        <v>328.2</v>
      </c>
      <c r="J2" s="1" t="n">
        <v>-7.7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68</v>
      </c>
      <c r="Q2" s="1" t="s">
        <v>29</v>
      </c>
      <c r="R2" s="1" t="n">
        <f aca="false">COUNTIF(J$2:J$1500,"&lt;-75")</f>
        <v>4</v>
      </c>
      <c r="S2" s="2" t="s">
        <v>30</v>
      </c>
      <c r="T2" s="1" t="n">
        <f aca="false">COUNTIFS(J$2:J$1500, "&gt;75",I$2:I$1500, "&lt;180")</f>
        <v>1</v>
      </c>
      <c r="U2" s="1" t="n">
        <v>0</v>
      </c>
      <c r="V2" s="0" t="n">
        <f aca="false">SUMIFS(C$2:C$1500,C$2:C$1500, "&gt;=0",I$2:I$1500, "&lt;15")</f>
        <v>153.5</v>
      </c>
      <c r="W2" s="2" t="s">
        <v>31</v>
      </c>
      <c r="X2" s="0" t="n">
        <f aca="false">SUMIFS(C$2:C$1500,C$2:C$1500, "&gt;=0",J$2:J$1500, "&lt;-75",I$2:I$1500,"&lt;180")</f>
        <v>8.9</v>
      </c>
      <c r="Z2" s="0" t="n">
        <f aca="false">I2+0</f>
        <v>328.2</v>
      </c>
      <c r="AB2" s="0" t="n">
        <f aca="false">IF(Z2&gt;360,Z2-360,Z2+0)</f>
        <v>328.2</v>
      </c>
      <c r="AD2" s="1" t="n">
        <v>0</v>
      </c>
      <c r="AE2" s="1" t="n">
        <f aca="false">COUNTIF(AB$2:AB$1500,"&lt;15")</f>
        <v>68</v>
      </c>
      <c r="AF2" s="1"/>
      <c r="AG2" s="1" t="n">
        <v>0</v>
      </c>
      <c r="AH2" s="0" t="n">
        <f aca="false">SUMIFS(C$2:C$1500,C$2:C$1500, "&gt;=0",AB$2:AB$1500, "&lt;15")</f>
        <v>153.5</v>
      </c>
      <c r="AJ2" s="1" t="s">
        <v>29</v>
      </c>
      <c r="AK2" s="0" t="n">
        <f aca="false">SUMIF($J$2:$J$2000,"&lt;-75",$C$2:$C$2000)</f>
        <v>10.2</v>
      </c>
      <c r="AM2" s="1" t="s">
        <v>32</v>
      </c>
      <c r="AN2" s="0" t="n">
        <f aca="false">AE2+AE13+AE14+AE25</f>
        <v>240</v>
      </c>
      <c r="AO2" s="1" t="s">
        <v>32</v>
      </c>
      <c r="AP2" s="0" t="n">
        <f aca="false">R7+R8+R9</f>
        <v>582</v>
      </c>
      <c r="AR2" s="1" t="s">
        <v>32</v>
      </c>
      <c r="AS2" s="0" t="n">
        <f aca="false">AH2+AH13+AH14+AH25</f>
        <v>558</v>
      </c>
      <c r="AU2" s="0" t="n">
        <f aca="false">AK7+AK8+AK9</f>
        <v>1220.5</v>
      </c>
    </row>
    <row r="3" customFormat="false" ht="15.8" hidden="false" customHeight="false" outlineLevel="0" collapsed="false">
      <c r="A3" s="1" t="n">
        <v>2</v>
      </c>
      <c r="B3" s="1" t="n">
        <v>1</v>
      </c>
      <c r="C3" s="1" t="n">
        <v>2.1</v>
      </c>
      <c r="D3" s="1" t="n">
        <v>1.0564</v>
      </c>
      <c r="E3" s="1" t="n">
        <v>0.0729708</v>
      </c>
      <c r="F3" s="1" t="n">
        <v>0.000198487</v>
      </c>
      <c r="G3" s="1" t="s">
        <v>27</v>
      </c>
      <c r="H3" s="1"/>
      <c r="I3" s="1" t="n">
        <v>258.5</v>
      </c>
      <c r="J3" s="1" t="n">
        <v>0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52</v>
      </c>
      <c r="Q3" s="1" t="s">
        <v>34</v>
      </c>
      <c r="R3" s="1" t="n">
        <f aca="false">COUNTIF(J$2:J$1500,"&lt;-60")-R2</f>
        <v>17</v>
      </c>
      <c r="S3" s="2" t="s">
        <v>35</v>
      </c>
      <c r="T3" s="1" t="n">
        <f aca="false">COUNTIFS(J$2:J$1500, "&gt;60",I$2:I$1500, "&lt;180")-T2</f>
        <v>14</v>
      </c>
      <c r="U3" s="1" t="n">
        <v>15</v>
      </c>
      <c r="V3" s="0" t="n">
        <f aca="false">SUMIFS(C$2:C$1500,C$2:C$1500, "&gt;=0",I$2:I$1500, "&lt;30",I$2:I$1500,"&gt;=15")</f>
        <v>121.1</v>
      </c>
      <c r="W3" s="2" t="s">
        <v>36</v>
      </c>
      <c r="X3" s="0" t="n">
        <f aca="false">SUMIFS(C$2:C$1500,C$2:C$1500, "&gt;=0",J$2:J$1500, "&lt;-60",J$2:J$1500,"&gt;=-75",I$2:I$1500,"&lt;180")</f>
        <v>12.5</v>
      </c>
      <c r="Z3" s="0" t="n">
        <f aca="false">I3+0</f>
        <v>258.5</v>
      </c>
      <c r="AB3" s="0" t="n">
        <f aca="false">IF(Z3&gt;360,Z3-360,Z3+0)</f>
        <v>258.5</v>
      </c>
      <c r="AD3" s="1" t="n">
        <v>15</v>
      </c>
      <c r="AE3" s="1" t="n">
        <f aca="false">COUNTIF(AB$2:AB$1500,"&lt;30")-AE2</f>
        <v>52</v>
      </c>
      <c r="AF3" s="1"/>
      <c r="AG3" s="1" t="n">
        <v>15</v>
      </c>
      <c r="AH3" s="0" t="n">
        <f aca="false">SUMIFS(C$2:C$1500,C$2:C$1500, "&gt;=0",AB$2:AB$1500, "&lt;30",AB$2:AB$1500,"&gt;=15")</f>
        <v>121.1</v>
      </c>
      <c r="AJ3" s="1" t="s">
        <v>34</v>
      </c>
      <c r="AK3" s="0" t="n">
        <f aca="false">SUMIF($J$2:$J$2000,"&lt;-60",$C$2:$C$2000)-$AK$2</f>
        <v>40.2</v>
      </c>
      <c r="AM3" s="1" t="s">
        <v>37</v>
      </c>
      <c r="AN3" s="0" t="n">
        <f aca="false">AE3+AE12+AE15+AE24</f>
        <v>193</v>
      </c>
      <c r="AO3" s="1" t="s">
        <v>37</v>
      </c>
      <c r="AP3" s="0" t="n">
        <f aca="false">R10+R6</f>
        <v>267</v>
      </c>
      <c r="AR3" s="1" t="s">
        <v>37</v>
      </c>
      <c r="AS3" s="0" t="n">
        <f aca="false">AH3+AH12+AH15+AH24</f>
        <v>480.5</v>
      </c>
      <c r="AU3" s="0" t="n">
        <f aca="false">AK10+AK6</f>
        <v>651.600000000003</v>
      </c>
    </row>
    <row r="4" customFormat="false" ht="15.8" hidden="false" customHeight="false" outlineLevel="0" collapsed="false">
      <c r="A4" s="1" t="n">
        <v>3</v>
      </c>
      <c r="B4" s="1" t="n">
        <v>2</v>
      </c>
      <c r="C4" s="1" t="n">
        <v>3.2</v>
      </c>
      <c r="D4" s="1" t="n">
        <v>1.2973</v>
      </c>
      <c r="E4" s="1" t="n">
        <v>0.107717</v>
      </c>
      <c r="F4" s="1" t="n">
        <v>0.000292999</v>
      </c>
      <c r="G4" s="1" t="s">
        <v>27</v>
      </c>
      <c r="H4" s="1" t="n">
        <v>69.2</v>
      </c>
      <c r="I4" s="1" t="n">
        <v>286.4</v>
      </c>
      <c r="J4" s="1" t="n">
        <v>-17.7</v>
      </c>
      <c r="K4" s="1"/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65</v>
      </c>
      <c r="Q4" s="4" t="s">
        <v>39</v>
      </c>
      <c r="R4" s="1" t="n">
        <f aca="false">COUNTIF(J$2:J$1500,"&lt;-45")-SUM(R2:R3)</f>
        <v>41</v>
      </c>
      <c r="S4" s="2" t="s">
        <v>40</v>
      </c>
      <c r="T4" s="1" t="n">
        <f aca="false">COUNTIFS(J$2:J$1500, "&gt;45",I$2:I$1500, "&lt;180")-SUM(T2:T3)</f>
        <v>24</v>
      </c>
      <c r="U4" s="1" t="n">
        <v>30</v>
      </c>
      <c r="V4" s="0" t="n">
        <f aca="false">SUMIFS(C$2:C$1500,C$2:C$1500, "&gt;=0",I$2:I$1500, "&lt;45",I$2:I$1500,"&gt;=30")</f>
        <v>142.3</v>
      </c>
      <c r="W4" s="2" t="s">
        <v>41</v>
      </c>
      <c r="X4" s="0" t="n">
        <f aca="false">SUMIFS(C$2:C$1500,C$2:C$1500, "&gt;=0",J$2:J$1500, "&lt;-45",J$2:J$1500,"&gt;=-60",I$2:I$1500,"&lt;180")</f>
        <v>37</v>
      </c>
      <c r="Z4" s="0" t="n">
        <f aca="false">I4+0</f>
        <v>286.4</v>
      </c>
      <c r="AB4" s="0" t="n">
        <f aca="false">IF(Z4&gt;360,Z4-360,Z4+0)</f>
        <v>286.4</v>
      </c>
      <c r="AD4" s="1" t="n">
        <v>30</v>
      </c>
      <c r="AE4" s="1" t="n">
        <f aca="false">COUNTIF(AB$2:AB$1500,"&lt;45")-SUM(AE2:AE3)</f>
        <v>65</v>
      </c>
      <c r="AF4" s="1"/>
      <c r="AG4" s="1" t="n">
        <v>30</v>
      </c>
      <c r="AH4" s="0" t="n">
        <f aca="false">SUMIFS(C$2:C$1500,C$2:C$1500, "&gt;=0",AB$2:AB$1500, "&lt;45",AB$2:AB$1500,"&gt;=30")</f>
        <v>142.3</v>
      </c>
      <c r="AJ4" s="4" t="s">
        <v>39</v>
      </c>
      <c r="AK4" s="0" t="n">
        <f aca="false">SUMIF($J$2:$J$2000,"&lt;-45",$C$2:$C$2000)-SUM($AK$2:$AK$3)</f>
        <v>80</v>
      </c>
      <c r="AM4" s="1" t="s">
        <v>42</v>
      </c>
      <c r="AN4" s="0" t="n">
        <f aca="false">AE4+AE11+AE16+AE23</f>
        <v>182</v>
      </c>
      <c r="AO4" s="1" t="s">
        <v>42</v>
      </c>
      <c r="AP4" s="0" t="n">
        <f aca="false">R11+R5</f>
        <v>170</v>
      </c>
      <c r="AR4" s="1" t="s">
        <v>42</v>
      </c>
      <c r="AS4" s="0" t="n">
        <f aca="false">AH4+AH11+AH16+AH23</f>
        <v>400.6</v>
      </c>
      <c r="AU4" s="0" t="n">
        <f aca="false">AK11+AK5</f>
        <v>349.999999999998</v>
      </c>
    </row>
    <row r="5" customFormat="false" ht="15.8" hidden="false" customHeight="false" outlineLevel="0" collapsed="false">
      <c r="A5" s="1" t="n">
        <v>3</v>
      </c>
      <c r="B5" s="1" t="n">
        <v>5</v>
      </c>
      <c r="C5" s="1" t="n">
        <v>1.1</v>
      </c>
      <c r="D5" s="1" t="n">
        <v>1.1476</v>
      </c>
      <c r="E5" s="1" t="n">
        <v>0.0373476</v>
      </c>
      <c r="F5" s="1" t="n">
        <v>0.000101589</v>
      </c>
      <c r="G5" s="1" t="s">
        <v>27</v>
      </c>
      <c r="H5" s="1" t="n">
        <v>28.4</v>
      </c>
      <c r="I5" s="1" t="n">
        <v>150.3</v>
      </c>
      <c r="J5" s="1" t="n">
        <v>22.9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62</v>
      </c>
      <c r="Q5" s="1" t="s">
        <v>44</v>
      </c>
      <c r="R5" s="1" t="n">
        <f aca="false">COUNTIF(J$2:J$1500,"&lt;-30")-SUM(R2:R4)</f>
        <v>83</v>
      </c>
      <c r="S5" s="2" t="s">
        <v>45</v>
      </c>
      <c r="T5" s="1" t="n">
        <f aca="false">COUNTIFS(J$2:J$1500, "&gt;30",I$2:I$1500, "&lt;180")-SUM(T2:T4)</f>
        <v>46</v>
      </c>
      <c r="U5" s="1" t="n">
        <v>45</v>
      </c>
      <c r="V5" s="0" t="n">
        <f aca="false">SUMIFS(C$2:C$1500,C$2:C$1500, "&gt;=0",I$2:I$1500, "&lt;60",I$2:I$1500,"&gt;=45")</f>
        <v>116.7</v>
      </c>
      <c r="W5" s="2" t="s">
        <v>46</v>
      </c>
      <c r="X5" s="0" t="n">
        <f aca="false">SUMIFS(C$2:C$1500,C$2:C$1500, "&gt;=0",J$2:J$1500, "&lt;-30",J$2:J$1500,"&gt;=-45",I$2:I$1500,"&lt;180")</f>
        <v>92.8</v>
      </c>
      <c r="Z5" s="0" t="n">
        <f aca="false">I5+0</f>
        <v>150.3</v>
      </c>
      <c r="AB5" s="0" t="n">
        <f aca="false">IF(Z5&gt;360,Z5-360,Z5+0)</f>
        <v>150.3</v>
      </c>
      <c r="AD5" s="1" t="n">
        <v>45</v>
      </c>
      <c r="AE5" s="1" t="n">
        <f aca="false">COUNTIF(AB$2:AB$1500,"&lt;60")-SUM(AE2:AE4)</f>
        <v>62</v>
      </c>
      <c r="AF5" s="1"/>
      <c r="AG5" s="1" t="n">
        <v>45</v>
      </c>
      <c r="AH5" s="0" t="n">
        <f aca="false">SUMIFS(C$2:C$1500,C$2:C$1500, "&gt;=0",AB$2:AB$1500, "&lt;60",AB$2:AB$1500,"&gt;=45")</f>
        <v>116.7</v>
      </c>
      <c r="AJ5" s="1" t="s">
        <v>44</v>
      </c>
      <c r="AK5" s="0" t="n">
        <f aca="false">SUMIF($J$2:$J$2000,"&lt;-30",$C$2:$C$2000)-SUM($AK$2:$AK$4)</f>
        <v>172.2</v>
      </c>
      <c r="AM5" s="1" t="s">
        <v>47</v>
      </c>
      <c r="AN5" s="0" t="n">
        <f aca="false">AE5+AE10+AE17+AE22</f>
        <v>188</v>
      </c>
      <c r="AO5" s="1" t="s">
        <v>47</v>
      </c>
      <c r="AP5" s="0" t="n">
        <f aca="false">R12+R4</f>
        <v>87</v>
      </c>
      <c r="AR5" s="1" t="s">
        <v>47</v>
      </c>
      <c r="AS5" s="0" t="n">
        <f aca="false">AH5+AH10+AH17+AH22</f>
        <v>361.1</v>
      </c>
      <c r="AU5" s="0" t="n">
        <f aca="false">AK12+AK4</f>
        <v>171.799999999997</v>
      </c>
    </row>
    <row r="6" customFormat="false" ht="15.8" hidden="false" customHeight="false" outlineLevel="0" collapsed="false">
      <c r="A6" s="1" t="n">
        <v>3</v>
      </c>
      <c r="B6" s="1" t="n">
        <v>5</v>
      </c>
      <c r="C6" s="1" t="n">
        <v>0.7</v>
      </c>
      <c r="D6" s="1" t="n">
        <v>1.0489</v>
      </c>
      <c r="E6" s="1" t="n">
        <v>0.024703</v>
      </c>
      <c r="F6" s="1" t="n">
        <v>6.71944E-005</v>
      </c>
      <c r="G6" s="1" t="s">
        <v>27</v>
      </c>
      <c r="H6" s="1" t="n">
        <v>86.8</v>
      </c>
      <c r="I6" s="1" t="n">
        <v>254.4</v>
      </c>
      <c r="J6" s="1" t="n">
        <v>0</v>
      </c>
      <c r="K6" s="1"/>
      <c r="L6" s="1" t="n">
        <v>0</v>
      </c>
      <c r="M6" s="1" t="n">
        <v>0</v>
      </c>
      <c r="N6" s="1" t="s">
        <v>43</v>
      </c>
      <c r="O6" s="1" t="n">
        <v>60</v>
      </c>
      <c r="P6" s="1" t="n">
        <f aca="false">COUNTIF(I$2:I$1500,"&lt;75")-SUM(P2:P5)</f>
        <v>43</v>
      </c>
      <c r="Q6" s="1" t="s">
        <v>48</v>
      </c>
      <c r="R6" s="1" t="n">
        <f aca="false">COUNTIF(J$2:J$1500,"&lt;-15")-SUM(R2:R5)</f>
        <v>144</v>
      </c>
      <c r="S6" s="2" t="s">
        <v>49</v>
      </c>
      <c r="T6" s="1" t="n">
        <f aca="false">COUNTIFS(J$2:J$1500, "&gt;15",I$2:I$1500, "&lt;180")-SUM(T2:T5)</f>
        <v>65</v>
      </c>
      <c r="U6" s="1" t="n">
        <v>60</v>
      </c>
      <c r="V6" s="0" t="n">
        <f aca="false">SUMIFS(C$2:C$1500,C$2:C$1500, "&gt;=0",I$2:I$1500, "&lt;75",I$2:I$1500,"&gt;=60")</f>
        <v>87.3</v>
      </c>
      <c r="W6" s="2" t="s">
        <v>50</v>
      </c>
      <c r="X6" s="0" t="n">
        <f aca="false">SUMIFS(C$2:C$1500,C$2:C$1500, "&gt;=0",J$2:J$1500, "&lt;-15",J$2:J$1500,"&gt;=-30",I$2:I$1500,"&lt;180")</f>
        <v>175.9</v>
      </c>
      <c r="Z6" s="0" t="n">
        <f aca="false">I6+0</f>
        <v>254.4</v>
      </c>
      <c r="AB6" s="0" t="n">
        <f aca="false">IF(Z6&gt;360,Z6-360,Z6+0)</f>
        <v>254.4</v>
      </c>
      <c r="AD6" s="1" t="n">
        <v>60</v>
      </c>
      <c r="AE6" s="1" t="n">
        <f aca="false">COUNTIF(AB$2:AB$1500,"&lt;75")-SUM(AE2:AE5)</f>
        <v>43</v>
      </c>
      <c r="AF6" s="1"/>
      <c r="AG6" s="1" t="n">
        <v>60</v>
      </c>
      <c r="AH6" s="0" t="n">
        <f aca="false">SUMIFS(C$2:C$1500,C$2:C$1500, "&gt;=0",AB$2:AB$1500, "&lt;75",AB$2:AB$1500,"&gt;=60")</f>
        <v>87.3</v>
      </c>
      <c r="AJ6" s="1" t="s">
        <v>48</v>
      </c>
      <c r="AK6" s="0" t="n">
        <f aca="false">SUMIF($J$2:$J$2000,"&lt;-15",$C$2:$C$2000)-SUM($AK$2:$AK$5)</f>
        <v>371.9</v>
      </c>
      <c r="AM6" s="1" t="s">
        <v>51</v>
      </c>
      <c r="AN6" s="0" t="n">
        <f aca="false">AE6+AE9+AE18+AE21</f>
        <v>160</v>
      </c>
      <c r="AO6" s="1" t="s">
        <v>51</v>
      </c>
      <c r="AP6" s="0" t="n">
        <f aca="false">R13+R3</f>
        <v>42</v>
      </c>
      <c r="AR6" s="1" t="s">
        <v>51</v>
      </c>
      <c r="AS6" s="0" t="n">
        <f aca="false">AH6+AH9+AH18+AH21</f>
        <v>329.4</v>
      </c>
      <c r="AU6" s="0" t="n">
        <f aca="false">AK13+AK3</f>
        <v>106.1</v>
      </c>
    </row>
    <row r="7" customFormat="false" ht="15.8" hidden="false" customHeight="false" outlineLevel="0" collapsed="false">
      <c r="A7" s="1" t="n">
        <v>3</v>
      </c>
      <c r="B7" s="1" t="n">
        <v>4</v>
      </c>
      <c r="C7" s="1" t="n">
        <v>1.6</v>
      </c>
      <c r="D7" s="1" t="n">
        <v>1.0202</v>
      </c>
      <c r="E7" s="1" t="n">
        <v>0.0532131</v>
      </c>
      <c r="F7" s="1" t="n">
        <v>0.000144744</v>
      </c>
      <c r="G7" s="1" t="s">
        <v>52</v>
      </c>
      <c r="H7" s="1" t="n">
        <v>38.4</v>
      </c>
      <c r="I7" s="1" t="n">
        <v>167.6</v>
      </c>
      <c r="J7" s="1" t="n">
        <v>0</v>
      </c>
      <c r="K7" s="1" t="n">
        <v>86.8</v>
      </c>
      <c r="L7" s="1" t="n">
        <v>0</v>
      </c>
      <c r="M7" s="1" t="n">
        <v>0</v>
      </c>
      <c r="N7" s="1" t="s">
        <v>53</v>
      </c>
      <c r="O7" s="1" t="n">
        <v>75</v>
      </c>
      <c r="P7" s="1" t="n">
        <f aca="false">COUNTIF(I$2:I$1500,"&lt;90")-SUM(P2:P6)</f>
        <v>59</v>
      </c>
      <c r="Q7" s="1" t="s">
        <v>54</v>
      </c>
      <c r="R7" s="1" t="n">
        <f aca="false">COUNTIF(J$2:J$1500,"&lt;0")-SUM(R2:R6)</f>
        <v>96</v>
      </c>
      <c r="S7" s="2" t="s">
        <v>55</v>
      </c>
      <c r="T7" s="1" t="n">
        <f aca="false">COUNTIFS(J$2:J$1500, "&gt;0",I$2:I$1500, "&lt;180")-SUM(T2:T6)</f>
        <v>46</v>
      </c>
      <c r="U7" s="1" t="n">
        <v>75</v>
      </c>
      <c r="V7" s="0" t="n">
        <f aca="false">SUMIFS(C$2:C$1500,C$2:C$1500, "&gt;=0",I$2:I$1500, "&lt;90",I$2:I$1500,"&gt;=75")</f>
        <v>141.2</v>
      </c>
      <c r="W7" s="2" t="s">
        <v>56</v>
      </c>
      <c r="X7" s="0" t="n">
        <f aca="false">SUMIFS(C$2:C$1500,C$2:C$1500, "&gt;=0",J$2:J$1500, "&lt;0",J$2:J$1500,"&gt;=-15",I$2:I$1500,"&lt;180")</f>
        <v>231</v>
      </c>
      <c r="Z7" s="0" t="n">
        <f aca="false">I7+0</f>
        <v>167.6</v>
      </c>
      <c r="AB7" s="0" t="n">
        <f aca="false">IF(Z7&gt;360,Z7-360,Z7+0)</f>
        <v>167.6</v>
      </c>
      <c r="AD7" s="1" t="n">
        <v>75</v>
      </c>
      <c r="AE7" s="1" t="n">
        <f aca="false">COUNTIF(AB$2:AB$1500,"&lt;90")-SUM(AE2:AE6)</f>
        <v>59</v>
      </c>
      <c r="AF7" s="1"/>
      <c r="AG7" s="1" t="n">
        <v>75</v>
      </c>
      <c r="AH7" s="0" t="n">
        <f aca="false">SUMIFS(C$2:C$1500,C$2:C$1500, "&gt;=0",AB$2:AB$1500, "&lt;90",AB$2:AB$1500,"&gt;=75")</f>
        <v>141.2</v>
      </c>
      <c r="AJ7" s="1" t="s">
        <v>54</v>
      </c>
      <c r="AK7" s="0" t="n">
        <f aca="false">SUMIF($J$2:$J$2000,"&lt;0",$C$2:$C$2000)-SUM($AK$2:$AK$6)</f>
        <v>366.5</v>
      </c>
      <c r="AM7" s="1" t="s">
        <v>57</v>
      </c>
      <c r="AN7" s="0" t="n">
        <f aca="false">AE7+AE8+AE19+AE20</f>
        <v>190</v>
      </c>
      <c r="AO7" s="1" t="s">
        <v>57</v>
      </c>
      <c r="AP7" s="0" t="n">
        <f aca="false">R14+R2</f>
        <v>5</v>
      </c>
      <c r="AR7" s="1" t="s">
        <v>57</v>
      </c>
      <c r="AS7" s="0" t="n">
        <f aca="false">AH7+AH8+AH19+AH20</f>
        <v>381.3</v>
      </c>
      <c r="AU7" s="0" t="n">
        <f aca="false">AK14+AK2</f>
        <v>10.9000000000003</v>
      </c>
    </row>
    <row r="8" customFormat="false" ht="15.8" hidden="false" customHeight="false" outlineLevel="0" collapsed="false">
      <c r="A8" s="1" t="n">
        <v>3</v>
      </c>
      <c r="B8" s="1" t="n">
        <v>4</v>
      </c>
      <c r="C8" s="1" t="n">
        <v>1</v>
      </c>
      <c r="D8" s="1" t="n">
        <v>1.083</v>
      </c>
      <c r="E8" s="1" t="n">
        <v>0.0355847</v>
      </c>
      <c r="F8" s="1" t="n">
        <v>9.67934E-005</v>
      </c>
      <c r="G8" s="1" t="s">
        <v>27</v>
      </c>
      <c r="H8" s="1" t="n">
        <v>104.4</v>
      </c>
      <c r="I8" s="1" t="n">
        <v>246.9</v>
      </c>
      <c r="J8" s="1" t="n">
        <v>-22.6</v>
      </c>
      <c r="K8" s="1"/>
      <c r="L8" s="1" t="n">
        <v>0</v>
      </c>
      <c r="M8" s="1" t="n">
        <v>0</v>
      </c>
      <c r="N8" s="1" t="s">
        <v>53</v>
      </c>
      <c r="O8" s="1" t="n">
        <v>90</v>
      </c>
      <c r="P8" s="1" t="n">
        <f aca="false">COUNTIF(I$2:I$1500,"&lt;105")-SUM(P2:P7)</f>
        <v>55</v>
      </c>
      <c r="Q8" s="0" t="s">
        <v>58</v>
      </c>
      <c r="R8" s="1" t="n">
        <f aca="false">COUNTIF(J$2:J$1500,"=0")</f>
        <v>397</v>
      </c>
      <c r="S8" s="2" t="s">
        <v>59</v>
      </c>
      <c r="T8" s="1" t="n">
        <f aca="false">COUNTIFS(J$2:J$1500, "&gt;-15",I$2:I$1500, "&lt;180")-SUM(T2:T7)</f>
        <v>303</v>
      </c>
      <c r="U8" s="1" t="n">
        <v>90</v>
      </c>
      <c r="V8" s="0" t="n">
        <f aca="false">SUMIFS(C$2:C$1500,C$2:C$1500, "&gt;=0",I$2:I$1500, "&lt;105",I$2:I$1500,"&gt;=90")</f>
        <v>106.5</v>
      </c>
      <c r="W8" s="2" t="s">
        <v>60</v>
      </c>
      <c r="X8" s="0" t="n">
        <f aca="false">SUMIFS(C$2:C$1500,C$2:C$1500, "&gt;=0",J$2:J$1500, "&lt;15",J$2:J$1500,"&gt;=0",I$2:I$1500,"&lt;180")</f>
        <v>492.8</v>
      </c>
      <c r="Z8" s="0" t="n">
        <f aca="false">I8+0</f>
        <v>246.9</v>
      </c>
      <c r="AB8" s="0" t="n">
        <f aca="false">IF(Z8&gt;360,Z8-360,Z8+0)</f>
        <v>246.9</v>
      </c>
      <c r="AD8" s="1" t="n">
        <v>90</v>
      </c>
      <c r="AE8" s="1" t="n">
        <f aca="false">COUNTIF(AB$2:AB$1500,"&lt;105")-SUM(AE2:AE7)</f>
        <v>55</v>
      </c>
      <c r="AF8" s="1"/>
      <c r="AG8" s="1" t="n">
        <v>90</v>
      </c>
      <c r="AH8" s="0" t="n">
        <f aca="false">SUMIFS(C$2:C$1500,C$2:C$1500, "&gt;=0",AB$2:AB$1500, "&lt;105",AB$2:AB$1500,"&gt;=90")</f>
        <v>106.5</v>
      </c>
      <c r="AJ8" s="0" t="s">
        <v>58</v>
      </c>
      <c r="AK8" s="0" t="n">
        <f aca="false">SUMIF($J$2:$J$2000,"=0",$C$2:$C$2000)</f>
        <v>514</v>
      </c>
      <c r="AM8" s="1"/>
      <c r="AR8" s="1"/>
    </row>
    <row r="9" customFormat="false" ht="15.8" hidden="false" customHeight="false" outlineLevel="0" collapsed="false">
      <c r="A9" s="1" t="n">
        <v>3</v>
      </c>
      <c r="B9" s="1" t="n">
        <v>3</v>
      </c>
      <c r="C9" s="1" t="n">
        <v>1.4</v>
      </c>
      <c r="D9" s="1" t="n">
        <v>1.1566</v>
      </c>
      <c r="E9" s="1" t="n">
        <v>0.0489665</v>
      </c>
      <c r="F9" s="1" t="n">
        <v>0.000133193</v>
      </c>
      <c r="G9" s="1" t="s">
        <v>52</v>
      </c>
      <c r="H9" s="1" t="n">
        <v>50.3</v>
      </c>
      <c r="I9" s="1" t="n">
        <v>155.4</v>
      </c>
      <c r="J9" s="1" t="n">
        <v>36.7</v>
      </c>
      <c r="K9" s="1" t="n">
        <v>104.4</v>
      </c>
      <c r="L9" s="1" t="n">
        <v>0</v>
      </c>
      <c r="M9" s="1" t="n">
        <v>0</v>
      </c>
      <c r="N9" s="1" t="s">
        <v>61</v>
      </c>
      <c r="O9" s="1" t="n">
        <v>105</v>
      </c>
      <c r="P9" s="1" t="n">
        <f aca="false">COUNTIF(I$2:I$1500,"&lt;120")-SUM(P2:P8)</f>
        <v>46</v>
      </c>
      <c r="Q9" s="1" t="s">
        <v>62</v>
      </c>
      <c r="R9" s="1" t="n">
        <f aca="false">COUNTIF(J$2:J$1500,"&lt;15")-SUM(R2:R8)</f>
        <v>89</v>
      </c>
      <c r="S9" s="2" t="s">
        <v>63</v>
      </c>
      <c r="T9" s="1" t="n">
        <f aca="false">COUNTIFS(J$2:J$1500, "&gt;-30",I$2:I$1500, "&lt;180")-SUM(T2:T8)</f>
        <v>77</v>
      </c>
      <c r="U9" s="1" t="n">
        <v>105</v>
      </c>
      <c r="V9" s="0" t="n">
        <f aca="false">SUMIFS(C$2:C$1500,C$2:C$1500, "&gt;=0",I$2:I$1500, "&lt;120",I$2:I$1500,"&gt;=105")</f>
        <v>76.6</v>
      </c>
      <c r="W9" s="2" t="s">
        <v>64</v>
      </c>
      <c r="X9" s="0" t="n">
        <f aca="false">SUMIFS(C$2:C$1500,C$2:C$1500, "&gt;=0",J$2:J$1500, "&lt;30",J$2:J$1500,"&gt;=15",I$2:I$1500,"&lt;180")</f>
        <v>154.2</v>
      </c>
      <c r="Z9" s="0" t="n">
        <f aca="false">I9+0</f>
        <v>155.4</v>
      </c>
      <c r="AB9" s="0" t="n">
        <f aca="false">IF(Z9&gt;360,Z9-360,Z9+0)</f>
        <v>155.4</v>
      </c>
      <c r="AD9" s="1" t="n">
        <v>105</v>
      </c>
      <c r="AE9" s="1" t="n">
        <f aca="false">COUNTIF(AB$2:AB$1500,"&lt;120")-SUM(AE2:AE8)</f>
        <v>46</v>
      </c>
      <c r="AF9" s="1"/>
      <c r="AG9" s="1" t="n">
        <v>105</v>
      </c>
      <c r="AH9" s="0" t="n">
        <f aca="false">SUMIFS(C$2:C$1500,C$2:C$1500, "&gt;=0",AB$2:AB$1500, "&lt;120",AB$2:AB$1500,"&gt;=105")</f>
        <v>76.6</v>
      </c>
      <c r="AJ9" s="1" t="s">
        <v>62</v>
      </c>
      <c r="AK9" s="0" t="n">
        <f aca="false">SUMIF($J$2:$J$2000,"&lt;15",$C$2:$C$2000)-SUM($AK$2:$AK$8)</f>
        <v>340</v>
      </c>
      <c r="AM9" s="1" t="s">
        <v>65</v>
      </c>
      <c r="AN9" s="0" t="n">
        <f aca="false">SUM(AN2:AN7)</f>
        <v>1153</v>
      </c>
      <c r="AO9" s="1" t="s">
        <v>65</v>
      </c>
      <c r="AP9" s="0" t="n">
        <f aca="false">SUM(AP2:AP7)</f>
        <v>1153</v>
      </c>
      <c r="AR9" s="1" t="s">
        <v>65</v>
      </c>
      <c r="AS9" s="0" t="n">
        <f aca="false">SUM(AS2:AS7)</f>
        <v>2510.9</v>
      </c>
      <c r="AT9" s="1" t="s">
        <v>65</v>
      </c>
      <c r="AU9" s="0" t="n">
        <f aca="false">SUM(AU2:AU7)</f>
        <v>2510.9</v>
      </c>
    </row>
    <row r="10" customFormat="false" ht="15.8" hidden="false" customHeight="false" outlineLevel="0" collapsed="false">
      <c r="A10" s="1" t="n">
        <v>3</v>
      </c>
      <c r="B10" s="1" t="n">
        <v>3</v>
      </c>
      <c r="C10" s="1" t="n">
        <v>0.8</v>
      </c>
      <c r="D10" s="1" t="n">
        <v>1.04</v>
      </c>
      <c r="E10" s="1" t="n">
        <v>0.0278613</v>
      </c>
      <c r="F10" s="1" t="n">
        <v>7.57851E-005</v>
      </c>
      <c r="G10" s="1" t="s">
        <v>27</v>
      </c>
      <c r="H10" s="1" t="n">
        <v>63.7</v>
      </c>
      <c r="I10" s="1" t="n">
        <v>256.3</v>
      </c>
      <c r="J10" s="1" t="n">
        <v>0</v>
      </c>
      <c r="K10" s="1"/>
      <c r="L10" s="1" t="n">
        <v>0</v>
      </c>
      <c r="M10" s="1" t="n">
        <v>0</v>
      </c>
      <c r="N10" s="1" t="s">
        <v>61</v>
      </c>
      <c r="O10" s="1" t="n">
        <v>120</v>
      </c>
      <c r="P10" s="1" t="n">
        <f aca="false">COUNTIF(I$2:I$1500,"&lt;135")-SUM(P2:P9)</f>
        <v>49</v>
      </c>
      <c r="Q10" s="1" t="s">
        <v>66</v>
      </c>
      <c r="R10" s="1" t="n">
        <f aca="false">COUNTIF(J$2:J$1500,"&lt;30")-SUM(R2:R9)</f>
        <v>123</v>
      </c>
      <c r="S10" s="2" t="s">
        <v>67</v>
      </c>
      <c r="T10" s="1" t="n">
        <f aca="false">COUNTIFS(J$2:J$1500, "&gt;-45",I$2:I$1500, "&lt;180")-SUM(T2:T9)</f>
        <v>50</v>
      </c>
      <c r="U10" s="1" t="n">
        <v>120</v>
      </c>
      <c r="V10" s="0" t="n">
        <f aca="false">SUMIFS(C$2:C$1500,C$2:C$1500, "&gt;=0",I$2:I$1500, "&lt;135",I$2:I$1500,"&gt;=120")</f>
        <v>100.3</v>
      </c>
      <c r="W10" s="2" t="s">
        <v>68</v>
      </c>
      <c r="X10" s="0" t="n">
        <f aca="false">SUMIFS(C$2:C$1500,C$2:C$1500, "&gt;=0",J$2:J$1500, "&lt;45",J$2:J$1500,"&gt;=30",I$2:I$1500,"&lt;180")</f>
        <v>111.5</v>
      </c>
      <c r="Z10" s="0" t="n">
        <f aca="false">I10+0</f>
        <v>256.3</v>
      </c>
      <c r="AB10" s="0" t="n">
        <f aca="false">IF(Z10&gt;360,Z10-360,Z10+0)</f>
        <v>256.3</v>
      </c>
      <c r="AD10" s="1" t="n">
        <v>120</v>
      </c>
      <c r="AE10" s="1" t="n">
        <f aca="false">COUNTIF(AB$2:AB$1500,"&lt;135")-SUM(AE2:AE9)</f>
        <v>49</v>
      </c>
      <c r="AF10" s="1"/>
      <c r="AG10" s="1" t="n">
        <v>120</v>
      </c>
      <c r="AH10" s="0" t="n">
        <f aca="false">SUMIFS(C$2:C$1500,C$2:C$1500, "&gt;=0",AB$2:AB$1500, "&lt;135",AB$2:AB$1500,"&gt;=120")</f>
        <v>100.3</v>
      </c>
      <c r="AJ10" s="1" t="s">
        <v>66</v>
      </c>
      <c r="AK10" s="0" t="n">
        <f aca="false">SUMIF($J$2:$J$2000,"&lt;30",$C$2:$C$2000)-SUM($AK$2:$AK$9)</f>
        <v>279.700000000002</v>
      </c>
      <c r="AM10" s="1"/>
      <c r="AR10" s="1"/>
    </row>
    <row r="11" customFormat="false" ht="15.8" hidden="false" customHeight="false" outlineLevel="0" collapsed="false">
      <c r="A11" s="1" t="n">
        <v>3</v>
      </c>
      <c r="B11" s="1" t="n">
        <v>2</v>
      </c>
      <c r="C11" s="1" t="n">
        <v>0.8</v>
      </c>
      <c r="D11" s="1" t="n">
        <v>1.027</v>
      </c>
      <c r="E11" s="1" t="n">
        <v>0.0262245</v>
      </c>
      <c r="F11" s="1" t="n">
        <v>7.13329E-005</v>
      </c>
      <c r="G11" s="1" t="s">
        <v>52</v>
      </c>
      <c r="H11" s="1" t="n">
        <v>25.6</v>
      </c>
      <c r="I11" s="1" t="n">
        <v>192.6</v>
      </c>
      <c r="J11" s="1" t="n">
        <v>0</v>
      </c>
      <c r="K11" s="1" t="n">
        <v>63.7</v>
      </c>
      <c r="L11" s="1" t="n">
        <v>0</v>
      </c>
      <c r="M11" s="1" t="n">
        <v>0</v>
      </c>
      <c r="N11" s="1" t="s">
        <v>38</v>
      </c>
      <c r="O11" s="1" t="n">
        <v>135</v>
      </c>
      <c r="P11" s="1" t="n">
        <f aca="false">COUNTIF(I$2:I$1500,"&lt;150")-SUM(P2:P10)</f>
        <v>50</v>
      </c>
      <c r="Q11" s="1" t="s">
        <v>69</v>
      </c>
      <c r="R11" s="1" t="n">
        <f aca="false">COUNTIF(J$2:J$1500,"&lt;45")-SUM(R2:R10)</f>
        <v>87</v>
      </c>
      <c r="S11" s="2" t="s">
        <v>70</v>
      </c>
      <c r="T11" s="1" t="n">
        <f aca="false">COUNTIFS(J$2:J$1500, "&gt;-60",I$2:I$1500, "&lt;180")-SUM(T2:T10)</f>
        <v>22</v>
      </c>
      <c r="U11" s="1" t="n">
        <v>135</v>
      </c>
      <c r="V11" s="0" t="n">
        <f aca="false">SUMIFS(C$2:C$1500,C$2:C$1500, "&gt;=0",I$2:I$1500, "&lt;150",I$2:I$1500,"&gt;=135")</f>
        <v>116.9</v>
      </c>
      <c r="W11" s="2" t="s">
        <v>71</v>
      </c>
      <c r="X11" s="0" t="n">
        <f aca="false">SUMIFS(C$2:C$1500,C$2:C$1500, "&gt;=0",J$2:J$1500, "&lt;60",J$2:J$1500,"&gt;=45",I$2:I$1500,"&lt;180")</f>
        <v>45.6</v>
      </c>
      <c r="Z11" s="0" t="n">
        <f aca="false">I11+0</f>
        <v>192.6</v>
      </c>
      <c r="AB11" s="0" t="n">
        <f aca="false">IF(Z11&gt;360,Z11-360,Z11+0)</f>
        <v>192.6</v>
      </c>
      <c r="AD11" s="1" t="n">
        <v>135</v>
      </c>
      <c r="AE11" s="1" t="n">
        <f aca="false">COUNTIF(AB$2:AB$1500,"&lt;150")-SUM(AE2:AE10)</f>
        <v>50</v>
      </c>
      <c r="AF11" s="1"/>
      <c r="AG11" s="1" t="n">
        <v>135</v>
      </c>
      <c r="AH11" s="0" t="n">
        <f aca="false">SUMIFS(C$2:C$1500,C$2:C$1500, "&gt;=0",AB$2:AB$1500, "&lt;150",AB$2:AB$1500,"&gt;=135")</f>
        <v>116.9</v>
      </c>
      <c r="AJ11" s="1" t="s">
        <v>69</v>
      </c>
      <c r="AK11" s="0" t="n">
        <f aca="false">SUMIF($J$2:$J$2000,"&lt;45",$C$2:$C$2000)-SUM($AK$2:$AK$10)</f>
        <v>177.799999999998</v>
      </c>
    </row>
    <row r="12" customFormat="false" ht="15.8" hidden="false" customHeight="false" outlineLevel="0" collapsed="false">
      <c r="A12" s="1" t="n">
        <v>3</v>
      </c>
      <c r="B12" s="1" t="n">
        <v>1</v>
      </c>
      <c r="C12" s="1" t="n">
        <v>0.5</v>
      </c>
      <c r="D12" s="1" t="n">
        <v>1.0067</v>
      </c>
      <c r="E12" s="1" t="n">
        <v>0.015729</v>
      </c>
      <c r="F12" s="1" t="n">
        <v>4.27842E-005</v>
      </c>
      <c r="G12" s="1" t="s">
        <v>52</v>
      </c>
      <c r="H12" s="1"/>
      <c r="I12" s="1" t="n">
        <v>218.2</v>
      </c>
      <c r="J12" s="1" t="n">
        <v>0</v>
      </c>
      <c r="K12" s="1" t="n">
        <v>69.2</v>
      </c>
      <c r="L12" s="1" t="n">
        <v>0</v>
      </c>
      <c r="M12" s="1" t="n">
        <v>0</v>
      </c>
      <c r="N12" s="1" t="s">
        <v>72</v>
      </c>
      <c r="O12" s="1" t="n">
        <v>150</v>
      </c>
      <c r="P12" s="1" t="n">
        <f aca="false">COUNTIF(I$2:I$1500,"&lt;165")-SUM(P2:P11)</f>
        <v>50</v>
      </c>
      <c r="Q12" s="1" t="s">
        <v>73</v>
      </c>
      <c r="R12" s="1" t="n">
        <f aca="false">COUNTIF(J$2:J$1500,"&lt;60")-SUM(R2:R11)</f>
        <v>46</v>
      </c>
      <c r="S12" s="2" t="s">
        <v>74</v>
      </c>
      <c r="T12" s="1" t="n">
        <f aca="false">COUNTIFS(J$2:J$1500, "&gt;-75",I$2:I$1500, "&lt;180")-SUM(T2:T11)</f>
        <v>5</v>
      </c>
      <c r="U12" s="1" t="n">
        <v>150</v>
      </c>
      <c r="V12" s="0" t="n">
        <f aca="false">SUMIFS(C$2:C$1500,C$2:C$1500, "&gt;=0",I$2:I$1500, "&lt;165",I$2:I$1500,"&gt;=150")</f>
        <v>113.6</v>
      </c>
      <c r="W12" s="2" t="s">
        <v>75</v>
      </c>
      <c r="X12" s="0" t="n">
        <f aca="false">SUMIFS(C$2:C$1500,C$2:C$1500, "&gt;=0",J$2:J$1500, "&lt;75",J$2:J$1500,"&gt;=60",I$2:I$1500,"&lt;180")</f>
        <v>40.7</v>
      </c>
      <c r="Z12" s="0" t="n">
        <f aca="false">I12+0</f>
        <v>218.2</v>
      </c>
      <c r="AB12" s="0" t="n">
        <f aca="false">IF(Z12&gt;360,Z12-360,Z12+0)</f>
        <v>218.2</v>
      </c>
      <c r="AD12" s="1" t="n">
        <v>150</v>
      </c>
      <c r="AE12" s="1" t="n">
        <f aca="false">COUNTIF(AB$2:AB$1500,"&lt;165")-SUM(AE2:AE11)</f>
        <v>50</v>
      </c>
      <c r="AF12" s="1"/>
      <c r="AG12" s="1" t="n">
        <v>150</v>
      </c>
      <c r="AH12" s="0" t="n">
        <f aca="false">SUMIFS(C$2:C$1500,C$2:C$1500, "&gt;=0",AB$2:AB$1500, "&lt;165",AB$2:AB$1500,"&gt;=150")</f>
        <v>113.6</v>
      </c>
      <c r="AJ12" s="1" t="s">
        <v>73</v>
      </c>
      <c r="AK12" s="0" t="n">
        <f aca="false">SUMIF($J$2:$J$2000,"&lt;60",$C$2:$C$2000)-SUM($AK$2:$AK$11)</f>
        <v>91.7999999999975</v>
      </c>
    </row>
    <row r="13" customFormat="false" ht="15.8" hidden="false" customHeight="false" outlineLevel="0" collapsed="false">
      <c r="A13" s="1" t="n">
        <v>4</v>
      </c>
      <c r="B13" s="1" t="n">
        <v>2</v>
      </c>
      <c r="C13" s="1" t="n">
        <v>6.2</v>
      </c>
      <c r="D13" s="1" t="n">
        <v>1.8479</v>
      </c>
      <c r="E13" s="1" t="n">
        <v>0.21085</v>
      </c>
      <c r="F13" s="1" t="n">
        <v>0.00057353</v>
      </c>
      <c r="G13" s="1" t="s">
        <v>27</v>
      </c>
      <c r="H13" s="1" t="n">
        <v>38.7</v>
      </c>
      <c r="I13" s="1" t="n">
        <v>154.2</v>
      </c>
      <c r="J13" s="1" t="n">
        <v>33.7</v>
      </c>
      <c r="K13" s="1"/>
      <c r="L13" s="1" t="n">
        <v>0</v>
      </c>
      <c r="M13" s="1" t="n">
        <v>0</v>
      </c>
      <c r="N13" s="1" t="s">
        <v>76</v>
      </c>
      <c r="O13" s="1" t="n">
        <v>165</v>
      </c>
      <c r="P13" s="1" t="n">
        <f aca="false">COUNTIF(I$2:I$1500,"&lt;180")-SUM(P2:P12)</f>
        <v>57</v>
      </c>
      <c r="Q13" s="1" t="s">
        <v>77</v>
      </c>
      <c r="R13" s="1" t="n">
        <f aca="false">COUNTIF(J$2:J$1500,"&lt;75")-SUM(R2:R12)</f>
        <v>25</v>
      </c>
      <c r="S13" s="2" t="s">
        <v>78</v>
      </c>
      <c r="T13" s="1" t="n">
        <f aca="false">COUNTIFS(J$2:J$1500, "&gt;-90",I$2:I$1500, "&lt;180")-SUM(T2:T12)</f>
        <v>3</v>
      </c>
      <c r="U13" s="1" t="n">
        <v>165</v>
      </c>
      <c r="V13" s="0" t="n">
        <f aca="false">SUMIFS(C$2:C$1500,C$2:C$1500, "&gt;=0",I$2:I$1500, "&lt;180",I$2:I$1500,"&gt;=165")</f>
        <v>127.6</v>
      </c>
      <c r="W13" s="2" t="s">
        <v>79</v>
      </c>
      <c r="X13" s="0" t="n">
        <f aca="false">SUMIFS(C$2:C$1500,C$2:C$1500, "&gt;=0",J$2:J$1500, "&lt;90",J$2:J$1500,"&gt;=75",I$2:I$1500,"&lt;180")</f>
        <v>0.7</v>
      </c>
      <c r="Z13" s="0" t="n">
        <f aca="false">I13+0</f>
        <v>154.2</v>
      </c>
      <c r="AB13" s="0" t="n">
        <f aca="false">IF(Z13&gt;360,Z13-360,Z13+0)</f>
        <v>154.2</v>
      </c>
      <c r="AD13" s="1" t="n">
        <v>165</v>
      </c>
      <c r="AE13" s="1" t="n">
        <f aca="false">COUNTIF(AB$2:AB$1500,"&lt;180")-SUM(AE2:AE12)</f>
        <v>57</v>
      </c>
      <c r="AF13" s="1"/>
      <c r="AG13" s="1" t="n">
        <v>165</v>
      </c>
      <c r="AH13" s="0" t="n">
        <f aca="false">SUMIFS(C$2:C$1500,C$2:C$1500, "&gt;=0",AB$2:AB$1500, "&lt;180",AB$2:AB$1500,"&gt;=165")</f>
        <v>127.6</v>
      </c>
      <c r="AJ13" s="1" t="s">
        <v>77</v>
      </c>
      <c r="AK13" s="0" t="n">
        <f aca="false">SUMIF($J$2:$J$2000,"&lt;75",$C$2:$C$2000)-SUM($AK$2:$AK$12)</f>
        <v>65.8999999999996</v>
      </c>
    </row>
    <row r="14" customFormat="false" ht="15.8" hidden="false" customHeight="false" outlineLevel="0" collapsed="false">
      <c r="A14" s="1" t="n">
        <v>4</v>
      </c>
      <c r="B14" s="1" t="n">
        <v>2</v>
      </c>
      <c r="C14" s="1" t="n">
        <v>3.3</v>
      </c>
      <c r="D14" s="1" t="n">
        <v>1.2284</v>
      </c>
      <c r="E14" s="1" t="n">
        <v>0.112273</v>
      </c>
      <c r="F14" s="1" t="n">
        <v>0.000305393</v>
      </c>
      <c r="G14" s="1" t="s">
        <v>27</v>
      </c>
      <c r="H14" s="1" t="n">
        <v>18.4</v>
      </c>
      <c r="I14" s="1" t="n">
        <v>186.1</v>
      </c>
      <c r="J14" s="1" t="n">
        <v>8</v>
      </c>
      <c r="K14" s="1"/>
      <c r="L14" s="1" t="n">
        <v>0</v>
      </c>
      <c r="M14" s="1" t="n">
        <v>0</v>
      </c>
      <c r="N14" s="1" t="s">
        <v>76</v>
      </c>
      <c r="O14" s="1" t="n">
        <v>180</v>
      </c>
      <c r="P14" s="1" t="n">
        <f aca="false">COUNTIF(I$2:I$1500,"&lt;195")-SUM(P2:P13)</f>
        <v>68</v>
      </c>
      <c r="Q14" s="1" t="s">
        <v>80</v>
      </c>
      <c r="R14" s="1" t="n">
        <f aca="false">COUNTIF(J$2:J$1500,"&lt;=90")-SUM(R2:R13)</f>
        <v>1</v>
      </c>
      <c r="S14" s="2" t="s">
        <v>81</v>
      </c>
      <c r="T14" s="1" t="n">
        <f aca="false">COUNTIFS(J$2:J$1500, "&gt;-90",I$2:I$1500, "&gt;=180")-SUM(T15:T25)</f>
        <v>1</v>
      </c>
      <c r="U14" s="1" t="n">
        <v>180</v>
      </c>
      <c r="V14" s="0" t="n">
        <f aca="false">SUMIFS(C$2:C$1500,C$2:C$1500, "&gt;=0",I$2:I$1500, "&lt;195",I$2:I$1500,"&gt;=180")</f>
        <v>163.6</v>
      </c>
      <c r="W14" s="2" t="s">
        <v>82</v>
      </c>
      <c r="X14" s="0" t="n">
        <f aca="false">SUMIFS(C$2:C$1500,C$2:C$1500, "&gt;=0",J$2:J$1500, "&lt;90",J$2:J$1500,"&gt;=75",I$2:I$1500,"&gt;=180")</f>
        <v>0</v>
      </c>
      <c r="Z14" s="0" t="n">
        <f aca="false">I14+0</f>
        <v>186.1</v>
      </c>
      <c r="AB14" s="0" t="n">
        <f aca="false">IF(Z14&gt;360,Z14-360,Z14+0)</f>
        <v>186.1</v>
      </c>
      <c r="AD14" s="1" t="n">
        <v>180</v>
      </c>
      <c r="AE14" s="1" t="n">
        <f aca="false">COUNTIF(AB$2:AB$1500,"&lt;195")-SUM(AE2:AE13)</f>
        <v>68</v>
      </c>
      <c r="AF14" s="1"/>
      <c r="AG14" s="1" t="n">
        <v>180</v>
      </c>
      <c r="AH14" s="0" t="n">
        <f aca="false">SUMIFS(C$2:C$1500,C$2:C$1500, "&gt;=0",AB$2:AB$1500, "&lt;195",AB$2:AB$1500,"&gt;=180")</f>
        <v>163.6</v>
      </c>
      <c r="AJ14" s="1" t="s">
        <v>80</v>
      </c>
      <c r="AK14" s="0" t="n">
        <f aca="false">SUMIF($J$2:$J$2000,"&lt;90",$C$2:$C$2000)-SUM($AK$2:$AK$13)</f>
        <v>0.700000000000273</v>
      </c>
    </row>
    <row r="15" customFormat="false" ht="15.8" hidden="false" customHeight="false" outlineLevel="0" collapsed="false">
      <c r="A15" s="1" t="n">
        <v>4</v>
      </c>
      <c r="B15" s="1" t="n">
        <v>1</v>
      </c>
      <c r="C15" s="1" t="n">
        <v>4.8</v>
      </c>
      <c r="D15" s="1" t="n">
        <v>1.2782</v>
      </c>
      <c r="E15" s="1" t="n">
        <v>0.164795</v>
      </c>
      <c r="F15" s="1" t="n">
        <v>0.000448255</v>
      </c>
      <c r="G15" s="1" t="s">
        <v>52</v>
      </c>
      <c r="H15" s="1"/>
      <c r="I15" s="1" t="n">
        <v>197</v>
      </c>
      <c r="J15" s="1" t="n">
        <v>23.1</v>
      </c>
      <c r="K15" s="1" t="n">
        <v>38.7</v>
      </c>
      <c r="L15" s="1" t="n">
        <v>0</v>
      </c>
      <c r="M15" s="1" t="n">
        <v>0</v>
      </c>
      <c r="N15" s="1" t="s">
        <v>83</v>
      </c>
      <c r="O15" s="1" t="n">
        <v>195</v>
      </c>
      <c r="P15" s="1" t="n">
        <f aca="false">COUNTIF(I$2:I$1500,"&lt;210")-SUM(P2:P14)</f>
        <v>51</v>
      </c>
      <c r="R15" s="1"/>
      <c r="S15" s="2" t="s">
        <v>84</v>
      </c>
      <c r="T15" s="1" t="n">
        <f aca="false">COUNTIFS(J$2:J$1500, "&gt;-75",I$2:I$1500, "&gt;=180")-SUM(T16:T25)</f>
        <v>12</v>
      </c>
      <c r="U15" s="1" t="n">
        <v>195</v>
      </c>
      <c r="V15" s="0" t="n">
        <f aca="false">SUMIFS(C$2:C$1500,C$2:C$1500, "&gt;=0",I$2:I$1500, "&lt;210",I$2:I$1500,"&gt;=195")</f>
        <v>138.5</v>
      </c>
      <c r="W15" s="2" t="s">
        <v>85</v>
      </c>
      <c r="X15" s="0" t="n">
        <f aca="false">SUMIFS(C$2:C$1500,C$2:C$1500, "&gt;=0",J$2:J$1500, "&lt;75",J$2:J$1500,"&gt;=60",I$2:I$1500,"&gt;=180")</f>
        <v>25.2</v>
      </c>
      <c r="Z15" s="0" t="n">
        <f aca="false">I15+0</f>
        <v>197</v>
      </c>
      <c r="AB15" s="0" t="n">
        <f aca="false">IF(Z15&gt;360,Z15-360,Z15+0)</f>
        <v>197</v>
      </c>
      <c r="AD15" s="1" t="n">
        <v>195</v>
      </c>
      <c r="AE15" s="1" t="n">
        <f aca="false">COUNTIF(AB$2:AB$1500,"&lt;210")-SUM(AE2:AE14)</f>
        <v>51</v>
      </c>
      <c r="AF15" s="1"/>
      <c r="AG15" s="1" t="n">
        <v>195</v>
      </c>
      <c r="AH15" s="0" t="n">
        <f aca="false">SUMIFS(C$2:C$1500,C$2:C$1500, "&gt;=0",AB$2:AB$1500, "&lt;210",AB$2:AB$1500,"&gt;=195")</f>
        <v>138.5</v>
      </c>
    </row>
    <row r="16" customFormat="false" ht="15.8" hidden="false" customHeight="false" outlineLevel="0" collapsed="false">
      <c r="A16" s="1" t="n">
        <v>5</v>
      </c>
      <c r="B16" s="1" t="n">
        <v>2</v>
      </c>
      <c r="C16" s="1" t="n">
        <v>4.6</v>
      </c>
      <c r="D16" s="1" t="n">
        <v>1.2201</v>
      </c>
      <c r="E16" s="1" t="n">
        <v>0.158374</v>
      </c>
      <c r="F16" s="1" t="n">
        <v>0.000430791</v>
      </c>
      <c r="G16" s="1" t="s">
        <v>27</v>
      </c>
      <c r="H16" s="1" t="n">
        <v>35.7</v>
      </c>
      <c r="I16" s="1" t="n">
        <v>237.8</v>
      </c>
      <c r="J16" s="1" t="n">
        <v>5.6</v>
      </c>
      <c r="K16" s="1"/>
      <c r="L16" s="1" t="n">
        <v>0</v>
      </c>
      <c r="M16" s="1" t="n">
        <v>0</v>
      </c>
      <c r="N16" s="1" t="s">
        <v>86</v>
      </c>
      <c r="O16" s="1" t="n">
        <v>210</v>
      </c>
      <c r="P16" s="1" t="n">
        <f aca="false">COUNTIF(I$2:I$1500,"&lt;225")-SUM(P2:P15)</f>
        <v>31</v>
      </c>
      <c r="S16" s="2" t="s">
        <v>87</v>
      </c>
      <c r="T16" s="1" t="n">
        <f aca="false">COUNTIFS(J$2:J$1500, "&gt;-60",I$2:I$1500, "&gt;=180")-SUM(T17:T25)</f>
        <v>19</v>
      </c>
      <c r="U16" s="1" t="n">
        <v>210</v>
      </c>
      <c r="V16" s="0" t="n">
        <f aca="false">SUMIFS(C$2:C$1500,C$2:C$1500, "&gt;=0",I$2:I$1500, "&lt;225",I$2:I$1500,"&gt;=210")</f>
        <v>58.8</v>
      </c>
      <c r="W16" s="2" t="s">
        <v>88</v>
      </c>
      <c r="X16" s="0" t="n">
        <f aca="false">SUMIFS(C$2:C$1500,C$2:C$1500, "&gt;=0",J$2:J$1500, "&lt;60",J$2:J$1500,"&gt;=45",I$2:I$1500,"&gt;=180")</f>
        <v>46.2</v>
      </c>
      <c r="Z16" s="0" t="n">
        <f aca="false">I16+0</f>
        <v>237.8</v>
      </c>
      <c r="AB16" s="0" t="n">
        <f aca="false">IF(Z16&gt;360,Z16-360,Z16+0)</f>
        <v>237.8</v>
      </c>
      <c r="AD16" s="1" t="n">
        <v>210</v>
      </c>
      <c r="AE16" s="1" t="n">
        <f aca="false">COUNTIF(AB$2:AB$1500,"&lt;225")-SUM(AE2:AE15)</f>
        <v>31</v>
      </c>
      <c r="AF16" s="1"/>
      <c r="AG16" s="1" t="n">
        <v>210</v>
      </c>
      <c r="AH16" s="0" t="n">
        <f aca="false">SUMIFS(C$2:C$1500,C$2:C$1500, "&gt;=0",AB$2:AB$1500, "&lt;225",AB$2:AB$1500,"&gt;=210")</f>
        <v>58.8</v>
      </c>
    </row>
    <row r="17" customFormat="false" ht="15.8" hidden="false" customHeight="false" outlineLevel="0" collapsed="false">
      <c r="A17" s="1" t="n">
        <v>5</v>
      </c>
      <c r="B17" s="1" t="n">
        <v>3</v>
      </c>
      <c r="C17" s="1" t="n">
        <v>0.8</v>
      </c>
      <c r="D17" s="1" t="n">
        <v>1.0038</v>
      </c>
      <c r="E17" s="1" t="n">
        <v>0.0256582</v>
      </c>
      <c r="F17" s="1" t="n">
        <v>6.97926E-005</v>
      </c>
      <c r="G17" s="1" t="s">
        <v>27</v>
      </c>
      <c r="H17" s="1" t="n">
        <v>88.4</v>
      </c>
      <c r="I17" s="1" t="n">
        <v>81.6</v>
      </c>
      <c r="J17" s="1" t="n">
        <v>0</v>
      </c>
      <c r="K17" s="1"/>
      <c r="L17" s="1" t="n">
        <v>0</v>
      </c>
      <c r="M17" s="1" t="n">
        <v>0</v>
      </c>
      <c r="N17" s="1" t="s">
        <v>89</v>
      </c>
      <c r="O17" s="1" t="n">
        <v>225</v>
      </c>
      <c r="P17" s="1" t="n">
        <f aca="false">COUNTIF(I$2:I$1500,"&lt;240")-SUM(P2:P16)</f>
        <v>34</v>
      </c>
      <c r="S17" s="2" t="s">
        <v>90</v>
      </c>
      <c r="T17" s="1" t="n">
        <f aca="false">COUNTIFS(J$2:J$1500, "&gt;-45",I$2:I$1500, "&gt;=180")-SUM(T18:T25)</f>
        <v>33</v>
      </c>
      <c r="U17" s="1" t="n">
        <v>225</v>
      </c>
      <c r="V17" s="0" t="n">
        <f aca="false">SUMIFS(C$2:C$1500,C$2:C$1500, "&gt;=0",I$2:I$1500, "&lt;240",I$2:I$1500,"&gt;=225")</f>
        <v>77.1</v>
      </c>
      <c r="W17" s="2" t="s">
        <v>91</v>
      </c>
      <c r="X17" s="0" t="n">
        <f aca="false">SUMIFS(C$2:C$1500,C$2:C$1500, "&gt;=0",J$2:J$1500, "&lt;45",J$2:J$1500,"&gt;=30",I$2:I$1500,"&gt;=180")</f>
        <v>66.3</v>
      </c>
      <c r="Z17" s="0" t="n">
        <f aca="false">I17+0</f>
        <v>81.6</v>
      </c>
      <c r="AB17" s="0" t="n">
        <f aca="false">IF(Z17&gt;360,Z17-360,Z17+0)</f>
        <v>81.6</v>
      </c>
      <c r="AD17" s="1" t="n">
        <v>225</v>
      </c>
      <c r="AE17" s="1" t="n">
        <f aca="false">COUNTIF(AB$2:AB$1500,"&lt;240")-SUM(AE2:AE16)</f>
        <v>34</v>
      </c>
      <c r="AF17" s="1"/>
      <c r="AG17" s="1" t="n">
        <v>225</v>
      </c>
      <c r="AH17" s="0" t="n">
        <f aca="false">SUMIFS(C$2:C$1500,C$2:C$1500, "&gt;=0",AB$2:AB$1500, "&lt;240",AB$2:AB$1500,"&gt;=225")</f>
        <v>77.1</v>
      </c>
    </row>
    <row r="18" customFormat="false" ht="15.8" hidden="false" customHeight="false" outlineLevel="0" collapsed="false">
      <c r="A18" s="1" t="n">
        <v>5</v>
      </c>
      <c r="B18" s="1" t="n">
        <v>4</v>
      </c>
      <c r="C18" s="1" t="n">
        <v>0.5</v>
      </c>
      <c r="D18" s="1" t="n">
        <v>1.0032</v>
      </c>
      <c r="E18" s="1" t="n">
        <v>0.0187777</v>
      </c>
      <c r="F18" s="1" t="n">
        <v>5.1077E-005</v>
      </c>
      <c r="G18" s="1" t="s">
        <v>27</v>
      </c>
      <c r="H18" s="1" t="n">
        <v>56.5</v>
      </c>
      <c r="I18" s="1" t="n">
        <v>21</v>
      </c>
      <c r="J18" s="1" t="n">
        <v>0</v>
      </c>
      <c r="K18" s="1"/>
      <c r="L18" s="1" t="n">
        <v>0</v>
      </c>
      <c r="M18" s="1" t="n">
        <v>0</v>
      </c>
      <c r="N18" s="1" t="s">
        <v>92</v>
      </c>
      <c r="O18" s="1" t="n">
        <v>240</v>
      </c>
      <c r="P18" s="1" t="n">
        <f aca="false">COUNTIF(I$2:I$1500,"&lt;255")-SUM(P2:P17)</f>
        <v>37</v>
      </c>
      <c r="S18" s="2" t="s">
        <v>93</v>
      </c>
      <c r="T18" s="1" t="n">
        <f aca="false">COUNTIFS(J$2:J$1500, "&gt;-30",I$2:I$1500, "&gt;=180")-SUM(T19:T25)</f>
        <v>68</v>
      </c>
      <c r="U18" s="1" t="n">
        <v>240</v>
      </c>
      <c r="V18" s="0" t="n">
        <f aca="false">SUMIFS(C$2:C$1500,C$2:C$1500, "&gt;=0",I$2:I$1500, "&lt;255",I$2:I$1500,"&gt;=240")</f>
        <v>97.2</v>
      </c>
      <c r="W18" s="2" t="s">
        <v>94</v>
      </c>
      <c r="X18" s="0" t="n">
        <f aca="false">SUMIFS(C$2:C$1500,C$2:C$1500, "&gt;=0",J$2:J$1500, "&lt;30",J$2:J$1500,"&gt;=15",I$2:I$1500,"&gt;=180")</f>
        <v>125.5</v>
      </c>
      <c r="Z18" s="0" t="n">
        <f aca="false">I18+0</f>
        <v>21</v>
      </c>
      <c r="AB18" s="0" t="n">
        <f aca="false">IF(Z18&gt;360,Z18-360,Z18+0)</f>
        <v>21</v>
      </c>
      <c r="AD18" s="1" t="n">
        <v>240</v>
      </c>
      <c r="AE18" s="1" t="n">
        <f aca="false">COUNTIF(AB$2:AB$1500,"&lt;255")-SUM(AE2:AE17)</f>
        <v>37</v>
      </c>
      <c r="AF18" s="1"/>
      <c r="AG18" s="1" t="n">
        <v>240</v>
      </c>
      <c r="AH18" s="0" t="n">
        <f aca="false">SUMIFS(C$2:C$1500,C$2:C$1500, "&gt;=0",AB$2:AB$1500, "&lt;255",AB$2:AB$1500,"&gt;=240")</f>
        <v>97.2</v>
      </c>
    </row>
    <row r="19" customFormat="false" ht="15.8" hidden="false" customHeight="false" outlineLevel="0" collapsed="false">
      <c r="A19" s="1" t="n">
        <v>5</v>
      </c>
      <c r="B19" s="1" t="n">
        <v>4</v>
      </c>
      <c r="C19" s="1" t="n">
        <v>1.6</v>
      </c>
      <c r="D19" s="1" t="n">
        <v>1.185</v>
      </c>
      <c r="E19" s="1" t="n">
        <v>0.0542814</v>
      </c>
      <c r="F19" s="1" t="n">
        <v>0.00014765</v>
      </c>
      <c r="G19" s="1" t="s">
        <v>27</v>
      </c>
      <c r="H19" s="1" t="n">
        <v>66.8</v>
      </c>
      <c r="I19" s="1" t="n">
        <v>261.3</v>
      </c>
      <c r="J19" s="1" t="n">
        <v>-16</v>
      </c>
      <c r="K19" s="1"/>
      <c r="L19" s="1" t="n">
        <v>0</v>
      </c>
      <c r="M19" s="1" t="n">
        <v>0</v>
      </c>
      <c r="N19" s="1" t="s">
        <v>92</v>
      </c>
      <c r="O19" s="1" t="n">
        <v>255</v>
      </c>
      <c r="P19" s="1" t="n">
        <f aca="false">COUNTIF(I$2:I$1500,"&lt;270")-SUM(P2:P18)</f>
        <v>41</v>
      </c>
      <c r="S19" s="2" t="s">
        <v>95</v>
      </c>
      <c r="T19" s="1" t="n">
        <f aca="false">COUNTIFS(J$2:J$1500, "&gt;-15",I$2:I$1500, "&gt;=180")-SUM(T20:T25)</f>
        <v>189</v>
      </c>
      <c r="U19" s="1" t="n">
        <v>255</v>
      </c>
      <c r="V19" s="0" t="n">
        <f aca="false">SUMIFS(C$2:C$1500,C$2:C$1500, "&gt;=0",I$2:I$1500, "&lt;270",I$2:I$1500,"&gt;=255")</f>
        <v>79.4</v>
      </c>
      <c r="W19" s="2" t="s">
        <v>96</v>
      </c>
      <c r="X19" s="0" t="n">
        <f aca="false">SUMIFS(C$2:C$1500,C$2:C$1500, "&gt;=0",J$2:J$1500, "&lt;15",J$2:J$1500,"&gt;=0",I$2:I$1500,"&gt;=180")</f>
        <v>361.2</v>
      </c>
      <c r="Z19" s="0" t="n">
        <f aca="false">I19+0</f>
        <v>261.3</v>
      </c>
      <c r="AB19" s="0" t="n">
        <f aca="false">IF(Z19&gt;360,Z19-360,Z19+0)</f>
        <v>261.3</v>
      </c>
      <c r="AD19" s="1" t="n">
        <v>255</v>
      </c>
      <c r="AE19" s="1" t="n">
        <f aca="false">COUNTIF(AB$2:AB$1500,"&lt;270")-SUM(AE2:AE18)</f>
        <v>41</v>
      </c>
      <c r="AF19" s="1"/>
      <c r="AG19" s="1" t="n">
        <v>255</v>
      </c>
      <c r="AH19" s="0" t="n">
        <f aca="false">SUMIFS(C$2:C$1500,C$2:C$1500, "&gt;=0",AB$2:AB$1500, "&lt;270",AB$2:AB$1500,"&gt;=255")</f>
        <v>79.4</v>
      </c>
    </row>
    <row r="20" customFormat="false" ht="15.8" hidden="false" customHeight="false" outlineLevel="0" collapsed="false">
      <c r="A20" s="1" t="n">
        <v>5</v>
      </c>
      <c r="B20" s="1" t="n">
        <v>3</v>
      </c>
      <c r="C20" s="1" t="n">
        <v>1.5</v>
      </c>
      <c r="D20" s="1" t="n">
        <v>1.1747</v>
      </c>
      <c r="E20" s="1" t="n">
        <v>0.0505032</v>
      </c>
      <c r="F20" s="1" t="n">
        <v>0.000137373</v>
      </c>
      <c r="G20" s="1" t="s">
        <v>52</v>
      </c>
      <c r="H20" s="1" t="n">
        <v>40.2</v>
      </c>
      <c r="I20" s="1" t="n">
        <v>334</v>
      </c>
      <c r="J20" s="1" t="n">
        <v>-36</v>
      </c>
      <c r="K20" s="1" t="n">
        <v>66.8</v>
      </c>
      <c r="L20" s="1" t="n">
        <v>0</v>
      </c>
      <c r="M20" s="1" t="n">
        <v>0</v>
      </c>
      <c r="N20" s="1" t="s">
        <v>89</v>
      </c>
      <c r="O20" s="1" t="n">
        <v>270</v>
      </c>
      <c r="P20" s="1" t="n">
        <f aca="false">COUNTIF(I$2:I$1500,"&lt;285")-SUM(P2:P19)</f>
        <v>35</v>
      </c>
      <c r="S20" s="2" t="s">
        <v>97</v>
      </c>
      <c r="T20" s="1" t="n">
        <f aca="false">COUNTIFS(J$2:J$1500, "&gt;0",I$2:I$1500, "&gt;=180")-SUM(T21:T25)</f>
        <v>45</v>
      </c>
      <c r="U20" s="1" t="n">
        <v>270</v>
      </c>
      <c r="V20" s="0" t="n">
        <f aca="false">SUMIFS(C$2:C$1500,C$2:C$1500, "&gt;=0",I$2:I$1500, "&lt;285",I$2:I$1500,"&gt;=270")</f>
        <v>54.2</v>
      </c>
      <c r="W20" s="2" t="s">
        <v>98</v>
      </c>
      <c r="X20" s="0" t="n">
        <f aca="false">SUMIFS(C$2:C$1500,C$2:C$1500, "&gt;=0",J$2:J$1500, "&lt;0",J$2:J$1500,"&gt;=-15",I$2:I$1500,"&gt;=180")</f>
        <v>135.5</v>
      </c>
      <c r="Z20" s="0" t="n">
        <f aca="false">I20+0</f>
        <v>334</v>
      </c>
      <c r="AB20" s="0" t="n">
        <f aca="false">IF(Z20&gt;360,Z20-360,Z20+0)</f>
        <v>334</v>
      </c>
      <c r="AD20" s="1" t="n">
        <v>270</v>
      </c>
      <c r="AE20" s="1" t="n">
        <f aca="false">COUNTIF(AB$2:AB$1500,"&lt;285")-SUM(AE2:AE19)</f>
        <v>35</v>
      </c>
      <c r="AF20" s="1"/>
      <c r="AG20" s="1" t="n">
        <v>270</v>
      </c>
      <c r="AH20" s="0" t="n">
        <f aca="false">SUMIFS(C$2:C$1500,C$2:C$1500, "&gt;=0",AB$2:AB$1500, "&lt;285",AB$2:AB$1500,"&gt;=270")</f>
        <v>54.2</v>
      </c>
    </row>
    <row r="21" customFormat="false" ht="15.8" hidden="false" customHeight="false" outlineLevel="0" collapsed="false">
      <c r="A21" s="1" t="n">
        <v>5</v>
      </c>
      <c r="B21" s="1" t="n">
        <v>2</v>
      </c>
      <c r="C21" s="1" t="n">
        <v>1.2</v>
      </c>
      <c r="D21" s="1" t="n">
        <v>1.0125</v>
      </c>
      <c r="E21" s="1" t="n">
        <v>0.0413338</v>
      </c>
      <c r="F21" s="1" t="n">
        <v>0.000112431</v>
      </c>
      <c r="G21" s="1" t="s">
        <v>52</v>
      </c>
      <c r="H21" s="1" t="n">
        <v>86.3</v>
      </c>
      <c r="I21" s="1" t="n">
        <v>353.2</v>
      </c>
      <c r="J21" s="1" t="n">
        <v>0</v>
      </c>
      <c r="K21" s="1" t="n">
        <v>88.4</v>
      </c>
      <c r="L21" s="1" t="n">
        <v>0</v>
      </c>
      <c r="M21" s="1" t="n">
        <v>0</v>
      </c>
      <c r="N21" s="1" t="s">
        <v>86</v>
      </c>
      <c r="O21" s="1" t="n">
        <v>285</v>
      </c>
      <c r="P21" s="1" t="n">
        <f aca="false">COUNTIF(I$2:I$1500,"&lt;300")-SUM(P2:P20)</f>
        <v>34</v>
      </c>
      <c r="S21" s="2" t="s">
        <v>99</v>
      </c>
      <c r="T21" s="1" t="n">
        <f aca="false">COUNTIFS(J$2:J$1500, "&gt;15",I$2:I$1500, "&gt;=180")-SUM(T22:T25)</f>
        <v>57</v>
      </c>
      <c r="U21" s="1" t="n">
        <v>285</v>
      </c>
      <c r="V21" s="0" t="n">
        <f aca="false">SUMIFS(C$2:C$1500,C$2:C$1500, "&gt;=0",I$2:I$1500, "&lt;300",I$2:I$1500,"&gt;=285")</f>
        <v>68.3</v>
      </c>
      <c r="W21" s="2" t="s">
        <v>100</v>
      </c>
      <c r="X21" s="0" t="n">
        <f aca="false">SUMIFS(C$2:C$1500,C$2:C$1500, "&gt;=0",J$2:J$1500, "&lt;-15",J$2:J$1500,"&gt;=-30",I$2:I$1500,"&gt;=180")</f>
        <v>196</v>
      </c>
      <c r="Z21" s="0" t="n">
        <f aca="false">I21+0</f>
        <v>353.2</v>
      </c>
      <c r="AB21" s="0" t="n">
        <f aca="false">IF(Z21&gt;360,Z21-360,Z21+0)</f>
        <v>353.2</v>
      </c>
      <c r="AD21" s="1" t="n">
        <v>285</v>
      </c>
      <c r="AE21" s="1" t="n">
        <f aca="false">COUNTIF(AB$2:AB$1500,"&lt;300")-SUM(AE2:AE20)</f>
        <v>34</v>
      </c>
      <c r="AF21" s="1"/>
      <c r="AG21" s="1" t="n">
        <v>285</v>
      </c>
      <c r="AH21" s="0" t="n">
        <f aca="false">SUMIFS(C$2:C$1500,C$2:C$1500, "&gt;=0",AB$2:AB$1500, "&lt;300",AB$2:AB$1500,"&gt;=285")</f>
        <v>68.3</v>
      </c>
    </row>
    <row r="22" customFormat="false" ht="15.8" hidden="false" customHeight="false" outlineLevel="0" collapsed="false">
      <c r="A22" s="1" t="n">
        <v>5</v>
      </c>
      <c r="B22" s="1" t="n">
        <v>4</v>
      </c>
      <c r="C22" s="1" t="n">
        <v>2.4</v>
      </c>
      <c r="D22" s="1" t="n">
        <v>1.1935</v>
      </c>
      <c r="E22" s="1" t="n">
        <v>0.0804951</v>
      </c>
      <c r="F22" s="1" t="n">
        <v>0.000218954</v>
      </c>
      <c r="G22" s="1" t="s">
        <v>27</v>
      </c>
      <c r="H22" s="1" t="n">
        <v>78.3</v>
      </c>
      <c r="I22" s="1" t="n">
        <v>34.8</v>
      </c>
      <c r="J22" s="1" t="n">
        <v>22</v>
      </c>
      <c r="K22" s="1"/>
      <c r="L22" s="1" t="n">
        <v>0</v>
      </c>
      <c r="M22" s="1" t="n">
        <v>0</v>
      </c>
      <c r="N22" s="1" t="s">
        <v>101</v>
      </c>
      <c r="O22" s="1" t="n">
        <v>300</v>
      </c>
      <c r="P22" s="1" t="n">
        <f aca="false">COUNTIF(I$2:I$1500,"&lt;315")-SUM(P2:P21)</f>
        <v>43</v>
      </c>
      <c r="S22" s="2" t="s">
        <v>102</v>
      </c>
      <c r="T22" s="1" t="n">
        <f aca="false">COUNTIFS(J$2:J$1500, "&gt;30",I$2:I$1500, "&gt;=180")-SUM(T23:T25)</f>
        <v>40</v>
      </c>
      <c r="U22" s="1" t="n">
        <v>300</v>
      </c>
      <c r="V22" s="0" t="n">
        <f aca="false">SUMIFS(C$2:C$1500,C$2:C$1500, "&gt;=0",I$2:I$1500, "&lt;315",I$2:I$1500,"&gt;=300")</f>
        <v>67</v>
      </c>
      <c r="W22" s="2" t="s">
        <v>103</v>
      </c>
      <c r="X22" s="0" t="n">
        <f aca="false">SUMIFS(C$2:C$1500,C$2:C$1500, "&gt;=0",J$2:J$1500, "&lt;-30",J$2:J$1500,"&gt;=-45",I$2:I$1500,"&gt;=180")</f>
        <v>79.4</v>
      </c>
      <c r="Z22" s="0" t="n">
        <f aca="false">I22+0</f>
        <v>34.8</v>
      </c>
      <c r="AB22" s="0" t="n">
        <f aca="false">IF(Z22&gt;360,Z22-360,Z22+0)</f>
        <v>34.8</v>
      </c>
      <c r="AD22" s="1" t="n">
        <v>300</v>
      </c>
      <c r="AE22" s="1" t="n">
        <f aca="false">COUNTIF(AB$2:AB$1500,"&lt;315")-SUM(AE2:AE21)</f>
        <v>43</v>
      </c>
      <c r="AF22" s="1"/>
      <c r="AG22" s="1" t="n">
        <v>300</v>
      </c>
      <c r="AH22" s="0" t="n">
        <f aca="false">SUMIFS(C$2:C$1500,C$2:C$1500, "&gt;=0",AB$2:AB$1500, "&lt;315",AB$2:AB$1500,"&gt;=300")</f>
        <v>67</v>
      </c>
    </row>
    <row r="23" customFormat="false" ht="15.8" hidden="false" customHeight="false" outlineLevel="0" collapsed="false">
      <c r="A23" s="1" t="n">
        <v>5</v>
      </c>
      <c r="B23" s="1" t="n">
        <v>4</v>
      </c>
      <c r="C23" s="1" t="n">
        <v>2.6</v>
      </c>
      <c r="D23" s="1" t="n">
        <v>1.7509</v>
      </c>
      <c r="E23" s="1" t="n">
        <v>0.0903372</v>
      </c>
      <c r="F23" s="1" t="n">
        <v>0.000245725</v>
      </c>
      <c r="G23" s="1" t="s">
        <v>27</v>
      </c>
      <c r="H23" s="1" t="n">
        <v>59.3</v>
      </c>
      <c r="I23" s="1" t="n">
        <v>180.6</v>
      </c>
      <c r="J23" s="1" t="n">
        <v>47.3</v>
      </c>
      <c r="K23" s="1"/>
      <c r="L23" s="1" t="n">
        <v>0</v>
      </c>
      <c r="M23" s="1" t="n">
        <v>0</v>
      </c>
      <c r="N23" s="1" t="s">
        <v>101</v>
      </c>
      <c r="O23" s="1" t="n">
        <v>315</v>
      </c>
      <c r="P23" s="1" t="n">
        <f aca="false">COUNTIF(I$2:I$1500,"&lt;330")-SUM(P2:P22)</f>
        <v>36</v>
      </c>
      <c r="S23" s="2" t="s">
        <v>104</v>
      </c>
      <c r="T23" s="1" t="n">
        <f aca="false">COUNTIFS(J$2:J$1500, "&gt;45",I$2:I$1500, "&gt;=180")-SUM(T24:T25)</f>
        <v>22</v>
      </c>
      <c r="U23" s="1" t="n">
        <v>315</v>
      </c>
      <c r="V23" s="0" t="n">
        <f aca="false">SUMIFS(C$2:C$1500,C$2:C$1500, "&gt;=0",I$2:I$1500, "&lt;330",I$2:I$1500,"&gt;=315")</f>
        <v>82.6</v>
      </c>
      <c r="W23" s="2" t="s">
        <v>105</v>
      </c>
      <c r="X23" s="0" t="n">
        <f aca="false">SUMIFS(C$2:C$1500,C$2:C$1500, "&gt;=0",J$2:J$1500, "&lt;-45",J$2:J$1500,"&gt;=-60",I$2:I$1500,"&gt;=180")</f>
        <v>43</v>
      </c>
      <c r="Z23" s="0" t="n">
        <f aca="false">I23+0</f>
        <v>180.6</v>
      </c>
      <c r="AB23" s="0" t="n">
        <f aca="false">IF(Z23&gt;360,Z23-360,Z23+0)</f>
        <v>180.6</v>
      </c>
      <c r="AD23" s="1" t="n">
        <v>315</v>
      </c>
      <c r="AE23" s="1" t="n">
        <f aca="false">COUNTIF(AB$2:AB$1500,"&lt;330")-SUM(AE2:AE22)</f>
        <v>36</v>
      </c>
      <c r="AF23" s="1"/>
      <c r="AG23" s="1" t="n">
        <v>315</v>
      </c>
      <c r="AH23" s="0" t="n">
        <f aca="false">SUMIFS(C$2:C$1500,C$2:C$1500, "&gt;=0",AB$2:AB$1500, "&lt;330",AB$2:AB$1500,"&gt;=315")</f>
        <v>82.6</v>
      </c>
    </row>
    <row r="24" customFormat="false" ht="15.8" hidden="false" customHeight="false" outlineLevel="0" collapsed="false">
      <c r="A24" s="1" t="n">
        <v>5</v>
      </c>
      <c r="B24" s="1" t="n">
        <v>3</v>
      </c>
      <c r="C24" s="1" t="n">
        <v>2.9</v>
      </c>
      <c r="D24" s="1" t="n">
        <v>1.353</v>
      </c>
      <c r="E24" s="1" t="n">
        <v>0.0999119</v>
      </c>
      <c r="F24" s="1" t="n">
        <v>0.000271769</v>
      </c>
      <c r="G24" s="1" t="s">
        <v>52</v>
      </c>
      <c r="H24" s="1" t="n">
        <v>37.3</v>
      </c>
      <c r="I24" s="1" t="n">
        <v>290.6</v>
      </c>
      <c r="J24" s="1" t="n">
        <v>58.9</v>
      </c>
      <c r="K24" s="1" t="n">
        <v>78.3</v>
      </c>
      <c r="L24" s="1" t="n">
        <v>0</v>
      </c>
      <c r="M24" s="1" t="n">
        <v>0</v>
      </c>
      <c r="N24" s="1" t="s">
        <v>106</v>
      </c>
      <c r="O24" s="1" t="n">
        <v>330</v>
      </c>
      <c r="P24" s="1" t="n">
        <f aca="false">COUNTIF(I$2:I$1500,"&lt;345")-SUM(P2:P23)</f>
        <v>40</v>
      </c>
      <c r="S24" s="2" t="s">
        <v>107</v>
      </c>
      <c r="T24" s="1" t="n">
        <f aca="false">COUNTIFS(J$2:J$1500, "&gt;60",I$2:I$1500, "&gt;=180")-T25</f>
        <v>11</v>
      </c>
      <c r="U24" s="1" t="n">
        <v>330</v>
      </c>
      <c r="V24" s="0" t="n">
        <f aca="false">SUMIFS(C$2:C$1500,C$2:C$1500, "&gt;=0",I$2:I$1500, "&lt;345",I$2:I$1500,"&gt;=330")</f>
        <v>107.3</v>
      </c>
      <c r="W24" s="2" t="s">
        <v>108</v>
      </c>
      <c r="X24" s="0" t="n">
        <f aca="false">SUMIFS(C$2:C$1500,C$2:C$1500, "&gt;=0",J$2:J$1500, "&lt;-60",J$2:J$1500,"&gt;=-75",I$2:I$1500,"&gt;=180")</f>
        <v>27.7</v>
      </c>
      <c r="Z24" s="0" t="n">
        <f aca="false">I24+0</f>
        <v>290.6</v>
      </c>
      <c r="AB24" s="0" t="n">
        <f aca="false">IF(Z24&gt;360,Z24-360,Z24+0)</f>
        <v>290.6</v>
      </c>
      <c r="AD24" s="1" t="n">
        <v>330</v>
      </c>
      <c r="AE24" s="1" t="n">
        <f aca="false">COUNTIF(AB$2:AB$1500,"&lt;345")-SUM(AE2:AE23)</f>
        <v>40</v>
      </c>
      <c r="AF24" s="1"/>
      <c r="AG24" s="1" t="n">
        <v>330</v>
      </c>
      <c r="AH24" s="0" t="n">
        <f aca="false">SUMIFS(C$2:C$1500,C$2:C$1500, "&gt;=0",AB$2:AB$1500, "&lt;345",AB$2:AB$1500,"&gt;=330")</f>
        <v>107.3</v>
      </c>
    </row>
    <row r="25" customFormat="false" ht="15.8" hidden="false" customHeight="false" outlineLevel="0" collapsed="false">
      <c r="A25" s="1" t="n">
        <v>5</v>
      </c>
      <c r="B25" s="1" t="n">
        <v>6</v>
      </c>
      <c r="C25" s="1" t="n">
        <v>4.4</v>
      </c>
      <c r="D25" s="1" t="n">
        <v>1.2216</v>
      </c>
      <c r="E25" s="1" t="n">
        <v>0.151225</v>
      </c>
      <c r="F25" s="1" t="n">
        <v>0.000411345</v>
      </c>
      <c r="G25" s="1" t="s">
        <v>27</v>
      </c>
      <c r="H25" s="1" t="n">
        <v>19.1</v>
      </c>
      <c r="I25" s="1" t="n">
        <v>169.1</v>
      </c>
      <c r="J25" s="1" t="n">
        <v>30.7</v>
      </c>
      <c r="K25" s="1"/>
      <c r="L25" s="1" t="n">
        <v>0</v>
      </c>
      <c r="M25" s="1" t="n">
        <v>0</v>
      </c>
      <c r="N25" s="1" t="s">
        <v>109</v>
      </c>
      <c r="O25" s="1" t="n">
        <v>345</v>
      </c>
      <c r="P25" s="1" t="n">
        <f aca="false">COUNTIF(I$2:I$1500,"&lt;=360")-SUM(P2:P24)</f>
        <v>47</v>
      </c>
      <c r="S25" s="2" t="s">
        <v>110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113.3</v>
      </c>
      <c r="W25" s="2" t="s">
        <v>111</v>
      </c>
      <c r="X25" s="0" t="n">
        <f aca="false">SUMIFS(C$2:C$1500,C$2:C$1500, "&gt;=0",J$2:J$1500, "&lt;-75",J$2:J$1500,"&gt;=-90",I$2:I$1500,"&gt;=180")</f>
        <v>1.3</v>
      </c>
      <c r="Z25" s="0" t="n">
        <f aca="false">I25+0</f>
        <v>169.1</v>
      </c>
      <c r="AB25" s="0" t="n">
        <f aca="false">IF(Z25&gt;360,Z25-360,Z25+0)</f>
        <v>169.1</v>
      </c>
      <c r="AD25" s="1" t="n">
        <v>345</v>
      </c>
      <c r="AE25" s="1" t="n">
        <f aca="false">COUNTIF(AB$2:AB$1500,"&lt;=360")-SUM(AE2:AE24)</f>
        <v>47</v>
      </c>
      <c r="AF25" s="1"/>
      <c r="AG25" s="1" t="n">
        <v>345</v>
      </c>
      <c r="AH25" s="0" t="n">
        <f aca="false">SUMIFS(C$2:C$1500,C$2:C$1500, "&gt;=0",AB$2:AB$1500, "&lt;=360",AB$2:AB$1500,"&gt;=345")</f>
        <v>113.3</v>
      </c>
    </row>
    <row r="26" customFormat="false" ht="15.8" hidden="false" customHeight="false" outlineLevel="0" collapsed="false">
      <c r="A26" s="1" t="n">
        <v>5</v>
      </c>
      <c r="B26" s="1" t="n">
        <v>6</v>
      </c>
      <c r="C26" s="1" t="n">
        <v>1.2</v>
      </c>
      <c r="D26" s="1" t="n">
        <v>1.0284</v>
      </c>
      <c r="E26" s="1" t="n">
        <v>0.0426539</v>
      </c>
      <c r="F26" s="1" t="n">
        <v>0.000116022</v>
      </c>
      <c r="G26" s="1" t="s">
        <v>27</v>
      </c>
      <c r="H26" s="1" t="n">
        <v>127.5</v>
      </c>
      <c r="I26" s="1" t="n">
        <v>57.5</v>
      </c>
      <c r="J26" s="1" t="n">
        <v>0</v>
      </c>
      <c r="K26" s="1"/>
      <c r="L26" s="1" t="n">
        <v>0</v>
      </c>
      <c r="M26" s="1" t="n">
        <v>0</v>
      </c>
      <c r="N26" s="1" t="s">
        <v>109</v>
      </c>
      <c r="O26" s="1" t="s">
        <v>112</v>
      </c>
      <c r="P26" s="1" t="n">
        <f aca="false">SUM(P2:P25)</f>
        <v>1153</v>
      </c>
      <c r="R26" s="1" t="n">
        <f aca="false">SUM(R2:R14)</f>
        <v>1153</v>
      </c>
      <c r="S26" s="2"/>
      <c r="T26" s="1" t="n">
        <f aca="false">SUM(T2:T25)</f>
        <v>1153</v>
      </c>
      <c r="U26" s="1" t="s">
        <v>112</v>
      </c>
      <c r="V26" s="0" t="n">
        <f aca="false">SUM(V2:V25)</f>
        <v>2510.9</v>
      </c>
      <c r="X26" s="0" t="n">
        <f aca="false">SUM(X2:X25)</f>
        <v>2510.9</v>
      </c>
      <c r="Z26" s="0" t="n">
        <f aca="false">I26+0</f>
        <v>57.5</v>
      </c>
      <c r="AB26" s="0" t="n">
        <f aca="false">IF(Z26&gt;360,Z26-360,Z26+0)</f>
        <v>57.5</v>
      </c>
      <c r="AD26" s="1" t="s">
        <v>112</v>
      </c>
      <c r="AE26" s="1" t="n">
        <f aca="false">SUM(AE2:AE25)</f>
        <v>1153</v>
      </c>
      <c r="AF26" s="1"/>
      <c r="AG26" s="1" t="s">
        <v>112</v>
      </c>
      <c r="AH26" s="0" t="n">
        <f aca="false">SUM(AH2:AH25)</f>
        <v>2510.9</v>
      </c>
      <c r="AJ26" s="0" t="s">
        <v>65</v>
      </c>
      <c r="AK26" s="0" t="n">
        <f aca="false">SUM(AK2:AK14)</f>
        <v>2510.9</v>
      </c>
    </row>
    <row r="27" customFormat="false" ht="15.8" hidden="false" customHeight="false" outlineLevel="0" collapsed="false">
      <c r="A27" s="1" t="n">
        <v>5</v>
      </c>
      <c r="B27" s="1" t="n">
        <v>5</v>
      </c>
      <c r="C27" s="1" t="n">
        <v>4.6</v>
      </c>
      <c r="D27" s="1" t="n">
        <v>1.3956</v>
      </c>
      <c r="E27" s="1" t="n">
        <v>0.158506</v>
      </c>
      <c r="F27" s="1" t="n">
        <v>0.00043115</v>
      </c>
      <c r="G27" s="1" t="s">
        <v>52</v>
      </c>
      <c r="H27" s="1" t="n">
        <v>35.4</v>
      </c>
      <c r="I27" s="1" t="n">
        <v>190.3</v>
      </c>
      <c r="J27" s="1" t="n">
        <v>26.4</v>
      </c>
      <c r="K27" s="1" t="n">
        <v>127.5</v>
      </c>
      <c r="L27" s="1" t="n">
        <v>0</v>
      </c>
      <c r="M27" s="1" t="n">
        <v>0</v>
      </c>
      <c r="N27" s="1" t="s">
        <v>113</v>
      </c>
      <c r="O27" s="1" t="s">
        <v>114</v>
      </c>
      <c r="P27" s="1" t="n">
        <f aca="false">COUNT(I2:I1500)</f>
        <v>1153</v>
      </c>
      <c r="R27" s="1" t="n">
        <f aca="false">COUNT(J2:J1500)</f>
        <v>1153</v>
      </c>
      <c r="S27" s="2"/>
      <c r="U27" s="1" t="s">
        <v>115</v>
      </c>
      <c r="V27" s="0" t="n">
        <f aca="false">SUM(C2:C1204)</f>
        <v>2510.9</v>
      </c>
      <c r="Z27" s="0" t="n">
        <f aca="false">I27+0</f>
        <v>190.3</v>
      </c>
      <c r="AB27" s="0" t="n">
        <f aca="false">IF(Z27&gt;360,Z27-360,Z27+0)</f>
        <v>190.3</v>
      </c>
      <c r="AD27" s="1" t="s">
        <v>114</v>
      </c>
      <c r="AE27" s="1" t="n">
        <f aca="false">COUNT(Z2:Z1500)</f>
        <v>1153</v>
      </c>
      <c r="AF27" s="1"/>
      <c r="AG27" s="1" t="s">
        <v>115</v>
      </c>
      <c r="AH27" s="0" t="n">
        <f aca="false">SUM(C2:C1500)</f>
        <v>2510.9</v>
      </c>
    </row>
    <row r="28" customFormat="false" ht="15.8" hidden="false" customHeight="false" outlineLevel="0" collapsed="false">
      <c r="A28" s="1" t="n">
        <v>5</v>
      </c>
      <c r="B28" s="1" t="n">
        <v>5</v>
      </c>
      <c r="C28" s="1" t="n">
        <v>0.6</v>
      </c>
      <c r="D28" s="1" t="n">
        <v>1.0958</v>
      </c>
      <c r="E28" s="1" t="n">
        <v>0.0194828</v>
      </c>
      <c r="F28" s="1" t="n">
        <v>5.2995E-005</v>
      </c>
      <c r="G28" s="1" t="s">
        <v>27</v>
      </c>
      <c r="H28" s="1" t="n">
        <v>73.8</v>
      </c>
      <c r="I28" s="1" t="n">
        <v>53.5</v>
      </c>
      <c r="J28" s="1" t="n">
        <v>45.3</v>
      </c>
      <c r="K28" s="1"/>
      <c r="L28" s="1" t="n">
        <v>0</v>
      </c>
      <c r="M28" s="1" t="n">
        <v>0</v>
      </c>
      <c r="N28" s="1" t="s">
        <v>113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0" t="n">
        <f aca="false">I28+0</f>
        <v>53.5</v>
      </c>
      <c r="AB28" s="0" t="n">
        <f aca="false">IF(Z28&gt;360,Z28-360,Z28+0)</f>
        <v>53.5</v>
      </c>
      <c r="AC28" s="1"/>
      <c r="AD28" s="1"/>
      <c r="AE28" s="1"/>
      <c r="AF28" s="1"/>
    </row>
    <row r="29" customFormat="false" ht="15.8" hidden="false" customHeight="false" outlineLevel="0" collapsed="false">
      <c r="A29" s="1" t="n">
        <v>5</v>
      </c>
      <c r="B29" s="1" t="n">
        <v>4</v>
      </c>
      <c r="C29" s="1" t="n">
        <v>5.9</v>
      </c>
      <c r="D29" s="1" t="n">
        <v>1.3003</v>
      </c>
      <c r="E29" s="1" t="n">
        <v>0.200173</v>
      </c>
      <c r="F29" s="1" t="n">
        <v>0.000544487</v>
      </c>
      <c r="G29" s="1" t="s">
        <v>52</v>
      </c>
      <c r="H29" s="1" t="n">
        <v>43</v>
      </c>
      <c r="I29" s="1" t="n">
        <v>150.2</v>
      </c>
      <c r="J29" s="1" t="n">
        <v>29.5</v>
      </c>
      <c r="K29" s="1" t="n">
        <v>73.8</v>
      </c>
      <c r="L29" s="1" t="n">
        <v>0</v>
      </c>
      <c r="M29" s="1" t="n">
        <v>0</v>
      </c>
      <c r="N29" s="1" t="s">
        <v>116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0" t="n">
        <f aca="false">I29+0</f>
        <v>150.2</v>
      </c>
      <c r="AB29" s="0" t="n">
        <f aca="false">IF(Z29&gt;360,Z29-360,Z29+0)</f>
        <v>150.2</v>
      </c>
      <c r="AC29" s="1"/>
      <c r="AD29" s="1"/>
      <c r="AE29" s="1"/>
      <c r="AF29" s="1"/>
    </row>
    <row r="30" customFormat="false" ht="15.8" hidden="false" customHeight="false" outlineLevel="0" collapsed="false">
      <c r="A30" s="1" t="n">
        <v>5</v>
      </c>
      <c r="B30" s="1" t="n">
        <v>5</v>
      </c>
      <c r="C30" s="1" t="n">
        <v>1.6</v>
      </c>
      <c r="D30" s="1" t="n">
        <v>1.2161</v>
      </c>
      <c r="E30" s="1" t="n">
        <v>0.0531597</v>
      </c>
      <c r="F30" s="1" t="n">
        <v>0.000144599</v>
      </c>
      <c r="G30" s="1" t="s">
        <v>27</v>
      </c>
      <c r="H30" s="1" t="n">
        <v>93.7</v>
      </c>
      <c r="I30" s="1" t="n">
        <v>329.6</v>
      </c>
      <c r="J30" s="1" t="n">
        <v>-16.8</v>
      </c>
      <c r="K30" s="1"/>
      <c r="L30" s="1" t="n">
        <v>0</v>
      </c>
      <c r="M30" s="1" t="n">
        <v>0</v>
      </c>
      <c r="N30" s="1" t="s">
        <v>117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0" t="n">
        <f aca="false">I30+0</f>
        <v>329.6</v>
      </c>
      <c r="AB30" s="0" t="n">
        <f aca="false">IF(Z30&gt;360,Z30-360,Z30+0)</f>
        <v>329.6</v>
      </c>
      <c r="AC30" s="1"/>
      <c r="AD30" s="1"/>
      <c r="AE30" s="1"/>
      <c r="AF30" s="1"/>
    </row>
    <row r="31" customFormat="false" ht="15.8" hidden="false" customHeight="false" outlineLevel="0" collapsed="false">
      <c r="A31" s="1" t="n">
        <v>5</v>
      </c>
      <c r="B31" s="1" t="n">
        <v>9</v>
      </c>
      <c r="C31" s="1" t="n">
        <v>3.5</v>
      </c>
      <c r="D31" s="1" t="n">
        <v>1.1886</v>
      </c>
      <c r="E31" s="1" t="n">
        <v>0.118248</v>
      </c>
      <c r="F31" s="1" t="n">
        <v>0.000321644</v>
      </c>
      <c r="G31" s="1" t="s">
        <v>27</v>
      </c>
      <c r="H31" s="1" t="n">
        <v>56</v>
      </c>
      <c r="I31" s="1" t="n">
        <v>198.2</v>
      </c>
      <c r="J31" s="1" t="n">
        <v>7.3</v>
      </c>
      <c r="K31" s="1"/>
      <c r="L31" s="1" t="n">
        <v>0</v>
      </c>
      <c r="M31" s="1" t="n">
        <v>0</v>
      </c>
      <c r="N31" s="1" t="s">
        <v>118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0" t="n">
        <f aca="false">I31+0</f>
        <v>198.2</v>
      </c>
      <c r="AB31" s="0" t="n">
        <f aca="false">IF(Z31&gt;360,Z31-360,Z31+0)</f>
        <v>198.2</v>
      </c>
      <c r="AC31" s="1"/>
      <c r="AD31" s="1"/>
      <c r="AE31" s="1"/>
      <c r="AF31" s="1"/>
    </row>
    <row r="32" customFormat="false" ht="15.8" hidden="false" customHeight="false" outlineLevel="0" collapsed="false">
      <c r="A32" s="1" t="n">
        <v>5</v>
      </c>
      <c r="B32" s="1" t="n">
        <v>9</v>
      </c>
      <c r="C32" s="1" t="n">
        <v>2</v>
      </c>
      <c r="D32" s="1" t="n">
        <v>1.4611</v>
      </c>
      <c r="E32" s="1" t="n">
        <v>0.0697264</v>
      </c>
      <c r="F32" s="1" t="n">
        <v>0.000189662</v>
      </c>
      <c r="G32" s="1" t="s">
        <v>27</v>
      </c>
      <c r="H32" s="1" t="n">
        <v>37.7</v>
      </c>
      <c r="I32" s="1" t="n">
        <v>104.9</v>
      </c>
      <c r="J32" s="1" t="n">
        <v>0</v>
      </c>
      <c r="K32" s="1"/>
      <c r="L32" s="1" t="n">
        <v>0</v>
      </c>
      <c r="M32" s="1" t="n">
        <v>0</v>
      </c>
      <c r="N32" s="1" t="s">
        <v>118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0" t="n">
        <f aca="false">I32+0</f>
        <v>104.9</v>
      </c>
      <c r="AB32" s="0" t="n">
        <f aca="false">IF(Z32&gt;360,Z32-360,Z32+0)</f>
        <v>104.9</v>
      </c>
      <c r="AC32" s="1"/>
      <c r="AD32" s="1"/>
      <c r="AE32" s="1"/>
      <c r="AF32" s="1"/>
    </row>
    <row r="33" customFormat="false" ht="15.8" hidden="false" customHeight="false" outlineLevel="0" collapsed="false">
      <c r="A33" s="1" t="n">
        <v>5</v>
      </c>
      <c r="B33" s="1" t="n">
        <v>8</v>
      </c>
      <c r="C33" s="1" t="n">
        <v>0.9</v>
      </c>
      <c r="D33" s="1" t="n">
        <v>1.0263</v>
      </c>
      <c r="E33" s="1" t="n">
        <v>0.0307666</v>
      </c>
      <c r="F33" s="1" t="n">
        <v>8.36879E-005</v>
      </c>
      <c r="G33" s="1" t="s">
        <v>52</v>
      </c>
      <c r="H33" s="1" t="n">
        <v>59.8</v>
      </c>
      <c r="I33" s="1" t="n">
        <v>142.6</v>
      </c>
      <c r="J33" s="1" t="n">
        <v>0</v>
      </c>
      <c r="K33" s="1" t="n">
        <v>56</v>
      </c>
      <c r="L33" s="1" t="n">
        <v>0</v>
      </c>
      <c r="M33" s="1" t="n">
        <v>0</v>
      </c>
      <c r="N33" s="1" t="s">
        <v>119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0" t="n">
        <f aca="false">I33+0</f>
        <v>142.6</v>
      </c>
      <c r="AB33" s="0" t="n">
        <f aca="false">IF(Z33&gt;360,Z33-360,Z33+0)</f>
        <v>142.6</v>
      </c>
      <c r="AC33" s="1"/>
      <c r="AD33" s="1"/>
      <c r="AE33" s="1"/>
      <c r="AF33" s="1"/>
    </row>
    <row r="34" customFormat="false" ht="15.8" hidden="false" customHeight="false" outlineLevel="0" collapsed="false">
      <c r="A34" s="1" t="n">
        <v>5</v>
      </c>
      <c r="B34" s="1" t="n">
        <v>8</v>
      </c>
      <c r="C34" s="1" t="n">
        <v>0.8</v>
      </c>
      <c r="D34" s="1" t="n">
        <v>1.0084</v>
      </c>
      <c r="E34" s="1" t="n">
        <v>0.0257234</v>
      </c>
      <c r="F34" s="1" t="n">
        <v>6.997E-005</v>
      </c>
      <c r="G34" s="1" t="s">
        <v>27</v>
      </c>
      <c r="H34" s="1" t="n">
        <v>112.8</v>
      </c>
      <c r="I34" s="1" t="n">
        <v>314.4</v>
      </c>
      <c r="J34" s="1" t="n">
        <v>0</v>
      </c>
      <c r="K34" s="1"/>
      <c r="L34" s="1" t="n">
        <v>0</v>
      </c>
      <c r="M34" s="1" t="n">
        <v>0</v>
      </c>
      <c r="N34" s="1" t="s">
        <v>119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0" t="n">
        <f aca="false">I34+0</f>
        <v>314.4</v>
      </c>
      <c r="AB34" s="0" t="n">
        <f aca="false">IF(Z34&gt;360,Z34-360,Z34+0)</f>
        <v>314.4</v>
      </c>
      <c r="AC34" s="1"/>
      <c r="AD34" s="1"/>
      <c r="AE34" s="1"/>
      <c r="AF34" s="1"/>
    </row>
    <row r="35" customFormat="false" ht="15.8" hidden="false" customHeight="false" outlineLevel="0" collapsed="false">
      <c r="A35" s="1" t="n">
        <v>5</v>
      </c>
      <c r="B35" s="1" t="n">
        <v>7</v>
      </c>
      <c r="C35" s="1" t="n">
        <v>5.2</v>
      </c>
      <c r="D35" s="1" t="n">
        <v>1.3838</v>
      </c>
      <c r="E35" s="1" t="n">
        <v>0.177042</v>
      </c>
      <c r="F35" s="1" t="n">
        <v>0.000481569</v>
      </c>
      <c r="G35" s="1" t="s">
        <v>52</v>
      </c>
      <c r="H35" s="1" t="n">
        <v>74</v>
      </c>
      <c r="I35" s="1" t="n">
        <v>199.4</v>
      </c>
      <c r="J35" s="1" t="n">
        <v>23.3</v>
      </c>
      <c r="K35" s="1" t="n">
        <v>112.8</v>
      </c>
      <c r="L35" s="1" t="n">
        <v>0</v>
      </c>
      <c r="M35" s="1" t="n">
        <v>0</v>
      </c>
      <c r="N35" s="1" t="s">
        <v>120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0" t="n">
        <f aca="false">I35+0</f>
        <v>199.4</v>
      </c>
      <c r="AB35" s="0" t="n">
        <f aca="false">IF(Z35&gt;360,Z35-360,Z35+0)</f>
        <v>199.4</v>
      </c>
      <c r="AC35" s="1"/>
      <c r="AD35" s="1"/>
      <c r="AE35" s="1"/>
      <c r="AF35" s="1"/>
    </row>
    <row r="36" customFormat="false" ht="15.8" hidden="false" customHeight="false" outlineLevel="0" collapsed="false">
      <c r="A36" s="1" t="n">
        <v>5</v>
      </c>
      <c r="B36" s="1" t="n">
        <v>7</v>
      </c>
      <c r="C36" s="1" t="n">
        <v>1.3</v>
      </c>
      <c r="D36" s="1" t="n">
        <v>1.0389</v>
      </c>
      <c r="E36" s="1" t="n">
        <v>0.0433943</v>
      </c>
      <c r="F36" s="1" t="n">
        <v>0.000118036</v>
      </c>
      <c r="G36" s="1" t="s">
        <v>27</v>
      </c>
      <c r="H36" s="1" t="n">
        <v>63.3</v>
      </c>
      <c r="I36" s="1" t="n">
        <v>335.3</v>
      </c>
      <c r="J36" s="1" t="n">
        <v>0</v>
      </c>
      <c r="K36" s="1"/>
      <c r="L36" s="1" t="n">
        <v>0</v>
      </c>
      <c r="M36" s="1" t="n">
        <v>0</v>
      </c>
      <c r="N36" s="1" t="s">
        <v>120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0" t="n">
        <f aca="false">I36+0</f>
        <v>335.3</v>
      </c>
      <c r="AB36" s="0" t="n">
        <f aca="false">IF(Z36&gt;360,Z36-360,Z36+0)</f>
        <v>335.3</v>
      </c>
      <c r="AC36" s="1"/>
      <c r="AD36" s="1"/>
      <c r="AE36" s="1"/>
      <c r="AF36" s="1"/>
    </row>
    <row r="37" customFormat="false" ht="15.8" hidden="false" customHeight="false" outlineLevel="0" collapsed="false">
      <c r="A37" s="1" t="n">
        <v>5</v>
      </c>
      <c r="B37" s="1" t="n">
        <v>6</v>
      </c>
      <c r="C37" s="1" t="n">
        <v>0.7</v>
      </c>
      <c r="D37" s="1" t="n">
        <v>1.0679</v>
      </c>
      <c r="E37" s="1" t="n">
        <v>0.0234466</v>
      </c>
      <c r="F37" s="1" t="n">
        <v>6.37768E-005</v>
      </c>
      <c r="G37" s="1" t="s">
        <v>52</v>
      </c>
      <c r="H37" s="1" t="n">
        <v>76.7</v>
      </c>
      <c r="I37" s="1" t="n">
        <v>271.9</v>
      </c>
      <c r="J37" s="1" t="n">
        <v>0</v>
      </c>
      <c r="K37" s="1" t="n">
        <v>74</v>
      </c>
      <c r="L37" s="1" t="n">
        <v>0</v>
      </c>
      <c r="M37" s="1" t="n">
        <v>0</v>
      </c>
      <c r="N37" s="1" t="s">
        <v>121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0" t="n">
        <f aca="false">I37+0</f>
        <v>271.9</v>
      </c>
      <c r="AB37" s="0" t="n">
        <f aca="false">IF(Z37&gt;360,Z37-360,Z37+0)</f>
        <v>271.9</v>
      </c>
      <c r="AC37" s="1"/>
      <c r="AD37" s="1"/>
      <c r="AE37" s="1"/>
      <c r="AF37" s="1"/>
    </row>
    <row r="38" customFormat="false" ht="15.8" hidden="false" customHeight="false" outlineLevel="0" collapsed="false">
      <c r="A38" s="1" t="n">
        <v>5</v>
      </c>
      <c r="B38" s="1" t="n">
        <v>7</v>
      </c>
      <c r="C38" s="1" t="n">
        <v>0.6</v>
      </c>
      <c r="D38" s="1" t="n">
        <v>1.131</v>
      </c>
      <c r="E38" s="1" t="n">
        <v>0.0193598</v>
      </c>
      <c r="F38" s="1" t="n">
        <v>5.26604E-005</v>
      </c>
      <c r="G38" s="1" t="s">
        <v>27</v>
      </c>
      <c r="H38" s="1" t="n">
        <v>115.1</v>
      </c>
      <c r="I38" s="1" t="n">
        <v>1.8</v>
      </c>
      <c r="J38" s="1" t="n">
        <v>-47.6</v>
      </c>
      <c r="K38" s="1"/>
      <c r="L38" s="1" t="n">
        <v>0</v>
      </c>
      <c r="M38" s="1" t="n">
        <v>0</v>
      </c>
      <c r="N38" s="1" t="s">
        <v>122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0" t="n">
        <f aca="false">I38+0</f>
        <v>1.8</v>
      </c>
      <c r="AB38" s="0" t="n">
        <f aca="false">IF(Z38&gt;360,Z38-360,Z38+0)</f>
        <v>1.8</v>
      </c>
      <c r="AC38" s="1"/>
      <c r="AD38" s="1"/>
      <c r="AE38" s="1"/>
      <c r="AF38" s="1"/>
    </row>
    <row r="39" customFormat="false" ht="15.8" hidden="false" customHeight="false" outlineLevel="0" collapsed="false">
      <c r="A39" s="1" t="n">
        <v>5</v>
      </c>
      <c r="B39" s="1" t="n">
        <v>7</v>
      </c>
      <c r="C39" s="1" t="n">
        <v>5</v>
      </c>
      <c r="D39" s="1" t="n">
        <v>1.1579</v>
      </c>
      <c r="E39" s="1" t="n">
        <v>0.170149</v>
      </c>
      <c r="F39" s="1" t="n">
        <v>0.000462819</v>
      </c>
      <c r="G39" s="1" t="s">
        <v>27</v>
      </c>
      <c r="H39" s="1" t="n">
        <v>50.2</v>
      </c>
      <c r="I39" s="1" t="n">
        <v>188</v>
      </c>
      <c r="J39" s="1" t="n">
        <v>15</v>
      </c>
      <c r="K39" s="1"/>
      <c r="L39" s="1" t="n">
        <v>0</v>
      </c>
      <c r="M39" s="1" t="n">
        <v>0</v>
      </c>
      <c r="N39" s="1" t="s">
        <v>122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0" t="n">
        <f aca="false">I39+0</f>
        <v>188</v>
      </c>
      <c r="AB39" s="0" t="n">
        <f aca="false">IF(Z39&gt;360,Z39-360,Z39+0)</f>
        <v>188</v>
      </c>
      <c r="AC39" s="1"/>
      <c r="AD39" s="1"/>
      <c r="AE39" s="1"/>
      <c r="AF39" s="1"/>
    </row>
    <row r="40" customFormat="false" ht="15.8" hidden="false" customHeight="false" outlineLevel="0" collapsed="false">
      <c r="A40" s="1" t="n">
        <v>5</v>
      </c>
      <c r="B40" s="1" t="n">
        <v>6</v>
      </c>
      <c r="C40" s="1" t="n">
        <v>3.9</v>
      </c>
      <c r="D40" s="1" t="n">
        <v>1.3215</v>
      </c>
      <c r="E40" s="1" t="n">
        <v>0.132581</v>
      </c>
      <c r="F40" s="1" t="n">
        <v>0.000360631</v>
      </c>
      <c r="G40" s="1" t="s">
        <v>52</v>
      </c>
      <c r="H40" s="1" t="n">
        <v>58.9</v>
      </c>
      <c r="I40" s="1" t="n">
        <v>142.5</v>
      </c>
      <c r="J40" s="1" t="n">
        <v>-7.2</v>
      </c>
      <c r="K40" s="1" t="n">
        <v>115.1</v>
      </c>
      <c r="L40" s="1" t="n">
        <v>0</v>
      </c>
      <c r="M40" s="1" t="n">
        <v>0</v>
      </c>
      <c r="N40" s="1" t="s">
        <v>121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0" t="n">
        <f aca="false">I40+0</f>
        <v>142.5</v>
      </c>
      <c r="AB40" s="0" t="n">
        <f aca="false">IF(Z40&gt;360,Z40-360,Z40+0)</f>
        <v>142.5</v>
      </c>
      <c r="AC40" s="1"/>
      <c r="AD40" s="1"/>
      <c r="AE40" s="1"/>
      <c r="AF40" s="1"/>
    </row>
    <row r="41" customFormat="false" ht="15.8" hidden="false" customHeight="false" outlineLevel="0" collapsed="false">
      <c r="A41" s="1" t="n">
        <v>5</v>
      </c>
      <c r="B41" s="1" t="n">
        <v>5</v>
      </c>
      <c r="C41" s="1" t="n">
        <v>1.4</v>
      </c>
      <c r="D41" s="1" t="n">
        <v>1.266</v>
      </c>
      <c r="E41" s="1" t="n">
        <v>0.048752</v>
      </c>
      <c r="F41" s="1" t="n">
        <v>0.00013261</v>
      </c>
      <c r="G41" s="1" t="s">
        <v>52</v>
      </c>
      <c r="H41" s="1" t="n">
        <v>43.2</v>
      </c>
      <c r="I41" s="1" t="n">
        <v>196</v>
      </c>
      <c r="J41" s="1" t="n">
        <v>19.2</v>
      </c>
      <c r="K41" s="1" t="n">
        <v>76.7</v>
      </c>
      <c r="L41" s="1" t="n">
        <v>0</v>
      </c>
      <c r="M41" s="1" t="n">
        <v>0</v>
      </c>
      <c r="N41" s="1" t="s">
        <v>117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0" t="n">
        <f aca="false">I41+0</f>
        <v>196</v>
      </c>
      <c r="AB41" s="0" t="n">
        <f aca="false">IF(Z41&gt;360,Z41-360,Z41+0)</f>
        <v>196</v>
      </c>
      <c r="AC41" s="1"/>
      <c r="AD41" s="1"/>
      <c r="AE41" s="1"/>
      <c r="AF41" s="1"/>
    </row>
    <row r="42" customFormat="false" ht="15.8" hidden="false" customHeight="false" outlineLevel="0" collapsed="false">
      <c r="A42" s="1" t="n">
        <v>5</v>
      </c>
      <c r="B42" s="1" t="n">
        <v>4</v>
      </c>
      <c r="C42" s="1" t="n">
        <v>2.6</v>
      </c>
      <c r="D42" s="1" t="n">
        <v>1.2576</v>
      </c>
      <c r="E42" s="1" t="n">
        <v>0.0879665</v>
      </c>
      <c r="F42" s="1" t="n">
        <v>0.000239277</v>
      </c>
      <c r="G42" s="1" t="s">
        <v>52</v>
      </c>
      <c r="H42" s="1" t="n">
        <v>48.4</v>
      </c>
      <c r="I42" s="1" t="n">
        <v>242.1</v>
      </c>
      <c r="J42" s="1" t="n">
        <v>21.2</v>
      </c>
      <c r="K42" s="1" t="n">
        <v>93.7</v>
      </c>
      <c r="L42" s="1" t="n">
        <v>0</v>
      </c>
      <c r="M42" s="1" t="n">
        <v>0</v>
      </c>
      <c r="N42" s="1" t="s">
        <v>116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0" t="n">
        <f aca="false">I42+0</f>
        <v>242.1</v>
      </c>
      <c r="AB42" s="0" t="n">
        <f aca="false">IF(Z42&gt;360,Z42-360,Z42+0)</f>
        <v>242.1</v>
      </c>
      <c r="AC42" s="1"/>
      <c r="AD42" s="1"/>
      <c r="AE42" s="1"/>
      <c r="AF42" s="1"/>
    </row>
    <row r="43" customFormat="false" ht="15.8" hidden="false" customHeight="false" outlineLevel="0" collapsed="false">
      <c r="A43" s="1" t="n">
        <v>5</v>
      </c>
      <c r="B43" s="1" t="n">
        <v>3</v>
      </c>
      <c r="C43" s="1" t="n">
        <v>4.8</v>
      </c>
      <c r="D43" s="1" t="n">
        <v>1.3356</v>
      </c>
      <c r="E43" s="1" t="n">
        <v>0.165436</v>
      </c>
      <c r="F43" s="1" t="n">
        <v>0.000450001</v>
      </c>
      <c r="G43" s="1" t="s">
        <v>52</v>
      </c>
      <c r="H43" s="1" t="n">
        <v>50.5</v>
      </c>
      <c r="I43" s="1" t="n">
        <v>192.4</v>
      </c>
      <c r="J43" s="1" t="n">
        <v>11.8</v>
      </c>
      <c r="K43" s="1" t="n">
        <v>48.4</v>
      </c>
      <c r="L43" s="1" t="n">
        <v>0</v>
      </c>
      <c r="M43" s="1" t="n">
        <v>0</v>
      </c>
      <c r="N43" s="1" t="s">
        <v>106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0" t="n">
        <f aca="false">I43+0</f>
        <v>192.4</v>
      </c>
      <c r="AB43" s="0" t="n">
        <f aca="false">IF(Z43&gt;360,Z43-360,Z43+0)</f>
        <v>192.4</v>
      </c>
      <c r="AC43" s="1"/>
      <c r="AD43" s="1"/>
      <c r="AE43" s="1"/>
      <c r="AF43" s="1"/>
    </row>
    <row r="44" customFormat="false" ht="15.8" hidden="false" customHeight="false" outlineLevel="0" collapsed="false">
      <c r="A44" s="1" t="n">
        <v>5</v>
      </c>
      <c r="B44" s="1" t="n">
        <v>2</v>
      </c>
      <c r="C44" s="1" t="n">
        <v>1.1</v>
      </c>
      <c r="D44" s="1" t="n">
        <v>1.242</v>
      </c>
      <c r="E44" s="1" t="n">
        <v>0.0362411</v>
      </c>
      <c r="F44" s="1" t="n">
        <v>9.85789E-005</v>
      </c>
      <c r="G44" s="1" t="s">
        <v>52</v>
      </c>
      <c r="H44" s="1" t="n">
        <v>49</v>
      </c>
      <c r="I44" s="1" t="n">
        <v>212.5</v>
      </c>
      <c r="J44" s="1" t="n">
        <v>60.1</v>
      </c>
      <c r="K44" s="1" t="n">
        <v>50.5</v>
      </c>
      <c r="L44" s="1" t="n">
        <v>0</v>
      </c>
      <c r="M44" s="1" t="n">
        <v>0</v>
      </c>
      <c r="N44" s="1" t="s">
        <v>86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0" t="n">
        <f aca="false">I44+0</f>
        <v>212.5</v>
      </c>
      <c r="AB44" s="0" t="n">
        <f aca="false">IF(Z44&gt;360,Z44-360,Z44+0)</f>
        <v>212.5</v>
      </c>
      <c r="AC44" s="1"/>
      <c r="AD44" s="1"/>
      <c r="AE44" s="1"/>
      <c r="AF44" s="1"/>
    </row>
    <row r="45" customFormat="false" ht="15.8" hidden="false" customHeight="false" outlineLevel="0" collapsed="false">
      <c r="A45" s="1" t="n">
        <v>5</v>
      </c>
      <c r="B45" s="1" t="n">
        <v>1</v>
      </c>
      <c r="C45" s="1" t="n">
        <v>2.9</v>
      </c>
      <c r="D45" s="1" t="n">
        <v>1.2032</v>
      </c>
      <c r="E45" s="1" t="n">
        <v>0.0985607</v>
      </c>
      <c r="F45" s="1" t="n">
        <v>0.000268094</v>
      </c>
      <c r="G45" s="1" t="s">
        <v>52</v>
      </c>
      <c r="H45" s="1"/>
      <c r="I45" s="1" t="n">
        <v>267.4</v>
      </c>
      <c r="J45" s="1" t="n">
        <v>27.6</v>
      </c>
      <c r="K45" s="1" t="n">
        <v>86.3</v>
      </c>
      <c r="L45" s="1" t="n">
        <v>0</v>
      </c>
      <c r="M45" s="1" t="n">
        <v>0</v>
      </c>
      <c r="N45" s="1" t="s">
        <v>123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0" t="n">
        <f aca="false">I45+0</f>
        <v>267.4</v>
      </c>
      <c r="AB45" s="0" t="n">
        <f aca="false">IF(Z45&gt;360,Z45-360,Z45+0)</f>
        <v>267.4</v>
      </c>
      <c r="AC45" s="1"/>
      <c r="AD45" s="1"/>
      <c r="AE45" s="1"/>
      <c r="AF45" s="1"/>
    </row>
    <row r="46" customFormat="false" ht="15.8" hidden="false" customHeight="false" outlineLevel="0" collapsed="false">
      <c r="A46" s="1" t="n">
        <v>6</v>
      </c>
      <c r="B46" s="1" t="n">
        <v>9</v>
      </c>
      <c r="C46" s="1" t="n">
        <v>10.8</v>
      </c>
      <c r="D46" s="1" t="n">
        <v>1.4012</v>
      </c>
      <c r="E46" s="1" t="n">
        <v>0.370652</v>
      </c>
      <c r="F46" s="1" t="n">
        <v>0.00100821</v>
      </c>
      <c r="G46" s="1" t="s">
        <v>27</v>
      </c>
      <c r="H46" s="1" t="n">
        <v>29.5</v>
      </c>
      <c r="I46" s="1" t="n">
        <v>146.8</v>
      </c>
      <c r="J46" s="1" t="n">
        <v>8.2</v>
      </c>
      <c r="K46" s="1"/>
      <c r="L46" s="1" t="n">
        <v>0</v>
      </c>
      <c r="M46" s="1" t="n">
        <v>0</v>
      </c>
      <c r="N46" s="1" t="s">
        <v>124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0" t="n">
        <f aca="false">I46+0</f>
        <v>146.8</v>
      </c>
      <c r="AB46" s="0" t="n">
        <f aca="false">IF(Z46&gt;360,Z46-360,Z46+0)</f>
        <v>146.8</v>
      </c>
      <c r="AC46" s="1"/>
      <c r="AD46" s="1"/>
      <c r="AE46" s="1"/>
      <c r="AF46" s="1"/>
    </row>
    <row r="47" customFormat="false" ht="15.8" hidden="false" customHeight="false" outlineLevel="0" collapsed="false">
      <c r="A47" s="1" t="n">
        <v>6</v>
      </c>
      <c r="B47" s="1" t="n">
        <v>9</v>
      </c>
      <c r="C47" s="1" t="n">
        <v>19.1</v>
      </c>
      <c r="D47" s="1" t="n">
        <v>1.3396</v>
      </c>
      <c r="E47" s="1" t="n">
        <v>0.654205</v>
      </c>
      <c r="F47" s="1" t="n">
        <v>0.00177949</v>
      </c>
      <c r="G47" s="1" t="s">
        <v>27</v>
      </c>
      <c r="H47" s="1" t="n">
        <v>171</v>
      </c>
      <c r="I47" s="1" t="n">
        <v>328.3</v>
      </c>
      <c r="J47" s="1" t="n">
        <v>-29.5</v>
      </c>
      <c r="K47" s="1"/>
      <c r="L47" s="1" t="n">
        <v>0</v>
      </c>
      <c r="M47" s="1" t="n">
        <v>0</v>
      </c>
      <c r="N47" s="1" t="s">
        <v>124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0" t="n">
        <f aca="false">I47+0</f>
        <v>328.3</v>
      </c>
      <c r="AB47" s="0" t="n">
        <f aca="false">IF(Z47&gt;360,Z47-360,Z47+0)</f>
        <v>328.3</v>
      </c>
      <c r="AC47" s="1"/>
      <c r="AD47" s="1"/>
      <c r="AE47" s="1"/>
      <c r="AF47" s="1"/>
    </row>
    <row r="48" customFormat="false" ht="15.8" hidden="false" customHeight="false" outlineLevel="0" collapsed="false">
      <c r="A48" s="1" t="n">
        <v>6</v>
      </c>
      <c r="B48" s="1" t="n">
        <v>8</v>
      </c>
      <c r="C48" s="1" t="n">
        <v>8.5</v>
      </c>
      <c r="D48" s="1" t="n">
        <v>1.2553</v>
      </c>
      <c r="E48" s="1" t="n">
        <v>0.290705</v>
      </c>
      <c r="F48" s="1" t="n">
        <v>0.000790744</v>
      </c>
      <c r="G48" s="1" t="s">
        <v>52</v>
      </c>
      <c r="H48" s="1" t="n">
        <v>30.3</v>
      </c>
      <c r="I48" s="1" t="n">
        <v>154.4</v>
      </c>
      <c r="J48" s="1" t="n">
        <v>36.9</v>
      </c>
      <c r="K48" s="1" t="n">
        <v>171</v>
      </c>
      <c r="L48" s="1" t="n">
        <v>0</v>
      </c>
      <c r="M48" s="1" t="n">
        <v>0</v>
      </c>
      <c r="N48" s="1" t="s">
        <v>125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0" t="n">
        <f aca="false">I48+0</f>
        <v>154.4</v>
      </c>
      <c r="AB48" s="0" t="n">
        <f aca="false">IF(Z48&gt;360,Z48-360,Z48+0)</f>
        <v>154.4</v>
      </c>
      <c r="AC48" s="1"/>
      <c r="AD48" s="1"/>
      <c r="AE48" s="1"/>
      <c r="AF48" s="1"/>
    </row>
    <row r="49" customFormat="false" ht="15.8" hidden="false" customHeight="false" outlineLevel="0" collapsed="false">
      <c r="A49" s="1" t="n">
        <v>6</v>
      </c>
      <c r="B49" s="1" t="n">
        <v>8</v>
      </c>
      <c r="C49" s="1" t="n">
        <v>1</v>
      </c>
      <c r="D49" s="1" t="n">
        <v>1.2041</v>
      </c>
      <c r="E49" s="1" t="n">
        <v>0.0331416</v>
      </c>
      <c r="F49" s="1" t="n">
        <v>9.01481E-005</v>
      </c>
      <c r="G49" s="1" t="s">
        <v>27</v>
      </c>
      <c r="H49" s="1" t="n">
        <v>50.3</v>
      </c>
      <c r="I49" s="1" t="n">
        <v>56.8</v>
      </c>
      <c r="J49" s="1" t="n">
        <v>27.4</v>
      </c>
      <c r="K49" s="1"/>
      <c r="L49" s="1" t="n">
        <v>0</v>
      </c>
      <c r="M49" s="1" t="n">
        <v>0</v>
      </c>
      <c r="N49" s="1" t="s">
        <v>125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0" t="n">
        <f aca="false">I49+0</f>
        <v>56.8</v>
      </c>
      <c r="AB49" s="0" t="n">
        <f aca="false">IF(Z49&gt;360,Z49-360,Z49+0)</f>
        <v>56.8</v>
      </c>
      <c r="AC49" s="1"/>
      <c r="AD49" s="1"/>
      <c r="AE49" s="1"/>
      <c r="AF49" s="1"/>
    </row>
    <row r="50" customFormat="false" ht="15.8" hidden="false" customHeight="false" outlineLevel="0" collapsed="false">
      <c r="A50" s="1" t="n">
        <v>6</v>
      </c>
      <c r="B50" s="1" t="n">
        <v>7</v>
      </c>
      <c r="C50" s="1" t="n">
        <v>2.2</v>
      </c>
      <c r="D50" s="1" t="n">
        <v>1.1832</v>
      </c>
      <c r="E50" s="1" t="n">
        <v>0.0740097</v>
      </c>
      <c r="F50" s="1" t="n">
        <v>0.000201313</v>
      </c>
      <c r="G50" s="1" t="s">
        <v>52</v>
      </c>
      <c r="H50" s="1" t="n">
        <v>45.5</v>
      </c>
      <c r="I50" s="1" t="n">
        <v>116.2</v>
      </c>
      <c r="J50" s="1" t="n">
        <v>37.3</v>
      </c>
      <c r="K50" s="1" t="n">
        <v>50.3</v>
      </c>
      <c r="L50" s="1" t="n">
        <v>0</v>
      </c>
      <c r="M50" s="1" t="n">
        <v>0</v>
      </c>
      <c r="N50" s="1" t="s">
        <v>126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0" t="n">
        <f aca="false">I50+0</f>
        <v>116.2</v>
      </c>
      <c r="AB50" s="0" t="n">
        <f aca="false">IF(Z50&gt;360,Z50-360,Z50+0)</f>
        <v>116.2</v>
      </c>
      <c r="AC50" s="1"/>
      <c r="AD50" s="1"/>
      <c r="AE50" s="1"/>
      <c r="AF50" s="1"/>
    </row>
    <row r="51" customFormat="false" ht="15.8" hidden="false" customHeight="false" outlineLevel="0" collapsed="false">
      <c r="A51" s="1" t="n">
        <v>6</v>
      </c>
      <c r="B51" s="1" t="n">
        <v>7</v>
      </c>
      <c r="C51" s="1" t="n">
        <v>0.9</v>
      </c>
      <c r="D51" s="1" t="n">
        <v>1.1022</v>
      </c>
      <c r="E51" s="1" t="n">
        <v>0.0305142</v>
      </c>
      <c r="F51" s="1" t="n">
        <v>8.30013E-005</v>
      </c>
      <c r="G51" s="1" t="s">
        <v>27</v>
      </c>
      <c r="H51" s="1" t="n">
        <v>104.9</v>
      </c>
      <c r="I51" s="1" t="n">
        <v>194.9</v>
      </c>
      <c r="J51" s="1" t="n">
        <v>-27.2</v>
      </c>
      <c r="K51" s="1"/>
      <c r="L51" s="1" t="n">
        <v>0</v>
      </c>
      <c r="M51" s="1" t="n">
        <v>0</v>
      </c>
      <c r="N51" s="1" t="s">
        <v>126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0" t="n">
        <f aca="false">I51+0</f>
        <v>194.9</v>
      </c>
      <c r="AB51" s="0" t="n">
        <f aca="false">IF(Z51&gt;360,Z51-360,Z51+0)</f>
        <v>194.9</v>
      </c>
      <c r="AC51" s="1"/>
      <c r="AD51" s="1"/>
      <c r="AE51" s="1"/>
      <c r="AF51" s="1"/>
    </row>
    <row r="52" customFormat="false" ht="15.8" hidden="false" customHeight="false" outlineLevel="0" collapsed="false">
      <c r="A52" s="1" t="n">
        <v>6</v>
      </c>
      <c r="B52" s="1" t="n">
        <v>6</v>
      </c>
      <c r="C52" s="1" t="n">
        <v>1.3</v>
      </c>
      <c r="D52" s="1" t="n">
        <v>1.0494</v>
      </c>
      <c r="E52" s="1" t="n">
        <v>0.0453009</v>
      </c>
      <c r="F52" s="1" t="n">
        <v>0.000123222</v>
      </c>
      <c r="G52" s="1" t="s">
        <v>52</v>
      </c>
      <c r="H52" s="1" t="n">
        <v>118</v>
      </c>
      <c r="I52" s="1" t="n">
        <v>88</v>
      </c>
      <c r="J52" s="1" t="n">
        <v>0</v>
      </c>
      <c r="K52" s="1" t="n">
        <v>104.9</v>
      </c>
      <c r="L52" s="1" t="n">
        <v>0</v>
      </c>
      <c r="M52" s="1" t="n">
        <v>0</v>
      </c>
      <c r="N52" s="1" t="s">
        <v>127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0" t="n">
        <f aca="false">I52+0</f>
        <v>88</v>
      </c>
      <c r="AB52" s="0" t="n">
        <f aca="false">IF(Z52&gt;360,Z52-360,Z52+0)</f>
        <v>88</v>
      </c>
      <c r="AC52" s="1"/>
      <c r="AD52" s="1"/>
      <c r="AE52" s="1"/>
      <c r="AF52" s="1"/>
    </row>
    <row r="53" customFormat="false" ht="15.8" hidden="false" customHeight="false" outlineLevel="0" collapsed="false">
      <c r="A53" s="1" t="n">
        <v>6</v>
      </c>
      <c r="B53" s="1" t="n">
        <v>7</v>
      </c>
      <c r="C53" s="1" t="n">
        <v>1</v>
      </c>
      <c r="D53" s="1" t="n">
        <v>1.2764</v>
      </c>
      <c r="E53" s="1" t="n">
        <v>0.0348227</v>
      </c>
      <c r="F53" s="1" t="n">
        <v>9.47207E-005</v>
      </c>
      <c r="G53" s="1" t="s">
        <v>27</v>
      </c>
      <c r="H53" s="1" t="n">
        <v>42.5</v>
      </c>
      <c r="I53" s="1" t="n">
        <v>210.5</v>
      </c>
      <c r="J53" s="1" t="n">
        <v>-27.6</v>
      </c>
      <c r="K53" s="1"/>
      <c r="L53" s="1" t="n">
        <v>0</v>
      </c>
      <c r="M53" s="1" t="n">
        <v>0</v>
      </c>
      <c r="N53" s="1" t="s">
        <v>128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0" t="n">
        <f aca="false">I53+0</f>
        <v>210.5</v>
      </c>
      <c r="AB53" s="0" t="n">
        <f aca="false">IF(Z53&gt;360,Z53-360,Z53+0)</f>
        <v>210.5</v>
      </c>
      <c r="AC53" s="1"/>
      <c r="AD53" s="1"/>
      <c r="AE53" s="1"/>
      <c r="AF53" s="1"/>
    </row>
    <row r="54" customFormat="false" ht="15.8" hidden="false" customHeight="false" outlineLevel="0" collapsed="false">
      <c r="A54" s="1" t="n">
        <v>6</v>
      </c>
      <c r="B54" s="1" t="n">
        <v>7</v>
      </c>
      <c r="C54" s="1" t="n">
        <v>1</v>
      </c>
      <c r="D54" s="1" t="n">
        <v>1.0474</v>
      </c>
      <c r="E54" s="1" t="n">
        <v>0.0326211</v>
      </c>
      <c r="F54" s="1" t="n">
        <v>8.87323E-005</v>
      </c>
      <c r="G54" s="1" t="s">
        <v>27</v>
      </c>
      <c r="H54" s="1" t="n">
        <v>81.5</v>
      </c>
      <c r="I54" s="1" t="n">
        <v>258.3</v>
      </c>
      <c r="J54" s="1" t="n">
        <v>0</v>
      </c>
      <c r="K54" s="1"/>
      <c r="L54" s="1" t="n">
        <v>0</v>
      </c>
      <c r="M54" s="1" t="n">
        <v>0</v>
      </c>
      <c r="N54" s="1" t="s">
        <v>128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0" t="n">
        <f aca="false">I54+0</f>
        <v>258.3</v>
      </c>
      <c r="AB54" s="0" t="n">
        <f aca="false">IF(Z54&gt;360,Z54-360,Z54+0)</f>
        <v>258.3</v>
      </c>
      <c r="AC54" s="1"/>
      <c r="AD54" s="1"/>
      <c r="AE54" s="1"/>
      <c r="AF54" s="1"/>
    </row>
    <row r="55" customFormat="false" ht="15.8" hidden="false" customHeight="false" outlineLevel="0" collapsed="false">
      <c r="A55" s="1" t="n">
        <v>6</v>
      </c>
      <c r="B55" s="1" t="n">
        <v>8</v>
      </c>
      <c r="C55" s="1" t="n">
        <v>0.3</v>
      </c>
      <c r="D55" s="1" t="n">
        <v>1.0505</v>
      </c>
      <c r="E55" s="1" t="n">
        <v>0.0104981</v>
      </c>
      <c r="F55" s="1" t="n">
        <v>2.85556E-005</v>
      </c>
      <c r="G55" s="1" t="s">
        <v>27</v>
      </c>
      <c r="H55" s="1" t="n">
        <v>73.8</v>
      </c>
      <c r="I55" s="1" t="n">
        <v>45</v>
      </c>
      <c r="J55" s="1" t="n">
        <v>0</v>
      </c>
      <c r="K55" s="1"/>
      <c r="L55" s="1" t="n">
        <v>0</v>
      </c>
      <c r="M55" s="1" t="n">
        <v>0</v>
      </c>
      <c r="N55" s="1" t="s">
        <v>129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0" t="n">
        <f aca="false">I55+0</f>
        <v>45</v>
      </c>
      <c r="AB55" s="0" t="n">
        <f aca="false">IF(Z55&gt;360,Z55-360,Z55+0)</f>
        <v>45</v>
      </c>
      <c r="AC55" s="1"/>
      <c r="AD55" s="1"/>
      <c r="AE55" s="1"/>
      <c r="AF55" s="1"/>
    </row>
    <row r="56" customFormat="false" ht="15.8" hidden="false" customHeight="false" outlineLevel="0" collapsed="false">
      <c r="A56" s="1" t="n">
        <v>6</v>
      </c>
      <c r="B56" s="1" t="n">
        <v>9</v>
      </c>
      <c r="C56" s="1" t="n">
        <v>0.6</v>
      </c>
      <c r="D56" s="1" t="n">
        <v>1.0149</v>
      </c>
      <c r="E56" s="1" t="n">
        <v>0.0216176</v>
      </c>
      <c r="F56" s="1" t="n">
        <v>5.88016E-005</v>
      </c>
      <c r="G56" s="1" t="s">
        <v>27</v>
      </c>
      <c r="H56" s="1" t="n">
        <v>109.1</v>
      </c>
      <c r="I56" s="1" t="n">
        <v>335.2</v>
      </c>
      <c r="J56" s="1" t="n">
        <v>0</v>
      </c>
      <c r="K56" s="1"/>
      <c r="L56" s="1" t="n">
        <v>0</v>
      </c>
      <c r="M56" s="1" t="n">
        <v>0</v>
      </c>
      <c r="N56" s="1" t="s">
        <v>130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0" t="n">
        <f aca="false">I56+0</f>
        <v>335.2</v>
      </c>
      <c r="AB56" s="0" t="n">
        <f aca="false">IF(Z56&gt;360,Z56-360,Z56+0)</f>
        <v>335.2</v>
      </c>
      <c r="AC56" s="1"/>
      <c r="AD56" s="1"/>
      <c r="AE56" s="1"/>
      <c r="AF56" s="1"/>
    </row>
    <row r="57" customFormat="false" ht="15.8" hidden="false" customHeight="false" outlineLevel="0" collapsed="false">
      <c r="A57" s="1" t="n">
        <v>6</v>
      </c>
      <c r="B57" s="1" t="n">
        <v>10</v>
      </c>
      <c r="C57" s="1" t="n">
        <v>0.9</v>
      </c>
      <c r="D57" s="1" t="n">
        <v>1.1483</v>
      </c>
      <c r="E57" s="1" t="n">
        <v>0.0307281</v>
      </c>
      <c r="F57" s="1" t="n">
        <v>8.3583E-005</v>
      </c>
      <c r="G57" s="1" t="s">
        <v>27</v>
      </c>
      <c r="H57" s="1" t="n">
        <v>81.5</v>
      </c>
      <c r="I57" s="1" t="n">
        <v>128</v>
      </c>
      <c r="J57" s="1" t="n">
        <v>-28.2</v>
      </c>
      <c r="K57" s="1"/>
      <c r="L57" s="1" t="n">
        <v>0</v>
      </c>
      <c r="M57" s="1" t="n">
        <v>0</v>
      </c>
      <c r="N57" s="1" t="s">
        <v>131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0" t="n">
        <f aca="false">I57+0</f>
        <v>128</v>
      </c>
      <c r="AB57" s="0" t="n">
        <f aca="false">IF(Z57&gt;360,Z57-360,Z57+0)</f>
        <v>128</v>
      </c>
      <c r="AC57" s="1"/>
      <c r="AD57" s="1"/>
      <c r="AE57" s="1"/>
      <c r="AF57" s="1"/>
    </row>
    <row r="58" customFormat="false" ht="15.8" hidden="false" customHeight="false" outlineLevel="0" collapsed="false">
      <c r="A58" s="1" t="n">
        <v>6</v>
      </c>
      <c r="B58" s="1" t="n">
        <v>10</v>
      </c>
      <c r="C58" s="1" t="n">
        <v>12.9</v>
      </c>
      <c r="D58" s="1" t="n">
        <v>1.4001</v>
      </c>
      <c r="E58" s="1" t="n">
        <v>0.441503</v>
      </c>
      <c r="F58" s="1" t="n">
        <v>0.00120093</v>
      </c>
      <c r="G58" s="1" t="s">
        <v>27</v>
      </c>
      <c r="H58" s="1" t="n">
        <v>27.3</v>
      </c>
      <c r="I58" s="1" t="n">
        <v>237</v>
      </c>
      <c r="J58" s="1" t="n">
        <v>0</v>
      </c>
      <c r="K58" s="1"/>
      <c r="L58" s="1" t="n">
        <v>0</v>
      </c>
      <c r="M58" s="1" t="n">
        <v>0</v>
      </c>
      <c r="N58" s="1" t="s">
        <v>131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0" t="n">
        <f aca="false">I58+0</f>
        <v>237</v>
      </c>
      <c r="AB58" s="0" t="n">
        <f aca="false">IF(Z58&gt;360,Z58-360,Z58+0)</f>
        <v>237</v>
      </c>
      <c r="AC58" s="1"/>
      <c r="AD58" s="1"/>
      <c r="AE58" s="1"/>
      <c r="AF58" s="1"/>
    </row>
    <row r="59" customFormat="false" ht="15.8" hidden="false" customHeight="false" outlineLevel="0" collapsed="false">
      <c r="A59" s="1" t="n">
        <v>6</v>
      </c>
      <c r="B59" s="1" t="n">
        <v>9</v>
      </c>
      <c r="C59" s="1" t="n">
        <v>2.3</v>
      </c>
      <c r="D59" s="1" t="n">
        <v>1.1389</v>
      </c>
      <c r="E59" s="1" t="n">
        <v>0.0791293</v>
      </c>
      <c r="F59" s="1" t="n">
        <v>0.000215238</v>
      </c>
      <c r="G59" s="1" t="s">
        <v>52</v>
      </c>
      <c r="H59" s="1" t="n">
        <v>22.3</v>
      </c>
      <c r="I59" s="1" t="n">
        <v>219.6</v>
      </c>
      <c r="J59" s="1" t="n">
        <v>-21.3</v>
      </c>
      <c r="K59" s="1" t="n">
        <v>81.5</v>
      </c>
      <c r="L59" s="1" t="n">
        <v>0</v>
      </c>
      <c r="M59" s="1" t="n">
        <v>0</v>
      </c>
      <c r="N59" s="1" t="s">
        <v>130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0" t="n">
        <f aca="false">I59+0</f>
        <v>219.6</v>
      </c>
      <c r="AB59" s="0" t="n">
        <f aca="false">IF(Z59&gt;360,Z59-360,Z59+0)</f>
        <v>219.6</v>
      </c>
      <c r="AC59" s="1"/>
      <c r="AD59" s="1"/>
      <c r="AE59" s="1"/>
      <c r="AF59" s="1"/>
    </row>
    <row r="60" customFormat="false" ht="15.8" hidden="false" customHeight="false" outlineLevel="0" collapsed="false">
      <c r="A60" s="1" t="n">
        <v>6</v>
      </c>
      <c r="B60" s="1" t="n">
        <v>8</v>
      </c>
      <c r="C60" s="1" t="n">
        <v>4.8</v>
      </c>
      <c r="D60" s="1" t="n">
        <v>1.0895</v>
      </c>
      <c r="E60" s="1" t="n">
        <v>0.165354</v>
      </c>
      <c r="F60" s="1" t="n">
        <v>0.000449777</v>
      </c>
      <c r="G60" s="1" t="s">
        <v>52</v>
      </c>
      <c r="H60" s="1" t="n">
        <v>107.3</v>
      </c>
      <c r="I60" s="1" t="n">
        <v>226.1</v>
      </c>
      <c r="J60" s="1" t="n">
        <v>0</v>
      </c>
      <c r="K60" s="1" t="n">
        <v>109.1</v>
      </c>
      <c r="L60" s="1" t="n">
        <v>0</v>
      </c>
      <c r="M60" s="1" t="n">
        <v>0</v>
      </c>
      <c r="N60" s="1" t="s">
        <v>129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0" t="n">
        <f aca="false">I60+0</f>
        <v>226.1</v>
      </c>
      <c r="AB60" s="0" t="n">
        <f aca="false">IF(Z60&gt;360,Z60-360,Z60+0)</f>
        <v>226.1</v>
      </c>
      <c r="AC60" s="1"/>
      <c r="AD60" s="1"/>
      <c r="AE60" s="1"/>
      <c r="AF60" s="1"/>
    </row>
    <row r="61" customFormat="false" ht="15.8" hidden="false" customHeight="false" outlineLevel="0" collapsed="false">
      <c r="A61" s="1" t="n">
        <v>6</v>
      </c>
      <c r="B61" s="1" t="n">
        <v>7</v>
      </c>
      <c r="C61" s="1" t="n">
        <v>1.3</v>
      </c>
      <c r="D61" s="1" t="n">
        <v>1.1901</v>
      </c>
      <c r="E61" s="1" t="n">
        <v>0.0436571</v>
      </c>
      <c r="F61" s="1" t="n">
        <v>0.000118751</v>
      </c>
      <c r="G61" s="1" t="s">
        <v>52</v>
      </c>
      <c r="H61" s="1" t="n">
        <v>61.2</v>
      </c>
      <c r="I61" s="1" t="n">
        <v>117.7</v>
      </c>
      <c r="J61" s="1" t="n">
        <v>-20.2</v>
      </c>
      <c r="K61" s="1" t="n">
        <v>107.3</v>
      </c>
      <c r="L61" s="1" t="n">
        <v>0</v>
      </c>
      <c r="M61" s="1" t="n">
        <v>0</v>
      </c>
      <c r="N61" s="1" t="s">
        <v>128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0" t="n">
        <f aca="false">I61+0</f>
        <v>117.7</v>
      </c>
      <c r="AB61" s="0" t="n">
        <f aca="false">IF(Z61&gt;360,Z61-360,Z61+0)</f>
        <v>117.7</v>
      </c>
      <c r="AC61" s="1"/>
      <c r="AD61" s="1"/>
      <c r="AE61" s="1"/>
      <c r="AF61" s="1"/>
    </row>
    <row r="62" customFormat="false" ht="15.8" hidden="false" customHeight="false" outlineLevel="0" collapsed="false">
      <c r="A62" s="1" t="n">
        <v>6</v>
      </c>
      <c r="B62" s="1" t="n">
        <v>6</v>
      </c>
      <c r="C62" s="1" t="n">
        <v>3.7</v>
      </c>
      <c r="D62" s="1" t="n">
        <v>1.073</v>
      </c>
      <c r="E62" s="1" t="n">
        <v>0.127109</v>
      </c>
      <c r="F62" s="1" t="n">
        <v>0.000345747</v>
      </c>
      <c r="G62" s="1" t="s">
        <v>52</v>
      </c>
      <c r="H62" s="1" t="n">
        <v>62.5</v>
      </c>
      <c r="I62" s="1" t="n">
        <v>176.8</v>
      </c>
      <c r="J62" s="1" t="n">
        <v>0</v>
      </c>
      <c r="K62" s="1" t="n">
        <v>81.5</v>
      </c>
      <c r="L62" s="1" t="n">
        <v>0</v>
      </c>
      <c r="M62" s="1" t="n">
        <v>0</v>
      </c>
      <c r="N62" s="1" t="s">
        <v>127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0" t="n">
        <f aca="false">I62+0</f>
        <v>176.8</v>
      </c>
      <c r="AB62" s="0" t="n">
        <f aca="false">IF(Z62&gt;360,Z62-360,Z62+0)</f>
        <v>176.8</v>
      </c>
      <c r="AC62" s="1"/>
      <c r="AD62" s="1"/>
      <c r="AE62" s="1"/>
      <c r="AF62" s="1"/>
    </row>
    <row r="63" customFormat="false" ht="15.8" hidden="false" customHeight="false" outlineLevel="0" collapsed="false">
      <c r="A63" s="1" t="n">
        <v>6</v>
      </c>
      <c r="B63" s="1" t="n">
        <v>5</v>
      </c>
      <c r="C63" s="1" t="n">
        <v>1.5</v>
      </c>
      <c r="D63" s="1" t="n">
        <v>1.5125</v>
      </c>
      <c r="E63" s="1" t="n">
        <v>0.0512305</v>
      </c>
      <c r="F63" s="1" t="n">
        <v>0.000139351</v>
      </c>
      <c r="G63" s="1" t="s">
        <v>52</v>
      </c>
      <c r="H63" s="1" t="n">
        <v>49.8</v>
      </c>
      <c r="I63" s="1" t="n">
        <v>222.9</v>
      </c>
      <c r="J63" s="1" t="n">
        <v>48.3</v>
      </c>
      <c r="K63" s="1" t="n">
        <v>118</v>
      </c>
      <c r="L63" s="1" t="n">
        <v>0</v>
      </c>
      <c r="M63" s="1" t="n">
        <v>0</v>
      </c>
      <c r="N63" s="1" t="s">
        <v>132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0" t="n">
        <f aca="false">I63+0</f>
        <v>222.9</v>
      </c>
      <c r="AB63" s="0" t="n">
        <f aca="false">IF(Z63&gt;360,Z63-360,Z63+0)</f>
        <v>222.9</v>
      </c>
      <c r="AC63" s="1"/>
      <c r="AD63" s="1"/>
      <c r="AE63" s="1"/>
      <c r="AF63" s="1"/>
    </row>
    <row r="64" customFormat="false" ht="15.8" hidden="false" customHeight="false" outlineLevel="0" collapsed="false">
      <c r="A64" s="1" t="n">
        <v>6</v>
      </c>
      <c r="B64" s="1" t="n">
        <v>6</v>
      </c>
      <c r="C64" s="1" t="n">
        <v>0.9</v>
      </c>
      <c r="D64" s="1" t="n">
        <v>1.2394</v>
      </c>
      <c r="E64" s="1" t="n">
        <v>0.0322672</v>
      </c>
      <c r="F64" s="1" t="n">
        <v>8.77697E-005</v>
      </c>
      <c r="G64" s="1" t="s">
        <v>27</v>
      </c>
      <c r="H64" s="1" t="n">
        <v>104.7</v>
      </c>
      <c r="I64" s="1" t="n">
        <v>281.3</v>
      </c>
      <c r="J64" s="1" t="n">
        <v>29.1</v>
      </c>
      <c r="K64" s="1"/>
      <c r="L64" s="1" t="n">
        <v>0</v>
      </c>
      <c r="M64" s="1" t="n">
        <v>0</v>
      </c>
      <c r="N64" s="1" t="s">
        <v>133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0" t="n">
        <f aca="false">I64+0</f>
        <v>281.3</v>
      </c>
      <c r="AB64" s="0" t="n">
        <f aca="false">IF(Z64&gt;360,Z64-360,Z64+0)</f>
        <v>281.3</v>
      </c>
      <c r="AC64" s="1"/>
      <c r="AD64" s="1"/>
      <c r="AE64" s="1"/>
      <c r="AF64" s="1"/>
    </row>
    <row r="65" customFormat="false" ht="15.8" hidden="false" customHeight="false" outlineLevel="0" collapsed="false">
      <c r="A65" s="1" t="n">
        <v>6</v>
      </c>
      <c r="B65" s="1" t="n">
        <v>8</v>
      </c>
      <c r="C65" s="1" t="n">
        <v>0.7</v>
      </c>
      <c r="D65" s="1" t="n">
        <v>1.0047</v>
      </c>
      <c r="E65" s="1" t="n">
        <v>0.0238347</v>
      </c>
      <c r="F65" s="1" t="n">
        <v>6.48324E-005</v>
      </c>
      <c r="G65" s="1" t="s">
        <v>27</v>
      </c>
      <c r="H65" s="1" t="n">
        <v>76.4</v>
      </c>
      <c r="I65" s="1" t="n">
        <v>283.6</v>
      </c>
      <c r="J65" s="1" t="n">
        <v>0</v>
      </c>
      <c r="K65" s="1"/>
      <c r="L65" s="1" t="n">
        <v>0</v>
      </c>
      <c r="M65" s="1" t="n">
        <v>0</v>
      </c>
      <c r="N65" s="1" t="s">
        <v>134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0" t="n">
        <f aca="false">I65+0</f>
        <v>283.6</v>
      </c>
      <c r="AB65" s="0" t="n">
        <f aca="false">IF(Z65&gt;360,Z65-360,Z65+0)</f>
        <v>283.6</v>
      </c>
      <c r="AC65" s="1"/>
      <c r="AD65" s="1"/>
      <c r="AE65" s="1"/>
      <c r="AF65" s="1"/>
    </row>
    <row r="66" customFormat="false" ht="15.8" hidden="false" customHeight="false" outlineLevel="0" collapsed="false">
      <c r="A66" s="1" t="n">
        <v>6</v>
      </c>
      <c r="B66" s="1" t="n">
        <v>9</v>
      </c>
      <c r="C66" s="1" t="n">
        <v>2.8</v>
      </c>
      <c r="D66" s="1" t="n">
        <v>1.2157</v>
      </c>
      <c r="E66" s="1" t="n">
        <v>0.0967583</v>
      </c>
      <c r="F66" s="1" t="n">
        <v>0.000263191</v>
      </c>
      <c r="G66" s="1" t="s">
        <v>27</v>
      </c>
      <c r="H66" s="1" t="n">
        <v>29.4</v>
      </c>
      <c r="I66" s="1" t="n">
        <v>180.5</v>
      </c>
      <c r="J66" s="1" t="n">
        <v>0</v>
      </c>
      <c r="K66" s="1"/>
      <c r="L66" s="1" t="n">
        <v>0</v>
      </c>
      <c r="M66" s="1" t="n">
        <v>0</v>
      </c>
      <c r="N66" s="1" t="s">
        <v>135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0" t="n">
        <f aca="false">I66+0</f>
        <v>180.5</v>
      </c>
      <c r="AB66" s="0" t="n">
        <f aca="false">IF(Z66&gt;360,Z66-360,Z66+0)</f>
        <v>180.5</v>
      </c>
      <c r="AC66" s="1"/>
      <c r="AD66" s="1"/>
      <c r="AE66" s="1"/>
      <c r="AF66" s="1"/>
    </row>
    <row r="67" customFormat="false" ht="15.8" hidden="false" customHeight="false" outlineLevel="0" collapsed="false">
      <c r="A67" s="1" t="n">
        <v>6</v>
      </c>
      <c r="B67" s="1" t="n">
        <v>10</v>
      </c>
      <c r="C67" s="1" t="n">
        <v>1.3</v>
      </c>
      <c r="D67" s="1" t="n">
        <v>1.1216</v>
      </c>
      <c r="E67" s="1" t="n">
        <v>0.0428282</v>
      </c>
      <c r="F67" s="1" t="n">
        <v>0.000116496</v>
      </c>
      <c r="G67" s="1" t="s">
        <v>27</v>
      </c>
      <c r="H67" s="1" t="n">
        <v>65.8</v>
      </c>
      <c r="I67" s="1" t="n">
        <v>135.4</v>
      </c>
      <c r="J67" s="1" t="n">
        <v>-19.3</v>
      </c>
      <c r="K67" s="1"/>
      <c r="L67" s="1" t="n">
        <v>0</v>
      </c>
      <c r="M67" s="1" t="n">
        <v>0</v>
      </c>
      <c r="N67" s="1" t="s">
        <v>136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0" t="n">
        <f aca="false">I67+0</f>
        <v>135.4</v>
      </c>
      <c r="AB67" s="0" t="n">
        <f aca="false">IF(Z67&gt;360,Z67-360,Z67+0)</f>
        <v>135.4</v>
      </c>
      <c r="AC67" s="1"/>
      <c r="AD67" s="1"/>
      <c r="AE67" s="1"/>
      <c r="AF67" s="1"/>
    </row>
    <row r="68" customFormat="false" ht="15.8" hidden="false" customHeight="false" outlineLevel="0" collapsed="false">
      <c r="A68" s="1" t="n">
        <v>6</v>
      </c>
      <c r="B68" s="1" t="n">
        <v>10</v>
      </c>
      <c r="C68" s="1" t="n">
        <v>2.1</v>
      </c>
      <c r="D68" s="1" t="n">
        <v>1.1943</v>
      </c>
      <c r="E68" s="1" t="n">
        <v>0.0718467</v>
      </c>
      <c r="F68" s="1" t="n">
        <v>0.000195429</v>
      </c>
      <c r="G68" s="1" t="s">
        <v>27</v>
      </c>
      <c r="H68" s="1" t="n">
        <v>98</v>
      </c>
      <c r="I68" s="1" t="n">
        <v>300</v>
      </c>
      <c r="J68" s="1" t="n">
        <v>12.1</v>
      </c>
      <c r="K68" s="1"/>
      <c r="L68" s="1" t="n">
        <v>0</v>
      </c>
      <c r="M68" s="1" t="n">
        <v>0</v>
      </c>
      <c r="N68" s="1" t="s">
        <v>136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0" t="n">
        <f aca="false">I68+0</f>
        <v>300</v>
      </c>
      <c r="AB68" s="0" t="n">
        <f aca="false">IF(Z68&gt;360,Z68-360,Z68+0)</f>
        <v>300</v>
      </c>
      <c r="AC68" s="1"/>
      <c r="AD68" s="1"/>
      <c r="AE68" s="1"/>
      <c r="AF68" s="1"/>
    </row>
    <row r="69" customFormat="false" ht="15.8" hidden="false" customHeight="false" outlineLevel="0" collapsed="false">
      <c r="A69" s="1" t="n">
        <v>6</v>
      </c>
      <c r="B69" s="1" t="n">
        <v>11</v>
      </c>
      <c r="C69" s="1" t="n">
        <v>1.4</v>
      </c>
      <c r="D69" s="1" t="n">
        <v>1.1491</v>
      </c>
      <c r="E69" s="1" t="n">
        <v>0.0479356</v>
      </c>
      <c r="F69" s="1" t="n">
        <v>0.000130389</v>
      </c>
      <c r="G69" s="1" t="s">
        <v>27</v>
      </c>
      <c r="H69" s="1" t="n">
        <v>106.5</v>
      </c>
      <c r="I69" s="1" t="n">
        <v>312.3</v>
      </c>
      <c r="J69" s="1" t="n">
        <v>-37.3</v>
      </c>
      <c r="K69" s="1"/>
      <c r="L69" s="1" t="n">
        <v>0</v>
      </c>
      <c r="M69" s="1" t="n">
        <v>0</v>
      </c>
      <c r="N69" s="1" t="s">
        <v>137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0" t="n">
        <f aca="false">I69+0</f>
        <v>312.3</v>
      </c>
      <c r="AB69" s="0" t="n">
        <f aca="false">IF(Z69&gt;360,Z69-360,Z69+0)</f>
        <v>312.3</v>
      </c>
      <c r="AC69" s="1"/>
      <c r="AD69" s="1"/>
      <c r="AE69" s="1"/>
      <c r="AF69" s="1"/>
    </row>
    <row r="70" customFormat="false" ht="15.8" hidden="false" customHeight="false" outlineLevel="0" collapsed="false">
      <c r="A70" s="1" t="n">
        <v>6</v>
      </c>
      <c r="B70" s="1" t="n">
        <v>12</v>
      </c>
      <c r="C70" s="1" t="n">
        <v>0.8</v>
      </c>
      <c r="D70" s="1" t="n">
        <v>1.2027</v>
      </c>
      <c r="E70" s="1" t="n">
        <v>0.0259643</v>
      </c>
      <c r="F70" s="1" t="n">
        <v>7.06251E-005</v>
      </c>
      <c r="G70" s="1" t="s">
        <v>27</v>
      </c>
      <c r="H70" s="1" t="n">
        <v>36.6</v>
      </c>
      <c r="I70" s="1" t="n">
        <v>177.6</v>
      </c>
      <c r="J70" s="1" t="n">
        <v>35.9</v>
      </c>
      <c r="K70" s="1"/>
      <c r="L70" s="1" t="n">
        <v>0</v>
      </c>
      <c r="M70" s="1" t="n">
        <v>0</v>
      </c>
      <c r="N70" s="1" t="s">
        <v>138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0" t="n">
        <f aca="false">I70+0</f>
        <v>177.6</v>
      </c>
      <c r="AB70" s="0" t="n">
        <f aca="false">IF(Z70&gt;360,Z70-360,Z70+0)</f>
        <v>177.6</v>
      </c>
      <c r="AC70" s="1"/>
      <c r="AD70" s="1"/>
      <c r="AE70" s="1"/>
      <c r="AF70" s="1"/>
    </row>
    <row r="71" customFormat="false" ht="15.8" hidden="false" customHeight="false" outlineLevel="0" collapsed="false">
      <c r="A71" s="1" t="n">
        <v>6</v>
      </c>
      <c r="B71" s="1" t="n">
        <v>12</v>
      </c>
      <c r="C71" s="1" t="n">
        <v>2.2</v>
      </c>
      <c r="D71" s="1" t="n">
        <v>1.2417</v>
      </c>
      <c r="E71" s="1" t="n">
        <v>0.0756064</v>
      </c>
      <c r="F71" s="1" t="n">
        <v>0.000205656</v>
      </c>
      <c r="G71" s="1" t="s">
        <v>27</v>
      </c>
      <c r="H71" s="1" t="n">
        <v>71.9</v>
      </c>
      <c r="I71" s="1" t="n">
        <v>255.2</v>
      </c>
      <c r="J71" s="1" t="n">
        <v>-24.5</v>
      </c>
      <c r="K71" s="1"/>
      <c r="L71" s="1" t="n">
        <v>0</v>
      </c>
      <c r="M71" s="1" t="n">
        <v>0</v>
      </c>
      <c r="N71" s="1" t="s">
        <v>138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0" t="n">
        <f aca="false">I71+0</f>
        <v>255.2</v>
      </c>
      <c r="AB71" s="0" t="n">
        <f aca="false">IF(Z71&gt;360,Z71-360,Z71+0)</f>
        <v>255.2</v>
      </c>
      <c r="AC71" s="1"/>
      <c r="AD71" s="1"/>
      <c r="AE71" s="1"/>
      <c r="AF71" s="1"/>
    </row>
    <row r="72" customFormat="false" ht="15.8" hidden="false" customHeight="false" outlineLevel="0" collapsed="false">
      <c r="A72" s="1" t="n">
        <v>6</v>
      </c>
      <c r="B72" s="1" t="n">
        <v>11</v>
      </c>
      <c r="C72" s="1" t="n">
        <v>1.1</v>
      </c>
      <c r="D72" s="1" t="n">
        <v>1.0314</v>
      </c>
      <c r="E72" s="1" t="n">
        <v>0.0381312</v>
      </c>
      <c r="F72" s="1" t="n">
        <v>0.00010372</v>
      </c>
      <c r="G72" s="1" t="s">
        <v>52</v>
      </c>
      <c r="H72" s="1" t="n">
        <v>12.1</v>
      </c>
      <c r="I72" s="1" t="n">
        <v>185.2</v>
      </c>
      <c r="J72" s="1" t="n">
        <v>0</v>
      </c>
      <c r="K72" s="1" t="n">
        <v>71.9</v>
      </c>
      <c r="L72" s="1" t="n">
        <v>0</v>
      </c>
      <c r="M72" s="1" t="n">
        <v>0</v>
      </c>
      <c r="N72" s="1" t="s">
        <v>137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0" t="n">
        <f aca="false">I72+0</f>
        <v>185.2</v>
      </c>
      <c r="AB72" s="0" t="n">
        <f aca="false">IF(Z72&gt;360,Z72-360,Z72+0)</f>
        <v>185.2</v>
      </c>
      <c r="AC72" s="1"/>
      <c r="AD72" s="1"/>
      <c r="AE72" s="1"/>
      <c r="AF72" s="1"/>
    </row>
    <row r="73" customFormat="false" ht="15.8" hidden="false" customHeight="false" outlineLevel="0" collapsed="false">
      <c r="A73" s="1" t="n">
        <v>6</v>
      </c>
      <c r="B73" s="1" t="n">
        <v>10</v>
      </c>
      <c r="C73" s="1" t="n">
        <v>2.8</v>
      </c>
      <c r="D73" s="1" t="n">
        <v>1.0798</v>
      </c>
      <c r="E73" s="1" t="n">
        <v>0.0969277</v>
      </c>
      <c r="F73" s="1" t="n">
        <v>0.000263652</v>
      </c>
      <c r="G73" s="1" t="s">
        <v>52</v>
      </c>
      <c r="H73" s="1" t="n">
        <v>33.3</v>
      </c>
      <c r="I73" s="1" t="n">
        <v>194.2</v>
      </c>
      <c r="J73" s="1" t="n">
        <v>-8.1</v>
      </c>
      <c r="K73" s="1" t="n">
        <v>106.5</v>
      </c>
      <c r="L73" s="1" t="n">
        <v>0</v>
      </c>
      <c r="M73" s="1" t="n">
        <v>0</v>
      </c>
      <c r="N73" s="1" t="s">
        <v>136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0" t="n">
        <f aca="false">I73+0</f>
        <v>194.2</v>
      </c>
      <c r="AB73" s="0" t="n">
        <f aca="false">IF(Z73&gt;360,Z73-360,Z73+0)</f>
        <v>194.2</v>
      </c>
      <c r="AC73" s="1"/>
      <c r="AD73" s="1"/>
      <c r="AE73" s="1"/>
      <c r="AF73" s="1"/>
    </row>
    <row r="74" customFormat="false" ht="15.8" hidden="false" customHeight="false" outlineLevel="0" collapsed="false">
      <c r="A74" s="1" t="n">
        <v>6</v>
      </c>
      <c r="B74" s="1" t="n">
        <v>9</v>
      </c>
      <c r="C74" s="1" t="n">
        <v>2.2</v>
      </c>
      <c r="D74" s="1" t="n">
        <v>1.2536</v>
      </c>
      <c r="E74" s="1" t="n">
        <v>0.0764953</v>
      </c>
      <c r="F74" s="1" t="n">
        <v>0.000208074</v>
      </c>
      <c r="G74" s="1" t="s">
        <v>52</v>
      </c>
      <c r="H74" s="1" t="n">
        <v>18.5</v>
      </c>
      <c r="I74" s="1" t="n">
        <v>209.4</v>
      </c>
      <c r="J74" s="1" t="n">
        <v>-38.4</v>
      </c>
      <c r="K74" s="1" t="n">
        <v>98</v>
      </c>
      <c r="L74" s="1" t="n">
        <v>0</v>
      </c>
      <c r="M74" s="1" t="n">
        <v>0</v>
      </c>
      <c r="N74" s="1" t="s">
        <v>135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0" t="n">
        <f aca="false">I74+0</f>
        <v>209.4</v>
      </c>
      <c r="AB74" s="0" t="n">
        <f aca="false">IF(Z74&gt;360,Z74-360,Z74+0)</f>
        <v>209.4</v>
      </c>
      <c r="AC74" s="1"/>
      <c r="AD74" s="1"/>
      <c r="AE74" s="1"/>
      <c r="AF74" s="1"/>
    </row>
    <row r="75" customFormat="false" ht="15.8" hidden="false" customHeight="false" outlineLevel="0" collapsed="false">
      <c r="A75" s="1" t="n">
        <v>6</v>
      </c>
      <c r="B75" s="1" t="n">
        <v>8</v>
      </c>
      <c r="C75" s="1" t="n">
        <v>6</v>
      </c>
      <c r="D75" s="1" t="n">
        <v>1.4724</v>
      </c>
      <c r="E75" s="1" t="n">
        <v>0.205081</v>
      </c>
      <c r="F75" s="1" t="n">
        <v>0.000557837</v>
      </c>
      <c r="G75" s="1" t="s">
        <v>52</v>
      </c>
      <c r="H75" s="1" t="n">
        <v>10.3</v>
      </c>
      <c r="I75" s="1" t="n">
        <v>201.3</v>
      </c>
      <c r="J75" s="1" t="n">
        <v>-21.3</v>
      </c>
      <c r="K75" s="1" t="n">
        <v>29.4</v>
      </c>
      <c r="L75" s="1" t="n">
        <v>0</v>
      </c>
      <c r="M75" s="1" t="n">
        <v>0</v>
      </c>
      <c r="N75" s="1" t="s">
        <v>134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0" t="n">
        <f aca="false">I75+0</f>
        <v>201.3</v>
      </c>
      <c r="AB75" s="0" t="n">
        <f aca="false">IF(Z75&gt;360,Z75-360,Z75+0)</f>
        <v>201.3</v>
      </c>
      <c r="AC75" s="1"/>
      <c r="AD75" s="1"/>
      <c r="AE75" s="1"/>
      <c r="AF75" s="1"/>
    </row>
    <row r="76" customFormat="false" ht="15.8" hidden="false" customHeight="false" outlineLevel="0" collapsed="false">
      <c r="A76" s="1" t="n">
        <v>6</v>
      </c>
      <c r="B76" s="1" t="n">
        <v>7</v>
      </c>
      <c r="C76" s="1" t="n">
        <v>1.9</v>
      </c>
      <c r="D76" s="1" t="n">
        <v>1.1262</v>
      </c>
      <c r="E76" s="1" t="n">
        <v>0.0639926</v>
      </c>
      <c r="F76" s="1" t="n">
        <v>0.000174066</v>
      </c>
      <c r="G76" s="1" t="s">
        <v>52</v>
      </c>
      <c r="H76" s="1" t="n">
        <v>35.1</v>
      </c>
      <c r="I76" s="1" t="n">
        <v>207.6</v>
      </c>
      <c r="J76" s="1" t="n">
        <v>-12.9</v>
      </c>
      <c r="K76" s="1" t="n">
        <v>76.4</v>
      </c>
      <c r="L76" s="1" t="n">
        <v>0</v>
      </c>
      <c r="M76" s="1" t="n">
        <v>0</v>
      </c>
      <c r="N76" s="1" t="s">
        <v>139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0" t="n">
        <f aca="false">I76+0</f>
        <v>207.6</v>
      </c>
      <c r="AB76" s="0" t="n">
        <f aca="false">IF(Z76&gt;360,Z76-360,Z76+0)</f>
        <v>207.6</v>
      </c>
      <c r="AC76" s="1"/>
      <c r="AD76" s="1"/>
      <c r="AE76" s="1"/>
      <c r="AF76" s="1"/>
    </row>
    <row r="77" customFormat="false" ht="15.8" hidden="false" customHeight="false" outlineLevel="0" collapsed="false">
      <c r="A77" s="1" t="n">
        <v>6</v>
      </c>
      <c r="B77" s="1" t="n">
        <v>7</v>
      </c>
      <c r="C77" s="1" t="n">
        <v>6.8</v>
      </c>
      <c r="D77" s="1" t="n">
        <v>1.3922</v>
      </c>
      <c r="E77" s="1" t="n">
        <v>0.233952</v>
      </c>
      <c r="F77" s="1" t="n">
        <v>0.00063637</v>
      </c>
      <c r="G77" s="1" t="s">
        <v>27</v>
      </c>
      <c r="H77" s="1" t="n">
        <v>135.8</v>
      </c>
      <c r="I77" s="1" t="n">
        <v>353.3</v>
      </c>
      <c r="J77" s="1" t="n">
        <v>0</v>
      </c>
      <c r="K77" s="1"/>
      <c r="L77" s="1" t="n">
        <v>0</v>
      </c>
      <c r="M77" s="1" t="n">
        <v>0</v>
      </c>
      <c r="N77" s="1" t="s">
        <v>139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0" t="n">
        <f aca="false">I77+0</f>
        <v>353.3</v>
      </c>
      <c r="AB77" s="0" t="n">
        <f aca="false">IF(Z77&gt;360,Z77-360,Z77+0)</f>
        <v>353.3</v>
      </c>
      <c r="AC77" s="1"/>
      <c r="AD77" s="1"/>
      <c r="AE77" s="1"/>
      <c r="AF77" s="1"/>
    </row>
    <row r="78" customFormat="false" ht="15.8" hidden="false" customHeight="false" outlineLevel="0" collapsed="false">
      <c r="A78" s="1" t="n">
        <v>6</v>
      </c>
      <c r="B78" s="1" t="n">
        <v>6</v>
      </c>
      <c r="C78" s="1" t="n">
        <v>2</v>
      </c>
      <c r="D78" s="1" t="n">
        <v>1.222</v>
      </c>
      <c r="E78" s="1" t="n">
        <v>0.0683986</v>
      </c>
      <c r="F78" s="1" t="n">
        <v>0.00018605</v>
      </c>
      <c r="G78" s="1" t="s">
        <v>52</v>
      </c>
      <c r="H78" s="1" t="n">
        <v>25.7</v>
      </c>
      <c r="I78" s="1" t="n">
        <v>186.2</v>
      </c>
      <c r="J78" s="1" t="n">
        <v>-42.7</v>
      </c>
      <c r="K78" s="1" t="n">
        <v>135.8</v>
      </c>
      <c r="L78" s="1" t="n">
        <v>0</v>
      </c>
      <c r="M78" s="1" t="n">
        <v>0</v>
      </c>
      <c r="N78" s="1" t="s">
        <v>133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0" t="n">
        <f aca="false">I78+0</f>
        <v>186.2</v>
      </c>
      <c r="AB78" s="0" t="n">
        <f aca="false">IF(Z78&gt;360,Z78-360,Z78+0)</f>
        <v>186.2</v>
      </c>
      <c r="AC78" s="1"/>
      <c r="AD78" s="1"/>
      <c r="AE78" s="1"/>
      <c r="AF78" s="1"/>
    </row>
    <row r="79" customFormat="false" ht="15.8" hidden="false" customHeight="false" outlineLevel="0" collapsed="false">
      <c r="A79" s="1" t="n">
        <v>6</v>
      </c>
      <c r="B79" s="1" t="n">
        <v>5</v>
      </c>
      <c r="C79" s="1" t="n">
        <v>4.6</v>
      </c>
      <c r="D79" s="1" t="n">
        <v>1.2269</v>
      </c>
      <c r="E79" s="1" t="n">
        <v>0.158339</v>
      </c>
      <c r="F79" s="1" t="n">
        <v>0.000430696</v>
      </c>
      <c r="G79" s="1" t="s">
        <v>52</v>
      </c>
      <c r="H79" s="1" t="n">
        <v>54.9</v>
      </c>
      <c r="I79" s="1" t="n">
        <v>183.6</v>
      </c>
      <c r="J79" s="1" t="n">
        <v>-17.1</v>
      </c>
      <c r="K79" s="1" t="n">
        <v>104.7</v>
      </c>
      <c r="L79" s="1" t="n">
        <v>0</v>
      </c>
      <c r="M79" s="1" t="n">
        <v>0</v>
      </c>
      <c r="N79" s="1" t="s">
        <v>132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0" t="n">
        <f aca="false">I79+0</f>
        <v>183.6</v>
      </c>
      <c r="AB79" s="0" t="n">
        <f aca="false">IF(Z79&gt;360,Z79-360,Z79+0)</f>
        <v>183.6</v>
      </c>
      <c r="AC79" s="1"/>
      <c r="AD79" s="1"/>
      <c r="AE79" s="1"/>
      <c r="AF79" s="1"/>
    </row>
    <row r="80" customFormat="false" ht="15.8" hidden="false" customHeight="false" outlineLevel="0" collapsed="false">
      <c r="A80" s="1" t="n">
        <v>6</v>
      </c>
      <c r="B80" s="1" t="n">
        <v>4</v>
      </c>
      <c r="C80" s="1" t="n">
        <v>2.5</v>
      </c>
      <c r="D80" s="1" t="n">
        <v>1.2582</v>
      </c>
      <c r="E80" s="1" t="n">
        <v>0.0858944</v>
      </c>
      <c r="F80" s="1" t="n">
        <v>0.00023364</v>
      </c>
      <c r="G80" s="1" t="s">
        <v>52</v>
      </c>
      <c r="H80" s="1" t="n">
        <v>38.6</v>
      </c>
      <c r="I80" s="1" t="n">
        <v>236.7</v>
      </c>
      <c r="J80" s="1" t="n">
        <v>0</v>
      </c>
      <c r="K80" s="1" t="n">
        <v>54.9</v>
      </c>
      <c r="L80" s="1" t="n">
        <v>0</v>
      </c>
      <c r="M80" s="1" t="n">
        <v>0</v>
      </c>
      <c r="N80" s="1" t="s">
        <v>140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0" t="n">
        <f aca="false">I80+0</f>
        <v>236.7</v>
      </c>
      <c r="AB80" s="0" t="n">
        <f aca="false">IF(Z80&gt;360,Z80-360,Z80+0)</f>
        <v>236.7</v>
      </c>
      <c r="AC80" s="1"/>
      <c r="AD80" s="1"/>
      <c r="AE80" s="1"/>
      <c r="AF80" s="1"/>
    </row>
    <row r="81" customFormat="false" ht="15.8" hidden="false" customHeight="false" outlineLevel="0" collapsed="false">
      <c r="A81" s="1" t="n">
        <v>6</v>
      </c>
      <c r="B81" s="1" t="n">
        <v>5</v>
      </c>
      <c r="C81" s="1" t="n">
        <v>1.4</v>
      </c>
      <c r="D81" s="1" t="n">
        <v>1.1725</v>
      </c>
      <c r="E81" s="1" t="n">
        <v>0.0489436</v>
      </c>
      <c r="F81" s="1" t="n">
        <v>0.000133131</v>
      </c>
      <c r="G81" s="1" t="s">
        <v>27</v>
      </c>
      <c r="H81" s="1" t="n">
        <v>49.4</v>
      </c>
      <c r="I81" s="1" t="n">
        <v>103.5</v>
      </c>
      <c r="J81" s="1" t="n">
        <v>17.6</v>
      </c>
      <c r="K81" s="1"/>
      <c r="L81" s="1" t="n">
        <v>0</v>
      </c>
      <c r="M81" s="1" t="n">
        <v>0</v>
      </c>
      <c r="N81" s="1" t="s">
        <v>141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0" t="n">
        <f aca="false">I81+0</f>
        <v>103.5</v>
      </c>
      <c r="AB81" s="0" t="n">
        <f aca="false">IF(Z81&gt;360,Z81-360,Z81+0)</f>
        <v>103.5</v>
      </c>
      <c r="AC81" s="1"/>
      <c r="AD81" s="1"/>
      <c r="AE81" s="1"/>
      <c r="AF81" s="1"/>
    </row>
    <row r="82" customFormat="false" ht="15.8" hidden="false" customHeight="false" outlineLevel="0" collapsed="false">
      <c r="A82" s="1" t="n">
        <v>6</v>
      </c>
      <c r="B82" s="1" t="n">
        <v>6</v>
      </c>
      <c r="C82" s="1" t="n">
        <v>0.8</v>
      </c>
      <c r="D82" s="1" t="n">
        <v>1.2977</v>
      </c>
      <c r="E82" s="1" t="n">
        <v>0.025762</v>
      </c>
      <c r="F82" s="1" t="n">
        <v>7.00749E-005</v>
      </c>
      <c r="G82" s="1" t="s">
        <v>27</v>
      </c>
      <c r="H82" s="1" t="n">
        <v>76.7</v>
      </c>
      <c r="I82" s="1" t="n">
        <v>244.1</v>
      </c>
      <c r="J82" s="1" t="n">
        <v>-39.6</v>
      </c>
      <c r="K82" s="1"/>
      <c r="L82" s="1" t="n">
        <v>0</v>
      </c>
      <c r="M82" s="1" t="n">
        <v>0</v>
      </c>
      <c r="N82" s="1" t="s">
        <v>142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0" t="n">
        <f aca="false">I82+0</f>
        <v>244.1</v>
      </c>
      <c r="AB82" s="0" t="n">
        <f aca="false">IF(Z82&gt;360,Z82-360,Z82+0)</f>
        <v>244.1</v>
      </c>
      <c r="AC82" s="1"/>
      <c r="AD82" s="1"/>
      <c r="AE82" s="1"/>
      <c r="AF82" s="1"/>
    </row>
    <row r="83" customFormat="false" ht="15.8" hidden="false" customHeight="false" outlineLevel="0" collapsed="false">
      <c r="A83" s="1" t="n">
        <v>6</v>
      </c>
      <c r="B83" s="1" t="n">
        <v>6</v>
      </c>
      <c r="C83" s="1" t="n">
        <v>0.7</v>
      </c>
      <c r="D83" s="1" t="n">
        <v>1.0231</v>
      </c>
      <c r="E83" s="1" t="n">
        <v>0.0228614</v>
      </c>
      <c r="F83" s="1" t="n">
        <v>6.21849E-005</v>
      </c>
      <c r="G83" s="1" t="s">
        <v>27</v>
      </c>
      <c r="H83" s="1" t="n">
        <v>94.8</v>
      </c>
      <c r="I83" s="1" t="n">
        <v>71.6</v>
      </c>
      <c r="J83" s="1" t="n">
        <v>0</v>
      </c>
      <c r="K83" s="1"/>
      <c r="L83" s="1" t="n">
        <v>0</v>
      </c>
      <c r="M83" s="1" t="n">
        <v>0</v>
      </c>
      <c r="N83" s="1" t="s">
        <v>142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0" t="n">
        <f aca="false">I83+0</f>
        <v>71.6</v>
      </c>
      <c r="AB83" s="0" t="n">
        <f aca="false">IF(Z83&gt;360,Z83-360,Z83+0)</f>
        <v>71.6</v>
      </c>
      <c r="AC83" s="1"/>
      <c r="AD83" s="1"/>
      <c r="AE83" s="1"/>
      <c r="AF83" s="1"/>
    </row>
    <row r="84" customFormat="false" ht="15.8" hidden="false" customHeight="false" outlineLevel="0" collapsed="false">
      <c r="A84" s="1" t="n">
        <v>6</v>
      </c>
      <c r="B84" s="1" t="n">
        <v>5</v>
      </c>
      <c r="C84" s="1" t="n">
        <v>4.4</v>
      </c>
      <c r="D84" s="1" t="n">
        <v>1.2453</v>
      </c>
      <c r="E84" s="1" t="n">
        <v>0.150004</v>
      </c>
      <c r="F84" s="1" t="n">
        <v>0.000408025</v>
      </c>
      <c r="G84" s="1" t="s">
        <v>52</v>
      </c>
      <c r="H84" s="1" t="n">
        <v>22.1</v>
      </c>
      <c r="I84" s="1" t="n">
        <v>166.4</v>
      </c>
      <c r="J84" s="1" t="n">
        <v>-6</v>
      </c>
      <c r="K84" s="1" t="n">
        <v>94.8</v>
      </c>
      <c r="L84" s="1" t="n">
        <v>0</v>
      </c>
      <c r="M84" s="1" t="n">
        <v>0</v>
      </c>
      <c r="N84" s="1" t="s">
        <v>141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0" t="n">
        <f aca="false">I84+0</f>
        <v>166.4</v>
      </c>
      <c r="AB84" s="0" t="n">
        <f aca="false">IF(Z84&gt;360,Z84-360,Z84+0)</f>
        <v>166.4</v>
      </c>
      <c r="AC84" s="1"/>
      <c r="AD84" s="1"/>
      <c r="AE84" s="1"/>
      <c r="AF84" s="1"/>
    </row>
    <row r="85" customFormat="false" ht="15.8" hidden="false" customHeight="false" outlineLevel="0" collapsed="false">
      <c r="A85" s="1" t="n">
        <v>6</v>
      </c>
      <c r="B85" s="1" t="n">
        <v>4</v>
      </c>
      <c r="C85" s="1" t="n">
        <v>2.2</v>
      </c>
      <c r="D85" s="1" t="n">
        <v>1.0948</v>
      </c>
      <c r="E85" s="1" t="n">
        <v>0.0748439</v>
      </c>
      <c r="F85" s="1" t="n">
        <v>0.000203582</v>
      </c>
      <c r="G85" s="1" t="s">
        <v>52</v>
      </c>
      <c r="H85" s="1" t="n">
        <v>53.9</v>
      </c>
      <c r="I85" s="1" t="n">
        <v>144.5</v>
      </c>
      <c r="J85" s="1" t="n">
        <v>-10.7</v>
      </c>
      <c r="K85" s="1" t="n">
        <v>49.4</v>
      </c>
      <c r="L85" s="1" t="n">
        <v>0</v>
      </c>
      <c r="M85" s="1" t="n">
        <v>0</v>
      </c>
      <c r="N85" s="1" t="s">
        <v>140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0" t="n">
        <f aca="false">I85+0</f>
        <v>144.5</v>
      </c>
      <c r="AB85" s="0" t="n">
        <f aca="false">IF(Z85&gt;360,Z85-360,Z85+0)</f>
        <v>144.5</v>
      </c>
      <c r="AC85" s="1"/>
      <c r="AD85" s="1"/>
      <c r="AE85" s="1"/>
      <c r="AF85" s="1"/>
    </row>
    <row r="86" customFormat="false" ht="15.8" hidden="false" customHeight="false" outlineLevel="0" collapsed="false">
      <c r="A86" s="1" t="n">
        <v>6</v>
      </c>
      <c r="B86" s="1" t="n">
        <v>3</v>
      </c>
      <c r="C86" s="1" t="n">
        <v>2.2</v>
      </c>
      <c r="D86" s="1" t="n">
        <v>1.1</v>
      </c>
      <c r="E86" s="1" t="n">
        <v>0.0754292</v>
      </c>
      <c r="F86" s="1" t="n">
        <v>0.000205174</v>
      </c>
      <c r="G86" s="1" t="s">
        <v>52</v>
      </c>
      <c r="H86" s="1" t="n">
        <v>39.7</v>
      </c>
      <c r="I86" s="1" t="n">
        <v>199.3</v>
      </c>
      <c r="J86" s="1" t="n">
        <v>-10.6</v>
      </c>
      <c r="K86" s="1" t="n">
        <v>53.9</v>
      </c>
      <c r="L86" s="1" t="n">
        <v>0</v>
      </c>
      <c r="M86" s="1" t="n">
        <v>0</v>
      </c>
      <c r="N86" s="1" t="s">
        <v>143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0" t="n">
        <f aca="false">I86+0</f>
        <v>199.3</v>
      </c>
      <c r="AB86" s="0" t="n">
        <f aca="false">IF(Z86&gt;360,Z86-360,Z86+0)</f>
        <v>199.3</v>
      </c>
      <c r="AC86" s="1"/>
      <c r="AD86" s="1"/>
      <c r="AE86" s="1"/>
      <c r="AF86" s="1"/>
    </row>
    <row r="87" customFormat="false" ht="15.8" hidden="false" customHeight="false" outlineLevel="0" collapsed="false">
      <c r="A87" s="1" t="n">
        <v>6</v>
      </c>
      <c r="B87" s="1" t="n">
        <v>5</v>
      </c>
      <c r="C87" s="1" t="n">
        <v>0.5</v>
      </c>
      <c r="D87" s="1" t="n">
        <v>1.0034</v>
      </c>
      <c r="E87" s="1" t="n">
        <v>0.0187361</v>
      </c>
      <c r="F87" s="1" t="n">
        <v>5.09639E-005</v>
      </c>
      <c r="G87" s="1" t="s">
        <v>27</v>
      </c>
      <c r="H87" s="1" t="n">
        <v>77.5</v>
      </c>
      <c r="I87" s="1" t="n">
        <v>135.8</v>
      </c>
      <c r="J87" s="1" t="n">
        <v>0</v>
      </c>
      <c r="K87" s="1"/>
      <c r="L87" s="1" t="n">
        <v>0</v>
      </c>
      <c r="M87" s="1" t="n">
        <v>0</v>
      </c>
      <c r="N87" s="1" t="s">
        <v>144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0" t="n">
        <f aca="false">I87+0</f>
        <v>135.8</v>
      </c>
      <c r="AB87" s="0" t="n">
        <f aca="false">IF(Z87&gt;360,Z87-360,Z87+0)</f>
        <v>135.8</v>
      </c>
      <c r="AC87" s="1"/>
      <c r="AD87" s="1"/>
      <c r="AE87" s="1"/>
      <c r="AF87" s="1"/>
    </row>
    <row r="88" customFormat="false" ht="15.8" hidden="false" customHeight="false" outlineLevel="0" collapsed="false">
      <c r="A88" s="1" t="n">
        <v>6</v>
      </c>
      <c r="B88" s="1" t="n">
        <v>6</v>
      </c>
      <c r="C88" s="1" t="n">
        <v>6.9</v>
      </c>
      <c r="D88" s="1" t="n">
        <v>1.7793</v>
      </c>
      <c r="E88" s="1" t="n">
        <v>0.236809</v>
      </c>
      <c r="F88" s="1" t="n">
        <v>0.000644141</v>
      </c>
      <c r="G88" s="1" t="s">
        <v>27</v>
      </c>
      <c r="H88" s="1" t="n">
        <v>52.7</v>
      </c>
      <c r="I88" s="1" t="n">
        <v>359.8</v>
      </c>
      <c r="J88" s="1" t="n">
        <v>16.6</v>
      </c>
      <c r="K88" s="1"/>
      <c r="L88" s="1" t="n">
        <v>0</v>
      </c>
      <c r="M88" s="1" t="n">
        <v>0</v>
      </c>
      <c r="N88" s="1" t="s">
        <v>145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0" t="n">
        <f aca="false">I88+0</f>
        <v>359.8</v>
      </c>
      <c r="AB88" s="0" t="n">
        <f aca="false">IF(Z88&gt;360,Z88-360,Z88+0)</f>
        <v>359.8</v>
      </c>
      <c r="AC88" s="1"/>
      <c r="AD88" s="1"/>
      <c r="AE88" s="1"/>
      <c r="AF88" s="1"/>
    </row>
    <row r="89" customFormat="false" ht="15.8" hidden="false" customHeight="false" outlineLevel="0" collapsed="false">
      <c r="A89" s="1" t="n">
        <v>6</v>
      </c>
      <c r="B89" s="1" t="n">
        <v>7</v>
      </c>
      <c r="C89" s="1" t="n">
        <v>1</v>
      </c>
      <c r="D89" s="1" t="n">
        <v>1.3816</v>
      </c>
      <c r="E89" s="1" t="n">
        <v>0.0330467</v>
      </c>
      <c r="F89" s="1" t="n">
        <v>8.98899E-005</v>
      </c>
      <c r="G89" s="1" t="s">
        <v>27</v>
      </c>
      <c r="H89" s="1" t="n">
        <v>71.5</v>
      </c>
      <c r="I89" s="1" t="n">
        <v>8.4</v>
      </c>
      <c r="J89" s="1" t="n">
        <v>31.9</v>
      </c>
      <c r="K89" s="1"/>
      <c r="L89" s="1" t="n">
        <v>0</v>
      </c>
      <c r="M89" s="1" t="n">
        <v>0</v>
      </c>
      <c r="N89" s="1" t="s">
        <v>146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0" t="n">
        <f aca="false">I89+0</f>
        <v>8.4</v>
      </c>
      <c r="AB89" s="0" t="n">
        <f aca="false">IF(Z89&gt;360,Z89-360,Z89+0)</f>
        <v>8.4</v>
      </c>
      <c r="AC89" s="1"/>
      <c r="AD89" s="1"/>
      <c r="AE89" s="1"/>
      <c r="AF89" s="1"/>
    </row>
    <row r="90" customFormat="false" ht="15.8" hidden="false" customHeight="false" outlineLevel="0" collapsed="false">
      <c r="A90" s="1" t="n">
        <v>6</v>
      </c>
      <c r="B90" s="1" t="n">
        <v>7</v>
      </c>
      <c r="C90" s="1" t="n">
        <v>0.7</v>
      </c>
      <c r="D90" s="1" t="n">
        <v>1.0984</v>
      </c>
      <c r="E90" s="1" t="n">
        <v>0.0247004</v>
      </c>
      <c r="F90" s="1" t="n">
        <v>6.71873E-005</v>
      </c>
      <c r="G90" s="1" t="s">
        <v>27</v>
      </c>
      <c r="H90" s="1" t="n">
        <v>55</v>
      </c>
      <c r="I90" s="1" t="n">
        <v>216.9</v>
      </c>
      <c r="J90" s="1" t="n">
        <v>34.2</v>
      </c>
      <c r="K90" s="1"/>
      <c r="L90" s="1" t="n">
        <v>0</v>
      </c>
      <c r="M90" s="1" t="n">
        <v>0</v>
      </c>
      <c r="N90" s="1" t="s">
        <v>146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0" t="n">
        <f aca="false">I90+0</f>
        <v>216.9</v>
      </c>
      <c r="AB90" s="0" t="n">
        <f aca="false">IF(Z90&gt;360,Z90-360,Z90+0)</f>
        <v>216.9</v>
      </c>
      <c r="AC90" s="1"/>
      <c r="AD90" s="1"/>
      <c r="AE90" s="1"/>
      <c r="AF90" s="1"/>
    </row>
    <row r="91" customFormat="false" ht="15.8" hidden="false" customHeight="false" outlineLevel="0" collapsed="false">
      <c r="A91" s="1" t="n">
        <v>6</v>
      </c>
      <c r="B91" s="1" t="n">
        <v>6</v>
      </c>
      <c r="C91" s="1" t="n">
        <v>0.9</v>
      </c>
      <c r="D91" s="1" t="n">
        <v>1.2203</v>
      </c>
      <c r="E91" s="1" t="n">
        <v>0.0310796</v>
      </c>
      <c r="F91" s="1" t="n">
        <v>8.45392E-005</v>
      </c>
      <c r="G91" s="1" t="s">
        <v>52</v>
      </c>
      <c r="H91" s="1" t="n">
        <v>70.8</v>
      </c>
      <c r="I91" s="1" t="n">
        <v>282.6</v>
      </c>
      <c r="J91" s="1" t="n">
        <v>29.8</v>
      </c>
      <c r="K91" s="1" t="n">
        <v>71.5</v>
      </c>
      <c r="L91" s="1" t="n">
        <v>0</v>
      </c>
      <c r="M91" s="1" t="n">
        <v>0</v>
      </c>
      <c r="N91" s="1" t="s">
        <v>145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0" t="n">
        <f aca="false">I91+0</f>
        <v>282.6</v>
      </c>
      <c r="AB91" s="0" t="n">
        <f aca="false">IF(Z91&gt;360,Z91-360,Z91+0)</f>
        <v>282.6</v>
      </c>
      <c r="AC91" s="1"/>
      <c r="AD91" s="1"/>
      <c r="AE91" s="1"/>
      <c r="AF91" s="1"/>
    </row>
    <row r="92" customFormat="false" ht="15.8" hidden="false" customHeight="false" outlineLevel="0" collapsed="false">
      <c r="A92" s="1" t="n">
        <v>6</v>
      </c>
      <c r="B92" s="1" t="n">
        <v>5</v>
      </c>
      <c r="C92" s="1" t="n">
        <v>7.6</v>
      </c>
      <c r="D92" s="1" t="n">
        <v>1.1635</v>
      </c>
      <c r="E92" s="1" t="n">
        <v>0.260369</v>
      </c>
      <c r="F92" s="1" t="n">
        <v>0.000708226</v>
      </c>
      <c r="G92" s="1" t="s">
        <v>52</v>
      </c>
      <c r="H92" s="1" t="n">
        <v>18.5</v>
      </c>
      <c r="I92" s="1" t="n">
        <v>31.6</v>
      </c>
      <c r="J92" s="1" t="n">
        <v>64.7</v>
      </c>
      <c r="K92" s="1" t="n">
        <v>70.8</v>
      </c>
      <c r="L92" s="1" t="n">
        <v>0</v>
      </c>
      <c r="M92" s="1" t="n">
        <v>0</v>
      </c>
      <c r="N92" s="1" t="s">
        <v>144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0" t="n">
        <f aca="false">I92+0</f>
        <v>31.6</v>
      </c>
      <c r="AB92" s="0" t="n">
        <f aca="false">IF(Z92&gt;360,Z92-360,Z92+0)</f>
        <v>31.6</v>
      </c>
      <c r="AC92" s="1"/>
      <c r="AD92" s="1"/>
      <c r="AE92" s="1"/>
      <c r="AF92" s="1"/>
    </row>
    <row r="93" customFormat="false" ht="15.8" hidden="false" customHeight="false" outlineLevel="0" collapsed="false">
      <c r="A93" s="1" t="n">
        <v>6</v>
      </c>
      <c r="B93" s="1" t="n">
        <v>4</v>
      </c>
      <c r="C93" s="1" t="n">
        <v>0.5</v>
      </c>
      <c r="D93" s="1" t="n">
        <v>1.1809</v>
      </c>
      <c r="E93" s="1" t="n">
        <v>0.00954131</v>
      </c>
      <c r="F93" s="1" t="n">
        <v>1.52781E-005</v>
      </c>
      <c r="G93" s="1" t="s">
        <v>52</v>
      </c>
      <c r="H93" s="1" t="n">
        <v>67</v>
      </c>
      <c r="I93" s="1" t="n">
        <v>72.4</v>
      </c>
      <c r="J93" s="1" t="n">
        <v>61.2</v>
      </c>
      <c r="K93" s="1" t="n">
        <v>77.5</v>
      </c>
      <c r="L93" s="1" t="n">
        <v>0</v>
      </c>
      <c r="M93" s="1" t="n">
        <v>0</v>
      </c>
      <c r="N93" s="1" t="s">
        <v>147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0" t="n">
        <f aca="false">I93+0</f>
        <v>72.4</v>
      </c>
      <c r="AB93" s="0" t="n">
        <f aca="false">IF(Z93&gt;360,Z93-360,Z93+0)</f>
        <v>72.4</v>
      </c>
      <c r="AC93" s="1"/>
      <c r="AD93" s="1"/>
      <c r="AE93" s="1"/>
      <c r="AF93" s="1"/>
    </row>
    <row r="94" customFormat="false" ht="15.8" hidden="false" customHeight="false" outlineLevel="0" collapsed="false">
      <c r="A94" s="1" t="n">
        <v>6</v>
      </c>
      <c r="B94" s="1" t="n">
        <v>6</v>
      </c>
      <c r="C94" s="1" t="n">
        <v>1.2</v>
      </c>
      <c r="D94" s="1" t="n">
        <v>1.2344</v>
      </c>
      <c r="E94" s="1" t="n">
        <v>0.0397868</v>
      </c>
      <c r="F94" s="1" t="n">
        <v>0.000108224</v>
      </c>
      <c r="G94" s="1" t="s">
        <v>27</v>
      </c>
      <c r="H94" s="1" t="n">
        <v>40.1</v>
      </c>
      <c r="I94" s="1" t="n">
        <v>245.8</v>
      </c>
      <c r="J94" s="1" t="n">
        <v>-51.7</v>
      </c>
      <c r="K94" s="1"/>
      <c r="L94" s="1" t="n">
        <v>0</v>
      </c>
      <c r="M94" s="1" t="n">
        <v>0</v>
      </c>
      <c r="N94" s="1" t="s">
        <v>148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0" t="n">
        <f aca="false">I94+0</f>
        <v>245.8</v>
      </c>
      <c r="AB94" s="0" t="n">
        <f aca="false">IF(Z94&gt;360,Z94-360,Z94+0)</f>
        <v>245.8</v>
      </c>
      <c r="AC94" s="1"/>
      <c r="AD94" s="1"/>
      <c r="AE94" s="1"/>
      <c r="AF94" s="1"/>
    </row>
    <row r="95" customFormat="false" ht="15.8" hidden="false" customHeight="false" outlineLevel="0" collapsed="false">
      <c r="A95" s="1" t="n">
        <v>6</v>
      </c>
      <c r="B95" s="1" t="n">
        <v>7</v>
      </c>
      <c r="C95" s="1" t="n">
        <v>0.6</v>
      </c>
      <c r="D95" s="1" t="n">
        <v>1.0186</v>
      </c>
      <c r="E95" s="1" t="n">
        <v>0.0210539</v>
      </c>
      <c r="F95" s="1" t="n">
        <v>5.72686E-005</v>
      </c>
      <c r="G95" s="1" t="s">
        <v>27</v>
      </c>
      <c r="H95" s="1" t="n">
        <v>9.4</v>
      </c>
      <c r="I95" s="1" t="n">
        <v>8.3</v>
      </c>
      <c r="J95" s="1" t="n">
        <v>0</v>
      </c>
      <c r="K95" s="1"/>
      <c r="L95" s="1" t="n">
        <v>0</v>
      </c>
      <c r="M95" s="1" t="n">
        <v>0</v>
      </c>
      <c r="N95" s="1" t="s">
        <v>149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0" t="n">
        <f aca="false">I95+0</f>
        <v>8.3</v>
      </c>
      <c r="AB95" s="0" t="n">
        <f aca="false">IF(Z95&gt;360,Z95-360,Z95+0)</f>
        <v>8.3</v>
      </c>
      <c r="AC95" s="1"/>
      <c r="AD95" s="1"/>
      <c r="AE95" s="1"/>
      <c r="AF95" s="1"/>
    </row>
    <row r="96" customFormat="false" ht="15.8" hidden="false" customHeight="false" outlineLevel="0" collapsed="false">
      <c r="A96" s="1" t="n">
        <v>6</v>
      </c>
      <c r="B96" s="1" t="n">
        <v>7</v>
      </c>
      <c r="C96" s="1" t="n">
        <v>0.7</v>
      </c>
      <c r="D96" s="1" t="n">
        <v>1.0766</v>
      </c>
      <c r="E96" s="1" t="n">
        <v>0.0236073</v>
      </c>
      <c r="F96" s="1" t="n">
        <v>6.4214E-005</v>
      </c>
      <c r="G96" s="1" t="s">
        <v>27</v>
      </c>
      <c r="H96" s="1" t="n">
        <v>93</v>
      </c>
      <c r="I96" s="1" t="n">
        <v>265.2</v>
      </c>
      <c r="J96" s="1" t="n">
        <v>35.2</v>
      </c>
      <c r="K96" s="1"/>
      <c r="L96" s="1" t="n">
        <v>0</v>
      </c>
      <c r="M96" s="1" t="n">
        <v>0</v>
      </c>
      <c r="N96" s="1" t="s">
        <v>149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0" t="n">
        <f aca="false">I96+0</f>
        <v>265.2</v>
      </c>
      <c r="AB96" s="0" t="n">
        <f aca="false">IF(Z96&gt;360,Z96-360,Z96+0)</f>
        <v>265.2</v>
      </c>
      <c r="AC96" s="1"/>
      <c r="AD96" s="1"/>
      <c r="AE96" s="1"/>
      <c r="AF96" s="1"/>
    </row>
    <row r="97" customFormat="false" ht="15.8" hidden="false" customHeight="false" outlineLevel="0" collapsed="false">
      <c r="A97" s="1" t="n">
        <v>6</v>
      </c>
      <c r="B97" s="1" t="n">
        <v>6</v>
      </c>
      <c r="C97" s="1" t="n">
        <v>0.6</v>
      </c>
      <c r="D97" s="1" t="n">
        <v>1.0064</v>
      </c>
      <c r="E97" s="1" t="n">
        <v>0.0198401</v>
      </c>
      <c r="F97" s="1" t="n">
        <v>5.39668E-005</v>
      </c>
      <c r="G97" s="1" t="s">
        <v>52</v>
      </c>
      <c r="H97" s="1" t="n">
        <v>69.1</v>
      </c>
      <c r="I97" s="1" t="n">
        <v>358.9</v>
      </c>
      <c r="J97" s="1" t="n">
        <v>0</v>
      </c>
      <c r="K97" s="1" t="n">
        <v>93</v>
      </c>
      <c r="L97" s="1" t="n">
        <v>0</v>
      </c>
      <c r="M97" s="1" t="n">
        <v>0</v>
      </c>
      <c r="N97" s="1" t="s">
        <v>148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0" t="n">
        <f aca="false">I97+0</f>
        <v>358.9</v>
      </c>
      <c r="AB97" s="0" t="n">
        <f aca="false">IF(Z97&gt;360,Z97-360,Z97+0)</f>
        <v>358.9</v>
      </c>
      <c r="AC97" s="1"/>
      <c r="AD97" s="1"/>
      <c r="AE97" s="1"/>
      <c r="AF97" s="1"/>
    </row>
    <row r="98" customFormat="false" ht="15.8" hidden="false" customHeight="false" outlineLevel="0" collapsed="false">
      <c r="A98" s="1" t="n">
        <v>6</v>
      </c>
      <c r="B98" s="1" t="n">
        <v>5</v>
      </c>
      <c r="C98" s="1" t="n">
        <v>1.3</v>
      </c>
      <c r="D98" s="1" t="n">
        <v>1.0258</v>
      </c>
      <c r="E98" s="1" t="n">
        <v>0.0433422</v>
      </c>
      <c r="F98" s="1" t="n">
        <v>0.000117895</v>
      </c>
      <c r="G98" s="1" t="s">
        <v>52</v>
      </c>
      <c r="H98" s="1" t="n">
        <v>36.3</v>
      </c>
      <c r="I98" s="1" t="n">
        <v>323.1</v>
      </c>
      <c r="J98" s="1" t="n">
        <v>-63.9</v>
      </c>
      <c r="K98" s="1" t="n">
        <v>69.1</v>
      </c>
      <c r="L98" s="1" t="n">
        <v>0</v>
      </c>
      <c r="M98" s="1" t="n">
        <v>0</v>
      </c>
      <c r="N98" s="1" t="s">
        <v>150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0" t="n">
        <f aca="false">I98+0</f>
        <v>323.1</v>
      </c>
      <c r="AB98" s="0" t="n">
        <f aca="false">IF(Z98&gt;360,Z98-360,Z98+0)</f>
        <v>323.1</v>
      </c>
      <c r="AC98" s="1"/>
      <c r="AD98" s="1"/>
      <c r="AE98" s="1"/>
      <c r="AF98" s="1"/>
    </row>
    <row r="99" customFormat="false" ht="15.8" hidden="false" customHeight="false" outlineLevel="0" collapsed="false">
      <c r="A99" s="1" t="n">
        <v>6</v>
      </c>
      <c r="B99" s="1" t="n">
        <v>5</v>
      </c>
      <c r="C99" s="1" t="n">
        <v>2.9</v>
      </c>
      <c r="D99" s="1" t="n">
        <v>1.3719</v>
      </c>
      <c r="E99" s="1" t="n">
        <v>0.100217</v>
      </c>
      <c r="F99" s="1" t="n">
        <v>0.000272599</v>
      </c>
      <c r="G99" s="1" t="s">
        <v>27</v>
      </c>
      <c r="H99" s="1" t="n">
        <v>69.6</v>
      </c>
      <c r="I99" s="1" t="n">
        <v>28.3</v>
      </c>
      <c r="J99" s="1" t="n">
        <v>0</v>
      </c>
      <c r="K99" s="1"/>
      <c r="L99" s="1" t="n">
        <v>0</v>
      </c>
      <c r="M99" s="1" t="n">
        <v>0</v>
      </c>
      <c r="N99" s="1" t="s">
        <v>150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0" t="n">
        <f aca="false">I99+0</f>
        <v>28.3</v>
      </c>
      <c r="AB99" s="0" t="n">
        <f aca="false">IF(Z99&gt;360,Z99-360,Z99+0)</f>
        <v>28.3</v>
      </c>
      <c r="AC99" s="1"/>
      <c r="AD99" s="1"/>
      <c r="AE99" s="1"/>
      <c r="AF99" s="1"/>
    </row>
    <row r="100" customFormat="false" ht="15.8" hidden="false" customHeight="false" outlineLevel="0" collapsed="false">
      <c r="A100" s="1" t="n">
        <v>6</v>
      </c>
      <c r="B100" s="1" t="n">
        <v>5</v>
      </c>
      <c r="C100" s="1" t="n">
        <v>5.2</v>
      </c>
      <c r="D100" s="1" t="n">
        <v>1.6796</v>
      </c>
      <c r="E100" s="1" t="n">
        <v>0.176253</v>
      </c>
      <c r="F100" s="1" t="n">
        <v>0.000479425</v>
      </c>
      <c r="G100" s="1" t="s">
        <v>27</v>
      </c>
      <c r="H100" s="1" t="n">
        <v>94</v>
      </c>
      <c r="I100" s="1" t="n">
        <v>214.7</v>
      </c>
      <c r="J100" s="1" t="n">
        <v>-21.2</v>
      </c>
      <c r="K100" s="1"/>
      <c r="L100" s="1" t="n">
        <v>0</v>
      </c>
      <c r="M100" s="1" t="n">
        <v>0</v>
      </c>
      <c r="N100" s="1" t="s">
        <v>150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0" t="n">
        <f aca="false">I100+0</f>
        <v>214.7</v>
      </c>
      <c r="AB100" s="0" t="n">
        <f aca="false">IF(Z100&gt;360,Z100-360,Z100+0)</f>
        <v>214.7</v>
      </c>
      <c r="AC100" s="1"/>
      <c r="AD100" s="1"/>
      <c r="AE100" s="1"/>
      <c r="AF100" s="1"/>
    </row>
    <row r="101" customFormat="false" ht="15.8" hidden="false" customHeight="false" outlineLevel="0" collapsed="false">
      <c r="A101" s="1" t="n">
        <v>6</v>
      </c>
      <c r="B101" s="1" t="n">
        <v>4</v>
      </c>
      <c r="C101" s="1" t="n">
        <v>4.3</v>
      </c>
      <c r="D101" s="1" t="n">
        <v>1.3418</v>
      </c>
      <c r="E101" s="1" t="n">
        <v>0.14658</v>
      </c>
      <c r="F101" s="1" t="n">
        <v>0.00039871</v>
      </c>
      <c r="G101" s="1" t="s">
        <v>52</v>
      </c>
      <c r="H101" s="1" t="n">
        <v>82.5</v>
      </c>
      <c r="I101" s="1" t="n">
        <v>321.4</v>
      </c>
      <c r="J101" s="1" t="n">
        <v>-27.6</v>
      </c>
      <c r="K101" s="1" t="n">
        <v>94</v>
      </c>
      <c r="L101" s="1" t="n">
        <v>0</v>
      </c>
      <c r="M101" s="1" t="n">
        <v>0</v>
      </c>
      <c r="N101" s="1" t="s">
        <v>147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0" t="n">
        <f aca="false">I101+0</f>
        <v>321.4</v>
      </c>
      <c r="AB101" s="0" t="n">
        <f aca="false">IF(Z101&gt;360,Z101-360,Z101+0)</f>
        <v>321.4</v>
      </c>
      <c r="AC101" s="1"/>
      <c r="AD101" s="1"/>
      <c r="AE101" s="1"/>
      <c r="AF101" s="1"/>
    </row>
    <row r="102" customFormat="false" ht="15.8" hidden="false" customHeight="false" outlineLevel="0" collapsed="false">
      <c r="A102" s="1" t="n">
        <v>6</v>
      </c>
      <c r="B102" s="1" t="n">
        <v>3</v>
      </c>
      <c r="C102" s="1" t="n">
        <v>2.8</v>
      </c>
      <c r="D102" s="1" t="n">
        <v>1.4242</v>
      </c>
      <c r="E102" s="1" t="n">
        <v>0.0844942</v>
      </c>
      <c r="F102" s="1" t="n">
        <v>0.000212331</v>
      </c>
      <c r="G102" s="1" t="s">
        <v>52</v>
      </c>
      <c r="H102" s="1" t="n">
        <v>76</v>
      </c>
      <c r="I102" s="1" t="n">
        <v>285.8</v>
      </c>
      <c r="J102" s="1" t="n">
        <v>48.6</v>
      </c>
      <c r="K102" s="1" t="n">
        <v>82.5</v>
      </c>
      <c r="L102" s="1" t="n">
        <v>0</v>
      </c>
      <c r="M102" s="1" t="n">
        <v>0</v>
      </c>
      <c r="N102" s="1" t="s">
        <v>143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0" t="n">
        <f aca="false">I102+0</f>
        <v>285.8</v>
      </c>
      <c r="AB102" s="0" t="n">
        <f aca="false">IF(Z102&gt;360,Z102-360,Z102+0)</f>
        <v>285.8</v>
      </c>
      <c r="AC102" s="1"/>
      <c r="AD102" s="1"/>
      <c r="AE102" s="1"/>
      <c r="AF102" s="1"/>
    </row>
    <row r="103" customFormat="false" ht="15.8" hidden="false" customHeight="false" outlineLevel="0" collapsed="false">
      <c r="A103" s="1" t="n">
        <v>6</v>
      </c>
      <c r="B103" s="1" t="n">
        <v>2</v>
      </c>
      <c r="C103" s="1" t="n">
        <v>2</v>
      </c>
      <c r="D103" s="1" t="n">
        <v>1.1998</v>
      </c>
      <c r="E103" s="1" t="n">
        <v>0.0668296</v>
      </c>
      <c r="F103" s="1" t="n">
        <v>0.000181782</v>
      </c>
      <c r="G103" s="1" t="s">
        <v>52</v>
      </c>
      <c r="H103" s="1" t="n">
        <v>27.1</v>
      </c>
      <c r="I103" s="1" t="n">
        <v>186.3</v>
      </c>
      <c r="J103" s="1" t="n">
        <v>27</v>
      </c>
      <c r="K103" s="1" t="n">
        <v>76</v>
      </c>
      <c r="L103" s="1" t="n">
        <v>0</v>
      </c>
      <c r="M103" s="1" t="n">
        <v>0</v>
      </c>
      <c r="N103" s="1" t="s">
        <v>151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0" t="n">
        <f aca="false">I103+0</f>
        <v>186.3</v>
      </c>
      <c r="AB103" s="0" t="n">
        <f aca="false">IF(Z103&gt;360,Z103-360,Z103+0)</f>
        <v>186.3</v>
      </c>
      <c r="AC103" s="1"/>
      <c r="AD103" s="1"/>
      <c r="AE103" s="1"/>
      <c r="AF103" s="1"/>
    </row>
    <row r="104" customFormat="false" ht="15.8" hidden="false" customHeight="false" outlineLevel="0" collapsed="false">
      <c r="A104" s="1" t="n">
        <v>6</v>
      </c>
      <c r="B104" s="1" t="n">
        <v>3</v>
      </c>
      <c r="C104" s="1" t="n">
        <v>2.3</v>
      </c>
      <c r="D104" s="1" t="n">
        <v>1.4587</v>
      </c>
      <c r="E104" s="1" t="n">
        <v>0.0790371</v>
      </c>
      <c r="F104" s="1" t="n">
        <v>0.000214988</v>
      </c>
      <c r="G104" s="1" t="s">
        <v>27</v>
      </c>
      <c r="H104" s="1" t="n">
        <v>35.8</v>
      </c>
      <c r="I104" s="1" t="n">
        <v>136.1</v>
      </c>
      <c r="J104" s="1" t="n">
        <v>0</v>
      </c>
      <c r="K104" s="1"/>
      <c r="L104" s="1" t="n">
        <v>0</v>
      </c>
      <c r="M104" s="1" t="n">
        <v>0</v>
      </c>
      <c r="N104" s="1" t="s">
        <v>152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0" t="n">
        <f aca="false">I104+0</f>
        <v>136.1</v>
      </c>
      <c r="AB104" s="0" t="n">
        <f aca="false">IF(Z104&gt;360,Z104-360,Z104+0)</f>
        <v>136.1</v>
      </c>
      <c r="AC104" s="1"/>
      <c r="AD104" s="1"/>
      <c r="AE104" s="1"/>
      <c r="AF104" s="1"/>
    </row>
    <row r="105" customFormat="false" ht="15.8" hidden="false" customHeight="false" outlineLevel="0" collapsed="false">
      <c r="A105" s="1" t="n">
        <v>6</v>
      </c>
      <c r="B105" s="1" t="n">
        <v>3</v>
      </c>
      <c r="C105" s="1" t="n">
        <v>1</v>
      </c>
      <c r="D105" s="1" t="n">
        <v>1.2345</v>
      </c>
      <c r="E105" s="1" t="n">
        <v>0.0331275</v>
      </c>
      <c r="F105" s="1" t="n">
        <v>9.01097E-005</v>
      </c>
      <c r="G105" s="1" t="s">
        <v>27</v>
      </c>
      <c r="H105" s="1" t="n">
        <v>85.5</v>
      </c>
      <c r="I105" s="1" t="n">
        <v>261.9</v>
      </c>
      <c r="J105" s="1" t="n">
        <v>-28.1</v>
      </c>
      <c r="K105" s="1"/>
      <c r="L105" s="1" t="n">
        <v>0</v>
      </c>
      <c r="M105" s="1" t="n">
        <v>0</v>
      </c>
      <c r="N105" s="1" t="s">
        <v>152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0" t="n">
        <f aca="false">I105+0</f>
        <v>261.9</v>
      </c>
      <c r="AB105" s="0" t="n">
        <f aca="false">IF(Z105&gt;360,Z105-360,Z105+0)</f>
        <v>261.9</v>
      </c>
      <c r="AC105" s="1"/>
      <c r="AD105" s="1"/>
      <c r="AE105" s="1"/>
      <c r="AF105" s="1"/>
    </row>
    <row r="106" customFormat="false" ht="15.8" hidden="false" customHeight="false" outlineLevel="0" collapsed="false">
      <c r="A106" s="1" t="n">
        <v>6</v>
      </c>
      <c r="B106" s="1" t="n">
        <v>2</v>
      </c>
      <c r="C106" s="1" t="n">
        <v>6.3</v>
      </c>
      <c r="D106" s="1" t="n">
        <v>1.302</v>
      </c>
      <c r="E106" s="1" t="n">
        <v>0.215137</v>
      </c>
      <c r="F106" s="1" t="n">
        <v>0.000585191</v>
      </c>
      <c r="G106" s="1" t="s">
        <v>52</v>
      </c>
      <c r="H106" s="1" t="n">
        <v>56.3</v>
      </c>
      <c r="I106" s="1" t="n">
        <v>164.7</v>
      </c>
      <c r="J106" s="1" t="n">
        <v>-22.5</v>
      </c>
      <c r="K106" s="1" t="n">
        <v>85.5</v>
      </c>
      <c r="L106" s="1" t="n">
        <v>0</v>
      </c>
      <c r="M106" s="1" t="n">
        <v>0</v>
      </c>
      <c r="N106" s="1" t="s">
        <v>151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0" t="n">
        <f aca="false">I106+0</f>
        <v>164.7</v>
      </c>
      <c r="AB106" s="0" t="n">
        <f aca="false">IF(Z106&gt;360,Z106-360,Z106+0)</f>
        <v>164.7</v>
      </c>
      <c r="AC106" s="1"/>
      <c r="AD106" s="1"/>
      <c r="AE106" s="1"/>
      <c r="AF106" s="1"/>
    </row>
    <row r="107" customFormat="false" ht="15.8" hidden="false" customHeight="false" outlineLevel="0" collapsed="false">
      <c r="A107" s="1" t="n">
        <v>6</v>
      </c>
      <c r="B107" s="1" t="n">
        <v>1</v>
      </c>
      <c r="C107" s="1" t="n">
        <v>2.3</v>
      </c>
      <c r="D107" s="1" t="n">
        <v>1.2705</v>
      </c>
      <c r="E107" s="1" t="n">
        <v>0.0776989</v>
      </c>
      <c r="F107" s="1" t="n">
        <v>0.000211348</v>
      </c>
      <c r="G107" s="1" t="s">
        <v>52</v>
      </c>
      <c r="H107" s="1"/>
      <c r="I107" s="1" t="n">
        <v>210.2</v>
      </c>
      <c r="J107" s="1" t="n">
        <v>11.9</v>
      </c>
      <c r="K107" s="1" t="n">
        <v>56.3</v>
      </c>
      <c r="L107" s="1" t="n">
        <v>0</v>
      </c>
      <c r="M107" s="1" t="n">
        <v>0</v>
      </c>
      <c r="N107" s="1" t="s">
        <v>153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0" t="n">
        <f aca="false">I107+0</f>
        <v>210.2</v>
      </c>
      <c r="AB107" s="0" t="n">
        <f aca="false">IF(Z107&gt;360,Z107-360,Z107+0)</f>
        <v>210.2</v>
      </c>
      <c r="AC107" s="1"/>
      <c r="AD107" s="1"/>
      <c r="AE107" s="1"/>
      <c r="AF107" s="1"/>
    </row>
    <row r="108" customFormat="false" ht="15.8" hidden="false" customHeight="false" outlineLevel="0" collapsed="false">
      <c r="A108" s="1" t="n">
        <v>7</v>
      </c>
      <c r="B108" s="1" t="n">
        <v>2</v>
      </c>
      <c r="C108" s="1" t="n">
        <v>0.6</v>
      </c>
      <c r="D108" s="1" t="n">
        <v>1.0075</v>
      </c>
      <c r="E108" s="1" t="n">
        <v>0.0217836</v>
      </c>
      <c r="F108" s="1" t="n">
        <v>5.92534E-005</v>
      </c>
      <c r="G108" s="1" t="s">
        <v>27</v>
      </c>
      <c r="H108" s="1" t="n">
        <v>167.9</v>
      </c>
      <c r="I108" s="1" t="n">
        <v>49.2</v>
      </c>
      <c r="J108" s="1" t="n">
        <v>0</v>
      </c>
      <c r="K108" s="1"/>
      <c r="L108" s="1" t="n">
        <v>0</v>
      </c>
      <c r="M108" s="1" t="n">
        <v>0</v>
      </c>
      <c r="N108" s="1" t="s">
        <v>154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0" t="n">
        <f aca="false">I108+0</f>
        <v>49.2</v>
      </c>
      <c r="AB108" s="0" t="n">
        <f aca="false">IF(Z108&gt;360,Z108-360,Z108+0)</f>
        <v>49.2</v>
      </c>
      <c r="AC108" s="1"/>
      <c r="AD108" s="1"/>
      <c r="AE108" s="1"/>
      <c r="AF108" s="1"/>
    </row>
    <row r="109" customFormat="false" ht="15.8" hidden="false" customHeight="false" outlineLevel="0" collapsed="false">
      <c r="A109" s="1" t="n">
        <v>7</v>
      </c>
      <c r="B109" s="1" t="n">
        <v>2</v>
      </c>
      <c r="C109" s="1" t="n">
        <v>0.7</v>
      </c>
      <c r="D109" s="1" t="n">
        <v>1.0026</v>
      </c>
      <c r="E109" s="1" t="n">
        <v>0.023612</v>
      </c>
      <c r="F109" s="1" t="n">
        <v>6.42266E-005</v>
      </c>
      <c r="G109" s="1" t="s">
        <v>27</v>
      </c>
      <c r="H109" s="1" t="n">
        <v>44.4</v>
      </c>
      <c r="I109" s="1" t="n">
        <v>285.6</v>
      </c>
      <c r="J109" s="1" t="n">
        <v>0</v>
      </c>
      <c r="K109" s="1"/>
      <c r="L109" s="1" t="n">
        <v>0</v>
      </c>
      <c r="M109" s="1" t="n">
        <v>0</v>
      </c>
      <c r="N109" s="1" t="s">
        <v>154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0" t="n">
        <f aca="false">I109+0</f>
        <v>285.6</v>
      </c>
      <c r="AB109" s="0" t="n">
        <f aca="false">IF(Z109&gt;360,Z109-360,Z109+0)</f>
        <v>285.6</v>
      </c>
      <c r="AC109" s="1"/>
      <c r="AD109" s="1"/>
      <c r="AE109" s="1"/>
      <c r="AF109" s="1"/>
    </row>
    <row r="110" customFormat="false" ht="15.8" hidden="false" customHeight="false" outlineLevel="0" collapsed="false">
      <c r="A110" s="1" t="n">
        <v>7</v>
      </c>
      <c r="B110" s="1" t="n">
        <v>1</v>
      </c>
      <c r="C110" s="1" t="n">
        <v>17</v>
      </c>
      <c r="D110" s="1" t="n">
        <v>1.6117</v>
      </c>
      <c r="E110" s="1" t="n">
        <v>0.581971</v>
      </c>
      <c r="F110" s="1" t="n">
        <v>0.00158301</v>
      </c>
      <c r="G110" s="1" t="s">
        <v>52</v>
      </c>
      <c r="H110" s="1"/>
      <c r="I110" s="1" t="n">
        <v>241.2</v>
      </c>
      <c r="J110" s="1" t="n">
        <v>-2</v>
      </c>
      <c r="K110" s="1" t="n">
        <v>167.9</v>
      </c>
      <c r="L110" s="1" t="n">
        <v>0</v>
      </c>
      <c r="M110" s="1" t="n">
        <v>0</v>
      </c>
      <c r="N110" s="1" t="s">
        <v>155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0" t="n">
        <f aca="false">I110+0</f>
        <v>241.2</v>
      </c>
      <c r="AB110" s="0" t="n">
        <f aca="false">IF(Z110&gt;360,Z110-360,Z110+0)</f>
        <v>241.2</v>
      </c>
      <c r="AC110" s="1"/>
      <c r="AD110" s="1"/>
      <c r="AE110" s="1"/>
      <c r="AF110" s="1"/>
    </row>
    <row r="111" customFormat="false" ht="15.8" hidden="false" customHeight="false" outlineLevel="0" collapsed="false">
      <c r="A111" s="1" t="n">
        <v>8</v>
      </c>
      <c r="B111" s="1" t="n">
        <v>3</v>
      </c>
      <c r="C111" s="1" t="n">
        <v>0.8</v>
      </c>
      <c r="D111" s="1" t="n">
        <v>1.1334</v>
      </c>
      <c r="E111" s="1" t="n">
        <v>0.0266334</v>
      </c>
      <c r="F111" s="1" t="n">
        <v>7.24451E-005</v>
      </c>
      <c r="G111" s="1" t="s">
        <v>27</v>
      </c>
      <c r="H111" s="1" t="n">
        <v>85</v>
      </c>
      <c r="I111" s="1" t="n">
        <v>124.3</v>
      </c>
      <c r="J111" s="1" t="n">
        <v>32.6</v>
      </c>
      <c r="K111" s="1"/>
      <c r="L111" s="1" t="n">
        <v>0</v>
      </c>
      <c r="M111" s="1" t="n">
        <v>0</v>
      </c>
      <c r="N111" s="1" t="s">
        <v>156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0" t="n">
        <f aca="false">I111+0</f>
        <v>124.3</v>
      </c>
      <c r="AB111" s="0" t="n">
        <f aca="false">IF(Z111&gt;360,Z111-360,Z111+0)</f>
        <v>124.3</v>
      </c>
      <c r="AC111" s="1"/>
      <c r="AD111" s="1"/>
      <c r="AE111" s="1"/>
      <c r="AF111" s="1"/>
    </row>
    <row r="112" customFormat="false" ht="15.8" hidden="false" customHeight="false" outlineLevel="0" collapsed="false">
      <c r="A112" s="1" t="n">
        <v>8</v>
      </c>
      <c r="B112" s="1" t="n">
        <v>4</v>
      </c>
      <c r="C112" s="1" t="n">
        <v>2.2</v>
      </c>
      <c r="D112" s="1" t="n">
        <v>1.192</v>
      </c>
      <c r="E112" s="1" t="n">
        <v>0.0752124</v>
      </c>
      <c r="F112" s="1" t="n">
        <v>0.000204584</v>
      </c>
      <c r="G112" s="1" t="s">
        <v>27</v>
      </c>
      <c r="H112" s="1" t="n">
        <v>64.6</v>
      </c>
      <c r="I112" s="1" t="n">
        <v>195.7</v>
      </c>
      <c r="J112" s="1" t="n">
        <v>-11.6</v>
      </c>
      <c r="K112" s="1"/>
      <c r="L112" s="1" t="n">
        <v>0</v>
      </c>
      <c r="M112" s="1" t="n">
        <v>0</v>
      </c>
      <c r="N112" s="1" t="s">
        <v>157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0" t="n">
        <f aca="false">I112+0</f>
        <v>195.7</v>
      </c>
      <c r="AB112" s="0" t="n">
        <f aca="false">IF(Z112&gt;360,Z112-360,Z112+0)</f>
        <v>195.7</v>
      </c>
      <c r="AC112" s="1"/>
      <c r="AD112" s="1"/>
      <c r="AE112" s="1"/>
      <c r="AF112" s="1"/>
    </row>
    <row r="113" customFormat="false" ht="15.8" hidden="false" customHeight="false" outlineLevel="0" collapsed="false">
      <c r="A113" s="1" t="n">
        <v>8</v>
      </c>
      <c r="B113" s="1" t="n">
        <v>4</v>
      </c>
      <c r="C113" s="1" t="n">
        <v>0.7</v>
      </c>
      <c r="D113" s="1" t="n">
        <v>1.2494</v>
      </c>
      <c r="E113" s="1" t="n">
        <v>0.0252647</v>
      </c>
      <c r="F113" s="1" t="n">
        <v>6.87222E-005</v>
      </c>
      <c r="G113" s="1" t="s">
        <v>27</v>
      </c>
      <c r="H113" s="1" t="n">
        <v>26.9</v>
      </c>
      <c r="I113" s="1" t="n">
        <v>278.1</v>
      </c>
      <c r="J113" s="1" t="n">
        <v>38.7</v>
      </c>
      <c r="K113" s="1"/>
      <c r="L113" s="1" t="n">
        <v>0</v>
      </c>
      <c r="M113" s="1" t="n">
        <v>0</v>
      </c>
      <c r="N113" s="1" t="s">
        <v>157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0" t="n">
        <f aca="false">I113+0</f>
        <v>278.1</v>
      </c>
      <c r="AB113" s="0" t="n">
        <f aca="false">IF(Z113&gt;360,Z113-360,Z113+0)</f>
        <v>278.1</v>
      </c>
      <c r="AC113" s="1"/>
      <c r="AD113" s="1"/>
      <c r="AE113" s="1"/>
      <c r="AF113" s="1"/>
    </row>
    <row r="114" customFormat="false" ht="15.8" hidden="false" customHeight="false" outlineLevel="0" collapsed="false">
      <c r="A114" s="1" t="n">
        <v>8</v>
      </c>
      <c r="B114" s="1" t="n">
        <v>4</v>
      </c>
      <c r="C114" s="1" t="n">
        <v>9.3</v>
      </c>
      <c r="D114" s="1" t="n">
        <v>1.3087</v>
      </c>
      <c r="E114" s="1" t="n">
        <v>0.316914</v>
      </c>
      <c r="F114" s="1" t="n">
        <v>0.000862034</v>
      </c>
      <c r="G114" s="1" t="s">
        <v>27</v>
      </c>
      <c r="H114" s="1" t="n">
        <v>54.7</v>
      </c>
      <c r="I114" s="1" t="n">
        <v>179.5</v>
      </c>
      <c r="J114" s="1" t="n">
        <v>42.8</v>
      </c>
      <c r="K114" s="1"/>
      <c r="L114" s="1" t="n">
        <v>0</v>
      </c>
      <c r="M114" s="1" t="n">
        <v>0</v>
      </c>
      <c r="N114" s="1" t="s">
        <v>157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0" t="n">
        <f aca="false">I114+0</f>
        <v>179.5</v>
      </c>
      <c r="AB114" s="0" t="n">
        <f aca="false">IF(Z114&gt;360,Z114-360,Z114+0)</f>
        <v>179.5</v>
      </c>
      <c r="AC114" s="1"/>
      <c r="AD114" s="1"/>
      <c r="AE114" s="1"/>
      <c r="AF114" s="1"/>
    </row>
    <row r="115" customFormat="false" ht="15.8" hidden="false" customHeight="false" outlineLevel="0" collapsed="false">
      <c r="A115" s="1" t="n">
        <v>8</v>
      </c>
      <c r="B115" s="1" t="n">
        <v>3</v>
      </c>
      <c r="C115" s="1" t="n">
        <v>2</v>
      </c>
      <c r="D115" s="1" t="n">
        <v>1.3282</v>
      </c>
      <c r="E115" s="1" t="n">
        <v>0.0678043</v>
      </c>
      <c r="F115" s="1" t="n">
        <v>0.000184434</v>
      </c>
      <c r="G115" s="1" t="s">
        <v>52</v>
      </c>
      <c r="H115" s="1" t="n">
        <v>21</v>
      </c>
      <c r="I115" s="1" t="n">
        <v>247.3</v>
      </c>
      <c r="J115" s="1" t="n">
        <v>29.7</v>
      </c>
      <c r="K115" s="1" t="n">
        <v>64.6</v>
      </c>
      <c r="L115" s="1" t="n">
        <v>0</v>
      </c>
      <c r="M115" s="1" t="n">
        <v>0</v>
      </c>
      <c r="N115" s="1" t="s">
        <v>156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0" t="n">
        <f aca="false">I115+0</f>
        <v>247.3</v>
      </c>
      <c r="AB115" s="0" t="n">
        <f aca="false">IF(Z115&gt;360,Z115-360,Z115+0)</f>
        <v>247.3</v>
      </c>
      <c r="AC115" s="1"/>
      <c r="AD115" s="1"/>
      <c r="AE115" s="1"/>
      <c r="AF115" s="1"/>
    </row>
    <row r="116" customFormat="false" ht="15.8" hidden="false" customHeight="false" outlineLevel="0" collapsed="false">
      <c r="A116" s="1" t="n">
        <v>8</v>
      </c>
      <c r="B116" s="1" t="n">
        <v>2</v>
      </c>
      <c r="C116" s="1" t="n">
        <v>5.2</v>
      </c>
      <c r="D116" s="1" t="n">
        <v>1.3571</v>
      </c>
      <c r="E116" s="1" t="n">
        <v>0.178231</v>
      </c>
      <c r="F116" s="1" t="n">
        <v>0.000484804</v>
      </c>
      <c r="G116" s="1" t="s">
        <v>52</v>
      </c>
      <c r="H116" s="1" t="n">
        <v>88.8</v>
      </c>
      <c r="I116" s="1" t="n">
        <v>251.9</v>
      </c>
      <c r="J116" s="1" t="n">
        <v>50.4</v>
      </c>
      <c r="K116" s="1" t="n">
        <v>85</v>
      </c>
      <c r="L116" s="1" t="n">
        <v>0</v>
      </c>
      <c r="M116" s="1" t="n">
        <v>0</v>
      </c>
      <c r="N116" s="1" t="s">
        <v>158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0" t="n">
        <f aca="false">I116+0</f>
        <v>251.9</v>
      </c>
      <c r="AB116" s="0" t="n">
        <f aca="false">IF(Z116&gt;360,Z116-360,Z116+0)</f>
        <v>251.9</v>
      </c>
      <c r="AC116" s="1"/>
      <c r="AD116" s="1"/>
      <c r="AE116" s="1"/>
      <c r="AF116" s="1"/>
    </row>
    <row r="117" customFormat="false" ht="15.8" hidden="false" customHeight="false" outlineLevel="0" collapsed="false">
      <c r="A117" s="1" t="n">
        <v>8</v>
      </c>
      <c r="B117" s="1" t="n">
        <v>3</v>
      </c>
      <c r="C117" s="1" t="n">
        <v>0.8</v>
      </c>
      <c r="D117" s="1" t="n">
        <v>1.0039</v>
      </c>
      <c r="E117" s="1" t="n">
        <v>0.0271924</v>
      </c>
      <c r="F117" s="1" t="n">
        <v>7.39656E-005</v>
      </c>
      <c r="G117" s="1" t="s">
        <v>27</v>
      </c>
      <c r="H117" s="1" t="n">
        <v>97.2</v>
      </c>
      <c r="I117" s="1" t="n">
        <v>134.4</v>
      </c>
      <c r="J117" s="1" t="n">
        <v>0</v>
      </c>
      <c r="K117" s="1"/>
      <c r="L117" s="1" t="n">
        <v>0</v>
      </c>
      <c r="M117" s="1" t="n">
        <v>0</v>
      </c>
      <c r="N117" s="1" t="s">
        <v>159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0" t="n">
        <f aca="false">I117+0</f>
        <v>134.4</v>
      </c>
      <c r="AB117" s="0" t="n">
        <f aca="false">IF(Z117&gt;360,Z117-360,Z117+0)</f>
        <v>134.4</v>
      </c>
      <c r="AC117" s="1"/>
      <c r="AD117" s="1"/>
      <c r="AE117" s="1"/>
      <c r="AF117" s="1"/>
    </row>
    <row r="118" customFormat="false" ht="15.8" hidden="false" customHeight="false" outlineLevel="0" collapsed="false">
      <c r="A118" s="1" t="n">
        <v>8</v>
      </c>
      <c r="B118" s="1" t="n">
        <v>3</v>
      </c>
      <c r="C118" s="1" t="n">
        <v>1.2</v>
      </c>
      <c r="D118" s="1" t="n">
        <v>1.1871</v>
      </c>
      <c r="E118" s="1" t="n">
        <v>0.0396139</v>
      </c>
      <c r="F118" s="1" t="n">
        <v>0.000107753</v>
      </c>
      <c r="G118" s="1" t="s">
        <v>27</v>
      </c>
      <c r="H118" s="1" t="n">
        <v>95.8</v>
      </c>
      <c r="I118" s="1" t="n">
        <v>286.9</v>
      </c>
      <c r="J118" s="1" t="n">
        <v>49.3</v>
      </c>
      <c r="K118" s="1"/>
      <c r="L118" s="1" t="n">
        <v>0</v>
      </c>
      <c r="M118" s="1" t="n">
        <v>0</v>
      </c>
      <c r="N118" s="1" t="s">
        <v>159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0" t="n">
        <f aca="false">I118+0</f>
        <v>286.9</v>
      </c>
      <c r="AB118" s="0" t="n">
        <f aca="false">IF(Z118&gt;360,Z118-360,Z118+0)</f>
        <v>286.9</v>
      </c>
      <c r="AC118" s="1"/>
      <c r="AD118" s="1"/>
      <c r="AE118" s="1"/>
      <c r="AF118" s="1"/>
    </row>
    <row r="119" customFormat="false" ht="15.8" hidden="false" customHeight="false" outlineLevel="0" collapsed="false">
      <c r="A119" s="1" t="n">
        <v>8</v>
      </c>
      <c r="B119" s="1" t="n">
        <v>4</v>
      </c>
      <c r="C119" s="1" t="n">
        <v>1.1</v>
      </c>
      <c r="D119" s="1" t="n">
        <v>1.1804</v>
      </c>
      <c r="E119" s="1" t="n">
        <v>0.0380024</v>
      </c>
      <c r="F119" s="1" t="n">
        <v>0.00010337</v>
      </c>
      <c r="G119" s="1" t="s">
        <v>27</v>
      </c>
      <c r="H119" s="1" t="n">
        <v>90.6</v>
      </c>
      <c r="I119" s="1" t="n">
        <v>327.3</v>
      </c>
      <c r="J119" s="1" t="n">
        <v>23.1</v>
      </c>
      <c r="K119" s="1"/>
      <c r="L119" s="1" t="n">
        <v>0</v>
      </c>
      <c r="M119" s="1" t="n">
        <v>0</v>
      </c>
      <c r="N119" s="1" t="s">
        <v>160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0" t="n">
        <f aca="false">I119+0</f>
        <v>327.3</v>
      </c>
      <c r="AB119" s="0" t="n">
        <f aca="false">IF(Z119&gt;360,Z119-360,Z119+0)</f>
        <v>327.3</v>
      </c>
      <c r="AC119" s="1"/>
      <c r="AD119" s="1"/>
      <c r="AE119" s="1"/>
      <c r="AF119" s="1"/>
    </row>
    <row r="120" customFormat="false" ht="15.8" hidden="false" customHeight="false" outlineLevel="0" collapsed="false">
      <c r="A120" s="1" t="n">
        <v>8</v>
      </c>
      <c r="B120" s="1" t="n">
        <v>5</v>
      </c>
      <c r="C120" s="1" t="n">
        <v>0.5</v>
      </c>
      <c r="D120" s="1" t="n">
        <v>1.0009</v>
      </c>
      <c r="E120" s="1" t="n">
        <v>0.0168335</v>
      </c>
      <c r="F120" s="1" t="n">
        <v>4.57885E-005</v>
      </c>
      <c r="G120" s="1" t="s">
        <v>27</v>
      </c>
      <c r="H120" s="1" t="n">
        <v>53.2</v>
      </c>
      <c r="I120" s="1" t="n">
        <v>35.1</v>
      </c>
      <c r="J120" s="1" t="n">
        <v>0</v>
      </c>
      <c r="K120" s="1"/>
      <c r="L120" s="1" t="n">
        <v>0</v>
      </c>
      <c r="M120" s="1" t="n">
        <v>0</v>
      </c>
      <c r="N120" s="1" t="s">
        <v>161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0" t="n">
        <f aca="false">I120+0</f>
        <v>35.1</v>
      </c>
      <c r="AB120" s="0" t="n">
        <f aca="false">IF(Z120&gt;360,Z120-360,Z120+0)</f>
        <v>35.1</v>
      </c>
      <c r="AC120" s="1"/>
      <c r="AD120" s="1"/>
      <c r="AE120" s="1"/>
      <c r="AF120" s="1"/>
    </row>
    <row r="121" customFormat="false" ht="15.8" hidden="false" customHeight="false" outlineLevel="0" collapsed="false">
      <c r="A121" s="1" t="n">
        <v>8</v>
      </c>
      <c r="B121" s="1" t="n">
        <v>5</v>
      </c>
      <c r="C121" s="1" t="n">
        <v>0.9</v>
      </c>
      <c r="D121" s="1" t="n">
        <v>1.0168</v>
      </c>
      <c r="E121" s="1" t="n">
        <v>0.0323054</v>
      </c>
      <c r="F121" s="1" t="n">
        <v>8.78736E-005</v>
      </c>
      <c r="G121" s="1" t="s">
        <v>27</v>
      </c>
      <c r="H121" s="1" t="n">
        <v>27.4</v>
      </c>
      <c r="I121" s="1" t="n">
        <v>115.7</v>
      </c>
      <c r="J121" s="1" t="n">
        <v>0</v>
      </c>
      <c r="K121" s="1"/>
      <c r="L121" s="1" t="n">
        <v>0</v>
      </c>
      <c r="M121" s="1" t="n">
        <v>0</v>
      </c>
      <c r="N121" s="1" t="s">
        <v>161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0" t="n">
        <f aca="false">I121+0</f>
        <v>115.7</v>
      </c>
      <c r="AB121" s="0" t="n">
        <f aca="false">IF(Z121&gt;360,Z121-360,Z121+0)</f>
        <v>115.7</v>
      </c>
      <c r="AC121" s="1"/>
      <c r="AD121" s="1"/>
      <c r="AE121" s="1"/>
      <c r="AF121" s="1"/>
    </row>
    <row r="122" customFormat="false" ht="15.8" hidden="false" customHeight="false" outlineLevel="0" collapsed="false">
      <c r="A122" s="1" t="n">
        <v>8</v>
      </c>
      <c r="B122" s="1" t="n">
        <v>4</v>
      </c>
      <c r="C122" s="1" t="n">
        <v>1.5</v>
      </c>
      <c r="D122" s="1" t="n">
        <v>1.0069</v>
      </c>
      <c r="E122" s="1" t="n">
        <v>0.0502039</v>
      </c>
      <c r="F122" s="1" t="n">
        <v>0.000136559</v>
      </c>
      <c r="G122" s="1" t="s">
        <v>52</v>
      </c>
      <c r="H122" s="1" t="n">
        <v>30.3</v>
      </c>
      <c r="I122" s="1" t="n">
        <v>88.3</v>
      </c>
      <c r="J122" s="1" t="n">
        <v>0</v>
      </c>
      <c r="K122" s="1" t="n">
        <v>53.2</v>
      </c>
      <c r="L122" s="1" t="n">
        <v>0</v>
      </c>
      <c r="M122" s="1" t="n">
        <v>0</v>
      </c>
      <c r="N122" s="1" t="s">
        <v>160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0" t="n">
        <f aca="false">I122+0</f>
        <v>88.3</v>
      </c>
      <c r="AB122" s="0" t="n">
        <f aca="false">IF(Z122&gt;360,Z122-360,Z122+0)</f>
        <v>88.3</v>
      </c>
      <c r="AC122" s="1"/>
      <c r="AD122" s="1"/>
      <c r="AE122" s="1"/>
      <c r="AF122" s="1"/>
    </row>
    <row r="123" customFormat="false" ht="15.8" hidden="false" customHeight="false" outlineLevel="0" collapsed="false">
      <c r="A123" s="1" t="n">
        <v>8</v>
      </c>
      <c r="B123" s="1" t="n">
        <v>3</v>
      </c>
      <c r="C123" s="1" t="n">
        <v>3.3</v>
      </c>
      <c r="D123" s="1" t="n">
        <v>1.3358</v>
      </c>
      <c r="E123" s="1" t="n">
        <v>0.112481</v>
      </c>
      <c r="F123" s="1" t="n">
        <v>0.000305959</v>
      </c>
      <c r="G123" s="1" t="s">
        <v>52</v>
      </c>
      <c r="H123" s="1" t="n">
        <v>22.7</v>
      </c>
      <c r="I123" s="1" t="n">
        <v>58</v>
      </c>
      <c r="J123" s="1" t="n">
        <v>0</v>
      </c>
      <c r="K123" s="1" t="n">
        <v>90.6</v>
      </c>
      <c r="L123" s="1" t="n">
        <v>0</v>
      </c>
      <c r="M123" s="1" t="n">
        <v>0</v>
      </c>
      <c r="N123" s="1" t="s">
        <v>159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0" t="n">
        <f aca="false">I123+0</f>
        <v>58</v>
      </c>
      <c r="AB123" s="0" t="n">
        <f aca="false">IF(Z123&gt;360,Z123-360,Z123+0)</f>
        <v>58</v>
      </c>
      <c r="AC123" s="1"/>
      <c r="AD123" s="1"/>
      <c r="AE123" s="1"/>
      <c r="AF123" s="1"/>
    </row>
    <row r="124" customFormat="false" ht="15.8" hidden="false" customHeight="false" outlineLevel="0" collapsed="false">
      <c r="A124" s="1" t="n">
        <v>8</v>
      </c>
      <c r="B124" s="1" t="n">
        <v>2</v>
      </c>
      <c r="C124" s="1" t="n">
        <v>12.3</v>
      </c>
      <c r="D124" s="1" t="n">
        <v>1.3302</v>
      </c>
      <c r="E124" s="1" t="n">
        <v>0.420386</v>
      </c>
      <c r="F124" s="1" t="n">
        <v>0.00114349</v>
      </c>
      <c r="G124" s="1" t="s">
        <v>52</v>
      </c>
      <c r="H124" s="1" t="n">
        <v>40.4</v>
      </c>
      <c r="I124" s="1" t="n">
        <v>37.1</v>
      </c>
      <c r="J124" s="1" t="n">
        <v>9.2</v>
      </c>
      <c r="K124" s="1" t="n">
        <v>97.2</v>
      </c>
      <c r="L124" s="1" t="n">
        <v>0</v>
      </c>
      <c r="M124" s="1" t="n">
        <v>0</v>
      </c>
      <c r="N124" s="1" t="s">
        <v>158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0" t="n">
        <f aca="false">I124+0</f>
        <v>37.1</v>
      </c>
      <c r="AB124" s="0" t="n">
        <f aca="false">IF(Z124&gt;360,Z124-360,Z124+0)</f>
        <v>37.1</v>
      </c>
      <c r="AC124" s="1"/>
      <c r="AD124" s="1"/>
      <c r="AE124" s="1"/>
      <c r="AF124" s="1"/>
    </row>
    <row r="125" customFormat="false" ht="15.8" hidden="false" customHeight="false" outlineLevel="0" collapsed="false">
      <c r="A125" s="1" t="n">
        <v>8</v>
      </c>
      <c r="B125" s="1" t="n">
        <v>1</v>
      </c>
      <c r="C125" s="1" t="n">
        <v>1.9</v>
      </c>
      <c r="D125" s="1" t="n">
        <v>1.182</v>
      </c>
      <c r="E125" s="1" t="n">
        <v>0.0664703</v>
      </c>
      <c r="F125" s="1" t="n">
        <v>0.000180805</v>
      </c>
      <c r="G125" s="1" t="s">
        <v>52</v>
      </c>
      <c r="H125" s="1"/>
      <c r="I125" s="1" t="n">
        <v>356.1</v>
      </c>
      <c r="J125" s="1" t="n">
        <v>13</v>
      </c>
      <c r="K125" s="1" t="n">
        <v>88.8</v>
      </c>
      <c r="L125" s="1" t="n">
        <v>0</v>
      </c>
      <c r="M125" s="1" t="n">
        <v>0</v>
      </c>
      <c r="N125" s="1" t="s">
        <v>162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0" t="n">
        <f aca="false">I125+0</f>
        <v>356.1</v>
      </c>
      <c r="AB125" s="0" t="n">
        <f aca="false">IF(Z125&gt;360,Z125-360,Z125+0)</f>
        <v>356.1</v>
      </c>
      <c r="AC125" s="1"/>
      <c r="AD125" s="1"/>
      <c r="AE125" s="1"/>
      <c r="AF125" s="1"/>
    </row>
    <row r="126" customFormat="false" ht="15.8" hidden="false" customHeight="false" outlineLevel="0" collapsed="false">
      <c r="A126" s="1" t="n">
        <v>9</v>
      </c>
      <c r="B126" s="1" t="n">
        <v>3</v>
      </c>
      <c r="C126" s="1" t="n">
        <v>9</v>
      </c>
      <c r="D126" s="1" t="n">
        <v>1.2775</v>
      </c>
      <c r="E126" s="1" t="n">
        <v>0.308255</v>
      </c>
      <c r="F126" s="1" t="n">
        <v>0.00083848</v>
      </c>
      <c r="G126" s="1" t="s">
        <v>27</v>
      </c>
      <c r="H126" s="1" t="n">
        <v>60.2</v>
      </c>
      <c r="I126" s="1" t="n">
        <v>334</v>
      </c>
      <c r="J126" s="1" t="n">
        <v>-15.2</v>
      </c>
      <c r="K126" s="1"/>
      <c r="L126" s="1" t="n">
        <v>0</v>
      </c>
      <c r="M126" s="1" t="n">
        <v>0</v>
      </c>
      <c r="N126" s="1" t="s">
        <v>163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0" t="n">
        <f aca="false">I126+0</f>
        <v>334</v>
      </c>
      <c r="AB126" s="0" t="n">
        <f aca="false">IF(Z126&gt;360,Z126-360,Z126+0)</f>
        <v>334</v>
      </c>
      <c r="AC126" s="1"/>
      <c r="AD126" s="1"/>
      <c r="AE126" s="1"/>
      <c r="AF126" s="1"/>
    </row>
    <row r="127" customFormat="false" ht="15.8" hidden="false" customHeight="false" outlineLevel="0" collapsed="false">
      <c r="A127" s="1" t="n">
        <v>9</v>
      </c>
      <c r="B127" s="1" t="n">
        <v>3</v>
      </c>
      <c r="C127" s="1" t="n">
        <v>1.7</v>
      </c>
      <c r="D127" s="1" t="n">
        <v>1.1989</v>
      </c>
      <c r="E127" s="1" t="n">
        <v>0.0593787</v>
      </c>
      <c r="F127" s="1" t="n">
        <v>0.000161515</v>
      </c>
      <c r="G127" s="1" t="s">
        <v>27</v>
      </c>
      <c r="H127" s="1" t="n">
        <v>50.6</v>
      </c>
      <c r="I127" s="1" t="n">
        <v>250</v>
      </c>
      <c r="J127" s="1" t="n">
        <v>14.8</v>
      </c>
      <c r="K127" s="1"/>
      <c r="L127" s="1" t="n">
        <v>0</v>
      </c>
      <c r="M127" s="1" t="n">
        <v>0</v>
      </c>
      <c r="N127" s="1" t="s">
        <v>163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0" t="n">
        <f aca="false">I127+0</f>
        <v>250</v>
      </c>
      <c r="AB127" s="0" t="n">
        <f aca="false">IF(Z127&gt;360,Z127-360,Z127+0)</f>
        <v>250</v>
      </c>
      <c r="AC127" s="1"/>
      <c r="AD127" s="1"/>
      <c r="AE127" s="1"/>
      <c r="AF127" s="1"/>
    </row>
    <row r="128" customFormat="false" ht="15.8" hidden="false" customHeight="false" outlineLevel="0" collapsed="false">
      <c r="A128" s="1" t="n">
        <v>9</v>
      </c>
      <c r="B128" s="1" t="n">
        <v>2</v>
      </c>
      <c r="C128" s="1" t="n">
        <v>0.7</v>
      </c>
      <c r="D128" s="1" t="n">
        <v>1.2013</v>
      </c>
      <c r="E128" s="1" t="n">
        <v>0.0254834</v>
      </c>
      <c r="F128" s="1" t="n">
        <v>6.93171E-005</v>
      </c>
      <c r="G128" s="1" t="s">
        <v>52</v>
      </c>
      <c r="H128" s="1" t="n">
        <v>48.8</v>
      </c>
      <c r="I128" s="1" t="n">
        <v>301.6</v>
      </c>
      <c r="J128" s="1" t="n">
        <v>36.6</v>
      </c>
      <c r="K128" s="1" t="n">
        <v>60.2</v>
      </c>
      <c r="L128" s="1" t="n">
        <v>0</v>
      </c>
      <c r="M128" s="1" t="n">
        <v>0</v>
      </c>
      <c r="N128" s="1" t="s">
        <v>164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0" t="n">
        <f aca="false">I128+0</f>
        <v>301.6</v>
      </c>
      <c r="AB128" s="0" t="n">
        <f aca="false">IF(Z128&gt;360,Z128-360,Z128+0)</f>
        <v>301.6</v>
      </c>
      <c r="AC128" s="1"/>
      <c r="AD128" s="1"/>
      <c r="AE128" s="1"/>
      <c r="AF128" s="1"/>
    </row>
    <row r="129" customFormat="false" ht="15.8" hidden="false" customHeight="false" outlineLevel="0" collapsed="false">
      <c r="A129" s="1" t="n">
        <v>9</v>
      </c>
      <c r="B129" s="1" t="n">
        <v>3</v>
      </c>
      <c r="C129" s="1" t="n">
        <v>2.7</v>
      </c>
      <c r="D129" s="1" t="n">
        <v>1.2086</v>
      </c>
      <c r="E129" s="1" t="n">
        <v>0.0935707</v>
      </c>
      <c r="F129" s="1" t="n">
        <v>0.00025452</v>
      </c>
      <c r="G129" s="1" t="s">
        <v>27</v>
      </c>
      <c r="H129" s="1" t="n">
        <v>84.5</v>
      </c>
      <c r="I129" s="1" t="n">
        <v>54.6</v>
      </c>
      <c r="J129" s="1" t="n">
        <v>-29.3</v>
      </c>
      <c r="K129" s="1"/>
      <c r="L129" s="1" t="n">
        <v>0</v>
      </c>
      <c r="M129" s="1" t="n">
        <v>0</v>
      </c>
      <c r="N129" s="1" t="s">
        <v>165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0" t="n">
        <f aca="false">I129+0</f>
        <v>54.6</v>
      </c>
      <c r="AB129" s="0" t="n">
        <f aca="false">IF(Z129&gt;360,Z129-360,Z129+0)</f>
        <v>54.6</v>
      </c>
      <c r="AC129" s="1"/>
      <c r="AD129" s="1"/>
      <c r="AE129" s="1"/>
      <c r="AF129" s="1"/>
    </row>
    <row r="130" customFormat="false" ht="15.8" hidden="false" customHeight="false" outlineLevel="0" collapsed="false">
      <c r="A130" s="1" t="n">
        <v>9</v>
      </c>
      <c r="B130" s="1" t="n">
        <v>4</v>
      </c>
      <c r="C130" s="1" t="n">
        <v>2.3</v>
      </c>
      <c r="D130" s="1" t="n">
        <v>1.1857</v>
      </c>
      <c r="E130" s="1" t="n">
        <v>0.0770093</v>
      </c>
      <c r="F130" s="1" t="n">
        <v>0.000209472</v>
      </c>
      <c r="G130" s="1" t="s">
        <v>27</v>
      </c>
      <c r="H130" s="1" t="n">
        <v>114.5</v>
      </c>
      <c r="I130" s="1" t="n">
        <v>254.4</v>
      </c>
      <c r="J130" s="1" t="n">
        <v>-11.2</v>
      </c>
      <c r="K130" s="1"/>
      <c r="L130" s="1" t="n">
        <v>0</v>
      </c>
      <c r="M130" s="1" t="n">
        <v>0</v>
      </c>
      <c r="N130" s="1" t="s">
        <v>166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0" t="n">
        <f aca="false">I130+0</f>
        <v>254.4</v>
      </c>
      <c r="AB130" s="0" t="n">
        <f aca="false">IF(Z130&gt;360,Z130-360,Z130+0)</f>
        <v>254.4</v>
      </c>
      <c r="AC130" s="1"/>
      <c r="AD130" s="1"/>
      <c r="AE130" s="1"/>
      <c r="AF130" s="1"/>
    </row>
    <row r="131" customFormat="false" ht="15.8" hidden="false" customHeight="false" outlineLevel="0" collapsed="false">
      <c r="A131" s="1" t="n">
        <v>9</v>
      </c>
      <c r="B131" s="1" t="n">
        <v>6</v>
      </c>
      <c r="C131" s="1" t="n">
        <v>1.5</v>
      </c>
      <c r="D131" s="1" t="n">
        <v>2.2625</v>
      </c>
      <c r="E131" s="1" t="n">
        <v>0.0504396</v>
      </c>
      <c r="F131" s="1" t="n">
        <v>0.0001372</v>
      </c>
      <c r="G131" s="1" t="s">
        <v>27</v>
      </c>
      <c r="H131" s="1" t="n">
        <v>82.4</v>
      </c>
      <c r="I131" s="1" t="n">
        <v>97</v>
      </c>
      <c r="J131" s="1" t="n">
        <v>-34.6</v>
      </c>
      <c r="K131" s="1"/>
      <c r="L131" s="1" t="n">
        <v>0</v>
      </c>
      <c r="M131" s="1" t="n">
        <v>0</v>
      </c>
      <c r="N131" s="1" t="s">
        <v>167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0" t="n">
        <f aca="false">I131+0</f>
        <v>97</v>
      </c>
      <c r="AB131" s="0" t="n">
        <f aca="false">IF(Z131&gt;360,Z131-360,Z131+0)</f>
        <v>97</v>
      </c>
      <c r="AC131" s="1"/>
      <c r="AD131" s="1"/>
      <c r="AE131" s="1"/>
      <c r="AF131" s="1"/>
    </row>
    <row r="132" customFormat="false" ht="15.8" hidden="false" customHeight="false" outlineLevel="0" collapsed="false">
      <c r="A132" s="1" t="n">
        <v>9</v>
      </c>
      <c r="B132" s="1" t="n">
        <v>9</v>
      </c>
      <c r="C132" s="1" t="n">
        <v>9</v>
      </c>
      <c r="D132" s="1" t="n">
        <v>1.6366</v>
      </c>
      <c r="E132" s="1" t="n">
        <v>0.247081</v>
      </c>
      <c r="F132" s="1" t="n">
        <v>0.000537665</v>
      </c>
      <c r="G132" s="1" t="s">
        <v>27</v>
      </c>
      <c r="H132" s="1" t="n">
        <v>52.2</v>
      </c>
      <c r="I132" s="1" t="n">
        <v>201</v>
      </c>
      <c r="J132" s="1" t="n">
        <v>-53.5</v>
      </c>
      <c r="K132" s="1"/>
      <c r="L132" s="1" t="n">
        <v>0</v>
      </c>
      <c r="M132" s="1" t="n">
        <v>0</v>
      </c>
      <c r="N132" s="1" t="s">
        <v>168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0" t="n">
        <f aca="false">I132+0</f>
        <v>201</v>
      </c>
      <c r="AB132" s="0" t="n">
        <f aca="false">IF(Z132&gt;360,Z132-360,Z132+0)</f>
        <v>201</v>
      </c>
      <c r="AC132" s="1"/>
      <c r="AD132" s="1"/>
      <c r="AE132" s="1"/>
      <c r="AF132" s="1"/>
    </row>
    <row r="133" customFormat="false" ht="15.8" hidden="false" customHeight="false" outlineLevel="0" collapsed="false">
      <c r="A133" s="1" t="n">
        <v>9</v>
      </c>
      <c r="B133" s="1" t="n">
        <v>9</v>
      </c>
      <c r="C133" s="1" t="n">
        <v>2.8</v>
      </c>
      <c r="D133" s="1" t="n">
        <v>1.5994</v>
      </c>
      <c r="E133" s="1" t="n">
        <v>0.0759136</v>
      </c>
      <c r="F133" s="1" t="n">
        <v>0.000165193</v>
      </c>
      <c r="G133" s="1" t="s">
        <v>27</v>
      </c>
      <c r="H133" s="1" t="n">
        <v>72.2</v>
      </c>
      <c r="I133" s="1" t="n">
        <v>266.7</v>
      </c>
      <c r="J133" s="1" t="n">
        <v>58.5</v>
      </c>
      <c r="K133" s="1"/>
      <c r="L133" s="1" t="n">
        <v>0</v>
      </c>
      <c r="M133" s="1" t="n">
        <v>0</v>
      </c>
      <c r="N133" s="1" t="s">
        <v>168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0" t="n">
        <f aca="false">I133+0</f>
        <v>266.7</v>
      </c>
      <c r="AB133" s="0" t="n">
        <f aca="false">IF(Z133&gt;360,Z133-360,Z133+0)</f>
        <v>266.7</v>
      </c>
      <c r="AC133" s="1"/>
      <c r="AD133" s="1"/>
      <c r="AE133" s="1"/>
      <c r="AF133" s="1"/>
    </row>
    <row r="134" customFormat="false" ht="15.8" hidden="false" customHeight="false" outlineLevel="0" collapsed="false">
      <c r="A134" s="1" t="n">
        <v>9</v>
      </c>
      <c r="B134" s="1" t="n">
        <v>8</v>
      </c>
      <c r="C134" s="1" t="n">
        <v>2.6</v>
      </c>
      <c r="D134" s="1" t="n">
        <v>1.0987</v>
      </c>
      <c r="E134" s="1" t="n">
        <v>0.0717631</v>
      </c>
      <c r="F134" s="1" t="n">
        <v>0.000156161</v>
      </c>
      <c r="G134" s="1" t="s">
        <v>52</v>
      </c>
      <c r="H134" s="1" t="n">
        <v>126.4</v>
      </c>
      <c r="I134" s="1" t="n">
        <v>234.6</v>
      </c>
      <c r="J134" s="1" t="n">
        <v>-8.9</v>
      </c>
      <c r="K134" s="1" t="n">
        <v>72.2</v>
      </c>
      <c r="L134" s="1" t="n">
        <v>0</v>
      </c>
      <c r="M134" s="1" t="n">
        <v>0</v>
      </c>
      <c r="N134" s="1" t="s">
        <v>169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0" t="n">
        <f aca="false">I134+0</f>
        <v>234.6</v>
      </c>
      <c r="AB134" s="0" t="n">
        <f aca="false">IF(Z134&gt;360,Z134-360,Z134+0)</f>
        <v>234.6</v>
      </c>
      <c r="AC134" s="1"/>
      <c r="AD134" s="1"/>
      <c r="AE134" s="1"/>
      <c r="AF134" s="1"/>
    </row>
    <row r="135" customFormat="false" ht="15.8" hidden="false" customHeight="false" outlineLevel="0" collapsed="false">
      <c r="A135" s="1" t="n">
        <v>9</v>
      </c>
      <c r="B135" s="1" t="n">
        <v>8</v>
      </c>
      <c r="C135" s="1" t="n">
        <v>0.7</v>
      </c>
      <c r="D135" s="1" t="n">
        <v>1.2654</v>
      </c>
      <c r="E135" s="1" t="n">
        <v>0.02018</v>
      </c>
      <c r="F135" s="1" t="n">
        <v>4.39131E-005</v>
      </c>
      <c r="G135" s="1" t="s">
        <v>27</v>
      </c>
      <c r="H135" s="1" t="n">
        <v>40</v>
      </c>
      <c r="I135" s="1" t="n">
        <v>100</v>
      </c>
      <c r="J135" s="1" t="n">
        <v>39.4</v>
      </c>
      <c r="K135" s="1"/>
      <c r="L135" s="1" t="n">
        <v>0</v>
      </c>
      <c r="M135" s="1" t="n">
        <v>0</v>
      </c>
      <c r="N135" s="1" t="s">
        <v>169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0" t="n">
        <f aca="false">I135+0</f>
        <v>100</v>
      </c>
      <c r="AB135" s="0" t="n">
        <f aca="false">IF(Z135&gt;360,Z135-360,Z135+0)</f>
        <v>100</v>
      </c>
      <c r="AC135" s="1"/>
      <c r="AD135" s="1"/>
      <c r="AE135" s="1"/>
      <c r="AF135" s="1"/>
    </row>
    <row r="136" customFormat="false" ht="15.8" hidden="false" customHeight="false" outlineLevel="0" collapsed="false">
      <c r="A136" s="1" t="n">
        <v>9</v>
      </c>
      <c r="B136" s="1" t="n">
        <v>7</v>
      </c>
      <c r="C136" s="1" t="n">
        <v>1</v>
      </c>
      <c r="D136" s="1" t="n">
        <v>1.0757</v>
      </c>
      <c r="E136" s="1" t="n">
        <v>0.0273203</v>
      </c>
      <c r="F136" s="1" t="n">
        <v>5.98792E-005</v>
      </c>
      <c r="G136" s="1" t="s">
        <v>52</v>
      </c>
      <c r="H136" s="1" t="n">
        <v>78.1</v>
      </c>
      <c r="I136" s="1" t="n">
        <v>107.7</v>
      </c>
      <c r="J136" s="1" t="n">
        <v>0</v>
      </c>
      <c r="K136" s="1" t="n">
        <v>126.4</v>
      </c>
      <c r="L136" s="1" t="n">
        <v>0</v>
      </c>
      <c r="M136" s="1" t="n">
        <v>0</v>
      </c>
      <c r="N136" s="1" t="s">
        <v>170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0" t="n">
        <f aca="false">I136+0</f>
        <v>107.7</v>
      </c>
      <c r="AB136" s="0" t="n">
        <f aca="false">IF(Z136&gt;360,Z136-360,Z136+0)</f>
        <v>107.7</v>
      </c>
      <c r="AC136" s="1"/>
      <c r="AD136" s="1"/>
      <c r="AE136" s="1"/>
      <c r="AF136" s="1"/>
    </row>
    <row r="137" customFormat="false" ht="15.8" hidden="false" customHeight="false" outlineLevel="0" collapsed="false">
      <c r="A137" s="1" t="n">
        <v>9</v>
      </c>
      <c r="B137" s="1" t="n">
        <v>7</v>
      </c>
      <c r="C137" s="1" t="n">
        <v>0.8</v>
      </c>
      <c r="D137" s="1" t="n">
        <v>1.0018</v>
      </c>
      <c r="E137" s="1" t="n">
        <v>0.0267999</v>
      </c>
      <c r="F137" s="1" t="n">
        <v>7.2898E-005</v>
      </c>
      <c r="G137" s="1" t="s">
        <v>27</v>
      </c>
      <c r="H137" s="1" t="n">
        <v>94.6</v>
      </c>
      <c r="I137" s="1" t="n">
        <v>290</v>
      </c>
      <c r="J137" s="1" t="n">
        <v>-71</v>
      </c>
      <c r="K137" s="1"/>
      <c r="L137" s="1" t="n">
        <v>0</v>
      </c>
      <c r="M137" s="1" t="n">
        <v>0</v>
      </c>
      <c r="N137" s="1" t="s">
        <v>170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0" t="n">
        <f aca="false">I137+0</f>
        <v>290</v>
      </c>
      <c r="AB137" s="0" t="n">
        <f aca="false">IF(Z137&gt;360,Z137-360,Z137+0)</f>
        <v>290</v>
      </c>
      <c r="AC137" s="1"/>
      <c r="AD137" s="1"/>
      <c r="AE137" s="1"/>
      <c r="AF137" s="1"/>
    </row>
    <row r="138" customFormat="false" ht="15.8" hidden="false" customHeight="false" outlineLevel="0" collapsed="false">
      <c r="A138" s="1" t="n">
        <v>9</v>
      </c>
      <c r="B138" s="1" t="n">
        <v>7</v>
      </c>
      <c r="C138" s="1" t="n">
        <v>1</v>
      </c>
      <c r="D138" s="1" t="n">
        <v>1.1069</v>
      </c>
      <c r="E138" s="1" t="n">
        <v>0.0338472</v>
      </c>
      <c r="F138" s="1" t="n">
        <v>9.20673E-005</v>
      </c>
      <c r="G138" s="1" t="s">
        <v>27</v>
      </c>
      <c r="H138" s="1" t="n">
        <v>1.7</v>
      </c>
      <c r="I138" s="1" t="n">
        <v>184.2</v>
      </c>
      <c r="J138" s="1" t="n">
        <v>0</v>
      </c>
      <c r="K138" s="1"/>
      <c r="L138" s="1" t="n">
        <v>0</v>
      </c>
      <c r="M138" s="1" t="n">
        <v>0</v>
      </c>
      <c r="N138" s="1" t="s">
        <v>170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0" t="n">
        <f aca="false">I138+0</f>
        <v>184.2</v>
      </c>
      <c r="AB138" s="0" t="n">
        <f aca="false">IF(Z138&gt;360,Z138-360,Z138+0)</f>
        <v>184.2</v>
      </c>
      <c r="AC138" s="1"/>
      <c r="AD138" s="1"/>
      <c r="AE138" s="1"/>
      <c r="AF138" s="1"/>
    </row>
    <row r="139" customFormat="false" ht="15.8" hidden="false" customHeight="false" outlineLevel="0" collapsed="false">
      <c r="A139" s="1" t="n">
        <v>9</v>
      </c>
      <c r="B139" s="1" t="n">
        <v>6</v>
      </c>
      <c r="C139" s="1" t="n">
        <v>2.5</v>
      </c>
      <c r="D139" s="1" t="n">
        <v>1.311</v>
      </c>
      <c r="E139" s="1" t="n">
        <v>0.0857782</v>
      </c>
      <c r="F139" s="1" t="n">
        <v>0.000233324</v>
      </c>
      <c r="G139" s="1" t="s">
        <v>52</v>
      </c>
      <c r="H139" s="1" t="n">
        <v>8.1</v>
      </c>
      <c r="I139" s="1" t="n">
        <v>185.9</v>
      </c>
      <c r="J139" s="1" t="n">
        <v>0</v>
      </c>
      <c r="K139" s="1" t="n">
        <v>94.6</v>
      </c>
      <c r="L139" s="1" t="n">
        <v>0</v>
      </c>
      <c r="M139" s="1" t="n">
        <v>0</v>
      </c>
      <c r="N139" s="1" t="s">
        <v>167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0" t="n">
        <f aca="false">I139+0</f>
        <v>185.9</v>
      </c>
      <c r="AB139" s="0" t="n">
        <f aca="false">IF(Z139&gt;360,Z139-360,Z139+0)</f>
        <v>185.9</v>
      </c>
      <c r="AC139" s="1"/>
      <c r="AD139" s="1"/>
      <c r="AE139" s="1"/>
      <c r="AF139" s="1"/>
    </row>
    <row r="140" customFormat="false" ht="15.8" hidden="false" customHeight="false" outlineLevel="0" collapsed="false">
      <c r="A140" s="1" t="n">
        <v>9</v>
      </c>
      <c r="B140" s="1" t="n">
        <v>5</v>
      </c>
      <c r="C140" s="1" t="n">
        <v>0.6</v>
      </c>
      <c r="D140" s="1" t="n">
        <v>1.0066</v>
      </c>
      <c r="E140" s="1" t="n">
        <v>0.0194808</v>
      </c>
      <c r="F140" s="1" t="n">
        <v>5.29896E-005</v>
      </c>
      <c r="G140" s="1" t="s">
        <v>52</v>
      </c>
      <c r="H140" s="1" t="n">
        <v>101</v>
      </c>
      <c r="I140" s="1" t="n">
        <v>177.8</v>
      </c>
      <c r="J140" s="1" t="n">
        <v>0</v>
      </c>
      <c r="K140" s="1" t="n">
        <v>82.4</v>
      </c>
      <c r="L140" s="1" t="n">
        <v>0</v>
      </c>
      <c r="M140" s="1" t="n">
        <v>0</v>
      </c>
      <c r="N140" s="1" t="s">
        <v>171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0" t="n">
        <f aca="false">I140+0</f>
        <v>177.8</v>
      </c>
      <c r="AB140" s="0" t="n">
        <f aca="false">IF(Z140&gt;360,Z140-360,Z140+0)</f>
        <v>177.8</v>
      </c>
      <c r="AC140" s="1"/>
      <c r="AD140" s="1"/>
      <c r="AE140" s="1"/>
      <c r="AF140" s="1"/>
    </row>
    <row r="141" customFormat="false" ht="15.8" hidden="false" customHeight="false" outlineLevel="0" collapsed="false">
      <c r="A141" s="1" t="n">
        <v>9</v>
      </c>
      <c r="B141" s="1" t="n">
        <v>8</v>
      </c>
      <c r="C141" s="1" t="n">
        <v>0.5</v>
      </c>
      <c r="D141" s="1" t="n">
        <v>1.0363</v>
      </c>
      <c r="E141" s="1" t="n">
        <v>0.0170666</v>
      </c>
      <c r="F141" s="1" t="n">
        <v>4.64227E-005</v>
      </c>
      <c r="G141" s="1" t="s">
        <v>27</v>
      </c>
      <c r="H141" s="1" t="n">
        <v>30</v>
      </c>
      <c r="I141" s="1" t="n">
        <v>115.4</v>
      </c>
      <c r="J141" s="1" t="n">
        <v>0</v>
      </c>
      <c r="K141" s="1"/>
      <c r="L141" s="1" t="n">
        <v>0</v>
      </c>
      <c r="M141" s="1" t="n">
        <v>0</v>
      </c>
      <c r="N141" s="1" t="s">
        <v>172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0" t="n">
        <f aca="false">I141+0</f>
        <v>115.4</v>
      </c>
      <c r="AB141" s="0" t="n">
        <f aca="false">IF(Z141&gt;360,Z141-360,Z141+0)</f>
        <v>115.4</v>
      </c>
      <c r="AC141" s="1"/>
      <c r="AD141" s="1"/>
      <c r="AE141" s="1"/>
      <c r="AF141" s="1"/>
    </row>
    <row r="142" customFormat="false" ht="15.8" hidden="false" customHeight="false" outlineLevel="0" collapsed="false">
      <c r="A142" s="1" t="n">
        <v>9</v>
      </c>
      <c r="B142" s="1" t="n">
        <v>8</v>
      </c>
      <c r="C142" s="1" t="n">
        <v>0.7</v>
      </c>
      <c r="D142" s="1" t="n">
        <v>1.032</v>
      </c>
      <c r="E142" s="1" t="n">
        <v>0.025613</v>
      </c>
      <c r="F142" s="1" t="n">
        <v>6.96697E-005</v>
      </c>
      <c r="G142" s="1" t="s">
        <v>27</v>
      </c>
      <c r="H142" s="1" t="n">
        <v>73.1</v>
      </c>
      <c r="I142" s="1" t="n">
        <v>209.6</v>
      </c>
      <c r="J142" s="1" t="n">
        <v>0</v>
      </c>
      <c r="K142" s="1"/>
      <c r="L142" s="1" t="n">
        <v>0</v>
      </c>
      <c r="M142" s="1" t="n">
        <v>0</v>
      </c>
      <c r="N142" s="1" t="s">
        <v>172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0" t="n">
        <f aca="false">I142+0</f>
        <v>209.6</v>
      </c>
      <c r="AB142" s="0" t="n">
        <f aca="false">IF(Z142&gt;360,Z142-360,Z142+0)</f>
        <v>209.6</v>
      </c>
      <c r="AC142" s="1"/>
      <c r="AD142" s="1"/>
      <c r="AE142" s="1"/>
      <c r="AF142" s="1"/>
    </row>
    <row r="143" customFormat="false" ht="15.8" hidden="false" customHeight="false" outlineLevel="0" collapsed="false">
      <c r="A143" s="1" t="n">
        <v>9</v>
      </c>
      <c r="B143" s="1" t="n">
        <v>7</v>
      </c>
      <c r="C143" s="1" t="n">
        <v>1.4</v>
      </c>
      <c r="D143" s="1" t="n">
        <v>1.3504</v>
      </c>
      <c r="E143" s="1" t="n">
        <v>0.0486033</v>
      </c>
      <c r="F143" s="1" t="n">
        <v>0.000132205</v>
      </c>
      <c r="G143" s="1" t="s">
        <v>52</v>
      </c>
      <c r="H143" s="1" t="n">
        <v>44.1</v>
      </c>
      <c r="I143" s="1" t="n">
        <v>137.7</v>
      </c>
      <c r="J143" s="1" t="n">
        <v>20.6</v>
      </c>
      <c r="K143" s="1" t="n">
        <v>73.1</v>
      </c>
      <c r="L143" s="1" t="n">
        <v>0</v>
      </c>
      <c r="M143" s="1" t="n">
        <v>0</v>
      </c>
      <c r="N143" s="1" t="s">
        <v>173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0" t="n">
        <f aca="false">I143+0</f>
        <v>137.7</v>
      </c>
      <c r="AB143" s="0" t="n">
        <f aca="false">IF(Z143&gt;360,Z143-360,Z143+0)</f>
        <v>137.7</v>
      </c>
      <c r="AC143" s="1"/>
      <c r="AD143" s="1"/>
      <c r="AE143" s="1"/>
      <c r="AF143" s="1"/>
    </row>
    <row r="144" customFormat="false" ht="15.8" hidden="false" customHeight="false" outlineLevel="0" collapsed="false">
      <c r="A144" s="1" t="n">
        <v>9</v>
      </c>
      <c r="B144" s="1" t="n">
        <v>8</v>
      </c>
      <c r="C144" s="1" t="n">
        <v>1.8</v>
      </c>
      <c r="D144" s="1" t="n">
        <v>1.2468</v>
      </c>
      <c r="E144" s="1" t="n">
        <v>0.0617697</v>
      </c>
      <c r="F144" s="1" t="n">
        <v>0.000168019</v>
      </c>
      <c r="G144" s="1" t="s">
        <v>27</v>
      </c>
      <c r="H144" s="1" t="n">
        <v>9.5</v>
      </c>
      <c r="I144" s="1" t="n">
        <v>24.8</v>
      </c>
      <c r="J144" s="1" t="n">
        <v>30.7</v>
      </c>
      <c r="K144" s="1"/>
      <c r="L144" s="1" t="n">
        <v>0</v>
      </c>
      <c r="M144" s="1" t="n">
        <v>0</v>
      </c>
      <c r="N144" s="1" t="s">
        <v>174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0" t="n">
        <f aca="false">I144+0</f>
        <v>24.8</v>
      </c>
      <c r="AB144" s="0" t="n">
        <f aca="false">IF(Z144&gt;360,Z144-360,Z144+0)</f>
        <v>24.8</v>
      </c>
      <c r="AC144" s="1"/>
      <c r="AD144" s="1"/>
      <c r="AE144" s="1"/>
      <c r="AF144" s="1"/>
    </row>
    <row r="145" customFormat="false" ht="15.8" hidden="false" customHeight="false" outlineLevel="0" collapsed="false">
      <c r="A145" s="1" t="n">
        <v>9</v>
      </c>
      <c r="B145" s="1" t="n">
        <v>8</v>
      </c>
      <c r="C145" s="1" t="n">
        <v>3.3</v>
      </c>
      <c r="D145" s="1" t="n">
        <v>1.4184</v>
      </c>
      <c r="E145" s="1" t="n">
        <v>0.112803</v>
      </c>
      <c r="F145" s="1" t="n">
        <v>0.000306835</v>
      </c>
      <c r="G145" s="1" t="s">
        <v>27</v>
      </c>
      <c r="H145" s="1" t="n">
        <v>35.7</v>
      </c>
      <c r="I145" s="1" t="n">
        <v>55.9</v>
      </c>
      <c r="J145" s="1" t="n">
        <v>0</v>
      </c>
      <c r="K145" s="1"/>
      <c r="L145" s="1" t="n">
        <v>0</v>
      </c>
      <c r="M145" s="1" t="n">
        <v>0</v>
      </c>
      <c r="N145" s="1" t="s">
        <v>174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0" t="n">
        <f aca="false">I145+0</f>
        <v>55.9</v>
      </c>
      <c r="AB145" s="0" t="n">
        <f aca="false">IF(Z145&gt;360,Z145-360,Z145+0)</f>
        <v>55.9</v>
      </c>
      <c r="AC145" s="1"/>
      <c r="AD145" s="1"/>
      <c r="AE145" s="1"/>
      <c r="AF145" s="1"/>
    </row>
    <row r="146" customFormat="false" ht="15.8" hidden="false" customHeight="false" outlineLevel="0" collapsed="false">
      <c r="A146" s="1" t="n">
        <v>9</v>
      </c>
      <c r="B146" s="1" t="n">
        <v>7</v>
      </c>
      <c r="C146" s="1" t="n">
        <v>1.2</v>
      </c>
      <c r="D146" s="1" t="n">
        <v>1.1347</v>
      </c>
      <c r="E146" s="1" t="n">
        <v>0.039499</v>
      </c>
      <c r="F146" s="1" t="n">
        <v>0.000107441</v>
      </c>
      <c r="G146" s="1" t="s">
        <v>52</v>
      </c>
      <c r="H146" s="1" t="n">
        <v>59.9</v>
      </c>
      <c r="I146" s="1" t="n">
        <v>26.6</v>
      </c>
      <c r="J146" s="1" t="n">
        <v>21.3</v>
      </c>
      <c r="K146" s="1" t="n">
        <v>35.7</v>
      </c>
      <c r="L146" s="1" t="n">
        <v>0</v>
      </c>
      <c r="M146" s="1" t="n">
        <v>0</v>
      </c>
      <c r="N146" s="1" t="s">
        <v>173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0" t="n">
        <f aca="false">I146+0</f>
        <v>26.6</v>
      </c>
      <c r="AB146" s="0" t="n">
        <f aca="false">IF(Z146&gt;360,Z146-360,Z146+0)</f>
        <v>26.6</v>
      </c>
      <c r="AC146" s="1"/>
      <c r="AD146" s="1"/>
      <c r="AE146" s="1"/>
      <c r="AF146" s="1"/>
    </row>
    <row r="147" customFormat="false" ht="15.8" hidden="false" customHeight="false" outlineLevel="0" collapsed="false">
      <c r="A147" s="1" t="n">
        <v>9</v>
      </c>
      <c r="B147" s="1" t="n">
        <v>6</v>
      </c>
      <c r="C147" s="1" t="n">
        <v>1.2</v>
      </c>
      <c r="D147" s="1" t="n">
        <v>1.2589</v>
      </c>
      <c r="E147" s="1" t="n">
        <v>0.0425289</v>
      </c>
      <c r="F147" s="1" t="n">
        <v>0.000115682</v>
      </c>
      <c r="G147" s="1" t="s">
        <v>52</v>
      </c>
      <c r="H147" s="1" t="n">
        <v>35.4</v>
      </c>
      <c r="I147" s="1" t="n">
        <v>94.8</v>
      </c>
      <c r="J147" s="1" t="n">
        <v>48.5</v>
      </c>
      <c r="K147" s="1" t="n">
        <v>59.9</v>
      </c>
      <c r="L147" s="1" t="n">
        <v>0</v>
      </c>
      <c r="M147" s="1" t="n">
        <v>0</v>
      </c>
      <c r="N147" s="1" t="s">
        <v>175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0" t="n">
        <f aca="false">I147+0</f>
        <v>94.8</v>
      </c>
      <c r="AB147" s="0" t="n">
        <f aca="false">IF(Z147&gt;360,Z147-360,Z147+0)</f>
        <v>94.8</v>
      </c>
      <c r="AC147" s="1"/>
      <c r="AD147" s="1"/>
      <c r="AE147" s="1"/>
      <c r="AF147" s="1"/>
    </row>
    <row r="148" customFormat="false" ht="15.8" hidden="false" customHeight="false" outlineLevel="0" collapsed="false">
      <c r="A148" s="1" t="n">
        <v>9</v>
      </c>
      <c r="B148" s="1" t="n">
        <v>7</v>
      </c>
      <c r="C148" s="1" t="n">
        <v>0.7</v>
      </c>
      <c r="D148" s="1" t="n">
        <v>1.0147</v>
      </c>
      <c r="E148" s="1" t="n">
        <v>0.0234745</v>
      </c>
      <c r="F148" s="1" t="n">
        <v>6.38526E-005</v>
      </c>
      <c r="G148" s="1" t="s">
        <v>27</v>
      </c>
      <c r="H148" s="1" t="n">
        <v>84.3</v>
      </c>
      <c r="I148" s="1" t="n">
        <v>85.4</v>
      </c>
      <c r="J148" s="1" t="n">
        <v>0</v>
      </c>
      <c r="K148" s="1"/>
      <c r="L148" s="1" t="n">
        <v>0</v>
      </c>
      <c r="M148" s="1" t="n">
        <v>0</v>
      </c>
      <c r="N148" s="1" t="s">
        <v>176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0" t="n">
        <f aca="false">I148+0</f>
        <v>85.4</v>
      </c>
      <c r="AB148" s="0" t="n">
        <f aca="false">IF(Z148&gt;360,Z148-360,Z148+0)</f>
        <v>85.4</v>
      </c>
      <c r="AC148" s="1"/>
      <c r="AD148" s="1"/>
      <c r="AE148" s="1"/>
      <c r="AF148" s="1"/>
    </row>
    <row r="149" customFormat="false" ht="15.8" hidden="false" customHeight="false" outlineLevel="0" collapsed="false">
      <c r="A149" s="1" t="n">
        <v>9</v>
      </c>
      <c r="B149" s="1" t="n">
        <v>7</v>
      </c>
      <c r="C149" s="1" t="n">
        <v>0.9</v>
      </c>
      <c r="D149" s="1" t="n">
        <v>1.1816</v>
      </c>
      <c r="E149" s="1" t="n">
        <v>0.0313827</v>
      </c>
      <c r="F149" s="1" t="n">
        <v>8.53636E-005</v>
      </c>
      <c r="G149" s="1" t="s">
        <v>27</v>
      </c>
      <c r="H149" s="1" t="n">
        <v>85.5</v>
      </c>
      <c r="I149" s="1" t="n">
        <v>307.2</v>
      </c>
      <c r="J149" s="1" t="n">
        <v>-28.4</v>
      </c>
      <c r="K149" s="1"/>
      <c r="L149" s="1" t="n">
        <v>0</v>
      </c>
      <c r="M149" s="1" t="n">
        <v>0</v>
      </c>
      <c r="N149" s="1" t="s">
        <v>176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0" t="n">
        <f aca="false">I149+0</f>
        <v>307.2</v>
      </c>
      <c r="AB149" s="0" t="n">
        <f aca="false">IF(Z149&gt;360,Z149-360,Z149+0)</f>
        <v>307.2</v>
      </c>
      <c r="AC149" s="1"/>
      <c r="AD149" s="1"/>
      <c r="AE149" s="1"/>
      <c r="AF149" s="1"/>
    </row>
    <row r="150" customFormat="false" ht="15.8" hidden="false" customHeight="false" outlineLevel="0" collapsed="false">
      <c r="A150" s="1" t="n">
        <v>9</v>
      </c>
      <c r="B150" s="1" t="n">
        <v>8</v>
      </c>
      <c r="C150" s="1" t="n">
        <v>0.6</v>
      </c>
      <c r="D150" s="1" t="n">
        <v>1.158</v>
      </c>
      <c r="E150" s="1" t="n">
        <v>0.0213668</v>
      </c>
      <c r="F150" s="1" t="n">
        <v>5.81195E-005</v>
      </c>
      <c r="G150" s="1" t="s">
        <v>27</v>
      </c>
      <c r="H150" s="1" t="n">
        <v>73.8</v>
      </c>
      <c r="I150" s="1" t="n">
        <v>311.6</v>
      </c>
      <c r="J150" s="1" t="n">
        <v>43.3</v>
      </c>
      <c r="K150" s="1"/>
      <c r="L150" s="1" t="n">
        <v>0</v>
      </c>
      <c r="M150" s="1" t="n">
        <v>0</v>
      </c>
      <c r="N150" s="1" t="s">
        <v>177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0" t="n">
        <f aca="false">I150+0</f>
        <v>311.6</v>
      </c>
      <c r="AB150" s="0" t="n">
        <f aca="false">IF(Z150&gt;360,Z150-360,Z150+0)</f>
        <v>311.6</v>
      </c>
      <c r="AC150" s="1"/>
      <c r="AD150" s="1"/>
      <c r="AE150" s="1"/>
      <c r="AF150" s="1"/>
    </row>
    <row r="151" customFormat="false" ht="15.8" hidden="false" customHeight="false" outlineLevel="0" collapsed="false">
      <c r="A151" s="1" t="n">
        <v>9</v>
      </c>
      <c r="B151" s="1" t="n">
        <v>9</v>
      </c>
      <c r="C151" s="1" t="n">
        <v>1</v>
      </c>
      <c r="D151" s="1" t="n">
        <v>1.0455</v>
      </c>
      <c r="E151" s="1" t="n">
        <v>0.0345413</v>
      </c>
      <c r="F151" s="1" t="n">
        <v>9.39554E-005</v>
      </c>
      <c r="G151" s="1" t="s">
        <v>27</v>
      </c>
      <c r="H151" s="1" t="n">
        <v>27.1</v>
      </c>
      <c r="I151" s="1" t="n">
        <v>31.2</v>
      </c>
      <c r="J151" s="1" t="n">
        <v>0</v>
      </c>
      <c r="K151" s="1"/>
      <c r="L151" s="1" t="n">
        <v>0</v>
      </c>
      <c r="M151" s="1" t="n">
        <v>0</v>
      </c>
      <c r="N151" s="1" t="s">
        <v>178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0" t="n">
        <f aca="false">I151+0</f>
        <v>31.2</v>
      </c>
      <c r="AB151" s="0" t="n">
        <f aca="false">IF(Z151&gt;360,Z151-360,Z151+0)</f>
        <v>31.2</v>
      </c>
      <c r="AC151" s="1"/>
      <c r="AD151" s="1"/>
      <c r="AE151" s="1"/>
      <c r="AF151" s="1"/>
    </row>
    <row r="152" customFormat="false" ht="15.8" hidden="false" customHeight="false" outlineLevel="0" collapsed="false">
      <c r="A152" s="1" t="n">
        <v>9</v>
      </c>
      <c r="B152" s="1" t="n">
        <v>10</v>
      </c>
      <c r="C152" s="1" t="n">
        <v>0.9</v>
      </c>
      <c r="D152" s="1" t="n">
        <v>1.0977</v>
      </c>
      <c r="E152" s="1" t="n">
        <v>0.0312647</v>
      </c>
      <c r="F152" s="1" t="n">
        <v>8.50427E-005</v>
      </c>
      <c r="G152" s="1" t="s">
        <v>27</v>
      </c>
      <c r="H152" s="1" t="n">
        <v>121.2</v>
      </c>
      <c r="I152" s="1" t="n">
        <v>316.8</v>
      </c>
      <c r="J152" s="1" t="n">
        <v>-26.4</v>
      </c>
      <c r="K152" s="1"/>
      <c r="L152" s="1" t="n">
        <v>0</v>
      </c>
      <c r="M152" s="1" t="n">
        <v>0</v>
      </c>
      <c r="N152" s="1" t="s">
        <v>179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0" t="n">
        <f aca="false">I152+0</f>
        <v>316.8</v>
      </c>
      <c r="AB152" s="0" t="n">
        <f aca="false">IF(Z152&gt;360,Z152-360,Z152+0)</f>
        <v>316.8</v>
      </c>
      <c r="AC152" s="1"/>
      <c r="AD152" s="1"/>
      <c r="AE152" s="1"/>
      <c r="AF152" s="1"/>
    </row>
    <row r="153" customFormat="false" ht="15.8" hidden="false" customHeight="false" outlineLevel="0" collapsed="false">
      <c r="A153" s="1" t="n">
        <v>9</v>
      </c>
      <c r="B153" s="1" t="n">
        <v>11</v>
      </c>
      <c r="C153" s="1" t="n">
        <v>0.5</v>
      </c>
      <c r="D153" s="1" t="n">
        <v>1.0003</v>
      </c>
      <c r="E153" s="1" t="n">
        <v>0.0167193</v>
      </c>
      <c r="F153" s="1" t="n">
        <v>4.5478E-005</v>
      </c>
      <c r="G153" s="1" t="s">
        <v>27</v>
      </c>
      <c r="H153" s="1" t="n">
        <v>97</v>
      </c>
      <c r="I153" s="1" t="n">
        <v>339.1</v>
      </c>
      <c r="J153" s="1" t="n">
        <v>0</v>
      </c>
      <c r="K153" s="1"/>
      <c r="L153" s="1" t="n">
        <v>0</v>
      </c>
      <c r="M153" s="1" t="n">
        <v>0</v>
      </c>
      <c r="N153" s="1" t="s">
        <v>180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0" t="n">
        <f aca="false">I153+0</f>
        <v>339.1</v>
      </c>
      <c r="AB153" s="0" t="n">
        <f aca="false">IF(Z153&gt;360,Z153-360,Z153+0)</f>
        <v>339.1</v>
      </c>
      <c r="AC153" s="1"/>
      <c r="AD153" s="1"/>
      <c r="AE153" s="1"/>
      <c r="AF153" s="1"/>
    </row>
    <row r="154" customFormat="false" ht="15.8" hidden="false" customHeight="false" outlineLevel="0" collapsed="false">
      <c r="A154" s="1" t="n">
        <v>9</v>
      </c>
      <c r="B154" s="1" t="n">
        <v>12</v>
      </c>
      <c r="C154" s="1" t="n">
        <v>0.8</v>
      </c>
      <c r="D154" s="1" t="n">
        <v>1.0241</v>
      </c>
      <c r="E154" s="1" t="n">
        <v>0.0272573</v>
      </c>
      <c r="F154" s="1" t="n">
        <v>7.41423E-005</v>
      </c>
      <c r="G154" s="1" t="s">
        <v>27</v>
      </c>
      <c r="H154" s="1" t="n">
        <v>118.7</v>
      </c>
      <c r="I154" s="1" t="n">
        <v>195.4</v>
      </c>
      <c r="J154" s="1" t="n">
        <v>0</v>
      </c>
      <c r="K154" s="1"/>
      <c r="L154" s="1" t="n">
        <v>0</v>
      </c>
      <c r="M154" s="1" t="n">
        <v>0</v>
      </c>
      <c r="N154" s="1" t="s">
        <v>181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0" t="n">
        <f aca="false">I154+0</f>
        <v>195.4</v>
      </c>
      <c r="AB154" s="0" t="n">
        <f aca="false">IF(Z154&gt;360,Z154-360,Z154+0)</f>
        <v>195.4</v>
      </c>
      <c r="AC154" s="1"/>
      <c r="AD154" s="1"/>
      <c r="AE154" s="1"/>
      <c r="AF154" s="1"/>
    </row>
    <row r="155" customFormat="false" ht="15.8" hidden="false" customHeight="false" outlineLevel="0" collapsed="false">
      <c r="A155" s="1" t="n">
        <v>9</v>
      </c>
      <c r="B155" s="1" t="n">
        <v>13</v>
      </c>
      <c r="C155" s="1" t="n">
        <v>0.6</v>
      </c>
      <c r="D155" s="1" t="n">
        <v>1.0367</v>
      </c>
      <c r="E155" s="1" t="n">
        <v>0.0197843</v>
      </c>
      <c r="F155" s="1" t="n">
        <v>5.38151E-005</v>
      </c>
      <c r="G155" s="1" t="s">
        <v>27</v>
      </c>
      <c r="H155" s="1" t="n">
        <v>61.5</v>
      </c>
      <c r="I155" s="1" t="n">
        <v>303.1</v>
      </c>
      <c r="J155" s="1" t="n">
        <v>0</v>
      </c>
      <c r="K155" s="1"/>
      <c r="L155" s="1" t="n">
        <v>0</v>
      </c>
      <c r="M155" s="1" t="n">
        <v>0</v>
      </c>
      <c r="N155" s="1" t="s">
        <v>182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0" t="n">
        <f aca="false">I155+0</f>
        <v>303.1</v>
      </c>
      <c r="AB155" s="0" t="n">
        <f aca="false">IF(Z155&gt;360,Z155-360,Z155+0)</f>
        <v>303.1</v>
      </c>
      <c r="AC155" s="1"/>
      <c r="AD155" s="1"/>
      <c r="AE155" s="1"/>
      <c r="AF155" s="1"/>
    </row>
    <row r="156" customFormat="false" ht="15.8" hidden="false" customHeight="false" outlineLevel="0" collapsed="false">
      <c r="A156" s="1" t="n">
        <v>9</v>
      </c>
      <c r="B156" s="1" t="n">
        <v>14</v>
      </c>
      <c r="C156" s="1" t="n">
        <v>0.7</v>
      </c>
      <c r="D156" s="1" t="n">
        <v>1.1446</v>
      </c>
      <c r="E156" s="1" t="n">
        <v>0.023341</v>
      </c>
      <c r="F156" s="1" t="n">
        <v>6.34896E-005</v>
      </c>
      <c r="G156" s="1" t="s">
        <v>27</v>
      </c>
      <c r="H156" s="1" t="n">
        <v>79.9</v>
      </c>
      <c r="I156" s="1" t="n">
        <v>324.5</v>
      </c>
      <c r="J156" s="1" t="n">
        <v>38.3</v>
      </c>
      <c r="K156" s="1"/>
      <c r="L156" s="1" t="n">
        <v>0</v>
      </c>
      <c r="M156" s="1" t="n">
        <v>0</v>
      </c>
      <c r="N156" s="1" t="s">
        <v>183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0" t="n">
        <f aca="false">I156+0</f>
        <v>324.5</v>
      </c>
      <c r="AB156" s="0" t="n">
        <f aca="false">IF(Z156&gt;360,Z156-360,Z156+0)</f>
        <v>324.5</v>
      </c>
      <c r="AC156" s="1"/>
      <c r="AD156" s="1"/>
      <c r="AE156" s="1"/>
      <c r="AF156" s="1"/>
    </row>
    <row r="157" customFormat="false" ht="15.8" hidden="false" customHeight="false" outlineLevel="0" collapsed="false">
      <c r="A157" s="1" t="n">
        <v>9</v>
      </c>
      <c r="B157" s="1" t="n">
        <v>14</v>
      </c>
      <c r="C157" s="1" t="n">
        <v>1</v>
      </c>
      <c r="D157" s="1" t="n">
        <v>1.0146</v>
      </c>
      <c r="E157" s="1" t="n">
        <v>0.0352461</v>
      </c>
      <c r="F157" s="1" t="n">
        <v>9.58724E-005</v>
      </c>
      <c r="G157" s="1" t="s">
        <v>27</v>
      </c>
      <c r="H157" s="1" t="n">
        <v>27.1</v>
      </c>
      <c r="I157" s="1" t="n">
        <v>68.7</v>
      </c>
      <c r="J157" s="1" t="n">
        <v>0</v>
      </c>
      <c r="K157" s="1"/>
      <c r="L157" s="1" t="n">
        <v>0</v>
      </c>
      <c r="M157" s="1" t="n">
        <v>0</v>
      </c>
      <c r="N157" s="1" t="s">
        <v>183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0" t="n">
        <f aca="false">I157+0</f>
        <v>68.7</v>
      </c>
      <c r="AB157" s="0" t="n">
        <f aca="false">IF(Z157&gt;360,Z157-360,Z157+0)</f>
        <v>68.7</v>
      </c>
      <c r="AC157" s="1"/>
      <c r="AD157" s="1"/>
      <c r="AE157" s="1"/>
      <c r="AF157" s="1"/>
    </row>
    <row r="158" customFormat="false" ht="15.8" hidden="false" customHeight="false" outlineLevel="0" collapsed="false">
      <c r="A158" s="1" t="n">
        <v>9</v>
      </c>
      <c r="B158" s="1" t="n">
        <v>13</v>
      </c>
      <c r="C158" s="1" t="n">
        <v>0.5</v>
      </c>
      <c r="D158" s="1" t="n">
        <v>1.019</v>
      </c>
      <c r="E158" s="1" t="n">
        <v>0.0177186</v>
      </c>
      <c r="F158" s="1" t="n">
        <v>4.81961E-005</v>
      </c>
      <c r="G158" s="1" t="s">
        <v>52</v>
      </c>
      <c r="H158" s="1" t="n">
        <v>45.8</v>
      </c>
      <c r="I158" s="1" t="n">
        <v>41.5</v>
      </c>
      <c r="J158" s="1" t="n">
        <v>0</v>
      </c>
      <c r="K158" s="1" t="n">
        <v>79.9</v>
      </c>
      <c r="L158" s="1" t="n">
        <v>0</v>
      </c>
      <c r="M158" s="1" t="n">
        <v>0</v>
      </c>
      <c r="N158" s="1" t="s">
        <v>182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0" t="n">
        <f aca="false">I158+0</f>
        <v>41.5</v>
      </c>
      <c r="AB158" s="0" t="n">
        <f aca="false">IF(Z158&gt;360,Z158-360,Z158+0)</f>
        <v>41.5</v>
      </c>
      <c r="AC158" s="1"/>
      <c r="AD158" s="1"/>
      <c r="AE158" s="1"/>
      <c r="AF158" s="1"/>
    </row>
    <row r="159" customFormat="false" ht="15.8" hidden="false" customHeight="false" outlineLevel="0" collapsed="false">
      <c r="A159" s="1" t="n">
        <v>9</v>
      </c>
      <c r="B159" s="1" t="n">
        <v>12</v>
      </c>
      <c r="C159" s="1" t="n">
        <v>1.2</v>
      </c>
      <c r="D159" s="1" t="n">
        <v>1.2902</v>
      </c>
      <c r="E159" s="1" t="n">
        <v>0.0395256</v>
      </c>
      <c r="F159" s="1" t="n">
        <v>0.000107513</v>
      </c>
      <c r="G159" s="1" t="s">
        <v>52</v>
      </c>
      <c r="H159" s="1" t="n">
        <v>76.6</v>
      </c>
      <c r="I159" s="1" t="n">
        <v>1.5</v>
      </c>
      <c r="J159" s="1" t="n">
        <v>24.4</v>
      </c>
      <c r="K159" s="1" t="n">
        <v>61.5</v>
      </c>
      <c r="L159" s="1" t="n">
        <v>0</v>
      </c>
      <c r="M159" s="1" t="n">
        <v>0</v>
      </c>
      <c r="N159" s="1" t="s">
        <v>181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0" t="n">
        <f aca="false">I159+0</f>
        <v>1.5</v>
      </c>
      <c r="AB159" s="0" t="n">
        <f aca="false">IF(Z159&gt;360,Z159-360,Z159+0)</f>
        <v>1.5</v>
      </c>
      <c r="AC159" s="1"/>
      <c r="AD159" s="1"/>
      <c r="AE159" s="1"/>
      <c r="AF159" s="1"/>
    </row>
    <row r="160" customFormat="false" ht="15.8" hidden="false" customHeight="false" outlineLevel="0" collapsed="false">
      <c r="A160" s="1" t="n">
        <v>9</v>
      </c>
      <c r="B160" s="1" t="n">
        <v>13</v>
      </c>
      <c r="C160" s="1" t="n">
        <v>1.5</v>
      </c>
      <c r="D160" s="1" t="n">
        <v>1.1678</v>
      </c>
      <c r="E160" s="1" t="n">
        <v>0.0497581</v>
      </c>
      <c r="F160" s="1" t="n">
        <v>0.000135346</v>
      </c>
      <c r="G160" s="1" t="s">
        <v>27</v>
      </c>
      <c r="H160" s="1" t="n">
        <v>102.8</v>
      </c>
      <c r="I160" s="1" t="n">
        <v>49.4</v>
      </c>
      <c r="J160" s="1" t="n">
        <v>36.4</v>
      </c>
      <c r="K160" s="1"/>
      <c r="L160" s="1" t="n">
        <v>0</v>
      </c>
      <c r="M160" s="1" t="n">
        <v>0</v>
      </c>
      <c r="N160" s="1" t="s">
        <v>184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0" t="n">
        <f aca="false">I160+0</f>
        <v>49.4</v>
      </c>
      <c r="AB160" s="0" t="n">
        <f aca="false">IF(Z160&gt;360,Z160-360,Z160+0)</f>
        <v>49.4</v>
      </c>
      <c r="AC160" s="1"/>
      <c r="AD160" s="1"/>
      <c r="AE160" s="1"/>
      <c r="AF160" s="1"/>
    </row>
    <row r="161" customFormat="false" ht="15.8" hidden="false" customHeight="false" outlineLevel="0" collapsed="false">
      <c r="A161" s="1" t="n">
        <v>9</v>
      </c>
      <c r="B161" s="1" t="n">
        <v>14</v>
      </c>
      <c r="C161" s="1" t="n">
        <v>1.1</v>
      </c>
      <c r="D161" s="1" t="n">
        <v>1.0341</v>
      </c>
      <c r="E161" s="1" t="n">
        <v>0.0361525</v>
      </c>
      <c r="F161" s="1" t="n">
        <v>9.83379E-005</v>
      </c>
      <c r="G161" s="1" t="s">
        <v>27</v>
      </c>
      <c r="H161" s="1" t="n">
        <v>70.1</v>
      </c>
      <c r="I161" s="1" t="n">
        <v>180.6</v>
      </c>
      <c r="J161" s="1" t="n">
        <v>0</v>
      </c>
      <c r="K161" s="1"/>
      <c r="L161" s="1" t="n">
        <v>0</v>
      </c>
      <c r="M161" s="1" t="n">
        <v>0</v>
      </c>
      <c r="N161" s="1" t="s">
        <v>185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0" t="n">
        <f aca="false">I161+0</f>
        <v>180.6</v>
      </c>
      <c r="AB161" s="0" t="n">
        <f aca="false">IF(Z161&gt;360,Z161-360,Z161+0)</f>
        <v>180.6</v>
      </c>
      <c r="AC161" s="1"/>
      <c r="AD161" s="1"/>
      <c r="AE161" s="1"/>
      <c r="AF161" s="1"/>
    </row>
    <row r="162" customFormat="false" ht="15.8" hidden="false" customHeight="false" outlineLevel="0" collapsed="false">
      <c r="A162" s="1" t="n">
        <v>9</v>
      </c>
      <c r="B162" s="1" t="n">
        <v>14</v>
      </c>
      <c r="C162" s="1" t="n">
        <v>0.8</v>
      </c>
      <c r="D162" s="1" t="n">
        <v>1.0589</v>
      </c>
      <c r="E162" s="1" t="n">
        <v>0.0289846</v>
      </c>
      <c r="F162" s="1" t="n">
        <v>7.88405E-005</v>
      </c>
      <c r="G162" s="1" t="s">
        <v>27</v>
      </c>
      <c r="H162" s="1" t="n">
        <v>73.8</v>
      </c>
      <c r="I162" s="1" t="n">
        <v>36.7</v>
      </c>
      <c r="J162" s="1" t="n">
        <v>0</v>
      </c>
      <c r="K162" s="1"/>
      <c r="L162" s="1" t="n">
        <v>0</v>
      </c>
      <c r="M162" s="1" t="n">
        <v>0</v>
      </c>
      <c r="N162" s="1" t="s">
        <v>185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0" t="n">
        <f aca="false">I162+0</f>
        <v>36.7</v>
      </c>
      <c r="AB162" s="0" t="n">
        <f aca="false">IF(Z162&gt;360,Z162-360,Z162+0)</f>
        <v>36.7</v>
      </c>
      <c r="AC162" s="1"/>
      <c r="AD162" s="1"/>
      <c r="AE162" s="1"/>
      <c r="AF162" s="1"/>
    </row>
    <row r="163" customFormat="false" ht="15.8" hidden="false" customHeight="false" outlineLevel="0" collapsed="false">
      <c r="A163" s="1" t="n">
        <v>9</v>
      </c>
      <c r="B163" s="1" t="n">
        <v>14</v>
      </c>
      <c r="C163" s="1" t="n">
        <v>2.7</v>
      </c>
      <c r="D163" s="1" t="n">
        <v>1.0532</v>
      </c>
      <c r="E163" s="1" t="n">
        <v>0.0927394</v>
      </c>
      <c r="F163" s="1" t="n">
        <v>0.000252259</v>
      </c>
      <c r="G163" s="1" t="s">
        <v>27</v>
      </c>
      <c r="H163" s="1" t="n">
        <v>16</v>
      </c>
      <c r="I163" s="1" t="n">
        <v>94.6</v>
      </c>
      <c r="J163" s="1" t="n">
        <v>0</v>
      </c>
      <c r="K163" s="1"/>
      <c r="L163" s="1" t="n">
        <v>0</v>
      </c>
      <c r="M163" s="1" t="n">
        <v>0</v>
      </c>
      <c r="N163" s="1" t="s">
        <v>185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0" t="n">
        <f aca="false">I163+0</f>
        <v>94.6</v>
      </c>
      <c r="AB163" s="0" t="n">
        <f aca="false">IF(Z163&gt;360,Z163-360,Z163+0)</f>
        <v>94.6</v>
      </c>
      <c r="AC163" s="1"/>
      <c r="AD163" s="1"/>
      <c r="AE163" s="1"/>
      <c r="AF163" s="1"/>
    </row>
    <row r="164" customFormat="false" ht="15.8" hidden="false" customHeight="false" outlineLevel="0" collapsed="false">
      <c r="A164" s="1" t="n">
        <v>9</v>
      </c>
      <c r="B164" s="1" t="n">
        <v>13</v>
      </c>
      <c r="C164" s="1" t="n">
        <v>0.4</v>
      </c>
      <c r="D164" s="1" t="n">
        <v>1.0299</v>
      </c>
      <c r="E164" s="1" t="n">
        <v>0.0130903</v>
      </c>
      <c r="F164" s="1" t="n">
        <v>3.56067E-005</v>
      </c>
      <c r="G164" s="1" t="s">
        <v>52</v>
      </c>
      <c r="H164" s="1" t="n">
        <v>49.1</v>
      </c>
      <c r="I164" s="1" t="n">
        <v>110.6</v>
      </c>
      <c r="J164" s="1" t="n">
        <v>0</v>
      </c>
      <c r="K164" s="1" t="n">
        <v>73.8</v>
      </c>
      <c r="L164" s="1" t="n">
        <v>0</v>
      </c>
      <c r="M164" s="1" t="n">
        <v>0</v>
      </c>
      <c r="N164" s="1" t="s">
        <v>184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0" t="n">
        <f aca="false">I164+0</f>
        <v>110.6</v>
      </c>
      <c r="AB164" s="0" t="n">
        <f aca="false">IF(Z164&gt;360,Z164-360,Z164+0)</f>
        <v>110.6</v>
      </c>
      <c r="AC164" s="1"/>
      <c r="AD164" s="1"/>
      <c r="AE164" s="1"/>
      <c r="AF164" s="1"/>
    </row>
    <row r="165" customFormat="false" ht="15.8" hidden="false" customHeight="false" outlineLevel="0" collapsed="false">
      <c r="A165" s="1" t="n">
        <v>9</v>
      </c>
      <c r="B165" s="1" t="n">
        <v>12</v>
      </c>
      <c r="C165" s="1" t="n">
        <v>0.5</v>
      </c>
      <c r="D165" s="1" t="n">
        <v>1.1168</v>
      </c>
      <c r="E165" s="1" t="n">
        <v>0.0187115</v>
      </c>
      <c r="F165" s="1" t="n">
        <v>5.08968E-005</v>
      </c>
      <c r="G165" s="1" t="s">
        <v>52</v>
      </c>
      <c r="H165" s="1" t="n">
        <v>58.5</v>
      </c>
      <c r="I165" s="1" t="n">
        <v>114</v>
      </c>
      <c r="J165" s="1" t="n">
        <v>-49</v>
      </c>
      <c r="K165" s="1" t="n">
        <v>102.8</v>
      </c>
      <c r="L165" s="1" t="n">
        <v>0</v>
      </c>
      <c r="M165" s="1" t="n">
        <v>0</v>
      </c>
      <c r="N165" s="1" t="s">
        <v>181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0" t="n">
        <f aca="false">I165+0</f>
        <v>114</v>
      </c>
      <c r="AB165" s="0" t="n">
        <f aca="false">IF(Z165&gt;360,Z165-360,Z165+0)</f>
        <v>114</v>
      </c>
      <c r="AC165" s="1"/>
      <c r="AD165" s="1"/>
      <c r="AE165" s="1"/>
      <c r="AF165" s="1"/>
    </row>
    <row r="166" customFormat="false" ht="15.8" hidden="false" customHeight="false" outlineLevel="0" collapsed="false">
      <c r="A166" s="1" t="n">
        <v>9</v>
      </c>
      <c r="B166" s="1" t="n">
        <v>11</v>
      </c>
      <c r="C166" s="1" t="n">
        <v>2.2</v>
      </c>
      <c r="D166" s="1" t="n">
        <v>1.0349</v>
      </c>
      <c r="E166" s="1" t="n">
        <v>0.0755255</v>
      </c>
      <c r="F166" s="1" t="n">
        <v>0.000205436</v>
      </c>
      <c r="G166" s="1" t="s">
        <v>52</v>
      </c>
      <c r="H166" s="1" t="n">
        <v>0.6</v>
      </c>
      <c r="I166" s="1" t="n">
        <v>76.7</v>
      </c>
      <c r="J166" s="1" t="n">
        <v>0</v>
      </c>
      <c r="K166" s="1" t="n">
        <v>118.7</v>
      </c>
      <c r="L166" s="1" t="n">
        <v>0</v>
      </c>
      <c r="M166" s="1" t="n">
        <v>0</v>
      </c>
      <c r="N166" s="1" t="s">
        <v>180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0" t="n">
        <f aca="false">I166+0</f>
        <v>76.7</v>
      </c>
      <c r="AB166" s="0" t="n">
        <f aca="false">IF(Z166&gt;360,Z166-360,Z166+0)</f>
        <v>76.7</v>
      </c>
      <c r="AC166" s="1"/>
      <c r="AD166" s="1"/>
      <c r="AE166" s="1"/>
      <c r="AF166" s="1"/>
    </row>
    <row r="167" customFormat="false" ht="15.8" hidden="false" customHeight="false" outlineLevel="0" collapsed="false">
      <c r="A167" s="1" t="n">
        <v>9</v>
      </c>
      <c r="B167" s="1" t="n">
        <v>10</v>
      </c>
      <c r="C167" s="1" t="n">
        <v>2.2</v>
      </c>
      <c r="D167" s="1" t="n">
        <v>1.0751</v>
      </c>
      <c r="E167" s="1" t="n">
        <v>0.075347</v>
      </c>
      <c r="F167" s="1" t="n">
        <v>0.00020495</v>
      </c>
      <c r="G167" s="1" t="s">
        <v>52</v>
      </c>
      <c r="H167" s="1" t="n">
        <v>5.9</v>
      </c>
      <c r="I167" s="1" t="n">
        <v>76.2</v>
      </c>
      <c r="J167" s="1" t="n">
        <v>0</v>
      </c>
      <c r="K167" s="1" t="n">
        <v>97</v>
      </c>
      <c r="L167" s="1" t="n">
        <v>0</v>
      </c>
      <c r="M167" s="1" t="n">
        <v>0</v>
      </c>
      <c r="N167" s="1" t="s">
        <v>179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0" t="n">
        <f aca="false">I167+0</f>
        <v>76.2</v>
      </c>
      <c r="AB167" s="0" t="n">
        <f aca="false">IF(Z167&gt;360,Z167-360,Z167+0)</f>
        <v>76.2</v>
      </c>
      <c r="AC167" s="1"/>
      <c r="AD167" s="1"/>
      <c r="AE167" s="1"/>
      <c r="AF167" s="1"/>
    </row>
    <row r="168" customFormat="false" ht="15.8" hidden="false" customHeight="false" outlineLevel="0" collapsed="false">
      <c r="A168" s="1" t="n">
        <v>9</v>
      </c>
      <c r="B168" s="1" t="n">
        <v>9</v>
      </c>
      <c r="C168" s="1" t="n">
        <v>1.4</v>
      </c>
      <c r="D168" s="1" t="n">
        <v>1.2439</v>
      </c>
      <c r="E168" s="1" t="n">
        <v>0.0471693</v>
      </c>
      <c r="F168" s="1" t="n">
        <v>0.000128305</v>
      </c>
      <c r="G168" s="1" t="s">
        <v>52</v>
      </c>
      <c r="H168" s="1" t="n">
        <v>27.9</v>
      </c>
      <c r="I168" s="1" t="n">
        <v>82.1</v>
      </c>
      <c r="J168" s="1" t="n">
        <v>0</v>
      </c>
      <c r="K168" s="1" t="n">
        <v>121.2</v>
      </c>
      <c r="L168" s="1" t="n">
        <v>0</v>
      </c>
      <c r="M168" s="1" t="n">
        <v>0</v>
      </c>
      <c r="N168" s="1" t="s">
        <v>178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0" t="n">
        <f aca="false">I168+0</f>
        <v>82.1</v>
      </c>
      <c r="AB168" s="0" t="n">
        <f aca="false">IF(Z168&gt;360,Z168-360,Z168+0)</f>
        <v>82.1</v>
      </c>
      <c r="AC168" s="1"/>
      <c r="AD168" s="1"/>
      <c r="AE168" s="1"/>
      <c r="AF168" s="1"/>
    </row>
    <row r="169" customFormat="false" ht="15.8" hidden="false" customHeight="false" outlineLevel="0" collapsed="false">
      <c r="A169" s="1" t="n">
        <v>9</v>
      </c>
      <c r="B169" s="1" t="n">
        <v>8</v>
      </c>
      <c r="C169" s="1" t="n">
        <v>2.3</v>
      </c>
      <c r="D169" s="1" t="n">
        <v>1.158</v>
      </c>
      <c r="E169" s="1" t="n">
        <v>0.0780685</v>
      </c>
      <c r="F169" s="1" t="n">
        <v>0.000212353</v>
      </c>
      <c r="G169" s="1" t="s">
        <v>52</v>
      </c>
      <c r="H169" s="1" t="n">
        <v>29.1</v>
      </c>
      <c r="I169" s="1" t="n">
        <v>56.2</v>
      </c>
      <c r="J169" s="1" t="n">
        <v>10.8</v>
      </c>
      <c r="K169" s="1" t="n">
        <v>27.9</v>
      </c>
      <c r="L169" s="1" t="n">
        <v>0</v>
      </c>
      <c r="M169" s="1" t="n">
        <v>0</v>
      </c>
      <c r="N169" s="1" t="s">
        <v>177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0" t="n">
        <f aca="false">I169+0</f>
        <v>56.2</v>
      </c>
      <c r="AB169" s="0" t="n">
        <f aca="false">IF(Z169&gt;360,Z169-360,Z169+0)</f>
        <v>56.2</v>
      </c>
      <c r="AC169" s="1"/>
      <c r="AD169" s="1"/>
      <c r="AE169" s="1"/>
      <c r="AF169" s="1"/>
    </row>
    <row r="170" customFormat="false" ht="15.8" hidden="false" customHeight="false" outlineLevel="0" collapsed="false">
      <c r="A170" s="1" t="n">
        <v>9</v>
      </c>
      <c r="B170" s="1" t="n">
        <v>7</v>
      </c>
      <c r="C170" s="1" t="n">
        <v>3.2</v>
      </c>
      <c r="D170" s="1" t="n">
        <v>1.1972</v>
      </c>
      <c r="E170" s="1" t="n">
        <v>0.109375</v>
      </c>
      <c r="F170" s="1" t="n">
        <v>0.00029751</v>
      </c>
      <c r="G170" s="1" t="s">
        <v>52</v>
      </c>
      <c r="H170" s="1" t="n">
        <v>38.3</v>
      </c>
      <c r="I170" s="1" t="n">
        <v>26.9</v>
      </c>
      <c r="J170" s="1" t="n">
        <v>8</v>
      </c>
      <c r="K170" s="1" t="n">
        <v>73.8</v>
      </c>
      <c r="L170" s="1" t="n">
        <v>0</v>
      </c>
      <c r="M170" s="1" t="n">
        <v>0</v>
      </c>
      <c r="N170" s="1" t="s">
        <v>176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0" t="n">
        <f aca="false">I170+0</f>
        <v>26.9</v>
      </c>
      <c r="AB170" s="0" t="n">
        <f aca="false">IF(Z170&gt;360,Z170-360,Z170+0)</f>
        <v>26.9</v>
      </c>
      <c r="AC170" s="1"/>
      <c r="AD170" s="1"/>
      <c r="AE170" s="1"/>
      <c r="AF170" s="1"/>
    </row>
    <row r="171" customFormat="false" ht="15.8" hidden="false" customHeight="false" outlineLevel="0" collapsed="false">
      <c r="A171" s="1" t="n">
        <v>9</v>
      </c>
      <c r="B171" s="1" t="n">
        <v>6</v>
      </c>
      <c r="C171" s="1" t="n">
        <v>1.4</v>
      </c>
      <c r="D171" s="1" t="n">
        <v>1.2022</v>
      </c>
      <c r="E171" s="1" t="n">
        <v>0.0476647</v>
      </c>
      <c r="F171" s="1" t="n">
        <v>0.000129652</v>
      </c>
      <c r="G171" s="1" t="s">
        <v>52</v>
      </c>
      <c r="H171" s="1" t="n">
        <v>40.1</v>
      </c>
      <c r="I171" s="1" t="n">
        <v>2.8</v>
      </c>
      <c r="J171" s="1" t="n">
        <v>39.6</v>
      </c>
      <c r="K171" s="1" t="n">
        <v>85.5</v>
      </c>
      <c r="L171" s="1" t="n">
        <v>0</v>
      </c>
      <c r="M171" s="1" t="n">
        <v>0</v>
      </c>
      <c r="N171" s="1" t="s">
        <v>175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0" t="n">
        <f aca="false">I171+0</f>
        <v>2.8</v>
      </c>
      <c r="AB171" s="0" t="n">
        <f aca="false">IF(Z171&gt;360,Z171-360,Z171+0)</f>
        <v>2.8</v>
      </c>
      <c r="AC171" s="1"/>
      <c r="AD171" s="1"/>
      <c r="AE171" s="1"/>
      <c r="AF171" s="1"/>
    </row>
    <row r="172" customFormat="false" ht="15.8" hidden="false" customHeight="false" outlineLevel="0" collapsed="false">
      <c r="A172" s="1" t="n">
        <v>9</v>
      </c>
      <c r="B172" s="1" t="n">
        <v>5</v>
      </c>
      <c r="C172" s="1" t="n">
        <v>1.6</v>
      </c>
      <c r="D172" s="1" t="n">
        <v>1.1723</v>
      </c>
      <c r="E172" s="1" t="n">
        <v>0.0549888</v>
      </c>
      <c r="F172" s="1" t="n">
        <v>0.000149574</v>
      </c>
      <c r="G172" s="1" t="s">
        <v>52</v>
      </c>
      <c r="H172" s="1" t="n">
        <v>28.6</v>
      </c>
      <c r="I172" s="1" t="n">
        <v>52.3</v>
      </c>
      <c r="J172" s="1" t="n">
        <v>32.6</v>
      </c>
      <c r="K172" s="1" t="n">
        <v>40.1</v>
      </c>
      <c r="L172" s="1" t="n">
        <v>0</v>
      </c>
      <c r="M172" s="1" t="n">
        <v>0</v>
      </c>
      <c r="N172" s="1" t="s">
        <v>171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0" t="n">
        <f aca="false">I172+0</f>
        <v>52.3</v>
      </c>
      <c r="AB172" s="0" t="n">
        <f aca="false">IF(Z172&gt;360,Z172-360,Z172+0)</f>
        <v>52.3</v>
      </c>
      <c r="AC172" s="1"/>
      <c r="AD172" s="1"/>
      <c r="AE172" s="1"/>
      <c r="AF172" s="1"/>
    </row>
    <row r="173" customFormat="false" ht="15.8" hidden="false" customHeight="false" outlineLevel="0" collapsed="false">
      <c r="A173" s="1" t="n">
        <v>9</v>
      </c>
      <c r="B173" s="1" t="n">
        <v>4</v>
      </c>
      <c r="C173" s="1" t="n">
        <v>1.8</v>
      </c>
      <c r="D173" s="1" t="n">
        <v>1.1823</v>
      </c>
      <c r="E173" s="1" t="n">
        <v>0.0602237</v>
      </c>
      <c r="F173" s="1" t="n">
        <v>0.000163814</v>
      </c>
      <c r="G173" s="1" t="s">
        <v>52</v>
      </c>
      <c r="H173" s="1" t="n">
        <v>66</v>
      </c>
      <c r="I173" s="1" t="n">
        <v>76.5</v>
      </c>
      <c r="J173" s="1" t="n">
        <v>14.4</v>
      </c>
      <c r="K173" s="1" t="n">
        <v>101</v>
      </c>
      <c r="L173" s="1" t="n">
        <v>0</v>
      </c>
      <c r="M173" s="1" t="n">
        <v>0</v>
      </c>
      <c r="N173" s="1" t="s">
        <v>166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0" t="n">
        <f aca="false">I173+0</f>
        <v>76.5</v>
      </c>
      <c r="AB173" s="0" t="n">
        <f aca="false">IF(Z173&gt;360,Z173-360,Z173+0)</f>
        <v>76.5</v>
      </c>
      <c r="AC173" s="1"/>
      <c r="AD173" s="1"/>
      <c r="AE173" s="1"/>
      <c r="AF173" s="1"/>
    </row>
    <row r="174" customFormat="false" ht="15.8" hidden="false" customHeight="false" outlineLevel="0" collapsed="false">
      <c r="A174" s="1" t="n">
        <v>9</v>
      </c>
      <c r="B174" s="1" t="n">
        <v>3</v>
      </c>
      <c r="C174" s="1" t="n">
        <v>1.9</v>
      </c>
      <c r="D174" s="1" t="n">
        <v>1.1942</v>
      </c>
      <c r="E174" s="1" t="n">
        <v>0.0638945</v>
      </c>
      <c r="F174" s="1" t="n">
        <v>0.000173799</v>
      </c>
      <c r="G174" s="1" t="s">
        <v>52</v>
      </c>
      <c r="H174" s="1" t="n">
        <v>57.3</v>
      </c>
      <c r="I174" s="1" t="n">
        <v>6.3</v>
      </c>
      <c r="J174" s="1" t="n">
        <v>28.2</v>
      </c>
      <c r="K174" s="1" t="n">
        <v>114.5</v>
      </c>
      <c r="L174" s="1" t="n">
        <v>0</v>
      </c>
      <c r="M174" s="1" t="n">
        <v>0</v>
      </c>
      <c r="N174" s="1" t="s">
        <v>165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0" t="n">
        <f aca="false">I174+0</f>
        <v>6.3</v>
      </c>
      <c r="AB174" s="0" t="n">
        <f aca="false">IF(Z174&gt;360,Z174-360,Z174+0)</f>
        <v>6.3</v>
      </c>
      <c r="AC174" s="1"/>
      <c r="AD174" s="1"/>
      <c r="AE174" s="1"/>
      <c r="AF174" s="1"/>
    </row>
    <row r="175" customFormat="false" ht="15.8" hidden="false" customHeight="false" outlineLevel="0" collapsed="false">
      <c r="A175" s="1" t="n">
        <v>9</v>
      </c>
      <c r="B175" s="1" t="n">
        <v>2</v>
      </c>
      <c r="C175" s="1" t="n">
        <v>2.2</v>
      </c>
      <c r="D175" s="1" t="n">
        <v>1.183</v>
      </c>
      <c r="E175" s="1" t="n">
        <v>0.0753698</v>
      </c>
      <c r="F175" s="1" t="n">
        <v>0.000205012</v>
      </c>
      <c r="G175" s="1" t="s">
        <v>52</v>
      </c>
      <c r="H175" s="1" t="n">
        <v>48.9</v>
      </c>
      <c r="I175" s="1" t="n">
        <v>78.4</v>
      </c>
      <c r="J175" s="1" t="n">
        <v>52.6</v>
      </c>
      <c r="K175" s="1" t="n">
        <v>84.5</v>
      </c>
      <c r="L175" s="1" t="n">
        <v>0</v>
      </c>
      <c r="M175" s="1" t="n">
        <v>0</v>
      </c>
      <c r="N175" s="1" t="s">
        <v>164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0" t="n">
        <f aca="false">I175+0</f>
        <v>78.4</v>
      </c>
      <c r="AB175" s="0" t="n">
        <f aca="false">IF(Z175&gt;360,Z175-360,Z175+0)</f>
        <v>78.4</v>
      </c>
      <c r="AC175" s="1"/>
      <c r="AD175" s="1"/>
      <c r="AE175" s="1"/>
      <c r="AF175" s="1"/>
    </row>
    <row r="176" customFormat="false" ht="15.8" hidden="false" customHeight="false" outlineLevel="0" collapsed="false">
      <c r="A176" s="1" t="n">
        <v>9</v>
      </c>
      <c r="B176" s="1" t="n">
        <v>1</v>
      </c>
      <c r="C176" s="1" t="n">
        <v>4</v>
      </c>
      <c r="D176" s="1" t="n">
        <v>1.1874</v>
      </c>
      <c r="E176" s="1" t="n">
        <v>0.136778</v>
      </c>
      <c r="F176" s="1" t="n">
        <v>0.000372048</v>
      </c>
      <c r="G176" s="1" t="s">
        <v>52</v>
      </c>
      <c r="H176" s="1"/>
      <c r="I176" s="1" t="n">
        <v>5.4</v>
      </c>
      <c r="J176" s="1" t="n">
        <v>41.2</v>
      </c>
      <c r="K176" s="1" t="n">
        <v>48.9</v>
      </c>
      <c r="L176" s="1" t="n">
        <v>0</v>
      </c>
      <c r="M176" s="1" t="n">
        <v>0</v>
      </c>
      <c r="N176" s="1" t="s">
        <v>186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0" t="n">
        <f aca="false">I176+0</f>
        <v>5.4</v>
      </c>
      <c r="AB176" s="0" t="n">
        <f aca="false">IF(Z176&gt;360,Z176-360,Z176+0)</f>
        <v>5.4</v>
      </c>
      <c r="AC176" s="1"/>
      <c r="AD176" s="1"/>
      <c r="AE176" s="1"/>
      <c r="AF176" s="1"/>
    </row>
    <row r="177" customFormat="false" ht="15.8" hidden="false" customHeight="false" outlineLevel="0" collapsed="false">
      <c r="A177" s="1" t="n">
        <v>10</v>
      </c>
      <c r="B177" s="1" t="n">
        <v>5</v>
      </c>
      <c r="C177" s="1" t="n">
        <v>1.7</v>
      </c>
      <c r="D177" s="1" t="n">
        <v>1.164</v>
      </c>
      <c r="E177" s="1" t="n">
        <v>0.0470321</v>
      </c>
      <c r="F177" s="1" t="n">
        <v>0.000102345</v>
      </c>
      <c r="G177" s="1" t="s">
        <v>27</v>
      </c>
      <c r="H177" s="1" t="n">
        <v>29.5</v>
      </c>
      <c r="I177" s="1" t="n">
        <v>283.4</v>
      </c>
      <c r="J177" s="1" t="n">
        <v>-48.7</v>
      </c>
      <c r="K177" s="1"/>
      <c r="L177" s="1" t="n">
        <v>0</v>
      </c>
      <c r="M177" s="1" t="n">
        <v>0</v>
      </c>
      <c r="N177" s="1" t="s">
        <v>187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0" t="n">
        <f aca="false">I177+0</f>
        <v>283.4</v>
      </c>
      <c r="AB177" s="0" t="n">
        <f aca="false">IF(Z177&gt;360,Z177-360,Z177+0)</f>
        <v>283.4</v>
      </c>
      <c r="AC177" s="1"/>
      <c r="AD177" s="1"/>
      <c r="AE177" s="1"/>
      <c r="AF177" s="1"/>
    </row>
    <row r="178" customFormat="false" ht="15.8" hidden="false" customHeight="false" outlineLevel="0" collapsed="false">
      <c r="A178" s="1" t="n">
        <v>10</v>
      </c>
      <c r="B178" s="1" t="n">
        <v>5</v>
      </c>
      <c r="C178" s="1" t="n">
        <v>0.6</v>
      </c>
      <c r="D178" s="1" t="n">
        <v>1.1048</v>
      </c>
      <c r="E178" s="1" t="n">
        <v>0.0153179</v>
      </c>
      <c r="F178" s="1" t="n">
        <v>3.33327E-005</v>
      </c>
      <c r="G178" s="1" t="s">
        <v>27</v>
      </c>
      <c r="H178" s="1" t="n">
        <v>49.7</v>
      </c>
      <c r="I178" s="1" t="n">
        <v>61.5</v>
      </c>
      <c r="J178" s="1" t="n">
        <v>-46.9</v>
      </c>
      <c r="K178" s="1"/>
      <c r="L178" s="1" t="n">
        <v>0</v>
      </c>
      <c r="M178" s="1" t="n">
        <v>0</v>
      </c>
      <c r="N178" s="1" t="s">
        <v>187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0" t="n">
        <f aca="false">I178+0</f>
        <v>61.5</v>
      </c>
      <c r="AB178" s="0" t="n">
        <f aca="false">IF(Z178&gt;360,Z178-360,Z178+0)</f>
        <v>61.5</v>
      </c>
      <c r="AC178" s="1"/>
      <c r="AD178" s="1"/>
      <c r="AE178" s="1"/>
      <c r="AF178" s="1"/>
    </row>
    <row r="179" customFormat="false" ht="15.8" hidden="false" customHeight="false" outlineLevel="0" collapsed="false">
      <c r="A179" s="1" t="n">
        <v>10</v>
      </c>
      <c r="B179" s="1" t="n">
        <v>4</v>
      </c>
      <c r="C179" s="1" t="n">
        <v>1.3</v>
      </c>
      <c r="D179" s="1" t="n">
        <v>1.1309</v>
      </c>
      <c r="E179" s="1" t="n">
        <v>0.0353024</v>
      </c>
      <c r="F179" s="1" t="n">
        <v>7.68204E-005</v>
      </c>
      <c r="G179" s="1" t="s">
        <v>52</v>
      </c>
      <c r="H179" s="1" t="n">
        <v>102</v>
      </c>
      <c r="I179" s="1" t="n">
        <v>308.4</v>
      </c>
      <c r="J179" s="1" t="n">
        <v>-76.5</v>
      </c>
      <c r="K179" s="1" t="n">
        <v>49.7</v>
      </c>
      <c r="L179" s="1" t="n">
        <v>0</v>
      </c>
      <c r="M179" s="1" t="n">
        <v>0</v>
      </c>
      <c r="N179" s="1" t="s">
        <v>188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0" t="n">
        <f aca="false">I179+0</f>
        <v>308.4</v>
      </c>
      <c r="AB179" s="0" t="n">
        <f aca="false">IF(Z179&gt;360,Z179-360,Z179+0)</f>
        <v>308.4</v>
      </c>
      <c r="AC179" s="1"/>
      <c r="AD179" s="1"/>
      <c r="AE179" s="1"/>
      <c r="AF179" s="1"/>
    </row>
    <row r="180" customFormat="false" ht="15.8" hidden="false" customHeight="false" outlineLevel="0" collapsed="false">
      <c r="A180" s="1" t="n">
        <v>10</v>
      </c>
      <c r="B180" s="1" t="n">
        <v>4</v>
      </c>
      <c r="C180" s="1" t="n">
        <v>1.6</v>
      </c>
      <c r="D180" s="1" t="n">
        <v>1.0559</v>
      </c>
      <c r="E180" s="1" t="n">
        <v>0.0447027</v>
      </c>
      <c r="F180" s="1" t="n">
        <v>9.72763E-005</v>
      </c>
      <c r="G180" s="1" t="s">
        <v>27</v>
      </c>
      <c r="H180" s="1" t="n">
        <v>7.6</v>
      </c>
      <c r="I180" s="1" t="n">
        <v>148.1</v>
      </c>
      <c r="J180" s="1" t="n">
        <v>0</v>
      </c>
      <c r="K180" s="1"/>
      <c r="L180" s="1" t="n">
        <v>0</v>
      </c>
      <c r="M180" s="1" t="n">
        <v>0</v>
      </c>
      <c r="N180" s="1" t="s">
        <v>188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0" t="n">
        <f aca="false">I180+0</f>
        <v>148.1</v>
      </c>
      <c r="AB180" s="0" t="n">
        <f aca="false">IF(Z180&gt;360,Z180-360,Z180+0)</f>
        <v>148.1</v>
      </c>
      <c r="AC180" s="1"/>
      <c r="AD180" s="1"/>
      <c r="AE180" s="1"/>
      <c r="AF180" s="1"/>
    </row>
    <row r="181" customFormat="false" ht="15.8" hidden="false" customHeight="false" outlineLevel="0" collapsed="false">
      <c r="A181" s="1" t="n">
        <v>10</v>
      </c>
      <c r="B181" s="1" t="n">
        <v>3</v>
      </c>
      <c r="C181" s="1" t="n">
        <v>0.8</v>
      </c>
      <c r="D181" s="1" t="n">
        <v>1.0127</v>
      </c>
      <c r="E181" s="1" t="n">
        <v>0.0216836</v>
      </c>
      <c r="F181" s="1" t="n">
        <v>4.71851E-005</v>
      </c>
      <c r="G181" s="1" t="s">
        <v>52</v>
      </c>
      <c r="H181" s="1" t="n">
        <v>19.9</v>
      </c>
      <c r="I181" s="1" t="n">
        <v>155.7</v>
      </c>
      <c r="J181" s="1" t="n">
        <v>0</v>
      </c>
      <c r="K181" s="1" t="n">
        <v>102</v>
      </c>
      <c r="L181" s="1" t="n">
        <v>0</v>
      </c>
      <c r="M181" s="1" t="n">
        <v>0</v>
      </c>
      <c r="N181" s="1" t="s">
        <v>189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0" t="n">
        <f aca="false">I181+0</f>
        <v>155.7</v>
      </c>
      <c r="AB181" s="0" t="n">
        <f aca="false">IF(Z181&gt;360,Z181-360,Z181+0)</f>
        <v>155.7</v>
      </c>
      <c r="AC181" s="1"/>
      <c r="AD181" s="1"/>
      <c r="AE181" s="1"/>
      <c r="AF181" s="1"/>
    </row>
    <row r="182" customFormat="false" ht="15.8" hidden="false" customHeight="false" outlineLevel="0" collapsed="false">
      <c r="A182" s="1" t="n">
        <v>10</v>
      </c>
      <c r="B182" s="1" t="n">
        <v>3</v>
      </c>
      <c r="C182" s="1" t="n">
        <v>0.8</v>
      </c>
      <c r="D182" s="1" t="n">
        <v>1.1962</v>
      </c>
      <c r="E182" s="1" t="n">
        <v>0.0213363</v>
      </c>
      <c r="F182" s="1" t="n">
        <v>4.64293E-005</v>
      </c>
      <c r="G182" s="1" t="s">
        <v>27</v>
      </c>
      <c r="H182" s="1" t="n">
        <v>75.9</v>
      </c>
      <c r="I182" s="1" t="n">
        <v>63</v>
      </c>
      <c r="J182" s="1" t="n">
        <v>-34.6</v>
      </c>
      <c r="K182" s="1"/>
      <c r="L182" s="1" t="n">
        <v>0</v>
      </c>
      <c r="M182" s="1" t="n">
        <v>0</v>
      </c>
      <c r="N182" s="1" t="s">
        <v>189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0" t="n">
        <f aca="false">I182+0</f>
        <v>63</v>
      </c>
      <c r="AB182" s="0" t="n">
        <f aca="false">IF(Z182&gt;360,Z182-360,Z182+0)</f>
        <v>63</v>
      </c>
      <c r="AC182" s="1"/>
      <c r="AD182" s="1"/>
      <c r="AE182" s="1"/>
      <c r="AF182" s="1"/>
    </row>
    <row r="183" customFormat="false" ht="15.8" hidden="false" customHeight="false" outlineLevel="0" collapsed="false">
      <c r="A183" s="1" t="n">
        <v>10</v>
      </c>
      <c r="B183" s="1" t="n">
        <v>2</v>
      </c>
      <c r="C183" s="1" t="n">
        <v>0.8</v>
      </c>
      <c r="D183" s="1" t="n">
        <v>1.0086</v>
      </c>
      <c r="E183" s="1" t="n">
        <v>0.0227495</v>
      </c>
      <c r="F183" s="1" t="n">
        <v>4.95045E-005</v>
      </c>
      <c r="G183" s="1" t="s">
        <v>52</v>
      </c>
      <c r="H183" s="1" t="n">
        <v>155.6</v>
      </c>
      <c r="I183" s="1" t="n">
        <v>135.9</v>
      </c>
      <c r="J183" s="1" t="n">
        <v>0</v>
      </c>
      <c r="K183" s="1" t="n">
        <v>75.9</v>
      </c>
      <c r="L183" s="1" t="n">
        <v>0</v>
      </c>
      <c r="M183" s="1" t="n">
        <v>0</v>
      </c>
      <c r="N183" s="1" t="s">
        <v>190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0" t="n">
        <f aca="false">I183+0</f>
        <v>135.9</v>
      </c>
      <c r="AB183" s="0" t="n">
        <f aca="false">IF(Z183&gt;360,Z183-360,Z183+0)</f>
        <v>135.9</v>
      </c>
      <c r="AC183" s="1"/>
      <c r="AD183" s="1"/>
      <c r="AE183" s="1"/>
      <c r="AF183" s="1"/>
    </row>
    <row r="184" customFormat="false" ht="15.8" hidden="false" customHeight="false" outlineLevel="0" collapsed="false">
      <c r="A184" s="1" t="n">
        <v>10</v>
      </c>
      <c r="B184" s="1" t="n">
        <v>5</v>
      </c>
      <c r="C184" s="1" t="n">
        <v>0.5</v>
      </c>
      <c r="D184" s="1" t="n">
        <v>1.0067</v>
      </c>
      <c r="E184" s="1" t="n">
        <v>0.0127173</v>
      </c>
      <c r="F184" s="1" t="n">
        <v>2.76738E-005</v>
      </c>
      <c r="G184" s="1" t="s">
        <v>27</v>
      </c>
      <c r="H184" s="1" t="n">
        <v>45.3</v>
      </c>
      <c r="I184" s="1" t="n">
        <v>317.3</v>
      </c>
      <c r="J184" s="1" t="n">
        <v>0</v>
      </c>
      <c r="K184" s="1"/>
      <c r="L184" s="1" t="n">
        <v>0</v>
      </c>
      <c r="M184" s="1" t="n">
        <v>0</v>
      </c>
      <c r="N184" s="1" t="s">
        <v>191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0" t="n">
        <f aca="false">I184+0</f>
        <v>317.3</v>
      </c>
      <c r="AB184" s="0" t="n">
        <f aca="false">IF(Z184&gt;360,Z184-360,Z184+0)</f>
        <v>317.3</v>
      </c>
      <c r="AC184" s="1"/>
      <c r="AD184" s="1"/>
      <c r="AE184" s="1"/>
      <c r="AF184" s="1"/>
    </row>
    <row r="185" customFormat="false" ht="15.8" hidden="false" customHeight="false" outlineLevel="0" collapsed="false">
      <c r="A185" s="1" t="n">
        <v>10</v>
      </c>
      <c r="B185" s="1" t="n">
        <v>5</v>
      </c>
      <c r="C185" s="1" t="n">
        <v>0.6</v>
      </c>
      <c r="D185" s="1" t="n">
        <v>1.0017</v>
      </c>
      <c r="E185" s="1" t="n">
        <v>0.0158053</v>
      </c>
      <c r="F185" s="1" t="n">
        <v>3.43934E-005</v>
      </c>
      <c r="G185" s="1" t="s">
        <v>27</v>
      </c>
      <c r="H185" s="1" t="n">
        <v>53.4</v>
      </c>
      <c r="I185" s="1" t="n">
        <v>56.1</v>
      </c>
      <c r="J185" s="1" t="n">
        <v>0</v>
      </c>
      <c r="K185" s="1"/>
      <c r="L185" s="1" t="n">
        <v>0</v>
      </c>
      <c r="M185" s="1" t="n">
        <v>0</v>
      </c>
      <c r="N185" s="1" t="s">
        <v>191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0" t="n">
        <f aca="false">I185+0</f>
        <v>56.1</v>
      </c>
      <c r="AB185" s="0" t="n">
        <f aca="false">IF(Z185&gt;360,Z185-360,Z185+0)</f>
        <v>56.1</v>
      </c>
      <c r="AC185" s="1"/>
      <c r="AD185" s="1"/>
      <c r="AE185" s="1"/>
      <c r="AF185" s="1"/>
    </row>
    <row r="186" customFormat="false" ht="15.8" hidden="false" customHeight="false" outlineLevel="0" collapsed="false">
      <c r="A186" s="1" t="n">
        <v>10</v>
      </c>
      <c r="B186" s="1" t="n">
        <v>4</v>
      </c>
      <c r="C186" s="1" t="n">
        <v>1</v>
      </c>
      <c r="D186" s="1" t="n">
        <v>1.0397</v>
      </c>
      <c r="E186" s="1" t="n">
        <v>0.0270023</v>
      </c>
      <c r="F186" s="1" t="n">
        <v>5.8759E-005</v>
      </c>
      <c r="G186" s="1" t="s">
        <v>52</v>
      </c>
      <c r="H186" s="1" t="n">
        <v>74.5</v>
      </c>
      <c r="I186" s="1" t="n">
        <v>2.6</v>
      </c>
      <c r="J186" s="1" t="n">
        <v>0</v>
      </c>
      <c r="K186" s="1" t="n">
        <v>53.4</v>
      </c>
      <c r="L186" s="1" t="n">
        <v>0</v>
      </c>
      <c r="M186" s="1" t="n">
        <v>0</v>
      </c>
      <c r="N186" s="1" t="s">
        <v>192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0" t="n">
        <f aca="false">I186+0</f>
        <v>2.6</v>
      </c>
      <c r="AB186" s="0" t="n">
        <f aca="false">IF(Z186&gt;360,Z186-360,Z186+0)</f>
        <v>2.6</v>
      </c>
      <c r="AC186" s="1"/>
      <c r="AD186" s="1"/>
      <c r="AE186" s="1"/>
      <c r="AF186" s="1"/>
    </row>
    <row r="187" customFormat="false" ht="15.8" hidden="false" customHeight="false" outlineLevel="0" collapsed="false">
      <c r="A187" s="1" t="n">
        <v>10</v>
      </c>
      <c r="B187" s="1" t="n">
        <v>4</v>
      </c>
      <c r="C187" s="1" t="n">
        <v>5.5</v>
      </c>
      <c r="D187" s="1" t="n">
        <v>1.5424</v>
      </c>
      <c r="E187" s="1" t="n">
        <v>0.149979</v>
      </c>
      <c r="F187" s="1" t="n">
        <v>0.000326364</v>
      </c>
      <c r="G187" s="1" t="s">
        <v>27</v>
      </c>
      <c r="H187" s="1" t="n">
        <v>63.6</v>
      </c>
      <c r="I187" s="1" t="n">
        <v>305.1</v>
      </c>
      <c r="J187" s="1" t="n">
        <v>-46.7</v>
      </c>
      <c r="K187" s="1"/>
      <c r="L187" s="1" t="n">
        <v>0</v>
      </c>
      <c r="M187" s="1" t="n">
        <v>0</v>
      </c>
      <c r="N187" s="1" t="s">
        <v>192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0" t="n">
        <f aca="false">I187+0</f>
        <v>305.1</v>
      </c>
      <c r="AB187" s="0" t="n">
        <f aca="false">IF(Z187&gt;360,Z187-360,Z187+0)</f>
        <v>305.1</v>
      </c>
      <c r="AC187" s="1"/>
      <c r="AD187" s="1"/>
      <c r="AE187" s="1"/>
      <c r="AF187" s="1"/>
    </row>
    <row r="188" customFormat="false" ht="15.8" hidden="false" customHeight="false" outlineLevel="0" collapsed="false">
      <c r="A188" s="1" t="n">
        <v>10</v>
      </c>
      <c r="B188" s="1" t="n">
        <v>3</v>
      </c>
      <c r="C188" s="1" t="n">
        <v>1.7</v>
      </c>
      <c r="D188" s="1" t="n">
        <v>1.3056</v>
      </c>
      <c r="E188" s="1" t="n">
        <v>0.0469396</v>
      </c>
      <c r="F188" s="1" t="n">
        <v>0.000102144</v>
      </c>
      <c r="G188" s="1" t="s">
        <v>52</v>
      </c>
      <c r="H188" s="1" t="n">
        <v>107.1</v>
      </c>
      <c r="I188" s="1" t="n">
        <v>62.8</v>
      </c>
      <c r="J188" s="1" t="n">
        <v>-57.6</v>
      </c>
      <c r="K188" s="1" t="n">
        <v>74.5</v>
      </c>
      <c r="L188" s="1" t="n">
        <v>0</v>
      </c>
      <c r="M188" s="1" t="n">
        <v>0</v>
      </c>
      <c r="N188" s="1" t="s">
        <v>193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0" t="n">
        <f aca="false">I188+0</f>
        <v>62.8</v>
      </c>
      <c r="AB188" s="0" t="n">
        <f aca="false">IF(Z188&gt;360,Z188-360,Z188+0)</f>
        <v>62.8</v>
      </c>
      <c r="AC188" s="1"/>
      <c r="AD188" s="1"/>
      <c r="AE188" s="1"/>
      <c r="AF188" s="1"/>
    </row>
    <row r="189" customFormat="false" ht="15.8" hidden="false" customHeight="false" outlineLevel="0" collapsed="false">
      <c r="A189" s="1" t="n">
        <v>10</v>
      </c>
      <c r="B189" s="1" t="n">
        <v>3</v>
      </c>
      <c r="C189" s="1" t="n">
        <v>0.6</v>
      </c>
      <c r="D189" s="1" t="n">
        <v>1.1183</v>
      </c>
      <c r="E189" s="1" t="n">
        <v>0.0175782</v>
      </c>
      <c r="F189" s="1" t="n">
        <v>3.82514E-005</v>
      </c>
      <c r="G189" s="1" t="s">
        <v>27</v>
      </c>
      <c r="H189" s="1" t="n">
        <v>22.3</v>
      </c>
      <c r="I189" s="1" t="n">
        <v>332.9</v>
      </c>
      <c r="J189" s="1" t="n">
        <v>40.1</v>
      </c>
      <c r="K189" s="1"/>
      <c r="L189" s="1" t="n">
        <v>0</v>
      </c>
      <c r="M189" s="1" t="n">
        <v>0</v>
      </c>
      <c r="N189" s="1" t="s">
        <v>193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0" t="n">
        <f aca="false">I189+0</f>
        <v>332.9</v>
      </c>
      <c r="AB189" s="0" t="n">
        <f aca="false">IF(Z189&gt;360,Z189-360,Z189+0)</f>
        <v>332.9</v>
      </c>
      <c r="AC189" s="1"/>
      <c r="AD189" s="1"/>
      <c r="AE189" s="1"/>
      <c r="AF189" s="1"/>
    </row>
    <row r="190" customFormat="false" ht="15.8" hidden="false" customHeight="false" outlineLevel="0" collapsed="false">
      <c r="A190" s="1" t="n">
        <v>10</v>
      </c>
      <c r="B190" s="1" t="n">
        <v>2</v>
      </c>
      <c r="C190" s="1" t="n">
        <v>1.4</v>
      </c>
      <c r="D190" s="1" t="n">
        <v>1.1813</v>
      </c>
      <c r="E190" s="1" t="n">
        <v>0.0385944</v>
      </c>
      <c r="F190" s="1" t="n">
        <v>8.39842E-005</v>
      </c>
      <c r="G190" s="1" t="s">
        <v>52</v>
      </c>
      <c r="H190" s="1" t="n">
        <v>18.7</v>
      </c>
      <c r="I190" s="1" t="n">
        <v>329.1</v>
      </c>
      <c r="J190" s="1" t="n">
        <v>18</v>
      </c>
      <c r="K190" s="1" t="n">
        <v>107.1</v>
      </c>
      <c r="L190" s="1" t="n">
        <v>0</v>
      </c>
      <c r="M190" s="1" t="n">
        <v>0</v>
      </c>
      <c r="N190" s="1" t="s">
        <v>190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0" t="n">
        <f aca="false">I190+0</f>
        <v>329.1</v>
      </c>
      <c r="AB190" s="0" t="n">
        <f aca="false">IF(Z190&gt;360,Z190-360,Z190+0)</f>
        <v>329.1</v>
      </c>
      <c r="AC190" s="1"/>
      <c r="AD190" s="1"/>
      <c r="AE190" s="1"/>
      <c r="AF190" s="1"/>
    </row>
    <row r="191" customFormat="false" ht="15.8" hidden="false" customHeight="false" outlineLevel="0" collapsed="false">
      <c r="A191" s="1" t="n">
        <v>10</v>
      </c>
      <c r="B191" s="1" t="n">
        <v>2</v>
      </c>
      <c r="C191" s="1" t="n">
        <v>4.4</v>
      </c>
      <c r="D191" s="1" t="n">
        <v>1.2974</v>
      </c>
      <c r="E191" s="1" t="n">
        <v>0.119473</v>
      </c>
      <c r="F191" s="1" t="n">
        <v>0.000259982</v>
      </c>
      <c r="G191" s="1" t="s">
        <v>27</v>
      </c>
      <c r="H191" s="1" t="n">
        <v>13.6</v>
      </c>
      <c r="I191" s="1" t="n">
        <v>350.3</v>
      </c>
      <c r="J191" s="1" t="n">
        <v>-6.3</v>
      </c>
      <c r="K191" s="1"/>
      <c r="L191" s="1" t="n">
        <v>0</v>
      </c>
      <c r="M191" s="1" t="n">
        <v>0</v>
      </c>
      <c r="N191" s="1" t="s">
        <v>190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0" t="n">
        <f aca="false">I191+0</f>
        <v>350.3</v>
      </c>
      <c r="AB191" s="0" t="n">
        <f aca="false">IF(Z191&gt;360,Z191-360,Z191+0)</f>
        <v>350.3</v>
      </c>
      <c r="AC191" s="1"/>
      <c r="AD191" s="1"/>
      <c r="AE191" s="1"/>
      <c r="AF191" s="1"/>
    </row>
    <row r="192" customFormat="false" ht="15.8" hidden="false" customHeight="false" outlineLevel="0" collapsed="false">
      <c r="A192" s="1" t="n">
        <v>10</v>
      </c>
      <c r="B192" s="1" t="n">
        <v>1</v>
      </c>
      <c r="C192" s="1" t="n">
        <v>9.2</v>
      </c>
      <c r="D192" s="1" t="n">
        <v>1.1742</v>
      </c>
      <c r="E192" s="1" t="n">
        <v>0.251709</v>
      </c>
      <c r="F192" s="1" t="n">
        <v>0.000547736</v>
      </c>
      <c r="G192" s="1" t="s">
        <v>52</v>
      </c>
      <c r="H192" s="1"/>
      <c r="I192" s="1" t="n">
        <v>340.1</v>
      </c>
      <c r="J192" s="1" t="n">
        <v>2.7</v>
      </c>
      <c r="K192" s="1" t="n">
        <v>155.6</v>
      </c>
      <c r="L192" s="1" t="n">
        <v>0</v>
      </c>
      <c r="M192" s="1" t="n">
        <v>0</v>
      </c>
      <c r="N192" s="1" t="s">
        <v>194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0" t="n">
        <f aca="false">I192+0</f>
        <v>340.1</v>
      </c>
      <c r="AB192" s="0" t="n">
        <f aca="false">IF(Z192&gt;360,Z192-360,Z192+0)</f>
        <v>340.1</v>
      </c>
      <c r="AC192" s="1"/>
      <c r="AD192" s="1"/>
      <c r="AE192" s="1"/>
      <c r="AF192" s="1"/>
    </row>
    <row r="193" customFormat="false" ht="15.8" hidden="false" customHeight="false" outlineLevel="0" collapsed="false">
      <c r="A193" s="1" t="n">
        <v>11</v>
      </c>
      <c r="B193" s="1" t="n">
        <v>6</v>
      </c>
      <c r="C193" s="1" t="n">
        <v>7</v>
      </c>
      <c r="D193" s="1" t="n">
        <v>1.4855</v>
      </c>
      <c r="E193" s="1" t="n">
        <v>0.190986</v>
      </c>
      <c r="F193" s="1" t="n">
        <v>0.0004156</v>
      </c>
      <c r="G193" s="1" t="s">
        <v>27</v>
      </c>
      <c r="H193" s="1" t="n">
        <v>14.1</v>
      </c>
      <c r="I193" s="1" t="n">
        <v>23.2</v>
      </c>
      <c r="J193" s="1" t="n">
        <v>-4.5</v>
      </c>
      <c r="K193" s="1"/>
      <c r="L193" s="1" t="n">
        <v>0</v>
      </c>
      <c r="M193" s="1" t="n">
        <v>0</v>
      </c>
      <c r="N193" s="1" t="s">
        <v>195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0" t="n">
        <f aca="false">I193+0</f>
        <v>23.2</v>
      </c>
      <c r="AB193" s="0" t="n">
        <f aca="false">IF(Z193&gt;360,Z193-360,Z193+0)</f>
        <v>23.2</v>
      </c>
      <c r="AC193" s="1"/>
      <c r="AD193" s="1"/>
      <c r="AE193" s="1"/>
      <c r="AF193" s="1"/>
    </row>
    <row r="194" customFormat="false" ht="15.8" hidden="false" customHeight="false" outlineLevel="0" collapsed="false">
      <c r="A194" s="1" t="n">
        <v>11</v>
      </c>
      <c r="B194" s="1" t="n">
        <v>6</v>
      </c>
      <c r="C194" s="1" t="n">
        <v>1.2</v>
      </c>
      <c r="D194" s="1" t="n">
        <v>1.2209</v>
      </c>
      <c r="E194" s="1" t="n">
        <v>0.0339746</v>
      </c>
      <c r="F194" s="1" t="n">
        <v>7.39312E-005</v>
      </c>
      <c r="G194" s="1" t="s">
        <v>27</v>
      </c>
      <c r="H194" s="1" t="n">
        <v>109.1</v>
      </c>
      <c r="I194" s="1" t="n">
        <v>120.3</v>
      </c>
      <c r="J194" s="1" t="n">
        <v>-21.3</v>
      </c>
      <c r="K194" s="1"/>
      <c r="L194" s="1" t="n">
        <v>0</v>
      </c>
      <c r="M194" s="1" t="n">
        <v>0</v>
      </c>
      <c r="N194" s="1" t="s">
        <v>195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0" t="n">
        <f aca="false">I194+0</f>
        <v>120.3</v>
      </c>
      <c r="AB194" s="0" t="n">
        <f aca="false">IF(Z194&gt;360,Z194-360,Z194+0)</f>
        <v>120.3</v>
      </c>
      <c r="AC194" s="1"/>
      <c r="AD194" s="1"/>
      <c r="AE194" s="1"/>
      <c r="AF194" s="1"/>
    </row>
    <row r="195" customFormat="false" ht="15.8" hidden="false" customHeight="false" outlineLevel="0" collapsed="false">
      <c r="A195" s="1" t="n">
        <v>11</v>
      </c>
      <c r="B195" s="1" t="n">
        <v>5</v>
      </c>
      <c r="C195" s="1" t="n">
        <v>0.5</v>
      </c>
      <c r="D195" s="1" t="n">
        <v>1.0013</v>
      </c>
      <c r="E195" s="1" t="n">
        <v>0.012578</v>
      </c>
      <c r="F195" s="1" t="n">
        <v>2.73705E-005</v>
      </c>
      <c r="G195" s="1" t="s">
        <v>52</v>
      </c>
      <c r="H195" s="1" t="n">
        <v>67.9</v>
      </c>
      <c r="I195" s="1" t="n">
        <v>9.8</v>
      </c>
      <c r="J195" s="1" t="n">
        <v>0</v>
      </c>
      <c r="K195" s="1" t="n">
        <v>109.1</v>
      </c>
      <c r="L195" s="1" t="n">
        <v>0</v>
      </c>
      <c r="M195" s="1" t="n">
        <v>0</v>
      </c>
      <c r="N195" s="1" t="s">
        <v>196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0" t="n">
        <f aca="false">I195+0</f>
        <v>9.8</v>
      </c>
      <c r="AB195" s="0" t="n">
        <f aca="false">IF(Z195&gt;360,Z195-360,Z195+0)</f>
        <v>9.8</v>
      </c>
      <c r="AC195" s="1"/>
      <c r="AD195" s="1"/>
      <c r="AE195" s="1"/>
      <c r="AF195" s="1"/>
    </row>
    <row r="196" customFormat="false" ht="15.8" hidden="false" customHeight="false" outlineLevel="0" collapsed="false">
      <c r="A196" s="1" t="n">
        <v>11</v>
      </c>
      <c r="B196" s="1" t="n">
        <v>6</v>
      </c>
      <c r="C196" s="1" t="n">
        <v>0.6</v>
      </c>
      <c r="D196" s="1" t="n">
        <v>1.0029</v>
      </c>
      <c r="E196" s="1" t="n">
        <v>0.0170563</v>
      </c>
      <c r="F196" s="1" t="n">
        <v>3.71157E-005</v>
      </c>
      <c r="G196" s="1" t="s">
        <v>27</v>
      </c>
      <c r="H196" s="1" t="n">
        <v>59</v>
      </c>
      <c r="I196" s="1" t="n">
        <v>83.6</v>
      </c>
      <c r="J196" s="1" t="n">
        <v>0</v>
      </c>
      <c r="K196" s="1"/>
      <c r="L196" s="1" t="n">
        <v>0</v>
      </c>
      <c r="M196" s="1" t="n">
        <v>0</v>
      </c>
      <c r="N196" s="1" t="s">
        <v>197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0" t="n">
        <f aca="false">I196+0</f>
        <v>83.6</v>
      </c>
      <c r="AB196" s="0" t="n">
        <f aca="false">IF(Z196&gt;360,Z196-360,Z196+0)</f>
        <v>83.6</v>
      </c>
      <c r="AC196" s="1"/>
      <c r="AD196" s="1"/>
      <c r="AE196" s="1"/>
      <c r="AF196" s="1"/>
    </row>
    <row r="197" customFormat="false" ht="15.8" hidden="false" customHeight="false" outlineLevel="0" collapsed="false">
      <c r="A197" s="1" t="n">
        <v>11</v>
      </c>
      <c r="B197" s="1" t="n">
        <v>6</v>
      </c>
      <c r="C197" s="1" t="n">
        <v>0.7</v>
      </c>
      <c r="D197" s="1" t="n">
        <v>1.1594</v>
      </c>
      <c r="E197" s="1" t="n">
        <v>0.0185528</v>
      </c>
      <c r="F197" s="1" t="n">
        <v>4.03721E-005</v>
      </c>
      <c r="G197" s="1" t="s">
        <v>27</v>
      </c>
      <c r="H197" s="1" t="n">
        <v>50.1</v>
      </c>
      <c r="I197" s="1" t="n">
        <v>176.7</v>
      </c>
      <c r="J197" s="1" t="n">
        <v>39.2</v>
      </c>
      <c r="K197" s="1"/>
      <c r="L197" s="1" t="n">
        <v>0</v>
      </c>
      <c r="M197" s="1" t="n">
        <v>0</v>
      </c>
      <c r="N197" s="1" t="s">
        <v>197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0" t="n">
        <f aca="false">I197+0</f>
        <v>176.7</v>
      </c>
      <c r="AB197" s="0" t="n">
        <f aca="false">IF(Z197&gt;360,Z197-360,Z197+0)</f>
        <v>176.7</v>
      </c>
      <c r="AC197" s="1"/>
      <c r="AD197" s="1"/>
      <c r="AE197" s="1"/>
      <c r="AF197" s="1"/>
    </row>
    <row r="198" customFormat="false" ht="15.8" hidden="false" customHeight="false" outlineLevel="0" collapsed="false">
      <c r="A198" s="1" t="n">
        <v>11</v>
      </c>
      <c r="B198" s="1" t="n">
        <v>5</v>
      </c>
      <c r="C198" s="1" t="n">
        <v>1.8</v>
      </c>
      <c r="D198" s="1" t="n">
        <v>1.4774</v>
      </c>
      <c r="E198" s="1" t="n">
        <v>0.0491634</v>
      </c>
      <c r="F198" s="1" t="n">
        <v>0.000106983</v>
      </c>
      <c r="G198" s="1" t="s">
        <v>52</v>
      </c>
      <c r="H198" s="1" t="n">
        <v>78.3</v>
      </c>
      <c r="I198" s="1" t="n">
        <v>142.6</v>
      </c>
      <c r="J198" s="1" t="n">
        <v>0</v>
      </c>
      <c r="K198" s="1" t="n">
        <v>59</v>
      </c>
      <c r="L198" s="1" t="n">
        <v>0</v>
      </c>
      <c r="M198" s="1" t="n">
        <v>0</v>
      </c>
      <c r="N198" s="1" t="s">
        <v>196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0" t="n">
        <f aca="false">I198+0</f>
        <v>142.6</v>
      </c>
      <c r="AB198" s="0" t="n">
        <f aca="false">IF(Z198&gt;360,Z198-360,Z198+0)</f>
        <v>142.6</v>
      </c>
      <c r="AC198" s="1"/>
      <c r="AD198" s="1"/>
      <c r="AE198" s="1"/>
      <c r="AF198" s="1"/>
    </row>
    <row r="199" customFormat="false" ht="15.8" hidden="false" customHeight="false" outlineLevel="0" collapsed="false">
      <c r="A199" s="1" t="n">
        <v>11</v>
      </c>
      <c r="B199" s="1" t="n">
        <v>4</v>
      </c>
      <c r="C199" s="1" t="n">
        <v>0.7</v>
      </c>
      <c r="D199" s="1" t="n">
        <v>1.3467</v>
      </c>
      <c r="E199" s="1" t="n">
        <v>0.0199071</v>
      </c>
      <c r="F199" s="1" t="n">
        <v>4.33193E-005</v>
      </c>
      <c r="G199" s="1" t="s">
        <v>52</v>
      </c>
      <c r="H199" s="1" t="n">
        <v>78.8</v>
      </c>
      <c r="I199" s="1" t="n">
        <v>68.8</v>
      </c>
      <c r="J199" s="1" t="n">
        <v>-43.2</v>
      </c>
      <c r="K199" s="1" t="n">
        <v>78.3</v>
      </c>
      <c r="L199" s="1" t="n">
        <v>0</v>
      </c>
      <c r="M199" s="1" t="n">
        <v>0</v>
      </c>
      <c r="N199" s="1" t="s">
        <v>198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0" t="n">
        <f aca="false">I199+0</f>
        <v>68.8</v>
      </c>
      <c r="AB199" s="0" t="n">
        <f aca="false">IF(Z199&gt;360,Z199-360,Z199+0)</f>
        <v>68.8</v>
      </c>
      <c r="AC199" s="1"/>
      <c r="AD199" s="1"/>
      <c r="AE199" s="1"/>
      <c r="AF199" s="1"/>
    </row>
    <row r="200" customFormat="false" ht="15.8" hidden="false" customHeight="false" outlineLevel="0" collapsed="false">
      <c r="A200" s="1" t="n">
        <v>11</v>
      </c>
      <c r="B200" s="1" t="n">
        <v>10</v>
      </c>
      <c r="C200" s="1" t="n">
        <v>2.4</v>
      </c>
      <c r="D200" s="1" t="n">
        <v>1.2772</v>
      </c>
      <c r="E200" s="1" t="n">
        <v>0.0682032</v>
      </c>
      <c r="F200" s="1" t="n">
        <v>0.000155593</v>
      </c>
      <c r="G200" s="1" t="s">
        <v>27</v>
      </c>
      <c r="H200" s="1" t="n">
        <v>63.8</v>
      </c>
      <c r="I200" s="1" t="n">
        <v>255.4</v>
      </c>
      <c r="J200" s="1" t="n">
        <v>52.6</v>
      </c>
      <c r="K200" s="1"/>
      <c r="L200" s="1" t="n">
        <v>0</v>
      </c>
      <c r="M200" s="1" t="n">
        <v>0</v>
      </c>
      <c r="N200" s="1" t="s">
        <v>199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0" t="n">
        <f aca="false">I200+0</f>
        <v>255.4</v>
      </c>
      <c r="AB200" s="0" t="n">
        <f aca="false">IF(Z200&gt;360,Z200-360,Z200+0)</f>
        <v>255.4</v>
      </c>
      <c r="AC200" s="1"/>
      <c r="AD200" s="1"/>
      <c r="AE200" s="1"/>
      <c r="AF200" s="1"/>
    </row>
    <row r="201" customFormat="false" ht="15.8" hidden="false" customHeight="false" outlineLevel="0" collapsed="false">
      <c r="A201" s="1" t="n">
        <v>11</v>
      </c>
      <c r="B201" s="1" t="n">
        <v>11</v>
      </c>
      <c r="C201" s="1" t="n">
        <v>0.6</v>
      </c>
      <c r="D201" s="1" t="n">
        <v>1.1474</v>
      </c>
      <c r="E201" s="1" t="n">
        <v>0.0173672</v>
      </c>
      <c r="F201" s="1" t="n">
        <v>3.95017E-005</v>
      </c>
      <c r="G201" s="1" t="s">
        <v>27</v>
      </c>
      <c r="H201" s="1" t="n">
        <v>11.9</v>
      </c>
      <c r="I201" s="1" t="n">
        <v>192.9</v>
      </c>
      <c r="J201" s="1" t="n">
        <v>0</v>
      </c>
      <c r="K201" s="1"/>
      <c r="L201" s="1" t="n">
        <v>0</v>
      </c>
      <c r="M201" s="1" t="n">
        <v>0</v>
      </c>
      <c r="N201" s="1" t="s">
        <v>200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0" t="n">
        <f aca="false">I201+0</f>
        <v>192.9</v>
      </c>
      <c r="AB201" s="0" t="n">
        <f aca="false">IF(Z201&gt;360,Z201-360,Z201+0)</f>
        <v>192.9</v>
      </c>
      <c r="AC201" s="1"/>
      <c r="AD201" s="1"/>
      <c r="AE201" s="1"/>
      <c r="AF201" s="1"/>
    </row>
    <row r="202" customFormat="false" ht="15.8" hidden="false" customHeight="false" outlineLevel="0" collapsed="false">
      <c r="A202" s="1" t="n">
        <v>11</v>
      </c>
      <c r="B202" s="1" t="n">
        <v>11</v>
      </c>
      <c r="C202" s="1" t="n">
        <v>0.6</v>
      </c>
      <c r="D202" s="1" t="n">
        <v>1.1431</v>
      </c>
      <c r="E202" s="1" t="n">
        <v>0.0182041</v>
      </c>
      <c r="F202" s="1" t="n">
        <v>4.10241E-005</v>
      </c>
      <c r="G202" s="1" t="s">
        <v>27</v>
      </c>
      <c r="H202" s="1" t="n">
        <v>92.8</v>
      </c>
      <c r="I202" s="1" t="n">
        <v>85.5</v>
      </c>
      <c r="J202" s="1" t="n">
        <v>-41.1</v>
      </c>
      <c r="K202" s="1"/>
      <c r="L202" s="1" t="n">
        <v>0</v>
      </c>
      <c r="M202" s="1" t="n">
        <v>0</v>
      </c>
      <c r="N202" s="1" t="s">
        <v>200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0" t="n">
        <f aca="false">I202+0</f>
        <v>85.5</v>
      </c>
      <c r="AB202" s="0" t="n">
        <f aca="false">IF(Z202&gt;360,Z202-360,Z202+0)</f>
        <v>85.5</v>
      </c>
      <c r="AC202" s="1"/>
      <c r="AD202" s="1"/>
      <c r="AE202" s="1"/>
      <c r="AF202" s="1"/>
    </row>
    <row r="203" customFormat="false" ht="15.8" hidden="false" customHeight="false" outlineLevel="0" collapsed="false">
      <c r="A203" s="1" t="n">
        <v>11</v>
      </c>
      <c r="B203" s="1" t="n">
        <v>10</v>
      </c>
      <c r="C203" s="1" t="n">
        <v>3.2</v>
      </c>
      <c r="D203" s="1" t="n">
        <v>1.6943</v>
      </c>
      <c r="E203" s="1" t="n">
        <v>0.0863814</v>
      </c>
      <c r="F203" s="1" t="n">
        <v>0.000187972</v>
      </c>
      <c r="G203" s="1" t="s">
        <v>52</v>
      </c>
      <c r="H203" s="1" t="n">
        <v>86.4</v>
      </c>
      <c r="I203" s="1" t="n">
        <v>189.6</v>
      </c>
      <c r="J203" s="1" t="n">
        <v>-11.4</v>
      </c>
      <c r="K203" s="1" t="n">
        <v>92.8</v>
      </c>
      <c r="L203" s="1" t="n">
        <v>0</v>
      </c>
      <c r="M203" s="1" t="n">
        <v>0</v>
      </c>
      <c r="N203" s="1" t="s">
        <v>199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0" t="n">
        <f aca="false">I203+0</f>
        <v>189.6</v>
      </c>
      <c r="AB203" s="0" t="n">
        <f aca="false">IF(Z203&gt;360,Z203-360,Z203+0)</f>
        <v>189.6</v>
      </c>
      <c r="AC203" s="1"/>
      <c r="AD203" s="1"/>
      <c r="AE203" s="1"/>
      <c r="AF203" s="1"/>
    </row>
    <row r="204" customFormat="false" ht="15.8" hidden="false" customHeight="false" outlineLevel="0" collapsed="false">
      <c r="A204" s="1" t="n">
        <v>11</v>
      </c>
      <c r="B204" s="1" t="n">
        <v>11</v>
      </c>
      <c r="C204" s="1" t="n">
        <v>0.7</v>
      </c>
      <c r="D204" s="1" t="n">
        <v>1.2586</v>
      </c>
      <c r="E204" s="1" t="n">
        <v>0.0178761</v>
      </c>
      <c r="F204" s="1" t="n">
        <v>3.88996E-005</v>
      </c>
      <c r="G204" s="1" t="s">
        <v>27</v>
      </c>
      <c r="H204" s="1" t="n">
        <v>53.1</v>
      </c>
      <c r="I204" s="1" t="n">
        <v>33.3</v>
      </c>
      <c r="J204" s="1" t="n">
        <v>-45.4</v>
      </c>
      <c r="K204" s="1"/>
      <c r="L204" s="1" t="n">
        <v>0</v>
      </c>
      <c r="M204" s="1" t="n">
        <v>0</v>
      </c>
      <c r="N204" s="1" t="s">
        <v>201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0" t="n">
        <f aca="false">I204+0</f>
        <v>33.3</v>
      </c>
      <c r="AB204" s="0" t="n">
        <f aca="false">IF(Z204&gt;360,Z204-360,Z204+0)</f>
        <v>33.3</v>
      </c>
      <c r="AC204" s="1"/>
      <c r="AD204" s="1"/>
      <c r="AE204" s="1"/>
      <c r="AF204" s="1"/>
    </row>
    <row r="205" customFormat="false" ht="15.8" hidden="false" customHeight="false" outlineLevel="0" collapsed="false">
      <c r="A205" s="1" t="n">
        <v>11</v>
      </c>
      <c r="B205" s="1" t="n">
        <v>11</v>
      </c>
      <c r="C205" s="1" t="n">
        <v>0.3</v>
      </c>
      <c r="D205" s="1" t="n">
        <v>1</v>
      </c>
      <c r="E205" s="1" t="n">
        <v>0.00812411</v>
      </c>
      <c r="F205" s="1" t="n">
        <v>1.76786E-005</v>
      </c>
      <c r="G205" s="1" t="s">
        <v>27</v>
      </c>
      <c r="H205" s="1" t="n">
        <v>106.6</v>
      </c>
      <c r="I205" s="1" t="n">
        <v>265</v>
      </c>
      <c r="J205" s="1" t="n">
        <v>0</v>
      </c>
      <c r="K205" s="1"/>
      <c r="L205" s="1" t="n">
        <v>0</v>
      </c>
      <c r="M205" s="1" t="n">
        <v>0</v>
      </c>
      <c r="N205" s="1" t="s">
        <v>201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0" t="n">
        <f aca="false">I205+0</f>
        <v>265</v>
      </c>
      <c r="AB205" s="0" t="n">
        <f aca="false">IF(Z205&gt;360,Z205-360,Z205+0)</f>
        <v>265</v>
      </c>
      <c r="AC205" s="1"/>
      <c r="AD205" s="1"/>
      <c r="AE205" s="1"/>
      <c r="AF205" s="1"/>
    </row>
    <row r="206" customFormat="false" ht="15.8" hidden="false" customHeight="false" outlineLevel="0" collapsed="false">
      <c r="A206" s="1" t="n">
        <v>11</v>
      </c>
      <c r="B206" s="1" t="n">
        <v>10</v>
      </c>
      <c r="C206" s="1" t="n">
        <v>6.5</v>
      </c>
      <c r="D206" s="1" t="n">
        <v>1.2529</v>
      </c>
      <c r="E206" s="1" t="n">
        <v>0.178824</v>
      </c>
      <c r="F206" s="1" t="n">
        <v>0.000389133</v>
      </c>
      <c r="G206" s="1" t="s">
        <v>52</v>
      </c>
      <c r="H206" s="1" t="n">
        <v>99</v>
      </c>
      <c r="I206" s="1" t="n">
        <v>11.6</v>
      </c>
      <c r="J206" s="1" t="n">
        <v>4.1</v>
      </c>
      <c r="K206" s="1" t="n">
        <v>106.6</v>
      </c>
      <c r="L206" s="1" t="n">
        <v>0</v>
      </c>
      <c r="M206" s="1" t="n">
        <v>0</v>
      </c>
      <c r="N206" s="1" t="s">
        <v>199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0" t="n">
        <f aca="false">I206+0</f>
        <v>11.6</v>
      </c>
      <c r="AB206" s="0" t="n">
        <f aca="false">IF(Z206&gt;360,Z206-360,Z206+0)</f>
        <v>11.6</v>
      </c>
      <c r="AC206" s="1"/>
      <c r="AD206" s="1"/>
      <c r="AE206" s="1"/>
      <c r="AF206" s="1"/>
    </row>
    <row r="207" customFormat="false" ht="15.8" hidden="false" customHeight="false" outlineLevel="0" collapsed="false">
      <c r="A207" s="1" t="n">
        <v>11</v>
      </c>
      <c r="B207" s="1" t="n">
        <v>9</v>
      </c>
      <c r="C207" s="1" t="n">
        <v>1.4</v>
      </c>
      <c r="D207" s="1" t="n">
        <v>1.0159</v>
      </c>
      <c r="E207" s="1" t="n">
        <v>0.0370398</v>
      </c>
      <c r="F207" s="1" t="n">
        <v>8.06013E-005</v>
      </c>
      <c r="G207" s="1" t="s">
        <v>52</v>
      </c>
      <c r="H207" s="1" t="n">
        <v>82.2</v>
      </c>
      <c r="I207" s="1" t="n">
        <v>124.4</v>
      </c>
      <c r="J207" s="1" t="n">
        <v>56.4</v>
      </c>
      <c r="K207" s="1" t="n">
        <v>99</v>
      </c>
      <c r="L207" s="1" t="n">
        <v>0</v>
      </c>
      <c r="M207" s="1" t="n">
        <v>0</v>
      </c>
      <c r="N207" s="1" t="s">
        <v>202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0" t="n">
        <f aca="false">I207+0</f>
        <v>124.4</v>
      </c>
      <c r="AB207" s="0" t="n">
        <f aca="false">IF(Z207&gt;360,Z207-360,Z207+0)</f>
        <v>124.4</v>
      </c>
      <c r="AC207" s="1"/>
      <c r="AD207" s="1"/>
      <c r="AE207" s="1"/>
      <c r="AF207" s="1"/>
    </row>
    <row r="208" customFormat="false" ht="15.8" hidden="false" customHeight="false" outlineLevel="0" collapsed="false">
      <c r="A208" s="1" t="n">
        <v>11</v>
      </c>
      <c r="B208" s="1" t="n">
        <v>10</v>
      </c>
      <c r="C208" s="1" t="n">
        <v>1.3</v>
      </c>
      <c r="D208" s="1" t="n">
        <v>1.027</v>
      </c>
      <c r="E208" s="1" t="n">
        <v>0.0341999</v>
      </c>
      <c r="F208" s="1" t="n">
        <v>7.44213E-005</v>
      </c>
      <c r="G208" s="1" t="s">
        <v>27</v>
      </c>
      <c r="H208" s="1" t="n">
        <v>36</v>
      </c>
      <c r="I208" s="1" t="n">
        <v>350.5</v>
      </c>
      <c r="J208" s="1" t="n">
        <v>0</v>
      </c>
      <c r="K208" s="1"/>
      <c r="L208" s="1" t="n">
        <v>0</v>
      </c>
      <c r="M208" s="1" t="n">
        <v>0</v>
      </c>
      <c r="N208" s="1" t="s">
        <v>203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0" t="n">
        <f aca="false">I208+0</f>
        <v>350.5</v>
      </c>
      <c r="AB208" s="0" t="n">
        <f aca="false">IF(Z208&gt;360,Z208-360,Z208+0)</f>
        <v>350.5</v>
      </c>
      <c r="AC208" s="1"/>
      <c r="AD208" s="1"/>
      <c r="AE208" s="1"/>
      <c r="AF208" s="1"/>
    </row>
    <row r="209" customFormat="false" ht="15.8" hidden="false" customHeight="false" outlineLevel="0" collapsed="false">
      <c r="A209" s="1" t="n">
        <v>11</v>
      </c>
      <c r="B209" s="1" t="n">
        <v>10</v>
      </c>
      <c r="C209" s="1" t="n">
        <v>0.6</v>
      </c>
      <c r="D209" s="1" t="n">
        <v>1.0486</v>
      </c>
      <c r="E209" s="1" t="n">
        <v>0.0150794</v>
      </c>
      <c r="F209" s="1" t="n">
        <v>3.28138E-005</v>
      </c>
      <c r="G209" s="1" t="s">
        <v>27</v>
      </c>
      <c r="H209" s="1" t="n">
        <v>56.2</v>
      </c>
      <c r="I209" s="1" t="n">
        <v>77.6</v>
      </c>
      <c r="J209" s="1" t="n">
        <v>0</v>
      </c>
      <c r="K209" s="1"/>
      <c r="L209" s="1" t="n">
        <v>0</v>
      </c>
      <c r="M209" s="1" t="n">
        <v>0</v>
      </c>
      <c r="N209" s="1" t="s">
        <v>203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0" t="n">
        <f aca="false">I209+0</f>
        <v>77.6</v>
      </c>
      <c r="AB209" s="0" t="n">
        <f aca="false">IF(Z209&gt;360,Z209-360,Z209+0)</f>
        <v>77.6</v>
      </c>
      <c r="AC209" s="1"/>
      <c r="AD209" s="1"/>
      <c r="AE209" s="1"/>
      <c r="AF209" s="1"/>
    </row>
    <row r="210" customFormat="false" ht="15.8" hidden="false" customHeight="false" outlineLevel="0" collapsed="false">
      <c r="A210" s="1" t="n">
        <v>11</v>
      </c>
      <c r="B210" s="1" t="n">
        <v>9</v>
      </c>
      <c r="C210" s="1" t="n">
        <v>1.6</v>
      </c>
      <c r="D210" s="1" t="n">
        <v>1.2076</v>
      </c>
      <c r="E210" s="1" t="n">
        <v>0.0432352</v>
      </c>
      <c r="F210" s="1" t="n">
        <v>9.40827E-005</v>
      </c>
      <c r="G210" s="1" t="s">
        <v>52</v>
      </c>
      <c r="H210" s="1" t="n">
        <v>30.1</v>
      </c>
      <c r="I210" s="1" t="n">
        <v>23</v>
      </c>
      <c r="J210" s="1" t="n">
        <v>16.4</v>
      </c>
      <c r="K210" s="1" t="n">
        <v>56.2</v>
      </c>
      <c r="L210" s="1" t="n">
        <v>0</v>
      </c>
      <c r="M210" s="1" t="n">
        <v>0</v>
      </c>
      <c r="N210" s="1" t="s">
        <v>202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0" t="n">
        <f aca="false">I210+0</f>
        <v>23</v>
      </c>
      <c r="AB210" s="0" t="n">
        <f aca="false">IF(Z210&gt;360,Z210-360,Z210+0)</f>
        <v>23</v>
      </c>
      <c r="AC210" s="1"/>
      <c r="AD210" s="1"/>
      <c r="AE210" s="1"/>
      <c r="AF210" s="1"/>
    </row>
    <row r="211" customFormat="false" ht="15.8" hidden="false" customHeight="false" outlineLevel="0" collapsed="false">
      <c r="A211" s="1" t="n">
        <v>11</v>
      </c>
      <c r="B211" s="1" t="n">
        <v>8</v>
      </c>
      <c r="C211" s="1" t="n">
        <v>1.4</v>
      </c>
      <c r="D211" s="1" t="n">
        <v>1.0967</v>
      </c>
      <c r="E211" s="1" t="n">
        <v>0.0395403</v>
      </c>
      <c r="F211" s="1" t="n">
        <v>8.60424E-005</v>
      </c>
      <c r="G211" s="1" t="s">
        <v>52</v>
      </c>
      <c r="H211" s="1" t="n">
        <v>43.5</v>
      </c>
      <c r="I211" s="1" t="n">
        <v>48.6</v>
      </c>
      <c r="J211" s="1" t="n">
        <v>0</v>
      </c>
      <c r="K211" s="1" t="n">
        <v>82.2</v>
      </c>
      <c r="L211" s="1" t="n">
        <v>0</v>
      </c>
      <c r="M211" s="1" t="n">
        <v>0</v>
      </c>
      <c r="N211" s="1" t="s">
        <v>204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0" t="n">
        <f aca="false">I211+0</f>
        <v>48.6</v>
      </c>
      <c r="AB211" s="0" t="n">
        <f aca="false">IF(Z211&gt;360,Z211-360,Z211+0)</f>
        <v>48.6</v>
      </c>
      <c r="AC211" s="1"/>
      <c r="AD211" s="1"/>
      <c r="AE211" s="1"/>
      <c r="AF211" s="1"/>
    </row>
    <row r="212" customFormat="false" ht="15.8" hidden="false" customHeight="false" outlineLevel="0" collapsed="false">
      <c r="A212" s="1" t="n">
        <v>11</v>
      </c>
      <c r="B212" s="1" t="n">
        <v>8</v>
      </c>
      <c r="C212" s="1" t="n">
        <v>0.7</v>
      </c>
      <c r="D212" s="1" t="n">
        <v>1.1159</v>
      </c>
      <c r="E212" s="1" t="n">
        <v>0.0185103</v>
      </c>
      <c r="F212" s="1" t="n">
        <v>4.02798E-005</v>
      </c>
      <c r="G212" s="1" t="s">
        <v>27</v>
      </c>
      <c r="H212" s="1" t="n">
        <v>110.9</v>
      </c>
      <c r="I212" s="1" t="n">
        <v>312.1</v>
      </c>
      <c r="J212" s="1" t="n">
        <v>37.6</v>
      </c>
      <c r="K212" s="1"/>
      <c r="L212" s="1" t="n">
        <v>0</v>
      </c>
      <c r="M212" s="1" t="n">
        <v>0</v>
      </c>
      <c r="N212" s="1" t="s">
        <v>204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0" t="n">
        <f aca="false">I212+0</f>
        <v>312.1</v>
      </c>
      <c r="AB212" s="0" t="n">
        <f aca="false">IF(Z212&gt;360,Z212-360,Z212+0)</f>
        <v>312.1</v>
      </c>
      <c r="AC212" s="1"/>
      <c r="AD212" s="1"/>
      <c r="AE212" s="1"/>
      <c r="AF212" s="1"/>
    </row>
    <row r="213" customFormat="false" ht="15.8" hidden="false" customHeight="false" outlineLevel="0" collapsed="false">
      <c r="A213" s="1" t="n">
        <v>11</v>
      </c>
      <c r="B213" s="1" t="n">
        <v>7</v>
      </c>
      <c r="C213" s="1" t="n">
        <v>3.3</v>
      </c>
      <c r="D213" s="1" t="n">
        <v>1.3983</v>
      </c>
      <c r="E213" s="1" t="n">
        <v>0.0901757</v>
      </c>
      <c r="F213" s="1" t="n">
        <v>0.000196229</v>
      </c>
      <c r="G213" s="1" t="s">
        <v>52</v>
      </c>
      <c r="H213" s="1" t="n">
        <v>96.3</v>
      </c>
      <c r="I213" s="1" t="n">
        <v>88.8</v>
      </c>
      <c r="J213" s="1" t="n">
        <v>18.3</v>
      </c>
      <c r="K213" s="1" t="n">
        <v>110.9</v>
      </c>
      <c r="L213" s="1" t="n">
        <v>0</v>
      </c>
      <c r="M213" s="1" t="n">
        <v>0</v>
      </c>
      <c r="N213" s="1" t="s">
        <v>205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0" t="n">
        <f aca="false">I213+0</f>
        <v>88.8</v>
      </c>
      <c r="AB213" s="0" t="n">
        <f aca="false">IF(Z213&gt;360,Z213-360,Z213+0)</f>
        <v>88.8</v>
      </c>
      <c r="AC213" s="1"/>
      <c r="AD213" s="1"/>
      <c r="AE213" s="1"/>
      <c r="AF213" s="1"/>
    </row>
    <row r="214" customFormat="false" ht="15.8" hidden="false" customHeight="false" outlineLevel="0" collapsed="false">
      <c r="A214" s="1" t="n">
        <v>11</v>
      </c>
      <c r="B214" s="1" t="n">
        <v>16</v>
      </c>
      <c r="C214" s="1" t="n">
        <v>0.9</v>
      </c>
      <c r="D214" s="1" t="n">
        <v>1.105</v>
      </c>
      <c r="E214" s="1" t="n">
        <v>0.0259632</v>
      </c>
      <c r="F214" s="1" t="n">
        <v>5.64977E-005</v>
      </c>
      <c r="G214" s="1" t="s">
        <v>27</v>
      </c>
      <c r="H214" s="1" t="n">
        <v>21.3</v>
      </c>
      <c r="I214" s="1" t="n">
        <v>274.6</v>
      </c>
      <c r="J214" s="1" t="n">
        <v>-59.5</v>
      </c>
      <c r="K214" s="1"/>
      <c r="L214" s="1" t="n">
        <v>0</v>
      </c>
      <c r="M214" s="1" t="n">
        <v>0</v>
      </c>
      <c r="N214" s="1" t="s">
        <v>206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0" t="n">
        <f aca="false">I214+0</f>
        <v>274.6</v>
      </c>
      <c r="AB214" s="0" t="n">
        <f aca="false">IF(Z214&gt;360,Z214-360,Z214+0)</f>
        <v>274.6</v>
      </c>
      <c r="AC214" s="1"/>
      <c r="AD214" s="1"/>
      <c r="AE214" s="1"/>
      <c r="AF214" s="1"/>
    </row>
    <row r="215" customFormat="false" ht="15.8" hidden="false" customHeight="false" outlineLevel="0" collapsed="false">
      <c r="A215" s="1" t="n">
        <v>11</v>
      </c>
      <c r="B215" s="1" t="n">
        <v>16</v>
      </c>
      <c r="C215" s="1" t="n">
        <v>0.4</v>
      </c>
      <c r="D215" s="1" t="n">
        <v>1.0075</v>
      </c>
      <c r="E215" s="1" t="n">
        <v>0.0100056</v>
      </c>
      <c r="F215" s="1" t="n">
        <v>2.17729E-005</v>
      </c>
      <c r="G215" s="1" t="s">
        <v>27</v>
      </c>
      <c r="H215" s="1" t="n">
        <v>49.4</v>
      </c>
      <c r="I215" s="1" t="n">
        <v>226</v>
      </c>
      <c r="J215" s="1" t="n">
        <v>0</v>
      </c>
      <c r="K215" s="1"/>
      <c r="L215" s="1" t="n">
        <v>0</v>
      </c>
      <c r="M215" s="1" t="n">
        <v>0</v>
      </c>
      <c r="N215" s="1" t="s">
        <v>206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0" t="n">
        <f aca="false">I215+0</f>
        <v>226</v>
      </c>
      <c r="AB215" s="0" t="n">
        <f aca="false">IF(Z215&gt;360,Z215-360,Z215+0)</f>
        <v>226</v>
      </c>
      <c r="AC215" s="1"/>
      <c r="AD215" s="1"/>
      <c r="AE215" s="1"/>
      <c r="AF215" s="1"/>
    </row>
    <row r="216" customFormat="false" ht="15.8" hidden="false" customHeight="false" outlineLevel="0" collapsed="false">
      <c r="A216" s="1" t="n">
        <v>11</v>
      </c>
      <c r="B216" s="1" t="n">
        <v>15</v>
      </c>
      <c r="C216" s="1" t="n">
        <v>2.8</v>
      </c>
      <c r="D216" s="1" t="n">
        <v>1.2723</v>
      </c>
      <c r="E216" s="1" t="n">
        <v>0.0771669</v>
      </c>
      <c r="F216" s="1" t="n">
        <v>0.000167921</v>
      </c>
      <c r="G216" s="1" t="s">
        <v>52</v>
      </c>
      <c r="H216" s="1" t="n">
        <v>52.5</v>
      </c>
      <c r="I216" s="1" t="n">
        <v>255.1</v>
      </c>
      <c r="J216" s="1" t="n">
        <v>-41.9</v>
      </c>
      <c r="K216" s="1" t="n">
        <v>49.4</v>
      </c>
      <c r="L216" s="1" t="n">
        <v>0</v>
      </c>
      <c r="M216" s="1" t="n">
        <v>0</v>
      </c>
      <c r="N216" s="1" t="s">
        <v>207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0" t="n">
        <f aca="false">I216+0</f>
        <v>255.1</v>
      </c>
      <c r="AB216" s="0" t="n">
        <f aca="false">IF(Z216&gt;360,Z216-360,Z216+0)</f>
        <v>255.1</v>
      </c>
      <c r="AC216" s="1"/>
      <c r="AD216" s="1"/>
      <c r="AE216" s="1"/>
      <c r="AF216" s="1"/>
    </row>
    <row r="217" customFormat="false" ht="15.8" hidden="false" customHeight="false" outlineLevel="0" collapsed="false">
      <c r="A217" s="1" t="n">
        <v>11</v>
      </c>
      <c r="B217" s="1" t="n">
        <v>15</v>
      </c>
      <c r="C217" s="1" t="n">
        <v>0.4</v>
      </c>
      <c r="D217" s="1" t="n">
        <v>1.0111</v>
      </c>
      <c r="E217" s="1" t="n">
        <v>0.0119315</v>
      </c>
      <c r="F217" s="1" t="n">
        <v>2.59638E-005</v>
      </c>
      <c r="G217" s="1" t="s">
        <v>27</v>
      </c>
      <c r="H217" s="1" t="n">
        <v>89.1</v>
      </c>
      <c r="I217" s="1" t="n">
        <v>41.7</v>
      </c>
      <c r="J217" s="1" t="n">
        <v>0</v>
      </c>
      <c r="K217" s="1"/>
      <c r="L217" s="1" t="n">
        <v>0</v>
      </c>
      <c r="M217" s="1" t="n">
        <v>0</v>
      </c>
      <c r="N217" s="1" t="s">
        <v>207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0" t="n">
        <f aca="false">I217+0</f>
        <v>41.7</v>
      </c>
      <c r="AB217" s="0" t="n">
        <f aca="false">IF(Z217&gt;360,Z217-360,Z217+0)</f>
        <v>41.7</v>
      </c>
      <c r="AC217" s="1"/>
      <c r="AD217" s="1"/>
      <c r="AE217" s="1"/>
      <c r="AF217" s="1"/>
    </row>
    <row r="218" customFormat="false" ht="15.8" hidden="false" customHeight="false" outlineLevel="0" collapsed="false">
      <c r="A218" s="1" t="n">
        <v>11</v>
      </c>
      <c r="B218" s="1" t="n">
        <v>14</v>
      </c>
      <c r="C218" s="1" t="n">
        <v>1.3</v>
      </c>
      <c r="D218" s="1" t="n">
        <v>1.2489</v>
      </c>
      <c r="E218" s="1" t="n">
        <v>0.035793</v>
      </c>
      <c r="F218" s="1" t="n">
        <v>7.78881E-005</v>
      </c>
      <c r="G218" s="1" t="s">
        <v>52</v>
      </c>
      <c r="H218" s="1" t="n">
        <v>21.4</v>
      </c>
      <c r="I218" s="1" t="n">
        <v>312.7</v>
      </c>
      <c r="J218" s="1" t="n">
        <v>-20.7</v>
      </c>
      <c r="K218" s="1" t="n">
        <v>89.1</v>
      </c>
      <c r="L218" s="1" t="n">
        <v>0</v>
      </c>
      <c r="M218" s="1" t="n">
        <v>0</v>
      </c>
      <c r="N218" s="1" t="s">
        <v>208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0" t="n">
        <f aca="false">I218+0</f>
        <v>312.7</v>
      </c>
      <c r="AB218" s="0" t="n">
        <f aca="false">IF(Z218&gt;360,Z218-360,Z218+0)</f>
        <v>312.7</v>
      </c>
      <c r="AC218" s="1"/>
      <c r="AD218" s="1"/>
      <c r="AE218" s="1"/>
      <c r="AF218" s="1"/>
    </row>
    <row r="219" customFormat="false" ht="15.8" hidden="false" customHeight="false" outlineLevel="0" collapsed="false">
      <c r="A219" s="1" t="n">
        <v>11</v>
      </c>
      <c r="B219" s="1" t="n">
        <v>15</v>
      </c>
      <c r="C219" s="1" t="n">
        <v>2.1</v>
      </c>
      <c r="D219" s="1" t="n">
        <v>1.1398</v>
      </c>
      <c r="E219" s="1" t="n">
        <v>0.0581065</v>
      </c>
      <c r="F219" s="1" t="n">
        <v>0.000126444</v>
      </c>
      <c r="G219" s="1" t="s">
        <v>27</v>
      </c>
      <c r="H219" s="1" t="n">
        <v>37.8</v>
      </c>
      <c r="I219" s="1" t="n">
        <v>345.1</v>
      </c>
      <c r="J219" s="1" t="n">
        <v>0</v>
      </c>
      <c r="K219" s="1"/>
      <c r="L219" s="1" t="n">
        <v>0</v>
      </c>
      <c r="M219" s="1" t="n">
        <v>0</v>
      </c>
      <c r="N219" s="1" t="s">
        <v>209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0" t="n">
        <f aca="false">I219+0</f>
        <v>345.1</v>
      </c>
      <c r="AB219" s="0" t="n">
        <f aca="false">IF(Z219&gt;360,Z219-360,Z219+0)</f>
        <v>345.1</v>
      </c>
      <c r="AC219" s="1"/>
      <c r="AD219" s="1"/>
      <c r="AE219" s="1"/>
      <c r="AF219" s="1"/>
    </row>
    <row r="220" customFormat="false" ht="15.8" hidden="false" customHeight="false" outlineLevel="0" collapsed="false">
      <c r="A220" s="1" t="n">
        <v>11</v>
      </c>
      <c r="B220" s="1" t="n">
        <v>18</v>
      </c>
      <c r="C220" s="1" t="n">
        <v>3.4</v>
      </c>
      <c r="D220" s="1" t="n">
        <v>1.2694</v>
      </c>
      <c r="E220" s="1" t="n">
        <v>0.0935317</v>
      </c>
      <c r="F220" s="1" t="n">
        <v>0.000203532</v>
      </c>
      <c r="G220" s="1" t="s">
        <v>27</v>
      </c>
      <c r="H220" s="1" t="n">
        <v>105.1</v>
      </c>
      <c r="I220" s="1" t="n">
        <v>1.2</v>
      </c>
      <c r="J220" s="1" t="n">
        <v>24.3</v>
      </c>
      <c r="K220" s="1"/>
      <c r="L220" s="1" t="n">
        <v>0</v>
      </c>
      <c r="M220" s="1" t="n">
        <v>0</v>
      </c>
      <c r="N220" s="1" t="s">
        <v>210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0" t="n">
        <f aca="false">I220+0</f>
        <v>1.2</v>
      </c>
      <c r="AB220" s="0" t="n">
        <f aca="false">IF(Z220&gt;360,Z220-360,Z220+0)</f>
        <v>1.2</v>
      </c>
      <c r="AC220" s="1"/>
      <c r="AD220" s="1"/>
      <c r="AE220" s="1"/>
      <c r="AF220" s="1"/>
    </row>
    <row r="221" customFormat="false" ht="15.8" hidden="false" customHeight="false" outlineLevel="0" collapsed="false">
      <c r="A221" s="1" t="n">
        <v>11</v>
      </c>
      <c r="B221" s="1" t="n">
        <v>20</v>
      </c>
      <c r="C221" s="1" t="n">
        <v>3.7</v>
      </c>
      <c r="D221" s="1" t="n">
        <v>1.3283</v>
      </c>
      <c r="E221" s="1" t="n">
        <v>0.100776</v>
      </c>
      <c r="F221" s="1" t="n">
        <v>0.000219297</v>
      </c>
      <c r="G221" s="1" t="s">
        <v>27</v>
      </c>
      <c r="H221" s="1" t="n">
        <v>39.7</v>
      </c>
      <c r="I221" s="1" t="n">
        <v>189.4</v>
      </c>
      <c r="J221" s="1" t="n">
        <v>-32.2</v>
      </c>
      <c r="K221" s="1"/>
      <c r="L221" s="1" t="n">
        <v>0</v>
      </c>
      <c r="M221" s="1" t="n">
        <v>0</v>
      </c>
      <c r="N221" s="1" t="s">
        <v>211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0" t="n">
        <f aca="false">I221+0</f>
        <v>189.4</v>
      </c>
      <c r="AB221" s="0" t="n">
        <f aca="false">IF(Z221&gt;360,Z221-360,Z221+0)</f>
        <v>189.4</v>
      </c>
      <c r="AC221" s="1"/>
      <c r="AD221" s="1"/>
      <c r="AE221" s="1"/>
      <c r="AF221" s="1"/>
    </row>
    <row r="222" customFormat="false" ht="15.8" hidden="false" customHeight="false" outlineLevel="0" collapsed="false">
      <c r="A222" s="1" t="n">
        <v>11</v>
      </c>
      <c r="B222" s="1" t="n">
        <v>20</v>
      </c>
      <c r="C222" s="1" t="n">
        <v>0.6</v>
      </c>
      <c r="D222" s="1" t="n">
        <v>1.0007</v>
      </c>
      <c r="E222" s="1" t="n">
        <v>0.0162117</v>
      </c>
      <c r="F222" s="1" t="n">
        <v>3.52778E-005</v>
      </c>
      <c r="G222" s="1" t="s">
        <v>27</v>
      </c>
      <c r="H222" s="1" t="n">
        <v>85</v>
      </c>
      <c r="I222" s="1" t="n">
        <v>79.8</v>
      </c>
      <c r="J222" s="1" t="n">
        <v>0</v>
      </c>
      <c r="K222" s="1"/>
      <c r="L222" s="1" t="n">
        <v>0</v>
      </c>
      <c r="M222" s="1" t="n">
        <v>0</v>
      </c>
      <c r="N222" s="1" t="s">
        <v>211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0" t="n">
        <f aca="false">I222+0</f>
        <v>79.8</v>
      </c>
      <c r="AB222" s="0" t="n">
        <f aca="false">IF(Z222&gt;360,Z222-360,Z222+0)</f>
        <v>79.8</v>
      </c>
      <c r="AC222" s="1"/>
      <c r="AD222" s="1"/>
      <c r="AE222" s="1"/>
      <c r="AF222" s="1"/>
    </row>
    <row r="223" customFormat="false" ht="15.8" hidden="false" customHeight="false" outlineLevel="0" collapsed="false">
      <c r="A223" s="1" t="n">
        <v>11</v>
      </c>
      <c r="B223" s="1" t="n">
        <v>19</v>
      </c>
      <c r="C223" s="1" t="n">
        <v>1.7</v>
      </c>
      <c r="D223" s="1" t="n">
        <v>1.0083</v>
      </c>
      <c r="E223" s="1" t="n">
        <v>0.0459926</v>
      </c>
      <c r="F223" s="1" t="n">
        <v>0.000100083</v>
      </c>
      <c r="G223" s="1" t="s">
        <v>52</v>
      </c>
      <c r="H223" s="1" t="n">
        <v>43.8</v>
      </c>
      <c r="I223" s="1" t="n">
        <v>164.9</v>
      </c>
      <c r="J223" s="1" t="n">
        <v>0</v>
      </c>
      <c r="K223" s="1" t="n">
        <v>85</v>
      </c>
      <c r="L223" s="1" t="n">
        <v>0</v>
      </c>
      <c r="M223" s="1" t="n">
        <v>0</v>
      </c>
      <c r="N223" s="1" t="s">
        <v>212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0" t="n">
        <f aca="false">I223+0</f>
        <v>164.9</v>
      </c>
      <c r="AB223" s="0" t="n">
        <f aca="false">IF(Z223&gt;360,Z223-360,Z223+0)</f>
        <v>164.9</v>
      </c>
      <c r="AC223" s="1"/>
      <c r="AD223" s="1"/>
      <c r="AE223" s="1"/>
      <c r="AF223" s="1"/>
    </row>
    <row r="224" customFormat="false" ht="15.8" hidden="false" customHeight="false" outlineLevel="0" collapsed="false">
      <c r="A224" s="1" t="n">
        <v>11</v>
      </c>
      <c r="B224" s="1" t="n">
        <v>19</v>
      </c>
      <c r="C224" s="1" t="n">
        <v>0.9</v>
      </c>
      <c r="D224" s="1" t="n">
        <v>1.2167</v>
      </c>
      <c r="E224" s="1" t="n">
        <v>0.0252249</v>
      </c>
      <c r="F224" s="1" t="n">
        <v>5.48912E-005</v>
      </c>
      <c r="G224" s="1" t="s">
        <v>27</v>
      </c>
      <c r="H224" s="1" t="n">
        <v>93</v>
      </c>
      <c r="I224" s="1" t="n">
        <v>35.4</v>
      </c>
      <c r="J224" s="1" t="n">
        <v>29.2</v>
      </c>
      <c r="K224" s="1"/>
      <c r="L224" s="1" t="n">
        <v>0</v>
      </c>
      <c r="M224" s="1" t="n">
        <v>0</v>
      </c>
      <c r="N224" s="1" t="s">
        <v>212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0" t="n">
        <f aca="false">I224+0</f>
        <v>35.4</v>
      </c>
      <c r="AB224" s="0" t="n">
        <f aca="false">IF(Z224&gt;360,Z224-360,Z224+0)</f>
        <v>35.4</v>
      </c>
      <c r="AC224" s="1"/>
      <c r="AD224" s="1"/>
      <c r="AE224" s="1"/>
      <c r="AF224" s="1"/>
    </row>
    <row r="225" customFormat="false" ht="15.8" hidden="false" customHeight="false" outlineLevel="0" collapsed="false">
      <c r="A225" s="1" t="n">
        <v>11</v>
      </c>
      <c r="B225" s="1" t="n">
        <v>18</v>
      </c>
      <c r="C225" s="1" t="n">
        <v>1.2</v>
      </c>
      <c r="D225" s="1" t="n">
        <v>1.1531</v>
      </c>
      <c r="E225" s="1" t="n">
        <v>0.0337013</v>
      </c>
      <c r="F225" s="1" t="n">
        <v>7.33365E-005</v>
      </c>
      <c r="G225" s="1" t="s">
        <v>52</v>
      </c>
      <c r="H225" s="1" t="n">
        <v>70.6</v>
      </c>
      <c r="I225" s="1" t="n">
        <v>163.6</v>
      </c>
      <c r="J225" s="1" t="n">
        <v>43.8</v>
      </c>
      <c r="K225" s="1" t="n">
        <v>93</v>
      </c>
      <c r="L225" s="1" t="n">
        <v>0</v>
      </c>
      <c r="M225" s="1" t="n">
        <v>0</v>
      </c>
      <c r="N225" s="1" t="s">
        <v>210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0" t="n">
        <f aca="false">I225+0</f>
        <v>163.6</v>
      </c>
      <c r="AB225" s="0" t="n">
        <f aca="false">IF(Z225&gt;360,Z225-360,Z225+0)</f>
        <v>163.6</v>
      </c>
      <c r="AC225" s="1"/>
      <c r="AD225" s="1"/>
      <c r="AE225" s="1"/>
      <c r="AF225" s="1"/>
    </row>
    <row r="226" customFormat="false" ht="15.8" hidden="false" customHeight="false" outlineLevel="0" collapsed="false">
      <c r="A226" s="1" t="n">
        <v>11</v>
      </c>
      <c r="B226" s="1" t="n">
        <v>17</v>
      </c>
      <c r="C226" s="1" t="n">
        <v>4.7</v>
      </c>
      <c r="D226" s="1" t="n">
        <v>4.0838</v>
      </c>
      <c r="E226" s="1" t="n">
        <v>0.129784</v>
      </c>
      <c r="F226" s="1" t="n">
        <v>0.00028242</v>
      </c>
      <c r="G226" s="1" t="s">
        <v>52</v>
      </c>
      <c r="H226" s="1" t="n">
        <v>103.7</v>
      </c>
      <c r="I226" s="1" t="n">
        <v>244.2</v>
      </c>
      <c r="J226" s="1" t="n">
        <v>18.6</v>
      </c>
      <c r="K226" s="1" t="n">
        <v>105.1</v>
      </c>
      <c r="L226" s="1" t="n">
        <v>0</v>
      </c>
      <c r="M226" s="1" t="n">
        <v>0</v>
      </c>
      <c r="N226" s="1" t="s">
        <v>213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0" t="n">
        <f aca="false">I226+0</f>
        <v>244.2</v>
      </c>
      <c r="AB226" s="0" t="n">
        <f aca="false">IF(Z226&gt;360,Z226-360,Z226+0)</f>
        <v>244.2</v>
      </c>
      <c r="AC226" s="1"/>
      <c r="AD226" s="1"/>
      <c r="AE226" s="1"/>
      <c r="AF226" s="1"/>
    </row>
    <row r="227" customFormat="false" ht="15.8" hidden="false" customHeight="false" outlineLevel="0" collapsed="false">
      <c r="A227" s="1" t="n">
        <v>11</v>
      </c>
      <c r="B227" s="1" t="n">
        <v>17</v>
      </c>
      <c r="C227" s="1" t="n">
        <v>0.8</v>
      </c>
      <c r="D227" s="1" t="n">
        <v>1.0834</v>
      </c>
      <c r="E227" s="1" t="n">
        <v>0.0212134</v>
      </c>
      <c r="F227" s="1" t="n">
        <v>4.61618E-005</v>
      </c>
      <c r="G227" s="1" t="s">
        <v>27</v>
      </c>
      <c r="H227" s="1" t="n">
        <v>5.5</v>
      </c>
      <c r="I227" s="1" t="n">
        <v>128.7</v>
      </c>
      <c r="J227" s="1" t="n">
        <v>31.1</v>
      </c>
      <c r="K227" s="1"/>
      <c r="L227" s="1" t="n">
        <v>0</v>
      </c>
      <c r="M227" s="1" t="n">
        <v>0</v>
      </c>
      <c r="N227" s="1" t="s">
        <v>213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0" t="n">
        <f aca="false">I227+0</f>
        <v>128.7</v>
      </c>
      <c r="AB227" s="0" t="n">
        <f aca="false">IF(Z227&gt;360,Z227-360,Z227+0)</f>
        <v>128.7</v>
      </c>
      <c r="AC227" s="1"/>
      <c r="AD227" s="1"/>
      <c r="AE227" s="1"/>
      <c r="AF227" s="1"/>
    </row>
    <row r="228" customFormat="false" ht="15.8" hidden="false" customHeight="false" outlineLevel="0" collapsed="false">
      <c r="A228" s="1" t="n">
        <v>11</v>
      </c>
      <c r="B228" s="1" t="n">
        <v>16</v>
      </c>
      <c r="C228" s="1" t="n">
        <v>6</v>
      </c>
      <c r="D228" s="1" t="n">
        <v>1.4837</v>
      </c>
      <c r="E228" s="1" t="n">
        <v>0.163252</v>
      </c>
      <c r="F228" s="1" t="n">
        <v>0.000355249</v>
      </c>
      <c r="G228" s="1" t="s">
        <v>52</v>
      </c>
      <c r="H228" s="1" t="n">
        <v>87.3</v>
      </c>
      <c r="I228" s="1" t="n">
        <v>122.8</v>
      </c>
      <c r="J228" s="1" t="n">
        <v>33.5</v>
      </c>
      <c r="K228" s="1" t="n">
        <v>103.7</v>
      </c>
      <c r="L228" s="1" t="n">
        <v>0</v>
      </c>
      <c r="M228" s="1" t="n">
        <v>0</v>
      </c>
      <c r="N228" s="1" t="s">
        <v>214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0" t="n">
        <f aca="false">I228+0</f>
        <v>122.8</v>
      </c>
      <c r="AB228" s="0" t="n">
        <f aca="false">IF(Z228&gt;360,Z228-360,Z228+0)</f>
        <v>122.8</v>
      </c>
      <c r="AC228" s="1"/>
      <c r="AD228" s="1"/>
      <c r="AE228" s="1"/>
      <c r="AF228" s="1"/>
    </row>
    <row r="229" customFormat="false" ht="15.8" hidden="false" customHeight="false" outlineLevel="0" collapsed="false">
      <c r="A229" s="1" t="n">
        <v>11</v>
      </c>
      <c r="B229" s="1" t="n">
        <v>18</v>
      </c>
      <c r="C229" s="1" t="n">
        <v>2.4</v>
      </c>
      <c r="D229" s="1" t="n">
        <v>1.0352</v>
      </c>
      <c r="E229" s="1" t="n">
        <v>0.0669052</v>
      </c>
      <c r="F229" s="1" t="n">
        <v>0.00014559</v>
      </c>
      <c r="G229" s="1" t="s">
        <v>27</v>
      </c>
      <c r="H229" s="1" t="n">
        <v>50</v>
      </c>
      <c r="I229" s="1" t="n">
        <v>20.7</v>
      </c>
      <c r="J229" s="1" t="n">
        <v>0</v>
      </c>
      <c r="K229" s="1"/>
      <c r="L229" s="1" t="n">
        <v>0</v>
      </c>
      <c r="M229" s="1" t="n">
        <v>0</v>
      </c>
      <c r="N229" s="1" t="s">
        <v>215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0" t="n">
        <f aca="false">I229+0</f>
        <v>20.7</v>
      </c>
      <c r="AB229" s="0" t="n">
        <f aca="false">IF(Z229&gt;360,Z229-360,Z229+0)</f>
        <v>20.7</v>
      </c>
      <c r="AC229" s="1"/>
      <c r="AD229" s="1"/>
      <c r="AE229" s="1"/>
      <c r="AF229" s="1"/>
    </row>
    <row r="230" customFormat="false" ht="15.8" hidden="false" customHeight="false" outlineLevel="0" collapsed="false">
      <c r="A230" s="1" t="n">
        <v>11</v>
      </c>
      <c r="B230" s="1" t="n">
        <v>19</v>
      </c>
      <c r="C230" s="1" t="n">
        <v>0.7</v>
      </c>
      <c r="D230" s="1" t="n">
        <v>1.0599</v>
      </c>
      <c r="E230" s="1" t="n">
        <v>0.0182699</v>
      </c>
      <c r="F230" s="1" t="n">
        <v>3.97565E-005</v>
      </c>
      <c r="G230" s="1" t="s">
        <v>27</v>
      </c>
      <c r="H230" s="1" t="n">
        <v>69.8</v>
      </c>
      <c r="I230" s="1" t="n">
        <v>215.4</v>
      </c>
      <c r="J230" s="1" t="n">
        <v>0</v>
      </c>
      <c r="K230" s="1"/>
      <c r="L230" s="1" t="n">
        <v>0</v>
      </c>
      <c r="M230" s="1" t="n">
        <v>0</v>
      </c>
      <c r="N230" s="1" t="s">
        <v>216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0" t="n">
        <f aca="false">I230+0</f>
        <v>215.4</v>
      </c>
      <c r="AB230" s="0" t="n">
        <f aca="false">IF(Z230&gt;360,Z230-360,Z230+0)</f>
        <v>215.4</v>
      </c>
      <c r="AC230" s="1"/>
      <c r="AD230" s="1"/>
      <c r="AE230" s="1"/>
      <c r="AF230" s="1"/>
    </row>
    <row r="231" customFormat="false" ht="15.8" hidden="false" customHeight="false" outlineLevel="0" collapsed="false">
      <c r="A231" s="1" t="n">
        <v>11</v>
      </c>
      <c r="B231" s="1" t="n">
        <v>19</v>
      </c>
      <c r="C231" s="1" t="n">
        <v>0.6</v>
      </c>
      <c r="D231" s="1" t="n">
        <v>1.0175</v>
      </c>
      <c r="E231" s="1" t="n">
        <v>0.0157694</v>
      </c>
      <c r="F231" s="1" t="n">
        <v>3.43153E-005</v>
      </c>
      <c r="G231" s="1" t="s">
        <v>27</v>
      </c>
      <c r="H231" s="1" t="n">
        <v>81.4</v>
      </c>
      <c r="I231" s="1" t="n">
        <v>317.5</v>
      </c>
      <c r="J231" s="1" t="n">
        <v>0</v>
      </c>
      <c r="K231" s="1"/>
      <c r="L231" s="1" t="n">
        <v>0</v>
      </c>
      <c r="M231" s="1" t="n">
        <v>0</v>
      </c>
      <c r="N231" s="1" t="s">
        <v>216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0" t="n">
        <f aca="false">I231+0</f>
        <v>317.5</v>
      </c>
      <c r="AB231" s="0" t="n">
        <f aca="false">IF(Z231&gt;360,Z231-360,Z231+0)</f>
        <v>317.5</v>
      </c>
      <c r="AC231" s="1"/>
      <c r="AD231" s="1"/>
      <c r="AE231" s="1"/>
      <c r="AF231" s="1"/>
    </row>
    <row r="232" customFormat="false" ht="15.8" hidden="false" customHeight="false" outlineLevel="0" collapsed="false">
      <c r="A232" s="1" t="n">
        <v>11</v>
      </c>
      <c r="B232" s="1" t="n">
        <v>18</v>
      </c>
      <c r="C232" s="1" t="n">
        <v>0.8</v>
      </c>
      <c r="D232" s="1" t="n">
        <v>1.0194</v>
      </c>
      <c r="E232" s="1" t="n">
        <v>0.0226579</v>
      </c>
      <c r="F232" s="1" t="n">
        <v>4.93051E-005</v>
      </c>
      <c r="G232" s="1" t="s">
        <v>52</v>
      </c>
      <c r="H232" s="1" t="n">
        <v>114.3</v>
      </c>
      <c r="I232" s="1" t="n">
        <v>248.8</v>
      </c>
      <c r="J232" s="1" t="n">
        <v>-65.6</v>
      </c>
      <c r="K232" s="1" t="n">
        <v>81.4</v>
      </c>
      <c r="L232" s="1" t="n">
        <v>0</v>
      </c>
      <c r="M232" s="1" t="n">
        <v>0</v>
      </c>
      <c r="N232" s="1" t="s">
        <v>215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0" t="n">
        <f aca="false">I232+0</f>
        <v>248.8</v>
      </c>
      <c r="AB232" s="0" t="n">
        <f aca="false">IF(Z232&gt;360,Z232-360,Z232+0)</f>
        <v>248.8</v>
      </c>
      <c r="AC232" s="1"/>
      <c r="AD232" s="1"/>
      <c r="AE232" s="1"/>
      <c r="AF232" s="1"/>
    </row>
    <row r="233" customFormat="false" ht="15.8" hidden="false" customHeight="false" outlineLevel="0" collapsed="false">
      <c r="A233" s="1" t="n">
        <v>11</v>
      </c>
      <c r="B233" s="1" t="n">
        <v>17</v>
      </c>
      <c r="C233" s="1" t="n">
        <v>1.9</v>
      </c>
      <c r="D233" s="1" t="n">
        <v>1.1655</v>
      </c>
      <c r="E233" s="1" t="n">
        <v>0.0509253</v>
      </c>
      <c r="F233" s="1" t="n">
        <v>0.000110817</v>
      </c>
      <c r="G233" s="1" t="s">
        <v>52</v>
      </c>
      <c r="H233" s="1" t="n">
        <v>30</v>
      </c>
      <c r="I233" s="1" t="n">
        <v>337.2</v>
      </c>
      <c r="J233" s="1" t="n">
        <v>27.6</v>
      </c>
      <c r="K233" s="1" t="n">
        <v>114.3</v>
      </c>
      <c r="L233" s="1" t="n">
        <v>0</v>
      </c>
      <c r="M233" s="1" t="n">
        <v>0</v>
      </c>
      <c r="N233" s="1" t="s">
        <v>217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0" t="n">
        <f aca="false">I233+0</f>
        <v>337.2</v>
      </c>
      <c r="AB233" s="0" t="n">
        <f aca="false">IF(Z233&gt;360,Z233-360,Z233+0)</f>
        <v>337.2</v>
      </c>
      <c r="AC233" s="1"/>
      <c r="AD233" s="1"/>
      <c r="AE233" s="1"/>
      <c r="AF233" s="1"/>
    </row>
    <row r="234" customFormat="false" ht="15.8" hidden="false" customHeight="false" outlineLevel="0" collapsed="false">
      <c r="A234" s="1" t="n">
        <v>11</v>
      </c>
      <c r="B234" s="1" t="n">
        <v>17</v>
      </c>
      <c r="C234" s="1" t="n">
        <v>0.8</v>
      </c>
      <c r="D234" s="1" t="n">
        <v>1.2432</v>
      </c>
      <c r="E234" s="1" t="n">
        <v>0.0227225</v>
      </c>
      <c r="F234" s="1" t="n">
        <v>4.94458E-005</v>
      </c>
      <c r="G234" s="1" t="s">
        <v>27</v>
      </c>
      <c r="H234" s="1" t="n">
        <v>103</v>
      </c>
      <c r="I234" s="1" t="n">
        <v>99.9</v>
      </c>
      <c r="J234" s="1" t="n">
        <v>-33.6</v>
      </c>
      <c r="K234" s="1"/>
      <c r="L234" s="1" t="n">
        <v>0</v>
      </c>
      <c r="M234" s="1" t="n">
        <v>0</v>
      </c>
      <c r="N234" s="1" t="s">
        <v>217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0" t="n">
        <f aca="false">I234+0</f>
        <v>99.9</v>
      </c>
      <c r="AB234" s="0" t="n">
        <f aca="false">IF(Z234&gt;360,Z234-360,Z234+0)</f>
        <v>99.9</v>
      </c>
      <c r="AC234" s="1"/>
      <c r="AD234" s="1"/>
      <c r="AE234" s="1"/>
      <c r="AF234" s="1"/>
    </row>
    <row r="235" customFormat="false" ht="15.8" hidden="false" customHeight="false" outlineLevel="0" collapsed="false">
      <c r="A235" s="1" t="n">
        <v>11</v>
      </c>
      <c r="B235" s="1" t="n">
        <v>16</v>
      </c>
      <c r="C235" s="1" t="n">
        <v>5.9</v>
      </c>
      <c r="D235" s="1" t="n">
        <v>1.2377</v>
      </c>
      <c r="E235" s="1" t="n">
        <v>0.16212</v>
      </c>
      <c r="F235" s="1" t="n">
        <v>0.000352784</v>
      </c>
      <c r="G235" s="1" t="s">
        <v>52</v>
      </c>
      <c r="H235" s="1" t="n">
        <v>31.1</v>
      </c>
      <c r="I235" s="1" t="n">
        <v>357.2</v>
      </c>
      <c r="J235" s="1" t="n">
        <v>4.4</v>
      </c>
      <c r="K235" s="1" t="n">
        <v>103</v>
      </c>
      <c r="L235" s="1" t="n">
        <v>0</v>
      </c>
      <c r="M235" s="1" t="n">
        <v>0</v>
      </c>
      <c r="N235" s="1" t="s">
        <v>214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0" t="n">
        <f aca="false">I235+0</f>
        <v>357.2</v>
      </c>
      <c r="AB235" s="0" t="n">
        <f aca="false">IF(Z235&gt;360,Z235-360,Z235+0)</f>
        <v>357.2</v>
      </c>
      <c r="AC235" s="1"/>
      <c r="AD235" s="1"/>
      <c r="AE235" s="1"/>
      <c r="AF235" s="1"/>
    </row>
    <row r="236" customFormat="false" ht="15.8" hidden="false" customHeight="false" outlineLevel="0" collapsed="false">
      <c r="A236" s="1" t="n">
        <v>11</v>
      </c>
      <c r="B236" s="1" t="n">
        <v>15</v>
      </c>
      <c r="C236" s="1" t="n">
        <v>4.9</v>
      </c>
      <c r="D236" s="1" t="n">
        <v>1.1784</v>
      </c>
      <c r="E236" s="1" t="n">
        <v>0.135069</v>
      </c>
      <c r="F236" s="1" t="n">
        <v>0.000293919</v>
      </c>
      <c r="G236" s="1" t="s">
        <v>52</v>
      </c>
      <c r="H236" s="1" t="n">
        <v>33.5</v>
      </c>
      <c r="I236" s="1" t="n">
        <v>12.5</v>
      </c>
      <c r="J236" s="1" t="n">
        <v>32</v>
      </c>
      <c r="K236" s="1" t="n">
        <v>87.3</v>
      </c>
      <c r="L236" s="1" t="n">
        <v>0</v>
      </c>
      <c r="M236" s="1" t="n">
        <v>0</v>
      </c>
      <c r="N236" s="1" t="s">
        <v>209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0" t="n">
        <f aca="false">I236+0</f>
        <v>12.5</v>
      </c>
      <c r="AB236" s="0" t="n">
        <f aca="false">IF(Z236&gt;360,Z236-360,Z236+0)</f>
        <v>12.5</v>
      </c>
      <c r="AC236" s="1"/>
      <c r="AD236" s="1"/>
      <c r="AE236" s="1"/>
      <c r="AF236" s="1"/>
    </row>
    <row r="237" customFormat="false" ht="15.8" hidden="false" customHeight="false" outlineLevel="0" collapsed="false">
      <c r="A237" s="1" t="n">
        <v>11</v>
      </c>
      <c r="B237" s="1" t="n">
        <v>14</v>
      </c>
      <c r="C237" s="1" t="n">
        <v>1.6</v>
      </c>
      <c r="D237" s="1" t="n">
        <v>1.4864</v>
      </c>
      <c r="E237" s="1" t="n">
        <v>0.0443947</v>
      </c>
      <c r="F237" s="1" t="n">
        <v>9.6606E-005</v>
      </c>
      <c r="G237" s="1" t="s">
        <v>52</v>
      </c>
      <c r="H237" s="1" t="n">
        <v>56.7</v>
      </c>
      <c r="I237" s="1" t="n">
        <v>22.9</v>
      </c>
      <c r="J237" s="1" t="n">
        <v>0</v>
      </c>
      <c r="K237" s="1" t="n">
        <v>37.8</v>
      </c>
      <c r="L237" s="1" t="n">
        <v>0</v>
      </c>
      <c r="M237" s="1" t="n">
        <v>0</v>
      </c>
      <c r="N237" s="1" t="s">
        <v>208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0" t="n">
        <f aca="false">I237+0</f>
        <v>22.9</v>
      </c>
      <c r="AB237" s="0" t="n">
        <f aca="false">IF(Z237&gt;360,Z237-360,Z237+0)</f>
        <v>22.9</v>
      </c>
      <c r="AC237" s="1"/>
      <c r="AD237" s="1"/>
      <c r="AE237" s="1"/>
      <c r="AF237" s="1"/>
    </row>
    <row r="238" customFormat="false" ht="15.8" hidden="false" customHeight="false" outlineLevel="0" collapsed="false">
      <c r="A238" s="1" t="n">
        <v>11</v>
      </c>
      <c r="B238" s="1" t="n">
        <v>17</v>
      </c>
      <c r="C238" s="1" t="n">
        <v>5.7</v>
      </c>
      <c r="D238" s="1" t="n">
        <v>1.196</v>
      </c>
      <c r="E238" s="1" t="n">
        <v>0.155496</v>
      </c>
      <c r="F238" s="1" t="n">
        <v>0.00033837</v>
      </c>
      <c r="G238" s="1" t="s">
        <v>27</v>
      </c>
      <c r="H238" s="1" t="n">
        <v>11.3</v>
      </c>
      <c r="I238" s="1" t="n">
        <v>200.6</v>
      </c>
      <c r="J238" s="1" t="n">
        <v>-22.9</v>
      </c>
      <c r="K238" s="1"/>
      <c r="L238" s="1" t="n">
        <v>0</v>
      </c>
      <c r="M238" s="1" t="n">
        <v>0</v>
      </c>
      <c r="N238" s="1" t="s">
        <v>218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0" t="n">
        <f aca="false">I238+0</f>
        <v>200.6</v>
      </c>
      <c r="AB238" s="0" t="n">
        <f aca="false">IF(Z238&gt;360,Z238-360,Z238+0)</f>
        <v>200.6</v>
      </c>
      <c r="AC238" s="1"/>
      <c r="AD238" s="1"/>
      <c r="AE238" s="1"/>
      <c r="AF238" s="1"/>
    </row>
    <row r="239" customFormat="false" ht="15.8" hidden="false" customHeight="false" outlineLevel="0" collapsed="false">
      <c r="A239" s="1" t="n">
        <v>11</v>
      </c>
      <c r="B239" s="1" t="n">
        <v>17</v>
      </c>
      <c r="C239" s="1" t="n">
        <v>0.4</v>
      </c>
      <c r="D239" s="1" t="n">
        <v>1.0001</v>
      </c>
      <c r="E239" s="1" t="n">
        <v>0.0121492</v>
      </c>
      <c r="F239" s="1" t="n">
        <v>2.64375E-005</v>
      </c>
      <c r="G239" s="1" t="s">
        <v>27</v>
      </c>
      <c r="H239" s="1" t="n">
        <v>102.3</v>
      </c>
      <c r="I239" s="1" t="n">
        <v>87.8</v>
      </c>
      <c r="J239" s="1" t="n">
        <v>0</v>
      </c>
      <c r="K239" s="1"/>
      <c r="L239" s="1" t="n">
        <v>0</v>
      </c>
      <c r="M239" s="1" t="n">
        <v>0</v>
      </c>
      <c r="N239" s="1" t="s">
        <v>218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0" t="n">
        <f aca="false">I239+0</f>
        <v>87.8</v>
      </c>
      <c r="AB239" s="0" t="n">
        <f aca="false">IF(Z239&gt;360,Z239-360,Z239+0)</f>
        <v>87.8</v>
      </c>
      <c r="AC239" s="1"/>
      <c r="AD239" s="1"/>
      <c r="AE239" s="1"/>
      <c r="AF239" s="1"/>
    </row>
    <row r="240" customFormat="false" ht="15.8" hidden="false" customHeight="false" outlineLevel="0" collapsed="false">
      <c r="A240" s="1" t="n">
        <v>11</v>
      </c>
      <c r="B240" s="1" t="n">
        <v>16</v>
      </c>
      <c r="C240" s="1" t="n">
        <v>5.4</v>
      </c>
      <c r="D240" s="1" t="n">
        <v>1.2574</v>
      </c>
      <c r="E240" s="1" t="n">
        <v>0.146398</v>
      </c>
      <c r="F240" s="1" t="n">
        <v>0.000318572</v>
      </c>
      <c r="G240" s="1" t="s">
        <v>52</v>
      </c>
      <c r="H240" s="1" t="n">
        <v>10.1</v>
      </c>
      <c r="I240" s="1" t="n">
        <v>192.2</v>
      </c>
      <c r="J240" s="1" t="n">
        <v>-31.4</v>
      </c>
      <c r="K240" s="1" t="n">
        <v>102.3</v>
      </c>
      <c r="L240" s="1" t="n">
        <v>0</v>
      </c>
      <c r="M240" s="1" t="n">
        <v>0</v>
      </c>
      <c r="N240" s="1" t="s">
        <v>219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0" t="n">
        <f aca="false">I240+0</f>
        <v>192.2</v>
      </c>
      <c r="AB240" s="0" t="n">
        <f aca="false">IF(Z240&gt;360,Z240-360,Z240+0)</f>
        <v>192.2</v>
      </c>
      <c r="AC240" s="1"/>
      <c r="AD240" s="1"/>
      <c r="AE240" s="1"/>
      <c r="AF240" s="1"/>
    </row>
    <row r="241" customFormat="false" ht="15.8" hidden="false" customHeight="false" outlineLevel="0" collapsed="false">
      <c r="A241" s="1" t="n">
        <v>11</v>
      </c>
      <c r="B241" s="1" t="n">
        <v>16</v>
      </c>
      <c r="C241" s="1" t="n">
        <v>1.2</v>
      </c>
      <c r="D241" s="1" t="n">
        <v>1.0118</v>
      </c>
      <c r="E241" s="1" t="n">
        <v>0.0323269</v>
      </c>
      <c r="F241" s="1" t="n">
        <v>7.03456E-005</v>
      </c>
      <c r="G241" s="1" t="s">
        <v>27</v>
      </c>
      <c r="H241" s="1" t="n">
        <v>60.6</v>
      </c>
      <c r="I241" s="1" t="n">
        <v>146.5</v>
      </c>
      <c r="J241" s="1" t="n">
        <v>0</v>
      </c>
      <c r="K241" s="1"/>
      <c r="L241" s="1" t="n">
        <v>0</v>
      </c>
      <c r="M241" s="1" t="n">
        <v>0</v>
      </c>
      <c r="N241" s="1" t="s">
        <v>219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0" t="n">
        <f aca="false">I241+0</f>
        <v>146.5</v>
      </c>
      <c r="AB241" s="0" t="n">
        <f aca="false">IF(Z241&gt;360,Z241-360,Z241+0)</f>
        <v>146.5</v>
      </c>
      <c r="AC241" s="1"/>
      <c r="AD241" s="1"/>
      <c r="AE241" s="1"/>
      <c r="AF241" s="1"/>
    </row>
    <row r="242" customFormat="false" ht="15.8" hidden="false" customHeight="false" outlineLevel="0" collapsed="false">
      <c r="A242" s="1" t="n">
        <v>11</v>
      </c>
      <c r="B242" s="1" t="n">
        <v>15</v>
      </c>
      <c r="C242" s="1" t="n">
        <v>3.1</v>
      </c>
      <c r="D242" s="1" t="n">
        <v>1.2783</v>
      </c>
      <c r="E242" s="1" t="n">
        <v>0.0838312</v>
      </c>
      <c r="F242" s="1" t="n">
        <v>0.000182422</v>
      </c>
      <c r="G242" s="1" t="s">
        <v>52</v>
      </c>
      <c r="H242" s="1" t="n">
        <v>4.9</v>
      </c>
      <c r="I242" s="1" t="n">
        <v>202.9</v>
      </c>
      <c r="J242" s="1" t="n">
        <v>-27.6</v>
      </c>
      <c r="K242" s="1" t="n">
        <v>60.6</v>
      </c>
      <c r="L242" s="1" t="n">
        <v>0</v>
      </c>
      <c r="M242" s="1" t="n">
        <v>0</v>
      </c>
      <c r="N242" s="1" t="s">
        <v>220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0" t="n">
        <f aca="false">I242+0</f>
        <v>202.9</v>
      </c>
      <c r="AB242" s="0" t="n">
        <f aca="false">IF(Z242&gt;360,Z242-360,Z242+0)</f>
        <v>202.9</v>
      </c>
      <c r="AC242" s="1"/>
      <c r="AD242" s="1"/>
      <c r="AE242" s="1"/>
      <c r="AF242" s="1"/>
    </row>
    <row r="243" customFormat="false" ht="15.8" hidden="false" customHeight="false" outlineLevel="0" collapsed="false">
      <c r="A243" s="1" t="n">
        <v>11</v>
      </c>
      <c r="B243" s="1" t="n">
        <v>15</v>
      </c>
      <c r="C243" s="1" t="n">
        <v>1.5</v>
      </c>
      <c r="D243" s="1" t="n">
        <v>1.1496</v>
      </c>
      <c r="E243" s="1" t="n">
        <v>0.0421024</v>
      </c>
      <c r="F243" s="1" t="n">
        <v>9.16178E-005</v>
      </c>
      <c r="G243" s="1" t="s">
        <v>27</v>
      </c>
      <c r="H243" s="1" t="n">
        <v>57.4</v>
      </c>
      <c r="I243" s="1" t="n">
        <v>258.7</v>
      </c>
      <c r="J243" s="1" t="n">
        <v>-16</v>
      </c>
      <c r="K243" s="1"/>
      <c r="L243" s="1" t="n">
        <v>0</v>
      </c>
      <c r="M243" s="1" t="n">
        <v>0</v>
      </c>
      <c r="N243" s="1" t="s">
        <v>220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0" t="n">
        <f aca="false">I243+0</f>
        <v>258.7</v>
      </c>
      <c r="AB243" s="0" t="n">
        <f aca="false">IF(Z243&gt;360,Z243-360,Z243+0)</f>
        <v>258.7</v>
      </c>
      <c r="AC243" s="1"/>
      <c r="AD243" s="1"/>
      <c r="AE243" s="1"/>
      <c r="AF243" s="1"/>
    </row>
    <row r="244" customFormat="false" ht="15.8" hidden="false" customHeight="false" outlineLevel="0" collapsed="false">
      <c r="A244" s="1" t="n">
        <v>11</v>
      </c>
      <c r="B244" s="1" t="n">
        <v>14</v>
      </c>
      <c r="C244" s="1" t="n">
        <v>6.3</v>
      </c>
      <c r="D244" s="1" t="n">
        <v>1.2555</v>
      </c>
      <c r="E244" s="1" t="n">
        <v>0.172306</v>
      </c>
      <c r="F244" s="1" t="n">
        <v>0.00037495</v>
      </c>
      <c r="G244" s="1" t="s">
        <v>52</v>
      </c>
      <c r="H244" s="1" t="n">
        <v>108.1</v>
      </c>
      <c r="I244" s="1" t="n">
        <v>197.6</v>
      </c>
      <c r="J244" s="1" t="n">
        <v>-26.3</v>
      </c>
      <c r="K244" s="1" t="n">
        <v>57.4</v>
      </c>
      <c r="L244" s="1" t="n">
        <v>0</v>
      </c>
      <c r="M244" s="1" t="n">
        <v>0</v>
      </c>
      <c r="N244" s="1" t="s">
        <v>208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0" t="n">
        <f aca="false">I244+0</f>
        <v>197.6</v>
      </c>
      <c r="AB244" s="0" t="n">
        <f aca="false">IF(Z244&gt;360,Z244-360,Z244+0)</f>
        <v>197.6</v>
      </c>
      <c r="AC244" s="1"/>
      <c r="AD244" s="1"/>
      <c r="AE244" s="1"/>
      <c r="AF244" s="1"/>
    </row>
    <row r="245" customFormat="false" ht="15.8" hidden="false" customHeight="false" outlineLevel="0" collapsed="false">
      <c r="A245" s="1" t="n">
        <v>11</v>
      </c>
      <c r="B245" s="1" t="n">
        <v>13</v>
      </c>
      <c r="C245" s="1" t="n">
        <v>2.8</v>
      </c>
      <c r="D245" s="1" t="n">
        <v>1.3281</v>
      </c>
      <c r="E245" s="1" t="n">
        <v>0.076463</v>
      </c>
      <c r="F245" s="1" t="n">
        <v>0.000166389</v>
      </c>
      <c r="G245" s="1" t="s">
        <v>52</v>
      </c>
      <c r="H245" s="1" t="n">
        <v>56.5</v>
      </c>
      <c r="I245" s="1" t="n">
        <v>333.2</v>
      </c>
      <c r="J245" s="1" t="n">
        <v>-31.8</v>
      </c>
      <c r="K245" s="1" t="n">
        <v>108.1</v>
      </c>
      <c r="L245" s="1" t="n">
        <v>0</v>
      </c>
      <c r="M245" s="1" t="n">
        <v>0</v>
      </c>
      <c r="N245" s="1" t="s">
        <v>221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0" t="n">
        <f aca="false">I245+0</f>
        <v>333.2</v>
      </c>
      <c r="AB245" s="0" t="n">
        <f aca="false">IF(Z245&gt;360,Z245-360,Z245+0)</f>
        <v>333.2</v>
      </c>
      <c r="AC245" s="1"/>
      <c r="AD245" s="1"/>
      <c r="AE245" s="1"/>
      <c r="AF245" s="1"/>
    </row>
    <row r="246" customFormat="false" ht="15.8" hidden="false" customHeight="false" outlineLevel="0" collapsed="false">
      <c r="A246" s="1" t="n">
        <v>11</v>
      </c>
      <c r="B246" s="1" t="n">
        <v>13</v>
      </c>
      <c r="C246" s="1" t="n">
        <v>0.9</v>
      </c>
      <c r="D246" s="1" t="n">
        <v>1.1326</v>
      </c>
      <c r="E246" s="1" t="n">
        <v>0.0258401</v>
      </c>
      <c r="F246" s="1" t="n">
        <v>5.62298E-005</v>
      </c>
      <c r="G246" s="1" t="s">
        <v>27</v>
      </c>
      <c r="H246" s="1" t="n">
        <v>37.4</v>
      </c>
      <c r="I246" s="1" t="n">
        <v>50.2</v>
      </c>
      <c r="J246" s="1" t="n">
        <v>26.3</v>
      </c>
      <c r="K246" s="1"/>
      <c r="L246" s="1" t="n">
        <v>0</v>
      </c>
      <c r="M246" s="1" t="n">
        <v>0</v>
      </c>
      <c r="N246" s="1" t="s">
        <v>221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0" t="n">
        <f aca="false">I246+0</f>
        <v>50.2</v>
      </c>
      <c r="AB246" s="0" t="n">
        <f aca="false">IF(Z246&gt;360,Z246-360,Z246+0)</f>
        <v>50.2</v>
      </c>
      <c r="AC246" s="1"/>
      <c r="AD246" s="1"/>
      <c r="AE246" s="1"/>
      <c r="AF246" s="1"/>
    </row>
    <row r="247" customFormat="false" ht="15.8" hidden="false" customHeight="false" outlineLevel="0" collapsed="false">
      <c r="A247" s="1" t="n">
        <v>11</v>
      </c>
      <c r="B247" s="1" t="n">
        <v>12</v>
      </c>
      <c r="C247" s="1" t="n">
        <v>0.9</v>
      </c>
      <c r="D247" s="1" t="n">
        <v>1.0864</v>
      </c>
      <c r="E247" s="1" t="n">
        <v>0.0235309</v>
      </c>
      <c r="F247" s="1" t="n">
        <v>5.12049E-005</v>
      </c>
      <c r="G247" s="1" t="s">
        <v>52</v>
      </c>
      <c r="H247" s="1" t="n">
        <v>49.9</v>
      </c>
      <c r="I247" s="1" t="n">
        <v>22.6</v>
      </c>
      <c r="J247" s="1" t="n">
        <v>0</v>
      </c>
      <c r="K247" s="1" t="n">
        <v>56.5</v>
      </c>
      <c r="L247" s="1" t="n">
        <v>0</v>
      </c>
      <c r="M247" s="1" t="n">
        <v>0</v>
      </c>
      <c r="N247" s="1" t="s">
        <v>222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0" t="n">
        <f aca="false">I247+0</f>
        <v>22.6</v>
      </c>
      <c r="AB247" s="0" t="n">
        <f aca="false">IF(Z247&gt;360,Z247-360,Z247+0)</f>
        <v>22.6</v>
      </c>
      <c r="AC247" s="1"/>
      <c r="AD247" s="1"/>
      <c r="AE247" s="1"/>
      <c r="AF247" s="1"/>
    </row>
    <row r="248" customFormat="false" ht="15.8" hidden="false" customHeight="false" outlineLevel="0" collapsed="false">
      <c r="A248" s="1" t="n">
        <v>11</v>
      </c>
      <c r="B248" s="1" t="n">
        <v>12</v>
      </c>
      <c r="C248" s="1" t="n">
        <v>0.5</v>
      </c>
      <c r="D248" s="1" t="n">
        <v>1.0003</v>
      </c>
      <c r="E248" s="1" t="n">
        <v>0.0150018</v>
      </c>
      <c r="F248" s="1" t="n">
        <v>3.2645E-005</v>
      </c>
      <c r="G248" s="1" t="s">
        <v>27</v>
      </c>
      <c r="H248" s="1" t="n">
        <v>72.5</v>
      </c>
      <c r="I248" s="1" t="n">
        <v>269.1</v>
      </c>
      <c r="J248" s="1" t="n">
        <v>0</v>
      </c>
      <c r="K248" s="1"/>
      <c r="L248" s="1" t="n">
        <v>0</v>
      </c>
      <c r="M248" s="1" t="n">
        <v>0</v>
      </c>
      <c r="N248" s="1" t="s">
        <v>222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0" t="n">
        <f aca="false">I248+0</f>
        <v>269.1</v>
      </c>
      <c r="AB248" s="0" t="n">
        <f aca="false">IF(Z248&gt;360,Z248-360,Z248+0)</f>
        <v>269.1</v>
      </c>
      <c r="AC248" s="1"/>
      <c r="AD248" s="1"/>
      <c r="AE248" s="1"/>
      <c r="AF248" s="1"/>
    </row>
    <row r="249" customFormat="false" ht="15.8" hidden="false" customHeight="false" outlineLevel="0" collapsed="false">
      <c r="A249" s="1" t="n">
        <v>11</v>
      </c>
      <c r="B249" s="1" t="n">
        <v>11</v>
      </c>
      <c r="C249" s="1" t="n">
        <v>2.8</v>
      </c>
      <c r="D249" s="1" t="n">
        <v>1.1536</v>
      </c>
      <c r="E249" s="1" t="n">
        <v>0.075288</v>
      </c>
      <c r="F249" s="1" t="n">
        <v>0.000163832</v>
      </c>
      <c r="G249" s="1" t="s">
        <v>52</v>
      </c>
      <c r="H249" s="1" t="n">
        <v>21.7</v>
      </c>
      <c r="I249" s="1" t="n">
        <v>339.3</v>
      </c>
      <c r="J249" s="1" t="n">
        <v>-27.7</v>
      </c>
      <c r="K249" s="1" t="n">
        <v>72.5</v>
      </c>
      <c r="L249" s="1" t="n">
        <v>0</v>
      </c>
      <c r="M249" s="1" t="n">
        <v>0</v>
      </c>
      <c r="N249" s="1" t="s">
        <v>223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0" t="n">
        <f aca="false">I249+0</f>
        <v>339.3</v>
      </c>
      <c r="AB249" s="0" t="n">
        <f aca="false">IF(Z249&gt;360,Z249-360,Z249+0)</f>
        <v>339.3</v>
      </c>
      <c r="AC249" s="1"/>
      <c r="AD249" s="1"/>
      <c r="AE249" s="1"/>
      <c r="AF249" s="1"/>
    </row>
    <row r="250" customFormat="false" ht="15.8" hidden="false" customHeight="false" outlineLevel="0" collapsed="false">
      <c r="A250" s="1" t="n">
        <v>11</v>
      </c>
      <c r="B250" s="1" t="n">
        <v>12</v>
      </c>
      <c r="C250" s="1" t="n">
        <v>0.4</v>
      </c>
      <c r="D250" s="1" t="n">
        <v>1.017</v>
      </c>
      <c r="E250" s="1" t="n">
        <v>0.0123149</v>
      </c>
      <c r="F250" s="1" t="n">
        <v>3.34976E-005</v>
      </c>
      <c r="G250" s="1" t="s">
        <v>27</v>
      </c>
      <c r="H250" s="1" t="n">
        <v>94.9</v>
      </c>
      <c r="I250" s="1" t="n">
        <v>280.6</v>
      </c>
      <c r="J250" s="1" t="n">
        <v>0</v>
      </c>
      <c r="K250" s="1"/>
      <c r="L250" s="1" t="n">
        <v>0</v>
      </c>
      <c r="M250" s="1" t="n">
        <v>0</v>
      </c>
      <c r="N250" s="1" t="s">
        <v>224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0" t="n">
        <f aca="false">I250+0</f>
        <v>280.6</v>
      </c>
      <c r="AB250" s="0" t="n">
        <f aca="false">IF(Z250&gt;360,Z250-360,Z250+0)</f>
        <v>280.6</v>
      </c>
      <c r="AC250" s="1"/>
      <c r="AD250" s="1"/>
      <c r="AE250" s="1"/>
      <c r="AF250" s="1"/>
    </row>
    <row r="251" customFormat="false" ht="15.8" hidden="false" customHeight="false" outlineLevel="0" collapsed="false">
      <c r="A251" s="1" t="n">
        <v>11</v>
      </c>
      <c r="B251" s="1" t="n">
        <v>12</v>
      </c>
      <c r="C251" s="1" t="n">
        <v>3.8</v>
      </c>
      <c r="D251" s="1" t="n">
        <v>1.4064</v>
      </c>
      <c r="E251" s="1" t="n">
        <v>0.128938</v>
      </c>
      <c r="F251" s="1" t="n">
        <v>0.000350724</v>
      </c>
      <c r="G251" s="1" t="s">
        <v>27</v>
      </c>
      <c r="H251" s="1" t="n">
        <v>17.2</v>
      </c>
      <c r="I251" s="1" t="n">
        <v>21.8</v>
      </c>
      <c r="J251" s="1" t="n">
        <v>16</v>
      </c>
      <c r="K251" s="1"/>
      <c r="L251" s="1" t="n">
        <v>0</v>
      </c>
      <c r="M251" s="1" t="n">
        <v>0</v>
      </c>
      <c r="N251" s="1" t="s">
        <v>224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0" t="n">
        <f aca="false">I251+0</f>
        <v>21.8</v>
      </c>
      <c r="AB251" s="0" t="n">
        <f aca="false">IF(Z251&gt;360,Z251-360,Z251+0)</f>
        <v>21.8</v>
      </c>
      <c r="AC251" s="1"/>
      <c r="AD251" s="1"/>
      <c r="AE251" s="1"/>
      <c r="AF251" s="1"/>
    </row>
    <row r="252" customFormat="false" ht="15.8" hidden="false" customHeight="false" outlineLevel="0" collapsed="false">
      <c r="A252" s="1" t="n">
        <v>11</v>
      </c>
      <c r="B252" s="1" t="n">
        <v>11</v>
      </c>
      <c r="C252" s="1" t="n">
        <v>3.1</v>
      </c>
      <c r="D252" s="1" t="n">
        <v>1.2651</v>
      </c>
      <c r="E252" s="1" t="n">
        <v>0.103567</v>
      </c>
      <c r="F252" s="1" t="n">
        <v>0.000280047</v>
      </c>
      <c r="G252" s="1" t="s">
        <v>52</v>
      </c>
      <c r="H252" s="1" t="n">
        <v>23.4</v>
      </c>
      <c r="I252" s="1" t="n">
        <v>15.6</v>
      </c>
      <c r="J252" s="1" t="n">
        <v>0</v>
      </c>
      <c r="K252" s="1" t="n">
        <v>94.9</v>
      </c>
      <c r="L252" s="1" t="n">
        <v>0</v>
      </c>
      <c r="M252" s="1" t="n">
        <v>0</v>
      </c>
      <c r="N252" s="1" t="s">
        <v>223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0" t="n">
        <f aca="false">I252+0</f>
        <v>15.6</v>
      </c>
      <c r="AB252" s="0" t="n">
        <f aca="false">IF(Z252&gt;360,Z252-360,Z252+0)</f>
        <v>15.6</v>
      </c>
      <c r="AC252" s="1"/>
      <c r="AD252" s="1"/>
      <c r="AE252" s="1"/>
      <c r="AF252" s="1"/>
    </row>
    <row r="253" customFormat="false" ht="15.8" hidden="false" customHeight="false" outlineLevel="0" collapsed="false">
      <c r="A253" s="1" t="n">
        <v>11</v>
      </c>
      <c r="B253" s="1" t="n">
        <v>10</v>
      </c>
      <c r="C253" s="1" t="n">
        <v>3</v>
      </c>
      <c r="D253" s="1" t="n">
        <v>1.2594</v>
      </c>
      <c r="E253" s="1" t="n">
        <v>0.0831437</v>
      </c>
      <c r="F253" s="1" t="n">
        <v>0.000180926</v>
      </c>
      <c r="G253" s="1" t="s">
        <v>52</v>
      </c>
      <c r="H253" s="1" t="n">
        <v>34.5</v>
      </c>
      <c r="I253" s="1" t="n">
        <v>0.2</v>
      </c>
      <c r="J253" s="1" t="n">
        <v>-17.8</v>
      </c>
      <c r="K253" s="1" t="n">
        <v>23.4</v>
      </c>
      <c r="L253" s="1" t="n">
        <v>0</v>
      </c>
      <c r="M253" s="1" t="n">
        <v>0</v>
      </c>
      <c r="N253" s="1" t="s">
        <v>225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0" t="n">
        <f aca="false">I253+0</f>
        <v>0.2</v>
      </c>
      <c r="AB253" s="0" t="n">
        <f aca="false">IF(Z253&gt;360,Z253-360,Z253+0)</f>
        <v>0.2</v>
      </c>
      <c r="AC253" s="1"/>
      <c r="AD253" s="1"/>
      <c r="AE253" s="1"/>
      <c r="AF253" s="1"/>
    </row>
    <row r="254" customFormat="false" ht="15.8" hidden="false" customHeight="false" outlineLevel="0" collapsed="false">
      <c r="A254" s="1" t="n">
        <v>11</v>
      </c>
      <c r="B254" s="1" t="n">
        <v>10</v>
      </c>
      <c r="C254" s="1" t="n">
        <v>4.1</v>
      </c>
      <c r="D254" s="1" t="n">
        <v>1.5421</v>
      </c>
      <c r="E254" s="1" t="n">
        <v>0.112427</v>
      </c>
      <c r="F254" s="1" t="n">
        <v>0.000244648</v>
      </c>
      <c r="G254" s="1" t="s">
        <v>27</v>
      </c>
      <c r="H254" s="1" t="n">
        <v>99</v>
      </c>
      <c r="I254" s="1" t="n">
        <v>190.6</v>
      </c>
      <c r="J254" s="1" t="n">
        <v>-43.9</v>
      </c>
      <c r="K254" s="1"/>
      <c r="L254" s="1" t="n">
        <v>0</v>
      </c>
      <c r="M254" s="1" t="n">
        <v>0</v>
      </c>
      <c r="N254" s="1" t="s">
        <v>225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0" t="n">
        <f aca="false">I254+0</f>
        <v>190.6</v>
      </c>
      <c r="AB254" s="0" t="n">
        <f aca="false">IF(Z254&gt;360,Z254-360,Z254+0)</f>
        <v>190.6</v>
      </c>
      <c r="AC254" s="1"/>
      <c r="AD254" s="1"/>
      <c r="AE254" s="1"/>
      <c r="AF254" s="1"/>
    </row>
    <row r="255" customFormat="false" ht="15.8" hidden="false" customHeight="false" outlineLevel="0" collapsed="false">
      <c r="A255" s="1" t="n">
        <v>11</v>
      </c>
      <c r="B255" s="1" t="n">
        <v>9</v>
      </c>
      <c r="C255" s="1" t="n">
        <v>3.5</v>
      </c>
      <c r="D255" s="1" t="n">
        <v>1.3249</v>
      </c>
      <c r="E255" s="1" t="n">
        <v>0.0957288</v>
      </c>
      <c r="F255" s="1" t="n">
        <v>0.000208313</v>
      </c>
      <c r="G255" s="1" t="s">
        <v>52</v>
      </c>
      <c r="H255" s="1" t="n">
        <v>39.9</v>
      </c>
      <c r="I255" s="1" t="n">
        <v>34.4</v>
      </c>
      <c r="J255" s="1" t="n">
        <v>-34.1</v>
      </c>
      <c r="K255" s="1" t="n">
        <v>99</v>
      </c>
      <c r="L255" s="1" t="n">
        <v>0</v>
      </c>
      <c r="M255" s="1" t="n">
        <v>0</v>
      </c>
      <c r="N255" s="1" t="s">
        <v>226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0" t="n">
        <f aca="false">I255+0</f>
        <v>34.4</v>
      </c>
      <c r="AB255" s="0" t="n">
        <f aca="false">IF(Z255&gt;360,Z255-360,Z255+0)</f>
        <v>34.4</v>
      </c>
      <c r="AC255" s="1"/>
      <c r="AD255" s="1"/>
      <c r="AE255" s="1"/>
      <c r="AF255" s="1"/>
    </row>
    <row r="256" customFormat="false" ht="15.8" hidden="false" customHeight="false" outlineLevel="0" collapsed="false">
      <c r="A256" s="1" t="n">
        <v>11</v>
      </c>
      <c r="B256" s="1" t="n">
        <v>9</v>
      </c>
      <c r="C256" s="1" t="n">
        <v>1.6</v>
      </c>
      <c r="D256" s="1" t="n">
        <v>1.1617</v>
      </c>
      <c r="E256" s="1" t="n">
        <v>0.0441165</v>
      </c>
      <c r="F256" s="1" t="n">
        <v>9.60005E-005</v>
      </c>
      <c r="G256" s="1" t="s">
        <v>27</v>
      </c>
      <c r="H256" s="1" t="n">
        <v>53.9</v>
      </c>
      <c r="I256" s="1" t="n">
        <v>326.4</v>
      </c>
      <c r="J256" s="1" t="n">
        <v>-32.2</v>
      </c>
      <c r="K256" s="1"/>
      <c r="L256" s="1" t="n">
        <v>0</v>
      </c>
      <c r="M256" s="1" t="n">
        <v>0</v>
      </c>
      <c r="N256" s="1" t="s">
        <v>226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0" t="n">
        <f aca="false">I256+0</f>
        <v>326.4</v>
      </c>
      <c r="AB256" s="0" t="n">
        <f aca="false">IF(Z256&gt;360,Z256-360,Z256+0)</f>
        <v>326.4</v>
      </c>
      <c r="AC256" s="1"/>
      <c r="AD256" s="1"/>
      <c r="AE256" s="1"/>
      <c r="AF256" s="1"/>
    </row>
    <row r="257" customFormat="false" ht="15.8" hidden="false" customHeight="false" outlineLevel="0" collapsed="false">
      <c r="A257" s="1" t="n">
        <v>11</v>
      </c>
      <c r="B257" s="1" t="n">
        <v>12</v>
      </c>
      <c r="C257" s="1" t="n">
        <v>3.4</v>
      </c>
      <c r="D257" s="1" t="n">
        <v>1.2807</v>
      </c>
      <c r="E257" s="1" t="n">
        <v>0.0966007</v>
      </c>
      <c r="F257" s="1" t="n">
        <v>0.000221274</v>
      </c>
      <c r="G257" s="1" t="s">
        <v>27</v>
      </c>
      <c r="H257" s="1" t="n">
        <v>50.3</v>
      </c>
      <c r="I257" s="1" t="n">
        <v>180.7</v>
      </c>
      <c r="J257" s="1" t="n">
        <v>34.4</v>
      </c>
      <c r="K257" s="1"/>
      <c r="L257" s="1" t="n">
        <v>0</v>
      </c>
      <c r="M257" s="1" t="n">
        <v>0</v>
      </c>
      <c r="N257" s="1" t="s">
        <v>227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0" t="n">
        <f aca="false">I257+0</f>
        <v>180.7</v>
      </c>
      <c r="AB257" s="0" t="n">
        <f aca="false">IF(Z257&gt;360,Z257-360,Z257+0)</f>
        <v>180.7</v>
      </c>
      <c r="AC257" s="1"/>
      <c r="AD257" s="1"/>
      <c r="AE257" s="1"/>
      <c r="AF257" s="1"/>
    </row>
    <row r="258" customFormat="false" ht="15.8" hidden="false" customHeight="false" outlineLevel="0" collapsed="false">
      <c r="A258" s="1" t="n">
        <v>11</v>
      </c>
      <c r="B258" s="1" t="n">
        <v>12</v>
      </c>
      <c r="C258" s="1" t="n">
        <v>0.5</v>
      </c>
      <c r="D258" s="1" t="n">
        <v>1.0027</v>
      </c>
      <c r="E258" s="1" t="n">
        <v>0.014894</v>
      </c>
      <c r="F258" s="1" t="n">
        <v>3.41161E-005</v>
      </c>
      <c r="G258" s="1" t="s">
        <v>27</v>
      </c>
      <c r="H258" s="1" t="n">
        <v>68</v>
      </c>
      <c r="I258" s="1" t="n">
        <v>73.5</v>
      </c>
      <c r="J258" s="1" t="n">
        <v>0</v>
      </c>
      <c r="K258" s="1"/>
      <c r="L258" s="1" t="n">
        <v>0</v>
      </c>
      <c r="M258" s="1" t="n">
        <v>0</v>
      </c>
      <c r="N258" s="1" t="s">
        <v>227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0" t="n">
        <f aca="false">I258+0</f>
        <v>73.5</v>
      </c>
      <c r="AB258" s="0" t="n">
        <f aca="false">IF(Z258&gt;360,Z258-360,Z258+0)</f>
        <v>73.5</v>
      </c>
      <c r="AC258" s="1"/>
      <c r="AD258" s="1"/>
      <c r="AE258" s="1"/>
      <c r="AF258" s="1"/>
    </row>
    <row r="259" customFormat="false" ht="15.8" hidden="false" customHeight="false" outlineLevel="0" collapsed="false">
      <c r="A259" s="1" t="n">
        <v>11</v>
      </c>
      <c r="B259" s="1" t="n">
        <v>11</v>
      </c>
      <c r="C259" s="1" t="n">
        <v>0.5</v>
      </c>
      <c r="D259" s="1" t="n">
        <v>1.0128</v>
      </c>
      <c r="E259" s="1" t="n">
        <v>0.0133077</v>
      </c>
      <c r="F259" s="1" t="n">
        <v>3.04826E-005</v>
      </c>
      <c r="G259" s="1" t="s">
        <v>52</v>
      </c>
      <c r="H259" s="1" t="n">
        <v>69.5</v>
      </c>
      <c r="I259" s="1" t="n">
        <v>141.5</v>
      </c>
      <c r="J259" s="1" t="n">
        <v>0</v>
      </c>
      <c r="K259" s="1" t="n">
        <v>68</v>
      </c>
      <c r="L259" s="1" t="n">
        <v>0</v>
      </c>
      <c r="M259" s="1" t="n">
        <v>0</v>
      </c>
      <c r="N259" s="1" t="s">
        <v>228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0" t="n">
        <f aca="false">I259+0</f>
        <v>141.5</v>
      </c>
      <c r="AB259" s="0" t="n">
        <f aca="false">IF(Z259&gt;360,Z259-360,Z259+0)</f>
        <v>141.5</v>
      </c>
      <c r="AC259" s="1"/>
      <c r="AD259" s="1"/>
      <c r="AE259" s="1"/>
      <c r="AF259" s="1"/>
    </row>
    <row r="260" customFormat="false" ht="15.8" hidden="false" customHeight="false" outlineLevel="0" collapsed="false">
      <c r="A260" s="1" t="n">
        <v>11</v>
      </c>
      <c r="B260" s="1" t="n">
        <v>11</v>
      </c>
      <c r="C260" s="1" t="n">
        <v>3.6</v>
      </c>
      <c r="D260" s="1" t="n">
        <v>1.2814</v>
      </c>
      <c r="E260" s="1" t="n">
        <v>0.10481</v>
      </c>
      <c r="F260" s="1" t="n">
        <v>0.000240078</v>
      </c>
      <c r="G260" s="1" t="s">
        <v>27</v>
      </c>
      <c r="H260" s="1" t="n">
        <v>21.5</v>
      </c>
      <c r="I260" s="1" t="n">
        <v>145.7</v>
      </c>
      <c r="J260" s="1" t="n">
        <v>51.4</v>
      </c>
      <c r="K260" s="1"/>
      <c r="L260" s="1" t="n">
        <v>0</v>
      </c>
      <c r="M260" s="1" t="n">
        <v>0</v>
      </c>
      <c r="N260" s="1" t="s">
        <v>228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0" t="n">
        <f aca="false">I260+0</f>
        <v>145.7</v>
      </c>
      <c r="AB260" s="0" t="n">
        <f aca="false">IF(Z260&gt;360,Z260-360,Z260+0)</f>
        <v>145.7</v>
      </c>
      <c r="AC260" s="1"/>
      <c r="AD260" s="1"/>
      <c r="AE260" s="1"/>
      <c r="AF260" s="1"/>
    </row>
    <row r="261" customFormat="false" ht="15.8" hidden="false" customHeight="false" outlineLevel="0" collapsed="false">
      <c r="A261" s="1" t="n">
        <v>11</v>
      </c>
      <c r="B261" s="1" t="n">
        <v>11</v>
      </c>
      <c r="C261" s="1" t="n">
        <v>3.7</v>
      </c>
      <c r="D261" s="1" t="n">
        <v>1.133</v>
      </c>
      <c r="E261" s="1" t="n">
        <v>0.10546</v>
      </c>
      <c r="F261" s="1" t="n">
        <v>0.000241566</v>
      </c>
      <c r="G261" s="1" t="s">
        <v>27</v>
      </c>
      <c r="H261" s="1" t="n">
        <v>97.5</v>
      </c>
      <c r="I261" s="1" t="n">
        <v>22.5</v>
      </c>
      <c r="J261" s="1" t="n">
        <v>-6.6</v>
      </c>
      <c r="K261" s="1"/>
      <c r="L261" s="1" t="n">
        <v>0</v>
      </c>
      <c r="M261" s="1" t="n">
        <v>0</v>
      </c>
      <c r="N261" s="1" t="s">
        <v>228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0" t="n">
        <f aca="false">I261+0</f>
        <v>22.5</v>
      </c>
      <c r="AB261" s="0" t="n">
        <f aca="false">IF(Z261&gt;360,Z261-360,Z261+0)</f>
        <v>22.5</v>
      </c>
      <c r="AC261" s="1"/>
      <c r="AD261" s="1"/>
      <c r="AE261" s="1"/>
      <c r="AF261" s="1"/>
    </row>
    <row r="262" customFormat="false" ht="15.8" hidden="false" customHeight="false" outlineLevel="0" collapsed="false">
      <c r="A262" s="1" t="n">
        <v>11</v>
      </c>
      <c r="B262" s="1" t="n">
        <v>10</v>
      </c>
      <c r="C262" s="1" t="n">
        <v>1.8</v>
      </c>
      <c r="D262" s="1" t="n">
        <v>1.1208</v>
      </c>
      <c r="E262" s="1" t="n">
        <v>0.051491</v>
      </c>
      <c r="F262" s="1" t="n">
        <v>0.000117253</v>
      </c>
      <c r="G262" s="1" t="s">
        <v>52</v>
      </c>
      <c r="H262" s="1" t="n">
        <v>80.7</v>
      </c>
      <c r="I262" s="1" t="n">
        <v>116.2</v>
      </c>
      <c r="J262" s="1" t="n">
        <v>67.2</v>
      </c>
      <c r="K262" s="1" t="n">
        <v>97.5</v>
      </c>
      <c r="L262" s="1" t="n">
        <v>0</v>
      </c>
      <c r="M262" s="1" t="n">
        <v>0</v>
      </c>
      <c r="N262" s="1" t="s">
        <v>229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0" t="n">
        <f aca="false">I262+0</f>
        <v>116.2</v>
      </c>
      <c r="AB262" s="0" t="n">
        <f aca="false">IF(Z262&gt;360,Z262-360,Z262+0)</f>
        <v>116.2</v>
      </c>
      <c r="AC262" s="1"/>
      <c r="AD262" s="1"/>
      <c r="AE262" s="1"/>
      <c r="AF262" s="1"/>
    </row>
    <row r="263" customFormat="false" ht="15.8" hidden="false" customHeight="false" outlineLevel="0" collapsed="false">
      <c r="A263" s="1" t="n">
        <v>11</v>
      </c>
      <c r="B263" s="1" t="n">
        <v>11</v>
      </c>
      <c r="C263" s="1" t="n">
        <v>2.4</v>
      </c>
      <c r="D263" s="1" t="n">
        <v>1.2719</v>
      </c>
      <c r="E263" s="1" t="n">
        <v>0.0657966</v>
      </c>
      <c r="F263" s="1" t="n">
        <v>0.000143178</v>
      </c>
      <c r="G263" s="1" t="s">
        <v>27</v>
      </c>
      <c r="H263" s="1" t="n">
        <v>28.9</v>
      </c>
      <c r="I263" s="1" t="n">
        <v>40.8</v>
      </c>
      <c r="J263" s="1" t="n">
        <v>11.3</v>
      </c>
      <c r="K263" s="1"/>
      <c r="L263" s="1" t="n">
        <v>0</v>
      </c>
      <c r="M263" s="1" t="n">
        <v>0</v>
      </c>
      <c r="N263" s="1" t="s">
        <v>230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0" t="n">
        <f aca="false">I263+0</f>
        <v>40.8</v>
      </c>
      <c r="AB263" s="0" t="n">
        <f aca="false">IF(Z263&gt;360,Z263-360,Z263+0)</f>
        <v>40.8</v>
      </c>
      <c r="AC263" s="1"/>
      <c r="AD263" s="1"/>
      <c r="AE263" s="1"/>
      <c r="AF263" s="1"/>
    </row>
    <row r="264" customFormat="false" ht="15.8" hidden="false" customHeight="false" outlineLevel="0" collapsed="false">
      <c r="A264" s="1" t="n">
        <v>11</v>
      </c>
      <c r="B264" s="1" t="n">
        <v>11</v>
      </c>
      <c r="C264" s="1" t="n">
        <v>1.1</v>
      </c>
      <c r="D264" s="1" t="n">
        <v>1.11</v>
      </c>
      <c r="E264" s="1" t="n">
        <v>0.0288413</v>
      </c>
      <c r="F264" s="1" t="n">
        <v>6.27606E-005</v>
      </c>
      <c r="G264" s="1" t="s">
        <v>27</v>
      </c>
      <c r="H264" s="1" t="n">
        <v>64.8</v>
      </c>
      <c r="I264" s="1" t="n">
        <v>61.2</v>
      </c>
      <c r="J264" s="1" t="n">
        <v>-51.2</v>
      </c>
      <c r="K264" s="1"/>
      <c r="L264" s="1" t="n">
        <v>0</v>
      </c>
      <c r="M264" s="1" t="n">
        <v>0</v>
      </c>
      <c r="N264" s="1" t="s">
        <v>230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0" t="n">
        <f aca="false">I264+0</f>
        <v>61.2</v>
      </c>
      <c r="AB264" s="0" t="n">
        <f aca="false">IF(Z264&gt;360,Z264-360,Z264+0)</f>
        <v>61.2</v>
      </c>
      <c r="AC264" s="1"/>
      <c r="AD264" s="1"/>
      <c r="AE264" s="1"/>
      <c r="AF264" s="1"/>
    </row>
    <row r="265" customFormat="false" ht="15.8" hidden="false" customHeight="false" outlineLevel="0" collapsed="false">
      <c r="A265" s="1" t="n">
        <v>11</v>
      </c>
      <c r="B265" s="1" t="n">
        <v>10</v>
      </c>
      <c r="C265" s="1" t="n">
        <v>2.7</v>
      </c>
      <c r="D265" s="1" t="n">
        <v>1.2042</v>
      </c>
      <c r="E265" s="1" t="n">
        <v>0.0734416</v>
      </c>
      <c r="F265" s="1" t="n">
        <v>0.000159814</v>
      </c>
      <c r="G265" s="1" t="s">
        <v>52</v>
      </c>
      <c r="H265" s="1" t="n">
        <v>36.7</v>
      </c>
      <c r="I265" s="1" t="n">
        <v>14</v>
      </c>
      <c r="J265" s="1" t="n">
        <v>0</v>
      </c>
      <c r="K265" s="1" t="n">
        <v>64.8</v>
      </c>
      <c r="L265" s="1" t="n">
        <v>0</v>
      </c>
      <c r="M265" s="1" t="n">
        <v>0</v>
      </c>
      <c r="N265" s="1" t="s">
        <v>229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0" t="n">
        <f aca="false">I265+0</f>
        <v>14</v>
      </c>
      <c r="AB265" s="0" t="n">
        <f aca="false">IF(Z265&gt;360,Z265-360,Z265+0)</f>
        <v>14</v>
      </c>
      <c r="AC265" s="1"/>
      <c r="AD265" s="1"/>
      <c r="AE265" s="1"/>
      <c r="AF265" s="1"/>
    </row>
    <row r="266" customFormat="false" ht="15.8" hidden="false" customHeight="false" outlineLevel="0" collapsed="false">
      <c r="A266" s="1" t="n">
        <v>11</v>
      </c>
      <c r="B266" s="1" t="n">
        <v>9</v>
      </c>
      <c r="C266" s="1" t="n">
        <v>0.5</v>
      </c>
      <c r="D266" s="1" t="n">
        <v>1.0224</v>
      </c>
      <c r="E266" s="1" t="n">
        <v>0.0128565</v>
      </c>
      <c r="F266" s="1" t="n">
        <v>2.79767E-005</v>
      </c>
      <c r="G266" s="1" t="s">
        <v>52</v>
      </c>
      <c r="H266" s="1" t="n">
        <v>38.5</v>
      </c>
      <c r="I266" s="1" t="n">
        <v>50.8</v>
      </c>
      <c r="J266" s="1" t="n">
        <v>0</v>
      </c>
      <c r="K266" s="1" t="n">
        <v>80.7</v>
      </c>
      <c r="L266" s="1" t="n">
        <v>0</v>
      </c>
      <c r="M266" s="1" t="n">
        <v>0</v>
      </c>
      <c r="N266" s="1" t="s">
        <v>226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0" t="n">
        <f aca="false">I266+0</f>
        <v>50.8</v>
      </c>
      <c r="AB266" s="0" t="n">
        <f aca="false">IF(Z266&gt;360,Z266-360,Z266+0)</f>
        <v>50.8</v>
      </c>
      <c r="AC266" s="1"/>
      <c r="AD266" s="1"/>
      <c r="AE266" s="1"/>
      <c r="AF266" s="1"/>
    </row>
    <row r="267" customFormat="false" ht="15.8" hidden="false" customHeight="false" outlineLevel="0" collapsed="false">
      <c r="A267" s="1" t="n">
        <v>11</v>
      </c>
      <c r="B267" s="1" t="n">
        <v>8</v>
      </c>
      <c r="C267" s="1" t="n">
        <v>1.5</v>
      </c>
      <c r="D267" s="1" t="n">
        <v>1.0388</v>
      </c>
      <c r="E267" s="1" t="n">
        <v>0.041998</v>
      </c>
      <c r="F267" s="1" t="n">
        <v>9.13906E-005</v>
      </c>
      <c r="G267" s="1" t="s">
        <v>52</v>
      </c>
      <c r="H267" s="1" t="n">
        <v>44.5</v>
      </c>
      <c r="I267" s="1" t="n">
        <v>12.2</v>
      </c>
      <c r="J267" s="1" t="n">
        <v>0</v>
      </c>
      <c r="K267" s="1" t="n">
        <v>53.9</v>
      </c>
      <c r="L267" s="1" t="n">
        <v>0</v>
      </c>
      <c r="M267" s="1" t="n">
        <v>0</v>
      </c>
      <c r="N267" s="1" t="s">
        <v>231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0" t="n">
        <f aca="false">I267+0</f>
        <v>12.2</v>
      </c>
      <c r="AB267" s="0" t="n">
        <f aca="false">IF(Z267&gt;360,Z267-360,Z267+0)</f>
        <v>12.2</v>
      </c>
      <c r="AC267" s="1"/>
      <c r="AD267" s="1"/>
      <c r="AE267" s="1"/>
      <c r="AF267" s="1"/>
    </row>
    <row r="268" customFormat="false" ht="15.8" hidden="false" customHeight="false" outlineLevel="0" collapsed="false">
      <c r="A268" s="1" t="n">
        <v>11</v>
      </c>
      <c r="B268" s="1" t="n">
        <v>8</v>
      </c>
      <c r="C268" s="1" t="n">
        <v>1</v>
      </c>
      <c r="D268" s="1" t="n">
        <v>1.0279</v>
      </c>
      <c r="E268" s="1" t="n">
        <v>0.0264348</v>
      </c>
      <c r="F268" s="1" t="n">
        <v>5.75241E-005</v>
      </c>
      <c r="G268" s="1" t="s">
        <v>27</v>
      </c>
      <c r="H268" s="1" t="n">
        <v>65.7</v>
      </c>
      <c r="I268" s="1" t="n">
        <v>262</v>
      </c>
      <c r="J268" s="1" t="n">
        <v>0</v>
      </c>
      <c r="K268" s="1"/>
      <c r="L268" s="1" t="n">
        <v>0</v>
      </c>
      <c r="M268" s="1" t="n">
        <v>0</v>
      </c>
      <c r="N268" s="1" t="s">
        <v>231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0" t="n">
        <f aca="false">I268+0</f>
        <v>262</v>
      </c>
      <c r="AB268" s="0" t="n">
        <f aca="false">IF(Z268&gt;360,Z268-360,Z268+0)</f>
        <v>262</v>
      </c>
      <c r="AC268" s="1"/>
      <c r="AD268" s="1"/>
      <c r="AE268" s="1"/>
      <c r="AF268" s="1"/>
    </row>
    <row r="269" customFormat="false" ht="15.8" hidden="false" customHeight="false" outlineLevel="0" collapsed="false">
      <c r="A269" s="1" t="n">
        <v>11</v>
      </c>
      <c r="B269" s="1" t="n">
        <v>7</v>
      </c>
      <c r="C269" s="1" t="n">
        <v>0.4</v>
      </c>
      <c r="D269" s="1" t="n">
        <v>1.0107</v>
      </c>
      <c r="E269" s="1" t="n">
        <v>0.0108125</v>
      </c>
      <c r="F269" s="1" t="n">
        <v>2.35289E-005</v>
      </c>
      <c r="G269" s="1" t="s">
        <v>52</v>
      </c>
      <c r="H269" s="1" t="n">
        <v>24.5</v>
      </c>
      <c r="I269" s="1" t="n">
        <v>327.7</v>
      </c>
      <c r="J269" s="1" t="n">
        <v>0</v>
      </c>
      <c r="K269" s="1" t="n">
        <v>65.7</v>
      </c>
      <c r="L269" s="1" t="n">
        <v>0</v>
      </c>
      <c r="M269" s="1" t="n">
        <v>0</v>
      </c>
      <c r="N269" s="1" t="s">
        <v>205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0" t="n">
        <f aca="false">I269+0</f>
        <v>327.7</v>
      </c>
      <c r="AB269" s="0" t="n">
        <f aca="false">IF(Z269&gt;360,Z269-360,Z269+0)</f>
        <v>327.7</v>
      </c>
      <c r="AC269" s="1"/>
      <c r="AD269" s="1"/>
      <c r="AE269" s="1"/>
      <c r="AF269" s="1"/>
    </row>
    <row r="270" customFormat="false" ht="15.8" hidden="false" customHeight="false" outlineLevel="0" collapsed="false">
      <c r="A270" s="1" t="n">
        <v>11</v>
      </c>
      <c r="B270" s="1" t="n">
        <v>6</v>
      </c>
      <c r="C270" s="1" t="n">
        <v>1.5</v>
      </c>
      <c r="D270" s="1" t="n">
        <v>1.1451</v>
      </c>
      <c r="E270" s="1" t="n">
        <v>0.0401658</v>
      </c>
      <c r="F270" s="1" t="n">
        <v>8.74036E-005</v>
      </c>
      <c r="G270" s="1" t="s">
        <v>52</v>
      </c>
      <c r="H270" s="1" t="n">
        <v>19.5</v>
      </c>
      <c r="I270" s="1" t="n">
        <v>352.2</v>
      </c>
      <c r="J270" s="1" t="n">
        <v>0</v>
      </c>
      <c r="K270" s="1" t="n">
        <v>96.3</v>
      </c>
      <c r="L270" s="1" t="n">
        <v>0</v>
      </c>
      <c r="M270" s="1" t="n">
        <v>0</v>
      </c>
      <c r="N270" s="1" t="s">
        <v>232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0" t="n">
        <f aca="false">I270+0</f>
        <v>352.2</v>
      </c>
      <c r="AB270" s="0" t="n">
        <f aca="false">IF(Z270&gt;360,Z270-360,Z270+0)</f>
        <v>352.2</v>
      </c>
      <c r="AC270" s="1"/>
      <c r="AD270" s="1"/>
      <c r="AE270" s="1"/>
      <c r="AF270" s="1"/>
    </row>
    <row r="271" customFormat="false" ht="15.8" hidden="false" customHeight="false" outlineLevel="0" collapsed="false">
      <c r="A271" s="1" t="n">
        <v>11</v>
      </c>
      <c r="B271" s="1" t="n">
        <v>6</v>
      </c>
      <c r="C271" s="1" t="n">
        <v>1.2</v>
      </c>
      <c r="D271" s="1" t="n">
        <v>1.0163</v>
      </c>
      <c r="E271" s="1" t="n">
        <v>0.0322537</v>
      </c>
      <c r="F271" s="1" t="n">
        <v>7.01863E-005</v>
      </c>
      <c r="G271" s="1" t="s">
        <v>27</v>
      </c>
      <c r="H271" s="1" t="n">
        <v>72.9</v>
      </c>
      <c r="I271" s="1" t="n">
        <v>68.4</v>
      </c>
      <c r="J271" s="1" t="n">
        <v>0</v>
      </c>
      <c r="K271" s="1"/>
      <c r="L271" s="1" t="n">
        <v>0</v>
      </c>
      <c r="M271" s="1" t="n">
        <v>0</v>
      </c>
      <c r="N271" s="1" t="s">
        <v>232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0" t="n">
        <f aca="false">I271+0</f>
        <v>68.4</v>
      </c>
      <c r="AB271" s="0" t="n">
        <f aca="false">IF(Z271&gt;360,Z271-360,Z271+0)</f>
        <v>68.4</v>
      </c>
      <c r="AC271" s="1"/>
      <c r="AD271" s="1"/>
      <c r="AE271" s="1"/>
      <c r="AF271" s="1"/>
    </row>
    <row r="272" customFormat="false" ht="15.8" hidden="false" customHeight="false" outlineLevel="0" collapsed="false">
      <c r="A272" s="1" t="n">
        <v>11</v>
      </c>
      <c r="B272" s="1" t="n">
        <v>5</v>
      </c>
      <c r="C272" s="1" t="n">
        <v>2.7</v>
      </c>
      <c r="D272" s="1" t="n">
        <v>1.1781</v>
      </c>
      <c r="E272" s="1" t="n">
        <v>0.0731069</v>
      </c>
      <c r="F272" s="1" t="n">
        <v>0.000159086</v>
      </c>
      <c r="G272" s="1" t="s">
        <v>52</v>
      </c>
      <c r="H272" s="1" t="n">
        <v>14.3</v>
      </c>
      <c r="I272" s="1" t="n">
        <v>356.5</v>
      </c>
      <c r="J272" s="1" t="n">
        <v>19</v>
      </c>
      <c r="K272" s="1" t="n">
        <v>72.9</v>
      </c>
      <c r="L272" s="1" t="n">
        <v>0</v>
      </c>
      <c r="M272" s="1" t="n">
        <v>0</v>
      </c>
      <c r="N272" s="1" t="s">
        <v>233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0" t="n">
        <f aca="false">I272+0</f>
        <v>356.5</v>
      </c>
      <c r="AB272" s="0" t="n">
        <f aca="false">IF(Z272&gt;360,Z272-360,Z272+0)</f>
        <v>356.5</v>
      </c>
      <c r="AC272" s="1"/>
      <c r="AD272" s="1"/>
      <c r="AE272" s="1"/>
      <c r="AF272" s="1"/>
    </row>
    <row r="273" customFormat="false" ht="15.8" hidden="false" customHeight="false" outlineLevel="0" collapsed="false">
      <c r="A273" s="1" t="n">
        <v>11</v>
      </c>
      <c r="B273" s="1" t="n">
        <v>5</v>
      </c>
      <c r="C273" s="1" t="n">
        <v>1</v>
      </c>
      <c r="D273" s="1" t="n">
        <v>1.1313</v>
      </c>
      <c r="E273" s="1" t="n">
        <v>0.0277213</v>
      </c>
      <c r="F273" s="1" t="n">
        <v>6.03234E-005</v>
      </c>
      <c r="G273" s="1" t="s">
        <v>27</v>
      </c>
      <c r="H273" s="1" t="n">
        <v>98.7</v>
      </c>
      <c r="I273" s="1" t="n">
        <v>79.1</v>
      </c>
      <c r="J273" s="1" t="n">
        <v>-55.7</v>
      </c>
      <c r="K273" s="1"/>
      <c r="L273" s="1" t="n">
        <v>0</v>
      </c>
      <c r="M273" s="1" t="n">
        <v>0</v>
      </c>
      <c r="N273" s="1" t="s">
        <v>233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0" t="n">
        <f aca="false">I273+0</f>
        <v>79.1</v>
      </c>
      <c r="AB273" s="0" t="n">
        <f aca="false">IF(Z273&gt;360,Z273-360,Z273+0)</f>
        <v>79.1</v>
      </c>
      <c r="AC273" s="1"/>
      <c r="AD273" s="1"/>
      <c r="AE273" s="1"/>
      <c r="AF273" s="1"/>
    </row>
    <row r="274" customFormat="false" ht="15.8" hidden="false" customHeight="false" outlineLevel="0" collapsed="false">
      <c r="A274" s="1" t="n">
        <v>11</v>
      </c>
      <c r="B274" s="1" t="n">
        <v>4</v>
      </c>
      <c r="C274" s="1" t="n">
        <v>2.8</v>
      </c>
      <c r="D274" s="1" t="n">
        <v>1.1346</v>
      </c>
      <c r="E274" s="1" t="n">
        <v>0.0764517</v>
      </c>
      <c r="F274" s="1" t="n">
        <v>0.000166364</v>
      </c>
      <c r="G274" s="1" t="s">
        <v>52</v>
      </c>
      <c r="H274" s="1" t="n">
        <v>11.7</v>
      </c>
      <c r="I274" s="1" t="n">
        <v>346.4</v>
      </c>
      <c r="J274" s="1" t="n">
        <v>8.6</v>
      </c>
      <c r="K274" s="1" t="n">
        <v>98.7</v>
      </c>
      <c r="L274" s="1" t="n">
        <v>0</v>
      </c>
      <c r="M274" s="1" t="n">
        <v>0</v>
      </c>
      <c r="N274" s="1" t="s">
        <v>198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0" t="n">
        <f aca="false">I274+0</f>
        <v>346.4</v>
      </c>
      <c r="AB274" s="0" t="n">
        <f aca="false">IF(Z274&gt;360,Z274-360,Z274+0)</f>
        <v>346.4</v>
      </c>
      <c r="AC274" s="1"/>
      <c r="AD274" s="1"/>
      <c r="AE274" s="1"/>
      <c r="AF274" s="1"/>
    </row>
    <row r="275" customFormat="false" ht="15.8" hidden="false" customHeight="false" outlineLevel="0" collapsed="false">
      <c r="A275" s="1" t="n">
        <v>11</v>
      </c>
      <c r="B275" s="1" t="n">
        <v>4</v>
      </c>
      <c r="C275" s="1" t="n">
        <v>2.9</v>
      </c>
      <c r="D275" s="1" t="n">
        <v>1.1692</v>
      </c>
      <c r="E275" s="1" t="n">
        <v>0.0796531</v>
      </c>
      <c r="F275" s="1" t="n">
        <v>0.000173331</v>
      </c>
      <c r="G275" s="1" t="s">
        <v>27</v>
      </c>
      <c r="H275" s="1" t="n">
        <v>160.8</v>
      </c>
      <c r="I275" s="1" t="n">
        <v>182.7</v>
      </c>
      <c r="J275" s="1" t="n">
        <v>17.3</v>
      </c>
      <c r="K275" s="1"/>
      <c r="L275" s="1" t="n">
        <v>0</v>
      </c>
      <c r="M275" s="1" t="n">
        <v>0</v>
      </c>
      <c r="N275" s="1" t="s">
        <v>198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0" t="n">
        <f aca="false">I275+0</f>
        <v>182.7</v>
      </c>
      <c r="AB275" s="0" t="n">
        <f aca="false">IF(Z275&gt;360,Z275-360,Z275+0)</f>
        <v>182.7</v>
      </c>
      <c r="AC275" s="1"/>
      <c r="AD275" s="1"/>
      <c r="AE275" s="1"/>
      <c r="AF275" s="1"/>
    </row>
    <row r="276" customFormat="false" ht="15.8" hidden="false" customHeight="false" outlineLevel="0" collapsed="false">
      <c r="A276" s="1" t="n">
        <v>11</v>
      </c>
      <c r="B276" s="1" t="n">
        <v>3</v>
      </c>
      <c r="C276" s="1" t="n">
        <v>2.4</v>
      </c>
      <c r="D276" s="1" t="n">
        <v>1.0754</v>
      </c>
      <c r="E276" s="1" t="n">
        <v>0.0663754</v>
      </c>
      <c r="F276" s="1" t="n">
        <v>0.000144437</v>
      </c>
      <c r="G276" s="1" t="s">
        <v>52</v>
      </c>
      <c r="H276" s="1" t="n">
        <v>13.2</v>
      </c>
      <c r="I276" s="1" t="n">
        <v>354.2</v>
      </c>
      <c r="J276" s="1" t="n">
        <v>0</v>
      </c>
      <c r="K276" s="1" t="n">
        <v>160.8</v>
      </c>
      <c r="L276" s="1" t="n">
        <v>0</v>
      </c>
      <c r="M276" s="1" t="n">
        <v>0</v>
      </c>
      <c r="N276" s="1" t="s">
        <v>234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0" t="n">
        <f aca="false">I276+0</f>
        <v>354.2</v>
      </c>
      <c r="AB276" s="0" t="n">
        <f aca="false">IF(Z276&gt;360,Z276-360,Z276+0)</f>
        <v>354.2</v>
      </c>
      <c r="AC276" s="1"/>
      <c r="AD276" s="1"/>
      <c r="AE276" s="1"/>
      <c r="AF276" s="1"/>
    </row>
    <row r="277" customFormat="false" ht="15.8" hidden="false" customHeight="false" outlineLevel="0" collapsed="false">
      <c r="A277" s="1" t="n">
        <v>11</v>
      </c>
      <c r="B277" s="1" t="n">
        <v>4</v>
      </c>
      <c r="C277" s="1" t="n">
        <v>9.9</v>
      </c>
      <c r="D277" s="1" t="n">
        <v>1.5675</v>
      </c>
      <c r="E277" s="1" t="n">
        <v>0.270861</v>
      </c>
      <c r="F277" s="1" t="n">
        <v>0.000589412</v>
      </c>
      <c r="G277" s="1" t="s">
        <v>27</v>
      </c>
      <c r="H277" s="1" t="n">
        <v>29.6</v>
      </c>
      <c r="I277" s="1" t="n">
        <v>290.7</v>
      </c>
      <c r="J277" s="1" t="n">
        <v>3.4</v>
      </c>
      <c r="K277" s="1"/>
      <c r="L277" s="1" t="n">
        <v>0</v>
      </c>
      <c r="M277" s="1" t="n">
        <v>0</v>
      </c>
      <c r="N277" s="1" t="s">
        <v>235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0" t="n">
        <f aca="false">I277+0</f>
        <v>290.7</v>
      </c>
      <c r="AB277" s="0" t="n">
        <f aca="false">IF(Z277&gt;360,Z277-360,Z277+0)</f>
        <v>290.7</v>
      </c>
      <c r="AC277" s="1"/>
      <c r="AD277" s="1"/>
      <c r="AE277" s="1"/>
      <c r="AF277" s="1"/>
    </row>
    <row r="278" customFormat="false" ht="15.8" hidden="false" customHeight="false" outlineLevel="0" collapsed="false">
      <c r="A278" s="1" t="n">
        <v>11</v>
      </c>
      <c r="B278" s="1" t="n">
        <v>4</v>
      </c>
      <c r="C278" s="1" t="n">
        <v>1.2</v>
      </c>
      <c r="D278" s="1" t="n">
        <v>1.1727</v>
      </c>
      <c r="E278" s="1" t="n">
        <v>0.0317802</v>
      </c>
      <c r="F278" s="1" t="n">
        <v>6.9156E-005</v>
      </c>
      <c r="G278" s="1" t="s">
        <v>27</v>
      </c>
      <c r="H278" s="1" t="n">
        <v>118.6</v>
      </c>
      <c r="I278" s="1" t="n">
        <v>18.8</v>
      </c>
      <c r="J278" s="1" t="n">
        <v>-21.9</v>
      </c>
      <c r="K278" s="1"/>
      <c r="L278" s="1" t="n">
        <v>0</v>
      </c>
      <c r="M278" s="1" t="n">
        <v>0</v>
      </c>
      <c r="N278" s="1" t="s">
        <v>235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0" t="n">
        <f aca="false">I278+0</f>
        <v>18.8</v>
      </c>
      <c r="AB278" s="0" t="n">
        <f aca="false">IF(Z278&gt;360,Z278-360,Z278+0)</f>
        <v>18.8</v>
      </c>
      <c r="AC278" s="1"/>
      <c r="AD278" s="1"/>
      <c r="AE278" s="1"/>
      <c r="AF278" s="1"/>
    </row>
    <row r="279" customFormat="false" ht="15.8" hidden="false" customHeight="false" outlineLevel="0" collapsed="false">
      <c r="A279" s="1" t="n">
        <v>11</v>
      </c>
      <c r="B279" s="1" t="n">
        <v>3</v>
      </c>
      <c r="C279" s="1" t="n">
        <v>2.9</v>
      </c>
      <c r="D279" s="1" t="n">
        <v>1.1972</v>
      </c>
      <c r="E279" s="1" t="n">
        <v>0.079316</v>
      </c>
      <c r="F279" s="1" t="n">
        <v>0.000172597</v>
      </c>
      <c r="G279" s="1" t="s">
        <v>52</v>
      </c>
      <c r="H279" s="1" t="n">
        <v>83.4</v>
      </c>
      <c r="I279" s="1" t="n">
        <v>261.4</v>
      </c>
      <c r="J279" s="1" t="n">
        <v>8.8</v>
      </c>
      <c r="K279" s="1" t="n">
        <v>118.6</v>
      </c>
      <c r="L279" s="1" t="n">
        <v>0</v>
      </c>
      <c r="M279" s="1" t="n">
        <v>0</v>
      </c>
      <c r="N279" s="1" t="s">
        <v>234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0" t="n">
        <f aca="false">I279+0</f>
        <v>261.4</v>
      </c>
      <c r="AB279" s="0" t="n">
        <f aca="false">IF(Z279&gt;360,Z279-360,Z279+0)</f>
        <v>261.4</v>
      </c>
      <c r="AC279" s="1"/>
      <c r="AD279" s="1"/>
      <c r="AE279" s="1"/>
      <c r="AF279" s="1"/>
    </row>
    <row r="280" customFormat="false" ht="15.8" hidden="false" customHeight="false" outlineLevel="0" collapsed="false">
      <c r="A280" s="1" t="n">
        <v>11</v>
      </c>
      <c r="B280" s="1" t="n">
        <v>3</v>
      </c>
      <c r="C280" s="1" t="n">
        <v>3</v>
      </c>
      <c r="D280" s="1" t="n">
        <v>2.2048</v>
      </c>
      <c r="E280" s="1" t="n">
        <v>0.081369</v>
      </c>
      <c r="F280" s="1" t="n">
        <v>0.000177065</v>
      </c>
      <c r="G280" s="1" t="s">
        <v>27</v>
      </c>
      <c r="H280" s="1" t="n">
        <v>133</v>
      </c>
      <c r="I280" s="1" t="n">
        <v>120.2</v>
      </c>
      <c r="J280" s="1" t="n">
        <v>0</v>
      </c>
      <c r="K280" s="1"/>
      <c r="L280" s="1" t="n">
        <v>0</v>
      </c>
      <c r="M280" s="1" t="n">
        <v>0</v>
      </c>
      <c r="N280" s="1" t="s">
        <v>234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0" t="n">
        <f aca="false">I280+0</f>
        <v>120.2</v>
      </c>
      <c r="AB280" s="0" t="n">
        <f aca="false">IF(Z280&gt;360,Z280-360,Z280+0)</f>
        <v>120.2</v>
      </c>
      <c r="AC280" s="1"/>
      <c r="AD280" s="1"/>
      <c r="AE280" s="1"/>
      <c r="AF280" s="1"/>
    </row>
    <row r="281" customFormat="false" ht="15.8" hidden="false" customHeight="false" outlineLevel="0" collapsed="false">
      <c r="A281" s="1" t="n">
        <v>11</v>
      </c>
      <c r="B281" s="1" t="n">
        <v>2</v>
      </c>
      <c r="C281" s="1" t="n">
        <v>5.2</v>
      </c>
      <c r="D281" s="1" t="n">
        <v>1.2777</v>
      </c>
      <c r="E281" s="1" t="n">
        <v>0.141061</v>
      </c>
      <c r="F281" s="1" t="n">
        <v>0.00030696</v>
      </c>
      <c r="G281" s="1" t="s">
        <v>52</v>
      </c>
      <c r="H281" s="1" t="n">
        <v>7.4</v>
      </c>
      <c r="I281" s="1" t="n">
        <v>346.3</v>
      </c>
      <c r="J281" s="1" t="n">
        <v>10.6</v>
      </c>
      <c r="K281" s="1" t="n">
        <v>133</v>
      </c>
      <c r="L281" s="1" t="n">
        <v>0</v>
      </c>
      <c r="M281" s="1" t="n">
        <v>0</v>
      </c>
      <c r="N281" s="1" t="s">
        <v>236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0" t="n">
        <f aca="false">I281+0</f>
        <v>346.3</v>
      </c>
      <c r="AB281" s="0" t="n">
        <f aca="false">IF(Z281&gt;360,Z281-360,Z281+0)</f>
        <v>346.3</v>
      </c>
      <c r="AC281" s="1"/>
      <c r="AD281" s="1"/>
      <c r="AE281" s="1"/>
      <c r="AF281" s="1"/>
    </row>
    <row r="282" customFormat="false" ht="15.8" hidden="false" customHeight="false" outlineLevel="0" collapsed="false">
      <c r="A282" s="1" t="n">
        <v>11</v>
      </c>
      <c r="B282" s="1" t="n">
        <v>4</v>
      </c>
      <c r="C282" s="1" t="n">
        <v>2</v>
      </c>
      <c r="D282" s="1" t="n">
        <v>1.4628</v>
      </c>
      <c r="E282" s="1" t="n">
        <v>0.0533413</v>
      </c>
      <c r="F282" s="1" t="n">
        <v>0.000116074</v>
      </c>
      <c r="G282" s="1" t="s">
        <v>27</v>
      </c>
      <c r="H282" s="1" t="n">
        <v>23.4</v>
      </c>
      <c r="I282" s="1" t="n">
        <v>46.9</v>
      </c>
      <c r="J282" s="1" t="n">
        <v>56.3</v>
      </c>
      <c r="K282" s="1"/>
      <c r="L282" s="1" t="n">
        <v>0</v>
      </c>
      <c r="M282" s="1" t="n">
        <v>0</v>
      </c>
      <c r="N282" s="1" t="s">
        <v>237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0" t="n">
        <f aca="false">I282+0</f>
        <v>46.9</v>
      </c>
      <c r="AB282" s="0" t="n">
        <f aca="false">IF(Z282&gt;360,Z282-360,Z282+0)</f>
        <v>46.9</v>
      </c>
      <c r="AC282" s="1"/>
      <c r="AD282" s="1"/>
      <c r="AE282" s="1"/>
      <c r="AF282" s="1"/>
    </row>
    <row r="283" customFormat="false" ht="15.8" hidden="false" customHeight="false" outlineLevel="0" collapsed="false">
      <c r="A283" s="1" t="n">
        <v>11</v>
      </c>
      <c r="B283" s="1" t="n">
        <v>4</v>
      </c>
      <c r="C283" s="1" t="n">
        <v>4.9</v>
      </c>
      <c r="D283" s="1" t="n">
        <v>1.3994</v>
      </c>
      <c r="E283" s="1" t="n">
        <v>0.13404</v>
      </c>
      <c r="F283" s="1" t="n">
        <v>0.00029168</v>
      </c>
      <c r="G283" s="1" t="s">
        <v>27</v>
      </c>
      <c r="H283" s="1" t="n">
        <v>15.6</v>
      </c>
      <c r="I283" s="1" t="n">
        <v>19.9</v>
      </c>
      <c r="J283" s="1" t="n">
        <v>25</v>
      </c>
      <c r="K283" s="1"/>
      <c r="L283" s="1" t="n">
        <v>0</v>
      </c>
      <c r="M283" s="1" t="n">
        <v>0</v>
      </c>
      <c r="N283" s="1" t="s">
        <v>237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0" t="n">
        <f aca="false">I283+0</f>
        <v>19.9</v>
      </c>
      <c r="AB283" s="0" t="n">
        <f aca="false">IF(Z283&gt;360,Z283-360,Z283+0)</f>
        <v>19.9</v>
      </c>
      <c r="AC283" s="1"/>
      <c r="AD283" s="1"/>
      <c r="AE283" s="1"/>
      <c r="AF283" s="1"/>
    </row>
    <row r="284" customFormat="false" ht="15.8" hidden="false" customHeight="false" outlineLevel="0" collapsed="false">
      <c r="A284" s="1" t="n">
        <v>11</v>
      </c>
      <c r="B284" s="1" t="n">
        <v>3</v>
      </c>
      <c r="C284" s="1" t="n">
        <v>1.6</v>
      </c>
      <c r="D284" s="1" t="n">
        <v>1.2222</v>
      </c>
      <c r="E284" s="1" t="n">
        <v>0.0435333</v>
      </c>
      <c r="F284" s="1" t="n">
        <v>9.47314E-005</v>
      </c>
      <c r="G284" s="1" t="s">
        <v>52</v>
      </c>
      <c r="H284" s="1" t="n">
        <v>46.2</v>
      </c>
      <c r="I284" s="1" t="n">
        <v>34.1</v>
      </c>
      <c r="J284" s="1" t="n">
        <v>34.6</v>
      </c>
      <c r="K284" s="1" t="n">
        <v>23.4</v>
      </c>
      <c r="L284" s="1" t="n">
        <v>0</v>
      </c>
      <c r="M284" s="1" t="n">
        <v>0</v>
      </c>
      <c r="N284" s="1" t="s">
        <v>238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0" t="n">
        <f aca="false">I284+0</f>
        <v>34.1</v>
      </c>
      <c r="AB284" s="0" t="n">
        <f aca="false">IF(Z284&gt;360,Z284-360,Z284+0)</f>
        <v>34.1</v>
      </c>
      <c r="AC284" s="1"/>
      <c r="AD284" s="1"/>
      <c r="AE284" s="1"/>
      <c r="AF284" s="1"/>
    </row>
    <row r="285" customFormat="false" ht="15.8" hidden="false" customHeight="false" outlineLevel="0" collapsed="false">
      <c r="A285" s="1" t="n">
        <v>11</v>
      </c>
      <c r="B285" s="1" t="n">
        <v>3</v>
      </c>
      <c r="C285" s="1" t="n">
        <v>3.3</v>
      </c>
      <c r="D285" s="1" t="n">
        <v>1.2804</v>
      </c>
      <c r="E285" s="1" t="n">
        <v>0.0900934</v>
      </c>
      <c r="F285" s="1" t="n">
        <v>0.000196049</v>
      </c>
      <c r="G285" s="1" t="s">
        <v>27</v>
      </c>
      <c r="H285" s="1" t="n">
        <v>112.8</v>
      </c>
      <c r="I285" s="1" t="n">
        <v>190.1</v>
      </c>
      <c r="J285" s="1" t="n">
        <v>0</v>
      </c>
      <c r="K285" s="1"/>
      <c r="L285" s="1" t="n">
        <v>0</v>
      </c>
      <c r="M285" s="1" t="n">
        <v>0</v>
      </c>
      <c r="N285" s="1" t="s">
        <v>238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0" t="n">
        <f aca="false">I285+0</f>
        <v>190.1</v>
      </c>
      <c r="AB285" s="0" t="n">
        <f aca="false">IF(Z285&gt;360,Z285-360,Z285+0)</f>
        <v>190.1</v>
      </c>
      <c r="AC285" s="1"/>
      <c r="AD285" s="1"/>
      <c r="AE285" s="1"/>
      <c r="AF285" s="1"/>
    </row>
    <row r="286" customFormat="false" ht="15.8" hidden="false" customHeight="false" outlineLevel="0" collapsed="false">
      <c r="A286" s="1" t="n">
        <v>11</v>
      </c>
      <c r="B286" s="1" t="n">
        <v>2</v>
      </c>
      <c r="C286" s="1" t="n">
        <v>0.9</v>
      </c>
      <c r="D286" s="1" t="n">
        <v>1.1236</v>
      </c>
      <c r="E286" s="1" t="n">
        <v>0.0259744</v>
      </c>
      <c r="F286" s="1" t="n">
        <v>5.65221E-005</v>
      </c>
      <c r="G286" s="1" t="s">
        <v>52</v>
      </c>
      <c r="H286" s="1" t="n">
        <v>55.3</v>
      </c>
      <c r="I286" s="1" t="n">
        <v>333.4</v>
      </c>
      <c r="J286" s="1" t="n">
        <v>61.1</v>
      </c>
      <c r="K286" s="1" t="n">
        <v>112.8</v>
      </c>
      <c r="L286" s="1" t="n">
        <v>0</v>
      </c>
      <c r="M286" s="1" t="n">
        <v>0</v>
      </c>
      <c r="N286" s="1" t="s">
        <v>236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0" t="n">
        <f aca="false">I286+0</f>
        <v>333.4</v>
      </c>
      <c r="AB286" s="0" t="n">
        <f aca="false">IF(Z286&gt;360,Z286-360,Z286+0)</f>
        <v>333.4</v>
      </c>
      <c r="AC286" s="1"/>
      <c r="AD286" s="1"/>
      <c r="AE286" s="1"/>
      <c r="AF286" s="1"/>
    </row>
    <row r="287" customFormat="false" ht="15.8" hidden="false" customHeight="false" outlineLevel="0" collapsed="false">
      <c r="A287" s="1" t="n">
        <v>11</v>
      </c>
      <c r="B287" s="1" t="n">
        <v>1</v>
      </c>
      <c r="C287" s="1" t="n">
        <v>6.2</v>
      </c>
      <c r="D287" s="1" t="n">
        <v>1.1263</v>
      </c>
      <c r="E287" s="1" t="n">
        <v>0.168639</v>
      </c>
      <c r="F287" s="1" t="n">
        <v>0.000366969</v>
      </c>
      <c r="G287" s="1" t="s">
        <v>52</v>
      </c>
      <c r="H287" s="1"/>
      <c r="I287" s="1" t="n">
        <v>353.3</v>
      </c>
      <c r="J287" s="1" t="n">
        <v>7.8</v>
      </c>
      <c r="K287" s="1" t="n">
        <v>55.3</v>
      </c>
      <c r="L287" s="1" t="n">
        <v>0</v>
      </c>
      <c r="M287" s="1" t="n">
        <v>0</v>
      </c>
      <c r="N287" s="1" t="s">
        <v>239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0" t="n">
        <f aca="false">I287+0</f>
        <v>353.3</v>
      </c>
      <c r="AB287" s="0" t="n">
        <f aca="false">IF(Z287&gt;360,Z287-360,Z287+0)</f>
        <v>353.3</v>
      </c>
      <c r="AC287" s="1"/>
      <c r="AD287" s="1"/>
      <c r="AE287" s="1"/>
      <c r="AF287" s="1"/>
    </row>
    <row r="288" customFormat="false" ht="15.8" hidden="false" customHeight="false" outlineLevel="0" collapsed="false">
      <c r="A288" s="1" t="n">
        <v>12</v>
      </c>
      <c r="B288" s="1" t="n">
        <v>2</v>
      </c>
      <c r="C288" s="1" t="n">
        <v>1.7</v>
      </c>
      <c r="D288" s="1" t="n">
        <v>1.4033</v>
      </c>
      <c r="E288" s="1" t="n">
        <v>0.0453187</v>
      </c>
      <c r="F288" s="1" t="n">
        <v>9.86167E-005</v>
      </c>
      <c r="G288" s="1" t="s">
        <v>27</v>
      </c>
      <c r="H288" s="1" t="n">
        <v>104.5</v>
      </c>
      <c r="I288" s="1" t="n">
        <v>212.7</v>
      </c>
      <c r="J288" s="1" t="n">
        <v>-70</v>
      </c>
      <c r="K288" s="1"/>
      <c r="L288" s="1" t="n">
        <v>0</v>
      </c>
      <c r="M288" s="1" t="n">
        <v>0</v>
      </c>
      <c r="N288" s="1" t="s">
        <v>240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0" t="n">
        <f aca="false">I288+0</f>
        <v>212.7</v>
      </c>
      <c r="AB288" s="0" t="n">
        <f aca="false">IF(Z288&gt;360,Z288-360,Z288+0)</f>
        <v>212.7</v>
      </c>
      <c r="AC288" s="1"/>
      <c r="AD288" s="1"/>
      <c r="AE288" s="1"/>
      <c r="AF288" s="1"/>
    </row>
    <row r="289" customFormat="false" ht="15.8" hidden="false" customHeight="false" outlineLevel="0" collapsed="false">
      <c r="A289" s="1" t="n">
        <v>12</v>
      </c>
      <c r="B289" s="1" t="n">
        <v>7</v>
      </c>
      <c r="C289" s="1" t="n">
        <v>1.4</v>
      </c>
      <c r="D289" s="1" t="n">
        <v>1.1621</v>
      </c>
      <c r="E289" s="1" t="n">
        <v>0.0384191</v>
      </c>
      <c r="F289" s="1" t="n">
        <v>8.36026E-005</v>
      </c>
      <c r="G289" s="1" t="s">
        <v>27</v>
      </c>
      <c r="H289" s="1" t="n">
        <v>115.7</v>
      </c>
      <c r="I289" s="1" t="n">
        <v>280.5</v>
      </c>
      <c r="J289" s="1" t="n">
        <v>-37.7</v>
      </c>
      <c r="K289" s="1"/>
      <c r="L289" s="1" t="n">
        <v>0</v>
      </c>
      <c r="M289" s="1" t="n">
        <v>0</v>
      </c>
      <c r="N289" s="1" t="s">
        <v>241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0" t="n">
        <f aca="false">I289+0</f>
        <v>280.5</v>
      </c>
      <c r="AB289" s="0" t="n">
        <f aca="false">IF(Z289&gt;360,Z289-360,Z289+0)</f>
        <v>280.5</v>
      </c>
      <c r="AC289" s="1"/>
      <c r="AD289" s="1"/>
      <c r="AE289" s="1"/>
      <c r="AF289" s="1"/>
    </row>
    <row r="290" customFormat="false" ht="15.8" hidden="false" customHeight="false" outlineLevel="0" collapsed="false">
      <c r="A290" s="1" t="n">
        <v>12</v>
      </c>
      <c r="B290" s="1" t="n">
        <v>9</v>
      </c>
      <c r="C290" s="1" t="n">
        <v>7.7</v>
      </c>
      <c r="D290" s="1" t="n">
        <v>1.4779</v>
      </c>
      <c r="E290" s="1" t="n">
        <v>0.209537</v>
      </c>
      <c r="F290" s="1" t="n">
        <v>0.000455966</v>
      </c>
      <c r="G290" s="1" t="s">
        <v>27</v>
      </c>
      <c r="H290" s="1" t="n">
        <v>8.8</v>
      </c>
      <c r="I290" s="1" t="n">
        <v>134.5</v>
      </c>
      <c r="J290" s="1" t="n">
        <v>8.2</v>
      </c>
      <c r="K290" s="1"/>
      <c r="L290" s="1" t="n">
        <v>0</v>
      </c>
      <c r="M290" s="1" t="n">
        <v>0</v>
      </c>
      <c r="N290" s="1" t="s">
        <v>242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0" t="n">
        <f aca="false">I290+0</f>
        <v>134.5</v>
      </c>
      <c r="AB290" s="0" t="n">
        <f aca="false">IF(Z290&gt;360,Z290-360,Z290+0)</f>
        <v>134.5</v>
      </c>
      <c r="AC290" s="1"/>
      <c r="AD290" s="1"/>
      <c r="AE290" s="1"/>
      <c r="AF290" s="1"/>
    </row>
    <row r="291" customFormat="false" ht="15.8" hidden="false" customHeight="false" outlineLevel="0" collapsed="false">
      <c r="A291" s="1" t="n">
        <v>12</v>
      </c>
      <c r="B291" s="1" t="n">
        <v>10</v>
      </c>
      <c r="C291" s="1" t="n">
        <v>1.8</v>
      </c>
      <c r="D291" s="1" t="n">
        <v>1.4526</v>
      </c>
      <c r="E291" s="1" t="n">
        <v>0.0494205</v>
      </c>
      <c r="F291" s="1" t="n">
        <v>0.000106811</v>
      </c>
      <c r="G291" s="1" t="s">
        <v>27</v>
      </c>
      <c r="H291" s="1" t="n">
        <v>66</v>
      </c>
      <c r="I291" s="1" t="n">
        <v>8.8</v>
      </c>
      <c r="J291" s="1" t="n">
        <v>62</v>
      </c>
      <c r="K291" s="1"/>
      <c r="L291" s="1" t="n">
        <v>0</v>
      </c>
      <c r="M291" s="1" t="n">
        <v>0</v>
      </c>
      <c r="N291" s="1" t="s">
        <v>243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0" t="n">
        <f aca="false">I291+0</f>
        <v>8.8</v>
      </c>
      <c r="AB291" s="0" t="n">
        <f aca="false">IF(Z291&gt;360,Z291-360,Z291+0)</f>
        <v>8.8</v>
      </c>
      <c r="AC291" s="1"/>
      <c r="AD291" s="1"/>
      <c r="AE291" s="1"/>
      <c r="AF291" s="1"/>
    </row>
    <row r="292" customFormat="false" ht="15.8" hidden="false" customHeight="false" outlineLevel="0" collapsed="false">
      <c r="A292" s="1" t="n">
        <v>12</v>
      </c>
      <c r="B292" s="1" t="n">
        <v>10</v>
      </c>
      <c r="C292" s="1" t="n">
        <v>0.5</v>
      </c>
      <c r="D292" s="1" t="n">
        <v>1.045</v>
      </c>
      <c r="E292" s="1" t="n">
        <v>0.0136455</v>
      </c>
      <c r="F292" s="1" t="n">
        <v>2.88149E-005</v>
      </c>
      <c r="G292" s="1" t="s">
        <v>27</v>
      </c>
      <c r="H292" s="1" t="n">
        <v>97.8</v>
      </c>
      <c r="I292" s="1" t="n">
        <v>295.7</v>
      </c>
      <c r="J292" s="1" t="n">
        <v>0</v>
      </c>
      <c r="K292" s="1"/>
      <c r="L292" s="1" t="n">
        <v>0</v>
      </c>
      <c r="M292" s="1" t="n">
        <v>0</v>
      </c>
      <c r="N292" s="1" t="s">
        <v>243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0" t="n">
        <f aca="false">I292+0</f>
        <v>295.7</v>
      </c>
      <c r="AB292" s="0" t="n">
        <f aca="false">IF(Z292&gt;360,Z292-360,Z292+0)</f>
        <v>295.7</v>
      </c>
      <c r="AC292" s="1"/>
      <c r="AD292" s="1"/>
      <c r="AE292" s="1"/>
      <c r="AF292" s="1"/>
    </row>
    <row r="293" customFormat="false" ht="15.8" hidden="false" customHeight="false" outlineLevel="0" collapsed="false">
      <c r="A293" s="1" t="n">
        <v>12</v>
      </c>
      <c r="B293" s="1" t="n">
        <v>10</v>
      </c>
      <c r="C293" s="1" t="n">
        <v>2.8</v>
      </c>
      <c r="D293" s="1" t="n">
        <v>1.2226</v>
      </c>
      <c r="E293" s="1" t="n">
        <v>0.0780293</v>
      </c>
      <c r="F293" s="1" t="n">
        <v>0.000170261</v>
      </c>
      <c r="G293" s="1" t="s">
        <v>27</v>
      </c>
      <c r="H293" s="1" t="n">
        <v>70.9</v>
      </c>
      <c r="I293" s="1" t="n">
        <v>202.6</v>
      </c>
      <c r="J293" s="1" t="n">
        <v>-18.5</v>
      </c>
      <c r="K293" s="1"/>
      <c r="L293" s="1" t="n">
        <v>0</v>
      </c>
      <c r="M293" s="1" t="n">
        <v>0</v>
      </c>
      <c r="N293" s="1" t="s">
        <v>243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0" t="n">
        <f aca="false">I293+0</f>
        <v>202.6</v>
      </c>
      <c r="AB293" s="0" t="n">
        <f aca="false">IF(Z293&gt;360,Z293-360,Z293+0)</f>
        <v>202.6</v>
      </c>
      <c r="AC293" s="1"/>
      <c r="AD293" s="1"/>
      <c r="AE293" s="1"/>
      <c r="AF293" s="1"/>
    </row>
    <row r="294" customFormat="false" ht="15.8" hidden="false" customHeight="false" outlineLevel="0" collapsed="false">
      <c r="A294" s="1" t="n">
        <v>12</v>
      </c>
      <c r="B294" s="1" t="n">
        <v>9</v>
      </c>
      <c r="C294" s="1" t="n">
        <v>2.3</v>
      </c>
      <c r="D294" s="1" t="n">
        <v>1.2047</v>
      </c>
      <c r="E294" s="1" t="n">
        <v>0.0760293</v>
      </c>
      <c r="F294" s="1" t="n">
        <v>0.000203415</v>
      </c>
      <c r="G294" s="1" t="s">
        <v>52</v>
      </c>
      <c r="H294" s="1" t="n">
        <v>73</v>
      </c>
      <c r="I294" s="1" t="n">
        <v>193</v>
      </c>
      <c r="J294" s="1" t="n">
        <v>51.9</v>
      </c>
      <c r="K294" s="1" t="n">
        <v>97.8</v>
      </c>
      <c r="L294" s="1" t="n">
        <v>0</v>
      </c>
      <c r="M294" s="1" t="n">
        <v>0</v>
      </c>
      <c r="N294" s="1" t="s">
        <v>242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0" t="n">
        <f aca="false">I294+0</f>
        <v>193</v>
      </c>
      <c r="AB294" s="0" t="n">
        <f aca="false">IF(Z294&gt;360,Z294-360,Z294+0)</f>
        <v>193</v>
      </c>
      <c r="AC294" s="1"/>
      <c r="AD294" s="1"/>
      <c r="AE294" s="1"/>
      <c r="AF294" s="1"/>
    </row>
    <row r="295" customFormat="false" ht="15.8" hidden="false" customHeight="false" outlineLevel="0" collapsed="false">
      <c r="A295" s="1" t="n">
        <v>12</v>
      </c>
      <c r="B295" s="1" t="n">
        <v>8</v>
      </c>
      <c r="C295" s="1" t="n">
        <v>0.7</v>
      </c>
      <c r="D295" s="1" t="n">
        <v>1.0095</v>
      </c>
      <c r="E295" s="1" t="n">
        <v>0.0178938</v>
      </c>
      <c r="F295" s="1" t="n">
        <v>3.89382E-005</v>
      </c>
      <c r="G295" s="1" t="s">
        <v>52</v>
      </c>
      <c r="H295" s="1" t="n">
        <v>80.1</v>
      </c>
      <c r="I295" s="1" t="n">
        <v>131.2</v>
      </c>
      <c r="J295" s="1" t="n">
        <v>0</v>
      </c>
      <c r="K295" s="1" t="n">
        <v>73</v>
      </c>
      <c r="L295" s="1" t="n">
        <v>0</v>
      </c>
      <c r="M295" s="1" t="n">
        <v>0</v>
      </c>
      <c r="N295" s="1" t="s">
        <v>244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0" t="n">
        <f aca="false">I295+0</f>
        <v>131.2</v>
      </c>
      <c r="AB295" s="0" t="n">
        <f aca="false">IF(Z295&gt;360,Z295-360,Z295+0)</f>
        <v>131.2</v>
      </c>
      <c r="AC295" s="1"/>
      <c r="AD295" s="1"/>
      <c r="AE295" s="1"/>
      <c r="AF295" s="1"/>
    </row>
    <row r="296" customFormat="false" ht="15.8" hidden="false" customHeight="false" outlineLevel="0" collapsed="false">
      <c r="A296" s="1" t="n">
        <v>12</v>
      </c>
      <c r="B296" s="1" t="n">
        <v>15</v>
      </c>
      <c r="C296" s="1" t="n">
        <v>3.3</v>
      </c>
      <c r="D296" s="1" t="n">
        <v>1.085</v>
      </c>
      <c r="E296" s="1" t="n">
        <v>0.0903167</v>
      </c>
      <c r="F296" s="1" t="n">
        <v>0.000196535</v>
      </c>
      <c r="G296" s="1" t="s">
        <v>27</v>
      </c>
      <c r="H296" s="1" t="n">
        <v>44.4</v>
      </c>
      <c r="I296" s="1" t="n">
        <v>249.4</v>
      </c>
      <c r="J296" s="1" t="n">
        <v>7</v>
      </c>
      <c r="K296" s="1"/>
      <c r="L296" s="1" t="n">
        <v>0</v>
      </c>
      <c r="M296" s="1" t="n">
        <v>0</v>
      </c>
      <c r="N296" s="1" t="s">
        <v>245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0" t="n">
        <f aca="false">I296+0</f>
        <v>249.4</v>
      </c>
      <c r="AB296" s="0" t="n">
        <f aca="false">IF(Z296&gt;360,Z296-360,Z296+0)</f>
        <v>249.4</v>
      </c>
      <c r="AC296" s="1"/>
      <c r="AD296" s="1"/>
      <c r="AE296" s="1"/>
      <c r="AF296" s="1"/>
    </row>
    <row r="297" customFormat="false" ht="15.8" hidden="false" customHeight="false" outlineLevel="0" collapsed="false">
      <c r="A297" s="1" t="n">
        <v>12</v>
      </c>
      <c r="B297" s="1" t="n">
        <v>15</v>
      </c>
      <c r="C297" s="1" t="n">
        <v>0.8</v>
      </c>
      <c r="D297" s="1" t="n">
        <v>1.1831</v>
      </c>
      <c r="E297" s="1" t="n">
        <v>0.0226844</v>
      </c>
      <c r="F297" s="1" t="n">
        <v>4.93629E-005</v>
      </c>
      <c r="G297" s="1" t="s">
        <v>27</v>
      </c>
      <c r="H297" s="1" t="n">
        <v>58.8</v>
      </c>
      <c r="I297" s="1" t="n">
        <v>153.1</v>
      </c>
      <c r="J297" s="1" t="n">
        <v>31.8</v>
      </c>
      <c r="K297" s="1"/>
      <c r="L297" s="1" t="n">
        <v>0</v>
      </c>
      <c r="M297" s="1" t="n">
        <v>0</v>
      </c>
      <c r="N297" s="1" t="s">
        <v>245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0" t="n">
        <f aca="false">I297+0</f>
        <v>153.1</v>
      </c>
      <c r="AB297" s="0" t="n">
        <f aca="false">IF(Z297&gt;360,Z297-360,Z297+0)</f>
        <v>153.1</v>
      </c>
      <c r="AC297" s="1"/>
      <c r="AD297" s="1"/>
      <c r="AE297" s="1"/>
      <c r="AF297" s="1"/>
    </row>
    <row r="298" customFormat="false" ht="15.8" hidden="false" customHeight="false" outlineLevel="0" collapsed="false">
      <c r="A298" s="1" t="n">
        <v>12</v>
      </c>
      <c r="B298" s="1" t="n">
        <v>14</v>
      </c>
      <c r="C298" s="1" t="n">
        <v>1.1</v>
      </c>
      <c r="D298" s="1" t="n">
        <v>1.0462</v>
      </c>
      <c r="E298" s="1" t="n">
        <v>0.0295157</v>
      </c>
      <c r="F298" s="1" t="n">
        <v>6.42281E-005</v>
      </c>
      <c r="G298" s="1" t="s">
        <v>52</v>
      </c>
      <c r="H298" s="1" t="n">
        <v>63</v>
      </c>
      <c r="I298" s="1" t="n">
        <v>205.5</v>
      </c>
      <c r="J298" s="1" t="n">
        <v>0</v>
      </c>
      <c r="K298" s="1" t="n">
        <v>58.8</v>
      </c>
      <c r="L298" s="1" t="n">
        <v>0</v>
      </c>
      <c r="M298" s="1" t="n">
        <v>0</v>
      </c>
      <c r="N298" s="1" t="s">
        <v>246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0" t="n">
        <f aca="false">I298+0</f>
        <v>205.5</v>
      </c>
      <c r="AB298" s="0" t="n">
        <f aca="false">IF(Z298&gt;360,Z298-360,Z298+0)</f>
        <v>205.5</v>
      </c>
      <c r="AC298" s="1"/>
      <c r="AD298" s="1"/>
      <c r="AE298" s="1"/>
      <c r="AF298" s="1"/>
    </row>
    <row r="299" customFormat="false" ht="15.8" hidden="false" customHeight="false" outlineLevel="0" collapsed="false">
      <c r="A299" s="1" t="n">
        <v>12</v>
      </c>
      <c r="B299" s="1" t="n">
        <v>14</v>
      </c>
      <c r="C299" s="1" t="n">
        <v>1.4</v>
      </c>
      <c r="D299" s="1" t="n">
        <v>1.175</v>
      </c>
      <c r="E299" s="1" t="n">
        <v>0.0396242</v>
      </c>
      <c r="F299" s="1" t="n">
        <v>8.62251E-005</v>
      </c>
      <c r="G299" s="1" t="s">
        <v>27</v>
      </c>
      <c r="H299" s="1" t="n">
        <v>64.2</v>
      </c>
      <c r="I299" s="1" t="n">
        <v>77.6</v>
      </c>
      <c r="J299" s="1" t="n">
        <v>-17.5</v>
      </c>
      <c r="K299" s="1"/>
      <c r="L299" s="1" t="n">
        <v>0</v>
      </c>
      <c r="M299" s="1" t="n">
        <v>0</v>
      </c>
      <c r="N299" s="1" t="s">
        <v>246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0" t="n">
        <f aca="false">I299+0</f>
        <v>77.6</v>
      </c>
      <c r="AB299" s="0" t="n">
        <f aca="false">IF(Z299&gt;360,Z299-360,Z299+0)</f>
        <v>77.6</v>
      </c>
      <c r="AC299" s="1"/>
      <c r="AD299" s="1"/>
      <c r="AE299" s="1"/>
      <c r="AF299" s="1"/>
    </row>
    <row r="300" customFormat="false" ht="15.8" hidden="false" customHeight="false" outlineLevel="0" collapsed="false">
      <c r="A300" s="1" t="n">
        <v>12</v>
      </c>
      <c r="B300" s="1" t="n">
        <v>13</v>
      </c>
      <c r="C300" s="1" t="n">
        <v>1.7</v>
      </c>
      <c r="D300" s="1" t="n">
        <v>1.1704</v>
      </c>
      <c r="E300" s="1" t="n">
        <v>0.0455855</v>
      </c>
      <c r="F300" s="1" t="n">
        <v>9.91971E-005</v>
      </c>
      <c r="G300" s="1" t="s">
        <v>52</v>
      </c>
      <c r="H300" s="1" t="n">
        <v>4.6</v>
      </c>
      <c r="I300" s="1" t="n">
        <v>147.6</v>
      </c>
      <c r="J300" s="1" t="n">
        <v>-31.3</v>
      </c>
      <c r="K300" s="1" t="n">
        <v>64.2</v>
      </c>
      <c r="L300" s="1" t="n">
        <v>0</v>
      </c>
      <c r="M300" s="1" t="n">
        <v>0</v>
      </c>
      <c r="N300" s="1" t="s">
        <v>247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0" t="n">
        <f aca="false">I300+0</f>
        <v>147.6</v>
      </c>
      <c r="AB300" s="0" t="n">
        <f aca="false">IF(Z300&gt;360,Z300-360,Z300+0)</f>
        <v>147.6</v>
      </c>
      <c r="AC300" s="1"/>
      <c r="AD300" s="1"/>
      <c r="AE300" s="1"/>
      <c r="AF300" s="1"/>
    </row>
    <row r="301" customFormat="false" ht="15.8" hidden="false" customHeight="false" outlineLevel="0" collapsed="false">
      <c r="A301" s="1" t="n">
        <v>12</v>
      </c>
      <c r="B301" s="1" t="n">
        <v>14</v>
      </c>
      <c r="C301" s="1" t="n">
        <v>2.1</v>
      </c>
      <c r="D301" s="1" t="n">
        <v>1.0592</v>
      </c>
      <c r="E301" s="1" t="n">
        <v>0.0569655</v>
      </c>
      <c r="F301" s="1" t="n">
        <v>0.000123961</v>
      </c>
      <c r="G301" s="1" t="s">
        <v>27</v>
      </c>
      <c r="H301" s="1" t="n">
        <v>51.1</v>
      </c>
      <c r="I301" s="1" t="n">
        <v>343.8</v>
      </c>
      <c r="J301" s="1" t="n">
        <v>0</v>
      </c>
      <c r="K301" s="1"/>
      <c r="L301" s="1" t="n">
        <v>0</v>
      </c>
      <c r="M301" s="1" t="n">
        <v>0</v>
      </c>
      <c r="N301" s="1" t="s">
        <v>248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0" t="n">
        <f aca="false">I301+0</f>
        <v>343.8</v>
      </c>
      <c r="AB301" s="0" t="n">
        <f aca="false">IF(Z301&gt;360,Z301-360,Z301+0)</f>
        <v>343.8</v>
      </c>
      <c r="AC301" s="1"/>
      <c r="AD301" s="1"/>
      <c r="AE301" s="1"/>
      <c r="AF301" s="1"/>
    </row>
    <row r="302" customFormat="false" ht="15.8" hidden="false" customHeight="false" outlineLevel="0" collapsed="false">
      <c r="A302" s="1" t="n">
        <v>12</v>
      </c>
      <c r="B302" s="1" t="n">
        <v>14</v>
      </c>
      <c r="C302" s="1" t="n">
        <v>0.6</v>
      </c>
      <c r="D302" s="1" t="n">
        <v>1.015</v>
      </c>
      <c r="E302" s="1" t="n">
        <v>0.0171194</v>
      </c>
      <c r="F302" s="1" t="n">
        <v>3.7253E-005</v>
      </c>
      <c r="G302" s="1" t="s">
        <v>27</v>
      </c>
      <c r="H302" s="1" t="n">
        <v>64</v>
      </c>
      <c r="I302" s="1" t="n">
        <v>98.9</v>
      </c>
      <c r="J302" s="1" t="n">
        <v>0</v>
      </c>
      <c r="K302" s="1"/>
      <c r="L302" s="1" t="n">
        <v>0</v>
      </c>
      <c r="M302" s="1" t="n">
        <v>0</v>
      </c>
      <c r="N302" s="1" t="s">
        <v>248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0" t="n">
        <f aca="false">I302+0</f>
        <v>98.9</v>
      </c>
      <c r="AB302" s="0" t="n">
        <f aca="false">IF(Z302&gt;360,Z302-360,Z302+0)</f>
        <v>98.9</v>
      </c>
      <c r="AC302" s="1"/>
      <c r="AD302" s="1"/>
      <c r="AE302" s="1"/>
      <c r="AF302" s="1"/>
    </row>
    <row r="303" customFormat="false" ht="15.8" hidden="false" customHeight="false" outlineLevel="0" collapsed="false">
      <c r="A303" s="1" t="n">
        <v>12</v>
      </c>
      <c r="B303" s="1" t="n">
        <v>13</v>
      </c>
      <c r="C303" s="1" t="n">
        <v>1.4</v>
      </c>
      <c r="D303" s="1" t="n">
        <v>1.0128</v>
      </c>
      <c r="E303" s="1" t="n">
        <v>0.0379172</v>
      </c>
      <c r="F303" s="1" t="n">
        <v>8.25106E-005</v>
      </c>
      <c r="G303" s="1" t="s">
        <v>52</v>
      </c>
      <c r="H303" s="1" t="n">
        <v>113.8</v>
      </c>
      <c r="I303" s="1" t="n">
        <v>34.9</v>
      </c>
      <c r="J303" s="1" t="n">
        <v>0</v>
      </c>
      <c r="K303" s="1" t="n">
        <v>64</v>
      </c>
      <c r="L303" s="1" t="n">
        <v>0</v>
      </c>
      <c r="M303" s="1" t="n">
        <v>0</v>
      </c>
      <c r="N303" s="1" t="s">
        <v>247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0" t="n">
        <f aca="false">I303+0</f>
        <v>34.9</v>
      </c>
      <c r="AB303" s="0" t="n">
        <f aca="false">IF(Z303&gt;360,Z303-360,Z303+0)</f>
        <v>34.9</v>
      </c>
      <c r="AC303" s="1"/>
      <c r="AD303" s="1"/>
      <c r="AE303" s="1"/>
      <c r="AF303" s="1"/>
    </row>
    <row r="304" customFormat="false" ht="15.8" hidden="false" customHeight="false" outlineLevel="0" collapsed="false">
      <c r="A304" s="1" t="n">
        <v>12</v>
      </c>
      <c r="B304" s="1" t="n">
        <v>13</v>
      </c>
      <c r="C304" s="1" t="n">
        <v>0.7</v>
      </c>
      <c r="D304" s="1" t="n">
        <v>1.0009</v>
      </c>
      <c r="E304" s="1" t="n">
        <v>0.0191143</v>
      </c>
      <c r="F304" s="1" t="n">
        <v>4.1594E-005</v>
      </c>
      <c r="G304" s="1" t="s">
        <v>27</v>
      </c>
      <c r="H304" s="1" t="n">
        <v>104.8</v>
      </c>
      <c r="I304" s="1" t="n">
        <v>260</v>
      </c>
      <c r="J304" s="1" t="n">
        <v>0</v>
      </c>
      <c r="K304" s="1"/>
      <c r="L304" s="1" t="n">
        <v>0</v>
      </c>
      <c r="M304" s="1" t="n">
        <v>0</v>
      </c>
      <c r="N304" s="1" t="s">
        <v>247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0" t="n">
        <f aca="false">I304+0</f>
        <v>260</v>
      </c>
      <c r="AB304" s="0" t="n">
        <f aca="false">IF(Z304&gt;360,Z304-360,Z304+0)</f>
        <v>260</v>
      </c>
      <c r="AC304" s="1"/>
      <c r="AD304" s="1"/>
      <c r="AE304" s="1"/>
      <c r="AF304" s="1"/>
    </row>
    <row r="305" customFormat="false" ht="15.8" hidden="false" customHeight="false" outlineLevel="0" collapsed="false">
      <c r="A305" s="1" t="n">
        <v>12</v>
      </c>
      <c r="B305" s="1" t="n">
        <v>12</v>
      </c>
      <c r="C305" s="1" t="n">
        <v>1.8</v>
      </c>
      <c r="D305" s="1" t="n">
        <v>1.2317</v>
      </c>
      <c r="E305" s="1" t="n">
        <v>0.0495922</v>
      </c>
      <c r="F305" s="1" t="n">
        <v>0.000107916</v>
      </c>
      <c r="G305" s="1" t="s">
        <v>52</v>
      </c>
      <c r="H305" s="1" t="n">
        <v>23.9</v>
      </c>
      <c r="I305" s="1" t="n">
        <v>152.7</v>
      </c>
      <c r="J305" s="1" t="n">
        <v>-30.2</v>
      </c>
      <c r="K305" s="1" t="n">
        <v>113.8</v>
      </c>
      <c r="L305" s="1" t="n">
        <v>0</v>
      </c>
      <c r="M305" s="1" t="n">
        <v>0</v>
      </c>
      <c r="N305" s="1" t="s">
        <v>249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0" t="n">
        <f aca="false">I305+0</f>
        <v>152.7</v>
      </c>
      <c r="AB305" s="0" t="n">
        <f aca="false">IF(Z305&gt;360,Z305-360,Z305+0)</f>
        <v>152.7</v>
      </c>
      <c r="AC305" s="1"/>
      <c r="AD305" s="1"/>
      <c r="AE305" s="1"/>
      <c r="AF305" s="1"/>
    </row>
    <row r="306" customFormat="false" ht="15.8" hidden="false" customHeight="false" outlineLevel="0" collapsed="false">
      <c r="A306" s="1" t="n">
        <v>12</v>
      </c>
      <c r="B306" s="1" t="n">
        <v>12</v>
      </c>
      <c r="C306" s="1" t="n">
        <v>2.1</v>
      </c>
      <c r="D306" s="1" t="n">
        <v>1.1194</v>
      </c>
      <c r="E306" s="1" t="n">
        <v>0.0561322</v>
      </c>
      <c r="F306" s="1" t="n">
        <v>0.000122148</v>
      </c>
      <c r="G306" s="1" t="s">
        <v>27</v>
      </c>
      <c r="H306" s="1" t="n">
        <v>76.8</v>
      </c>
      <c r="I306" s="1" t="n">
        <v>261.4</v>
      </c>
      <c r="J306" s="1" t="n">
        <v>-11.6</v>
      </c>
      <c r="K306" s="1"/>
      <c r="L306" s="1" t="n">
        <v>0</v>
      </c>
      <c r="M306" s="1" t="n">
        <v>0</v>
      </c>
      <c r="N306" s="1" t="s">
        <v>249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0" t="n">
        <f aca="false">I306+0</f>
        <v>261.4</v>
      </c>
      <c r="AB306" s="0" t="n">
        <f aca="false">IF(Z306&gt;360,Z306-360,Z306+0)</f>
        <v>261.4</v>
      </c>
      <c r="AC306" s="1"/>
      <c r="AD306" s="1"/>
      <c r="AE306" s="1"/>
      <c r="AF306" s="1"/>
    </row>
    <row r="307" customFormat="false" ht="15.8" hidden="false" customHeight="false" outlineLevel="0" collapsed="false">
      <c r="A307" s="1" t="n">
        <v>12</v>
      </c>
      <c r="B307" s="1" t="n">
        <v>11</v>
      </c>
      <c r="C307" s="1" t="n">
        <v>0.7</v>
      </c>
      <c r="D307" s="1" t="n">
        <v>1.2186</v>
      </c>
      <c r="E307" s="1" t="n">
        <v>0.0185985</v>
      </c>
      <c r="F307" s="1" t="n">
        <v>4.04717E-005</v>
      </c>
      <c r="G307" s="1" t="s">
        <v>52</v>
      </c>
      <c r="H307" s="1" t="n">
        <v>125.9</v>
      </c>
      <c r="I307" s="1" t="n">
        <v>178.8</v>
      </c>
      <c r="J307" s="1" t="n">
        <v>-41.5</v>
      </c>
      <c r="K307" s="1" t="n">
        <v>76.8</v>
      </c>
      <c r="L307" s="1" t="n">
        <v>0</v>
      </c>
      <c r="M307" s="1" t="n">
        <v>0</v>
      </c>
      <c r="N307" s="1" t="s">
        <v>250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0" t="n">
        <f aca="false">I307+0</f>
        <v>178.8</v>
      </c>
      <c r="AB307" s="0" t="n">
        <f aca="false">IF(Z307&gt;360,Z307-360,Z307+0)</f>
        <v>178.8</v>
      </c>
      <c r="AC307" s="1"/>
      <c r="AD307" s="1"/>
      <c r="AE307" s="1"/>
      <c r="AF307" s="1"/>
    </row>
    <row r="308" customFormat="false" ht="15.8" hidden="false" customHeight="false" outlineLevel="0" collapsed="false">
      <c r="A308" s="1" t="n">
        <v>12</v>
      </c>
      <c r="B308" s="1" t="n">
        <v>11</v>
      </c>
      <c r="C308" s="1" t="n">
        <v>1.6</v>
      </c>
      <c r="D308" s="1" t="n">
        <v>1.1864</v>
      </c>
      <c r="E308" s="1" t="n">
        <v>0.0439545</v>
      </c>
      <c r="F308" s="1" t="n">
        <v>9.56481E-005</v>
      </c>
      <c r="G308" s="1" t="s">
        <v>27</v>
      </c>
      <c r="H308" s="1" t="n">
        <v>56.6</v>
      </c>
      <c r="I308" s="1" t="n">
        <v>351.6</v>
      </c>
      <c r="J308" s="1" t="n">
        <v>33.1</v>
      </c>
      <c r="K308" s="1"/>
      <c r="L308" s="1" t="n">
        <v>0</v>
      </c>
      <c r="M308" s="1" t="n">
        <v>0</v>
      </c>
      <c r="N308" s="1" t="s">
        <v>250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0" t="n">
        <f aca="false">I308+0</f>
        <v>351.6</v>
      </c>
      <c r="AB308" s="0" t="n">
        <f aca="false">IF(Z308&gt;360,Z308-360,Z308+0)</f>
        <v>351.6</v>
      </c>
      <c r="AC308" s="1"/>
      <c r="AD308" s="1"/>
      <c r="AE308" s="1"/>
      <c r="AF308" s="1"/>
    </row>
    <row r="309" customFormat="false" ht="15.8" hidden="false" customHeight="false" outlineLevel="0" collapsed="false">
      <c r="A309" s="1" t="n">
        <v>12</v>
      </c>
      <c r="B309" s="1" t="n">
        <v>10</v>
      </c>
      <c r="C309" s="1" t="n">
        <v>4.6</v>
      </c>
      <c r="D309" s="1" t="n">
        <v>1.5197</v>
      </c>
      <c r="E309" s="1" t="n">
        <v>0.124515</v>
      </c>
      <c r="F309" s="1" t="n">
        <v>0.000270953</v>
      </c>
      <c r="G309" s="1" t="s">
        <v>52</v>
      </c>
      <c r="H309" s="1" t="n">
        <v>85.5</v>
      </c>
      <c r="I309" s="1" t="n">
        <v>46.1</v>
      </c>
      <c r="J309" s="1" t="n">
        <v>7.1</v>
      </c>
      <c r="K309" s="1" t="n">
        <v>125.9</v>
      </c>
      <c r="L309" s="1" t="n">
        <v>0</v>
      </c>
      <c r="M309" s="1" t="n">
        <v>0</v>
      </c>
      <c r="N309" s="1" t="s">
        <v>251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0" t="n">
        <f aca="false">I309+0</f>
        <v>46.1</v>
      </c>
      <c r="AB309" s="0" t="n">
        <f aca="false">IF(Z309&gt;360,Z309-360,Z309+0)</f>
        <v>46.1</v>
      </c>
      <c r="AC309" s="1"/>
      <c r="AD309" s="1"/>
      <c r="AE309" s="1"/>
      <c r="AF309" s="1"/>
    </row>
    <row r="310" customFormat="false" ht="15.8" hidden="false" customHeight="false" outlineLevel="0" collapsed="false">
      <c r="A310" s="1" t="n">
        <v>12</v>
      </c>
      <c r="B310" s="1" t="n">
        <v>10</v>
      </c>
      <c r="C310" s="1" t="n">
        <v>0.7</v>
      </c>
      <c r="D310" s="1" t="n">
        <v>1.0036</v>
      </c>
      <c r="E310" s="1" t="n">
        <v>0.0186043</v>
      </c>
      <c r="F310" s="1" t="n">
        <v>4.04842E-005</v>
      </c>
      <c r="G310" s="1" t="s">
        <v>27</v>
      </c>
      <c r="H310" s="1" t="n">
        <v>77.7</v>
      </c>
      <c r="I310" s="1" t="n">
        <v>245.7</v>
      </c>
      <c r="J310" s="1" t="n">
        <v>0</v>
      </c>
      <c r="K310" s="1"/>
      <c r="L310" s="1" t="n">
        <v>0</v>
      </c>
      <c r="M310" s="1" t="n">
        <v>0</v>
      </c>
      <c r="N310" s="1" t="s">
        <v>251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0" t="n">
        <f aca="false">I310+0</f>
        <v>245.7</v>
      </c>
      <c r="AB310" s="0" t="n">
        <f aca="false">IF(Z310&gt;360,Z310-360,Z310+0)</f>
        <v>245.7</v>
      </c>
      <c r="AC310" s="1"/>
      <c r="AD310" s="1"/>
      <c r="AE310" s="1"/>
      <c r="AF310" s="1"/>
    </row>
    <row r="311" customFormat="false" ht="15.8" hidden="false" customHeight="false" outlineLevel="0" collapsed="false">
      <c r="A311" s="1" t="n">
        <v>12</v>
      </c>
      <c r="B311" s="1" t="n">
        <v>9</v>
      </c>
      <c r="C311" s="1" t="n">
        <v>0.5</v>
      </c>
      <c r="D311" s="1" t="n">
        <v>1.1746</v>
      </c>
      <c r="E311" s="1" t="n">
        <v>0.0143865</v>
      </c>
      <c r="F311" s="1" t="n">
        <v>3.1306E-005</v>
      </c>
      <c r="G311" s="1" t="s">
        <v>52</v>
      </c>
      <c r="H311" s="1" t="n">
        <v>46.1</v>
      </c>
      <c r="I311" s="1" t="n">
        <v>313.6</v>
      </c>
      <c r="J311" s="1" t="n">
        <v>55.7</v>
      </c>
      <c r="K311" s="1" t="n">
        <v>85.5</v>
      </c>
      <c r="L311" s="1" t="n">
        <v>0</v>
      </c>
      <c r="M311" s="1" t="n">
        <v>0</v>
      </c>
      <c r="N311" s="1" t="s">
        <v>252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0" t="n">
        <f aca="false">I311+0</f>
        <v>313.6</v>
      </c>
      <c r="AB311" s="0" t="n">
        <f aca="false">IF(Z311&gt;360,Z311-360,Z311+0)</f>
        <v>313.6</v>
      </c>
      <c r="AC311" s="1"/>
      <c r="AD311" s="1"/>
      <c r="AE311" s="1"/>
      <c r="AF311" s="1"/>
    </row>
    <row r="312" customFormat="false" ht="15.8" hidden="false" customHeight="false" outlineLevel="0" collapsed="false">
      <c r="A312" s="1" t="n">
        <v>12</v>
      </c>
      <c r="B312" s="1" t="n">
        <v>9</v>
      </c>
      <c r="C312" s="1" t="n">
        <v>0.5</v>
      </c>
      <c r="D312" s="1" t="n">
        <v>1.0004</v>
      </c>
      <c r="E312" s="1" t="n">
        <v>0.0140809</v>
      </c>
      <c r="F312" s="1" t="n">
        <v>3.06411E-005</v>
      </c>
      <c r="G312" s="1" t="s">
        <v>27</v>
      </c>
      <c r="H312" s="1" t="n">
        <v>75.6</v>
      </c>
      <c r="I312" s="1" t="n">
        <v>86.1</v>
      </c>
      <c r="J312" s="1" t="n">
        <v>0</v>
      </c>
      <c r="K312" s="1"/>
      <c r="L312" s="1" t="n">
        <v>0</v>
      </c>
      <c r="M312" s="1" t="n">
        <v>0</v>
      </c>
      <c r="N312" s="1" t="s">
        <v>252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0" t="n">
        <f aca="false">I312+0</f>
        <v>86.1</v>
      </c>
      <c r="AB312" s="0" t="n">
        <f aca="false">IF(Z312&gt;360,Z312-360,Z312+0)</f>
        <v>86.1</v>
      </c>
      <c r="AC312" s="1"/>
      <c r="AD312" s="1"/>
      <c r="AE312" s="1"/>
      <c r="AF312" s="1"/>
    </row>
    <row r="313" customFormat="false" ht="15.8" hidden="false" customHeight="false" outlineLevel="0" collapsed="false">
      <c r="A313" s="1" t="n">
        <v>12</v>
      </c>
      <c r="B313" s="1" t="n">
        <v>8</v>
      </c>
      <c r="C313" s="1" t="n">
        <v>5.3</v>
      </c>
      <c r="D313" s="1" t="n">
        <v>1.332</v>
      </c>
      <c r="E313" s="1" t="n">
        <v>0.145609</v>
      </c>
      <c r="F313" s="1" t="n">
        <v>0.000316856</v>
      </c>
      <c r="G313" s="1" t="s">
        <v>52</v>
      </c>
      <c r="H313" s="1" t="n">
        <v>32.7</v>
      </c>
      <c r="I313" s="1" t="n">
        <v>13.5</v>
      </c>
      <c r="J313" s="1" t="n">
        <v>33.7</v>
      </c>
      <c r="K313" s="1" t="n">
        <v>75.6</v>
      </c>
      <c r="L313" s="1" t="n">
        <v>0</v>
      </c>
      <c r="M313" s="1" t="n">
        <v>0</v>
      </c>
      <c r="N313" s="1" t="s">
        <v>244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0" t="n">
        <f aca="false">I313+0</f>
        <v>13.5</v>
      </c>
      <c r="AB313" s="0" t="n">
        <f aca="false">IF(Z313&gt;360,Z313-360,Z313+0)</f>
        <v>13.5</v>
      </c>
      <c r="AC313" s="1"/>
      <c r="AD313" s="1"/>
      <c r="AE313" s="1"/>
      <c r="AF313" s="1"/>
    </row>
    <row r="314" customFormat="false" ht="15.8" hidden="false" customHeight="false" outlineLevel="0" collapsed="false">
      <c r="A314" s="1" t="n">
        <v>12</v>
      </c>
      <c r="B314" s="1" t="n">
        <v>10</v>
      </c>
      <c r="C314" s="1" t="n">
        <v>1.1</v>
      </c>
      <c r="D314" s="1" t="n">
        <v>1.0623</v>
      </c>
      <c r="E314" s="1" t="n">
        <v>0.0296781</v>
      </c>
      <c r="F314" s="1" t="n">
        <v>6.45817E-005</v>
      </c>
      <c r="G314" s="1" t="s">
        <v>27</v>
      </c>
      <c r="H314" s="1" t="n">
        <v>120.1</v>
      </c>
      <c r="I314" s="1" t="n">
        <v>135</v>
      </c>
      <c r="J314" s="1" t="n">
        <v>0</v>
      </c>
      <c r="K314" s="1"/>
      <c r="L314" s="1" t="n">
        <v>0</v>
      </c>
      <c r="M314" s="1" t="n">
        <v>0</v>
      </c>
      <c r="N314" s="1" t="s">
        <v>253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0" t="n">
        <f aca="false">I314+0</f>
        <v>135</v>
      </c>
      <c r="AB314" s="0" t="n">
        <f aca="false">IF(Z314&gt;360,Z314-360,Z314+0)</f>
        <v>135</v>
      </c>
      <c r="AC314" s="1"/>
      <c r="AD314" s="1"/>
      <c r="AE314" s="1"/>
      <c r="AF314" s="1"/>
    </row>
    <row r="315" customFormat="false" ht="15.8" hidden="false" customHeight="false" outlineLevel="0" collapsed="false">
      <c r="A315" s="1" t="n">
        <v>12</v>
      </c>
      <c r="B315" s="1" t="n">
        <v>14</v>
      </c>
      <c r="C315" s="1" t="n">
        <v>1.2</v>
      </c>
      <c r="D315" s="1" t="n">
        <v>1.0416</v>
      </c>
      <c r="E315" s="1" t="n">
        <v>0.032045</v>
      </c>
      <c r="F315" s="1" t="n">
        <v>6.97322E-005</v>
      </c>
      <c r="G315" s="1" t="s">
        <v>27</v>
      </c>
      <c r="H315" s="1" t="n">
        <v>37</v>
      </c>
      <c r="I315" s="1" t="n">
        <v>27.2</v>
      </c>
      <c r="J315" s="1" t="n">
        <v>0</v>
      </c>
      <c r="K315" s="1"/>
      <c r="L315" s="1" t="n">
        <v>0</v>
      </c>
      <c r="M315" s="1" t="n">
        <v>0</v>
      </c>
      <c r="N315" s="1" t="s">
        <v>254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0" t="n">
        <f aca="false">I315+0</f>
        <v>27.2</v>
      </c>
      <c r="AB315" s="0" t="n">
        <f aca="false">IF(Z315&gt;360,Z315-360,Z315+0)</f>
        <v>27.2</v>
      </c>
      <c r="AC315" s="1"/>
      <c r="AD315" s="1"/>
      <c r="AE315" s="1"/>
      <c r="AF315" s="1"/>
    </row>
    <row r="316" customFormat="false" ht="15.8" hidden="false" customHeight="false" outlineLevel="0" collapsed="false">
      <c r="A316" s="1" t="n">
        <v>12</v>
      </c>
      <c r="B316" s="1" t="n">
        <v>14</v>
      </c>
      <c r="C316" s="1" t="n">
        <v>0.5</v>
      </c>
      <c r="D316" s="1" t="n">
        <v>1.0011</v>
      </c>
      <c r="E316" s="1" t="n">
        <v>0.0139861</v>
      </c>
      <c r="F316" s="1" t="n">
        <v>3.04348E-005</v>
      </c>
      <c r="G316" s="1" t="s">
        <v>27</v>
      </c>
      <c r="H316" s="1" t="n">
        <v>72.7</v>
      </c>
      <c r="I316" s="1" t="n">
        <v>135.7</v>
      </c>
      <c r="J316" s="1" t="n">
        <v>0</v>
      </c>
      <c r="K316" s="1"/>
      <c r="L316" s="1" t="n">
        <v>0</v>
      </c>
      <c r="M316" s="1" t="n">
        <v>0</v>
      </c>
      <c r="N316" s="1" t="s">
        <v>254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0" t="n">
        <f aca="false">I316+0</f>
        <v>135.7</v>
      </c>
      <c r="AB316" s="0" t="n">
        <f aca="false">IF(Z316&gt;360,Z316-360,Z316+0)</f>
        <v>135.7</v>
      </c>
      <c r="AC316" s="1"/>
      <c r="AD316" s="1"/>
      <c r="AE316" s="1"/>
      <c r="AF316" s="1"/>
    </row>
    <row r="317" customFormat="false" ht="15.8" hidden="false" customHeight="false" outlineLevel="0" collapsed="false">
      <c r="A317" s="1" t="n">
        <v>12</v>
      </c>
      <c r="B317" s="1" t="n">
        <v>13</v>
      </c>
      <c r="C317" s="1" t="n">
        <v>2.7</v>
      </c>
      <c r="D317" s="1" t="n">
        <v>1.1293</v>
      </c>
      <c r="E317" s="1" t="n">
        <v>0.0737365</v>
      </c>
      <c r="F317" s="1" t="n">
        <v>0.000160456</v>
      </c>
      <c r="G317" s="1" t="s">
        <v>52</v>
      </c>
      <c r="H317" s="1" t="n">
        <v>51.6</v>
      </c>
      <c r="I317" s="1" t="n">
        <v>63.2</v>
      </c>
      <c r="J317" s="1" t="n">
        <v>-8.9</v>
      </c>
      <c r="K317" s="1" t="n">
        <v>72.7</v>
      </c>
      <c r="L317" s="1" t="n">
        <v>0</v>
      </c>
      <c r="M317" s="1" t="n">
        <v>0</v>
      </c>
      <c r="N317" s="1" t="s">
        <v>255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0" t="n">
        <f aca="false">I317+0</f>
        <v>63.2</v>
      </c>
      <c r="AB317" s="0" t="n">
        <f aca="false">IF(Z317&gt;360,Z317-360,Z317+0)</f>
        <v>63.2</v>
      </c>
      <c r="AC317" s="1"/>
      <c r="AD317" s="1"/>
      <c r="AE317" s="1"/>
      <c r="AF317" s="1"/>
    </row>
    <row r="318" customFormat="false" ht="15.8" hidden="false" customHeight="false" outlineLevel="0" collapsed="false">
      <c r="A318" s="1" t="n">
        <v>12</v>
      </c>
      <c r="B318" s="1" t="n">
        <v>14</v>
      </c>
      <c r="C318" s="1" t="n">
        <v>1.7</v>
      </c>
      <c r="D318" s="1" t="n">
        <v>1.0359</v>
      </c>
      <c r="E318" s="1" t="n">
        <v>0.0460918</v>
      </c>
      <c r="F318" s="1" t="n">
        <v>0.000100299</v>
      </c>
      <c r="G318" s="1" t="s">
        <v>27</v>
      </c>
      <c r="H318" s="1" t="n">
        <v>54.2</v>
      </c>
      <c r="I318" s="1" t="n">
        <v>100.2</v>
      </c>
      <c r="J318" s="1" t="n">
        <v>0</v>
      </c>
      <c r="K318" s="1"/>
      <c r="L318" s="1" t="n">
        <v>0</v>
      </c>
      <c r="M318" s="1" t="n">
        <v>0</v>
      </c>
      <c r="N318" s="1" t="s">
        <v>256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0" t="n">
        <f aca="false">I318+0</f>
        <v>100.2</v>
      </c>
      <c r="AB318" s="0" t="n">
        <f aca="false">IF(Z318&gt;360,Z318-360,Z318+0)</f>
        <v>100.2</v>
      </c>
      <c r="AC318" s="1"/>
      <c r="AD318" s="1"/>
      <c r="AE318" s="1"/>
      <c r="AF318" s="1"/>
    </row>
    <row r="319" customFormat="false" ht="15.8" hidden="false" customHeight="false" outlineLevel="0" collapsed="false">
      <c r="A319" s="1" t="n">
        <v>12</v>
      </c>
      <c r="B319" s="1" t="n">
        <v>14</v>
      </c>
      <c r="C319" s="1" t="n">
        <v>1.3</v>
      </c>
      <c r="D319" s="1" t="n">
        <v>1.2417</v>
      </c>
      <c r="E319" s="1" t="n">
        <v>0.0343122</v>
      </c>
      <c r="F319" s="1" t="n">
        <v>7.46658E-005</v>
      </c>
      <c r="G319" s="1" t="s">
        <v>27</v>
      </c>
      <c r="H319" s="1" t="n">
        <v>126.5</v>
      </c>
      <c r="I319" s="1" t="n">
        <v>267.8</v>
      </c>
      <c r="J319" s="1" t="n">
        <v>-47.1</v>
      </c>
      <c r="K319" s="1"/>
      <c r="L319" s="1" t="n">
        <v>0</v>
      </c>
      <c r="M319" s="1" t="n">
        <v>0</v>
      </c>
      <c r="N319" s="1" t="s">
        <v>256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0" t="n">
        <f aca="false">I319+0</f>
        <v>267.8</v>
      </c>
      <c r="AB319" s="0" t="n">
        <f aca="false">IF(Z319&gt;360,Z319-360,Z319+0)</f>
        <v>267.8</v>
      </c>
      <c r="AC319" s="1"/>
      <c r="AD319" s="1"/>
      <c r="AE319" s="1"/>
      <c r="AF319" s="1"/>
    </row>
    <row r="320" customFormat="false" ht="15.8" hidden="false" customHeight="false" outlineLevel="0" collapsed="false">
      <c r="A320" s="1" t="n">
        <v>12</v>
      </c>
      <c r="B320" s="1" t="n">
        <v>13</v>
      </c>
      <c r="C320" s="1" t="n">
        <v>1</v>
      </c>
      <c r="D320" s="1" t="n">
        <v>1.1299</v>
      </c>
      <c r="E320" s="1" t="n">
        <v>0.0273243</v>
      </c>
      <c r="F320" s="1" t="n">
        <v>5.94596E-005</v>
      </c>
      <c r="G320" s="1" t="s">
        <v>52</v>
      </c>
      <c r="H320" s="1" t="n">
        <v>42.6</v>
      </c>
      <c r="I320" s="1" t="n">
        <v>150.1</v>
      </c>
      <c r="J320" s="1" t="n">
        <v>24.7</v>
      </c>
      <c r="K320" s="1" t="n">
        <v>126.5</v>
      </c>
      <c r="L320" s="1" t="n">
        <v>0</v>
      </c>
      <c r="M320" s="1" t="n">
        <v>0</v>
      </c>
      <c r="N320" s="1" t="s">
        <v>255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0" t="n">
        <f aca="false">I320+0</f>
        <v>150.1</v>
      </c>
      <c r="AB320" s="0" t="n">
        <f aca="false">IF(Z320&gt;360,Z320-360,Z320+0)</f>
        <v>150.1</v>
      </c>
      <c r="AC320" s="1"/>
      <c r="AD320" s="1"/>
      <c r="AE320" s="1"/>
      <c r="AF320" s="1"/>
    </row>
    <row r="321" customFormat="false" ht="15.8" hidden="false" customHeight="false" outlineLevel="0" collapsed="false">
      <c r="A321" s="1" t="n">
        <v>12</v>
      </c>
      <c r="B321" s="1" t="n">
        <v>12</v>
      </c>
      <c r="C321" s="1" t="n">
        <v>0.8</v>
      </c>
      <c r="D321" s="1" t="n">
        <v>1.0238</v>
      </c>
      <c r="E321" s="1" t="n">
        <v>0.0216536</v>
      </c>
      <c r="F321" s="1" t="n">
        <v>4.71198E-005</v>
      </c>
      <c r="G321" s="1" t="s">
        <v>52</v>
      </c>
      <c r="H321" s="1" t="n">
        <v>35.8</v>
      </c>
      <c r="I321" s="1" t="n">
        <v>114.3</v>
      </c>
      <c r="J321" s="1" t="n">
        <v>0</v>
      </c>
      <c r="K321" s="1" t="n">
        <v>51.6</v>
      </c>
      <c r="L321" s="1" t="n">
        <v>0</v>
      </c>
      <c r="M321" s="1" t="n">
        <v>0</v>
      </c>
      <c r="N321" s="1" t="s">
        <v>257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0" t="n">
        <f aca="false">I321+0</f>
        <v>114.3</v>
      </c>
      <c r="AB321" s="0" t="n">
        <f aca="false">IF(Z321&gt;360,Z321-360,Z321+0)</f>
        <v>114.3</v>
      </c>
      <c r="AC321" s="1"/>
      <c r="AD321" s="1"/>
      <c r="AE321" s="1"/>
      <c r="AF321" s="1"/>
    </row>
    <row r="322" customFormat="false" ht="15.8" hidden="false" customHeight="false" outlineLevel="0" collapsed="false">
      <c r="A322" s="1" t="n">
        <v>12</v>
      </c>
      <c r="B322" s="1" t="n">
        <v>14</v>
      </c>
      <c r="C322" s="1" t="n">
        <v>2.8</v>
      </c>
      <c r="D322" s="1" t="n">
        <v>1.1205</v>
      </c>
      <c r="E322" s="1" t="n">
        <v>0.0961392</v>
      </c>
      <c r="F322" s="1" t="n">
        <v>0.000261507</v>
      </c>
      <c r="G322" s="1" t="s">
        <v>27</v>
      </c>
      <c r="H322" s="1" t="n">
        <v>59.5</v>
      </c>
      <c r="I322" s="1" t="n">
        <v>9.6</v>
      </c>
      <c r="J322" s="1" t="n">
        <v>8.5</v>
      </c>
      <c r="K322" s="1"/>
      <c r="L322" s="1" t="n">
        <v>0</v>
      </c>
      <c r="M322" s="1" t="n">
        <v>0</v>
      </c>
      <c r="N322" s="1" t="s">
        <v>258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0" t="n">
        <f aca="false">I322+0</f>
        <v>9.6</v>
      </c>
      <c r="AB322" s="0" t="n">
        <f aca="false">IF(Z322&gt;360,Z322-360,Z322+0)</f>
        <v>9.6</v>
      </c>
      <c r="AC322" s="1"/>
      <c r="AD322" s="1"/>
      <c r="AE322" s="1"/>
      <c r="AF322" s="1"/>
    </row>
    <row r="323" customFormat="false" ht="15.8" hidden="false" customHeight="false" outlineLevel="0" collapsed="false">
      <c r="A323" s="1" t="n">
        <v>12</v>
      </c>
      <c r="B323" s="1" t="n">
        <v>15</v>
      </c>
      <c r="C323" s="1" t="n">
        <v>2.9</v>
      </c>
      <c r="D323" s="1" t="n">
        <v>1.2976</v>
      </c>
      <c r="E323" s="1" t="n">
        <v>0.0994056</v>
      </c>
      <c r="F323" s="1" t="n">
        <v>0.000270392</v>
      </c>
      <c r="G323" s="1" t="s">
        <v>27</v>
      </c>
      <c r="H323" s="1" t="n">
        <v>33.4</v>
      </c>
      <c r="I323" s="1" t="n">
        <v>124.1</v>
      </c>
      <c r="J323" s="1" t="n">
        <v>19.3</v>
      </c>
      <c r="K323" s="1"/>
      <c r="L323" s="1" t="n">
        <v>0</v>
      </c>
      <c r="M323" s="1" t="n">
        <v>0</v>
      </c>
      <c r="N323" s="1" t="s">
        <v>259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0" t="n">
        <f aca="false">I323+0</f>
        <v>124.1</v>
      </c>
      <c r="AB323" s="0" t="n">
        <f aca="false">IF(Z323&gt;360,Z323-360,Z323+0)</f>
        <v>124.1</v>
      </c>
      <c r="AC323" s="1"/>
      <c r="AD323" s="1"/>
      <c r="AE323" s="1"/>
      <c r="AF323" s="1"/>
    </row>
    <row r="324" customFormat="false" ht="15.8" hidden="false" customHeight="false" outlineLevel="0" collapsed="false">
      <c r="A324" s="1" t="n">
        <v>12</v>
      </c>
      <c r="B324" s="1" t="n">
        <v>15</v>
      </c>
      <c r="C324" s="1" t="n">
        <v>2.2</v>
      </c>
      <c r="D324" s="1" t="n">
        <v>1.1614</v>
      </c>
      <c r="E324" s="1" t="n">
        <v>0.0736531</v>
      </c>
      <c r="F324" s="1" t="n">
        <v>0.000200343</v>
      </c>
      <c r="G324" s="1" t="s">
        <v>27</v>
      </c>
      <c r="H324" s="1" t="n">
        <v>34.2</v>
      </c>
      <c r="I324" s="1" t="n">
        <v>169</v>
      </c>
      <c r="J324" s="1" t="n">
        <v>-11.5</v>
      </c>
      <c r="K324" s="1"/>
      <c r="L324" s="1" t="n">
        <v>0</v>
      </c>
      <c r="M324" s="1" t="n">
        <v>0</v>
      </c>
      <c r="N324" s="1" t="s">
        <v>259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0" t="n">
        <f aca="false">I324+0</f>
        <v>169</v>
      </c>
      <c r="AB324" s="0" t="n">
        <f aca="false">IF(Z324&gt;360,Z324-360,Z324+0)</f>
        <v>169</v>
      </c>
      <c r="AC324" s="1"/>
      <c r="AD324" s="1"/>
      <c r="AE324" s="1"/>
      <c r="AF324" s="1"/>
    </row>
    <row r="325" customFormat="false" ht="15.8" hidden="false" customHeight="false" outlineLevel="0" collapsed="false">
      <c r="A325" s="1" t="n">
        <v>12</v>
      </c>
      <c r="B325" s="1" t="n">
        <v>14</v>
      </c>
      <c r="C325" s="1" t="n">
        <v>1.2</v>
      </c>
      <c r="D325" s="1" t="n">
        <v>1.1745</v>
      </c>
      <c r="E325" s="1" t="n">
        <v>0.0405471</v>
      </c>
      <c r="F325" s="1" t="n">
        <v>0.000110292</v>
      </c>
      <c r="G325" s="1" t="s">
        <v>52</v>
      </c>
      <c r="H325" s="1" t="n">
        <v>88.2</v>
      </c>
      <c r="I325" s="1" t="n">
        <v>159.7</v>
      </c>
      <c r="J325" s="1" t="n">
        <v>21.5</v>
      </c>
      <c r="K325" s="1" t="n">
        <v>34.2</v>
      </c>
      <c r="L325" s="1" t="n">
        <v>0</v>
      </c>
      <c r="M325" s="1" t="n">
        <v>0</v>
      </c>
      <c r="N325" s="1" t="s">
        <v>258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0" t="n">
        <f aca="false">I325+0</f>
        <v>159.7</v>
      </c>
      <c r="AB325" s="0" t="n">
        <f aca="false">IF(Z325&gt;360,Z325-360,Z325+0)</f>
        <v>159.7</v>
      </c>
      <c r="AC325" s="1"/>
      <c r="AD325" s="1"/>
      <c r="AE325" s="1"/>
      <c r="AF325" s="1"/>
    </row>
    <row r="326" customFormat="false" ht="15.8" hidden="false" customHeight="false" outlineLevel="0" collapsed="false">
      <c r="A326" s="1" t="n">
        <v>12</v>
      </c>
      <c r="B326" s="1" t="n">
        <v>13</v>
      </c>
      <c r="C326" s="1" t="n">
        <v>5.5</v>
      </c>
      <c r="D326" s="1" t="n">
        <v>1.427</v>
      </c>
      <c r="E326" s="1" t="n">
        <v>0.187137</v>
      </c>
      <c r="F326" s="1" t="n">
        <v>0.000506852</v>
      </c>
      <c r="G326" s="1" t="s">
        <v>52</v>
      </c>
      <c r="H326" s="1" t="n">
        <v>113.9</v>
      </c>
      <c r="I326" s="1" t="n">
        <v>69.5</v>
      </c>
      <c r="J326" s="1" t="n">
        <v>5.5</v>
      </c>
      <c r="K326" s="1" t="n">
        <v>88.2</v>
      </c>
      <c r="L326" s="1" t="n">
        <v>0</v>
      </c>
      <c r="M326" s="1" t="n">
        <v>0</v>
      </c>
      <c r="N326" s="1" t="s">
        <v>260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0" t="n">
        <f aca="false">I326+0</f>
        <v>69.5</v>
      </c>
      <c r="AB326" s="0" t="n">
        <f aca="false">IF(Z326&gt;360,Z326-360,Z326+0)</f>
        <v>69.5</v>
      </c>
      <c r="AC326" s="1"/>
      <c r="AD326" s="1"/>
      <c r="AE326" s="1"/>
      <c r="AF326" s="1"/>
    </row>
    <row r="327" customFormat="false" ht="15.8" hidden="false" customHeight="false" outlineLevel="0" collapsed="false">
      <c r="A327" s="1" t="n">
        <v>12</v>
      </c>
      <c r="B327" s="1" t="n">
        <v>14</v>
      </c>
      <c r="C327" s="1" t="n">
        <v>0.5</v>
      </c>
      <c r="D327" s="1" t="n">
        <v>1</v>
      </c>
      <c r="E327" s="1" t="n">
        <v>0.0155197</v>
      </c>
      <c r="F327" s="1" t="n">
        <v>4.2215E-005</v>
      </c>
      <c r="G327" s="1" t="s">
        <v>27</v>
      </c>
      <c r="H327" s="1" t="n">
        <v>115.8</v>
      </c>
      <c r="I327" s="1" t="n">
        <v>60.3</v>
      </c>
      <c r="J327" s="1" t="n">
        <v>-54.6</v>
      </c>
      <c r="K327" s="1"/>
      <c r="L327" s="1" t="n">
        <v>0</v>
      </c>
      <c r="M327" s="1" t="n">
        <v>0</v>
      </c>
      <c r="N327" s="1" t="s">
        <v>261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0" t="n">
        <f aca="false">I327+0</f>
        <v>60.3</v>
      </c>
      <c r="AB327" s="0" t="n">
        <f aca="false">IF(Z327&gt;360,Z327-360,Z327+0)</f>
        <v>60.3</v>
      </c>
      <c r="AC327" s="1"/>
      <c r="AD327" s="1"/>
      <c r="AE327" s="1"/>
      <c r="AF327" s="1"/>
    </row>
    <row r="328" customFormat="false" ht="15.8" hidden="false" customHeight="false" outlineLevel="0" collapsed="false">
      <c r="A328" s="1" t="n">
        <v>12</v>
      </c>
      <c r="B328" s="1" t="n">
        <v>15</v>
      </c>
      <c r="C328" s="1" t="n">
        <v>0.9</v>
      </c>
      <c r="D328" s="1" t="n">
        <v>1.199</v>
      </c>
      <c r="E328" s="1" t="n">
        <v>0.0310236</v>
      </c>
      <c r="F328" s="1" t="n">
        <v>8.4387E-005</v>
      </c>
      <c r="G328" s="1" t="s">
        <v>27</v>
      </c>
      <c r="H328" s="1" t="n">
        <v>21.6</v>
      </c>
      <c r="I328" s="1" t="n">
        <v>288.4</v>
      </c>
      <c r="J328" s="1" t="n">
        <v>0</v>
      </c>
      <c r="K328" s="1"/>
      <c r="L328" s="1" t="n">
        <v>0</v>
      </c>
      <c r="M328" s="1" t="n">
        <v>0</v>
      </c>
      <c r="N328" s="1" t="s">
        <v>262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0" t="n">
        <f aca="false">I328+0</f>
        <v>288.4</v>
      </c>
      <c r="AB328" s="0" t="n">
        <f aca="false">IF(Z328&gt;360,Z328-360,Z328+0)</f>
        <v>288.4</v>
      </c>
      <c r="AC328" s="1"/>
      <c r="AD328" s="1"/>
      <c r="AE328" s="1"/>
      <c r="AF328" s="1"/>
    </row>
    <row r="329" customFormat="false" ht="15.8" hidden="false" customHeight="false" outlineLevel="0" collapsed="false">
      <c r="A329" s="1" t="n">
        <v>12</v>
      </c>
      <c r="B329" s="1" t="n">
        <v>15</v>
      </c>
      <c r="C329" s="1" t="n">
        <v>4.3</v>
      </c>
      <c r="D329" s="1" t="n">
        <v>1.2095</v>
      </c>
      <c r="E329" s="1" t="n">
        <v>0.146726</v>
      </c>
      <c r="F329" s="1" t="n">
        <v>0.000399107</v>
      </c>
      <c r="G329" s="1" t="s">
        <v>263</v>
      </c>
      <c r="H329" s="1" t="n">
        <v>51.2</v>
      </c>
      <c r="I329" s="1" t="n">
        <v>0.2</v>
      </c>
      <c r="J329" s="1" t="n">
        <v>12</v>
      </c>
      <c r="K329" s="1"/>
      <c r="L329" s="1" t="n">
        <v>0</v>
      </c>
      <c r="M329" s="1" t="n">
        <v>0</v>
      </c>
      <c r="N329" s="1" t="s">
        <v>262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0" t="n">
        <f aca="false">I329+0</f>
        <v>0.2</v>
      </c>
      <c r="AB329" s="0" t="n">
        <f aca="false">IF(Z329&gt;360,Z329-360,Z329+0)</f>
        <v>0.2</v>
      </c>
      <c r="AC329" s="1"/>
      <c r="AD329" s="1"/>
      <c r="AE329" s="1"/>
      <c r="AF329" s="1"/>
    </row>
    <row r="330" customFormat="false" ht="15.8" hidden="false" customHeight="false" outlineLevel="0" collapsed="false">
      <c r="A330" s="1" t="n">
        <v>12</v>
      </c>
      <c r="B330" s="1" t="n">
        <v>14</v>
      </c>
      <c r="C330" s="1" t="n">
        <v>2.7</v>
      </c>
      <c r="D330" s="1" t="n">
        <v>1.22</v>
      </c>
      <c r="E330" s="1" t="n">
        <v>0.0930669</v>
      </c>
      <c r="F330" s="1" t="n">
        <v>0.00025315</v>
      </c>
      <c r="G330" s="1" t="s">
        <v>52</v>
      </c>
      <c r="H330" s="1" t="n">
        <v>22.5</v>
      </c>
      <c r="I330" s="1" t="n">
        <v>310.1</v>
      </c>
      <c r="J330" s="1" t="n">
        <v>0</v>
      </c>
      <c r="K330" s="1" t="n">
        <v>51.2</v>
      </c>
      <c r="L330" s="1" t="n">
        <v>0</v>
      </c>
      <c r="M330" s="1" t="n">
        <v>0</v>
      </c>
      <c r="N330" s="1" t="s">
        <v>261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0" t="n">
        <f aca="false">I330+0</f>
        <v>310.1</v>
      </c>
      <c r="AB330" s="0" t="n">
        <f aca="false">IF(Z330&gt;360,Z330-360,Z330+0)</f>
        <v>310.1</v>
      </c>
      <c r="AC330" s="1"/>
      <c r="AD330" s="1"/>
      <c r="AE330" s="1"/>
      <c r="AF330" s="1"/>
    </row>
    <row r="331" customFormat="false" ht="15.8" hidden="false" customHeight="false" outlineLevel="0" collapsed="false">
      <c r="A331" s="1" t="n">
        <v>12</v>
      </c>
      <c r="B331" s="1" t="n">
        <v>13</v>
      </c>
      <c r="C331" s="1" t="n">
        <v>5.1</v>
      </c>
      <c r="D331" s="1" t="n">
        <v>1.2867</v>
      </c>
      <c r="E331" s="1" t="n">
        <v>0.174801</v>
      </c>
      <c r="F331" s="1" t="n">
        <v>0.000473948</v>
      </c>
      <c r="G331" s="1" t="s">
        <v>52</v>
      </c>
      <c r="H331" s="1" t="n">
        <v>7.4</v>
      </c>
      <c r="I331" s="1" t="n">
        <v>316</v>
      </c>
      <c r="J331" s="1" t="n">
        <v>21.8</v>
      </c>
      <c r="K331" s="1" t="n">
        <v>115.8</v>
      </c>
      <c r="L331" s="1" t="n">
        <v>0</v>
      </c>
      <c r="M331" s="1" t="n">
        <v>0</v>
      </c>
      <c r="N331" s="1" t="s">
        <v>260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0" t="n">
        <f aca="false">I331+0</f>
        <v>316</v>
      </c>
      <c r="AB331" s="0" t="n">
        <f aca="false">IF(Z331&gt;360,Z331-360,Z331+0)</f>
        <v>316</v>
      </c>
      <c r="AC331" s="1"/>
      <c r="AD331" s="1"/>
      <c r="AE331" s="1"/>
      <c r="AF331" s="1"/>
    </row>
    <row r="332" customFormat="false" ht="15.8" hidden="false" customHeight="false" outlineLevel="0" collapsed="false">
      <c r="A332" s="1" t="n">
        <v>12</v>
      </c>
      <c r="B332" s="1" t="n">
        <v>13</v>
      </c>
      <c r="C332" s="1" t="n">
        <v>1.2</v>
      </c>
      <c r="D332" s="1" t="n">
        <v>1.0373</v>
      </c>
      <c r="E332" s="1" t="n">
        <v>0.0412648</v>
      </c>
      <c r="F332" s="1" t="n">
        <v>0.000112244</v>
      </c>
      <c r="G332" s="1" t="s">
        <v>27</v>
      </c>
      <c r="H332" s="1" t="n">
        <v>113.1</v>
      </c>
      <c r="I332" s="1" t="n">
        <v>193.5</v>
      </c>
      <c r="J332" s="1" t="n">
        <v>0</v>
      </c>
      <c r="K332" s="1"/>
      <c r="L332" s="1" t="n">
        <v>0</v>
      </c>
      <c r="M332" s="1" t="n">
        <v>0</v>
      </c>
      <c r="N332" s="1" t="s">
        <v>260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0" t="n">
        <f aca="false">I332+0</f>
        <v>193.5</v>
      </c>
      <c r="AB332" s="0" t="n">
        <f aca="false">IF(Z332&gt;360,Z332-360,Z332+0)</f>
        <v>193.5</v>
      </c>
      <c r="AC332" s="1"/>
      <c r="AD332" s="1"/>
      <c r="AE332" s="1"/>
      <c r="AF332" s="1"/>
    </row>
    <row r="333" customFormat="false" ht="15.8" hidden="false" customHeight="false" outlineLevel="0" collapsed="false">
      <c r="A333" s="1" t="n">
        <v>12</v>
      </c>
      <c r="B333" s="1" t="n">
        <v>12</v>
      </c>
      <c r="C333" s="1" t="n">
        <v>2</v>
      </c>
      <c r="D333" s="1" t="n">
        <v>1.2137</v>
      </c>
      <c r="E333" s="1" t="n">
        <v>0.0687345</v>
      </c>
      <c r="F333" s="1" t="n">
        <v>0.000184772</v>
      </c>
      <c r="G333" s="1" t="s">
        <v>52</v>
      </c>
      <c r="H333" s="1" t="n">
        <v>124.4</v>
      </c>
      <c r="I333" s="1" t="n">
        <v>309.4</v>
      </c>
      <c r="J333" s="1" t="n">
        <v>26.1</v>
      </c>
      <c r="K333" s="1" t="n">
        <v>113.9</v>
      </c>
      <c r="L333" s="1" t="n">
        <v>0</v>
      </c>
      <c r="M333" s="1" t="n">
        <v>0</v>
      </c>
      <c r="N333" s="1" t="s">
        <v>257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0" t="n">
        <f aca="false">I333+0</f>
        <v>309.4</v>
      </c>
      <c r="AB333" s="0" t="n">
        <f aca="false">IF(Z333&gt;360,Z333-360,Z333+0)</f>
        <v>309.4</v>
      </c>
      <c r="AC333" s="1"/>
      <c r="AD333" s="1"/>
      <c r="AE333" s="1"/>
      <c r="AF333" s="1"/>
    </row>
    <row r="334" customFormat="false" ht="15.8" hidden="false" customHeight="false" outlineLevel="0" collapsed="false">
      <c r="A334" s="1" t="n">
        <v>12</v>
      </c>
      <c r="B334" s="1" t="n">
        <v>11</v>
      </c>
      <c r="C334" s="1" t="n">
        <v>3.2</v>
      </c>
      <c r="D334" s="1" t="n">
        <v>1.2427</v>
      </c>
      <c r="E334" s="1" t="n">
        <v>0.0863469</v>
      </c>
      <c r="F334" s="1" t="n">
        <v>0.000187897</v>
      </c>
      <c r="G334" s="1" t="s">
        <v>52</v>
      </c>
      <c r="H334" s="1" t="n">
        <v>71.5</v>
      </c>
      <c r="I334" s="1" t="n">
        <v>78.4</v>
      </c>
      <c r="J334" s="1" t="n">
        <v>0</v>
      </c>
      <c r="K334" s="1" t="n">
        <v>124.4</v>
      </c>
      <c r="L334" s="1" t="n">
        <v>0</v>
      </c>
      <c r="M334" s="1" t="n">
        <v>0</v>
      </c>
      <c r="N334" s="1" t="s">
        <v>264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0" t="n">
        <f aca="false">I334+0</f>
        <v>78.4</v>
      </c>
      <c r="AB334" s="0" t="n">
        <f aca="false">IF(Z334&gt;360,Z334-360,Z334+0)</f>
        <v>78.4</v>
      </c>
      <c r="AC334" s="1"/>
      <c r="AD334" s="1"/>
      <c r="AE334" s="1"/>
      <c r="AF334" s="1"/>
    </row>
    <row r="335" customFormat="false" ht="15.8" hidden="false" customHeight="false" outlineLevel="0" collapsed="false">
      <c r="A335" s="1" t="n">
        <v>12</v>
      </c>
      <c r="B335" s="1" t="n">
        <v>11</v>
      </c>
      <c r="C335" s="1" t="n">
        <v>0.4</v>
      </c>
      <c r="D335" s="1" t="n">
        <v>1.0288</v>
      </c>
      <c r="E335" s="1" t="n">
        <v>0.0118283</v>
      </c>
      <c r="F335" s="1" t="n">
        <v>2.57391E-005</v>
      </c>
      <c r="G335" s="1" t="s">
        <v>27</v>
      </c>
      <c r="H335" s="1" t="n">
        <v>63.7</v>
      </c>
      <c r="I335" s="1" t="n">
        <v>332.9</v>
      </c>
      <c r="J335" s="1" t="n">
        <v>0</v>
      </c>
      <c r="K335" s="1"/>
      <c r="L335" s="1" t="n">
        <v>0</v>
      </c>
      <c r="M335" s="1" t="n">
        <v>0</v>
      </c>
      <c r="N335" s="1" t="s">
        <v>264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0" t="n">
        <f aca="false">I335+0</f>
        <v>332.9</v>
      </c>
      <c r="AB335" s="0" t="n">
        <f aca="false">IF(Z335&gt;360,Z335-360,Z335+0)</f>
        <v>332.9</v>
      </c>
      <c r="AC335" s="1"/>
      <c r="AD335" s="1"/>
      <c r="AE335" s="1"/>
      <c r="AF335" s="1"/>
    </row>
    <row r="336" customFormat="false" ht="15.8" hidden="false" customHeight="false" outlineLevel="0" collapsed="false">
      <c r="A336" s="1" t="n">
        <v>12</v>
      </c>
      <c r="B336" s="1" t="n">
        <v>10</v>
      </c>
      <c r="C336" s="1" t="n">
        <v>0.6</v>
      </c>
      <c r="D336" s="1" t="n">
        <v>1.1806</v>
      </c>
      <c r="E336" s="1" t="n">
        <v>0.0154342</v>
      </c>
      <c r="F336" s="1" t="n">
        <v>3.3586E-005</v>
      </c>
      <c r="G336" s="1" t="s">
        <v>52</v>
      </c>
      <c r="H336" s="1" t="n">
        <v>50.8</v>
      </c>
      <c r="I336" s="1" t="n">
        <v>18.4</v>
      </c>
      <c r="J336" s="1" t="n">
        <v>50.7</v>
      </c>
      <c r="K336" s="1" t="n">
        <v>71.5</v>
      </c>
      <c r="L336" s="1" t="n">
        <v>0</v>
      </c>
      <c r="M336" s="1" t="n">
        <v>0</v>
      </c>
      <c r="N336" s="1" t="s">
        <v>253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0" t="n">
        <f aca="false">I336+0</f>
        <v>18.4</v>
      </c>
      <c r="AB336" s="0" t="n">
        <f aca="false">IF(Z336&gt;360,Z336-360,Z336+0)</f>
        <v>18.4</v>
      </c>
      <c r="AC336" s="1"/>
      <c r="AD336" s="1"/>
      <c r="AE336" s="1"/>
      <c r="AF336" s="1"/>
    </row>
    <row r="337" customFormat="false" ht="15.8" hidden="false" customHeight="false" outlineLevel="0" collapsed="false">
      <c r="A337" s="1" t="n">
        <v>12</v>
      </c>
      <c r="B337" s="1" t="n">
        <v>9</v>
      </c>
      <c r="C337" s="1" t="n">
        <v>1</v>
      </c>
      <c r="D337" s="1" t="n">
        <v>1.1069</v>
      </c>
      <c r="E337" s="1" t="n">
        <v>0.0267135</v>
      </c>
      <c r="F337" s="1" t="n">
        <v>5.81305E-005</v>
      </c>
      <c r="G337" s="1" t="s">
        <v>52</v>
      </c>
      <c r="H337" s="1" t="n">
        <v>14.9</v>
      </c>
      <c r="I337" s="1" t="n">
        <v>14.9</v>
      </c>
      <c r="J337" s="1" t="n">
        <v>0</v>
      </c>
      <c r="K337" s="1" t="n">
        <v>120.1</v>
      </c>
      <c r="L337" s="1" t="n">
        <v>0</v>
      </c>
      <c r="M337" s="1" t="n">
        <v>0</v>
      </c>
      <c r="N337" s="1" t="s">
        <v>265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0" t="n">
        <f aca="false">I337+0</f>
        <v>14.9</v>
      </c>
      <c r="AB337" s="0" t="n">
        <f aca="false">IF(Z337&gt;360,Z337-360,Z337+0)</f>
        <v>14.9</v>
      </c>
      <c r="AC337" s="1"/>
      <c r="AD337" s="1"/>
      <c r="AE337" s="1"/>
      <c r="AF337" s="1"/>
    </row>
    <row r="338" customFormat="false" ht="15.8" hidden="false" customHeight="false" outlineLevel="0" collapsed="false">
      <c r="A338" s="1" t="n">
        <v>12</v>
      </c>
      <c r="B338" s="1" t="n">
        <v>14</v>
      </c>
      <c r="C338" s="1" t="n">
        <v>0.6</v>
      </c>
      <c r="D338" s="1" t="n">
        <v>1.0076</v>
      </c>
      <c r="E338" s="1" t="n">
        <v>0.0162828</v>
      </c>
      <c r="F338" s="1" t="n">
        <v>3.54325E-005</v>
      </c>
      <c r="G338" s="1" t="s">
        <v>27</v>
      </c>
      <c r="H338" s="1" t="n">
        <v>26</v>
      </c>
      <c r="I338" s="1" t="n">
        <v>99.3</v>
      </c>
      <c r="J338" s="1" t="n">
        <v>0</v>
      </c>
      <c r="K338" s="1"/>
      <c r="L338" s="1" t="n">
        <v>0</v>
      </c>
      <c r="M338" s="1" t="n">
        <v>0</v>
      </c>
      <c r="N338" s="1" t="s">
        <v>266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0" t="n">
        <f aca="false">I338+0</f>
        <v>99.3</v>
      </c>
      <c r="AB338" s="0" t="n">
        <f aca="false">IF(Z338&gt;360,Z338-360,Z338+0)</f>
        <v>99.3</v>
      </c>
      <c r="AC338" s="1"/>
      <c r="AD338" s="1"/>
      <c r="AE338" s="1"/>
      <c r="AF338" s="1"/>
    </row>
    <row r="339" customFormat="false" ht="15.8" hidden="false" customHeight="false" outlineLevel="0" collapsed="false">
      <c r="A339" s="1" t="n">
        <v>12</v>
      </c>
      <c r="B339" s="1" t="n">
        <v>14</v>
      </c>
      <c r="C339" s="1" t="n">
        <v>0.6</v>
      </c>
      <c r="D339" s="1" t="n">
        <v>1.1909</v>
      </c>
      <c r="E339" s="1" t="n">
        <v>0.0162813</v>
      </c>
      <c r="F339" s="1" t="n">
        <v>3.54293E-005</v>
      </c>
      <c r="G339" s="1" t="s">
        <v>27</v>
      </c>
      <c r="H339" s="1" t="n">
        <v>72.6</v>
      </c>
      <c r="I339" s="1" t="n">
        <v>201.2</v>
      </c>
      <c r="J339" s="1" t="n">
        <v>-47.7</v>
      </c>
      <c r="K339" s="1"/>
      <c r="L339" s="1" t="n">
        <v>0</v>
      </c>
      <c r="M339" s="1" t="n">
        <v>0</v>
      </c>
      <c r="N339" s="1" t="s">
        <v>266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0" t="n">
        <f aca="false">I339+0</f>
        <v>201.2</v>
      </c>
      <c r="AB339" s="0" t="n">
        <f aca="false">IF(Z339&gt;360,Z339-360,Z339+0)</f>
        <v>201.2</v>
      </c>
      <c r="AC339" s="1"/>
      <c r="AD339" s="1"/>
      <c r="AE339" s="1"/>
      <c r="AF339" s="1"/>
    </row>
    <row r="340" customFormat="false" ht="15.8" hidden="false" customHeight="false" outlineLevel="0" collapsed="false">
      <c r="A340" s="1" t="n">
        <v>12</v>
      </c>
      <c r="B340" s="1" t="n">
        <v>13</v>
      </c>
      <c r="C340" s="1" t="n">
        <v>1.6</v>
      </c>
      <c r="D340" s="1" t="n">
        <v>1.1199</v>
      </c>
      <c r="E340" s="1" t="n">
        <v>0.0433366</v>
      </c>
      <c r="F340" s="1" t="n">
        <v>9.43035E-005</v>
      </c>
      <c r="G340" s="1" t="s">
        <v>52</v>
      </c>
      <c r="H340" s="1" t="n">
        <v>16.9</v>
      </c>
      <c r="I340" s="1" t="n">
        <v>120.7</v>
      </c>
      <c r="J340" s="1" t="n">
        <v>-15.2</v>
      </c>
      <c r="K340" s="1" t="n">
        <v>72.6</v>
      </c>
      <c r="L340" s="1" t="n">
        <v>0</v>
      </c>
      <c r="M340" s="1" t="n">
        <v>0</v>
      </c>
      <c r="N340" s="1" t="s">
        <v>267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0" t="n">
        <f aca="false">I340+0</f>
        <v>120.7</v>
      </c>
      <c r="AB340" s="0" t="n">
        <f aca="false">IF(Z340&gt;360,Z340-360,Z340+0)</f>
        <v>120.7</v>
      </c>
      <c r="AC340" s="1"/>
      <c r="AD340" s="1"/>
      <c r="AE340" s="1"/>
      <c r="AF340" s="1"/>
    </row>
    <row r="341" customFormat="false" ht="15.8" hidden="false" customHeight="false" outlineLevel="0" collapsed="false">
      <c r="A341" s="1" t="n">
        <v>12</v>
      </c>
      <c r="B341" s="1" t="n">
        <v>13</v>
      </c>
      <c r="C341" s="1" t="n">
        <v>1.5</v>
      </c>
      <c r="D341" s="1" t="n">
        <v>1.1915</v>
      </c>
      <c r="E341" s="1" t="n">
        <v>0.0416179</v>
      </c>
      <c r="F341" s="1" t="n">
        <v>9.05634E-005</v>
      </c>
      <c r="G341" s="1" t="s">
        <v>27</v>
      </c>
      <c r="H341" s="1" t="n">
        <v>90.1</v>
      </c>
      <c r="I341" s="1" t="n">
        <v>218.3</v>
      </c>
      <c r="J341" s="1" t="n">
        <v>-60.3</v>
      </c>
      <c r="K341" s="1"/>
      <c r="L341" s="1" t="n">
        <v>0</v>
      </c>
      <c r="M341" s="1" t="n">
        <v>0</v>
      </c>
      <c r="N341" s="1" t="s">
        <v>267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0" t="n">
        <f aca="false">I341+0</f>
        <v>218.3</v>
      </c>
      <c r="AB341" s="0" t="n">
        <f aca="false">IF(Z341&gt;360,Z341-360,Z341+0)</f>
        <v>218.3</v>
      </c>
      <c r="AC341" s="1"/>
      <c r="AD341" s="1"/>
      <c r="AE341" s="1"/>
      <c r="AF341" s="1"/>
    </row>
    <row r="342" customFormat="false" ht="15.8" hidden="false" customHeight="false" outlineLevel="0" collapsed="false">
      <c r="A342" s="1" t="n">
        <v>12</v>
      </c>
      <c r="B342" s="1" t="n">
        <v>12</v>
      </c>
      <c r="C342" s="1" t="n">
        <v>0.5</v>
      </c>
      <c r="D342" s="1" t="n">
        <v>1.0038</v>
      </c>
      <c r="E342" s="1" t="n">
        <v>0.012762</v>
      </c>
      <c r="F342" s="1" t="n">
        <v>2.77711E-005</v>
      </c>
      <c r="G342" s="1" t="s">
        <v>52</v>
      </c>
      <c r="H342" s="1" t="n">
        <v>84.9</v>
      </c>
      <c r="I342" s="1" t="n">
        <v>128.2</v>
      </c>
      <c r="J342" s="1" t="n">
        <v>0</v>
      </c>
      <c r="K342" s="1" t="n">
        <v>90.1</v>
      </c>
      <c r="L342" s="1" t="n">
        <v>0</v>
      </c>
      <c r="M342" s="1" t="n">
        <v>0</v>
      </c>
      <c r="N342" s="1" t="s">
        <v>268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0" t="n">
        <f aca="false">I342+0</f>
        <v>128.2</v>
      </c>
      <c r="AB342" s="0" t="n">
        <f aca="false">IF(Z342&gt;360,Z342-360,Z342+0)</f>
        <v>128.2</v>
      </c>
      <c r="AC342" s="1"/>
      <c r="AD342" s="1"/>
      <c r="AE342" s="1"/>
      <c r="AF342" s="1"/>
    </row>
    <row r="343" customFormat="false" ht="15.8" hidden="false" customHeight="false" outlineLevel="0" collapsed="false">
      <c r="A343" s="1" t="n">
        <v>12</v>
      </c>
      <c r="B343" s="1" t="n">
        <v>14</v>
      </c>
      <c r="C343" s="1" t="n">
        <v>3</v>
      </c>
      <c r="D343" s="1" t="n">
        <v>1.1285</v>
      </c>
      <c r="E343" s="1" t="n">
        <v>0.0825115</v>
      </c>
      <c r="F343" s="1" t="n">
        <v>0.000179551</v>
      </c>
      <c r="G343" s="1" t="s">
        <v>27</v>
      </c>
      <c r="H343" s="1" t="n">
        <v>33.2</v>
      </c>
      <c r="I343" s="1" t="n">
        <v>331.7</v>
      </c>
      <c r="J343" s="1" t="n">
        <v>0</v>
      </c>
      <c r="K343" s="1"/>
      <c r="L343" s="1" t="n">
        <v>0</v>
      </c>
      <c r="M343" s="1" t="n">
        <v>0</v>
      </c>
      <c r="N343" s="1" t="s">
        <v>269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0" t="n">
        <f aca="false">I343+0</f>
        <v>331.7</v>
      </c>
      <c r="AB343" s="0" t="n">
        <f aca="false">IF(Z343&gt;360,Z343-360,Z343+0)</f>
        <v>331.7</v>
      </c>
      <c r="AC343" s="1"/>
      <c r="AD343" s="1"/>
      <c r="AE343" s="1"/>
      <c r="AF343" s="1"/>
    </row>
    <row r="344" customFormat="false" ht="15.8" hidden="false" customHeight="false" outlineLevel="0" collapsed="false">
      <c r="A344" s="1" t="n">
        <v>12</v>
      </c>
      <c r="B344" s="1" t="n">
        <v>14</v>
      </c>
      <c r="C344" s="1" t="n">
        <v>0.8</v>
      </c>
      <c r="D344" s="1" t="n">
        <v>1.1595</v>
      </c>
      <c r="E344" s="1" t="n">
        <v>0.0229785</v>
      </c>
      <c r="F344" s="1" t="n">
        <v>5.00028E-005</v>
      </c>
      <c r="G344" s="1" t="s">
        <v>27</v>
      </c>
      <c r="H344" s="1" t="n">
        <v>110.5</v>
      </c>
      <c r="I344" s="1" t="n">
        <v>131</v>
      </c>
      <c r="J344" s="1" t="n">
        <v>-30.7</v>
      </c>
      <c r="K344" s="1"/>
      <c r="L344" s="1" t="n">
        <v>0</v>
      </c>
      <c r="M344" s="1" t="n">
        <v>0</v>
      </c>
      <c r="N344" s="1" t="s">
        <v>269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0" t="n">
        <f aca="false">I344+0</f>
        <v>131</v>
      </c>
      <c r="AB344" s="0" t="n">
        <f aca="false">IF(Z344&gt;360,Z344-360,Z344+0)</f>
        <v>131</v>
      </c>
      <c r="AC344" s="1"/>
      <c r="AD344" s="1"/>
      <c r="AE344" s="1"/>
      <c r="AF344" s="1"/>
    </row>
    <row r="345" customFormat="false" ht="15.8" hidden="false" customHeight="false" outlineLevel="0" collapsed="false">
      <c r="A345" s="1" t="n">
        <v>12</v>
      </c>
      <c r="B345" s="1" t="n">
        <v>13</v>
      </c>
      <c r="C345" s="1" t="n">
        <v>3.7</v>
      </c>
      <c r="D345" s="1" t="n">
        <v>1.2407</v>
      </c>
      <c r="E345" s="1" t="n">
        <v>0.101425</v>
      </c>
      <c r="F345" s="1" t="n">
        <v>0.000220708</v>
      </c>
      <c r="G345" s="1" t="s">
        <v>52</v>
      </c>
      <c r="H345" s="1" t="n">
        <v>31.3</v>
      </c>
      <c r="I345" s="1" t="n">
        <v>347.2</v>
      </c>
      <c r="J345" s="1" t="n">
        <v>-29.7</v>
      </c>
      <c r="K345" s="1" t="n">
        <v>110.5</v>
      </c>
      <c r="L345" s="1" t="n">
        <v>0</v>
      </c>
      <c r="M345" s="1" t="n">
        <v>0</v>
      </c>
      <c r="N345" s="1" t="s">
        <v>270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0" t="n">
        <f aca="false">I345+0</f>
        <v>347.2</v>
      </c>
      <c r="AB345" s="0" t="n">
        <f aca="false">IF(Z345&gt;360,Z345-360,Z345+0)</f>
        <v>347.2</v>
      </c>
      <c r="AC345" s="1"/>
      <c r="AD345" s="1"/>
      <c r="AE345" s="1"/>
      <c r="AF345" s="1"/>
    </row>
    <row r="346" customFormat="false" ht="15.8" hidden="false" customHeight="false" outlineLevel="0" collapsed="false">
      <c r="A346" s="1" t="n">
        <v>12</v>
      </c>
      <c r="B346" s="1" t="n">
        <v>13</v>
      </c>
      <c r="C346" s="1" t="n">
        <v>3.1</v>
      </c>
      <c r="D346" s="1" t="n">
        <v>1.1738</v>
      </c>
      <c r="E346" s="1" t="n">
        <v>0.0856632</v>
      </c>
      <c r="F346" s="1" t="n">
        <v>0.000186409</v>
      </c>
      <c r="G346" s="1" t="s">
        <v>27</v>
      </c>
      <c r="H346" s="1" t="n">
        <v>27.7</v>
      </c>
      <c r="I346" s="1" t="n">
        <v>352.4</v>
      </c>
      <c r="J346" s="1" t="n">
        <v>-8</v>
      </c>
      <c r="K346" s="1"/>
      <c r="L346" s="1" t="n">
        <v>0</v>
      </c>
      <c r="M346" s="1" t="n">
        <v>0</v>
      </c>
      <c r="N346" s="1" t="s">
        <v>270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0" t="n">
        <f aca="false">I346+0</f>
        <v>352.4</v>
      </c>
      <c r="AB346" s="0" t="n">
        <f aca="false">IF(Z346&gt;360,Z346-360,Z346+0)</f>
        <v>352.4</v>
      </c>
      <c r="AC346" s="1"/>
      <c r="AD346" s="1"/>
      <c r="AE346" s="1"/>
      <c r="AF346" s="1"/>
    </row>
    <row r="347" customFormat="false" ht="15.8" hidden="false" customHeight="false" outlineLevel="0" collapsed="false">
      <c r="A347" s="1" t="n">
        <v>12</v>
      </c>
      <c r="B347" s="1" t="n">
        <v>12</v>
      </c>
      <c r="C347" s="1" t="n">
        <v>1.4</v>
      </c>
      <c r="D347" s="1" t="n">
        <v>1.1763</v>
      </c>
      <c r="E347" s="1" t="n">
        <v>0.038876</v>
      </c>
      <c r="F347" s="1" t="n">
        <v>8.4597E-005</v>
      </c>
      <c r="G347" s="1" t="s">
        <v>52</v>
      </c>
      <c r="H347" s="1" t="n">
        <v>39.4</v>
      </c>
      <c r="I347" s="1" t="n">
        <v>19</v>
      </c>
      <c r="J347" s="1" t="n">
        <v>-17.8</v>
      </c>
      <c r="K347" s="1" t="n">
        <v>31.3</v>
      </c>
      <c r="L347" s="1" t="n">
        <v>0</v>
      </c>
      <c r="M347" s="1" t="n">
        <v>0</v>
      </c>
      <c r="N347" s="1" t="s">
        <v>268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0" t="n">
        <f aca="false">I347+0</f>
        <v>19</v>
      </c>
      <c r="AB347" s="0" t="n">
        <f aca="false">IF(Z347&gt;360,Z347-360,Z347+0)</f>
        <v>19</v>
      </c>
      <c r="AC347" s="1"/>
      <c r="AD347" s="1"/>
      <c r="AE347" s="1"/>
      <c r="AF347" s="1"/>
    </row>
    <row r="348" customFormat="false" ht="15.8" hidden="false" customHeight="false" outlineLevel="0" collapsed="false">
      <c r="A348" s="1" t="n">
        <v>12</v>
      </c>
      <c r="B348" s="1" t="n">
        <v>11</v>
      </c>
      <c r="C348" s="1" t="n">
        <v>0.5</v>
      </c>
      <c r="D348" s="1" t="n">
        <v>1.1021</v>
      </c>
      <c r="E348" s="1" t="n">
        <v>0.0143871</v>
      </c>
      <c r="F348" s="1" t="n">
        <v>3.13074E-005</v>
      </c>
      <c r="G348" s="1" t="s">
        <v>52</v>
      </c>
      <c r="H348" s="1" t="n">
        <v>48.1</v>
      </c>
      <c r="I348" s="1" t="n">
        <v>46.2</v>
      </c>
      <c r="J348" s="1" t="n">
        <v>-50.8</v>
      </c>
      <c r="K348" s="1" t="n">
        <v>84.9</v>
      </c>
      <c r="L348" s="1" t="n">
        <v>0</v>
      </c>
      <c r="M348" s="1" t="n">
        <v>0</v>
      </c>
      <c r="N348" s="1" t="s">
        <v>271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0" t="n">
        <f aca="false">I348+0</f>
        <v>46.2</v>
      </c>
      <c r="AB348" s="0" t="n">
        <f aca="false">IF(Z348&gt;360,Z348-360,Z348+0)</f>
        <v>46.2</v>
      </c>
      <c r="AC348" s="1"/>
      <c r="AD348" s="1"/>
      <c r="AE348" s="1"/>
      <c r="AF348" s="1"/>
    </row>
    <row r="349" customFormat="false" ht="15.8" hidden="false" customHeight="false" outlineLevel="0" collapsed="false">
      <c r="A349" s="1" t="n">
        <v>12</v>
      </c>
      <c r="B349" s="1" t="n">
        <v>11</v>
      </c>
      <c r="C349" s="1" t="n">
        <v>5</v>
      </c>
      <c r="D349" s="1" t="n">
        <v>1.6043</v>
      </c>
      <c r="E349" s="1" t="n">
        <v>0.135416</v>
      </c>
      <c r="F349" s="1" t="n">
        <v>0.000294676</v>
      </c>
      <c r="G349" s="1" t="s">
        <v>27</v>
      </c>
      <c r="H349" s="1" t="n">
        <v>80.3</v>
      </c>
      <c r="I349" s="1" t="n">
        <v>302.3</v>
      </c>
      <c r="J349" s="1" t="n">
        <v>13.9</v>
      </c>
      <c r="K349" s="1"/>
      <c r="L349" s="1" t="n">
        <v>0</v>
      </c>
      <c r="M349" s="1" t="n">
        <v>0</v>
      </c>
      <c r="N349" s="1" t="s">
        <v>271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0" t="n">
        <f aca="false">I349+0</f>
        <v>302.3</v>
      </c>
      <c r="AB349" s="0" t="n">
        <f aca="false">IF(Z349&gt;360,Z349-360,Z349+0)</f>
        <v>302.3</v>
      </c>
      <c r="AC349" s="1"/>
      <c r="AD349" s="1"/>
      <c r="AE349" s="1"/>
      <c r="AF349" s="1"/>
    </row>
    <row r="350" customFormat="false" ht="15.8" hidden="false" customHeight="false" outlineLevel="0" collapsed="false">
      <c r="A350" s="1" t="n">
        <v>12</v>
      </c>
      <c r="B350" s="1" t="n">
        <v>10</v>
      </c>
      <c r="C350" s="1" t="n">
        <v>6.9</v>
      </c>
      <c r="D350" s="1" t="n">
        <v>1.2482</v>
      </c>
      <c r="E350" s="1" t="n">
        <v>0.187641</v>
      </c>
      <c r="F350" s="1" t="n">
        <v>0.00040832</v>
      </c>
      <c r="G350" s="1" t="s">
        <v>52</v>
      </c>
      <c r="H350" s="1" t="n">
        <v>34.1</v>
      </c>
      <c r="I350" s="1" t="n">
        <v>20.3</v>
      </c>
      <c r="J350" s="1" t="n">
        <v>-7.7</v>
      </c>
      <c r="K350" s="1" t="n">
        <v>80.3</v>
      </c>
      <c r="L350" s="1" t="n">
        <v>0</v>
      </c>
      <c r="M350" s="1" t="n">
        <v>0</v>
      </c>
      <c r="N350" s="1" t="s">
        <v>272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0" t="n">
        <f aca="false">I350+0</f>
        <v>20.3</v>
      </c>
      <c r="AB350" s="0" t="n">
        <f aca="false">IF(Z350&gt;360,Z350-360,Z350+0)</f>
        <v>20.3</v>
      </c>
      <c r="AC350" s="1"/>
      <c r="AD350" s="1"/>
      <c r="AE350" s="1"/>
      <c r="AF350" s="1"/>
    </row>
    <row r="351" customFormat="false" ht="15.8" hidden="false" customHeight="false" outlineLevel="0" collapsed="false">
      <c r="A351" s="1" t="n">
        <v>12</v>
      </c>
      <c r="B351" s="1" t="n">
        <v>12</v>
      </c>
      <c r="C351" s="1" t="n">
        <v>0.6</v>
      </c>
      <c r="D351" s="1" t="n">
        <v>1.0297</v>
      </c>
      <c r="E351" s="1" t="n">
        <v>0.0161571</v>
      </c>
      <c r="F351" s="1" t="n">
        <v>3.5159E-005</v>
      </c>
      <c r="G351" s="1" t="s">
        <v>27</v>
      </c>
      <c r="H351" s="1" t="n">
        <v>46.2</v>
      </c>
      <c r="I351" s="1" t="n">
        <v>279.6</v>
      </c>
      <c r="J351" s="1" t="n">
        <v>0</v>
      </c>
      <c r="K351" s="1"/>
      <c r="L351" s="1" t="n">
        <v>0</v>
      </c>
      <c r="M351" s="1" t="n">
        <v>0</v>
      </c>
      <c r="N351" s="1" t="s">
        <v>273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0" t="n">
        <f aca="false">I351+0</f>
        <v>279.6</v>
      </c>
      <c r="AB351" s="0" t="n">
        <f aca="false">IF(Z351&gt;360,Z351-360,Z351+0)</f>
        <v>279.6</v>
      </c>
      <c r="AC351" s="1"/>
      <c r="AD351" s="1"/>
      <c r="AE351" s="1"/>
      <c r="AF351" s="1"/>
    </row>
    <row r="352" customFormat="false" ht="15.8" hidden="false" customHeight="false" outlineLevel="0" collapsed="false">
      <c r="A352" s="1" t="n">
        <v>12</v>
      </c>
      <c r="B352" s="1" t="n">
        <v>12</v>
      </c>
      <c r="C352" s="1" t="n">
        <v>2.1</v>
      </c>
      <c r="D352" s="1" t="n">
        <v>1.3438</v>
      </c>
      <c r="E352" s="1" t="n">
        <v>0.0569317</v>
      </c>
      <c r="F352" s="1" t="n">
        <v>0.000123887</v>
      </c>
      <c r="G352" s="1" t="s">
        <v>27</v>
      </c>
      <c r="H352" s="1" t="n">
        <v>26.7</v>
      </c>
      <c r="I352" s="1" t="n">
        <v>206.7</v>
      </c>
      <c r="J352" s="1" t="n">
        <v>0</v>
      </c>
      <c r="K352" s="1"/>
      <c r="L352" s="1" t="n">
        <v>0</v>
      </c>
      <c r="M352" s="1" t="n">
        <v>0</v>
      </c>
      <c r="N352" s="1" t="s">
        <v>273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0" t="n">
        <f aca="false">I352+0</f>
        <v>206.7</v>
      </c>
      <c r="AB352" s="0" t="n">
        <f aca="false">IF(Z352&gt;360,Z352-360,Z352+0)</f>
        <v>206.7</v>
      </c>
      <c r="AC352" s="1"/>
      <c r="AD352" s="1"/>
      <c r="AE352" s="1"/>
      <c r="AF352" s="1"/>
    </row>
    <row r="353" customFormat="false" ht="15.8" hidden="false" customHeight="false" outlineLevel="0" collapsed="false">
      <c r="A353" s="1" t="n">
        <v>12</v>
      </c>
      <c r="B353" s="1" t="n">
        <v>11</v>
      </c>
      <c r="C353" s="1" t="n">
        <v>1</v>
      </c>
      <c r="D353" s="1" t="n">
        <v>1.0664</v>
      </c>
      <c r="E353" s="1" t="n">
        <v>0.028123</v>
      </c>
      <c r="F353" s="1" t="n">
        <v>6.11975E-005</v>
      </c>
      <c r="G353" s="1" t="s">
        <v>52</v>
      </c>
      <c r="H353" s="1" t="n">
        <v>109.9</v>
      </c>
      <c r="I353" s="1" t="n">
        <v>233.4</v>
      </c>
      <c r="J353" s="1" t="n">
        <v>0</v>
      </c>
      <c r="K353" s="1" t="n">
        <v>46.2</v>
      </c>
      <c r="L353" s="1" t="n">
        <v>0</v>
      </c>
      <c r="M353" s="1" t="n">
        <v>0</v>
      </c>
      <c r="N353" s="1" t="s">
        <v>274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0" t="n">
        <f aca="false">I353+0</f>
        <v>233.4</v>
      </c>
      <c r="AB353" s="0" t="n">
        <f aca="false">IF(Z353&gt;360,Z353-360,Z353+0)</f>
        <v>233.4</v>
      </c>
      <c r="AC353" s="1"/>
      <c r="AD353" s="1"/>
      <c r="AE353" s="1"/>
      <c r="AF353" s="1"/>
    </row>
    <row r="354" customFormat="false" ht="15.8" hidden="false" customHeight="false" outlineLevel="0" collapsed="false">
      <c r="A354" s="1" t="n">
        <v>12</v>
      </c>
      <c r="B354" s="1" t="n">
        <v>11</v>
      </c>
      <c r="C354" s="1" t="n">
        <v>1.9</v>
      </c>
      <c r="D354" s="1" t="n">
        <v>1.1702</v>
      </c>
      <c r="E354" s="1" t="n">
        <v>0.051587</v>
      </c>
      <c r="F354" s="1" t="n">
        <v>0.000112257</v>
      </c>
      <c r="G354" s="1" t="s">
        <v>27</v>
      </c>
      <c r="H354" s="1" t="n">
        <v>48.6</v>
      </c>
      <c r="I354" s="1" t="n">
        <v>40.6</v>
      </c>
      <c r="J354" s="1" t="n">
        <v>-27.3</v>
      </c>
      <c r="K354" s="1"/>
      <c r="L354" s="1" t="n">
        <v>0</v>
      </c>
      <c r="M354" s="1" t="n">
        <v>0</v>
      </c>
      <c r="N354" s="1" t="s">
        <v>274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0" t="n">
        <f aca="false">I354+0</f>
        <v>40.6</v>
      </c>
      <c r="AB354" s="0" t="n">
        <f aca="false">IF(Z354&gt;360,Z354-360,Z354+0)</f>
        <v>40.6</v>
      </c>
      <c r="AC354" s="1"/>
      <c r="AD354" s="1"/>
      <c r="AE354" s="1"/>
      <c r="AF354" s="1"/>
    </row>
    <row r="355" customFormat="false" ht="15.8" hidden="false" customHeight="false" outlineLevel="0" collapsed="false">
      <c r="A355" s="1" t="n">
        <v>12</v>
      </c>
      <c r="B355" s="1" t="n">
        <v>10</v>
      </c>
      <c r="C355" s="1" t="n">
        <v>1</v>
      </c>
      <c r="D355" s="1" t="n">
        <v>1.2205</v>
      </c>
      <c r="E355" s="1" t="n">
        <v>0.0281016</v>
      </c>
      <c r="F355" s="1" t="n">
        <v>6.1151E-005</v>
      </c>
      <c r="G355" s="1" t="s">
        <v>52</v>
      </c>
      <c r="H355" s="1" t="n">
        <v>34.7</v>
      </c>
      <c r="I355" s="1" t="n">
        <v>345.7</v>
      </c>
      <c r="J355" s="1" t="n">
        <v>-26.1</v>
      </c>
      <c r="K355" s="1" t="n">
        <v>109.9</v>
      </c>
      <c r="L355" s="1" t="n">
        <v>0</v>
      </c>
      <c r="M355" s="1" t="n">
        <v>0</v>
      </c>
      <c r="N355" s="1" t="s">
        <v>272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0" t="n">
        <f aca="false">I355+0</f>
        <v>345.7</v>
      </c>
      <c r="AB355" s="0" t="n">
        <f aca="false">IF(Z355&gt;360,Z355-360,Z355+0)</f>
        <v>345.7</v>
      </c>
      <c r="AC355" s="1"/>
      <c r="AD355" s="1"/>
      <c r="AE355" s="1"/>
      <c r="AF355" s="1"/>
    </row>
    <row r="356" customFormat="false" ht="15.8" hidden="false" customHeight="false" outlineLevel="0" collapsed="false">
      <c r="A356" s="1" t="n">
        <v>12</v>
      </c>
      <c r="B356" s="1" t="n">
        <v>9</v>
      </c>
      <c r="C356" s="1" t="n">
        <v>4.1</v>
      </c>
      <c r="D356" s="1" t="n">
        <v>1.8333</v>
      </c>
      <c r="E356" s="1" t="n">
        <v>0.111505</v>
      </c>
      <c r="F356" s="1" t="n">
        <v>0.000242642</v>
      </c>
      <c r="G356" s="1" t="s">
        <v>52</v>
      </c>
      <c r="H356" s="1" t="n">
        <v>27.8</v>
      </c>
      <c r="I356" s="1" t="n">
        <v>23.6</v>
      </c>
      <c r="J356" s="1" t="n">
        <v>-41.7</v>
      </c>
      <c r="K356" s="1" t="n">
        <v>34.7</v>
      </c>
      <c r="L356" s="1" t="n">
        <v>0</v>
      </c>
      <c r="M356" s="1" t="n">
        <v>0</v>
      </c>
      <c r="N356" s="1" t="s">
        <v>265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0" t="n">
        <f aca="false">I356+0</f>
        <v>23.6</v>
      </c>
      <c r="AB356" s="0" t="n">
        <f aca="false">IF(Z356&gt;360,Z356-360,Z356+0)</f>
        <v>23.6</v>
      </c>
      <c r="AC356" s="1"/>
      <c r="AD356" s="1"/>
      <c r="AE356" s="1"/>
      <c r="AF356" s="1"/>
    </row>
    <row r="357" customFormat="false" ht="15.8" hidden="false" customHeight="false" outlineLevel="0" collapsed="false">
      <c r="A357" s="1" t="n">
        <v>12</v>
      </c>
      <c r="B357" s="1" t="n">
        <v>8</v>
      </c>
      <c r="C357" s="1" t="n">
        <v>3.5</v>
      </c>
      <c r="D357" s="1" t="n">
        <v>1.1661</v>
      </c>
      <c r="E357" s="1" t="n">
        <v>0.0963389</v>
      </c>
      <c r="F357" s="1" t="n">
        <v>0.00020964</v>
      </c>
      <c r="G357" s="1" t="s">
        <v>52</v>
      </c>
      <c r="H357" s="1" t="n">
        <v>59.3</v>
      </c>
      <c r="I357" s="1" t="n">
        <v>19.6</v>
      </c>
      <c r="J357" s="1" t="n">
        <v>-14.2</v>
      </c>
      <c r="K357" s="1" t="n">
        <v>27.8</v>
      </c>
      <c r="L357" s="1" t="n">
        <v>0</v>
      </c>
      <c r="M357" s="1" t="n">
        <v>0</v>
      </c>
      <c r="N357" s="1" t="s">
        <v>244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0" t="n">
        <f aca="false">I357+0</f>
        <v>19.6</v>
      </c>
      <c r="AB357" s="0" t="n">
        <f aca="false">IF(Z357&gt;360,Z357-360,Z357+0)</f>
        <v>19.6</v>
      </c>
      <c r="AC357" s="1"/>
      <c r="AD357" s="1"/>
      <c r="AE357" s="1"/>
      <c r="AF357" s="1"/>
    </row>
    <row r="358" customFormat="false" ht="15.8" hidden="false" customHeight="false" outlineLevel="0" collapsed="false">
      <c r="A358" s="1" t="n">
        <v>12</v>
      </c>
      <c r="B358" s="1" t="n">
        <v>7</v>
      </c>
      <c r="C358" s="1" t="n">
        <v>0.8</v>
      </c>
      <c r="D358" s="1" t="n">
        <v>1.2604</v>
      </c>
      <c r="E358" s="1" t="n">
        <v>0.0218655</v>
      </c>
      <c r="F358" s="1" t="n">
        <v>4.75808E-005</v>
      </c>
      <c r="G358" s="1" t="s">
        <v>52</v>
      </c>
      <c r="H358" s="1" t="n">
        <v>29.8</v>
      </c>
      <c r="I358" s="1" t="n">
        <v>53.5</v>
      </c>
      <c r="J358" s="1" t="n">
        <v>35.7</v>
      </c>
      <c r="K358" s="1" t="n">
        <v>80.1</v>
      </c>
      <c r="L358" s="1" t="n">
        <v>0</v>
      </c>
      <c r="M358" s="1" t="n">
        <v>0</v>
      </c>
      <c r="N358" s="1" t="s">
        <v>241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0" t="n">
        <f aca="false">I358+0</f>
        <v>53.5</v>
      </c>
      <c r="AB358" s="0" t="n">
        <f aca="false">IF(Z358&gt;360,Z358-360,Z358+0)</f>
        <v>53.5</v>
      </c>
      <c r="AC358" s="1"/>
      <c r="AD358" s="1"/>
      <c r="AE358" s="1"/>
      <c r="AF358" s="1"/>
    </row>
    <row r="359" customFormat="false" ht="15.8" hidden="false" customHeight="false" outlineLevel="0" collapsed="false">
      <c r="A359" s="1" t="n">
        <v>12</v>
      </c>
      <c r="B359" s="1" t="n">
        <v>6</v>
      </c>
      <c r="C359" s="1" t="n">
        <v>2</v>
      </c>
      <c r="D359" s="1" t="n">
        <v>1.0898</v>
      </c>
      <c r="E359" s="1" t="n">
        <v>0.0550565</v>
      </c>
      <c r="F359" s="1" t="n">
        <v>0.000119807</v>
      </c>
      <c r="G359" s="1" t="s">
        <v>52</v>
      </c>
      <c r="H359" s="1" t="n">
        <v>16.4</v>
      </c>
      <c r="I359" s="1" t="n">
        <v>34.1</v>
      </c>
      <c r="J359" s="1" t="n">
        <v>11.6</v>
      </c>
      <c r="K359" s="1" t="n">
        <v>115.7</v>
      </c>
      <c r="L359" s="1" t="n">
        <v>0</v>
      </c>
      <c r="M359" s="1" t="n">
        <v>0</v>
      </c>
      <c r="N359" s="1" t="s">
        <v>275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0" t="n">
        <f aca="false">I359+0</f>
        <v>34.1</v>
      </c>
      <c r="AB359" s="0" t="n">
        <f aca="false">IF(Z359&gt;360,Z359-360,Z359+0)</f>
        <v>34.1</v>
      </c>
      <c r="AC359" s="1"/>
      <c r="AD359" s="1"/>
      <c r="AE359" s="1"/>
      <c r="AF359" s="1"/>
    </row>
    <row r="360" customFormat="false" ht="15.8" hidden="false" customHeight="false" outlineLevel="0" collapsed="false">
      <c r="A360" s="1" t="n">
        <v>12</v>
      </c>
      <c r="B360" s="1" t="n">
        <v>6</v>
      </c>
      <c r="C360" s="1" t="n">
        <v>1.5</v>
      </c>
      <c r="D360" s="1" t="n">
        <v>1.1536</v>
      </c>
      <c r="E360" s="1" t="n">
        <v>0.0410094</v>
      </c>
      <c r="F360" s="1" t="n">
        <v>8.92392E-005</v>
      </c>
      <c r="G360" s="1" t="s">
        <v>27</v>
      </c>
      <c r="H360" s="1" t="n">
        <v>104.9</v>
      </c>
      <c r="I360" s="1" t="n">
        <v>173.5</v>
      </c>
      <c r="J360" s="1" t="n">
        <v>34.7</v>
      </c>
      <c r="K360" s="1"/>
      <c r="L360" s="1" t="n">
        <v>0</v>
      </c>
      <c r="M360" s="1" t="n">
        <v>0</v>
      </c>
      <c r="N360" s="1" t="s">
        <v>275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0" t="n">
        <f aca="false">I360+0</f>
        <v>173.5</v>
      </c>
      <c r="AB360" s="0" t="n">
        <f aca="false">IF(Z360&gt;360,Z360-360,Z360+0)</f>
        <v>173.5</v>
      </c>
      <c r="AC360" s="1"/>
      <c r="AD360" s="1"/>
      <c r="AE360" s="1"/>
      <c r="AF360" s="1"/>
    </row>
    <row r="361" customFormat="false" ht="15.8" hidden="false" customHeight="false" outlineLevel="0" collapsed="false">
      <c r="A361" s="1" t="n">
        <v>12</v>
      </c>
      <c r="B361" s="1" t="n">
        <v>5</v>
      </c>
      <c r="C361" s="1" t="n">
        <v>0.9</v>
      </c>
      <c r="D361" s="1" t="n">
        <v>1.1509</v>
      </c>
      <c r="E361" s="1" t="n">
        <v>0.0251179</v>
      </c>
      <c r="F361" s="1" t="n">
        <v>5.46583E-005</v>
      </c>
      <c r="G361" s="1" t="s">
        <v>52</v>
      </c>
      <c r="H361" s="1" t="n">
        <v>38.6</v>
      </c>
      <c r="I361" s="1" t="n">
        <v>37.8</v>
      </c>
      <c r="J361" s="1" t="n">
        <v>27.6</v>
      </c>
      <c r="K361" s="1" t="n">
        <v>104.9</v>
      </c>
      <c r="L361" s="1" t="n">
        <v>0</v>
      </c>
      <c r="M361" s="1" t="n">
        <v>0</v>
      </c>
      <c r="N361" s="1" t="s">
        <v>276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0" t="n">
        <f aca="false">I361+0</f>
        <v>37.8</v>
      </c>
      <c r="AB361" s="0" t="n">
        <f aca="false">IF(Z361&gt;360,Z361-360,Z361+0)</f>
        <v>37.8</v>
      </c>
      <c r="AC361" s="1"/>
      <c r="AD361" s="1"/>
      <c r="AE361" s="1"/>
      <c r="AF361" s="1"/>
    </row>
    <row r="362" customFormat="false" ht="15.8" hidden="false" customHeight="false" outlineLevel="0" collapsed="false">
      <c r="A362" s="1" t="n">
        <v>12</v>
      </c>
      <c r="B362" s="1" t="n">
        <v>6</v>
      </c>
      <c r="C362" s="1" t="n">
        <v>0.4</v>
      </c>
      <c r="D362" s="1" t="n">
        <v>1</v>
      </c>
      <c r="E362" s="1" t="n">
        <v>0.0151364</v>
      </c>
      <c r="F362" s="1" t="n">
        <v>4.11723E-005</v>
      </c>
      <c r="G362" s="1" t="s">
        <v>27</v>
      </c>
      <c r="H362" s="1" t="n">
        <v>76.8</v>
      </c>
      <c r="I362" s="1" t="n">
        <v>296.6</v>
      </c>
      <c r="J362" s="1" t="n">
        <v>56.7</v>
      </c>
      <c r="K362" s="1"/>
      <c r="L362" s="1" t="n">
        <v>0</v>
      </c>
      <c r="M362" s="1" t="n">
        <v>0</v>
      </c>
      <c r="N362" s="1" t="s">
        <v>277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0" t="n">
        <f aca="false">I362+0</f>
        <v>296.6</v>
      </c>
      <c r="AB362" s="0" t="n">
        <f aca="false">IF(Z362&gt;360,Z362-360,Z362+0)</f>
        <v>296.6</v>
      </c>
      <c r="AC362" s="1"/>
      <c r="AD362" s="1"/>
      <c r="AE362" s="1"/>
      <c r="AF362" s="1"/>
    </row>
    <row r="363" customFormat="false" ht="15.8" hidden="false" customHeight="false" outlineLevel="0" collapsed="false">
      <c r="A363" s="1" t="n">
        <v>12</v>
      </c>
      <c r="B363" s="1" t="n">
        <v>8</v>
      </c>
      <c r="C363" s="1" t="n">
        <v>0.6</v>
      </c>
      <c r="D363" s="1" t="n">
        <v>1.0909</v>
      </c>
      <c r="E363" s="1" t="n">
        <v>0.0207042</v>
      </c>
      <c r="F363" s="1" t="n">
        <v>5.63173E-005</v>
      </c>
      <c r="G363" s="1" t="s">
        <v>27</v>
      </c>
      <c r="H363" s="1" t="n">
        <v>26.5</v>
      </c>
      <c r="I363" s="1" t="n">
        <v>267</v>
      </c>
      <c r="J363" s="1" t="n">
        <v>-41.8</v>
      </c>
      <c r="K363" s="1"/>
      <c r="L363" s="1" t="n">
        <v>0</v>
      </c>
      <c r="M363" s="1" t="n">
        <v>0</v>
      </c>
      <c r="N363" s="1" t="s">
        <v>278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0" t="n">
        <f aca="false">I363+0</f>
        <v>267</v>
      </c>
      <c r="AB363" s="0" t="n">
        <f aca="false">IF(Z363&gt;360,Z363-360,Z363+0)</f>
        <v>267</v>
      </c>
      <c r="AC363" s="1"/>
      <c r="AD363" s="1"/>
      <c r="AE363" s="1"/>
      <c r="AF363" s="1"/>
    </row>
    <row r="364" customFormat="false" ht="15.8" hidden="false" customHeight="false" outlineLevel="0" collapsed="false">
      <c r="A364" s="1" t="n">
        <v>12</v>
      </c>
      <c r="B364" s="1" t="n">
        <v>9</v>
      </c>
      <c r="C364" s="1" t="n">
        <v>1.2</v>
      </c>
      <c r="D364" s="1" t="n">
        <v>1.1801</v>
      </c>
      <c r="E364" s="1" t="n">
        <v>0.0413093</v>
      </c>
      <c r="F364" s="1" t="n">
        <v>0.000112365</v>
      </c>
      <c r="G364" s="1" t="s">
        <v>27</v>
      </c>
      <c r="H364" s="1" t="n">
        <v>104.4</v>
      </c>
      <c r="I364" s="1" t="n">
        <v>133.8</v>
      </c>
      <c r="J364" s="1" t="n">
        <v>46.3</v>
      </c>
      <c r="K364" s="1"/>
      <c r="L364" s="1" t="n">
        <v>0</v>
      </c>
      <c r="M364" s="1" t="n">
        <v>0</v>
      </c>
      <c r="N364" s="1" t="s">
        <v>279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0" t="n">
        <f aca="false">I364+0</f>
        <v>133.8</v>
      </c>
      <c r="AB364" s="0" t="n">
        <f aca="false">IF(Z364&gt;360,Z364-360,Z364+0)</f>
        <v>133.8</v>
      </c>
      <c r="AC364" s="1"/>
      <c r="AD364" s="1"/>
      <c r="AE364" s="1"/>
      <c r="AF364" s="1"/>
    </row>
    <row r="365" customFormat="false" ht="15.8" hidden="false" customHeight="false" outlineLevel="0" collapsed="false">
      <c r="A365" s="1" t="n">
        <v>12</v>
      </c>
      <c r="B365" s="1" t="n">
        <v>10</v>
      </c>
      <c r="C365" s="1" t="n">
        <v>1.8</v>
      </c>
      <c r="D365" s="1" t="n">
        <v>1.153</v>
      </c>
      <c r="E365" s="1" t="n">
        <v>0.0617728</v>
      </c>
      <c r="F365" s="1" t="n">
        <v>0.000168027</v>
      </c>
      <c r="G365" s="1" t="s">
        <v>27</v>
      </c>
      <c r="H365" s="1" t="n">
        <v>13.8</v>
      </c>
      <c r="I365" s="1" t="n">
        <v>295.8</v>
      </c>
      <c r="J365" s="1" t="n">
        <v>13.7</v>
      </c>
      <c r="K365" s="1"/>
      <c r="L365" s="1" t="n">
        <v>0</v>
      </c>
      <c r="M365" s="1" t="n">
        <v>0</v>
      </c>
      <c r="N365" s="1" t="s">
        <v>280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0" t="n">
        <f aca="false">I365+0</f>
        <v>295.8</v>
      </c>
      <c r="AB365" s="0" t="n">
        <f aca="false">IF(Z365&gt;360,Z365-360,Z365+0)</f>
        <v>295.8</v>
      </c>
      <c r="AC365" s="1"/>
      <c r="AD365" s="1"/>
      <c r="AE365" s="1"/>
      <c r="AF365" s="1"/>
    </row>
    <row r="366" customFormat="false" ht="15.8" hidden="false" customHeight="false" outlineLevel="0" collapsed="false">
      <c r="A366" s="1" t="n">
        <v>12</v>
      </c>
      <c r="B366" s="1" t="n">
        <v>10</v>
      </c>
      <c r="C366" s="1" t="n">
        <v>4.5</v>
      </c>
      <c r="D366" s="1" t="n">
        <v>1.4079</v>
      </c>
      <c r="E366" s="1" t="n">
        <v>0.155375</v>
      </c>
      <c r="F366" s="1" t="n">
        <v>0.000422633</v>
      </c>
      <c r="G366" s="1" t="s">
        <v>27</v>
      </c>
      <c r="H366" s="1" t="n">
        <v>33.2</v>
      </c>
      <c r="I366" s="1" t="n">
        <v>336.8</v>
      </c>
      <c r="J366" s="1" t="n">
        <v>43.4</v>
      </c>
      <c r="K366" s="1"/>
      <c r="L366" s="1" t="n">
        <v>0</v>
      </c>
      <c r="M366" s="1" t="n">
        <v>0</v>
      </c>
      <c r="N366" s="1" t="s">
        <v>280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0" t="n">
        <f aca="false">I366+0</f>
        <v>336.8</v>
      </c>
      <c r="AB366" s="0" t="n">
        <f aca="false">IF(Z366&gt;360,Z366-360,Z366+0)</f>
        <v>336.8</v>
      </c>
      <c r="AC366" s="1"/>
      <c r="AD366" s="1"/>
      <c r="AE366" s="1"/>
      <c r="AF366" s="1"/>
    </row>
    <row r="367" customFormat="false" ht="15.8" hidden="false" customHeight="false" outlineLevel="0" collapsed="false">
      <c r="A367" s="1" t="n">
        <v>12</v>
      </c>
      <c r="B367" s="1" t="n">
        <v>9</v>
      </c>
      <c r="C367" s="1" t="n">
        <v>2.5</v>
      </c>
      <c r="D367" s="1" t="n">
        <v>1.1445</v>
      </c>
      <c r="E367" s="1" t="n">
        <v>0.0847327</v>
      </c>
      <c r="F367" s="1" t="n">
        <v>0.00023048</v>
      </c>
      <c r="G367" s="1" t="s">
        <v>52</v>
      </c>
      <c r="H367" s="1" t="n">
        <v>40</v>
      </c>
      <c r="I367" s="1" t="n">
        <v>308.7</v>
      </c>
      <c r="J367" s="1" t="n">
        <v>20</v>
      </c>
      <c r="K367" s="1" t="n">
        <v>33.2</v>
      </c>
      <c r="L367" s="1" t="n">
        <v>0</v>
      </c>
      <c r="M367" s="1" t="n">
        <v>0</v>
      </c>
      <c r="N367" s="1" t="s">
        <v>279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0" t="n">
        <f aca="false">I367+0</f>
        <v>308.7</v>
      </c>
      <c r="AB367" s="0" t="n">
        <f aca="false">IF(Z367&gt;360,Z367-360,Z367+0)</f>
        <v>308.7</v>
      </c>
      <c r="AC367" s="1"/>
      <c r="AD367" s="1"/>
      <c r="AE367" s="1"/>
      <c r="AF367" s="1"/>
    </row>
    <row r="368" customFormat="false" ht="15.8" hidden="false" customHeight="false" outlineLevel="0" collapsed="false">
      <c r="A368" s="1" t="n">
        <v>12</v>
      </c>
      <c r="B368" s="1" t="n">
        <v>8</v>
      </c>
      <c r="C368" s="1" t="n">
        <v>1.3</v>
      </c>
      <c r="D368" s="1" t="n">
        <v>1.2477</v>
      </c>
      <c r="E368" s="1" t="n">
        <v>0.0437611</v>
      </c>
      <c r="F368" s="1" t="n">
        <v>0.000119034</v>
      </c>
      <c r="G368" s="1" t="s">
        <v>52</v>
      </c>
      <c r="H368" s="1" t="n">
        <v>73.7</v>
      </c>
      <c r="I368" s="1" t="n">
        <v>351.5</v>
      </c>
      <c r="J368" s="1" t="n">
        <v>21.1</v>
      </c>
      <c r="K368" s="1" t="n">
        <v>104.4</v>
      </c>
      <c r="L368" s="1" t="n">
        <v>0</v>
      </c>
      <c r="M368" s="1" t="n">
        <v>0</v>
      </c>
      <c r="N368" s="1" t="s">
        <v>278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0" t="n">
        <f aca="false">I368+0</f>
        <v>351.5</v>
      </c>
      <c r="AB368" s="0" t="n">
        <f aca="false">IF(Z368&gt;360,Z368-360,Z368+0)</f>
        <v>351.5</v>
      </c>
      <c r="AC368" s="1"/>
      <c r="AD368" s="1"/>
      <c r="AE368" s="1"/>
      <c r="AF368" s="1"/>
    </row>
    <row r="369" customFormat="false" ht="15.8" hidden="false" customHeight="false" outlineLevel="0" collapsed="false">
      <c r="A369" s="1" t="n">
        <v>12</v>
      </c>
      <c r="B369" s="1" t="n">
        <v>7</v>
      </c>
      <c r="C369" s="1" t="n">
        <v>1</v>
      </c>
      <c r="D369" s="1" t="n">
        <v>1.2251</v>
      </c>
      <c r="E369" s="1" t="n">
        <v>0.034116</v>
      </c>
      <c r="F369" s="1" t="n">
        <v>9.27984E-005</v>
      </c>
      <c r="G369" s="1" t="s">
        <v>52</v>
      </c>
      <c r="H369" s="1" t="n">
        <v>96.6</v>
      </c>
      <c r="I369" s="1" t="n">
        <v>293.9</v>
      </c>
      <c r="J369" s="1" t="n">
        <v>-27</v>
      </c>
      <c r="K369" s="1" t="n">
        <v>73.7</v>
      </c>
      <c r="L369" s="1" t="n">
        <v>0</v>
      </c>
      <c r="M369" s="1" t="n">
        <v>0</v>
      </c>
      <c r="N369" s="1" t="s">
        <v>281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0" t="n">
        <f aca="false">I369+0</f>
        <v>293.9</v>
      </c>
      <c r="AB369" s="0" t="n">
        <f aca="false">IF(Z369&gt;360,Z369-360,Z369+0)</f>
        <v>293.9</v>
      </c>
      <c r="AC369" s="1"/>
      <c r="AD369" s="1"/>
      <c r="AE369" s="1"/>
      <c r="AF369" s="1"/>
    </row>
    <row r="370" customFormat="false" ht="15.8" hidden="false" customHeight="false" outlineLevel="0" collapsed="false">
      <c r="A370" s="1" t="n">
        <v>12</v>
      </c>
      <c r="B370" s="1" t="n">
        <v>7</v>
      </c>
      <c r="C370" s="1" t="n">
        <v>2.8</v>
      </c>
      <c r="D370" s="1" t="n">
        <v>1.3121</v>
      </c>
      <c r="E370" s="1" t="n">
        <v>0.0951125</v>
      </c>
      <c r="F370" s="1" t="n">
        <v>0.000258714</v>
      </c>
      <c r="G370" s="1" t="s">
        <v>27</v>
      </c>
      <c r="H370" s="1" t="n">
        <v>35.3</v>
      </c>
      <c r="I370" s="1" t="n">
        <v>167</v>
      </c>
      <c r="J370" s="1" t="n">
        <v>-20.4</v>
      </c>
      <c r="K370" s="1"/>
      <c r="L370" s="1" t="n">
        <v>0</v>
      </c>
      <c r="M370" s="1" t="n">
        <v>0</v>
      </c>
      <c r="N370" s="1" t="s">
        <v>281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0" t="n">
        <f aca="false">I370+0</f>
        <v>167</v>
      </c>
      <c r="AB370" s="0" t="n">
        <f aca="false">IF(Z370&gt;360,Z370-360,Z370+0)</f>
        <v>167</v>
      </c>
      <c r="AC370" s="1"/>
      <c r="AD370" s="1"/>
      <c r="AE370" s="1"/>
      <c r="AF370" s="1"/>
    </row>
    <row r="371" customFormat="false" ht="15.8" hidden="false" customHeight="false" outlineLevel="0" collapsed="false">
      <c r="A371" s="1" t="n">
        <v>12</v>
      </c>
      <c r="B371" s="1" t="n">
        <v>6</v>
      </c>
      <c r="C371" s="1" t="n">
        <v>0.3</v>
      </c>
      <c r="D371" s="1" t="n">
        <v>1.0141</v>
      </c>
      <c r="E371" s="1" t="n">
        <v>0.010621</v>
      </c>
      <c r="F371" s="1" t="n">
        <v>2.88901E-005</v>
      </c>
      <c r="G371" s="1" t="s">
        <v>52</v>
      </c>
      <c r="H371" s="1" t="n">
        <v>20.1</v>
      </c>
      <c r="I371" s="1" t="n">
        <v>196.5</v>
      </c>
      <c r="J371" s="1" t="n">
        <v>0</v>
      </c>
      <c r="K371" s="1" t="n">
        <v>96.6</v>
      </c>
      <c r="L371" s="1" t="n">
        <v>0</v>
      </c>
      <c r="M371" s="1" t="n">
        <v>0</v>
      </c>
      <c r="N371" s="1" t="s">
        <v>277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0" t="n">
        <f aca="false">I371+0</f>
        <v>196.5</v>
      </c>
      <c r="AB371" s="0" t="n">
        <f aca="false">IF(Z371&gt;360,Z371-360,Z371+0)</f>
        <v>196.5</v>
      </c>
      <c r="AC371" s="1"/>
      <c r="AD371" s="1"/>
      <c r="AE371" s="1"/>
      <c r="AF371" s="1"/>
    </row>
    <row r="372" customFormat="false" ht="15.8" hidden="false" customHeight="false" outlineLevel="0" collapsed="false">
      <c r="A372" s="1" t="n">
        <v>12</v>
      </c>
      <c r="B372" s="1" t="n">
        <v>5</v>
      </c>
      <c r="C372" s="1" t="n">
        <v>4.3</v>
      </c>
      <c r="D372" s="1" t="n">
        <v>1.1772</v>
      </c>
      <c r="E372" s="1" t="n">
        <v>0.146314</v>
      </c>
      <c r="F372" s="1" t="n">
        <v>0.000394808</v>
      </c>
      <c r="G372" s="1" t="s">
        <v>52</v>
      </c>
      <c r="H372" s="1" t="n">
        <v>154</v>
      </c>
      <c r="I372" s="1" t="n">
        <v>213</v>
      </c>
      <c r="J372" s="1" t="n">
        <v>11.6</v>
      </c>
      <c r="K372" s="1" t="n">
        <v>76.8</v>
      </c>
      <c r="L372" s="1" t="n">
        <v>0</v>
      </c>
      <c r="M372" s="1" t="n">
        <v>0</v>
      </c>
      <c r="N372" s="1" t="s">
        <v>276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0" t="n">
        <f aca="false">I372+0</f>
        <v>213</v>
      </c>
      <c r="AB372" s="0" t="n">
        <f aca="false">IF(Z372&gt;360,Z372-360,Z372+0)</f>
        <v>213</v>
      </c>
      <c r="AC372" s="1"/>
      <c r="AD372" s="1"/>
      <c r="AE372" s="1"/>
      <c r="AF372" s="1"/>
    </row>
    <row r="373" customFormat="false" ht="15.8" hidden="false" customHeight="false" outlineLevel="0" collapsed="false">
      <c r="A373" s="1" t="n">
        <v>12</v>
      </c>
      <c r="B373" s="1" t="n">
        <v>4</v>
      </c>
      <c r="C373" s="1" t="n">
        <v>0.7</v>
      </c>
      <c r="D373" s="1" t="n">
        <v>1.0251</v>
      </c>
      <c r="E373" s="1" t="n">
        <v>0.0192562</v>
      </c>
      <c r="F373" s="1" t="n">
        <v>4.19028E-005</v>
      </c>
      <c r="G373" s="1" t="s">
        <v>52</v>
      </c>
      <c r="H373" s="1" t="n">
        <v>38.1</v>
      </c>
      <c r="I373" s="1" t="n">
        <v>9.6</v>
      </c>
      <c r="J373" s="1" t="n">
        <v>0</v>
      </c>
      <c r="K373" s="1" t="n">
        <v>154</v>
      </c>
      <c r="L373" s="1" t="n">
        <v>0</v>
      </c>
      <c r="M373" s="1" t="n">
        <v>0</v>
      </c>
      <c r="N373" s="1" t="s">
        <v>282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0" t="n">
        <f aca="false">I373+0</f>
        <v>9.6</v>
      </c>
      <c r="AB373" s="0" t="n">
        <f aca="false">IF(Z373&gt;360,Z373-360,Z373+0)</f>
        <v>9.6</v>
      </c>
      <c r="AC373" s="1"/>
      <c r="AD373" s="1"/>
      <c r="AE373" s="1"/>
      <c r="AF373" s="1"/>
    </row>
    <row r="374" customFormat="false" ht="15.8" hidden="false" customHeight="false" outlineLevel="0" collapsed="false">
      <c r="A374" s="1" t="n">
        <v>12</v>
      </c>
      <c r="B374" s="1" t="n">
        <v>4</v>
      </c>
      <c r="C374" s="1" t="n">
        <v>0.9</v>
      </c>
      <c r="D374" s="1" t="n">
        <v>1.2489</v>
      </c>
      <c r="E374" s="1" t="n">
        <v>0.0239412</v>
      </c>
      <c r="F374" s="1" t="n">
        <v>5.20977E-005</v>
      </c>
      <c r="G374" s="1" t="s">
        <v>27</v>
      </c>
      <c r="H374" s="1" t="n">
        <v>108.7</v>
      </c>
      <c r="I374" s="1" t="n">
        <v>105.3</v>
      </c>
      <c r="J374" s="1" t="n">
        <v>-31.9</v>
      </c>
      <c r="K374" s="1"/>
      <c r="L374" s="1" t="n">
        <v>0</v>
      </c>
      <c r="M374" s="1" t="n">
        <v>0</v>
      </c>
      <c r="N374" s="1" t="s">
        <v>282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0" t="n">
        <f aca="false">I374+0</f>
        <v>105.3</v>
      </c>
      <c r="AB374" s="0" t="n">
        <f aca="false">IF(Z374&gt;360,Z374-360,Z374+0)</f>
        <v>105.3</v>
      </c>
      <c r="AC374" s="1"/>
      <c r="AD374" s="1"/>
      <c r="AE374" s="1"/>
      <c r="AF374" s="1"/>
    </row>
    <row r="375" customFormat="false" ht="15.8" hidden="false" customHeight="false" outlineLevel="0" collapsed="false">
      <c r="A375" s="1" t="n">
        <v>12</v>
      </c>
      <c r="B375" s="1" t="n">
        <v>3</v>
      </c>
      <c r="C375" s="1" t="n">
        <v>4.2</v>
      </c>
      <c r="D375" s="1" t="n">
        <v>1.3896</v>
      </c>
      <c r="E375" s="1" t="n">
        <v>0.114922</v>
      </c>
      <c r="F375" s="1" t="n">
        <v>0.000250078</v>
      </c>
      <c r="G375" s="1" t="s">
        <v>52</v>
      </c>
      <c r="H375" s="1" t="n">
        <v>54.1</v>
      </c>
      <c r="I375" s="1" t="n">
        <v>15.4</v>
      </c>
      <c r="J375" s="1" t="n">
        <v>37.7</v>
      </c>
      <c r="K375" s="1" t="n">
        <v>108.7</v>
      </c>
      <c r="L375" s="1" t="n">
        <v>0</v>
      </c>
      <c r="M375" s="1" t="n">
        <v>0</v>
      </c>
      <c r="N375" s="1" t="s">
        <v>283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0" t="n">
        <f aca="false">I375+0</f>
        <v>15.4</v>
      </c>
      <c r="AB375" s="0" t="n">
        <f aca="false">IF(Z375&gt;360,Z375-360,Z375+0)</f>
        <v>15.4</v>
      </c>
      <c r="AC375" s="1"/>
      <c r="AD375" s="1"/>
      <c r="AE375" s="1"/>
      <c r="AF375" s="1"/>
    </row>
    <row r="376" customFormat="false" ht="15.8" hidden="false" customHeight="false" outlineLevel="0" collapsed="false">
      <c r="A376" s="1" t="n">
        <v>12</v>
      </c>
      <c r="B376" s="1" t="n">
        <v>3</v>
      </c>
      <c r="C376" s="1" t="n">
        <v>1.4</v>
      </c>
      <c r="D376" s="1" t="n">
        <v>1.1418</v>
      </c>
      <c r="E376" s="1" t="n">
        <v>0.0388448</v>
      </c>
      <c r="F376" s="1" t="n">
        <v>8.45289E-005</v>
      </c>
      <c r="G376" s="1" t="s">
        <v>27</v>
      </c>
      <c r="H376" s="1" t="n">
        <v>29.4</v>
      </c>
      <c r="I376" s="1" t="n">
        <v>33.3</v>
      </c>
      <c r="J376" s="1" t="n">
        <v>-17.3</v>
      </c>
      <c r="K376" s="1"/>
      <c r="L376" s="1" t="n">
        <v>0</v>
      </c>
      <c r="M376" s="1" t="n">
        <v>0</v>
      </c>
      <c r="N376" s="1" t="s">
        <v>283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0" t="n">
        <f aca="false">I376+0</f>
        <v>33.3</v>
      </c>
      <c r="AB376" s="0" t="n">
        <f aca="false">IF(Z376&gt;360,Z376-360,Z376+0)</f>
        <v>33.3</v>
      </c>
      <c r="AC376" s="1"/>
      <c r="AD376" s="1"/>
      <c r="AE376" s="1"/>
      <c r="AF376" s="1"/>
    </row>
    <row r="377" customFormat="false" ht="15.8" hidden="false" customHeight="false" outlineLevel="0" collapsed="false">
      <c r="A377" s="1" t="n">
        <v>12</v>
      </c>
      <c r="B377" s="1" t="n">
        <v>2</v>
      </c>
      <c r="C377" s="1" t="n">
        <v>0.5</v>
      </c>
      <c r="D377" s="1" t="n">
        <v>1.0784</v>
      </c>
      <c r="E377" s="1" t="n">
        <v>0.0140553</v>
      </c>
      <c r="F377" s="1" t="n">
        <v>3.05853E-005</v>
      </c>
      <c r="G377" s="1" t="s">
        <v>52</v>
      </c>
      <c r="H377" s="1" t="n">
        <v>18.1</v>
      </c>
      <c r="I377" s="1" t="n">
        <v>57.5</v>
      </c>
      <c r="J377" s="1" t="n">
        <v>0</v>
      </c>
      <c r="K377" s="1" t="n">
        <v>54.1</v>
      </c>
      <c r="L377" s="1" t="n">
        <v>0</v>
      </c>
      <c r="M377" s="1" t="n">
        <v>0</v>
      </c>
      <c r="N377" s="1" t="s">
        <v>240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0" t="n">
        <f aca="false">I377+0</f>
        <v>57.5</v>
      </c>
      <c r="AB377" s="0" t="n">
        <f aca="false">IF(Z377&gt;360,Z377-360,Z377+0)</f>
        <v>57.5</v>
      </c>
      <c r="AC377" s="1"/>
      <c r="AD377" s="1"/>
      <c r="AE377" s="1"/>
      <c r="AF377" s="1"/>
    </row>
    <row r="378" customFormat="false" ht="15.8" hidden="false" customHeight="false" outlineLevel="0" collapsed="false">
      <c r="A378" s="1" t="n">
        <v>12</v>
      </c>
      <c r="B378" s="1" t="n">
        <v>1</v>
      </c>
      <c r="C378" s="1" t="n">
        <v>1.3</v>
      </c>
      <c r="D378" s="1" t="n">
        <v>1.0748</v>
      </c>
      <c r="E378" s="1" t="n">
        <v>0.0356054</v>
      </c>
      <c r="F378" s="1" t="n">
        <v>7.74798E-005</v>
      </c>
      <c r="G378" s="1" t="s">
        <v>52</v>
      </c>
      <c r="H378" s="1"/>
      <c r="I378" s="1" t="n">
        <v>75.6</v>
      </c>
      <c r="J378" s="1" t="n">
        <v>0</v>
      </c>
      <c r="K378" s="1" t="n">
        <v>104.5</v>
      </c>
      <c r="L378" s="1" t="n">
        <v>0</v>
      </c>
      <c r="M378" s="1" t="n">
        <v>0</v>
      </c>
      <c r="N378" s="1" t="s">
        <v>284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0" t="n">
        <f aca="false">I378+0</f>
        <v>75.6</v>
      </c>
      <c r="AB378" s="0" t="n">
        <f aca="false">IF(Z378&gt;360,Z378-360,Z378+0)</f>
        <v>75.6</v>
      </c>
      <c r="AC378" s="1"/>
      <c r="AD378" s="1"/>
      <c r="AE378" s="1"/>
      <c r="AF378" s="1"/>
    </row>
    <row r="379" customFormat="false" ht="15.8" hidden="false" customHeight="false" outlineLevel="0" collapsed="false">
      <c r="A379" s="1" t="n">
        <v>13</v>
      </c>
      <c r="B379" s="1" t="n">
        <v>3</v>
      </c>
      <c r="C379" s="1" t="n">
        <v>0.8</v>
      </c>
      <c r="D379" s="1" t="n">
        <v>1.0709</v>
      </c>
      <c r="E379" s="1" t="n">
        <v>0.0256559</v>
      </c>
      <c r="F379" s="1" t="n">
        <v>6.97862E-005</v>
      </c>
      <c r="G379" s="1" t="s">
        <v>27</v>
      </c>
      <c r="H379" s="1" t="n">
        <v>67.4</v>
      </c>
      <c r="I379" s="1" t="n">
        <v>288.1</v>
      </c>
      <c r="J379" s="1" t="n">
        <v>31.9</v>
      </c>
      <c r="K379" s="1"/>
      <c r="L379" s="1" t="n">
        <v>0</v>
      </c>
      <c r="M379" s="1" t="n">
        <v>0</v>
      </c>
      <c r="N379" s="1" t="s">
        <v>285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0" t="n">
        <f aca="false">I379+0</f>
        <v>288.1</v>
      </c>
      <c r="AB379" s="0" t="n">
        <f aca="false">IF(Z379&gt;360,Z379-360,Z379+0)</f>
        <v>288.1</v>
      </c>
      <c r="AC379" s="1"/>
      <c r="AD379" s="1"/>
      <c r="AE379" s="1"/>
      <c r="AF379" s="1"/>
    </row>
    <row r="380" customFormat="false" ht="15.8" hidden="false" customHeight="false" outlineLevel="0" collapsed="false">
      <c r="A380" s="1" t="n">
        <v>13</v>
      </c>
      <c r="B380" s="1" t="n">
        <v>3</v>
      </c>
      <c r="C380" s="1" t="n">
        <v>1.5</v>
      </c>
      <c r="D380" s="1" t="n">
        <v>1.0385</v>
      </c>
      <c r="E380" s="1" t="n">
        <v>0.0519986</v>
      </c>
      <c r="F380" s="1" t="n">
        <v>0.000141441</v>
      </c>
      <c r="G380" s="1" t="s">
        <v>27</v>
      </c>
      <c r="H380" s="1" t="n">
        <v>34.1</v>
      </c>
      <c r="I380" s="1" t="n">
        <v>31.3</v>
      </c>
      <c r="J380" s="1" t="n">
        <v>0</v>
      </c>
      <c r="K380" s="1"/>
      <c r="L380" s="1" t="n">
        <v>0</v>
      </c>
      <c r="M380" s="1" t="n">
        <v>0</v>
      </c>
      <c r="N380" s="1" t="s">
        <v>285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0" t="n">
        <f aca="false">I380+0</f>
        <v>31.3</v>
      </c>
      <c r="AB380" s="0" t="n">
        <f aca="false">IF(Z380&gt;360,Z380-360,Z380+0)</f>
        <v>31.3</v>
      </c>
      <c r="AC380" s="1"/>
      <c r="AD380" s="1"/>
      <c r="AE380" s="1"/>
      <c r="AF380" s="1"/>
    </row>
    <row r="381" customFormat="false" ht="15.8" hidden="false" customHeight="false" outlineLevel="0" collapsed="false">
      <c r="A381" s="1" t="n">
        <v>13</v>
      </c>
      <c r="B381" s="1" t="n">
        <v>2</v>
      </c>
      <c r="C381" s="1" t="n">
        <v>6.5</v>
      </c>
      <c r="D381" s="1" t="n">
        <v>1.2551</v>
      </c>
      <c r="E381" s="1" t="n">
        <v>0.222956</v>
      </c>
      <c r="F381" s="1" t="n">
        <v>0.00060646</v>
      </c>
      <c r="G381" s="1" t="s">
        <v>52</v>
      </c>
      <c r="H381" s="1" t="n">
        <v>96.7</v>
      </c>
      <c r="I381" s="1" t="n">
        <v>3.8</v>
      </c>
      <c r="J381" s="1" t="n">
        <v>20.9</v>
      </c>
      <c r="K381" s="1" t="n">
        <v>67.4</v>
      </c>
      <c r="L381" s="1" t="n">
        <v>0</v>
      </c>
      <c r="M381" s="1" t="n">
        <v>0</v>
      </c>
      <c r="N381" s="1" t="s">
        <v>286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0" t="n">
        <f aca="false">I381+0</f>
        <v>3.8</v>
      </c>
      <c r="AB381" s="0" t="n">
        <f aca="false">IF(Z381&gt;360,Z381-360,Z381+0)</f>
        <v>3.8</v>
      </c>
      <c r="AC381" s="1"/>
      <c r="AD381" s="1"/>
      <c r="AE381" s="1"/>
      <c r="AF381" s="1"/>
    </row>
    <row r="382" customFormat="false" ht="15.8" hidden="false" customHeight="false" outlineLevel="0" collapsed="false">
      <c r="A382" s="1" t="n">
        <v>13</v>
      </c>
      <c r="B382" s="1" t="n">
        <v>3</v>
      </c>
      <c r="C382" s="1" t="n">
        <v>0.8</v>
      </c>
      <c r="D382" s="1" t="n">
        <v>1.0769</v>
      </c>
      <c r="E382" s="1" t="n">
        <v>0.0277628</v>
      </c>
      <c r="F382" s="1" t="n">
        <v>7.55173E-005</v>
      </c>
      <c r="G382" s="1" t="s">
        <v>27</v>
      </c>
      <c r="H382" s="1" t="n">
        <v>49.6</v>
      </c>
      <c r="I382" s="1" t="n">
        <v>63.4</v>
      </c>
      <c r="J382" s="1" t="n">
        <v>0</v>
      </c>
      <c r="K382" s="1"/>
      <c r="L382" s="1" t="n">
        <v>0</v>
      </c>
      <c r="M382" s="1" t="n">
        <v>0</v>
      </c>
      <c r="N382" s="1" t="s">
        <v>287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0" t="n">
        <f aca="false">I382+0</f>
        <v>63.4</v>
      </c>
      <c r="AB382" s="0" t="n">
        <f aca="false">IF(Z382&gt;360,Z382-360,Z382+0)</f>
        <v>63.4</v>
      </c>
      <c r="AC382" s="1"/>
      <c r="AD382" s="1"/>
      <c r="AE382" s="1"/>
      <c r="AF382" s="1"/>
    </row>
    <row r="383" customFormat="false" ht="15.8" hidden="false" customHeight="false" outlineLevel="0" collapsed="false">
      <c r="A383" s="1" t="n">
        <v>13</v>
      </c>
      <c r="B383" s="1" t="n">
        <v>5</v>
      </c>
      <c r="C383" s="1" t="n">
        <v>1.9</v>
      </c>
      <c r="D383" s="1" t="n">
        <v>1.1497</v>
      </c>
      <c r="E383" s="1" t="n">
        <v>0.0656317</v>
      </c>
      <c r="F383" s="1" t="n">
        <v>0.000178524</v>
      </c>
      <c r="G383" s="1" t="s">
        <v>27</v>
      </c>
      <c r="H383" s="1" t="n">
        <v>81.5</v>
      </c>
      <c r="I383" s="1" t="n">
        <v>319.6</v>
      </c>
      <c r="J383" s="1" t="n">
        <v>-12.8</v>
      </c>
      <c r="K383" s="1"/>
      <c r="L383" s="1" t="n">
        <v>0</v>
      </c>
      <c r="M383" s="1" t="n">
        <v>0</v>
      </c>
      <c r="N383" s="1" t="s">
        <v>288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0" t="n">
        <f aca="false">I383+0</f>
        <v>319.6</v>
      </c>
      <c r="AB383" s="0" t="n">
        <f aca="false">IF(Z383&gt;360,Z383-360,Z383+0)</f>
        <v>319.6</v>
      </c>
      <c r="AC383" s="1"/>
      <c r="AD383" s="1"/>
      <c r="AE383" s="1"/>
      <c r="AF383" s="1"/>
    </row>
    <row r="384" customFormat="false" ht="15.8" hidden="false" customHeight="false" outlineLevel="0" collapsed="false">
      <c r="A384" s="1" t="n">
        <v>13</v>
      </c>
      <c r="B384" s="1" t="n">
        <v>5</v>
      </c>
      <c r="C384" s="1" t="n">
        <v>5.3</v>
      </c>
      <c r="D384" s="1" t="n">
        <v>1.2177</v>
      </c>
      <c r="E384" s="1" t="n">
        <v>0.182615</v>
      </c>
      <c r="F384" s="1" t="n">
        <v>0.000496728</v>
      </c>
      <c r="G384" s="1" t="s">
        <v>27</v>
      </c>
      <c r="H384" s="1" t="n">
        <v>28.5</v>
      </c>
      <c r="I384" s="1" t="n">
        <v>202.8</v>
      </c>
      <c r="J384" s="1" t="n">
        <v>-19.7</v>
      </c>
      <c r="K384" s="1"/>
      <c r="L384" s="1" t="n">
        <v>0</v>
      </c>
      <c r="M384" s="1" t="n">
        <v>0</v>
      </c>
      <c r="N384" s="1" t="s">
        <v>288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0" t="n">
        <f aca="false">I384+0</f>
        <v>202.8</v>
      </c>
      <c r="AB384" s="0" t="n">
        <f aca="false">IF(Z384&gt;360,Z384-360,Z384+0)</f>
        <v>202.8</v>
      </c>
      <c r="AC384" s="1"/>
      <c r="AD384" s="1"/>
      <c r="AE384" s="1"/>
      <c r="AF384" s="1"/>
    </row>
    <row r="385" customFormat="false" ht="15.8" hidden="false" customHeight="false" outlineLevel="0" collapsed="false">
      <c r="A385" s="1" t="n">
        <v>13</v>
      </c>
      <c r="B385" s="1" t="n">
        <v>4</v>
      </c>
      <c r="C385" s="1" t="n">
        <v>2.1</v>
      </c>
      <c r="D385" s="1" t="n">
        <v>1.221</v>
      </c>
      <c r="E385" s="1" t="n">
        <v>0.0727288</v>
      </c>
      <c r="F385" s="1" t="n">
        <v>0.000197829</v>
      </c>
      <c r="G385" s="1" t="s">
        <v>52</v>
      </c>
      <c r="H385" s="1" t="n">
        <v>54.9</v>
      </c>
      <c r="I385" s="1" t="n">
        <v>233.1</v>
      </c>
      <c r="J385" s="1" t="n">
        <v>-25.1</v>
      </c>
      <c r="K385" s="1" t="n">
        <v>81.5</v>
      </c>
      <c r="L385" s="1" t="n">
        <v>0</v>
      </c>
      <c r="M385" s="1" t="n">
        <v>0</v>
      </c>
      <c r="N385" s="1" t="s">
        <v>289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0" t="n">
        <f aca="false">I385+0</f>
        <v>233.1</v>
      </c>
      <c r="AB385" s="0" t="n">
        <f aca="false">IF(Z385&gt;360,Z385-360,Z385+0)</f>
        <v>233.1</v>
      </c>
      <c r="AC385" s="1"/>
      <c r="AD385" s="1"/>
      <c r="AE385" s="1"/>
      <c r="AF385" s="1"/>
    </row>
    <row r="386" customFormat="false" ht="15.8" hidden="false" customHeight="false" outlineLevel="0" collapsed="false">
      <c r="A386" s="1" t="n">
        <v>13</v>
      </c>
      <c r="B386" s="1" t="n">
        <v>13</v>
      </c>
      <c r="C386" s="1" t="n">
        <v>6.8</v>
      </c>
      <c r="D386" s="1" t="n">
        <v>1.2864</v>
      </c>
      <c r="E386" s="1" t="n">
        <v>0.23205</v>
      </c>
      <c r="F386" s="1" t="n">
        <v>0.000631195</v>
      </c>
      <c r="G386" s="1" t="s">
        <v>27</v>
      </c>
      <c r="H386" s="1" t="n">
        <v>53</v>
      </c>
      <c r="I386" s="1" t="n">
        <v>262.2</v>
      </c>
      <c r="J386" s="1" t="n">
        <v>-20.5</v>
      </c>
      <c r="K386" s="1"/>
      <c r="L386" s="1" t="n">
        <v>0</v>
      </c>
      <c r="M386" s="1" t="n">
        <v>0</v>
      </c>
      <c r="N386" s="1" t="s">
        <v>290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0" t="n">
        <f aca="false">I386+0</f>
        <v>262.2</v>
      </c>
      <c r="AB386" s="0" t="n">
        <f aca="false">IF(Z386&gt;360,Z386-360,Z386+0)</f>
        <v>262.2</v>
      </c>
      <c r="AC386" s="1"/>
      <c r="AD386" s="1"/>
      <c r="AE386" s="1"/>
      <c r="AF386" s="1"/>
    </row>
    <row r="387" customFormat="false" ht="15.8" hidden="false" customHeight="false" outlineLevel="0" collapsed="false">
      <c r="A387" s="1" t="n">
        <v>13</v>
      </c>
      <c r="B387" s="1" t="n">
        <v>13</v>
      </c>
      <c r="C387" s="1" t="n">
        <v>0.8</v>
      </c>
      <c r="D387" s="1" t="n">
        <v>1.076</v>
      </c>
      <c r="E387" s="1" t="n">
        <v>0.0279124</v>
      </c>
      <c r="F387" s="1" t="n">
        <v>7.59243E-005</v>
      </c>
      <c r="G387" s="1" t="s">
        <v>27</v>
      </c>
      <c r="H387" s="1" t="n">
        <v>102.3</v>
      </c>
      <c r="I387" s="1" t="n">
        <v>330.5</v>
      </c>
      <c r="J387" s="1" t="n">
        <v>-29.2</v>
      </c>
      <c r="K387" s="1"/>
      <c r="L387" s="1" t="n">
        <v>0</v>
      </c>
      <c r="M387" s="1" t="n">
        <v>0</v>
      </c>
      <c r="N387" s="1" t="s">
        <v>290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0" t="n">
        <f aca="false">I387+0</f>
        <v>330.5</v>
      </c>
      <c r="AB387" s="0" t="n">
        <f aca="false">IF(Z387&gt;360,Z387-360,Z387+0)</f>
        <v>330.5</v>
      </c>
      <c r="AC387" s="1"/>
      <c r="AD387" s="1"/>
      <c r="AE387" s="1"/>
      <c r="AF387" s="1"/>
    </row>
    <row r="388" customFormat="false" ht="15.8" hidden="false" customHeight="false" outlineLevel="0" collapsed="false">
      <c r="A388" s="1" t="n">
        <v>13</v>
      </c>
      <c r="B388" s="1" t="n">
        <v>13</v>
      </c>
      <c r="C388" s="1" t="n">
        <v>5.2</v>
      </c>
      <c r="D388" s="1" t="n">
        <v>1.1982</v>
      </c>
      <c r="E388" s="1" t="n">
        <v>0.177989</v>
      </c>
      <c r="F388" s="1" t="n">
        <v>0.000484146</v>
      </c>
      <c r="G388" s="1" t="s">
        <v>27</v>
      </c>
      <c r="H388" s="1" t="n">
        <v>118</v>
      </c>
      <c r="I388" s="1" t="n">
        <v>144.7</v>
      </c>
      <c r="J388" s="1" t="n">
        <v>-58.4</v>
      </c>
      <c r="K388" s="1"/>
      <c r="L388" s="1" t="n">
        <v>0</v>
      </c>
      <c r="M388" s="1" t="n">
        <v>0</v>
      </c>
      <c r="N388" s="1" t="s">
        <v>290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0" t="n">
        <f aca="false">I388+0</f>
        <v>144.7</v>
      </c>
      <c r="AB388" s="0" t="n">
        <f aca="false">IF(Z388&gt;360,Z388-360,Z388+0)</f>
        <v>144.7</v>
      </c>
      <c r="AC388" s="1"/>
      <c r="AD388" s="1"/>
      <c r="AE388" s="1"/>
      <c r="AF388" s="1"/>
    </row>
    <row r="389" customFormat="false" ht="15.8" hidden="false" customHeight="false" outlineLevel="0" collapsed="false">
      <c r="A389" s="1" t="n">
        <v>13</v>
      </c>
      <c r="B389" s="1" t="n">
        <v>12</v>
      </c>
      <c r="C389" s="1" t="n">
        <v>2.7</v>
      </c>
      <c r="D389" s="1" t="n">
        <v>1.1573</v>
      </c>
      <c r="E389" s="1" t="n">
        <v>0.0911763</v>
      </c>
      <c r="F389" s="1" t="n">
        <v>0.000248007</v>
      </c>
      <c r="G389" s="1" t="s">
        <v>52</v>
      </c>
      <c r="H389" s="1" t="n">
        <v>105.1</v>
      </c>
      <c r="I389" s="1" t="n">
        <v>242.1</v>
      </c>
      <c r="J389" s="1" t="n">
        <v>28.8</v>
      </c>
      <c r="K389" s="1" t="n">
        <v>118</v>
      </c>
      <c r="L389" s="1" t="n">
        <v>0</v>
      </c>
      <c r="M389" s="1" t="n">
        <v>0</v>
      </c>
      <c r="N389" s="1" t="s">
        <v>291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0" t="n">
        <f aca="false">I389+0</f>
        <v>242.1</v>
      </c>
      <c r="AB389" s="0" t="n">
        <f aca="false">IF(Z389&gt;360,Z389-360,Z389+0)</f>
        <v>242.1</v>
      </c>
      <c r="AC389" s="1"/>
      <c r="AD389" s="1"/>
      <c r="AE389" s="1"/>
      <c r="AF389" s="1"/>
    </row>
    <row r="390" customFormat="false" ht="15.8" hidden="false" customHeight="false" outlineLevel="0" collapsed="false">
      <c r="A390" s="1" t="n">
        <v>13</v>
      </c>
      <c r="B390" s="1" t="n">
        <v>12</v>
      </c>
      <c r="C390" s="1" t="n">
        <v>2.6</v>
      </c>
      <c r="D390" s="1" t="n">
        <v>1.6935</v>
      </c>
      <c r="E390" s="1" t="n">
        <v>0.0878229</v>
      </c>
      <c r="F390" s="1" t="n">
        <v>0.000238886</v>
      </c>
      <c r="G390" s="1" t="s">
        <v>27</v>
      </c>
      <c r="H390" s="1" t="n">
        <v>22.5</v>
      </c>
      <c r="I390" s="1" t="n">
        <v>109</v>
      </c>
      <c r="J390" s="1" t="n">
        <v>-77.3</v>
      </c>
      <c r="K390" s="1"/>
      <c r="L390" s="1" t="n">
        <v>0</v>
      </c>
      <c r="M390" s="1" t="n">
        <v>0</v>
      </c>
      <c r="N390" s="1" t="s">
        <v>291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0" t="n">
        <f aca="false">I390+0</f>
        <v>109</v>
      </c>
      <c r="AB390" s="0" t="n">
        <f aca="false">IF(Z390&gt;360,Z390-360,Z390+0)</f>
        <v>109</v>
      </c>
      <c r="AC390" s="1"/>
      <c r="AD390" s="1"/>
      <c r="AE390" s="1"/>
      <c r="AF390" s="1"/>
    </row>
    <row r="391" customFormat="false" ht="15.8" hidden="false" customHeight="false" outlineLevel="0" collapsed="false">
      <c r="A391" s="1" t="n">
        <v>13</v>
      </c>
      <c r="B391" s="1" t="n">
        <v>13</v>
      </c>
      <c r="C391" s="1" t="n">
        <v>1</v>
      </c>
      <c r="D391" s="1" t="n">
        <v>1.1524</v>
      </c>
      <c r="E391" s="1" t="n">
        <v>0.0342082</v>
      </c>
      <c r="F391" s="1" t="n">
        <v>9.30494E-005</v>
      </c>
      <c r="G391" s="1" t="s">
        <v>27</v>
      </c>
      <c r="H391" s="1" t="n">
        <v>108.6</v>
      </c>
      <c r="I391" s="1" t="n">
        <v>227.9</v>
      </c>
      <c r="J391" s="1" t="n">
        <v>-58.4</v>
      </c>
      <c r="K391" s="1"/>
      <c r="L391" s="1" t="n">
        <v>0</v>
      </c>
      <c r="M391" s="1" t="n">
        <v>0</v>
      </c>
      <c r="N391" s="1" t="s">
        <v>292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0" t="n">
        <f aca="false">I391+0</f>
        <v>227.9</v>
      </c>
      <c r="AB391" s="0" t="n">
        <f aca="false">IF(Z391&gt;360,Z391-360,Z391+0)</f>
        <v>227.9</v>
      </c>
      <c r="AC391" s="1"/>
      <c r="AD391" s="1"/>
      <c r="AE391" s="1"/>
      <c r="AF391" s="1"/>
    </row>
    <row r="392" customFormat="false" ht="15.8" hidden="false" customHeight="false" outlineLevel="0" collapsed="false">
      <c r="A392" s="1" t="n">
        <v>13</v>
      </c>
      <c r="B392" s="1" t="n">
        <v>13</v>
      </c>
      <c r="C392" s="1" t="n">
        <v>0.7</v>
      </c>
      <c r="D392" s="1" t="n">
        <v>1.0171</v>
      </c>
      <c r="E392" s="1" t="n">
        <v>0.0254145</v>
      </c>
      <c r="F392" s="1" t="n">
        <v>6.91298E-005</v>
      </c>
      <c r="G392" s="1" t="s">
        <v>27</v>
      </c>
      <c r="H392" s="1" t="n">
        <v>6.8</v>
      </c>
      <c r="I392" s="1" t="n">
        <v>4.3</v>
      </c>
      <c r="J392" s="1" t="n">
        <v>0</v>
      </c>
      <c r="K392" s="1"/>
      <c r="L392" s="1" t="n">
        <v>0</v>
      </c>
      <c r="M392" s="1" t="n">
        <v>0</v>
      </c>
      <c r="N392" s="1" t="s">
        <v>292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0" t="n">
        <f aca="false">I392+0</f>
        <v>4.3</v>
      </c>
      <c r="AB392" s="0" t="n">
        <f aca="false">IF(Z392&gt;360,Z392-360,Z392+0)</f>
        <v>4.3</v>
      </c>
      <c r="AC392" s="1"/>
      <c r="AD392" s="1"/>
      <c r="AE392" s="1"/>
      <c r="AF392" s="1"/>
    </row>
    <row r="393" customFormat="false" ht="15.8" hidden="false" customHeight="false" outlineLevel="0" collapsed="false">
      <c r="A393" s="1" t="n">
        <v>13</v>
      </c>
      <c r="B393" s="1" t="n">
        <v>12</v>
      </c>
      <c r="C393" s="1" t="n">
        <v>5.3</v>
      </c>
      <c r="D393" s="1" t="n">
        <v>1.4018</v>
      </c>
      <c r="E393" s="1" t="n">
        <v>0.182609</v>
      </c>
      <c r="F393" s="1" t="n">
        <v>0.000496712</v>
      </c>
      <c r="G393" s="1" t="s">
        <v>52</v>
      </c>
      <c r="H393" s="1" t="n">
        <v>105.6</v>
      </c>
      <c r="I393" s="1" t="n">
        <v>8.2</v>
      </c>
      <c r="J393" s="1" t="n">
        <v>-5.6</v>
      </c>
      <c r="K393" s="1" t="n">
        <v>108.6</v>
      </c>
      <c r="L393" s="1" t="n">
        <v>0</v>
      </c>
      <c r="M393" s="1" t="n">
        <v>0</v>
      </c>
      <c r="N393" s="1" t="s">
        <v>291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0" t="n">
        <f aca="false">I393+0</f>
        <v>8.2</v>
      </c>
      <c r="AB393" s="0" t="n">
        <f aca="false">IF(Z393&gt;360,Z393-360,Z393+0)</f>
        <v>8.2</v>
      </c>
      <c r="AC393" s="1"/>
      <c r="AD393" s="1"/>
      <c r="AE393" s="1"/>
      <c r="AF393" s="1"/>
    </row>
    <row r="394" customFormat="false" ht="15.8" hidden="false" customHeight="false" outlineLevel="0" collapsed="false">
      <c r="A394" s="1" t="n">
        <v>13</v>
      </c>
      <c r="B394" s="1" t="n">
        <v>11</v>
      </c>
      <c r="C394" s="1" t="n">
        <v>3.4</v>
      </c>
      <c r="D394" s="1" t="n">
        <v>1.2231</v>
      </c>
      <c r="E394" s="1" t="n">
        <v>0.116099</v>
      </c>
      <c r="F394" s="1" t="n">
        <v>0.0003158</v>
      </c>
      <c r="G394" s="1" t="s">
        <v>52</v>
      </c>
      <c r="H394" s="1" t="n">
        <v>87</v>
      </c>
      <c r="I394" s="1" t="n">
        <v>188.7</v>
      </c>
      <c r="J394" s="1" t="n">
        <v>-68.9</v>
      </c>
      <c r="K394" s="1" t="n">
        <v>105.6</v>
      </c>
      <c r="L394" s="1" t="n">
        <v>0</v>
      </c>
      <c r="M394" s="1" t="n">
        <v>0</v>
      </c>
      <c r="N394" s="1" t="s">
        <v>293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0" t="n">
        <f aca="false">I394+0</f>
        <v>188.7</v>
      </c>
      <c r="AB394" s="0" t="n">
        <f aca="false">IF(Z394&gt;360,Z394-360,Z394+0)</f>
        <v>188.7</v>
      </c>
      <c r="AC394" s="1"/>
      <c r="AD394" s="1"/>
      <c r="AE394" s="1"/>
      <c r="AF394" s="1"/>
    </row>
    <row r="395" customFormat="false" ht="15.8" hidden="false" customHeight="false" outlineLevel="0" collapsed="false">
      <c r="A395" s="1" t="n">
        <v>13</v>
      </c>
      <c r="B395" s="1" t="n">
        <v>16</v>
      </c>
      <c r="C395" s="1" t="n">
        <v>6.6</v>
      </c>
      <c r="D395" s="1" t="n">
        <v>1.2655</v>
      </c>
      <c r="E395" s="1" t="n">
        <v>0.226012</v>
      </c>
      <c r="F395" s="1" t="n">
        <v>0.000614772</v>
      </c>
      <c r="G395" s="1" t="s">
        <v>27</v>
      </c>
      <c r="H395" s="1" t="n">
        <v>15.1</v>
      </c>
      <c r="I395" s="1" t="n">
        <v>23</v>
      </c>
      <c r="J395" s="1" t="n">
        <v>-4.1</v>
      </c>
      <c r="K395" s="1"/>
      <c r="L395" s="1" t="n">
        <v>0</v>
      </c>
      <c r="M395" s="1" t="n">
        <v>0</v>
      </c>
      <c r="N395" s="1" t="s">
        <v>294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0" t="n">
        <f aca="false">I395+0</f>
        <v>23</v>
      </c>
      <c r="AB395" s="0" t="n">
        <f aca="false">IF(Z395&gt;360,Z395-360,Z395+0)</f>
        <v>23</v>
      </c>
      <c r="AC395" s="1"/>
      <c r="AD395" s="1"/>
      <c r="AE395" s="1"/>
      <c r="AF395" s="1"/>
    </row>
    <row r="396" customFormat="false" ht="15.8" hidden="false" customHeight="false" outlineLevel="0" collapsed="false">
      <c r="A396" s="1" t="n">
        <v>13</v>
      </c>
      <c r="B396" s="1" t="n">
        <v>16</v>
      </c>
      <c r="C396" s="1" t="n">
        <v>8.4</v>
      </c>
      <c r="D396" s="1" t="n">
        <v>3.3809</v>
      </c>
      <c r="E396" s="1" t="n">
        <v>0.286525</v>
      </c>
      <c r="F396" s="1" t="n">
        <v>0.000779373</v>
      </c>
      <c r="G396" s="1" t="s">
        <v>27</v>
      </c>
      <c r="H396" s="1" t="n">
        <v>47.8</v>
      </c>
      <c r="I396" s="1" t="n">
        <v>79.9</v>
      </c>
      <c r="J396" s="1" t="n">
        <v>-36.7</v>
      </c>
      <c r="K396" s="1"/>
      <c r="L396" s="1" t="n">
        <v>0</v>
      </c>
      <c r="M396" s="1" t="n">
        <v>0</v>
      </c>
      <c r="N396" s="1" t="s">
        <v>294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0" t="n">
        <f aca="false">I396+0</f>
        <v>79.9</v>
      </c>
      <c r="AB396" s="0" t="n">
        <f aca="false">IF(Z396&gt;360,Z396-360,Z396+0)</f>
        <v>79.9</v>
      </c>
      <c r="AC396" s="1"/>
      <c r="AD396" s="1"/>
      <c r="AE396" s="1"/>
      <c r="AF396" s="1"/>
    </row>
    <row r="397" customFormat="false" ht="15.8" hidden="false" customHeight="false" outlineLevel="0" collapsed="false">
      <c r="A397" s="1" t="n">
        <v>13</v>
      </c>
      <c r="B397" s="1" t="n">
        <v>15</v>
      </c>
      <c r="C397" s="1" t="n">
        <v>2.8</v>
      </c>
      <c r="D397" s="1" t="n">
        <v>1.1597</v>
      </c>
      <c r="E397" s="1" t="n">
        <v>0.0970887</v>
      </c>
      <c r="F397" s="1" t="n">
        <v>0.00026409</v>
      </c>
      <c r="G397" s="1" t="s">
        <v>52</v>
      </c>
      <c r="H397" s="1" t="n">
        <v>70.3</v>
      </c>
      <c r="I397" s="1" t="n">
        <v>29.9</v>
      </c>
      <c r="J397" s="1" t="n">
        <v>-17.6</v>
      </c>
      <c r="K397" s="1" t="n">
        <v>47.8</v>
      </c>
      <c r="L397" s="1" t="n">
        <v>0</v>
      </c>
      <c r="M397" s="1" t="n">
        <v>0</v>
      </c>
      <c r="N397" s="1" t="s">
        <v>295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0" t="n">
        <f aca="false">I397+0</f>
        <v>29.9</v>
      </c>
      <c r="AB397" s="0" t="n">
        <f aca="false">IF(Z397&gt;360,Z397-360,Z397+0)</f>
        <v>29.9</v>
      </c>
      <c r="AC397" s="1"/>
      <c r="AD397" s="1"/>
      <c r="AE397" s="1"/>
      <c r="AF397" s="1"/>
    </row>
    <row r="398" customFormat="false" ht="15.8" hidden="false" customHeight="false" outlineLevel="0" collapsed="false">
      <c r="A398" s="1" t="n">
        <v>13</v>
      </c>
      <c r="B398" s="1" t="n">
        <v>15</v>
      </c>
      <c r="C398" s="1" t="n">
        <v>2.8</v>
      </c>
      <c r="D398" s="1" t="n">
        <v>1.3466</v>
      </c>
      <c r="E398" s="1" t="n">
        <v>0.096011</v>
      </c>
      <c r="F398" s="1" t="n">
        <v>0.000261158</v>
      </c>
      <c r="G398" s="1" t="s">
        <v>27</v>
      </c>
      <c r="H398" s="1" t="n">
        <v>40.3</v>
      </c>
      <c r="I398" s="1" t="n">
        <v>276.5</v>
      </c>
      <c r="J398" s="1" t="n">
        <v>-62.5</v>
      </c>
      <c r="K398" s="1"/>
      <c r="L398" s="1" t="n">
        <v>0</v>
      </c>
      <c r="M398" s="1" t="n">
        <v>0</v>
      </c>
      <c r="N398" s="1" t="s">
        <v>295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0" t="n">
        <f aca="false">I398+0</f>
        <v>276.5</v>
      </c>
      <c r="AB398" s="0" t="n">
        <f aca="false">IF(Z398&gt;360,Z398-360,Z398+0)</f>
        <v>276.5</v>
      </c>
      <c r="AC398" s="1"/>
      <c r="AD398" s="1"/>
      <c r="AE398" s="1"/>
      <c r="AF398" s="1"/>
    </row>
    <row r="399" customFormat="false" ht="15.8" hidden="false" customHeight="false" outlineLevel="0" collapsed="false">
      <c r="A399" s="1" t="n">
        <v>13</v>
      </c>
      <c r="B399" s="1" t="n">
        <v>14</v>
      </c>
      <c r="C399" s="1" t="n">
        <v>5.9</v>
      </c>
      <c r="D399" s="1" t="n">
        <v>1.2859</v>
      </c>
      <c r="E399" s="1" t="n">
        <v>0.200253</v>
      </c>
      <c r="F399" s="1" t="n">
        <v>0.000544705</v>
      </c>
      <c r="G399" s="1" t="s">
        <v>52</v>
      </c>
      <c r="H399" s="1" t="n">
        <v>104.6</v>
      </c>
      <c r="I399" s="1" t="n">
        <v>108.6</v>
      </c>
      <c r="J399" s="1" t="n">
        <v>-77</v>
      </c>
      <c r="K399" s="1" t="n">
        <v>70.3</v>
      </c>
      <c r="L399" s="1" t="n">
        <v>0</v>
      </c>
      <c r="M399" s="1" t="n">
        <v>0</v>
      </c>
      <c r="N399" s="1" t="s">
        <v>296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0" t="n">
        <f aca="false">I399+0</f>
        <v>108.6</v>
      </c>
      <c r="AB399" s="0" t="n">
        <f aca="false">IF(Z399&gt;360,Z399-360,Z399+0)</f>
        <v>108.6</v>
      </c>
      <c r="AC399" s="1"/>
      <c r="AD399" s="1"/>
      <c r="AE399" s="1"/>
      <c r="AF399" s="1"/>
    </row>
    <row r="400" customFormat="false" ht="15.8" hidden="false" customHeight="false" outlineLevel="0" collapsed="false">
      <c r="A400" s="1" t="n">
        <v>13</v>
      </c>
      <c r="B400" s="1" t="n">
        <v>14</v>
      </c>
      <c r="C400" s="1" t="n">
        <v>2.5</v>
      </c>
      <c r="D400" s="1" t="n">
        <v>1.5678</v>
      </c>
      <c r="E400" s="1" t="n">
        <v>0.0842708</v>
      </c>
      <c r="F400" s="1" t="n">
        <v>0.000229224</v>
      </c>
      <c r="G400" s="1" t="s">
        <v>27</v>
      </c>
      <c r="H400" s="1" t="n">
        <v>72.4</v>
      </c>
      <c r="I400" s="1" t="n">
        <v>312.5</v>
      </c>
      <c r="J400" s="1" t="n">
        <v>70.3</v>
      </c>
      <c r="K400" s="1"/>
      <c r="L400" s="1" t="n">
        <v>0</v>
      </c>
      <c r="M400" s="1" t="n">
        <v>0</v>
      </c>
      <c r="N400" s="1" t="s">
        <v>296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0" t="n">
        <f aca="false">I400+0</f>
        <v>312.5</v>
      </c>
      <c r="AB400" s="0" t="n">
        <f aca="false">IF(Z400&gt;360,Z400-360,Z400+0)</f>
        <v>312.5</v>
      </c>
      <c r="AC400" s="1"/>
      <c r="AD400" s="1"/>
      <c r="AE400" s="1"/>
      <c r="AF400" s="1"/>
    </row>
    <row r="401" customFormat="false" ht="15.8" hidden="false" customHeight="false" outlineLevel="0" collapsed="false">
      <c r="A401" s="1" t="n">
        <v>13</v>
      </c>
      <c r="B401" s="1" t="n">
        <v>13</v>
      </c>
      <c r="C401" s="1" t="n">
        <v>2.7</v>
      </c>
      <c r="D401" s="1" t="n">
        <v>1.3711</v>
      </c>
      <c r="E401" s="1" t="n">
        <v>0.0918615</v>
      </c>
      <c r="F401" s="1" t="n">
        <v>0.000249871</v>
      </c>
      <c r="G401" s="1" t="s">
        <v>52</v>
      </c>
      <c r="H401" s="1" t="n">
        <v>22.8</v>
      </c>
      <c r="I401" s="1" t="n">
        <v>52.3</v>
      </c>
      <c r="J401" s="1" t="n">
        <v>22.2</v>
      </c>
      <c r="K401" s="1" t="n">
        <v>104.6</v>
      </c>
      <c r="L401" s="1" t="n">
        <v>0</v>
      </c>
      <c r="M401" s="1" t="n">
        <v>0</v>
      </c>
      <c r="N401" s="1" t="s">
        <v>297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0" t="n">
        <f aca="false">I401+0</f>
        <v>52.3</v>
      </c>
      <c r="AB401" s="0" t="n">
        <f aca="false">IF(Z401&gt;360,Z401-360,Z401+0)</f>
        <v>52.3</v>
      </c>
      <c r="AC401" s="1"/>
      <c r="AD401" s="1"/>
      <c r="AE401" s="1"/>
      <c r="AF401" s="1"/>
    </row>
    <row r="402" customFormat="false" ht="15.8" hidden="false" customHeight="false" outlineLevel="0" collapsed="false">
      <c r="A402" s="1" t="n">
        <v>13</v>
      </c>
      <c r="B402" s="1" t="n">
        <v>13</v>
      </c>
      <c r="C402" s="1" t="n">
        <v>1.3</v>
      </c>
      <c r="D402" s="1" t="n">
        <v>1.0249</v>
      </c>
      <c r="E402" s="1" t="n">
        <v>0.0458973</v>
      </c>
      <c r="F402" s="1" t="n">
        <v>0.000124845</v>
      </c>
      <c r="G402" s="1" t="s">
        <v>27</v>
      </c>
      <c r="H402" s="1" t="n">
        <v>110.9</v>
      </c>
      <c r="I402" s="1" t="n">
        <v>168.5</v>
      </c>
      <c r="J402" s="1" t="n">
        <v>0</v>
      </c>
      <c r="K402" s="1"/>
      <c r="L402" s="1" t="n">
        <v>0</v>
      </c>
      <c r="M402" s="1" t="n">
        <v>0</v>
      </c>
      <c r="N402" s="1" t="s">
        <v>297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0" t="n">
        <f aca="false">I402+0</f>
        <v>168.5</v>
      </c>
      <c r="AB402" s="0" t="n">
        <f aca="false">IF(Z402&gt;360,Z402-360,Z402+0)</f>
        <v>168.5</v>
      </c>
      <c r="AC402" s="1"/>
      <c r="AD402" s="1"/>
      <c r="AE402" s="1"/>
      <c r="AF402" s="1"/>
    </row>
    <row r="403" customFormat="false" ht="15.8" hidden="false" customHeight="false" outlineLevel="0" collapsed="false">
      <c r="A403" s="1" t="n">
        <v>13</v>
      </c>
      <c r="B403" s="1" t="n">
        <v>12</v>
      </c>
      <c r="C403" s="1" t="n">
        <v>0.5</v>
      </c>
      <c r="D403" s="1" t="n">
        <v>1.0184</v>
      </c>
      <c r="E403" s="1" t="n">
        <v>0.0183888</v>
      </c>
      <c r="F403" s="1" t="n">
        <v>5.00192E-005</v>
      </c>
      <c r="G403" s="1" t="s">
        <v>52</v>
      </c>
      <c r="H403" s="1" t="n">
        <v>106.6</v>
      </c>
      <c r="I403" s="1" t="n">
        <v>57.6</v>
      </c>
      <c r="J403" s="1" t="n">
        <v>0</v>
      </c>
      <c r="K403" s="1" t="n">
        <v>110.9</v>
      </c>
      <c r="L403" s="1" t="n">
        <v>0</v>
      </c>
      <c r="M403" s="1" t="n">
        <v>0</v>
      </c>
      <c r="N403" s="1" t="s">
        <v>298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0" t="n">
        <f aca="false">I403+0</f>
        <v>57.6</v>
      </c>
      <c r="AB403" s="0" t="n">
        <f aca="false">IF(Z403&gt;360,Z403-360,Z403+0)</f>
        <v>57.6</v>
      </c>
      <c r="AC403" s="1"/>
      <c r="AD403" s="1"/>
      <c r="AE403" s="1"/>
      <c r="AF403" s="1"/>
    </row>
    <row r="404" customFormat="false" ht="15.8" hidden="false" customHeight="false" outlineLevel="0" collapsed="false">
      <c r="A404" s="1" t="n">
        <v>13</v>
      </c>
      <c r="B404" s="1" t="n">
        <v>12</v>
      </c>
      <c r="C404" s="1" t="n">
        <v>1.2</v>
      </c>
      <c r="D404" s="1" t="n">
        <v>1.1567</v>
      </c>
      <c r="E404" s="1" t="n">
        <v>0.0425879</v>
      </c>
      <c r="F404" s="1" t="n">
        <v>0.000115843</v>
      </c>
      <c r="G404" s="1" t="s">
        <v>27</v>
      </c>
      <c r="H404" s="1" t="n">
        <v>49.9</v>
      </c>
      <c r="I404" s="1" t="n">
        <v>251.2</v>
      </c>
      <c r="J404" s="1" t="n">
        <v>20.1</v>
      </c>
      <c r="K404" s="1"/>
      <c r="L404" s="1" t="n">
        <v>0</v>
      </c>
      <c r="M404" s="1" t="n">
        <v>0</v>
      </c>
      <c r="N404" s="1" t="s">
        <v>298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0" t="n">
        <f aca="false">I404+0</f>
        <v>251.2</v>
      </c>
      <c r="AB404" s="0" t="n">
        <f aca="false">IF(Z404&gt;360,Z404-360,Z404+0)</f>
        <v>251.2</v>
      </c>
      <c r="AC404" s="1"/>
      <c r="AD404" s="1"/>
      <c r="AE404" s="1"/>
      <c r="AF404" s="1"/>
    </row>
    <row r="405" customFormat="false" ht="15.8" hidden="false" customHeight="false" outlineLevel="0" collapsed="false">
      <c r="A405" s="1" t="n">
        <v>13</v>
      </c>
      <c r="B405" s="1" t="n">
        <v>11</v>
      </c>
      <c r="C405" s="1" t="n">
        <v>3.8</v>
      </c>
      <c r="D405" s="1" t="n">
        <v>1.8344</v>
      </c>
      <c r="E405" s="1" t="n">
        <v>0.130591</v>
      </c>
      <c r="F405" s="1" t="n">
        <v>0.000355219</v>
      </c>
      <c r="G405" s="1" t="s">
        <v>52</v>
      </c>
      <c r="H405" s="1" t="n">
        <v>100.8</v>
      </c>
      <c r="I405" s="1" t="n">
        <v>289.3</v>
      </c>
      <c r="J405" s="1" t="n">
        <v>62.7</v>
      </c>
      <c r="K405" s="1" t="n">
        <v>106.6</v>
      </c>
      <c r="L405" s="1" t="n">
        <v>0</v>
      </c>
      <c r="M405" s="1" t="n">
        <v>0</v>
      </c>
      <c r="N405" s="1" t="s">
        <v>293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0" t="n">
        <f aca="false">I405+0</f>
        <v>289.3</v>
      </c>
      <c r="AB405" s="0" t="n">
        <f aca="false">IF(Z405&gt;360,Z405-360,Z405+0)</f>
        <v>289.3</v>
      </c>
      <c r="AC405" s="1"/>
      <c r="AD405" s="1"/>
      <c r="AE405" s="1"/>
      <c r="AF405" s="1"/>
    </row>
    <row r="406" customFormat="false" ht="15.8" hidden="false" customHeight="false" outlineLevel="0" collapsed="false">
      <c r="A406" s="1" t="n">
        <v>13</v>
      </c>
      <c r="B406" s="1" t="n">
        <v>10</v>
      </c>
      <c r="C406" s="1" t="n">
        <v>2.2</v>
      </c>
      <c r="D406" s="1" t="n">
        <v>1.201</v>
      </c>
      <c r="E406" s="1" t="n">
        <v>0.0757933</v>
      </c>
      <c r="F406" s="1" t="n">
        <v>0.000206164</v>
      </c>
      <c r="G406" s="1" t="s">
        <v>52</v>
      </c>
      <c r="H406" s="1" t="n">
        <v>41.4</v>
      </c>
      <c r="I406" s="1" t="n">
        <v>355.6</v>
      </c>
      <c r="J406" s="1" t="n">
        <v>-23.6</v>
      </c>
      <c r="K406" s="1" t="n">
        <v>100.8</v>
      </c>
      <c r="L406" s="1" t="n">
        <v>0</v>
      </c>
      <c r="M406" s="1" t="n">
        <v>0</v>
      </c>
      <c r="N406" s="1" t="s">
        <v>299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0" t="n">
        <f aca="false">I406+0</f>
        <v>355.6</v>
      </c>
      <c r="AB406" s="0" t="n">
        <f aca="false">IF(Z406&gt;360,Z406-360,Z406+0)</f>
        <v>355.6</v>
      </c>
      <c r="AC406" s="1"/>
      <c r="AD406" s="1"/>
      <c r="AE406" s="1"/>
      <c r="AF406" s="1"/>
    </row>
    <row r="407" customFormat="false" ht="15.8" hidden="false" customHeight="false" outlineLevel="0" collapsed="false">
      <c r="A407" s="1" t="n">
        <v>13</v>
      </c>
      <c r="B407" s="1" t="n">
        <v>10</v>
      </c>
      <c r="C407" s="1" t="n">
        <v>0.5</v>
      </c>
      <c r="D407" s="1" t="n">
        <v>1.0654</v>
      </c>
      <c r="E407" s="1" t="n">
        <v>0.0168153</v>
      </c>
      <c r="F407" s="1" t="n">
        <v>4.57391E-005</v>
      </c>
      <c r="G407" s="1" t="s">
        <v>27</v>
      </c>
      <c r="H407" s="1" t="n">
        <v>85</v>
      </c>
      <c r="I407" s="1" t="n">
        <v>235.6</v>
      </c>
      <c r="J407" s="1" t="n">
        <v>0</v>
      </c>
      <c r="K407" s="1"/>
      <c r="L407" s="1" t="n">
        <v>0</v>
      </c>
      <c r="M407" s="1" t="n">
        <v>0</v>
      </c>
      <c r="N407" s="1" t="s">
        <v>299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0" t="n">
        <f aca="false">I407+0</f>
        <v>235.6</v>
      </c>
      <c r="AB407" s="0" t="n">
        <f aca="false">IF(Z407&gt;360,Z407-360,Z407+0)</f>
        <v>235.6</v>
      </c>
      <c r="AC407" s="1"/>
      <c r="AD407" s="1"/>
      <c r="AE407" s="1"/>
      <c r="AF407" s="1"/>
    </row>
    <row r="408" customFormat="false" ht="15.8" hidden="false" customHeight="false" outlineLevel="0" collapsed="false">
      <c r="A408" s="1" t="n">
        <v>13</v>
      </c>
      <c r="B408" s="1" t="n">
        <v>9</v>
      </c>
      <c r="C408" s="1" t="n">
        <v>0.7</v>
      </c>
      <c r="D408" s="1" t="n">
        <v>1.0053</v>
      </c>
      <c r="E408" s="1" t="n">
        <v>0.0247022</v>
      </c>
      <c r="F408" s="1" t="n">
        <v>6.71921E-005</v>
      </c>
      <c r="G408" s="1" t="s">
        <v>52</v>
      </c>
      <c r="H408" s="1" t="n">
        <v>16.8</v>
      </c>
      <c r="I408" s="1" t="n">
        <v>320.5</v>
      </c>
      <c r="J408" s="1" t="n">
        <v>0</v>
      </c>
      <c r="K408" s="1" t="n">
        <v>85</v>
      </c>
      <c r="L408" s="1" t="n">
        <v>0</v>
      </c>
      <c r="M408" s="1" t="n">
        <v>0</v>
      </c>
      <c r="N408" s="1" t="s">
        <v>300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0" t="n">
        <f aca="false">I408+0</f>
        <v>320.5</v>
      </c>
      <c r="AB408" s="0" t="n">
        <f aca="false">IF(Z408&gt;360,Z408-360,Z408+0)</f>
        <v>320.5</v>
      </c>
      <c r="AC408" s="1"/>
      <c r="AD408" s="1"/>
      <c r="AE408" s="1"/>
      <c r="AF408" s="1"/>
    </row>
    <row r="409" customFormat="false" ht="15.8" hidden="false" customHeight="false" outlineLevel="0" collapsed="false">
      <c r="A409" s="1" t="n">
        <v>13</v>
      </c>
      <c r="B409" s="1" t="n">
        <v>9</v>
      </c>
      <c r="C409" s="1" t="n">
        <v>1.7</v>
      </c>
      <c r="D409" s="1" t="n">
        <v>1.2451</v>
      </c>
      <c r="E409" s="1" t="n">
        <v>0.0587009</v>
      </c>
      <c r="F409" s="1" t="n">
        <v>0.000159672</v>
      </c>
      <c r="G409" s="1" t="s">
        <v>27</v>
      </c>
      <c r="H409" s="1" t="n">
        <v>106.8</v>
      </c>
      <c r="I409" s="1" t="n">
        <v>184.6</v>
      </c>
      <c r="J409" s="1" t="n">
        <v>53.6</v>
      </c>
      <c r="K409" s="1"/>
      <c r="L409" s="1" t="n">
        <v>0</v>
      </c>
      <c r="M409" s="1" t="n">
        <v>0</v>
      </c>
      <c r="N409" s="1" t="s">
        <v>300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0" t="n">
        <f aca="false">I409+0</f>
        <v>184.6</v>
      </c>
      <c r="AB409" s="0" t="n">
        <f aca="false">IF(Z409&gt;360,Z409-360,Z409+0)</f>
        <v>184.6</v>
      </c>
      <c r="AC409" s="1"/>
      <c r="AD409" s="1"/>
      <c r="AE409" s="1"/>
      <c r="AF409" s="1"/>
    </row>
    <row r="410" customFormat="false" ht="15.8" hidden="false" customHeight="false" outlineLevel="0" collapsed="false">
      <c r="A410" s="1" t="n">
        <v>13</v>
      </c>
      <c r="B410" s="1" t="n">
        <v>8</v>
      </c>
      <c r="C410" s="1" t="n">
        <v>0.9</v>
      </c>
      <c r="D410" s="1" t="n">
        <v>1.0477</v>
      </c>
      <c r="E410" s="1" t="n">
        <v>0.0309069</v>
      </c>
      <c r="F410" s="1" t="n">
        <v>8.40696E-005</v>
      </c>
      <c r="G410" s="1" t="s">
        <v>52</v>
      </c>
      <c r="H410" s="1" t="n">
        <v>15</v>
      </c>
      <c r="I410" s="1" t="n">
        <v>303.7</v>
      </c>
      <c r="J410" s="1" t="n">
        <v>0</v>
      </c>
      <c r="K410" s="1" t="n">
        <v>106.8</v>
      </c>
      <c r="L410" s="1" t="n">
        <v>0</v>
      </c>
      <c r="M410" s="1" t="n">
        <v>0</v>
      </c>
      <c r="N410" s="1" t="s">
        <v>301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0" t="n">
        <f aca="false">I410+0</f>
        <v>303.7</v>
      </c>
      <c r="AB410" s="0" t="n">
        <f aca="false">IF(Z410&gt;360,Z410-360,Z410+0)</f>
        <v>303.7</v>
      </c>
      <c r="AC410" s="1"/>
      <c r="AD410" s="1"/>
      <c r="AE410" s="1"/>
      <c r="AF410" s="1"/>
    </row>
    <row r="411" customFormat="false" ht="15.8" hidden="false" customHeight="false" outlineLevel="0" collapsed="false">
      <c r="A411" s="1" t="n">
        <v>13</v>
      </c>
      <c r="B411" s="1" t="n">
        <v>8</v>
      </c>
      <c r="C411" s="1" t="n">
        <v>1.2</v>
      </c>
      <c r="D411" s="1" t="n">
        <v>1.1158</v>
      </c>
      <c r="E411" s="1" t="n">
        <v>0.0413625</v>
      </c>
      <c r="F411" s="1" t="n">
        <v>0.00011251</v>
      </c>
      <c r="G411" s="1" t="s">
        <v>27</v>
      </c>
      <c r="H411" s="1" t="n">
        <v>91.5</v>
      </c>
      <c r="I411" s="1" t="n">
        <v>226.7</v>
      </c>
      <c r="J411" s="1" t="n">
        <v>43</v>
      </c>
      <c r="K411" s="1"/>
      <c r="L411" s="1" t="n">
        <v>0</v>
      </c>
      <c r="M411" s="1" t="n">
        <v>0</v>
      </c>
      <c r="N411" s="1" t="s">
        <v>301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0" t="n">
        <f aca="false">I411+0</f>
        <v>226.7</v>
      </c>
      <c r="AB411" s="0" t="n">
        <f aca="false">IF(Z411&gt;360,Z411-360,Z411+0)</f>
        <v>226.7</v>
      </c>
      <c r="AC411" s="1"/>
      <c r="AD411" s="1"/>
      <c r="AE411" s="1"/>
      <c r="AF411" s="1"/>
    </row>
    <row r="412" customFormat="false" ht="15.8" hidden="false" customHeight="false" outlineLevel="0" collapsed="false">
      <c r="A412" s="1" t="n">
        <v>13</v>
      </c>
      <c r="B412" s="1" t="n">
        <v>7</v>
      </c>
      <c r="C412" s="1" t="n">
        <v>0.6</v>
      </c>
      <c r="D412" s="1" t="n">
        <v>1.0133</v>
      </c>
      <c r="E412" s="1" t="n">
        <v>0.0205613</v>
      </c>
      <c r="F412" s="1" t="n">
        <v>5.59286E-005</v>
      </c>
      <c r="G412" s="1" t="s">
        <v>52</v>
      </c>
      <c r="H412" s="1" t="n">
        <v>22.9</v>
      </c>
      <c r="I412" s="1" t="n">
        <v>318.7</v>
      </c>
      <c r="J412" s="1" t="n">
        <v>0</v>
      </c>
      <c r="K412" s="1" t="n">
        <v>91.5</v>
      </c>
      <c r="L412" s="1" t="n">
        <v>0</v>
      </c>
      <c r="M412" s="1" t="n">
        <v>0</v>
      </c>
      <c r="N412" s="1" t="s">
        <v>302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0" t="n">
        <f aca="false">I412+0</f>
        <v>318.7</v>
      </c>
      <c r="AB412" s="0" t="n">
        <f aca="false">IF(Z412&gt;360,Z412-360,Z412+0)</f>
        <v>318.7</v>
      </c>
      <c r="AC412" s="1"/>
      <c r="AD412" s="1"/>
      <c r="AE412" s="1"/>
      <c r="AF412" s="1"/>
    </row>
    <row r="413" customFormat="false" ht="15.8" hidden="false" customHeight="false" outlineLevel="0" collapsed="false">
      <c r="A413" s="1" t="n">
        <v>13</v>
      </c>
      <c r="B413" s="1" t="n">
        <v>7</v>
      </c>
      <c r="C413" s="1" t="n">
        <v>1.2</v>
      </c>
      <c r="D413" s="1" t="n">
        <v>1.0003</v>
      </c>
      <c r="E413" s="1" t="n">
        <v>0.0410655</v>
      </c>
      <c r="F413" s="1" t="n">
        <v>0.000111702</v>
      </c>
      <c r="G413" s="1" t="s">
        <v>27</v>
      </c>
      <c r="H413" s="1" t="n">
        <v>63.5</v>
      </c>
      <c r="I413" s="1" t="n">
        <v>42.8</v>
      </c>
      <c r="J413" s="1" t="n">
        <v>0</v>
      </c>
      <c r="K413" s="1"/>
      <c r="L413" s="1" t="n">
        <v>0</v>
      </c>
      <c r="M413" s="1" t="n">
        <v>0</v>
      </c>
      <c r="N413" s="1" t="s">
        <v>302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0" t="n">
        <f aca="false">I413+0</f>
        <v>42.8</v>
      </c>
      <c r="AB413" s="0" t="n">
        <f aca="false">IF(Z413&gt;360,Z413-360,Z413+0)</f>
        <v>42.8</v>
      </c>
      <c r="AC413" s="1"/>
      <c r="AD413" s="1"/>
      <c r="AE413" s="1"/>
      <c r="AF413" s="1"/>
    </row>
    <row r="414" customFormat="false" ht="15.8" hidden="false" customHeight="false" outlineLevel="0" collapsed="false">
      <c r="A414" s="1" t="n">
        <v>13</v>
      </c>
      <c r="B414" s="1" t="n">
        <v>6</v>
      </c>
      <c r="C414" s="1" t="n">
        <v>2.8</v>
      </c>
      <c r="D414" s="1" t="n">
        <v>1.2379</v>
      </c>
      <c r="E414" s="1" t="n">
        <v>0.0955396</v>
      </c>
      <c r="F414" s="1" t="n">
        <v>0.000259876</v>
      </c>
      <c r="G414" s="1" t="s">
        <v>52</v>
      </c>
      <c r="H414" s="1" t="n">
        <v>37.5</v>
      </c>
      <c r="I414" s="1" t="n">
        <v>339.7</v>
      </c>
      <c r="J414" s="1" t="n">
        <v>9.4</v>
      </c>
      <c r="K414" s="1" t="n">
        <v>63.5</v>
      </c>
      <c r="L414" s="1" t="n">
        <v>0</v>
      </c>
      <c r="M414" s="1" t="n">
        <v>0</v>
      </c>
      <c r="N414" s="1" t="s">
        <v>303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0" t="n">
        <f aca="false">I414+0</f>
        <v>339.7</v>
      </c>
      <c r="AB414" s="0" t="n">
        <f aca="false">IF(Z414&gt;360,Z414-360,Z414+0)</f>
        <v>339.7</v>
      </c>
      <c r="AC414" s="1"/>
      <c r="AD414" s="1"/>
      <c r="AE414" s="1"/>
      <c r="AF414" s="1"/>
    </row>
    <row r="415" customFormat="false" ht="15.8" hidden="false" customHeight="false" outlineLevel="0" collapsed="false">
      <c r="A415" s="1" t="n">
        <v>13</v>
      </c>
      <c r="B415" s="1" t="n">
        <v>6</v>
      </c>
      <c r="C415" s="1" t="n">
        <v>1</v>
      </c>
      <c r="D415" s="1" t="n">
        <v>1.0236</v>
      </c>
      <c r="E415" s="1" t="n">
        <v>0.0338796</v>
      </c>
      <c r="F415" s="1" t="n">
        <v>9.21555E-005</v>
      </c>
      <c r="G415" s="1" t="s">
        <v>27</v>
      </c>
      <c r="H415" s="1" t="n">
        <v>99.8</v>
      </c>
      <c r="I415" s="1" t="n">
        <v>116</v>
      </c>
      <c r="J415" s="1" t="n">
        <v>0</v>
      </c>
      <c r="K415" s="1"/>
      <c r="L415" s="1" t="n">
        <v>0</v>
      </c>
      <c r="M415" s="1" t="n">
        <v>0</v>
      </c>
      <c r="N415" s="1" t="s">
        <v>303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0" t="n">
        <f aca="false">I415+0</f>
        <v>116</v>
      </c>
      <c r="AB415" s="0" t="n">
        <f aca="false">IF(Z415&gt;360,Z415-360,Z415+0)</f>
        <v>116</v>
      </c>
      <c r="AC415" s="1"/>
      <c r="AD415" s="1"/>
      <c r="AE415" s="1"/>
      <c r="AF415" s="1"/>
    </row>
    <row r="416" customFormat="false" ht="15.8" hidden="false" customHeight="false" outlineLevel="0" collapsed="false">
      <c r="A416" s="1" t="n">
        <v>13</v>
      </c>
      <c r="B416" s="1" t="n">
        <v>5</v>
      </c>
      <c r="C416" s="1" t="n">
        <v>0.4</v>
      </c>
      <c r="D416" s="1" t="n">
        <v>1.0328</v>
      </c>
      <c r="E416" s="1" t="n">
        <v>0.0151949</v>
      </c>
      <c r="F416" s="1" t="n">
        <v>4.13314E-005</v>
      </c>
      <c r="G416" s="1" t="s">
        <v>52</v>
      </c>
      <c r="H416" s="1" t="n">
        <v>62.7</v>
      </c>
      <c r="I416" s="1" t="n">
        <v>16.1</v>
      </c>
      <c r="J416" s="1" t="n">
        <v>0</v>
      </c>
      <c r="K416" s="1" t="n">
        <v>99.8</v>
      </c>
      <c r="L416" s="1" t="n">
        <v>0</v>
      </c>
      <c r="M416" s="1" t="n">
        <v>0</v>
      </c>
      <c r="N416" s="1" t="s">
        <v>304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0" t="n">
        <f aca="false">I416+0</f>
        <v>16.1</v>
      </c>
      <c r="AB416" s="0" t="n">
        <f aca="false">IF(Z416&gt;360,Z416-360,Z416+0)</f>
        <v>16.1</v>
      </c>
      <c r="AC416" s="1"/>
      <c r="AD416" s="1"/>
      <c r="AE416" s="1"/>
      <c r="AF416" s="1"/>
    </row>
    <row r="417" customFormat="false" ht="15.8" hidden="false" customHeight="false" outlineLevel="0" collapsed="false">
      <c r="A417" s="1" t="n">
        <v>13</v>
      </c>
      <c r="B417" s="1" t="n">
        <v>8</v>
      </c>
      <c r="C417" s="1" t="n">
        <v>2.7</v>
      </c>
      <c r="D417" s="1" t="n">
        <v>1.1636</v>
      </c>
      <c r="E417" s="1" t="n">
        <v>0.0930684</v>
      </c>
      <c r="F417" s="1" t="n">
        <v>0.000253154</v>
      </c>
      <c r="G417" s="1" t="s">
        <v>27</v>
      </c>
      <c r="H417" s="1" t="n">
        <v>44.1</v>
      </c>
      <c r="I417" s="1" t="n">
        <v>257.3</v>
      </c>
      <c r="J417" s="1" t="n">
        <v>18.4</v>
      </c>
      <c r="K417" s="1"/>
      <c r="L417" s="1" t="n">
        <v>0</v>
      </c>
      <c r="M417" s="1" t="n">
        <v>0</v>
      </c>
      <c r="N417" s="1" t="s">
        <v>305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0" t="n">
        <f aca="false">I417+0</f>
        <v>257.3</v>
      </c>
      <c r="AB417" s="0" t="n">
        <f aca="false">IF(Z417&gt;360,Z417-360,Z417+0)</f>
        <v>257.3</v>
      </c>
      <c r="AC417" s="1"/>
      <c r="AD417" s="1"/>
      <c r="AE417" s="1"/>
      <c r="AF417" s="1"/>
    </row>
    <row r="418" customFormat="false" ht="15.8" hidden="false" customHeight="false" outlineLevel="0" collapsed="false">
      <c r="A418" s="1" t="n">
        <v>13</v>
      </c>
      <c r="B418" s="1" t="n">
        <v>8</v>
      </c>
      <c r="C418" s="1" t="n">
        <v>0.6</v>
      </c>
      <c r="D418" s="1" t="n">
        <v>1</v>
      </c>
      <c r="E418" s="1" t="n">
        <v>0.02141</v>
      </c>
      <c r="F418" s="1" t="n">
        <v>5.82371E-005</v>
      </c>
      <c r="G418" s="1" t="s">
        <v>27</v>
      </c>
      <c r="H418" s="1" t="n">
        <v>53.7</v>
      </c>
      <c r="I418" s="1" t="n">
        <v>162.8</v>
      </c>
      <c r="J418" s="1" t="n">
        <v>0</v>
      </c>
      <c r="K418" s="1"/>
      <c r="L418" s="1" t="n">
        <v>0</v>
      </c>
      <c r="M418" s="1" t="n">
        <v>0</v>
      </c>
      <c r="N418" s="1" t="s">
        <v>305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0" t="n">
        <f aca="false">I418+0</f>
        <v>162.8</v>
      </c>
      <c r="AB418" s="0" t="n">
        <f aca="false">IF(Z418&gt;360,Z418-360,Z418+0)</f>
        <v>162.8</v>
      </c>
      <c r="AC418" s="1"/>
      <c r="AD418" s="1"/>
      <c r="AE418" s="1"/>
      <c r="AF418" s="1"/>
    </row>
    <row r="419" customFormat="false" ht="15.8" hidden="false" customHeight="false" outlineLevel="0" collapsed="false">
      <c r="A419" s="1" t="n">
        <v>13</v>
      </c>
      <c r="B419" s="1" t="n">
        <v>7</v>
      </c>
      <c r="C419" s="1" t="n">
        <v>2</v>
      </c>
      <c r="D419" s="1" t="n">
        <v>1.271</v>
      </c>
      <c r="E419" s="1" t="n">
        <v>0.069958</v>
      </c>
      <c r="F419" s="1" t="n">
        <v>0.000190292</v>
      </c>
      <c r="G419" s="1" t="s">
        <v>52</v>
      </c>
      <c r="H419" s="1" t="n">
        <v>11.1</v>
      </c>
      <c r="I419" s="1" t="n">
        <v>216.5</v>
      </c>
      <c r="J419" s="1" t="n">
        <v>0</v>
      </c>
      <c r="K419" s="1" t="n">
        <v>53.7</v>
      </c>
      <c r="L419" s="1" t="n">
        <v>0</v>
      </c>
      <c r="M419" s="1" t="n">
        <v>0</v>
      </c>
      <c r="N419" s="1" t="s">
        <v>306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0" t="n">
        <f aca="false">I419+0</f>
        <v>216.5</v>
      </c>
      <c r="AB419" s="0" t="n">
        <f aca="false">IF(Z419&gt;360,Z419-360,Z419+0)</f>
        <v>216.5</v>
      </c>
      <c r="AC419" s="1"/>
      <c r="AD419" s="1"/>
      <c r="AE419" s="1"/>
      <c r="AF419" s="1"/>
    </row>
    <row r="420" customFormat="false" ht="15.8" hidden="false" customHeight="false" outlineLevel="0" collapsed="false">
      <c r="A420" s="1" t="n">
        <v>13</v>
      </c>
      <c r="B420" s="1" t="n">
        <v>8</v>
      </c>
      <c r="C420" s="1" t="n">
        <v>1.3</v>
      </c>
      <c r="D420" s="1" t="n">
        <v>1.1102</v>
      </c>
      <c r="E420" s="1" t="n">
        <v>0.0440969</v>
      </c>
      <c r="F420" s="1" t="n">
        <v>0.000119948</v>
      </c>
      <c r="G420" s="1" t="s">
        <v>27</v>
      </c>
      <c r="H420" s="1" t="n">
        <v>90.8</v>
      </c>
      <c r="I420" s="1" t="n">
        <v>69.8</v>
      </c>
      <c r="J420" s="1" t="n">
        <v>-18.6</v>
      </c>
      <c r="K420" s="1"/>
      <c r="L420" s="1" t="n">
        <v>0</v>
      </c>
      <c r="M420" s="1" t="n">
        <v>0</v>
      </c>
      <c r="N420" s="1" t="s">
        <v>307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0" t="n">
        <f aca="false">I420+0</f>
        <v>69.8</v>
      </c>
      <c r="AB420" s="0" t="n">
        <f aca="false">IF(Z420&gt;360,Z420-360,Z420+0)</f>
        <v>69.8</v>
      </c>
      <c r="AC420" s="1"/>
      <c r="AD420" s="1"/>
      <c r="AE420" s="1"/>
      <c r="AF420" s="1"/>
    </row>
    <row r="421" customFormat="false" ht="15.8" hidden="false" customHeight="false" outlineLevel="0" collapsed="false">
      <c r="A421" s="1" t="n">
        <v>13</v>
      </c>
      <c r="B421" s="1" t="n">
        <v>8</v>
      </c>
      <c r="C421" s="1" t="n">
        <v>1.1</v>
      </c>
      <c r="D421" s="1" t="n">
        <v>1.4049</v>
      </c>
      <c r="E421" s="1" t="n">
        <v>0.0392733</v>
      </c>
      <c r="F421" s="1" t="n">
        <v>0.000106827</v>
      </c>
      <c r="G421" s="1" t="s">
        <v>27</v>
      </c>
      <c r="H421" s="1" t="n">
        <v>67.6</v>
      </c>
      <c r="I421" s="1" t="n">
        <v>236.9</v>
      </c>
      <c r="J421" s="1" t="n">
        <v>0</v>
      </c>
      <c r="K421" s="1"/>
      <c r="L421" s="1" t="n">
        <v>0</v>
      </c>
      <c r="M421" s="1" t="n">
        <v>0</v>
      </c>
      <c r="N421" s="1" t="s">
        <v>307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0" t="n">
        <f aca="false">I421+0</f>
        <v>236.9</v>
      </c>
      <c r="AB421" s="0" t="n">
        <f aca="false">IF(Z421&gt;360,Z421-360,Z421+0)</f>
        <v>236.9</v>
      </c>
      <c r="AC421" s="1"/>
      <c r="AD421" s="1"/>
      <c r="AE421" s="1"/>
      <c r="AF421" s="1"/>
    </row>
    <row r="422" customFormat="false" ht="15.8" hidden="false" customHeight="false" outlineLevel="0" collapsed="false">
      <c r="A422" s="1" t="n">
        <v>13</v>
      </c>
      <c r="B422" s="1" t="n">
        <v>7</v>
      </c>
      <c r="C422" s="1" t="n">
        <v>2.1</v>
      </c>
      <c r="D422" s="1" t="n">
        <v>1.1563</v>
      </c>
      <c r="E422" s="1" t="n">
        <v>0.0732664</v>
      </c>
      <c r="F422" s="1" t="n">
        <v>0.000199291</v>
      </c>
      <c r="G422" s="1" t="s">
        <v>52</v>
      </c>
      <c r="H422" s="1" t="n">
        <v>46.1</v>
      </c>
      <c r="I422" s="1" t="n">
        <v>175.4</v>
      </c>
      <c r="J422" s="1" t="n">
        <v>-36.8</v>
      </c>
      <c r="K422" s="1" t="n">
        <v>90.8</v>
      </c>
      <c r="L422" s="1" t="n">
        <v>0</v>
      </c>
      <c r="M422" s="1" t="n">
        <v>0</v>
      </c>
      <c r="N422" s="1" t="s">
        <v>306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0" t="n">
        <f aca="false">I422+0</f>
        <v>175.4</v>
      </c>
      <c r="AB422" s="0" t="n">
        <f aca="false">IF(Z422&gt;360,Z422-360,Z422+0)</f>
        <v>175.4</v>
      </c>
      <c r="AC422" s="1"/>
      <c r="AD422" s="1"/>
      <c r="AE422" s="1"/>
      <c r="AF422" s="1"/>
    </row>
    <row r="423" customFormat="false" ht="15.8" hidden="false" customHeight="false" outlineLevel="0" collapsed="false">
      <c r="A423" s="1" t="n">
        <v>13</v>
      </c>
      <c r="B423" s="1" t="n">
        <v>8</v>
      </c>
      <c r="C423" s="1" t="n">
        <v>0.6</v>
      </c>
      <c r="D423" s="1" t="n">
        <v>1.0349</v>
      </c>
      <c r="E423" s="1" t="n">
        <v>0.0207593</v>
      </c>
      <c r="F423" s="1" t="n">
        <v>5.64672E-005</v>
      </c>
      <c r="G423" s="1" t="s">
        <v>27</v>
      </c>
      <c r="H423" s="1" t="n">
        <v>85.4</v>
      </c>
      <c r="I423" s="1" t="n">
        <v>169.3</v>
      </c>
      <c r="J423" s="1" t="n">
        <v>0</v>
      </c>
      <c r="K423" s="1"/>
      <c r="L423" s="1" t="n">
        <v>0</v>
      </c>
      <c r="M423" s="1" t="n">
        <v>0</v>
      </c>
      <c r="N423" s="1" t="s">
        <v>308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0" t="n">
        <f aca="false">I423+0</f>
        <v>169.3</v>
      </c>
      <c r="AB423" s="0" t="n">
        <f aca="false">IF(Z423&gt;360,Z423-360,Z423+0)</f>
        <v>169.3</v>
      </c>
      <c r="AC423" s="1"/>
      <c r="AD423" s="1"/>
      <c r="AE423" s="1"/>
      <c r="AF423" s="1"/>
    </row>
    <row r="424" customFormat="false" ht="15.8" hidden="false" customHeight="false" outlineLevel="0" collapsed="false">
      <c r="A424" s="1" t="n">
        <v>13</v>
      </c>
      <c r="B424" s="1" t="n">
        <v>8</v>
      </c>
      <c r="C424" s="1" t="n">
        <v>0.6</v>
      </c>
      <c r="D424" s="1" t="n">
        <v>1.0547</v>
      </c>
      <c r="E424" s="1" t="n">
        <v>0.0221076</v>
      </c>
      <c r="F424" s="1" t="n">
        <v>6.01347E-005</v>
      </c>
      <c r="G424" s="1" t="s">
        <v>27</v>
      </c>
      <c r="H424" s="1" t="n">
        <v>119.1</v>
      </c>
      <c r="I424" s="1" t="n">
        <v>339.1</v>
      </c>
      <c r="J424" s="1" t="n">
        <v>37.1</v>
      </c>
      <c r="K424" s="1"/>
      <c r="L424" s="1" t="n">
        <v>0</v>
      </c>
      <c r="M424" s="1" t="n">
        <v>0</v>
      </c>
      <c r="N424" s="1" t="s">
        <v>308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0" t="n">
        <f aca="false">I424+0</f>
        <v>339.1</v>
      </c>
      <c r="AB424" s="0" t="n">
        <f aca="false">IF(Z424&gt;360,Z424-360,Z424+0)</f>
        <v>339.1</v>
      </c>
      <c r="AC424" s="1"/>
      <c r="AD424" s="1"/>
      <c r="AE424" s="1"/>
      <c r="AF424" s="1"/>
    </row>
    <row r="425" customFormat="false" ht="15.8" hidden="false" customHeight="false" outlineLevel="0" collapsed="false">
      <c r="A425" s="1" t="n">
        <v>13</v>
      </c>
      <c r="B425" s="1" t="n">
        <v>7</v>
      </c>
      <c r="C425" s="1" t="n">
        <v>1.7</v>
      </c>
      <c r="D425" s="1" t="n">
        <v>1.1595</v>
      </c>
      <c r="E425" s="1" t="n">
        <v>0.0585489</v>
      </c>
      <c r="F425" s="1" t="n">
        <v>0.000159258</v>
      </c>
      <c r="G425" s="1" t="s">
        <v>52</v>
      </c>
      <c r="H425" s="1" t="n">
        <v>116.2</v>
      </c>
      <c r="I425" s="1" t="n">
        <v>84.6</v>
      </c>
      <c r="J425" s="1" t="n">
        <v>-30.1</v>
      </c>
      <c r="K425" s="1" t="n">
        <v>119.1</v>
      </c>
      <c r="L425" s="1" t="n">
        <v>0</v>
      </c>
      <c r="M425" s="1" t="n">
        <v>0</v>
      </c>
      <c r="N425" s="1" t="s">
        <v>306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0" t="n">
        <f aca="false">I425+0</f>
        <v>84.6</v>
      </c>
      <c r="AB425" s="0" t="n">
        <f aca="false">IF(Z425&gt;360,Z425-360,Z425+0)</f>
        <v>84.6</v>
      </c>
      <c r="AC425" s="1"/>
      <c r="AD425" s="1"/>
      <c r="AE425" s="1"/>
      <c r="AF425" s="1"/>
    </row>
    <row r="426" customFormat="false" ht="15.8" hidden="false" customHeight="false" outlineLevel="0" collapsed="false">
      <c r="A426" s="1" t="n">
        <v>13</v>
      </c>
      <c r="B426" s="1" t="n">
        <v>6</v>
      </c>
      <c r="C426" s="1" t="n">
        <v>2.1</v>
      </c>
      <c r="D426" s="1" t="n">
        <v>1.043</v>
      </c>
      <c r="E426" s="1" t="n">
        <v>0.0733983</v>
      </c>
      <c r="F426" s="1" t="n">
        <v>0.00019965</v>
      </c>
      <c r="G426" s="1" t="s">
        <v>52</v>
      </c>
      <c r="H426" s="1" t="n">
        <v>43.3</v>
      </c>
      <c r="I426" s="1" t="n">
        <v>205.3</v>
      </c>
      <c r="J426" s="1" t="n">
        <v>0</v>
      </c>
      <c r="K426" s="1" t="n">
        <v>116.2</v>
      </c>
      <c r="L426" s="1" t="n">
        <v>0</v>
      </c>
      <c r="M426" s="1" t="n">
        <v>0</v>
      </c>
      <c r="N426" s="1" t="s">
        <v>309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0" t="n">
        <f aca="false">I426+0</f>
        <v>205.3</v>
      </c>
      <c r="AB426" s="0" t="n">
        <f aca="false">IF(Z426&gt;360,Z426-360,Z426+0)</f>
        <v>205.3</v>
      </c>
      <c r="AC426" s="1"/>
      <c r="AD426" s="1"/>
      <c r="AE426" s="1"/>
      <c r="AF426" s="1"/>
    </row>
    <row r="427" customFormat="false" ht="15.8" hidden="false" customHeight="false" outlineLevel="0" collapsed="false">
      <c r="A427" s="1" t="n">
        <v>13</v>
      </c>
      <c r="B427" s="1" t="n">
        <v>7</v>
      </c>
      <c r="C427" s="1" t="n">
        <v>1.1</v>
      </c>
      <c r="D427" s="1" t="n">
        <v>1.0541</v>
      </c>
      <c r="E427" s="1" t="n">
        <v>0.0380758</v>
      </c>
      <c r="F427" s="1" t="n">
        <v>0.00010357</v>
      </c>
      <c r="G427" s="1" t="s">
        <v>27</v>
      </c>
      <c r="H427" s="1" t="n">
        <v>98.5</v>
      </c>
      <c r="I427" s="1" t="n">
        <v>208.9</v>
      </c>
      <c r="J427" s="1" t="n">
        <v>0</v>
      </c>
      <c r="K427" s="1"/>
      <c r="L427" s="1" t="n">
        <v>0</v>
      </c>
      <c r="M427" s="1" t="n">
        <v>0</v>
      </c>
      <c r="N427" s="1" t="s">
        <v>310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0" t="n">
        <f aca="false">I427+0</f>
        <v>208.9</v>
      </c>
      <c r="AB427" s="0" t="n">
        <f aca="false">IF(Z427&gt;360,Z427-360,Z427+0)</f>
        <v>208.9</v>
      </c>
      <c r="AC427" s="1"/>
      <c r="AD427" s="1"/>
      <c r="AE427" s="1"/>
      <c r="AF427" s="1"/>
    </row>
    <row r="428" customFormat="false" ht="15.8" hidden="false" customHeight="false" outlineLevel="0" collapsed="false">
      <c r="A428" s="1" t="n">
        <v>13</v>
      </c>
      <c r="B428" s="1" t="n">
        <v>7</v>
      </c>
      <c r="C428" s="1" t="n">
        <v>1.6</v>
      </c>
      <c r="D428" s="1" t="n">
        <v>1.185</v>
      </c>
      <c r="E428" s="1" t="n">
        <v>0.0543271</v>
      </c>
      <c r="F428" s="1" t="n">
        <v>0.000147775</v>
      </c>
      <c r="G428" s="1" t="s">
        <v>27</v>
      </c>
      <c r="H428" s="1" t="n">
        <v>57.5</v>
      </c>
      <c r="I428" s="1" t="n">
        <v>127.4</v>
      </c>
      <c r="J428" s="1" t="n">
        <v>55.8</v>
      </c>
      <c r="K428" s="1"/>
      <c r="L428" s="1" t="n">
        <v>0</v>
      </c>
      <c r="M428" s="1" t="n">
        <v>0</v>
      </c>
      <c r="N428" s="1" t="s">
        <v>310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0" t="n">
        <f aca="false">I428+0</f>
        <v>127.4</v>
      </c>
      <c r="AB428" s="0" t="n">
        <f aca="false">IF(Z428&gt;360,Z428-360,Z428+0)</f>
        <v>127.4</v>
      </c>
      <c r="AC428" s="1"/>
      <c r="AD428" s="1"/>
      <c r="AE428" s="1"/>
      <c r="AF428" s="1"/>
    </row>
    <row r="429" customFormat="false" ht="15.8" hidden="false" customHeight="false" outlineLevel="0" collapsed="false">
      <c r="A429" s="1" t="n">
        <v>13</v>
      </c>
      <c r="B429" s="1" t="n">
        <v>6</v>
      </c>
      <c r="C429" s="1" t="n">
        <v>0.8</v>
      </c>
      <c r="D429" s="1" t="n">
        <v>1.0323</v>
      </c>
      <c r="E429" s="1" t="n">
        <v>0.0274538</v>
      </c>
      <c r="F429" s="1" t="n">
        <v>7.46766E-005</v>
      </c>
      <c r="G429" s="1" t="s">
        <v>52</v>
      </c>
      <c r="H429" s="1" t="n">
        <v>59.7</v>
      </c>
      <c r="I429" s="1" t="n">
        <v>110.5</v>
      </c>
      <c r="J429" s="1" t="n">
        <v>0</v>
      </c>
      <c r="K429" s="1" t="n">
        <v>98.5</v>
      </c>
      <c r="L429" s="1" t="n">
        <v>0</v>
      </c>
      <c r="M429" s="1" t="n">
        <v>0</v>
      </c>
      <c r="N429" s="1" t="s">
        <v>309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0" t="n">
        <f aca="false">I429+0</f>
        <v>110.5</v>
      </c>
      <c r="AB429" s="0" t="n">
        <f aca="false">IF(Z429&gt;360,Z429-360,Z429+0)</f>
        <v>110.5</v>
      </c>
      <c r="AC429" s="1"/>
      <c r="AD429" s="1"/>
      <c r="AE429" s="1"/>
      <c r="AF429" s="1"/>
    </row>
    <row r="430" customFormat="false" ht="15.8" hidden="false" customHeight="false" outlineLevel="0" collapsed="false">
      <c r="A430" s="1" t="n">
        <v>13</v>
      </c>
      <c r="B430" s="1" t="n">
        <v>5</v>
      </c>
      <c r="C430" s="1" t="n">
        <v>3.3</v>
      </c>
      <c r="D430" s="1" t="n">
        <v>1.1322</v>
      </c>
      <c r="E430" s="1" t="n">
        <v>0.112137</v>
      </c>
      <c r="F430" s="1" t="n">
        <v>0.000305023</v>
      </c>
      <c r="G430" s="1" t="s">
        <v>52</v>
      </c>
      <c r="H430" s="1" t="n">
        <v>82.5</v>
      </c>
      <c r="I430" s="1" t="n">
        <v>167.3</v>
      </c>
      <c r="J430" s="1" t="n">
        <v>-22.5</v>
      </c>
      <c r="K430" s="1" t="n">
        <v>59.7</v>
      </c>
      <c r="L430" s="1" t="n">
        <v>0</v>
      </c>
      <c r="M430" s="1" t="n">
        <v>0</v>
      </c>
      <c r="N430" s="1" t="s">
        <v>304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0" t="n">
        <f aca="false">I430+0</f>
        <v>167.3</v>
      </c>
      <c r="AB430" s="0" t="n">
        <f aca="false">IF(Z430&gt;360,Z430-360,Z430+0)</f>
        <v>167.3</v>
      </c>
      <c r="AC430" s="1"/>
      <c r="AD430" s="1"/>
      <c r="AE430" s="1"/>
      <c r="AF430" s="1"/>
    </row>
    <row r="431" customFormat="false" ht="15.8" hidden="false" customHeight="false" outlineLevel="0" collapsed="false">
      <c r="A431" s="1" t="n">
        <v>13</v>
      </c>
      <c r="B431" s="1" t="n">
        <v>4</v>
      </c>
      <c r="C431" s="1" t="n">
        <v>1.2</v>
      </c>
      <c r="D431" s="1" t="n">
        <v>1.1958</v>
      </c>
      <c r="E431" s="1" t="n">
        <v>0.0407108</v>
      </c>
      <c r="F431" s="1" t="n">
        <v>0.000110737</v>
      </c>
      <c r="G431" s="1" t="s">
        <v>52</v>
      </c>
      <c r="H431" s="1" t="n">
        <v>52.8</v>
      </c>
      <c r="I431" s="1" t="n">
        <v>62.9</v>
      </c>
      <c r="J431" s="1" t="n">
        <v>-48</v>
      </c>
      <c r="K431" s="1" t="n">
        <v>82.5</v>
      </c>
      <c r="L431" s="1" t="n">
        <v>0</v>
      </c>
      <c r="M431" s="1" t="n">
        <v>0</v>
      </c>
      <c r="N431" s="1" t="s">
        <v>289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0" t="n">
        <f aca="false">I431+0</f>
        <v>62.9</v>
      </c>
      <c r="AB431" s="0" t="n">
        <f aca="false">IF(Z431&gt;360,Z431-360,Z431+0)</f>
        <v>62.9</v>
      </c>
      <c r="AC431" s="1"/>
      <c r="AD431" s="1"/>
      <c r="AE431" s="1"/>
      <c r="AF431" s="1"/>
    </row>
    <row r="432" customFormat="false" ht="15.8" hidden="false" customHeight="false" outlineLevel="0" collapsed="false">
      <c r="A432" s="1" t="n">
        <v>13</v>
      </c>
      <c r="B432" s="1" t="n">
        <v>3</v>
      </c>
      <c r="C432" s="1" t="n">
        <v>4.8</v>
      </c>
      <c r="D432" s="1" t="n">
        <v>1.3549</v>
      </c>
      <c r="E432" s="1" t="n">
        <v>0.163552</v>
      </c>
      <c r="F432" s="1" t="n">
        <v>0.000444875</v>
      </c>
      <c r="G432" s="1" t="s">
        <v>52</v>
      </c>
      <c r="H432" s="1" t="n">
        <v>82</v>
      </c>
      <c r="I432" s="1" t="n">
        <v>178.4</v>
      </c>
      <c r="J432" s="1" t="n">
        <v>-70.6</v>
      </c>
      <c r="K432" s="1" t="n">
        <v>54.9</v>
      </c>
      <c r="L432" s="1" t="n">
        <v>0</v>
      </c>
      <c r="M432" s="1" t="n">
        <v>0</v>
      </c>
      <c r="N432" s="1" t="s">
        <v>287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0" t="n">
        <f aca="false">I432+0</f>
        <v>178.4</v>
      </c>
      <c r="AB432" s="0" t="n">
        <f aca="false">IF(Z432&gt;360,Z432-360,Z432+0)</f>
        <v>178.4</v>
      </c>
      <c r="AC432" s="1"/>
      <c r="AD432" s="1"/>
      <c r="AE432" s="1"/>
      <c r="AF432" s="1"/>
    </row>
    <row r="433" customFormat="false" ht="15.8" hidden="false" customHeight="false" outlineLevel="0" collapsed="false">
      <c r="A433" s="1" t="n">
        <v>13</v>
      </c>
      <c r="B433" s="1" t="n">
        <v>2</v>
      </c>
      <c r="C433" s="1" t="n">
        <v>0.6</v>
      </c>
      <c r="D433" s="1" t="n">
        <v>1.0524</v>
      </c>
      <c r="E433" s="1" t="n">
        <v>0.0196448</v>
      </c>
      <c r="F433" s="1" t="n">
        <v>5.34356E-005</v>
      </c>
      <c r="G433" s="1" t="s">
        <v>52</v>
      </c>
      <c r="H433" s="1" t="n">
        <v>12.5</v>
      </c>
      <c r="I433" s="1" t="n">
        <v>113</v>
      </c>
      <c r="J433" s="1" t="n">
        <v>0</v>
      </c>
      <c r="K433" s="1" t="n">
        <v>82</v>
      </c>
      <c r="L433" s="1" t="n">
        <v>0</v>
      </c>
      <c r="M433" s="1" t="n">
        <v>0</v>
      </c>
      <c r="N433" s="1" t="s">
        <v>286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0" t="n">
        <f aca="false">I433+0</f>
        <v>113</v>
      </c>
      <c r="AB433" s="0" t="n">
        <f aca="false">IF(Z433&gt;360,Z433-360,Z433+0)</f>
        <v>113</v>
      </c>
      <c r="AC433" s="1"/>
      <c r="AD433" s="1"/>
      <c r="AE433" s="1"/>
      <c r="AF433" s="1"/>
    </row>
    <row r="434" customFormat="false" ht="15.8" hidden="false" customHeight="false" outlineLevel="0" collapsed="false">
      <c r="A434" s="1" t="n">
        <v>13</v>
      </c>
      <c r="B434" s="1" t="n">
        <v>1</v>
      </c>
      <c r="C434" s="1" t="n">
        <v>2.7</v>
      </c>
      <c r="D434" s="1" t="n">
        <v>1.2058</v>
      </c>
      <c r="E434" s="1" t="n">
        <v>0.0934878</v>
      </c>
      <c r="F434" s="1" t="n">
        <v>0.000254295</v>
      </c>
      <c r="G434" s="1" t="s">
        <v>52</v>
      </c>
      <c r="H434" s="1"/>
      <c r="I434" s="1" t="n">
        <v>104.6</v>
      </c>
      <c r="J434" s="1" t="n">
        <v>9.4</v>
      </c>
      <c r="K434" s="1" t="n">
        <v>96.7</v>
      </c>
      <c r="L434" s="1" t="n">
        <v>0</v>
      </c>
      <c r="M434" s="1" t="n">
        <v>0</v>
      </c>
      <c r="N434" s="1" t="s">
        <v>311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0" t="n">
        <f aca="false">I434+0</f>
        <v>104.6</v>
      </c>
      <c r="AB434" s="0" t="n">
        <f aca="false">IF(Z434&gt;360,Z434-360,Z434+0)</f>
        <v>104.6</v>
      </c>
      <c r="AC434" s="1"/>
      <c r="AD434" s="1"/>
      <c r="AE434" s="1"/>
      <c r="AF434" s="1"/>
    </row>
    <row r="435" customFormat="false" ht="15.8" hidden="false" customHeight="false" outlineLevel="0" collapsed="false">
      <c r="A435" s="1" t="n">
        <v>14</v>
      </c>
      <c r="B435" s="1" t="n">
        <v>2</v>
      </c>
      <c r="C435" s="1" t="n">
        <v>1.8</v>
      </c>
      <c r="D435" s="1" t="n">
        <v>1.1057</v>
      </c>
      <c r="E435" s="1" t="n">
        <v>0.0616403</v>
      </c>
      <c r="F435" s="1" t="n">
        <v>0.000167667</v>
      </c>
      <c r="G435" s="1" t="s">
        <v>27</v>
      </c>
      <c r="H435" s="1" t="n">
        <v>43.9</v>
      </c>
      <c r="I435" s="1" t="n">
        <v>96.7</v>
      </c>
      <c r="J435" s="1" t="n">
        <v>-13.1</v>
      </c>
      <c r="K435" s="1"/>
      <c r="L435" s="1" t="n">
        <v>0</v>
      </c>
      <c r="M435" s="1" t="n">
        <v>0</v>
      </c>
      <c r="N435" s="1" t="s">
        <v>312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0" t="n">
        <f aca="false">I435+0</f>
        <v>96.7</v>
      </c>
      <c r="AB435" s="0" t="n">
        <f aca="false">IF(Z435&gt;360,Z435-360,Z435+0)</f>
        <v>96.7</v>
      </c>
      <c r="AC435" s="1"/>
      <c r="AD435" s="1"/>
      <c r="AE435" s="1"/>
      <c r="AF435" s="1"/>
    </row>
    <row r="436" customFormat="false" ht="15.8" hidden="false" customHeight="false" outlineLevel="0" collapsed="false">
      <c r="A436" s="1" t="n">
        <v>14</v>
      </c>
      <c r="B436" s="1" t="n">
        <v>7</v>
      </c>
      <c r="C436" s="1" t="n">
        <v>2.4</v>
      </c>
      <c r="D436" s="1" t="n">
        <v>1.266</v>
      </c>
      <c r="E436" s="1" t="n">
        <v>0.0812961</v>
      </c>
      <c r="F436" s="1" t="n">
        <v>0.000221133</v>
      </c>
      <c r="G436" s="1" t="s">
        <v>27</v>
      </c>
      <c r="H436" s="1" t="n">
        <v>37.5</v>
      </c>
      <c r="I436" s="1" t="n">
        <v>115.4</v>
      </c>
      <c r="J436" s="1" t="n">
        <v>0</v>
      </c>
      <c r="K436" s="1"/>
      <c r="L436" s="1" t="n">
        <v>0</v>
      </c>
      <c r="M436" s="1" t="n">
        <v>0</v>
      </c>
      <c r="N436" s="1" t="s">
        <v>313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0" t="n">
        <f aca="false">I436+0</f>
        <v>115.4</v>
      </c>
      <c r="AB436" s="0" t="n">
        <f aca="false">IF(Z436&gt;360,Z436-360,Z436+0)</f>
        <v>115.4</v>
      </c>
      <c r="AC436" s="1"/>
      <c r="AD436" s="1"/>
      <c r="AE436" s="1"/>
      <c r="AF436" s="1"/>
    </row>
    <row r="437" customFormat="false" ht="15.8" hidden="false" customHeight="false" outlineLevel="0" collapsed="false">
      <c r="A437" s="1" t="n">
        <v>14</v>
      </c>
      <c r="B437" s="1" t="n">
        <v>7</v>
      </c>
      <c r="C437" s="1" t="n">
        <v>0.9</v>
      </c>
      <c r="D437" s="1" t="n">
        <v>1.0837</v>
      </c>
      <c r="E437" s="1" t="n">
        <v>0.0305337</v>
      </c>
      <c r="F437" s="1" t="n">
        <v>8.30543E-005</v>
      </c>
      <c r="G437" s="1" t="s">
        <v>27</v>
      </c>
      <c r="H437" s="1" t="n">
        <v>46.1</v>
      </c>
      <c r="I437" s="1" t="n">
        <v>183.6</v>
      </c>
      <c r="J437" s="1" t="n">
        <v>0</v>
      </c>
      <c r="K437" s="1"/>
      <c r="L437" s="1" t="n">
        <v>0</v>
      </c>
      <c r="M437" s="1" t="n">
        <v>0</v>
      </c>
      <c r="N437" s="1" t="s">
        <v>313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0" t="n">
        <f aca="false">I437+0</f>
        <v>183.6</v>
      </c>
      <c r="AB437" s="0" t="n">
        <f aca="false">IF(Z437&gt;360,Z437-360,Z437+0)</f>
        <v>183.6</v>
      </c>
      <c r="AC437" s="1"/>
      <c r="AD437" s="1"/>
      <c r="AE437" s="1"/>
      <c r="AF437" s="1"/>
    </row>
    <row r="438" customFormat="false" ht="15.8" hidden="false" customHeight="false" outlineLevel="0" collapsed="false">
      <c r="A438" s="1" t="n">
        <v>14</v>
      </c>
      <c r="B438" s="1" t="n">
        <v>6</v>
      </c>
      <c r="C438" s="1" t="n">
        <v>2</v>
      </c>
      <c r="D438" s="1" t="n">
        <v>1.186</v>
      </c>
      <c r="E438" s="1" t="n">
        <v>0.0696139</v>
      </c>
      <c r="F438" s="1" t="n">
        <v>0.000189356</v>
      </c>
      <c r="G438" s="1" t="s">
        <v>52</v>
      </c>
      <c r="H438" s="1" t="n">
        <v>43.9</v>
      </c>
      <c r="I438" s="1" t="n">
        <v>143.9</v>
      </c>
      <c r="J438" s="1" t="n">
        <v>-25.5</v>
      </c>
      <c r="K438" s="1" t="n">
        <v>46.1</v>
      </c>
      <c r="L438" s="1" t="n">
        <v>0</v>
      </c>
      <c r="M438" s="1" t="n">
        <v>0</v>
      </c>
      <c r="N438" s="1" t="s">
        <v>314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0" t="n">
        <f aca="false">I438+0</f>
        <v>143.9</v>
      </c>
      <c r="AB438" s="0" t="n">
        <f aca="false">IF(Z438&gt;360,Z438-360,Z438+0)</f>
        <v>143.9</v>
      </c>
      <c r="AC438" s="1"/>
      <c r="AD438" s="1"/>
      <c r="AE438" s="1"/>
      <c r="AF438" s="1"/>
    </row>
    <row r="439" customFormat="false" ht="15.8" hidden="false" customHeight="false" outlineLevel="0" collapsed="false">
      <c r="A439" s="1" t="n">
        <v>14</v>
      </c>
      <c r="B439" s="1" t="n">
        <v>7</v>
      </c>
      <c r="C439" s="1" t="n">
        <v>1.1</v>
      </c>
      <c r="D439" s="1" t="n">
        <v>1.1985</v>
      </c>
      <c r="E439" s="1" t="n">
        <v>0.0389044</v>
      </c>
      <c r="F439" s="1" t="n">
        <v>0.000105823</v>
      </c>
      <c r="G439" s="1" t="s">
        <v>27</v>
      </c>
      <c r="H439" s="1" t="n">
        <v>43.8</v>
      </c>
      <c r="I439" s="1" t="n">
        <v>210.8</v>
      </c>
      <c r="J439" s="1" t="n">
        <v>51.2</v>
      </c>
      <c r="K439" s="1"/>
      <c r="L439" s="1" t="n">
        <v>0</v>
      </c>
      <c r="M439" s="1" t="n">
        <v>0</v>
      </c>
      <c r="N439" s="1" t="s">
        <v>315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0" t="n">
        <f aca="false">I439+0</f>
        <v>210.8</v>
      </c>
      <c r="AB439" s="0" t="n">
        <f aca="false">IF(Z439&gt;360,Z439-360,Z439+0)</f>
        <v>210.8</v>
      </c>
      <c r="AC439" s="1"/>
      <c r="AD439" s="1"/>
      <c r="AE439" s="1"/>
      <c r="AF439" s="1"/>
    </row>
    <row r="440" customFormat="false" ht="15.8" hidden="false" customHeight="false" outlineLevel="0" collapsed="false">
      <c r="A440" s="1" t="n">
        <v>14</v>
      </c>
      <c r="B440" s="1" t="n">
        <v>9</v>
      </c>
      <c r="C440" s="1" t="n">
        <v>1.6</v>
      </c>
      <c r="D440" s="1" t="n">
        <v>1.0479</v>
      </c>
      <c r="E440" s="1" t="n">
        <v>0.0557081</v>
      </c>
      <c r="F440" s="1" t="n">
        <v>0.000151531</v>
      </c>
      <c r="G440" s="1" t="s">
        <v>27</v>
      </c>
      <c r="H440" s="1" t="n">
        <v>56.9</v>
      </c>
      <c r="I440" s="1" t="n">
        <v>210.1</v>
      </c>
      <c r="J440" s="1" t="n">
        <v>72.1</v>
      </c>
      <c r="K440" s="1"/>
      <c r="L440" s="1" t="n">
        <v>0</v>
      </c>
      <c r="M440" s="1" t="n">
        <v>0</v>
      </c>
      <c r="N440" s="1" t="s">
        <v>316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0" t="n">
        <f aca="false">I440+0</f>
        <v>210.1</v>
      </c>
      <c r="AB440" s="0" t="n">
        <f aca="false">IF(Z440&gt;360,Z440-360,Z440+0)</f>
        <v>210.1</v>
      </c>
      <c r="AC440" s="1"/>
      <c r="AD440" s="1"/>
      <c r="AE440" s="1"/>
      <c r="AF440" s="1"/>
    </row>
    <row r="441" customFormat="false" ht="15.8" hidden="false" customHeight="false" outlineLevel="0" collapsed="false">
      <c r="A441" s="1" t="n">
        <v>14</v>
      </c>
      <c r="B441" s="1" t="n">
        <v>11</v>
      </c>
      <c r="C441" s="1" t="n">
        <v>1.5</v>
      </c>
      <c r="D441" s="1" t="n">
        <v>1.2343</v>
      </c>
      <c r="E441" s="1" t="n">
        <v>0.0525852</v>
      </c>
      <c r="F441" s="1" t="n">
        <v>0.000143036</v>
      </c>
      <c r="G441" s="1" t="s">
        <v>27</v>
      </c>
      <c r="H441" s="1" t="n">
        <v>4.5</v>
      </c>
      <c r="I441" s="1" t="n">
        <v>157.4</v>
      </c>
      <c r="J441" s="1" t="n">
        <v>-17.3</v>
      </c>
      <c r="K441" s="1"/>
      <c r="L441" s="1" t="n">
        <v>0</v>
      </c>
      <c r="M441" s="1" t="n">
        <v>0</v>
      </c>
      <c r="N441" s="1" t="s">
        <v>317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0" t="n">
        <f aca="false">I441+0</f>
        <v>157.4</v>
      </c>
      <c r="AB441" s="0" t="n">
        <f aca="false">IF(Z441&gt;360,Z441-360,Z441+0)</f>
        <v>157.4</v>
      </c>
      <c r="AC441" s="1"/>
      <c r="AD441" s="1"/>
      <c r="AE441" s="1"/>
      <c r="AF441" s="1"/>
    </row>
    <row r="442" customFormat="false" ht="15.8" hidden="false" customHeight="false" outlineLevel="0" collapsed="false">
      <c r="A442" s="1" t="n">
        <v>14</v>
      </c>
      <c r="B442" s="1" t="n">
        <v>11</v>
      </c>
      <c r="C442" s="1" t="n">
        <v>0.7</v>
      </c>
      <c r="D442" s="1" t="n">
        <v>1.1213</v>
      </c>
      <c r="E442" s="1" t="n">
        <v>0.0243169</v>
      </c>
      <c r="F442" s="1" t="n">
        <v>6.61441E-005</v>
      </c>
      <c r="G442" s="1" t="s">
        <v>27</v>
      </c>
      <c r="H442" s="1" t="n">
        <v>77.5</v>
      </c>
      <c r="I442" s="1" t="n">
        <v>84.1</v>
      </c>
      <c r="J442" s="1" t="n">
        <v>0</v>
      </c>
      <c r="K442" s="1"/>
      <c r="L442" s="1" t="n">
        <v>0</v>
      </c>
      <c r="M442" s="1" t="n">
        <v>0</v>
      </c>
      <c r="N442" s="1" t="s">
        <v>317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0" t="n">
        <f aca="false">I442+0</f>
        <v>84.1</v>
      </c>
      <c r="AB442" s="0" t="n">
        <f aca="false">IF(Z442&gt;360,Z442-360,Z442+0)</f>
        <v>84.1</v>
      </c>
      <c r="AC442" s="1"/>
      <c r="AD442" s="1"/>
      <c r="AE442" s="1"/>
      <c r="AF442" s="1"/>
    </row>
    <row r="443" customFormat="false" ht="15.8" hidden="false" customHeight="false" outlineLevel="0" collapsed="false">
      <c r="A443" s="1" t="n">
        <v>14</v>
      </c>
      <c r="B443" s="1" t="n">
        <v>10</v>
      </c>
      <c r="C443" s="1" t="n">
        <v>1.8</v>
      </c>
      <c r="D443" s="1" t="n">
        <v>1.6586</v>
      </c>
      <c r="E443" s="1" t="n">
        <v>0.0599738</v>
      </c>
      <c r="F443" s="1" t="n">
        <v>0.000163134</v>
      </c>
      <c r="G443" s="1" t="s">
        <v>52</v>
      </c>
      <c r="H443" s="1" t="n">
        <v>26.8</v>
      </c>
      <c r="I443" s="1" t="n">
        <v>160.8</v>
      </c>
      <c r="J443" s="1" t="n">
        <v>-20.5</v>
      </c>
      <c r="K443" s="1" t="n">
        <v>77.5</v>
      </c>
      <c r="L443" s="1" t="n">
        <v>0</v>
      </c>
      <c r="M443" s="1" t="n">
        <v>0</v>
      </c>
      <c r="N443" s="1" t="s">
        <v>318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0" t="n">
        <f aca="false">I443+0</f>
        <v>160.8</v>
      </c>
      <c r="AB443" s="0" t="n">
        <f aca="false">IF(Z443&gt;360,Z443-360,Z443+0)</f>
        <v>160.8</v>
      </c>
      <c r="AC443" s="1"/>
      <c r="AD443" s="1"/>
      <c r="AE443" s="1"/>
      <c r="AF443" s="1"/>
    </row>
    <row r="444" customFormat="false" ht="15.8" hidden="false" customHeight="false" outlineLevel="0" collapsed="false">
      <c r="A444" s="1" t="n">
        <v>14</v>
      </c>
      <c r="B444" s="1" t="n">
        <v>10</v>
      </c>
      <c r="C444" s="1" t="n">
        <v>1.3</v>
      </c>
      <c r="D444" s="1" t="n">
        <v>1.1348</v>
      </c>
      <c r="E444" s="1" t="n">
        <v>0.0436179</v>
      </c>
      <c r="F444" s="1" t="n">
        <v>0.000118645</v>
      </c>
      <c r="G444" s="1" t="s">
        <v>27</v>
      </c>
      <c r="H444" s="1" t="n">
        <v>69.7</v>
      </c>
      <c r="I444" s="1" t="n">
        <v>115.9</v>
      </c>
      <c r="J444" s="1" t="n">
        <v>41.2</v>
      </c>
      <c r="K444" s="1"/>
      <c r="L444" s="1" t="n">
        <v>0</v>
      </c>
      <c r="M444" s="1" t="n">
        <v>0</v>
      </c>
      <c r="N444" s="1" t="s">
        <v>318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0" t="n">
        <f aca="false">I444+0</f>
        <v>115.9</v>
      </c>
      <c r="AB444" s="0" t="n">
        <f aca="false">IF(Z444&gt;360,Z444-360,Z444+0)</f>
        <v>115.9</v>
      </c>
      <c r="AC444" s="1"/>
      <c r="AD444" s="1"/>
      <c r="AE444" s="1"/>
      <c r="AF444" s="1"/>
    </row>
    <row r="445" customFormat="false" ht="15.8" hidden="false" customHeight="false" outlineLevel="0" collapsed="false">
      <c r="A445" s="1" t="n">
        <v>14</v>
      </c>
      <c r="B445" s="1" t="n">
        <v>9</v>
      </c>
      <c r="C445" s="1" t="n">
        <v>1.2</v>
      </c>
      <c r="D445" s="1" t="n">
        <v>1.0127</v>
      </c>
      <c r="E445" s="1" t="n">
        <v>0.0421985</v>
      </c>
      <c r="F445" s="1" t="n">
        <v>0.000114784</v>
      </c>
      <c r="G445" s="1" t="s">
        <v>52</v>
      </c>
      <c r="H445" s="1" t="n">
        <v>39.3</v>
      </c>
      <c r="I445" s="1" t="n">
        <v>178.5</v>
      </c>
      <c r="J445" s="1" t="n">
        <v>0</v>
      </c>
      <c r="K445" s="1" t="n">
        <v>69.7</v>
      </c>
      <c r="L445" s="1" t="n">
        <v>0</v>
      </c>
      <c r="M445" s="1" t="n">
        <v>0</v>
      </c>
      <c r="N445" s="1" t="s">
        <v>316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0" t="n">
        <f aca="false">I445+0</f>
        <v>178.5</v>
      </c>
      <c r="AB445" s="0" t="n">
        <f aca="false">IF(Z445&gt;360,Z445-360,Z445+0)</f>
        <v>178.5</v>
      </c>
      <c r="AC445" s="1"/>
      <c r="AD445" s="1"/>
      <c r="AE445" s="1"/>
      <c r="AF445" s="1"/>
    </row>
    <row r="446" customFormat="false" ht="15.8" hidden="false" customHeight="false" outlineLevel="0" collapsed="false">
      <c r="A446" s="1" t="n">
        <v>14</v>
      </c>
      <c r="B446" s="1" t="n">
        <v>10</v>
      </c>
      <c r="C446" s="1" t="n">
        <v>1.4</v>
      </c>
      <c r="D446" s="1" t="n">
        <v>1.6205</v>
      </c>
      <c r="E446" s="1" t="n">
        <v>0.0462393</v>
      </c>
      <c r="F446" s="1" t="n">
        <v>0.000125775</v>
      </c>
      <c r="G446" s="1" t="s">
        <v>27</v>
      </c>
      <c r="H446" s="1" t="n">
        <v>67.5</v>
      </c>
      <c r="I446" s="1" t="n">
        <v>279.7</v>
      </c>
      <c r="J446" s="1" t="n">
        <v>-62.4</v>
      </c>
      <c r="K446" s="1"/>
      <c r="L446" s="1" t="n">
        <v>0</v>
      </c>
      <c r="M446" s="1" t="n">
        <v>0</v>
      </c>
      <c r="N446" s="1" t="s">
        <v>319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0" t="n">
        <f aca="false">I446+0</f>
        <v>279.7</v>
      </c>
      <c r="AB446" s="0" t="n">
        <f aca="false">IF(Z446&gt;360,Z446-360,Z446+0)</f>
        <v>279.7</v>
      </c>
      <c r="AC446" s="1"/>
      <c r="AD446" s="1"/>
      <c r="AE446" s="1"/>
      <c r="AF446" s="1"/>
    </row>
    <row r="447" customFormat="false" ht="15.8" hidden="false" customHeight="false" outlineLevel="0" collapsed="false">
      <c r="A447" s="1" t="n">
        <v>14</v>
      </c>
      <c r="B447" s="1" t="n">
        <v>10</v>
      </c>
      <c r="C447" s="1" t="n">
        <v>1.2</v>
      </c>
      <c r="D447" s="1" t="n">
        <v>1.1676</v>
      </c>
      <c r="E447" s="1" t="n">
        <v>0.0412725</v>
      </c>
      <c r="F447" s="1" t="n">
        <v>0.000112265</v>
      </c>
      <c r="G447" s="1" t="s">
        <v>27</v>
      </c>
      <c r="H447" s="1" t="n">
        <v>58.2</v>
      </c>
      <c r="I447" s="1" t="n">
        <v>236.5</v>
      </c>
      <c r="J447" s="1" t="n">
        <v>21</v>
      </c>
      <c r="K447" s="1"/>
      <c r="L447" s="1" t="n">
        <v>0</v>
      </c>
      <c r="M447" s="1" t="n">
        <v>0</v>
      </c>
      <c r="N447" s="1" t="s">
        <v>319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0" t="n">
        <f aca="false">I447+0</f>
        <v>236.5</v>
      </c>
      <c r="AB447" s="0" t="n">
        <f aca="false">IF(Z447&gt;360,Z447-360,Z447+0)</f>
        <v>236.5</v>
      </c>
      <c r="AC447" s="1"/>
      <c r="AD447" s="1"/>
      <c r="AE447" s="1"/>
      <c r="AF447" s="1"/>
    </row>
    <row r="448" customFormat="false" ht="15.8" hidden="false" customHeight="false" outlineLevel="0" collapsed="false">
      <c r="A448" s="1" t="n">
        <v>14</v>
      </c>
      <c r="B448" s="1" t="n">
        <v>9</v>
      </c>
      <c r="C448" s="1" t="n">
        <v>2.4</v>
      </c>
      <c r="D448" s="1" t="n">
        <v>1.2426</v>
      </c>
      <c r="E448" s="1" t="n">
        <v>0.0836386</v>
      </c>
      <c r="F448" s="1" t="n">
        <v>0.000227504</v>
      </c>
      <c r="G448" s="1" t="s">
        <v>52</v>
      </c>
      <c r="H448" s="1" t="n">
        <v>41.7</v>
      </c>
      <c r="I448" s="1" t="n">
        <v>196.3</v>
      </c>
      <c r="J448" s="1" t="n">
        <v>-22.1</v>
      </c>
      <c r="K448" s="1" t="n">
        <v>67.5</v>
      </c>
      <c r="L448" s="1" t="n">
        <v>0</v>
      </c>
      <c r="M448" s="1" t="n">
        <v>0</v>
      </c>
      <c r="N448" s="1" t="s">
        <v>316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0" t="n">
        <f aca="false">I448+0</f>
        <v>196.3</v>
      </c>
      <c r="AB448" s="0" t="n">
        <f aca="false">IF(Z448&gt;360,Z448-360,Z448+0)</f>
        <v>196.3</v>
      </c>
      <c r="AC448" s="1"/>
      <c r="AD448" s="1"/>
      <c r="AE448" s="1"/>
      <c r="AF448" s="1"/>
    </row>
    <row r="449" customFormat="false" ht="15.8" hidden="false" customHeight="false" outlineLevel="0" collapsed="false">
      <c r="A449" s="1" t="n">
        <v>14</v>
      </c>
      <c r="B449" s="1" t="n">
        <v>9</v>
      </c>
      <c r="C449" s="1" t="n">
        <v>1.9</v>
      </c>
      <c r="D449" s="1" t="n">
        <v>1.1118</v>
      </c>
      <c r="E449" s="1" t="n">
        <v>0.064185</v>
      </c>
      <c r="F449" s="1" t="n">
        <v>0.000174589</v>
      </c>
      <c r="G449" s="1" t="s">
        <v>27</v>
      </c>
      <c r="H449" s="1" t="n">
        <v>68.2</v>
      </c>
      <c r="I449" s="1" t="n">
        <v>278</v>
      </c>
      <c r="J449" s="1" t="n">
        <v>-12.7</v>
      </c>
      <c r="K449" s="1"/>
      <c r="L449" s="1" t="n">
        <v>0</v>
      </c>
      <c r="M449" s="1" t="n">
        <v>0</v>
      </c>
      <c r="N449" s="1" t="s">
        <v>316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0" t="n">
        <f aca="false">I449+0</f>
        <v>278</v>
      </c>
      <c r="AB449" s="0" t="n">
        <f aca="false">IF(Z449&gt;360,Z449-360,Z449+0)</f>
        <v>278</v>
      </c>
      <c r="AC449" s="1"/>
      <c r="AD449" s="1"/>
      <c r="AE449" s="1"/>
      <c r="AF449" s="1"/>
    </row>
    <row r="450" customFormat="false" ht="15.8" hidden="false" customHeight="false" outlineLevel="0" collapsed="false">
      <c r="A450" s="1" t="n">
        <v>14</v>
      </c>
      <c r="B450" s="1" t="n">
        <v>8</v>
      </c>
      <c r="C450" s="1" t="n">
        <v>3.1</v>
      </c>
      <c r="D450" s="1" t="n">
        <v>1.1244</v>
      </c>
      <c r="E450" s="1" t="n">
        <v>0.107661</v>
      </c>
      <c r="F450" s="1" t="n">
        <v>0.000292849</v>
      </c>
      <c r="G450" s="1" t="s">
        <v>52</v>
      </c>
      <c r="H450" s="1" t="n">
        <v>39.9</v>
      </c>
      <c r="I450" s="1" t="n">
        <v>215.2</v>
      </c>
      <c r="J450" s="1" t="n">
        <v>15.3</v>
      </c>
      <c r="K450" s="1" t="n">
        <v>68.2</v>
      </c>
      <c r="L450" s="1" t="n">
        <v>0</v>
      </c>
      <c r="M450" s="1" t="n">
        <v>0</v>
      </c>
      <c r="N450" s="1" t="s">
        <v>320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0" t="n">
        <f aca="false">I450+0</f>
        <v>215.2</v>
      </c>
      <c r="AB450" s="0" t="n">
        <f aca="false">IF(Z450&gt;360,Z450-360,Z450+0)</f>
        <v>215.2</v>
      </c>
      <c r="AC450" s="1"/>
      <c r="AD450" s="1"/>
      <c r="AE450" s="1"/>
      <c r="AF450" s="1"/>
    </row>
    <row r="451" customFormat="false" ht="15.8" hidden="false" customHeight="false" outlineLevel="0" collapsed="false">
      <c r="A451" s="1" t="n">
        <v>14</v>
      </c>
      <c r="B451" s="1" t="n">
        <v>8</v>
      </c>
      <c r="C451" s="1" t="n">
        <v>0.6</v>
      </c>
      <c r="D451" s="1" t="n">
        <v>1.0711</v>
      </c>
      <c r="E451" s="1" t="n">
        <v>0.0219844</v>
      </c>
      <c r="F451" s="1" t="n">
        <v>5.97996E-005</v>
      </c>
      <c r="G451" s="1" t="s">
        <v>27</v>
      </c>
      <c r="H451" s="1" t="n">
        <v>109.6</v>
      </c>
      <c r="I451" s="1" t="n">
        <v>293</v>
      </c>
      <c r="J451" s="1" t="n">
        <v>38</v>
      </c>
      <c r="K451" s="1"/>
      <c r="L451" s="1" t="n">
        <v>0</v>
      </c>
      <c r="M451" s="1" t="n">
        <v>0</v>
      </c>
      <c r="N451" s="1" t="s">
        <v>320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0" t="n">
        <f aca="false">I451+0</f>
        <v>293</v>
      </c>
      <c r="AB451" s="0" t="n">
        <f aca="false">IF(Z451&gt;360,Z451-360,Z451+0)</f>
        <v>293</v>
      </c>
      <c r="AC451" s="1"/>
      <c r="AD451" s="1"/>
      <c r="AE451" s="1"/>
      <c r="AF451" s="1"/>
    </row>
    <row r="452" customFormat="false" ht="15.8" hidden="false" customHeight="false" outlineLevel="0" collapsed="false">
      <c r="A452" s="1" t="n">
        <v>14</v>
      </c>
      <c r="B452" s="1" t="n">
        <v>7</v>
      </c>
      <c r="C452" s="1" t="n">
        <v>1.3</v>
      </c>
      <c r="D452" s="1" t="n">
        <v>1.1243</v>
      </c>
      <c r="E452" s="1" t="n">
        <v>0.0439372</v>
      </c>
      <c r="F452" s="1" t="n">
        <v>0.000119513</v>
      </c>
      <c r="G452" s="1" t="s">
        <v>52</v>
      </c>
      <c r="H452" s="1" t="n">
        <v>29.4</v>
      </c>
      <c r="I452" s="1" t="n">
        <v>177.8</v>
      </c>
      <c r="J452" s="1" t="n">
        <v>0</v>
      </c>
      <c r="K452" s="1" t="n">
        <v>109.6</v>
      </c>
      <c r="L452" s="1" t="n">
        <v>0</v>
      </c>
      <c r="M452" s="1" t="n">
        <v>0</v>
      </c>
      <c r="N452" s="1" t="s">
        <v>315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0" t="n">
        <f aca="false">I452+0</f>
        <v>177.8</v>
      </c>
      <c r="AB452" s="0" t="n">
        <f aca="false">IF(Z452&gt;360,Z452-360,Z452+0)</f>
        <v>177.8</v>
      </c>
      <c r="AC452" s="1"/>
      <c r="AD452" s="1"/>
      <c r="AE452" s="1"/>
      <c r="AF452" s="1"/>
    </row>
    <row r="453" customFormat="false" ht="15.8" hidden="false" customHeight="false" outlineLevel="0" collapsed="false">
      <c r="A453" s="1" t="n">
        <v>14</v>
      </c>
      <c r="B453" s="1" t="n">
        <v>6</v>
      </c>
      <c r="C453" s="1" t="n">
        <v>2.2</v>
      </c>
      <c r="D453" s="1" t="n">
        <v>1.3041</v>
      </c>
      <c r="E453" s="1" t="n">
        <v>0.0754211</v>
      </c>
      <c r="F453" s="1" t="n">
        <v>0.000205152</v>
      </c>
      <c r="G453" s="1" t="s">
        <v>52</v>
      </c>
      <c r="H453" s="1" t="n">
        <v>30.9</v>
      </c>
      <c r="I453" s="1" t="n">
        <v>163.4</v>
      </c>
      <c r="J453" s="1" t="n">
        <v>25.9</v>
      </c>
      <c r="K453" s="1" t="n">
        <v>43.8</v>
      </c>
      <c r="L453" s="1" t="n">
        <v>0</v>
      </c>
      <c r="M453" s="1" t="n">
        <v>0</v>
      </c>
      <c r="N453" s="1" t="s">
        <v>314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0" t="n">
        <f aca="false">I453+0</f>
        <v>163.4</v>
      </c>
      <c r="AB453" s="0" t="n">
        <f aca="false">IF(Z453&gt;360,Z453-360,Z453+0)</f>
        <v>163.4</v>
      </c>
      <c r="AC453" s="1"/>
      <c r="AD453" s="1"/>
      <c r="AE453" s="1"/>
      <c r="AF453" s="1"/>
    </row>
    <row r="454" customFormat="false" ht="15.8" hidden="false" customHeight="false" outlineLevel="0" collapsed="false">
      <c r="A454" s="1" t="n">
        <v>14</v>
      </c>
      <c r="B454" s="1" t="n">
        <v>5</v>
      </c>
      <c r="C454" s="1" t="n">
        <v>0.7</v>
      </c>
      <c r="D454" s="1" t="n">
        <v>1.0105</v>
      </c>
      <c r="E454" s="1" t="n">
        <v>0.0248066</v>
      </c>
      <c r="F454" s="1" t="n">
        <v>6.74762E-005</v>
      </c>
      <c r="G454" s="1" t="s">
        <v>52</v>
      </c>
      <c r="H454" s="1" t="n">
        <v>13.7</v>
      </c>
      <c r="I454" s="1" t="n">
        <v>180.9</v>
      </c>
      <c r="J454" s="1" t="n">
        <v>0</v>
      </c>
      <c r="K454" s="1" t="n">
        <v>43.9</v>
      </c>
      <c r="L454" s="1" t="n">
        <v>0</v>
      </c>
      <c r="M454" s="1" t="n">
        <v>0</v>
      </c>
      <c r="N454" s="1" t="s">
        <v>321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0" t="n">
        <f aca="false">I454+0</f>
        <v>180.9</v>
      </c>
      <c r="AB454" s="0" t="n">
        <f aca="false">IF(Z454&gt;360,Z454-360,Z454+0)</f>
        <v>180.9</v>
      </c>
      <c r="AC454" s="1"/>
      <c r="AD454" s="1"/>
      <c r="AE454" s="1"/>
      <c r="AF454" s="1"/>
    </row>
    <row r="455" customFormat="false" ht="15.8" hidden="false" customHeight="false" outlineLevel="0" collapsed="false">
      <c r="A455" s="1" t="n">
        <v>14</v>
      </c>
      <c r="B455" s="1" t="n">
        <v>6</v>
      </c>
      <c r="C455" s="1" t="n">
        <v>1.4</v>
      </c>
      <c r="D455" s="1" t="n">
        <v>1.2092</v>
      </c>
      <c r="E455" s="1" t="n">
        <v>0.0489621</v>
      </c>
      <c r="F455" s="1" t="n">
        <v>0.000133181</v>
      </c>
      <c r="G455" s="1" t="s">
        <v>27</v>
      </c>
      <c r="H455" s="1" t="n">
        <v>55.6</v>
      </c>
      <c r="I455" s="1" t="n">
        <v>358.7</v>
      </c>
      <c r="J455" s="1" t="n">
        <v>38.7</v>
      </c>
      <c r="K455" s="1"/>
      <c r="L455" s="1" t="n">
        <v>0</v>
      </c>
      <c r="M455" s="1" t="n">
        <v>0</v>
      </c>
      <c r="N455" s="1" t="s">
        <v>322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0" t="n">
        <f aca="false">I455+0</f>
        <v>358.7</v>
      </c>
      <c r="AB455" s="0" t="n">
        <f aca="false">IF(Z455&gt;360,Z455-360,Z455+0)</f>
        <v>358.7</v>
      </c>
      <c r="AC455" s="1"/>
      <c r="AD455" s="1"/>
      <c r="AE455" s="1"/>
      <c r="AF455" s="1"/>
    </row>
    <row r="456" customFormat="false" ht="15.8" hidden="false" customHeight="false" outlineLevel="0" collapsed="false">
      <c r="A456" s="1" t="n">
        <v>14</v>
      </c>
      <c r="B456" s="1" t="n">
        <v>6</v>
      </c>
      <c r="C456" s="1" t="n">
        <v>1.2</v>
      </c>
      <c r="D456" s="1" t="n">
        <v>1.1367</v>
      </c>
      <c r="E456" s="1" t="n">
        <v>0.0403529</v>
      </c>
      <c r="F456" s="1" t="n">
        <v>0.000109763</v>
      </c>
      <c r="G456" s="1" t="s">
        <v>27</v>
      </c>
      <c r="H456" s="1" t="n">
        <v>53.4</v>
      </c>
      <c r="I456" s="1" t="n">
        <v>222.3</v>
      </c>
      <c r="J456" s="1" t="n">
        <v>20.9</v>
      </c>
      <c r="K456" s="1"/>
      <c r="L456" s="1" t="n">
        <v>0</v>
      </c>
      <c r="M456" s="1" t="n">
        <v>0</v>
      </c>
      <c r="N456" s="1" t="s">
        <v>322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0" t="n">
        <f aca="false">I456+0</f>
        <v>222.3</v>
      </c>
      <c r="AB456" s="0" t="n">
        <f aca="false">IF(Z456&gt;360,Z456-360,Z456+0)</f>
        <v>222.3</v>
      </c>
      <c r="AC456" s="1"/>
      <c r="AD456" s="1"/>
      <c r="AE456" s="1"/>
      <c r="AF456" s="1"/>
    </row>
    <row r="457" customFormat="false" ht="15.8" hidden="false" customHeight="false" outlineLevel="0" collapsed="false">
      <c r="A457" s="1" t="n">
        <v>14</v>
      </c>
      <c r="B457" s="1" t="n">
        <v>5</v>
      </c>
      <c r="C457" s="1" t="n">
        <v>3.3</v>
      </c>
      <c r="D457" s="1" t="n">
        <v>1.309</v>
      </c>
      <c r="E457" s="1" t="n">
        <v>0.113552</v>
      </c>
      <c r="F457" s="1" t="n">
        <v>0.000308872</v>
      </c>
      <c r="G457" s="1" t="s">
        <v>52</v>
      </c>
      <c r="H457" s="1" t="n">
        <v>83.4</v>
      </c>
      <c r="I457" s="1" t="n">
        <v>280.5</v>
      </c>
      <c r="J457" s="1" t="n">
        <v>46.8</v>
      </c>
      <c r="K457" s="1" t="n">
        <v>55.6</v>
      </c>
      <c r="L457" s="1" t="n">
        <v>0</v>
      </c>
      <c r="M457" s="1" t="n">
        <v>0</v>
      </c>
      <c r="N457" s="1" t="s">
        <v>321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0" t="n">
        <f aca="false">I457+0</f>
        <v>280.5</v>
      </c>
      <c r="AB457" s="0" t="n">
        <f aca="false">IF(Z457&gt;360,Z457-360,Z457+0)</f>
        <v>280.5</v>
      </c>
      <c r="AC457" s="1"/>
      <c r="AD457" s="1"/>
      <c r="AE457" s="1"/>
      <c r="AF457" s="1"/>
    </row>
    <row r="458" customFormat="false" ht="15.8" hidden="false" customHeight="false" outlineLevel="0" collapsed="false">
      <c r="A458" s="1" t="n">
        <v>14</v>
      </c>
      <c r="B458" s="1" t="n">
        <v>4</v>
      </c>
      <c r="C458" s="1" t="n">
        <v>3.4</v>
      </c>
      <c r="D458" s="1" t="n">
        <v>1.1305</v>
      </c>
      <c r="E458" s="1" t="n">
        <v>0.11635</v>
      </c>
      <c r="F458" s="1" t="n">
        <v>0.000316482</v>
      </c>
      <c r="G458" s="1" t="s">
        <v>52</v>
      </c>
      <c r="H458" s="1" t="n">
        <v>48</v>
      </c>
      <c r="I458" s="1" t="n">
        <v>192.6</v>
      </c>
      <c r="J458" s="1" t="n">
        <v>7.1</v>
      </c>
      <c r="K458" s="1" t="n">
        <v>83.4</v>
      </c>
      <c r="L458" s="1" t="n">
        <v>0</v>
      </c>
      <c r="M458" s="1" t="n">
        <v>0</v>
      </c>
      <c r="N458" s="1" t="s">
        <v>323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0" t="n">
        <f aca="false">I458+0</f>
        <v>192.6</v>
      </c>
      <c r="AB458" s="0" t="n">
        <f aca="false">IF(Z458&gt;360,Z458-360,Z458+0)</f>
        <v>192.6</v>
      </c>
      <c r="AC458" s="1"/>
      <c r="AD458" s="1"/>
      <c r="AE458" s="1"/>
      <c r="AF458" s="1"/>
    </row>
    <row r="459" customFormat="false" ht="15.8" hidden="false" customHeight="false" outlineLevel="0" collapsed="false">
      <c r="A459" s="1" t="n">
        <v>14</v>
      </c>
      <c r="B459" s="1" t="n">
        <v>5</v>
      </c>
      <c r="C459" s="1" t="n">
        <v>4.5</v>
      </c>
      <c r="D459" s="1" t="n">
        <v>1.2197</v>
      </c>
      <c r="E459" s="1" t="n">
        <v>0.154958</v>
      </c>
      <c r="F459" s="1" t="n">
        <v>0.0004215</v>
      </c>
      <c r="G459" s="1" t="s">
        <v>27</v>
      </c>
      <c r="H459" s="1" t="n">
        <v>37.2</v>
      </c>
      <c r="I459" s="1" t="n">
        <v>51.9</v>
      </c>
      <c r="J459" s="1" t="n">
        <v>-29.9</v>
      </c>
      <c r="K459" s="1"/>
      <c r="L459" s="1" t="n">
        <v>0</v>
      </c>
      <c r="M459" s="1" t="n">
        <v>0</v>
      </c>
      <c r="N459" s="1" t="s">
        <v>324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0" t="n">
        <f aca="false">I459+0</f>
        <v>51.9</v>
      </c>
      <c r="AB459" s="0" t="n">
        <f aca="false">IF(Z459&gt;360,Z459-360,Z459+0)</f>
        <v>51.9</v>
      </c>
      <c r="AC459" s="1"/>
      <c r="AD459" s="1"/>
      <c r="AE459" s="1"/>
      <c r="AF459" s="1"/>
    </row>
    <row r="460" customFormat="false" ht="15.8" hidden="false" customHeight="false" outlineLevel="0" collapsed="false">
      <c r="A460" s="1" t="n">
        <v>14</v>
      </c>
      <c r="B460" s="1" t="n">
        <v>5</v>
      </c>
      <c r="C460" s="1" t="n">
        <v>1.5</v>
      </c>
      <c r="D460" s="1" t="n">
        <v>1.1097</v>
      </c>
      <c r="E460" s="1" t="n">
        <v>0.0503258</v>
      </c>
      <c r="F460" s="1" t="n">
        <v>0.000136891</v>
      </c>
      <c r="G460" s="1" t="s">
        <v>27</v>
      </c>
      <c r="H460" s="1" t="n">
        <v>27.6</v>
      </c>
      <c r="I460" s="1" t="n">
        <v>97.9</v>
      </c>
      <c r="J460" s="1" t="n">
        <v>16.2</v>
      </c>
      <c r="K460" s="1"/>
      <c r="L460" s="1" t="n">
        <v>0</v>
      </c>
      <c r="M460" s="1" t="n">
        <v>0</v>
      </c>
      <c r="N460" s="1" t="s">
        <v>324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0" t="n">
        <f aca="false">I460+0</f>
        <v>97.9</v>
      </c>
      <c r="AB460" s="0" t="n">
        <f aca="false">IF(Z460&gt;360,Z460-360,Z460+0)</f>
        <v>97.9</v>
      </c>
      <c r="AC460" s="1"/>
      <c r="AD460" s="1"/>
      <c r="AE460" s="1"/>
      <c r="AF460" s="1"/>
    </row>
    <row r="461" customFormat="false" ht="15.8" hidden="false" customHeight="false" outlineLevel="0" collapsed="false">
      <c r="A461" s="1" t="n">
        <v>14</v>
      </c>
      <c r="B461" s="1" t="n">
        <v>4</v>
      </c>
      <c r="C461" s="1" t="n">
        <v>0.6</v>
      </c>
      <c r="D461" s="1" t="n">
        <v>1.0111</v>
      </c>
      <c r="E461" s="1" t="n">
        <v>0.0206141</v>
      </c>
      <c r="F461" s="1" t="n">
        <v>5.60723E-005</v>
      </c>
      <c r="G461" s="1" t="s">
        <v>52</v>
      </c>
      <c r="H461" s="1" t="n">
        <v>69.3</v>
      </c>
      <c r="I461" s="1" t="n">
        <v>75.2</v>
      </c>
      <c r="J461" s="1" t="n">
        <v>0</v>
      </c>
      <c r="K461" s="1" t="n">
        <v>37.2</v>
      </c>
      <c r="L461" s="1" t="n">
        <v>0</v>
      </c>
      <c r="M461" s="1" t="n">
        <v>0</v>
      </c>
      <c r="N461" s="1" t="s">
        <v>323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0" t="n">
        <f aca="false">I461+0</f>
        <v>75.2</v>
      </c>
      <c r="AB461" s="0" t="n">
        <f aca="false">IF(Z461&gt;360,Z461-360,Z461+0)</f>
        <v>75.2</v>
      </c>
      <c r="AC461" s="1"/>
      <c r="AD461" s="1"/>
      <c r="AE461" s="1"/>
      <c r="AF461" s="1"/>
    </row>
    <row r="462" customFormat="false" ht="15.8" hidden="false" customHeight="false" outlineLevel="0" collapsed="false">
      <c r="A462" s="1" t="n">
        <v>14</v>
      </c>
      <c r="B462" s="1" t="n">
        <v>4</v>
      </c>
      <c r="C462" s="1" t="n">
        <v>1.2</v>
      </c>
      <c r="D462" s="1" t="n">
        <v>1.0318</v>
      </c>
      <c r="E462" s="1" t="n">
        <v>0.0407861</v>
      </c>
      <c r="F462" s="1" t="n">
        <v>0.000110942</v>
      </c>
      <c r="G462" s="1" t="s">
        <v>27</v>
      </c>
      <c r="H462" s="1" t="n">
        <v>123.8</v>
      </c>
      <c r="I462" s="1" t="n">
        <v>19.8</v>
      </c>
      <c r="J462" s="1" t="n">
        <v>0</v>
      </c>
      <c r="K462" s="1"/>
      <c r="L462" s="1" t="n">
        <v>0</v>
      </c>
      <c r="M462" s="1" t="n">
        <v>0</v>
      </c>
      <c r="N462" s="1" t="s">
        <v>323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0" t="n">
        <f aca="false">I462+0</f>
        <v>19.8</v>
      </c>
      <c r="AB462" s="0" t="n">
        <f aca="false">IF(Z462&gt;360,Z462-360,Z462+0)</f>
        <v>19.8</v>
      </c>
      <c r="AC462" s="1"/>
      <c r="AD462" s="1"/>
      <c r="AE462" s="1"/>
      <c r="AF462" s="1"/>
    </row>
    <row r="463" customFormat="false" ht="15.8" hidden="false" customHeight="false" outlineLevel="0" collapsed="false">
      <c r="A463" s="1" t="n">
        <v>14</v>
      </c>
      <c r="B463" s="1" t="n">
        <v>3</v>
      </c>
      <c r="C463" s="1" t="n">
        <v>4.8</v>
      </c>
      <c r="D463" s="1" t="n">
        <v>1.1194</v>
      </c>
      <c r="E463" s="1" t="n">
        <v>0.165253</v>
      </c>
      <c r="F463" s="1" t="n">
        <v>0.000449502</v>
      </c>
      <c r="G463" s="1" t="s">
        <v>52</v>
      </c>
      <c r="H463" s="1" t="n">
        <v>38.2</v>
      </c>
      <c r="I463" s="1" t="n">
        <v>144.2</v>
      </c>
      <c r="J463" s="1" t="n">
        <v>9.9</v>
      </c>
      <c r="K463" s="1" t="n">
        <v>123.8</v>
      </c>
      <c r="L463" s="1" t="n">
        <v>0</v>
      </c>
      <c r="M463" s="1" t="n">
        <v>0</v>
      </c>
      <c r="N463" s="1" t="s">
        <v>325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0" t="n">
        <f aca="false">I463+0</f>
        <v>144.2</v>
      </c>
      <c r="AB463" s="0" t="n">
        <f aca="false">IF(Z463&gt;360,Z463-360,Z463+0)</f>
        <v>144.2</v>
      </c>
      <c r="AC463" s="1"/>
      <c r="AD463" s="1"/>
      <c r="AE463" s="1"/>
      <c r="AF463" s="1"/>
    </row>
    <row r="464" customFormat="false" ht="15.8" hidden="false" customHeight="false" outlineLevel="0" collapsed="false">
      <c r="A464" s="1" t="n">
        <v>14</v>
      </c>
      <c r="B464" s="1" t="n">
        <v>7</v>
      </c>
      <c r="C464" s="1" t="n">
        <v>2.4</v>
      </c>
      <c r="D464" s="1" t="n">
        <v>1.1504</v>
      </c>
      <c r="E464" s="1" t="n">
        <v>0.082114</v>
      </c>
      <c r="F464" s="1" t="n">
        <v>0.000223357</v>
      </c>
      <c r="G464" s="1" t="s">
        <v>27</v>
      </c>
      <c r="H464" s="1" t="n">
        <v>42.4</v>
      </c>
      <c r="I464" s="1" t="n">
        <v>183.7</v>
      </c>
      <c r="J464" s="1" t="n">
        <v>32.1</v>
      </c>
      <c r="K464" s="1"/>
      <c r="L464" s="1" t="n">
        <v>0</v>
      </c>
      <c r="M464" s="1" t="n">
        <v>0</v>
      </c>
      <c r="N464" s="1" t="s">
        <v>326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0" t="n">
        <f aca="false">I464+0</f>
        <v>183.7</v>
      </c>
      <c r="AB464" s="0" t="n">
        <f aca="false">IF(Z464&gt;360,Z464-360,Z464+0)</f>
        <v>183.7</v>
      </c>
      <c r="AC464" s="1"/>
      <c r="AD464" s="1"/>
      <c r="AE464" s="1"/>
      <c r="AF464" s="1"/>
    </row>
    <row r="465" customFormat="false" ht="15.8" hidden="false" customHeight="false" outlineLevel="0" collapsed="false">
      <c r="A465" s="1" t="n">
        <v>14</v>
      </c>
      <c r="B465" s="1" t="n">
        <v>11</v>
      </c>
      <c r="C465" s="1" t="n">
        <v>4.5</v>
      </c>
      <c r="D465" s="1" t="n">
        <v>1.214</v>
      </c>
      <c r="E465" s="1" t="n">
        <v>0.154315</v>
      </c>
      <c r="F465" s="1" t="n">
        <v>0.00041975</v>
      </c>
      <c r="G465" s="1" t="s">
        <v>27</v>
      </c>
      <c r="H465" s="1" t="n">
        <v>50.4</v>
      </c>
      <c r="I465" s="1" t="n">
        <v>211.2</v>
      </c>
      <c r="J465" s="1" t="n">
        <v>5.7</v>
      </c>
      <c r="K465" s="1"/>
      <c r="L465" s="1" t="n">
        <v>0</v>
      </c>
      <c r="M465" s="1" t="n">
        <v>0</v>
      </c>
      <c r="N465" s="1" t="s">
        <v>327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0" t="n">
        <f aca="false">I465+0</f>
        <v>211.2</v>
      </c>
      <c r="AB465" s="0" t="n">
        <f aca="false">IF(Z465&gt;360,Z465-360,Z465+0)</f>
        <v>211.2</v>
      </c>
      <c r="AC465" s="1"/>
      <c r="AD465" s="1"/>
      <c r="AE465" s="1"/>
      <c r="AF465" s="1"/>
    </row>
    <row r="466" customFormat="false" ht="15.8" hidden="false" customHeight="false" outlineLevel="0" collapsed="false">
      <c r="A466" s="1" t="n">
        <v>14</v>
      </c>
      <c r="B466" s="1" t="n">
        <v>11</v>
      </c>
      <c r="C466" s="1" t="n">
        <v>2.2</v>
      </c>
      <c r="D466" s="1" t="n">
        <v>1.1612</v>
      </c>
      <c r="E466" s="1" t="n">
        <v>0.0741978</v>
      </c>
      <c r="F466" s="1" t="n">
        <v>0.000201824</v>
      </c>
      <c r="G466" s="1" t="s">
        <v>27</v>
      </c>
      <c r="H466" s="1" t="n">
        <v>58</v>
      </c>
      <c r="I466" s="1" t="n">
        <v>104.2</v>
      </c>
      <c r="J466" s="1" t="n">
        <v>-36.4</v>
      </c>
      <c r="K466" s="1"/>
      <c r="L466" s="1" t="n">
        <v>0</v>
      </c>
      <c r="M466" s="1" t="n">
        <v>0</v>
      </c>
      <c r="N466" s="1" t="s">
        <v>327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0" t="n">
        <f aca="false">I466+0</f>
        <v>104.2</v>
      </c>
      <c r="AB466" s="0" t="n">
        <f aca="false">IF(Z466&gt;360,Z466-360,Z466+0)</f>
        <v>104.2</v>
      </c>
      <c r="AC466" s="1"/>
      <c r="AD466" s="1"/>
      <c r="AE466" s="1"/>
      <c r="AF466" s="1"/>
    </row>
    <row r="467" customFormat="false" ht="15.8" hidden="false" customHeight="false" outlineLevel="0" collapsed="false">
      <c r="A467" s="1" t="n">
        <v>14</v>
      </c>
      <c r="B467" s="1" t="n">
        <v>10</v>
      </c>
      <c r="C467" s="1" t="n">
        <v>2.1</v>
      </c>
      <c r="D467" s="1" t="n">
        <v>1.3285</v>
      </c>
      <c r="E467" s="1" t="n">
        <v>0.0712985</v>
      </c>
      <c r="F467" s="1" t="n">
        <v>0.000193938</v>
      </c>
      <c r="G467" s="1" t="s">
        <v>52</v>
      </c>
      <c r="H467" s="1" t="n">
        <v>89.6</v>
      </c>
      <c r="I467" s="1" t="n">
        <v>164.3</v>
      </c>
      <c r="J467" s="1" t="n">
        <v>-13.6</v>
      </c>
      <c r="K467" s="1" t="n">
        <v>58</v>
      </c>
      <c r="L467" s="1" t="n">
        <v>0</v>
      </c>
      <c r="M467" s="1" t="n">
        <v>0</v>
      </c>
      <c r="N467" s="1" t="s">
        <v>328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0" t="n">
        <f aca="false">I467+0</f>
        <v>164.3</v>
      </c>
      <c r="AB467" s="0" t="n">
        <f aca="false">IF(Z467&gt;360,Z467-360,Z467+0)</f>
        <v>164.3</v>
      </c>
      <c r="AC467" s="1"/>
      <c r="AD467" s="1"/>
      <c r="AE467" s="1"/>
      <c r="AF467" s="1"/>
    </row>
    <row r="468" customFormat="false" ht="15.8" hidden="false" customHeight="false" outlineLevel="0" collapsed="false">
      <c r="A468" s="1" t="n">
        <v>14</v>
      </c>
      <c r="B468" s="1" t="n">
        <v>11</v>
      </c>
      <c r="C468" s="1" t="n">
        <v>10</v>
      </c>
      <c r="D468" s="1" t="n">
        <v>1.2337</v>
      </c>
      <c r="E468" s="1" t="n">
        <v>0.343066</v>
      </c>
      <c r="F468" s="1" t="n">
        <v>0.00093317</v>
      </c>
      <c r="G468" s="1" t="s">
        <v>27</v>
      </c>
      <c r="H468" s="1" t="n">
        <v>35.6</v>
      </c>
      <c r="I468" s="1" t="n">
        <v>326.2</v>
      </c>
      <c r="J468" s="1" t="n">
        <v>10.5</v>
      </c>
      <c r="K468" s="1"/>
      <c r="L468" s="1" t="n">
        <v>0</v>
      </c>
      <c r="M468" s="1" t="n">
        <v>0</v>
      </c>
      <c r="N468" s="1" t="s">
        <v>329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0" t="n">
        <f aca="false">I468+0</f>
        <v>326.2</v>
      </c>
      <c r="AB468" s="0" t="n">
        <f aca="false">IF(Z468&gt;360,Z468-360,Z468+0)</f>
        <v>326.2</v>
      </c>
      <c r="AC468" s="1"/>
      <c r="AD468" s="1"/>
      <c r="AE468" s="1"/>
      <c r="AF468" s="1"/>
    </row>
    <row r="469" customFormat="false" ht="15.8" hidden="false" customHeight="false" outlineLevel="0" collapsed="false">
      <c r="A469" s="1" t="n">
        <v>14</v>
      </c>
      <c r="B469" s="1" t="n">
        <v>11</v>
      </c>
      <c r="C469" s="1" t="n">
        <v>0.8</v>
      </c>
      <c r="D469" s="1" t="n">
        <v>1.095</v>
      </c>
      <c r="E469" s="1" t="n">
        <v>0.0286763</v>
      </c>
      <c r="F469" s="1" t="n">
        <v>7.8002E-005</v>
      </c>
      <c r="G469" s="1" t="s">
        <v>27</v>
      </c>
      <c r="H469" s="1" t="n">
        <v>82.3</v>
      </c>
      <c r="I469" s="1" t="n">
        <v>81.6</v>
      </c>
      <c r="J469" s="1" t="n">
        <v>-28.9</v>
      </c>
      <c r="K469" s="1"/>
      <c r="L469" s="1" t="n">
        <v>0</v>
      </c>
      <c r="M469" s="1" t="n">
        <v>0</v>
      </c>
      <c r="N469" s="1" t="s">
        <v>329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0" t="n">
        <f aca="false">I469+0</f>
        <v>81.6</v>
      </c>
      <c r="AB469" s="0" t="n">
        <f aca="false">IF(Z469&gt;360,Z469-360,Z469+0)</f>
        <v>81.6</v>
      </c>
      <c r="AC469" s="1"/>
      <c r="AD469" s="1"/>
      <c r="AE469" s="1"/>
      <c r="AF469" s="1"/>
    </row>
    <row r="470" customFormat="false" ht="15.8" hidden="false" customHeight="false" outlineLevel="0" collapsed="false">
      <c r="A470" s="1" t="n">
        <v>14</v>
      </c>
      <c r="B470" s="1" t="n">
        <v>10</v>
      </c>
      <c r="C470" s="1" t="n">
        <v>1.4</v>
      </c>
      <c r="D470" s="1" t="n">
        <v>1.0115</v>
      </c>
      <c r="E470" s="1" t="n">
        <v>0.0477768</v>
      </c>
      <c r="F470" s="1" t="n">
        <v>0.000129957</v>
      </c>
      <c r="G470" s="1" t="s">
        <v>52</v>
      </c>
      <c r="H470" s="1" t="n">
        <v>82.2</v>
      </c>
      <c r="I470" s="1" t="n">
        <v>0.5</v>
      </c>
      <c r="J470" s="1" t="n">
        <v>0</v>
      </c>
      <c r="K470" s="1" t="n">
        <v>82.3</v>
      </c>
      <c r="L470" s="1" t="n">
        <v>0</v>
      </c>
      <c r="M470" s="1" t="n">
        <v>0</v>
      </c>
      <c r="N470" s="1" t="s">
        <v>328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0" t="n">
        <f aca="false">I470+0</f>
        <v>0.5</v>
      </c>
      <c r="AB470" s="0" t="n">
        <f aca="false">IF(Z470&gt;360,Z470-360,Z470+0)</f>
        <v>0.5</v>
      </c>
      <c r="AC470" s="1"/>
      <c r="AD470" s="1"/>
      <c r="AE470" s="1"/>
      <c r="AF470" s="1"/>
    </row>
    <row r="471" customFormat="false" ht="15.8" hidden="false" customHeight="false" outlineLevel="0" collapsed="false">
      <c r="A471" s="1" t="n">
        <v>14</v>
      </c>
      <c r="B471" s="1" t="n">
        <v>10</v>
      </c>
      <c r="C471" s="1" t="n">
        <v>1.1</v>
      </c>
      <c r="D471" s="1" t="n">
        <v>1.0082</v>
      </c>
      <c r="E471" s="1" t="n">
        <v>0.0392718</v>
      </c>
      <c r="F471" s="1" t="n">
        <v>0.000106823</v>
      </c>
      <c r="G471" s="1" t="s">
        <v>27</v>
      </c>
      <c r="H471" s="1" t="n">
        <v>70.7</v>
      </c>
      <c r="I471" s="1" t="n">
        <v>312.7</v>
      </c>
      <c r="J471" s="1" t="n">
        <v>0</v>
      </c>
      <c r="K471" s="1"/>
      <c r="L471" s="1" t="n">
        <v>0</v>
      </c>
      <c r="M471" s="1" t="n">
        <v>0</v>
      </c>
      <c r="N471" s="1" t="s">
        <v>328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0" t="n">
        <f aca="false">I471+0</f>
        <v>312.7</v>
      </c>
      <c r="AB471" s="0" t="n">
        <f aca="false">IF(Z471&gt;360,Z471-360,Z471+0)</f>
        <v>312.7</v>
      </c>
      <c r="AC471" s="1"/>
      <c r="AD471" s="1"/>
      <c r="AE471" s="1"/>
      <c r="AF471" s="1"/>
    </row>
    <row r="472" customFormat="false" ht="15.8" hidden="false" customHeight="false" outlineLevel="0" collapsed="false">
      <c r="A472" s="1" t="n">
        <v>14</v>
      </c>
      <c r="B472" s="1" t="n">
        <v>9</v>
      </c>
      <c r="C472" s="1" t="n">
        <v>1.9</v>
      </c>
      <c r="D472" s="1" t="n">
        <v>1.1848</v>
      </c>
      <c r="E472" s="1" t="n">
        <v>0.0640268</v>
      </c>
      <c r="F472" s="1" t="n">
        <v>0.000174159</v>
      </c>
      <c r="G472" s="1" t="s">
        <v>52</v>
      </c>
      <c r="H472" s="1" t="n">
        <v>102.8</v>
      </c>
      <c r="I472" s="1" t="n">
        <v>293.1</v>
      </c>
      <c r="J472" s="1" t="n">
        <v>-69.4</v>
      </c>
      <c r="K472" s="1" t="n">
        <v>89.6</v>
      </c>
      <c r="L472" s="1" t="n">
        <v>0</v>
      </c>
      <c r="M472" s="1" t="n">
        <v>0</v>
      </c>
      <c r="N472" s="1" t="s">
        <v>330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0" t="n">
        <f aca="false">I472+0</f>
        <v>293.1</v>
      </c>
      <c r="AB472" s="0" t="n">
        <f aca="false">IF(Z472&gt;360,Z472-360,Z472+0)</f>
        <v>293.1</v>
      </c>
      <c r="AC472" s="1"/>
      <c r="AD472" s="1"/>
      <c r="AE472" s="1"/>
      <c r="AF472" s="1"/>
    </row>
    <row r="473" customFormat="false" ht="15.8" hidden="false" customHeight="false" outlineLevel="0" collapsed="false">
      <c r="A473" s="1" t="n">
        <v>14</v>
      </c>
      <c r="B473" s="1" t="n">
        <v>10</v>
      </c>
      <c r="C473" s="1" t="n">
        <v>5.5</v>
      </c>
      <c r="D473" s="1" t="n">
        <v>1.3778</v>
      </c>
      <c r="E473" s="1" t="n">
        <v>0.187666</v>
      </c>
      <c r="F473" s="1" t="n">
        <v>0.000510467</v>
      </c>
      <c r="G473" s="1" t="s">
        <v>27</v>
      </c>
      <c r="H473" s="1" t="n">
        <v>34.3</v>
      </c>
      <c r="I473" s="1" t="n">
        <v>168.8</v>
      </c>
      <c r="J473" s="1" t="n">
        <v>-10.7</v>
      </c>
      <c r="K473" s="1"/>
      <c r="L473" s="1" t="n">
        <v>0</v>
      </c>
      <c r="M473" s="1" t="n">
        <v>0</v>
      </c>
      <c r="N473" s="1" t="s">
        <v>331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0" t="n">
        <f aca="false">I473+0</f>
        <v>168.8</v>
      </c>
      <c r="AB473" s="0" t="n">
        <f aca="false">IF(Z473&gt;360,Z473-360,Z473+0)</f>
        <v>168.8</v>
      </c>
      <c r="AC473" s="1"/>
      <c r="AD473" s="1"/>
      <c r="AE473" s="1"/>
      <c r="AF473" s="1"/>
    </row>
    <row r="474" customFormat="false" ht="15.8" hidden="false" customHeight="false" outlineLevel="0" collapsed="false">
      <c r="A474" s="1" t="n">
        <v>14</v>
      </c>
      <c r="B474" s="1" t="n">
        <v>10</v>
      </c>
      <c r="C474" s="1" t="n">
        <v>4.6</v>
      </c>
      <c r="D474" s="1" t="n">
        <v>1.0582</v>
      </c>
      <c r="E474" s="1" t="n">
        <v>0.157219</v>
      </c>
      <c r="F474" s="1" t="n">
        <v>0.000427649</v>
      </c>
      <c r="G474" s="1" t="s">
        <v>27</v>
      </c>
      <c r="H474" s="1" t="n">
        <v>58.6</v>
      </c>
      <c r="I474" s="1" t="n">
        <v>260</v>
      </c>
      <c r="J474" s="1" t="n">
        <v>-4.9</v>
      </c>
      <c r="K474" s="1"/>
      <c r="L474" s="1" t="n">
        <v>0</v>
      </c>
      <c r="M474" s="1" t="n">
        <v>0</v>
      </c>
      <c r="N474" s="1" t="s">
        <v>331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0" t="n">
        <f aca="false">I474+0</f>
        <v>260</v>
      </c>
      <c r="AB474" s="0" t="n">
        <f aca="false">IF(Z474&gt;360,Z474-360,Z474+0)</f>
        <v>260</v>
      </c>
      <c r="AC474" s="1"/>
      <c r="AD474" s="1"/>
      <c r="AE474" s="1"/>
      <c r="AF474" s="1"/>
    </row>
    <row r="475" customFormat="false" ht="15.8" hidden="false" customHeight="false" outlineLevel="0" collapsed="false">
      <c r="A475" s="1" t="n">
        <v>14</v>
      </c>
      <c r="B475" s="1" t="n">
        <v>9</v>
      </c>
      <c r="C475" s="1" t="n">
        <v>0.5</v>
      </c>
      <c r="D475" s="1" t="n">
        <v>1.0442</v>
      </c>
      <c r="E475" s="1" t="n">
        <v>0.0158645</v>
      </c>
      <c r="F475" s="1" t="n">
        <v>4.31528E-005</v>
      </c>
      <c r="G475" s="1" t="s">
        <v>52</v>
      </c>
      <c r="H475" s="1" t="n">
        <v>37.4</v>
      </c>
      <c r="I475" s="1" t="n">
        <v>201.5</v>
      </c>
      <c r="J475" s="1" t="n">
        <v>0</v>
      </c>
      <c r="K475" s="1" t="n">
        <v>58.6</v>
      </c>
      <c r="L475" s="1" t="n">
        <v>0</v>
      </c>
      <c r="M475" s="1" t="n">
        <v>0</v>
      </c>
      <c r="N475" s="1" t="s">
        <v>330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0" t="n">
        <f aca="false">I475+0</f>
        <v>201.5</v>
      </c>
      <c r="AB475" s="0" t="n">
        <f aca="false">IF(Z475&gt;360,Z475-360,Z475+0)</f>
        <v>201.5</v>
      </c>
      <c r="AC475" s="1"/>
      <c r="AD475" s="1"/>
      <c r="AE475" s="1"/>
      <c r="AF475" s="1"/>
    </row>
    <row r="476" customFormat="false" ht="15.8" hidden="false" customHeight="false" outlineLevel="0" collapsed="false">
      <c r="A476" s="1" t="n">
        <v>14</v>
      </c>
      <c r="B476" s="1" t="n">
        <v>8</v>
      </c>
      <c r="C476" s="1" t="n">
        <v>1</v>
      </c>
      <c r="D476" s="1" t="n">
        <v>1.0362</v>
      </c>
      <c r="E476" s="1" t="n">
        <v>0.0352556</v>
      </c>
      <c r="F476" s="1" t="n">
        <v>9.58984E-005</v>
      </c>
      <c r="G476" s="1" t="s">
        <v>52</v>
      </c>
      <c r="H476" s="1" t="n">
        <v>68.7</v>
      </c>
      <c r="I476" s="1" t="n">
        <v>164.1</v>
      </c>
      <c r="J476" s="1" t="n">
        <v>0</v>
      </c>
      <c r="K476" s="1" t="n">
        <v>102.8</v>
      </c>
      <c r="L476" s="1" t="n">
        <v>0</v>
      </c>
      <c r="M476" s="1" t="n">
        <v>0</v>
      </c>
      <c r="N476" s="1" t="s">
        <v>332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0" t="n">
        <f aca="false">I476+0</f>
        <v>164.1</v>
      </c>
      <c r="AB476" s="0" t="n">
        <f aca="false">IF(Z476&gt;360,Z476-360,Z476+0)</f>
        <v>164.1</v>
      </c>
      <c r="AC476" s="1"/>
      <c r="AD476" s="1"/>
      <c r="AE476" s="1"/>
      <c r="AF476" s="1"/>
    </row>
    <row r="477" customFormat="false" ht="15.8" hidden="false" customHeight="false" outlineLevel="0" collapsed="false">
      <c r="A477" s="1" t="n">
        <v>14</v>
      </c>
      <c r="B477" s="1" t="n">
        <v>9</v>
      </c>
      <c r="C477" s="1" t="n">
        <v>5.3</v>
      </c>
      <c r="D477" s="1" t="n">
        <v>1.8418</v>
      </c>
      <c r="E477" s="1" t="n">
        <v>0.182377</v>
      </c>
      <c r="F477" s="1" t="n">
        <v>0.000496082</v>
      </c>
      <c r="G477" s="1" t="s">
        <v>27</v>
      </c>
      <c r="H477" s="1" t="n">
        <v>46.4</v>
      </c>
      <c r="I477" s="1" t="n">
        <v>310.8</v>
      </c>
      <c r="J477" s="1" t="n">
        <v>39.7</v>
      </c>
      <c r="K477" s="1"/>
      <c r="L477" s="1" t="n">
        <v>0</v>
      </c>
      <c r="M477" s="1" t="n">
        <v>0</v>
      </c>
      <c r="N477" s="1" t="s">
        <v>333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0" t="n">
        <f aca="false">I477+0</f>
        <v>310.8</v>
      </c>
      <c r="AB477" s="0" t="n">
        <f aca="false">IF(Z477&gt;360,Z477-360,Z477+0)</f>
        <v>310.8</v>
      </c>
      <c r="AC477" s="1"/>
      <c r="AD477" s="1"/>
      <c r="AE477" s="1"/>
      <c r="AF477" s="1"/>
    </row>
    <row r="478" customFormat="false" ht="15.8" hidden="false" customHeight="false" outlineLevel="0" collapsed="false">
      <c r="A478" s="1" t="n">
        <v>14</v>
      </c>
      <c r="B478" s="1" t="n">
        <v>9</v>
      </c>
      <c r="C478" s="1" t="n">
        <v>1.2</v>
      </c>
      <c r="D478" s="1" t="n">
        <v>1.1503</v>
      </c>
      <c r="E478" s="1" t="n">
        <v>0.0393472</v>
      </c>
      <c r="F478" s="1" t="n">
        <v>0.000107028</v>
      </c>
      <c r="G478" s="1" t="s">
        <v>27</v>
      </c>
      <c r="H478" s="1" t="n">
        <v>57</v>
      </c>
      <c r="I478" s="1" t="n">
        <v>301.1</v>
      </c>
      <c r="J478" s="1" t="n">
        <v>-47.7</v>
      </c>
      <c r="K478" s="1"/>
      <c r="L478" s="1" t="n">
        <v>0</v>
      </c>
      <c r="M478" s="1" t="n">
        <v>0</v>
      </c>
      <c r="N478" s="1" t="s">
        <v>333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0" t="n">
        <f aca="false">I478+0</f>
        <v>301.1</v>
      </c>
      <c r="AB478" s="0" t="n">
        <f aca="false">IF(Z478&gt;360,Z478-360,Z478+0)</f>
        <v>301.1</v>
      </c>
      <c r="AC478" s="1"/>
      <c r="AD478" s="1"/>
      <c r="AE478" s="1"/>
      <c r="AF478" s="1"/>
    </row>
    <row r="479" customFormat="false" ht="15.8" hidden="false" customHeight="false" outlineLevel="0" collapsed="false">
      <c r="A479" s="1" t="n">
        <v>14</v>
      </c>
      <c r="B479" s="1" t="n">
        <v>8</v>
      </c>
      <c r="C479" s="1" t="n">
        <v>6</v>
      </c>
      <c r="D479" s="1" t="n">
        <v>1.1325</v>
      </c>
      <c r="E479" s="1" t="n">
        <v>0.205571</v>
      </c>
      <c r="F479" s="1" t="n">
        <v>0.000559171</v>
      </c>
      <c r="G479" s="1" t="s">
        <v>52</v>
      </c>
      <c r="H479" s="1" t="n">
        <v>104.4</v>
      </c>
      <c r="I479" s="1" t="n">
        <v>337.2</v>
      </c>
      <c r="J479" s="1" t="n">
        <v>0</v>
      </c>
      <c r="K479" s="1" t="n">
        <v>57</v>
      </c>
      <c r="L479" s="1" t="n">
        <v>0</v>
      </c>
      <c r="M479" s="1" t="n">
        <v>0</v>
      </c>
      <c r="N479" s="1" t="s">
        <v>332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0" t="n">
        <f aca="false">I479+0</f>
        <v>337.2</v>
      </c>
      <c r="AB479" s="0" t="n">
        <f aca="false">IF(Z479&gt;360,Z479-360,Z479+0)</f>
        <v>337.2</v>
      </c>
      <c r="AC479" s="1"/>
      <c r="AD479" s="1"/>
      <c r="AE479" s="1"/>
      <c r="AF479" s="1"/>
    </row>
    <row r="480" customFormat="false" ht="15.8" hidden="false" customHeight="false" outlineLevel="0" collapsed="false">
      <c r="A480" s="1" t="n">
        <v>14</v>
      </c>
      <c r="B480" s="1" t="n">
        <v>7</v>
      </c>
      <c r="C480" s="1" t="n">
        <v>2.2</v>
      </c>
      <c r="D480" s="1" t="n">
        <v>1.4705</v>
      </c>
      <c r="E480" s="1" t="n">
        <v>0.0741606</v>
      </c>
      <c r="F480" s="1" t="n">
        <v>0.000201723</v>
      </c>
      <c r="G480" s="1" t="s">
        <v>52</v>
      </c>
      <c r="H480" s="1" t="n">
        <v>54.9</v>
      </c>
      <c r="I480" s="1" t="n">
        <v>232.8</v>
      </c>
      <c r="J480" s="1" t="n">
        <v>0</v>
      </c>
      <c r="K480" s="1" t="n">
        <v>104.4</v>
      </c>
      <c r="L480" s="1" t="n">
        <v>0</v>
      </c>
      <c r="M480" s="1" t="n">
        <v>0</v>
      </c>
      <c r="N480" s="1" t="s">
        <v>326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0" t="n">
        <f aca="false">I480+0</f>
        <v>232.8</v>
      </c>
      <c r="AB480" s="0" t="n">
        <f aca="false">IF(Z480&gt;360,Z480-360,Z480+0)</f>
        <v>232.8</v>
      </c>
      <c r="AC480" s="1"/>
      <c r="AD480" s="1"/>
      <c r="AE480" s="1"/>
      <c r="AF480" s="1"/>
    </row>
    <row r="481" customFormat="false" ht="15.8" hidden="false" customHeight="false" outlineLevel="0" collapsed="false">
      <c r="A481" s="1" t="n">
        <v>14</v>
      </c>
      <c r="B481" s="1" t="n">
        <v>13</v>
      </c>
      <c r="C481" s="1" t="n">
        <v>3</v>
      </c>
      <c r="D481" s="1" t="n">
        <v>1.435</v>
      </c>
      <c r="E481" s="1" t="n">
        <v>0.103541</v>
      </c>
      <c r="F481" s="1" t="n">
        <v>0.000281641</v>
      </c>
      <c r="G481" s="1" t="s">
        <v>27</v>
      </c>
      <c r="H481" s="1" t="n">
        <v>43.7</v>
      </c>
      <c r="I481" s="1" t="n">
        <v>174.9</v>
      </c>
      <c r="J481" s="1" t="n">
        <v>20.5</v>
      </c>
      <c r="K481" s="1"/>
      <c r="L481" s="1" t="n">
        <v>0</v>
      </c>
      <c r="M481" s="1" t="n">
        <v>0</v>
      </c>
      <c r="N481" s="1" t="s">
        <v>334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0" t="n">
        <f aca="false">I481+0</f>
        <v>174.9</v>
      </c>
      <c r="AB481" s="0" t="n">
        <f aca="false">IF(Z481&gt;360,Z481-360,Z481+0)</f>
        <v>174.9</v>
      </c>
      <c r="AC481" s="1"/>
      <c r="AD481" s="1"/>
      <c r="AE481" s="1"/>
      <c r="AF481" s="1"/>
    </row>
    <row r="482" customFormat="false" ht="15.8" hidden="false" customHeight="false" outlineLevel="0" collapsed="false">
      <c r="A482" s="1" t="n">
        <v>14</v>
      </c>
      <c r="B482" s="1" t="n">
        <v>16</v>
      </c>
      <c r="C482" s="1" t="n">
        <v>1.2</v>
      </c>
      <c r="D482" s="1" t="n">
        <v>1.1293</v>
      </c>
      <c r="E482" s="1" t="n">
        <v>0.040156</v>
      </c>
      <c r="F482" s="1" t="n">
        <v>0.000109228</v>
      </c>
      <c r="G482" s="1" t="s">
        <v>27</v>
      </c>
      <c r="H482" s="1" t="n">
        <v>66.2</v>
      </c>
      <c r="I482" s="1" t="n">
        <v>58.3</v>
      </c>
      <c r="J482" s="1" t="n">
        <v>-20.8</v>
      </c>
      <c r="K482" s="1"/>
      <c r="L482" s="1" t="n">
        <v>0</v>
      </c>
      <c r="M482" s="1" t="n">
        <v>0</v>
      </c>
      <c r="N482" s="1" t="s">
        <v>335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0" t="n">
        <f aca="false">I482+0</f>
        <v>58.3</v>
      </c>
      <c r="AB482" s="0" t="n">
        <f aca="false">IF(Z482&gt;360,Z482-360,Z482+0)</f>
        <v>58.3</v>
      </c>
      <c r="AC482" s="1"/>
      <c r="AD482" s="1"/>
      <c r="AE482" s="1"/>
      <c r="AF482" s="1"/>
    </row>
    <row r="483" customFormat="false" ht="15.8" hidden="false" customHeight="false" outlineLevel="0" collapsed="false">
      <c r="A483" s="1" t="n">
        <v>14</v>
      </c>
      <c r="B483" s="1" t="n">
        <v>16</v>
      </c>
      <c r="C483" s="1" t="n">
        <v>3.8</v>
      </c>
      <c r="D483" s="1" t="n">
        <v>1.069</v>
      </c>
      <c r="E483" s="1" t="n">
        <v>0.130001</v>
      </c>
      <c r="F483" s="1" t="n">
        <v>0.000353614</v>
      </c>
      <c r="G483" s="1" t="s">
        <v>27</v>
      </c>
      <c r="H483" s="1" t="n">
        <v>70.1</v>
      </c>
      <c r="I483" s="1" t="n">
        <v>182.1</v>
      </c>
      <c r="J483" s="1" t="n">
        <v>-6</v>
      </c>
      <c r="K483" s="1"/>
      <c r="L483" s="1" t="n">
        <v>0</v>
      </c>
      <c r="M483" s="1" t="n">
        <v>0</v>
      </c>
      <c r="N483" s="1" t="s">
        <v>335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0" t="n">
        <f aca="false">I483+0</f>
        <v>182.1</v>
      </c>
      <c r="AB483" s="0" t="n">
        <f aca="false">IF(Z483&gt;360,Z483-360,Z483+0)</f>
        <v>182.1</v>
      </c>
      <c r="AC483" s="1"/>
      <c r="AD483" s="1"/>
      <c r="AE483" s="1"/>
      <c r="AF483" s="1"/>
    </row>
    <row r="484" customFormat="false" ht="15.8" hidden="false" customHeight="false" outlineLevel="0" collapsed="false">
      <c r="A484" s="1" t="n">
        <v>14</v>
      </c>
      <c r="B484" s="1" t="n">
        <v>16</v>
      </c>
      <c r="C484" s="1" t="n">
        <v>0.8</v>
      </c>
      <c r="D484" s="1" t="n">
        <v>1.0005</v>
      </c>
      <c r="E484" s="1" t="n">
        <v>0.0260501</v>
      </c>
      <c r="F484" s="1" t="n">
        <v>7.08586E-005</v>
      </c>
      <c r="G484" s="1" t="s">
        <v>27</v>
      </c>
      <c r="H484" s="1" t="n">
        <v>25.8</v>
      </c>
      <c r="I484" s="1" t="n">
        <v>135.6</v>
      </c>
      <c r="J484" s="1" t="n">
        <v>0</v>
      </c>
      <c r="K484" s="1"/>
      <c r="L484" s="1" t="n">
        <v>0</v>
      </c>
      <c r="M484" s="1" t="n">
        <v>0</v>
      </c>
      <c r="N484" s="1" t="s">
        <v>335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0" t="n">
        <f aca="false">I484+0</f>
        <v>135.6</v>
      </c>
      <c r="AB484" s="0" t="n">
        <f aca="false">IF(Z484&gt;360,Z484-360,Z484+0)</f>
        <v>135.6</v>
      </c>
      <c r="AC484" s="1"/>
      <c r="AD484" s="1"/>
      <c r="AE484" s="1"/>
      <c r="AF484" s="1"/>
    </row>
    <row r="485" customFormat="false" ht="15.8" hidden="false" customHeight="false" outlineLevel="0" collapsed="false">
      <c r="A485" s="1" t="n">
        <v>14</v>
      </c>
      <c r="B485" s="1" t="n">
        <v>15</v>
      </c>
      <c r="C485" s="1" t="n">
        <v>1.6</v>
      </c>
      <c r="D485" s="1" t="n">
        <v>1.1788</v>
      </c>
      <c r="E485" s="1" t="n">
        <v>0.0559665</v>
      </c>
      <c r="F485" s="1" t="n">
        <v>0.000152234</v>
      </c>
      <c r="G485" s="1" t="s">
        <v>52</v>
      </c>
      <c r="H485" s="1" t="n">
        <v>95.8</v>
      </c>
      <c r="I485" s="1" t="n">
        <v>114.7</v>
      </c>
      <c r="J485" s="1" t="n">
        <v>15.4</v>
      </c>
      <c r="K485" s="1" t="n">
        <v>70.1</v>
      </c>
      <c r="L485" s="1" t="n">
        <v>0</v>
      </c>
      <c r="M485" s="1" t="n">
        <v>0</v>
      </c>
      <c r="N485" s="1" t="s">
        <v>336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0" t="n">
        <f aca="false">I485+0</f>
        <v>114.7</v>
      </c>
      <c r="AB485" s="0" t="n">
        <f aca="false">IF(Z485&gt;360,Z485-360,Z485+0)</f>
        <v>114.7</v>
      </c>
      <c r="AC485" s="1"/>
      <c r="AD485" s="1"/>
      <c r="AE485" s="1"/>
      <c r="AF485" s="1"/>
    </row>
    <row r="486" customFormat="false" ht="15.8" hidden="false" customHeight="false" outlineLevel="0" collapsed="false">
      <c r="A486" s="1" t="n">
        <v>14</v>
      </c>
      <c r="B486" s="1" t="n">
        <v>15</v>
      </c>
      <c r="C486" s="1" t="n">
        <v>0.5</v>
      </c>
      <c r="D486" s="1" t="n">
        <v>1.0311</v>
      </c>
      <c r="E486" s="1" t="n">
        <v>0.0181701</v>
      </c>
      <c r="F486" s="1" t="n">
        <v>4.94244E-005</v>
      </c>
      <c r="G486" s="1" t="s">
        <v>27</v>
      </c>
      <c r="H486" s="1" t="n">
        <v>55.1</v>
      </c>
      <c r="I486" s="1" t="n">
        <v>352.7</v>
      </c>
      <c r="J486" s="1" t="n">
        <v>0</v>
      </c>
      <c r="K486" s="1"/>
      <c r="L486" s="1" t="n">
        <v>0</v>
      </c>
      <c r="M486" s="1" t="n">
        <v>0</v>
      </c>
      <c r="N486" s="1" t="s">
        <v>336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0" t="n">
        <f aca="false">I486+0</f>
        <v>352.7</v>
      </c>
      <c r="AB486" s="0" t="n">
        <f aca="false">IF(Z486&gt;360,Z486-360,Z486+0)</f>
        <v>352.7</v>
      </c>
      <c r="AC486" s="1"/>
      <c r="AD486" s="1"/>
      <c r="AE486" s="1"/>
      <c r="AF486" s="1"/>
    </row>
    <row r="487" customFormat="false" ht="15.8" hidden="false" customHeight="false" outlineLevel="0" collapsed="false">
      <c r="A487" s="1" t="n">
        <v>14</v>
      </c>
      <c r="B487" s="1" t="n">
        <v>14</v>
      </c>
      <c r="C487" s="1" t="n">
        <v>7.3</v>
      </c>
      <c r="D487" s="1" t="n">
        <v>1.3568</v>
      </c>
      <c r="E487" s="1" t="n">
        <v>0.251149</v>
      </c>
      <c r="F487" s="1" t="n">
        <v>0.000683146</v>
      </c>
      <c r="G487" s="1" t="s">
        <v>52</v>
      </c>
      <c r="H487" s="1" t="n">
        <v>114</v>
      </c>
      <c r="I487" s="1" t="n">
        <v>349.3</v>
      </c>
      <c r="J487" s="1" t="n">
        <v>55.1</v>
      </c>
      <c r="K487" s="1" t="n">
        <v>95.8</v>
      </c>
      <c r="L487" s="1" t="n">
        <v>0</v>
      </c>
      <c r="M487" s="1" t="n">
        <v>0</v>
      </c>
      <c r="N487" s="1" t="s">
        <v>337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0" t="n">
        <f aca="false">I487+0</f>
        <v>349.3</v>
      </c>
      <c r="AB487" s="0" t="n">
        <f aca="false">IF(Z487&gt;360,Z487-360,Z487+0)</f>
        <v>349.3</v>
      </c>
      <c r="AC487" s="1"/>
      <c r="AD487" s="1"/>
      <c r="AE487" s="1"/>
      <c r="AF487" s="1"/>
    </row>
    <row r="488" customFormat="false" ht="15.8" hidden="false" customHeight="false" outlineLevel="0" collapsed="false">
      <c r="A488" s="1" t="n">
        <v>14</v>
      </c>
      <c r="B488" s="1" t="n">
        <v>15</v>
      </c>
      <c r="C488" s="1" t="n">
        <v>4.4</v>
      </c>
      <c r="D488" s="1" t="n">
        <v>1.8824</v>
      </c>
      <c r="E488" s="1" t="n">
        <v>0.148752</v>
      </c>
      <c r="F488" s="1" t="n">
        <v>0.00040462</v>
      </c>
      <c r="G488" s="1" t="s">
        <v>27</v>
      </c>
      <c r="H488" s="1" t="n">
        <v>28.8</v>
      </c>
      <c r="I488" s="1" t="n">
        <v>337.7</v>
      </c>
      <c r="J488" s="1" t="n">
        <v>-39.8</v>
      </c>
      <c r="K488" s="1"/>
      <c r="L488" s="1" t="n">
        <v>0</v>
      </c>
      <c r="M488" s="1" t="n">
        <v>0</v>
      </c>
      <c r="N488" s="1" t="s">
        <v>338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0" t="n">
        <f aca="false">I488+0</f>
        <v>337.7</v>
      </c>
      <c r="AB488" s="0" t="n">
        <f aca="false">IF(Z488&gt;360,Z488-360,Z488+0)</f>
        <v>337.7</v>
      </c>
      <c r="AC488" s="1"/>
      <c r="AD488" s="1"/>
      <c r="AE488" s="1"/>
      <c r="AF488" s="1"/>
    </row>
    <row r="489" customFormat="false" ht="15.8" hidden="false" customHeight="false" outlineLevel="0" collapsed="false">
      <c r="A489" s="1" t="n">
        <v>14</v>
      </c>
      <c r="B489" s="1" t="n">
        <v>15</v>
      </c>
      <c r="C489" s="1" t="n">
        <v>1.3</v>
      </c>
      <c r="D489" s="1" t="n">
        <v>1.1005</v>
      </c>
      <c r="E489" s="1" t="n">
        <v>0.0440778</v>
      </c>
      <c r="F489" s="1" t="n">
        <v>0.000119896</v>
      </c>
      <c r="G489" s="1" t="s">
        <v>27</v>
      </c>
      <c r="H489" s="1" t="n">
        <v>73.6</v>
      </c>
      <c r="I489" s="1" t="n">
        <v>281.9</v>
      </c>
      <c r="J489" s="1" t="n">
        <v>-18.4</v>
      </c>
      <c r="K489" s="1"/>
      <c r="L489" s="1" t="n">
        <v>0</v>
      </c>
      <c r="M489" s="1" t="n">
        <v>0</v>
      </c>
      <c r="N489" s="1" t="s">
        <v>338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0" t="n">
        <f aca="false">I489+0</f>
        <v>281.9</v>
      </c>
      <c r="AB489" s="0" t="n">
        <f aca="false">IF(Z489&gt;360,Z489-360,Z489+0)</f>
        <v>281.9</v>
      </c>
      <c r="AC489" s="1"/>
      <c r="AD489" s="1"/>
      <c r="AE489" s="1"/>
      <c r="AF489" s="1"/>
    </row>
    <row r="490" customFormat="false" ht="15.8" hidden="false" customHeight="false" outlineLevel="0" collapsed="false">
      <c r="A490" s="1" t="n">
        <v>14</v>
      </c>
      <c r="B490" s="1" t="n">
        <v>14</v>
      </c>
      <c r="C490" s="1" t="n">
        <v>1.7</v>
      </c>
      <c r="D490" s="1" t="n">
        <v>1.3065</v>
      </c>
      <c r="E490" s="1" t="n">
        <v>0.0572738</v>
      </c>
      <c r="F490" s="1" t="n">
        <v>0.00015579</v>
      </c>
      <c r="G490" s="1" t="s">
        <v>52</v>
      </c>
      <c r="H490" s="1" t="n">
        <v>57.3</v>
      </c>
      <c r="I490" s="1" t="n">
        <v>10.7</v>
      </c>
      <c r="J490" s="1" t="n">
        <v>-59.9</v>
      </c>
      <c r="K490" s="1" t="n">
        <v>73.6</v>
      </c>
      <c r="L490" s="1" t="n">
        <v>0</v>
      </c>
      <c r="M490" s="1" t="n">
        <v>0</v>
      </c>
      <c r="N490" s="1" t="s">
        <v>337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0" t="n">
        <f aca="false">I490+0</f>
        <v>10.7</v>
      </c>
      <c r="AB490" s="0" t="n">
        <f aca="false">IF(Z490&gt;360,Z490-360,Z490+0)</f>
        <v>10.7</v>
      </c>
      <c r="AC490" s="1"/>
      <c r="AD490" s="1"/>
      <c r="AE490" s="1"/>
      <c r="AF490" s="1"/>
    </row>
    <row r="491" customFormat="false" ht="15.8" hidden="false" customHeight="false" outlineLevel="0" collapsed="false">
      <c r="A491" s="1" t="n">
        <v>14</v>
      </c>
      <c r="B491" s="1" t="n">
        <v>13</v>
      </c>
      <c r="C491" s="1" t="n">
        <v>2.2</v>
      </c>
      <c r="D491" s="1" t="n">
        <v>1.3139</v>
      </c>
      <c r="E491" s="1" t="n">
        <v>0.0761648</v>
      </c>
      <c r="F491" s="1" t="n">
        <v>0.000207175</v>
      </c>
      <c r="G491" s="1" t="s">
        <v>52</v>
      </c>
      <c r="H491" s="1" t="n">
        <v>74.5</v>
      </c>
      <c r="I491" s="1" t="n">
        <v>276.8</v>
      </c>
      <c r="J491" s="1" t="n">
        <v>-40.9</v>
      </c>
      <c r="K491" s="1" t="n">
        <v>114</v>
      </c>
      <c r="L491" s="1" t="n">
        <v>0</v>
      </c>
      <c r="M491" s="1" t="n">
        <v>0</v>
      </c>
      <c r="N491" s="1" t="s">
        <v>334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0" t="n">
        <f aca="false">I491+0</f>
        <v>276.8</v>
      </c>
      <c r="AB491" s="0" t="n">
        <f aca="false">IF(Z491&gt;360,Z491-360,Z491+0)</f>
        <v>276.8</v>
      </c>
      <c r="AC491" s="1"/>
      <c r="AD491" s="1"/>
      <c r="AE491" s="1"/>
      <c r="AF491" s="1"/>
    </row>
    <row r="492" customFormat="false" ht="15.8" hidden="false" customHeight="false" outlineLevel="0" collapsed="false">
      <c r="A492" s="1" t="n">
        <v>14</v>
      </c>
      <c r="B492" s="1" t="n">
        <v>12</v>
      </c>
      <c r="C492" s="1" t="n">
        <v>2.6</v>
      </c>
      <c r="D492" s="1" t="n">
        <v>1.4729</v>
      </c>
      <c r="E492" s="1" t="n">
        <v>0.0900137</v>
      </c>
      <c r="F492" s="1" t="n">
        <v>0.000244845</v>
      </c>
      <c r="G492" s="1" t="s">
        <v>52</v>
      </c>
      <c r="H492" s="1" t="n">
        <v>34</v>
      </c>
      <c r="I492" s="1" t="n">
        <v>219.7</v>
      </c>
      <c r="J492" s="1" t="n">
        <v>11.9</v>
      </c>
      <c r="K492" s="1" t="n">
        <v>74.5</v>
      </c>
      <c r="L492" s="1" t="n">
        <v>0</v>
      </c>
      <c r="M492" s="1" t="n">
        <v>0</v>
      </c>
      <c r="N492" s="1" t="s">
        <v>339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0" t="n">
        <f aca="false">I492+0</f>
        <v>219.7</v>
      </c>
      <c r="AB492" s="0" t="n">
        <f aca="false">IF(Z492&gt;360,Z492-360,Z492+0)</f>
        <v>219.7</v>
      </c>
      <c r="AC492" s="1"/>
      <c r="AD492" s="1"/>
      <c r="AE492" s="1"/>
      <c r="AF492" s="1"/>
    </row>
    <row r="493" customFormat="false" ht="15.8" hidden="false" customHeight="false" outlineLevel="0" collapsed="false">
      <c r="A493" s="1" t="n">
        <v>14</v>
      </c>
      <c r="B493" s="1" t="n">
        <v>16</v>
      </c>
      <c r="C493" s="1" t="n">
        <v>0.9</v>
      </c>
      <c r="D493" s="1" t="n">
        <v>1.0006</v>
      </c>
      <c r="E493" s="1" t="n">
        <v>0.0307394</v>
      </c>
      <c r="F493" s="1" t="n">
        <v>8.3614E-005</v>
      </c>
      <c r="G493" s="1" t="s">
        <v>27</v>
      </c>
      <c r="H493" s="1" t="n">
        <v>67.9</v>
      </c>
      <c r="I493" s="1" t="n">
        <v>173</v>
      </c>
      <c r="J493" s="1" t="n">
        <v>0</v>
      </c>
      <c r="K493" s="1"/>
      <c r="L493" s="1" t="n">
        <v>0</v>
      </c>
      <c r="M493" s="1" t="n">
        <v>0</v>
      </c>
      <c r="N493" s="1" t="s">
        <v>340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0" t="n">
        <f aca="false">I493+0</f>
        <v>173</v>
      </c>
      <c r="AB493" s="0" t="n">
        <f aca="false">IF(Z493&gt;360,Z493-360,Z493+0)</f>
        <v>173</v>
      </c>
      <c r="AC493" s="1"/>
      <c r="AD493" s="1"/>
      <c r="AE493" s="1"/>
      <c r="AF493" s="1"/>
    </row>
    <row r="494" customFormat="false" ht="15.8" hidden="false" customHeight="false" outlineLevel="0" collapsed="false">
      <c r="A494" s="1" t="n">
        <v>14</v>
      </c>
      <c r="B494" s="1" t="n">
        <v>16</v>
      </c>
      <c r="C494" s="1" t="n">
        <v>0.9</v>
      </c>
      <c r="D494" s="1" t="n">
        <v>1.0059</v>
      </c>
      <c r="E494" s="1" t="n">
        <v>0.029557</v>
      </c>
      <c r="F494" s="1" t="n">
        <v>8.03976E-005</v>
      </c>
      <c r="G494" s="1" t="s">
        <v>27</v>
      </c>
      <c r="H494" s="1" t="n">
        <v>108</v>
      </c>
      <c r="I494" s="1" t="n">
        <v>359.3</v>
      </c>
      <c r="J494" s="1" t="n">
        <v>0</v>
      </c>
      <c r="K494" s="1"/>
      <c r="L494" s="1" t="n">
        <v>0</v>
      </c>
      <c r="M494" s="1" t="n">
        <v>0</v>
      </c>
      <c r="N494" s="1" t="s">
        <v>340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0" t="n">
        <f aca="false">I494+0</f>
        <v>359.3</v>
      </c>
      <c r="AB494" s="0" t="n">
        <f aca="false">IF(Z494&gt;360,Z494-360,Z494+0)</f>
        <v>359.3</v>
      </c>
      <c r="AC494" s="1"/>
      <c r="AD494" s="1"/>
      <c r="AE494" s="1"/>
      <c r="AF494" s="1"/>
    </row>
    <row r="495" customFormat="false" ht="15.8" hidden="false" customHeight="false" outlineLevel="0" collapsed="false">
      <c r="A495" s="1" t="n">
        <v>14</v>
      </c>
      <c r="B495" s="1" t="n">
        <v>15</v>
      </c>
      <c r="C495" s="1" t="n">
        <v>1.2</v>
      </c>
      <c r="D495" s="1" t="n">
        <v>1.1327</v>
      </c>
      <c r="E495" s="1" t="n">
        <v>0.04065</v>
      </c>
      <c r="F495" s="1" t="n">
        <v>0.000110571</v>
      </c>
      <c r="G495" s="1" t="s">
        <v>52</v>
      </c>
      <c r="H495" s="1" t="n">
        <v>83.3</v>
      </c>
      <c r="I495" s="1" t="n">
        <v>115.1</v>
      </c>
      <c r="J495" s="1" t="n">
        <v>-44.8</v>
      </c>
      <c r="K495" s="1" t="n">
        <v>108</v>
      </c>
      <c r="L495" s="1" t="n">
        <v>0</v>
      </c>
      <c r="M495" s="1" t="n">
        <v>0</v>
      </c>
      <c r="N495" s="1" t="s">
        <v>341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0" t="n">
        <f aca="false">I495+0</f>
        <v>115.1</v>
      </c>
      <c r="AB495" s="0" t="n">
        <f aca="false">IF(Z495&gt;360,Z495-360,Z495+0)</f>
        <v>115.1</v>
      </c>
      <c r="AC495" s="1"/>
      <c r="AD495" s="1"/>
      <c r="AE495" s="1"/>
      <c r="AF495" s="1"/>
    </row>
    <row r="496" customFormat="false" ht="15.8" hidden="false" customHeight="false" outlineLevel="0" collapsed="false">
      <c r="A496" s="1" t="n">
        <v>14</v>
      </c>
      <c r="B496" s="1" t="n">
        <v>15</v>
      </c>
      <c r="C496" s="1" t="n">
        <v>4.1</v>
      </c>
      <c r="D496" s="1" t="n">
        <v>1.3741</v>
      </c>
      <c r="E496" s="1" t="n">
        <v>0.140995</v>
      </c>
      <c r="F496" s="1" t="n">
        <v>0.000383518</v>
      </c>
      <c r="G496" s="1" t="s">
        <v>27</v>
      </c>
      <c r="H496" s="1" t="n">
        <v>29.1</v>
      </c>
      <c r="I496" s="1" t="n">
        <v>190.6</v>
      </c>
      <c r="J496" s="1" t="n">
        <v>-21.7</v>
      </c>
      <c r="K496" s="1"/>
      <c r="L496" s="1" t="n">
        <v>0</v>
      </c>
      <c r="M496" s="1" t="n">
        <v>0</v>
      </c>
      <c r="N496" s="1" t="s">
        <v>341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0" t="n">
        <f aca="false">I496+0</f>
        <v>190.6</v>
      </c>
      <c r="AB496" s="0" t="n">
        <f aca="false">IF(Z496&gt;360,Z496-360,Z496+0)</f>
        <v>190.6</v>
      </c>
      <c r="AC496" s="1"/>
      <c r="AD496" s="1"/>
      <c r="AE496" s="1"/>
      <c r="AF496" s="1"/>
    </row>
    <row r="497" customFormat="false" ht="15.8" hidden="false" customHeight="false" outlineLevel="0" collapsed="false">
      <c r="A497" s="1" t="n">
        <v>14</v>
      </c>
      <c r="B497" s="1" t="n">
        <v>14</v>
      </c>
      <c r="C497" s="1" t="n">
        <v>3.1</v>
      </c>
      <c r="D497" s="1" t="n">
        <v>1.0717</v>
      </c>
      <c r="E497" s="1" t="n">
        <v>0.107392</v>
      </c>
      <c r="F497" s="1" t="n">
        <v>0.000292116</v>
      </c>
      <c r="G497" s="1" t="s">
        <v>52</v>
      </c>
      <c r="H497" s="1" t="n">
        <v>35.1</v>
      </c>
      <c r="I497" s="1" t="n">
        <v>188.1</v>
      </c>
      <c r="J497" s="1" t="n">
        <v>7.3</v>
      </c>
      <c r="K497" s="1" t="n">
        <v>83.3</v>
      </c>
      <c r="L497" s="1" t="n">
        <v>0</v>
      </c>
      <c r="M497" s="1" t="n">
        <v>0</v>
      </c>
      <c r="N497" s="1" t="s">
        <v>342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0" t="n">
        <f aca="false">I497+0</f>
        <v>188.1</v>
      </c>
      <c r="AB497" s="0" t="n">
        <f aca="false">IF(Z497&gt;360,Z497-360,Z497+0)</f>
        <v>188.1</v>
      </c>
      <c r="AC497" s="1"/>
      <c r="AD497" s="1"/>
      <c r="AE497" s="1"/>
      <c r="AF497" s="1"/>
    </row>
    <row r="498" customFormat="false" ht="15.8" hidden="false" customHeight="false" outlineLevel="0" collapsed="false">
      <c r="A498" s="1" t="n">
        <v>14</v>
      </c>
      <c r="B498" s="1" t="n">
        <v>16</v>
      </c>
      <c r="C498" s="1" t="n">
        <v>6.4</v>
      </c>
      <c r="D498" s="1" t="n">
        <v>1.158</v>
      </c>
      <c r="E498" s="1" t="n">
        <v>0.217243</v>
      </c>
      <c r="F498" s="1" t="n">
        <v>0.00059092</v>
      </c>
      <c r="G498" s="1" t="s">
        <v>27</v>
      </c>
      <c r="H498" s="1" t="n">
        <v>52.2</v>
      </c>
      <c r="I498" s="1" t="n">
        <v>195.5</v>
      </c>
      <c r="J498" s="1" t="n">
        <v>-7.7</v>
      </c>
      <c r="K498" s="1"/>
      <c r="L498" s="1" t="n">
        <v>0</v>
      </c>
      <c r="M498" s="1" t="n">
        <v>0</v>
      </c>
      <c r="N498" s="1" t="s">
        <v>343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0" t="n">
        <f aca="false">I498+0</f>
        <v>195.5</v>
      </c>
      <c r="AB498" s="0" t="n">
        <f aca="false">IF(Z498&gt;360,Z498-360,Z498+0)</f>
        <v>195.5</v>
      </c>
      <c r="AC498" s="1"/>
      <c r="AD498" s="1"/>
      <c r="AE498" s="1"/>
      <c r="AF498" s="1"/>
    </row>
    <row r="499" customFormat="false" ht="15.8" hidden="false" customHeight="false" outlineLevel="0" collapsed="false">
      <c r="A499" s="1" t="n">
        <v>14</v>
      </c>
      <c r="B499" s="1" t="n">
        <v>17</v>
      </c>
      <c r="C499" s="1" t="n">
        <v>9.5</v>
      </c>
      <c r="D499" s="1" t="n">
        <v>1.2476</v>
      </c>
      <c r="E499" s="1" t="n">
        <v>0.326392</v>
      </c>
      <c r="F499" s="1" t="n">
        <v>0.000887816</v>
      </c>
      <c r="G499" s="1" t="s">
        <v>27</v>
      </c>
      <c r="H499" s="1" t="n">
        <v>37.3</v>
      </c>
      <c r="I499" s="1" t="n">
        <v>92.9</v>
      </c>
      <c r="J499" s="1" t="n">
        <v>-32.1</v>
      </c>
      <c r="K499" s="1"/>
      <c r="L499" s="1" t="n">
        <v>0</v>
      </c>
      <c r="M499" s="1" t="n">
        <v>0</v>
      </c>
      <c r="N499" s="1" t="s">
        <v>344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0" t="n">
        <f aca="false">I499+0</f>
        <v>92.9</v>
      </c>
      <c r="AB499" s="0" t="n">
        <f aca="false">IF(Z499&gt;360,Z499-360,Z499+0)</f>
        <v>92.9</v>
      </c>
      <c r="AC499" s="1"/>
      <c r="AD499" s="1"/>
      <c r="AE499" s="1"/>
      <c r="AF499" s="1"/>
    </row>
    <row r="500" customFormat="false" ht="15.8" hidden="false" customHeight="false" outlineLevel="0" collapsed="false">
      <c r="A500" s="1" t="n">
        <v>14</v>
      </c>
      <c r="B500" s="1" t="n">
        <v>17</v>
      </c>
      <c r="C500" s="1" t="n">
        <v>1</v>
      </c>
      <c r="D500" s="1" t="n">
        <v>1.233</v>
      </c>
      <c r="E500" s="1" t="n">
        <v>0.035358</v>
      </c>
      <c r="F500" s="1" t="n">
        <v>9.61769E-005</v>
      </c>
      <c r="G500" s="1" t="s">
        <v>27</v>
      </c>
      <c r="H500" s="1" t="n">
        <v>43</v>
      </c>
      <c r="I500" s="1" t="n">
        <v>37.4</v>
      </c>
      <c r="J500" s="1" t="n">
        <v>26.2</v>
      </c>
      <c r="K500" s="1"/>
      <c r="L500" s="1" t="n">
        <v>0</v>
      </c>
      <c r="M500" s="1" t="n">
        <v>0</v>
      </c>
      <c r="N500" s="1" t="s">
        <v>344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0" t="n">
        <f aca="false">I500+0</f>
        <v>37.4</v>
      </c>
      <c r="AB500" s="0" t="n">
        <f aca="false">IF(Z500&gt;360,Z500-360,Z500+0)</f>
        <v>37.4</v>
      </c>
      <c r="AC500" s="1"/>
      <c r="AD500" s="1"/>
      <c r="AE500" s="1"/>
      <c r="AF500" s="1"/>
    </row>
    <row r="501" customFormat="false" ht="15.8" hidden="false" customHeight="false" outlineLevel="0" collapsed="false">
      <c r="A501" s="1" t="n">
        <v>14</v>
      </c>
      <c r="B501" s="1" t="n">
        <v>16</v>
      </c>
      <c r="C501" s="1" t="n">
        <v>4.1</v>
      </c>
      <c r="D501" s="1" t="n">
        <v>1.1623</v>
      </c>
      <c r="E501" s="1" t="n">
        <v>0.139874</v>
      </c>
      <c r="F501" s="1" t="n">
        <v>0.000380469</v>
      </c>
      <c r="G501" s="1" t="s">
        <v>52</v>
      </c>
      <c r="H501" s="1" t="n">
        <v>70.3</v>
      </c>
      <c r="I501" s="1" t="n">
        <v>72.7</v>
      </c>
      <c r="J501" s="1" t="n">
        <v>0</v>
      </c>
      <c r="K501" s="1" t="n">
        <v>43</v>
      </c>
      <c r="L501" s="1" t="n">
        <v>0</v>
      </c>
      <c r="M501" s="1" t="n">
        <v>0</v>
      </c>
      <c r="N501" s="1" t="s">
        <v>343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0" t="n">
        <f aca="false">I501+0</f>
        <v>72.7</v>
      </c>
      <c r="AB501" s="0" t="n">
        <f aca="false">IF(Z501&gt;360,Z501-360,Z501+0)</f>
        <v>72.7</v>
      </c>
      <c r="AC501" s="1"/>
      <c r="AD501" s="1"/>
      <c r="AE501" s="1"/>
      <c r="AF501" s="1"/>
    </row>
    <row r="502" customFormat="false" ht="15.8" hidden="false" customHeight="false" outlineLevel="0" collapsed="false">
      <c r="A502" s="1" t="n">
        <v>14</v>
      </c>
      <c r="B502" s="1" t="n">
        <v>15</v>
      </c>
      <c r="C502" s="1" t="n">
        <v>2.2</v>
      </c>
      <c r="D502" s="1" t="n">
        <v>1.1623</v>
      </c>
      <c r="E502" s="1" t="n">
        <v>0.0748584</v>
      </c>
      <c r="F502" s="1" t="n">
        <v>0.000203621</v>
      </c>
      <c r="G502" s="1" t="s">
        <v>52</v>
      </c>
      <c r="H502" s="1" t="n">
        <v>46.9</v>
      </c>
      <c r="I502" s="1" t="n">
        <v>142.7</v>
      </c>
      <c r="J502" s="1" t="n">
        <v>-11.3</v>
      </c>
      <c r="K502" s="1" t="n">
        <v>70.3</v>
      </c>
      <c r="L502" s="1" t="n">
        <v>0</v>
      </c>
      <c r="M502" s="1" t="n">
        <v>0</v>
      </c>
      <c r="N502" s="1" t="s">
        <v>345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0" t="n">
        <f aca="false">I502+0</f>
        <v>142.7</v>
      </c>
      <c r="AB502" s="0" t="n">
        <f aca="false">IF(Z502&gt;360,Z502-360,Z502+0)</f>
        <v>142.7</v>
      </c>
      <c r="AC502" s="1"/>
      <c r="AD502" s="1"/>
      <c r="AE502" s="1"/>
      <c r="AF502" s="1"/>
    </row>
    <row r="503" customFormat="false" ht="15.8" hidden="false" customHeight="false" outlineLevel="0" collapsed="false">
      <c r="A503" s="1" t="n">
        <v>14</v>
      </c>
      <c r="B503" s="1" t="n">
        <v>15</v>
      </c>
      <c r="C503" s="1" t="n">
        <v>0.6</v>
      </c>
      <c r="D503" s="1" t="n">
        <v>1</v>
      </c>
      <c r="E503" s="1" t="n">
        <v>0.0211335</v>
      </c>
      <c r="F503" s="1" t="n">
        <v>5.74851E-005</v>
      </c>
      <c r="G503" s="1" t="s">
        <v>27</v>
      </c>
      <c r="H503" s="1" t="n">
        <v>74.7</v>
      </c>
      <c r="I503" s="1" t="n">
        <v>28.4</v>
      </c>
      <c r="J503" s="1" t="n">
        <v>0</v>
      </c>
      <c r="K503" s="1"/>
      <c r="L503" s="1" t="n">
        <v>0</v>
      </c>
      <c r="M503" s="1" t="n">
        <v>0</v>
      </c>
      <c r="N503" s="1" t="s">
        <v>345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0" t="n">
        <f aca="false">I503+0</f>
        <v>28.4</v>
      </c>
      <c r="AB503" s="0" t="n">
        <f aca="false">IF(Z503&gt;360,Z503-360,Z503+0)</f>
        <v>28.4</v>
      </c>
      <c r="AC503" s="1"/>
      <c r="AD503" s="1"/>
      <c r="AE503" s="1"/>
      <c r="AF503" s="1"/>
    </row>
    <row r="504" customFormat="false" ht="15.8" hidden="false" customHeight="false" outlineLevel="0" collapsed="false">
      <c r="A504" s="1" t="n">
        <v>14</v>
      </c>
      <c r="B504" s="1" t="n">
        <v>14</v>
      </c>
      <c r="C504" s="1" t="n">
        <v>0.8</v>
      </c>
      <c r="D504" s="1" t="n">
        <v>1.2381</v>
      </c>
      <c r="E504" s="1" t="n">
        <v>0.0258076</v>
      </c>
      <c r="F504" s="1" t="n">
        <v>7.01989E-005</v>
      </c>
      <c r="G504" s="1" t="s">
        <v>52</v>
      </c>
      <c r="H504" s="1" t="n">
        <v>59.1</v>
      </c>
      <c r="I504" s="1" t="n">
        <v>99</v>
      </c>
      <c r="J504" s="1" t="n">
        <v>-37.4</v>
      </c>
      <c r="K504" s="1" t="n">
        <v>74.7</v>
      </c>
      <c r="L504" s="1" t="n">
        <v>0</v>
      </c>
      <c r="M504" s="1" t="n">
        <v>0</v>
      </c>
      <c r="N504" s="1" t="s">
        <v>342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0" t="n">
        <f aca="false">I504+0</f>
        <v>99</v>
      </c>
      <c r="AB504" s="0" t="n">
        <f aca="false">IF(Z504&gt;360,Z504-360,Z504+0)</f>
        <v>99</v>
      </c>
      <c r="AC504" s="1"/>
      <c r="AD504" s="1"/>
      <c r="AE504" s="1"/>
      <c r="AF504" s="1"/>
    </row>
    <row r="505" customFormat="false" ht="15.8" hidden="false" customHeight="false" outlineLevel="0" collapsed="false">
      <c r="A505" s="1" t="n">
        <v>14</v>
      </c>
      <c r="B505" s="1" t="n">
        <v>14</v>
      </c>
      <c r="C505" s="1" t="n">
        <v>0.7</v>
      </c>
      <c r="D505" s="1" t="n">
        <v>1.1583</v>
      </c>
      <c r="E505" s="1" t="n">
        <v>0.0239584</v>
      </c>
      <c r="F505" s="1" t="n">
        <v>6.51689E-005</v>
      </c>
      <c r="G505" s="1" t="s">
        <v>27</v>
      </c>
      <c r="H505" s="1" t="n">
        <v>79</v>
      </c>
      <c r="I505" s="1" t="n">
        <v>88.7</v>
      </c>
      <c r="J505" s="1" t="n">
        <v>37.7</v>
      </c>
      <c r="K505" s="1"/>
      <c r="L505" s="1" t="n">
        <v>0</v>
      </c>
      <c r="M505" s="1" t="n">
        <v>0</v>
      </c>
      <c r="N505" s="1" t="s">
        <v>342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0" t="n">
        <f aca="false">I505+0</f>
        <v>88.7</v>
      </c>
      <c r="AB505" s="0" t="n">
        <f aca="false">IF(Z505&gt;360,Z505-360,Z505+0)</f>
        <v>88.7</v>
      </c>
      <c r="AC505" s="1"/>
      <c r="AD505" s="1"/>
      <c r="AE505" s="1"/>
      <c r="AF505" s="1"/>
    </row>
    <row r="506" customFormat="false" ht="15.8" hidden="false" customHeight="false" outlineLevel="0" collapsed="false">
      <c r="A506" s="1" t="n">
        <v>14</v>
      </c>
      <c r="B506" s="1" t="n">
        <v>13</v>
      </c>
      <c r="C506" s="1" t="n">
        <v>2.6</v>
      </c>
      <c r="D506" s="1" t="n">
        <v>1.1387</v>
      </c>
      <c r="E506" s="1" t="n">
        <v>0.089963</v>
      </c>
      <c r="F506" s="1" t="n">
        <v>0.000244707</v>
      </c>
      <c r="G506" s="1" t="s">
        <v>52</v>
      </c>
      <c r="H506" s="1" t="n">
        <v>44.5</v>
      </c>
      <c r="I506" s="1" t="n">
        <v>157</v>
      </c>
      <c r="J506" s="1" t="n">
        <v>-9.2</v>
      </c>
      <c r="K506" s="1" t="n">
        <v>79</v>
      </c>
      <c r="L506" s="1" t="n">
        <v>0</v>
      </c>
      <c r="M506" s="1" t="n">
        <v>0</v>
      </c>
      <c r="N506" s="1" t="s">
        <v>346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0" t="n">
        <f aca="false">I506+0</f>
        <v>157</v>
      </c>
      <c r="AB506" s="0" t="n">
        <f aca="false">IF(Z506&gt;360,Z506-360,Z506+0)</f>
        <v>157</v>
      </c>
      <c r="AC506" s="1"/>
      <c r="AD506" s="1"/>
      <c r="AE506" s="1"/>
      <c r="AF506" s="1"/>
    </row>
    <row r="507" customFormat="false" ht="15.8" hidden="false" customHeight="false" outlineLevel="0" collapsed="false">
      <c r="A507" s="1" t="n">
        <v>14</v>
      </c>
      <c r="B507" s="1" t="n">
        <v>13</v>
      </c>
      <c r="C507" s="1" t="n">
        <v>2.1</v>
      </c>
      <c r="D507" s="1" t="n">
        <v>1.5155</v>
      </c>
      <c r="E507" s="1" t="n">
        <v>0.0733093</v>
      </c>
      <c r="F507" s="1" t="n">
        <v>0.000199408</v>
      </c>
      <c r="G507" s="1" t="s">
        <v>27</v>
      </c>
      <c r="H507" s="1" t="n">
        <v>64.3</v>
      </c>
      <c r="I507" s="1" t="n">
        <v>71.4</v>
      </c>
      <c r="J507" s="1" t="n">
        <v>15.2</v>
      </c>
      <c r="K507" s="1"/>
      <c r="L507" s="1" t="n">
        <v>0</v>
      </c>
      <c r="M507" s="1" t="n">
        <v>0</v>
      </c>
      <c r="N507" s="1" t="s">
        <v>346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0" t="n">
        <f aca="false">I507+0</f>
        <v>71.4</v>
      </c>
      <c r="AB507" s="0" t="n">
        <f aca="false">IF(Z507&gt;360,Z507-360,Z507+0)</f>
        <v>71.4</v>
      </c>
      <c r="AC507" s="1"/>
      <c r="AD507" s="1"/>
      <c r="AE507" s="1"/>
      <c r="AF507" s="1"/>
    </row>
    <row r="508" customFormat="false" ht="15.8" hidden="false" customHeight="false" outlineLevel="0" collapsed="false">
      <c r="A508" s="1" t="n">
        <v>14</v>
      </c>
      <c r="B508" s="1" t="n">
        <v>12</v>
      </c>
      <c r="C508" s="1" t="n">
        <v>0.8</v>
      </c>
      <c r="D508" s="1" t="n">
        <v>1.1678</v>
      </c>
      <c r="E508" s="1" t="n">
        <v>0.0271041</v>
      </c>
      <c r="F508" s="1" t="n">
        <v>7.37256E-005</v>
      </c>
      <c r="G508" s="1" t="s">
        <v>52</v>
      </c>
      <c r="H508" s="1" t="n">
        <v>73.9</v>
      </c>
      <c r="I508" s="1" t="n">
        <v>116.1</v>
      </c>
      <c r="J508" s="1" t="n">
        <v>-33</v>
      </c>
      <c r="K508" s="1" t="n">
        <v>64.3</v>
      </c>
      <c r="L508" s="1" t="n">
        <v>0</v>
      </c>
      <c r="M508" s="1" t="n">
        <v>0</v>
      </c>
      <c r="N508" s="1" t="s">
        <v>339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0" t="n">
        <f aca="false">I508+0</f>
        <v>116.1</v>
      </c>
      <c r="AB508" s="0" t="n">
        <f aca="false">IF(Z508&gt;360,Z508-360,Z508+0)</f>
        <v>116.1</v>
      </c>
      <c r="AC508" s="1"/>
      <c r="AD508" s="1"/>
      <c r="AE508" s="1"/>
      <c r="AF508" s="1"/>
    </row>
    <row r="509" customFormat="false" ht="15.8" hidden="false" customHeight="false" outlineLevel="0" collapsed="false">
      <c r="A509" s="1" t="n">
        <v>14</v>
      </c>
      <c r="B509" s="1" t="n">
        <v>11</v>
      </c>
      <c r="C509" s="1" t="n">
        <v>4.5</v>
      </c>
      <c r="D509" s="1" t="n">
        <v>1.0777</v>
      </c>
      <c r="E509" s="1" t="n">
        <v>0.152503</v>
      </c>
      <c r="F509" s="1" t="n">
        <v>0.000414822</v>
      </c>
      <c r="G509" s="1" t="s">
        <v>52</v>
      </c>
      <c r="H509" s="1" t="n">
        <v>33.2</v>
      </c>
      <c r="I509" s="1" t="n">
        <v>190.2</v>
      </c>
      <c r="J509" s="1" t="n">
        <v>-5.1</v>
      </c>
      <c r="K509" s="1" t="n">
        <v>73.9</v>
      </c>
      <c r="L509" s="1" t="n">
        <v>0</v>
      </c>
      <c r="M509" s="1" t="n">
        <v>0</v>
      </c>
      <c r="N509" s="1" t="s">
        <v>347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0" t="n">
        <f aca="false">I509+0</f>
        <v>190.2</v>
      </c>
      <c r="AB509" s="0" t="n">
        <f aca="false">IF(Z509&gt;360,Z509-360,Z509+0)</f>
        <v>190.2</v>
      </c>
      <c r="AC509" s="1"/>
      <c r="AD509" s="1"/>
      <c r="AE509" s="1"/>
      <c r="AF509" s="1"/>
    </row>
    <row r="510" customFormat="false" ht="15.8" hidden="false" customHeight="false" outlineLevel="0" collapsed="false">
      <c r="A510" s="1" t="n">
        <v>14</v>
      </c>
      <c r="B510" s="1" t="n">
        <v>13</v>
      </c>
      <c r="C510" s="1" t="n">
        <v>2.7</v>
      </c>
      <c r="D510" s="1" t="n">
        <v>1.1622</v>
      </c>
      <c r="E510" s="1" t="n">
        <v>0.0927118</v>
      </c>
      <c r="F510" s="1" t="n">
        <v>0.000252184</v>
      </c>
      <c r="G510" s="1" t="s">
        <v>27</v>
      </c>
      <c r="H510" s="1" t="n">
        <v>77.2</v>
      </c>
      <c r="I510" s="1" t="n">
        <v>234.2</v>
      </c>
      <c r="J510" s="1" t="n">
        <v>18.5</v>
      </c>
      <c r="K510" s="1"/>
      <c r="L510" s="1" t="n">
        <v>0</v>
      </c>
      <c r="M510" s="1" t="n">
        <v>0</v>
      </c>
      <c r="N510" s="1" t="s">
        <v>348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0" t="n">
        <f aca="false">I510+0</f>
        <v>234.2</v>
      </c>
      <c r="AB510" s="0" t="n">
        <f aca="false">IF(Z510&gt;360,Z510-360,Z510+0)</f>
        <v>234.2</v>
      </c>
      <c r="AC510" s="1"/>
      <c r="AD510" s="1"/>
      <c r="AE510" s="1"/>
      <c r="AF510" s="1"/>
    </row>
    <row r="511" customFormat="false" ht="15.8" hidden="false" customHeight="false" outlineLevel="0" collapsed="false">
      <c r="A511" s="1" t="n">
        <v>14</v>
      </c>
      <c r="B511" s="1" t="n">
        <v>13</v>
      </c>
      <c r="C511" s="1" t="n">
        <v>0.8</v>
      </c>
      <c r="D511" s="1" t="n">
        <v>1.132</v>
      </c>
      <c r="E511" s="1" t="n">
        <v>0.0285589</v>
      </c>
      <c r="F511" s="1" t="n">
        <v>7.76828E-005</v>
      </c>
      <c r="G511" s="1" t="s">
        <v>27</v>
      </c>
      <c r="H511" s="1" t="n">
        <v>19.3</v>
      </c>
      <c r="I511" s="1" t="n">
        <v>315.7</v>
      </c>
      <c r="J511" s="1" t="n">
        <v>-30.1</v>
      </c>
      <c r="K511" s="1"/>
      <c r="L511" s="1" t="n">
        <v>0</v>
      </c>
      <c r="M511" s="1" t="n">
        <v>0</v>
      </c>
      <c r="N511" s="1" t="s">
        <v>348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0" t="n">
        <f aca="false">I511+0</f>
        <v>315.7</v>
      </c>
      <c r="AB511" s="0" t="n">
        <f aca="false">IF(Z511&gt;360,Z511-360,Z511+0)</f>
        <v>315.7</v>
      </c>
      <c r="AC511" s="1"/>
      <c r="AD511" s="1"/>
      <c r="AE511" s="1"/>
      <c r="AF511" s="1"/>
    </row>
    <row r="512" customFormat="false" ht="15.8" hidden="false" customHeight="false" outlineLevel="0" collapsed="false">
      <c r="A512" s="1" t="n">
        <v>14</v>
      </c>
      <c r="B512" s="1" t="n">
        <v>13</v>
      </c>
      <c r="C512" s="1" t="n">
        <v>0.6</v>
      </c>
      <c r="D512" s="1" t="n">
        <v>1.0344</v>
      </c>
      <c r="E512" s="1" t="n">
        <v>0.0190723</v>
      </c>
      <c r="F512" s="1" t="n">
        <v>5.18782E-005</v>
      </c>
      <c r="G512" s="1" t="s">
        <v>27</v>
      </c>
      <c r="H512" s="1" t="n">
        <v>105</v>
      </c>
      <c r="I512" s="1" t="n">
        <v>41.7</v>
      </c>
      <c r="J512" s="1" t="n">
        <v>0</v>
      </c>
      <c r="K512" s="1"/>
      <c r="L512" s="1" t="n">
        <v>0</v>
      </c>
      <c r="M512" s="1" t="n">
        <v>0</v>
      </c>
      <c r="N512" s="1" t="s">
        <v>348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0" t="n">
        <f aca="false">I512+0</f>
        <v>41.7</v>
      </c>
      <c r="AB512" s="0" t="n">
        <f aca="false">IF(Z512&gt;360,Z512-360,Z512+0)</f>
        <v>41.7</v>
      </c>
      <c r="AC512" s="1"/>
      <c r="AD512" s="1"/>
      <c r="AE512" s="1"/>
      <c r="AF512" s="1"/>
    </row>
    <row r="513" customFormat="false" ht="15.8" hidden="false" customHeight="false" outlineLevel="0" collapsed="false">
      <c r="A513" s="1" t="n">
        <v>14</v>
      </c>
      <c r="B513" s="1" t="n">
        <v>12</v>
      </c>
      <c r="C513" s="1" t="n">
        <v>6.4</v>
      </c>
      <c r="D513" s="1" t="n">
        <v>1.3993</v>
      </c>
      <c r="E513" s="1" t="n">
        <v>0.219231</v>
      </c>
      <c r="F513" s="1" t="n">
        <v>0.000596328</v>
      </c>
      <c r="G513" s="1" t="s">
        <v>52</v>
      </c>
      <c r="H513" s="1" t="n">
        <v>118.3</v>
      </c>
      <c r="I513" s="1" t="n">
        <v>293.4</v>
      </c>
      <c r="J513" s="1" t="n">
        <v>-34.4</v>
      </c>
      <c r="K513" s="1" t="n">
        <v>105</v>
      </c>
      <c r="L513" s="1" t="n">
        <v>0</v>
      </c>
      <c r="M513" s="1" t="n">
        <v>0</v>
      </c>
      <c r="N513" s="1" t="s">
        <v>349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0" t="n">
        <f aca="false">I513+0</f>
        <v>293.4</v>
      </c>
      <c r="AB513" s="0" t="n">
        <f aca="false">IF(Z513&gt;360,Z513-360,Z513+0)</f>
        <v>293.4</v>
      </c>
      <c r="AC513" s="1"/>
      <c r="AD513" s="1"/>
      <c r="AE513" s="1"/>
      <c r="AF513" s="1"/>
    </row>
    <row r="514" customFormat="false" ht="15.8" hidden="false" customHeight="false" outlineLevel="0" collapsed="false">
      <c r="A514" s="1" t="n">
        <v>14</v>
      </c>
      <c r="B514" s="1" t="n">
        <v>13</v>
      </c>
      <c r="C514" s="1" t="n">
        <v>2.6</v>
      </c>
      <c r="D514" s="1" t="n">
        <v>1.2533</v>
      </c>
      <c r="E514" s="1" t="n">
        <v>0.0904704</v>
      </c>
      <c r="F514" s="1" t="n">
        <v>0.000246087</v>
      </c>
      <c r="G514" s="1" t="s">
        <v>27</v>
      </c>
      <c r="H514" s="1" t="n">
        <v>86.5</v>
      </c>
      <c r="I514" s="1" t="n">
        <v>335.6</v>
      </c>
      <c r="J514" s="1" t="n">
        <v>10.1</v>
      </c>
      <c r="K514" s="1"/>
      <c r="L514" s="1" t="n">
        <v>0</v>
      </c>
      <c r="M514" s="1" t="n">
        <v>0</v>
      </c>
      <c r="N514" s="1" t="s">
        <v>350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0" t="n">
        <f aca="false">I514+0</f>
        <v>335.6</v>
      </c>
      <c r="AB514" s="0" t="n">
        <f aca="false">IF(Z514&gt;360,Z514-360,Z514+0)</f>
        <v>335.6</v>
      </c>
      <c r="AC514" s="1"/>
      <c r="AD514" s="1"/>
      <c r="AE514" s="1"/>
      <c r="AF514" s="1"/>
    </row>
    <row r="515" customFormat="false" ht="15.8" hidden="false" customHeight="false" outlineLevel="0" collapsed="false">
      <c r="A515" s="1" t="n">
        <v>14</v>
      </c>
      <c r="B515" s="1" t="n">
        <v>14</v>
      </c>
      <c r="C515" s="1" t="n">
        <v>2.7</v>
      </c>
      <c r="D515" s="1" t="n">
        <v>1.1088</v>
      </c>
      <c r="E515" s="1" t="n">
        <v>0.0923882</v>
      </c>
      <c r="F515" s="1" t="n">
        <v>0.000251304</v>
      </c>
      <c r="G515" s="1" t="s">
        <v>27</v>
      </c>
      <c r="H515" s="1" t="n">
        <v>78.1</v>
      </c>
      <c r="I515" s="1" t="n">
        <v>176.4</v>
      </c>
      <c r="J515" s="1" t="n">
        <v>-8.7</v>
      </c>
      <c r="K515" s="1"/>
      <c r="L515" s="1" t="n">
        <v>0</v>
      </c>
      <c r="M515" s="1" t="n">
        <v>0</v>
      </c>
      <c r="N515" s="1" t="s">
        <v>351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0" t="n">
        <f aca="false">I515+0</f>
        <v>176.4</v>
      </c>
      <c r="AB515" s="0" t="n">
        <f aca="false">IF(Z515&gt;360,Z515-360,Z515+0)</f>
        <v>176.4</v>
      </c>
      <c r="AC515" s="1"/>
      <c r="AD515" s="1"/>
      <c r="AE515" s="1"/>
      <c r="AF515" s="1"/>
    </row>
    <row r="516" customFormat="false" ht="15.8" hidden="false" customHeight="false" outlineLevel="0" collapsed="false">
      <c r="A516" s="1" t="n">
        <v>14</v>
      </c>
      <c r="B516" s="1" t="n">
        <v>15</v>
      </c>
      <c r="C516" s="1" t="n">
        <v>2.1</v>
      </c>
      <c r="D516" s="1" t="n">
        <v>1.069</v>
      </c>
      <c r="E516" s="1" t="n">
        <v>0.0728225</v>
      </c>
      <c r="F516" s="1" t="n">
        <v>0.000198083</v>
      </c>
      <c r="G516" s="1" t="s">
        <v>27</v>
      </c>
      <c r="H516" s="1" t="n">
        <v>60.3</v>
      </c>
      <c r="I516" s="1" t="n">
        <v>14.8</v>
      </c>
      <c r="J516" s="1" t="n">
        <v>-10.7</v>
      </c>
      <c r="K516" s="1"/>
      <c r="L516" s="1" t="n">
        <v>0</v>
      </c>
      <c r="M516" s="1" t="n">
        <v>0</v>
      </c>
      <c r="N516" s="1" t="s">
        <v>352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0" t="n">
        <f aca="false">I516+0</f>
        <v>14.8</v>
      </c>
      <c r="AB516" s="0" t="n">
        <f aca="false">IF(Z516&gt;360,Z516-360,Z516+0)</f>
        <v>14.8</v>
      </c>
      <c r="AC516" s="1"/>
      <c r="AD516" s="1"/>
      <c r="AE516" s="1"/>
      <c r="AF516" s="1"/>
    </row>
    <row r="517" customFormat="false" ht="15.8" hidden="false" customHeight="false" outlineLevel="0" collapsed="false">
      <c r="A517" s="1" t="n">
        <v>14</v>
      </c>
      <c r="B517" s="1" t="n">
        <v>18</v>
      </c>
      <c r="C517" s="1" t="n">
        <v>0.8</v>
      </c>
      <c r="D517" s="1" t="n">
        <v>1.166</v>
      </c>
      <c r="E517" s="1" t="n">
        <v>0.0289501</v>
      </c>
      <c r="F517" s="1" t="n">
        <v>7.87467E-005</v>
      </c>
      <c r="G517" s="1" t="s">
        <v>27</v>
      </c>
      <c r="H517" s="1" t="n">
        <v>60.7</v>
      </c>
      <c r="I517" s="1" t="n">
        <v>106.5</v>
      </c>
      <c r="J517" s="1" t="n">
        <v>0</v>
      </c>
      <c r="K517" s="1"/>
      <c r="L517" s="1" t="n">
        <v>0</v>
      </c>
      <c r="M517" s="1" t="n">
        <v>0</v>
      </c>
      <c r="N517" s="1" t="s">
        <v>353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0" t="n">
        <f aca="false">I517+0</f>
        <v>106.5</v>
      </c>
      <c r="AB517" s="0" t="n">
        <f aca="false">IF(Z517&gt;360,Z517-360,Z517+0)</f>
        <v>106.5</v>
      </c>
      <c r="AC517" s="1"/>
      <c r="AD517" s="1"/>
      <c r="AE517" s="1"/>
      <c r="AF517" s="1"/>
    </row>
    <row r="518" customFormat="false" ht="15.8" hidden="false" customHeight="false" outlineLevel="0" collapsed="false">
      <c r="A518" s="1" t="n">
        <v>14</v>
      </c>
      <c r="B518" s="1" t="n">
        <v>18</v>
      </c>
      <c r="C518" s="1" t="n">
        <v>2</v>
      </c>
      <c r="D518" s="1" t="n">
        <v>1.0905</v>
      </c>
      <c r="E518" s="1" t="n">
        <v>0.0694611</v>
      </c>
      <c r="F518" s="1" t="n">
        <v>0.00018894</v>
      </c>
      <c r="G518" s="1" t="s">
        <v>27</v>
      </c>
      <c r="H518" s="1" t="n">
        <v>21.7</v>
      </c>
      <c r="I518" s="1" t="n">
        <v>185.8</v>
      </c>
      <c r="J518" s="1" t="n">
        <v>-11.5</v>
      </c>
      <c r="K518" s="1"/>
      <c r="L518" s="1" t="n">
        <v>0</v>
      </c>
      <c r="M518" s="1" t="n">
        <v>0</v>
      </c>
      <c r="N518" s="1" t="s">
        <v>353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0" t="n">
        <f aca="false">I518+0</f>
        <v>185.8</v>
      </c>
      <c r="AB518" s="0" t="n">
        <f aca="false">IF(Z518&gt;360,Z518-360,Z518+0)</f>
        <v>185.8</v>
      </c>
      <c r="AC518" s="1"/>
      <c r="AD518" s="1"/>
      <c r="AE518" s="1"/>
      <c r="AF518" s="1"/>
    </row>
    <row r="519" customFormat="false" ht="15.8" hidden="false" customHeight="false" outlineLevel="0" collapsed="false">
      <c r="A519" s="1" t="n">
        <v>14</v>
      </c>
      <c r="B519" s="1" t="n">
        <v>17</v>
      </c>
      <c r="C519" s="1" t="n">
        <v>2</v>
      </c>
      <c r="D519" s="1" t="n">
        <v>1.4973</v>
      </c>
      <c r="E519" s="1" t="n">
        <v>0.0679497</v>
      </c>
      <c r="F519" s="1" t="n">
        <v>0.000184829</v>
      </c>
      <c r="G519" s="1" t="s">
        <v>52</v>
      </c>
      <c r="H519" s="1" t="n">
        <v>27.6</v>
      </c>
      <c r="I519" s="1" t="n">
        <v>167.2</v>
      </c>
      <c r="J519" s="1" t="n">
        <v>0</v>
      </c>
      <c r="K519" s="1" t="n">
        <v>60.7</v>
      </c>
      <c r="L519" s="1" t="n">
        <v>0</v>
      </c>
      <c r="M519" s="1" t="n">
        <v>0</v>
      </c>
      <c r="N519" s="1" t="s">
        <v>354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0" t="n">
        <f aca="false">I519+0</f>
        <v>167.2</v>
      </c>
      <c r="AB519" s="0" t="n">
        <f aca="false">IF(Z519&gt;360,Z519-360,Z519+0)</f>
        <v>167.2</v>
      </c>
      <c r="AC519" s="1"/>
      <c r="AD519" s="1"/>
      <c r="AE519" s="1"/>
      <c r="AF519" s="1"/>
    </row>
    <row r="520" customFormat="false" ht="15.8" hidden="false" customHeight="false" outlineLevel="0" collapsed="false">
      <c r="A520" s="1" t="n">
        <v>14</v>
      </c>
      <c r="B520" s="1" t="n">
        <v>18</v>
      </c>
      <c r="C520" s="1" t="n">
        <v>0.8</v>
      </c>
      <c r="D520" s="1" t="n">
        <v>1.1196</v>
      </c>
      <c r="E520" s="1" t="n">
        <v>0.0284177</v>
      </c>
      <c r="F520" s="1" t="n">
        <v>7.72986E-005</v>
      </c>
      <c r="G520" s="1" t="s">
        <v>27</v>
      </c>
      <c r="H520" s="1" t="n">
        <v>110.6</v>
      </c>
      <c r="I520" s="1" t="n">
        <v>210.5</v>
      </c>
      <c r="J520" s="1" t="n">
        <v>29.9</v>
      </c>
      <c r="K520" s="1"/>
      <c r="L520" s="1" t="n">
        <v>0</v>
      </c>
      <c r="M520" s="1" t="n">
        <v>0</v>
      </c>
      <c r="N520" s="1" t="s">
        <v>355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0" t="n">
        <f aca="false">I520+0</f>
        <v>210.5</v>
      </c>
      <c r="AB520" s="0" t="n">
        <f aca="false">IF(Z520&gt;360,Z520-360,Z520+0)</f>
        <v>210.5</v>
      </c>
      <c r="AC520" s="1"/>
      <c r="AD520" s="1"/>
      <c r="AE520" s="1"/>
      <c r="AF520" s="1"/>
    </row>
    <row r="521" customFormat="false" ht="15.8" hidden="false" customHeight="false" outlineLevel="0" collapsed="false">
      <c r="A521" s="1" t="n">
        <v>14</v>
      </c>
      <c r="B521" s="1" t="n">
        <v>19</v>
      </c>
      <c r="C521" s="1" t="n">
        <v>1.7</v>
      </c>
      <c r="D521" s="1" t="n">
        <v>1.0701</v>
      </c>
      <c r="E521" s="1" t="n">
        <v>0.0578922</v>
      </c>
      <c r="F521" s="1" t="n">
        <v>0.000157472</v>
      </c>
      <c r="G521" s="1" t="s">
        <v>27</v>
      </c>
      <c r="H521" s="1" t="n">
        <v>45.5</v>
      </c>
      <c r="I521" s="1" t="n">
        <v>135.6</v>
      </c>
      <c r="J521" s="1" t="n">
        <v>-13.5</v>
      </c>
      <c r="K521" s="1"/>
      <c r="L521" s="1" t="n">
        <v>0</v>
      </c>
      <c r="M521" s="1" t="n">
        <v>0</v>
      </c>
      <c r="N521" s="1" t="s">
        <v>356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0" t="n">
        <f aca="false">I521+0</f>
        <v>135.6</v>
      </c>
      <c r="AB521" s="0" t="n">
        <f aca="false">IF(Z521&gt;360,Z521-360,Z521+0)</f>
        <v>135.6</v>
      </c>
      <c r="AC521" s="1"/>
      <c r="AD521" s="1"/>
      <c r="AE521" s="1"/>
      <c r="AF521" s="1"/>
    </row>
    <row r="522" customFormat="false" ht="15.8" hidden="false" customHeight="false" outlineLevel="0" collapsed="false">
      <c r="A522" s="1" t="n">
        <v>14</v>
      </c>
      <c r="B522" s="1" t="n">
        <v>19</v>
      </c>
      <c r="C522" s="1" t="n">
        <v>2.2</v>
      </c>
      <c r="D522" s="1" t="n">
        <v>1.0279</v>
      </c>
      <c r="E522" s="1" t="n">
        <v>0.0744089</v>
      </c>
      <c r="F522" s="1" t="n">
        <v>0.000202399</v>
      </c>
      <c r="G522" s="1" t="s">
        <v>27</v>
      </c>
      <c r="H522" s="1" t="n">
        <v>58.8</v>
      </c>
      <c r="I522" s="1" t="n">
        <v>30.9</v>
      </c>
      <c r="J522" s="1" t="n">
        <v>0</v>
      </c>
      <c r="K522" s="1"/>
      <c r="L522" s="1" t="n">
        <v>0</v>
      </c>
      <c r="M522" s="1" t="n">
        <v>0</v>
      </c>
      <c r="N522" s="1" t="s">
        <v>356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0" t="n">
        <f aca="false">I522+0</f>
        <v>30.9</v>
      </c>
      <c r="AB522" s="0" t="n">
        <f aca="false">IF(Z522&gt;360,Z522-360,Z522+0)</f>
        <v>30.9</v>
      </c>
      <c r="AC522" s="1"/>
      <c r="AD522" s="1"/>
      <c r="AE522" s="1"/>
      <c r="AF522" s="1"/>
    </row>
    <row r="523" customFormat="false" ht="15.8" hidden="false" customHeight="false" outlineLevel="0" collapsed="false">
      <c r="A523" s="1" t="n">
        <v>14</v>
      </c>
      <c r="B523" s="1" t="n">
        <v>18</v>
      </c>
      <c r="C523" s="1" t="n">
        <v>2.1</v>
      </c>
      <c r="D523" s="1" t="n">
        <v>1.0964</v>
      </c>
      <c r="E523" s="1" t="n">
        <v>0.0727058</v>
      </c>
      <c r="F523" s="1" t="n">
        <v>0.000197766</v>
      </c>
      <c r="G523" s="1" t="s">
        <v>52</v>
      </c>
      <c r="H523" s="1" t="n">
        <v>14.2</v>
      </c>
      <c r="I523" s="1" t="n">
        <v>89</v>
      </c>
      <c r="J523" s="1" t="n">
        <v>-11</v>
      </c>
      <c r="K523" s="1" t="n">
        <v>58.8</v>
      </c>
      <c r="L523" s="1" t="n">
        <v>0</v>
      </c>
      <c r="M523" s="1" t="n">
        <v>0</v>
      </c>
      <c r="N523" s="1" t="s">
        <v>355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0" t="n">
        <f aca="false">I523+0</f>
        <v>89</v>
      </c>
      <c r="AB523" s="0" t="n">
        <f aca="false">IF(Z523&gt;360,Z523-360,Z523+0)</f>
        <v>89</v>
      </c>
      <c r="AC523" s="1"/>
      <c r="AD523" s="1"/>
      <c r="AE523" s="1"/>
      <c r="AF523" s="1"/>
    </row>
    <row r="524" customFormat="false" ht="15.8" hidden="false" customHeight="false" outlineLevel="0" collapsed="false">
      <c r="A524" s="1" t="n">
        <v>14</v>
      </c>
      <c r="B524" s="1" t="n">
        <v>17</v>
      </c>
      <c r="C524" s="1" t="n">
        <v>2.1</v>
      </c>
      <c r="D524" s="1" t="n">
        <v>1.1865</v>
      </c>
      <c r="E524" s="1" t="n">
        <v>0.0714841</v>
      </c>
      <c r="F524" s="1" t="n">
        <v>0.000194443</v>
      </c>
      <c r="G524" s="1" t="s">
        <v>52</v>
      </c>
      <c r="H524" s="1" t="n">
        <v>51.8</v>
      </c>
      <c r="I524" s="1" t="n">
        <v>103.5</v>
      </c>
      <c r="J524" s="1" t="n">
        <v>-12.1</v>
      </c>
      <c r="K524" s="1" t="n">
        <v>110.6</v>
      </c>
      <c r="L524" s="1" t="n">
        <v>0</v>
      </c>
      <c r="M524" s="1" t="n">
        <v>0</v>
      </c>
      <c r="N524" s="1" t="s">
        <v>354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0" t="n">
        <f aca="false">I524+0</f>
        <v>103.5</v>
      </c>
      <c r="AB524" s="0" t="n">
        <f aca="false">IF(Z524&gt;360,Z524-360,Z524+0)</f>
        <v>103.5</v>
      </c>
      <c r="AC524" s="1"/>
      <c r="AD524" s="1"/>
      <c r="AE524" s="1"/>
      <c r="AF524" s="1"/>
    </row>
    <row r="525" customFormat="false" ht="15.8" hidden="false" customHeight="false" outlineLevel="0" collapsed="false">
      <c r="A525" s="1" t="n">
        <v>14</v>
      </c>
      <c r="B525" s="1" t="n">
        <v>16</v>
      </c>
      <c r="C525" s="1" t="n">
        <v>1</v>
      </c>
      <c r="D525" s="1" t="n">
        <v>1.2137</v>
      </c>
      <c r="E525" s="1" t="n">
        <v>0.0354436</v>
      </c>
      <c r="F525" s="1" t="n">
        <v>9.64096E-005</v>
      </c>
      <c r="G525" s="1" t="s">
        <v>52</v>
      </c>
      <c r="H525" s="1" t="n">
        <v>49.5</v>
      </c>
      <c r="I525" s="1" t="n">
        <v>156.7</v>
      </c>
      <c r="J525" s="1" t="n">
        <v>-25.7</v>
      </c>
      <c r="K525" s="1" t="n">
        <v>51.8</v>
      </c>
      <c r="L525" s="1" t="n">
        <v>0</v>
      </c>
      <c r="M525" s="1" t="n">
        <v>0</v>
      </c>
      <c r="N525" s="1" t="s">
        <v>357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0" t="n">
        <f aca="false">I525+0</f>
        <v>156.7</v>
      </c>
      <c r="AB525" s="0" t="n">
        <f aca="false">IF(Z525&gt;360,Z525-360,Z525+0)</f>
        <v>156.7</v>
      </c>
      <c r="AC525" s="1"/>
      <c r="AD525" s="1"/>
      <c r="AE525" s="1"/>
      <c r="AF525" s="1"/>
    </row>
    <row r="526" customFormat="false" ht="15.8" hidden="false" customHeight="false" outlineLevel="0" collapsed="false">
      <c r="A526" s="1" t="n">
        <v>14</v>
      </c>
      <c r="B526" s="1" t="n">
        <v>16</v>
      </c>
      <c r="C526" s="1" t="n">
        <v>1.3</v>
      </c>
      <c r="D526" s="1" t="n">
        <v>1.399</v>
      </c>
      <c r="E526" s="1" t="n">
        <v>0.0453403</v>
      </c>
      <c r="F526" s="1" t="n">
        <v>0.00012333</v>
      </c>
      <c r="G526" s="1" t="s">
        <v>27</v>
      </c>
      <c r="H526" s="1" t="n">
        <v>30.3</v>
      </c>
      <c r="I526" s="1" t="n">
        <v>86.7</v>
      </c>
      <c r="J526" s="1" t="n">
        <v>0</v>
      </c>
      <c r="K526" s="1"/>
      <c r="L526" s="1" t="n">
        <v>0</v>
      </c>
      <c r="M526" s="1" t="n">
        <v>0</v>
      </c>
      <c r="N526" s="1" t="s">
        <v>357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0" t="n">
        <f aca="false">I526+0</f>
        <v>86.7</v>
      </c>
      <c r="AB526" s="0" t="n">
        <f aca="false">IF(Z526&gt;360,Z526-360,Z526+0)</f>
        <v>86.7</v>
      </c>
      <c r="AC526" s="1"/>
      <c r="AD526" s="1"/>
      <c r="AE526" s="1"/>
      <c r="AF526" s="1"/>
    </row>
    <row r="527" customFormat="false" ht="15.8" hidden="false" customHeight="false" outlineLevel="0" collapsed="false">
      <c r="A527" s="1" t="n">
        <v>14</v>
      </c>
      <c r="B527" s="1" t="n">
        <v>15</v>
      </c>
      <c r="C527" s="1" t="n">
        <v>2.8</v>
      </c>
      <c r="D527" s="1" t="n">
        <v>1.1354</v>
      </c>
      <c r="E527" s="1" t="n">
        <v>0.0946722</v>
      </c>
      <c r="F527" s="1" t="n">
        <v>0.000257517</v>
      </c>
      <c r="G527" s="1" t="s">
        <v>52</v>
      </c>
      <c r="H527" s="1" t="n">
        <v>29.2</v>
      </c>
      <c r="I527" s="1" t="n">
        <v>101</v>
      </c>
      <c r="J527" s="1" t="n">
        <v>-27.1</v>
      </c>
      <c r="K527" s="1" t="n">
        <v>49.5</v>
      </c>
      <c r="L527" s="1" t="n">
        <v>0</v>
      </c>
      <c r="M527" s="1" t="n">
        <v>0</v>
      </c>
      <c r="N527" s="1" t="s">
        <v>352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0" t="n">
        <f aca="false">I527+0</f>
        <v>101</v>
      </c>
      <c r="AB527" s="0" t="n">
        <f aca="false">IF(Z527&gt;360,Z527-360,Z527+0)</f>
        <v>101</v>
      </c>
      <c r="AC527" s="1"/>
      <c r="AD527" s="1"/>
      <c r="AE527" s="1"/>
      <c r="AF527" s="1"/>
    </row>
    <row r="528" customFormat="false" ht="15.8" hidden="false" customHeight="false" outlineLevel="0" collapsed="false">
      <c r="A528" s="1" t="n">
        <v>14</v>
      </c>
      <c r="B528" s="1" t="n">
        <v>14</v>
      </c>
      <c r="C528" s="1" t="n">
        <v>5</v>
      </c>
      <c r="D528" s="1" t="n">
        <v>1.1201</v>
      </c>
      <c r="E528" s="1" t="n">
        <v>0.169698</v>
      </c>
      <c r="F528" s="1" t="n">
        <v>0.000461595</v>
      </c>
      <c r="G528" s="1" t="s">
        <v>52</v>
      </c>
      <c r="H528" s="1" t="n">
        <v>39.5</v>
      </c>
      <c r="I528" s="1" t="n">
        <v>76.2</v>
      </c>
      <c r="J528" s="1" t="n">
        <v>-9.6</v>
      </c>
      <c r="K528" s="1" t="n">
        <v>60.3</v>
      </c>
      <c r="L528" s="1" t="n">
        <v>0</v>
      </c>
      <c r="M528" s="1" t="n">
        <v>0</v>
      </c>
      <c r="N528" s="1" t="s">
        <v>351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0" t="n">
        <f aca="false">I528+0</f>
        <v>76.2</v>
      </c>
      <c r="AB528" s="0" t="n">
        <f aca="false">IF(Z528&gt;360,Z528-360,Z528+0)</f>
        <v>76.2</v>
      </c>
      <c r="AC528" s="1"/>
      <c r="AD528" s="1"/>
      <c r="AE528" s="1"/>
      <c r="AF528" s="1"/>
    </row>
    <row r="529" customFormat="false" ht="15.8" hidden="false" customHeight="false" outlineLevel="0" collapsed="false">
      <c r="A529" s="1" t="n">
        <v>14</v>
      </c>
      <c r="B529" s="1" t="n">
        <v>13</v>
      </c>
      <c r="C529" s="1" t="n">
        <v>1.2</v>
      </c>
      <c r="D529" s="1" t="n">
        <v>1.0976</v>
      </c>
      <c r="E529" s="1" t="n">
        <v>0.0401117</v>
      </c>
      <c r="F529" s="1" t="n">
        <v>0.000109107</v>
      </c>
      <c r="G529" s="1" t="s">
        <v>52</v>
      </c>
      <c r="H529" s="1" t="n">
        <v>44.5</v>
      </c>
      <c r="I529" s="1" t="n">
        <v>102.5</v>
      </c>
      <c r="J529" s="1" t="n">
        <v>20.2</v>
      </c>
      <c r="K529" s="1" t="n">
        <v>78.1</v>
      </c>
      <c r="L529" s="1" t="n">
        <v>0</v>
      </c>
      <c r="M529" s="1" t="n">
        <v>0</v>
      </c>
      <c r="N529" s="1" t="s">
        <v>350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0" t="n">
        <f aca="false">I529+0</f>
        <v>102.5</v>
      </c>
      <c r="AB529" s="0" t="n">
        <f aca="false">IF(Z529&gt;360,Z529-360,Z529+0)</f>
        <v>102.5</v>
      </c>
      <c r="AC529" s="1"/>
      <c r="AD529" s="1"/>
      <c r="AE529" s="1"/>
      <c r="AF529" s="1"/>
    </row>
    <row r="530" customFormat="false" ht="15.8" hidden="false" customHeight="false" outlineLevel="0" collapsed="false">
      <c r="A530" s="1" t="n">
        <v>14</v>
      </c>
      <c r="B530" s="1" t="n">
        <v>12</v>
      </c>
      <c r="C530" s="1" t="n">
        <v>1.8</v>
      </c>
      <c r="D530" s="1" t="n">
        <v>1.2487</v>
      </c>
      <c r="E530" s="1" t="n">
        <v>0.0604547</v>
      </c>
      <c r="F530" s="1" t="n">
        <v>0.000164442</v>
      </c>
      <c r="G530" s="1" t="s">
        <v>52</v>
      </c>
      <c r="H530" s="1" t="n">
        <v>34.2</v>
      </c>
      <c r="I530" s="1" t="n">
        <v>62.1</v>
      </c>
      <c r="J530" s="1" t="n">
        <v>0</v>
      </c>
      <c r="K530" s="1" t="n">
        <v>86.5</v>
      </c>
      <c r="L530" s="1" t="n">
        <v>0</v>
      </c>
      <c r="M530" s="1" t="n">
        <v>0</v>
      </c>
      <c r="N530" s="1" t="s">
        <v>349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0" t="n">
        <f aca="false">I530+0</f>
        <v>62.1</v>
      </c>
      <c r="AB530" s="0" t="n">
        <f aca="false">IF(Z530&gt;360,Z530-360,Z530+0)</f>
        <v>62.1</v>
      </c>
      <c r="AC530" s="1"/>
      <c r="AD530" s="1"/>
      <c r="AE530" s="1"/>
      <c r="AF530" s="1"/>
    </row>
    <row r="531" customFormat="false" ht="15.8" hidden="false" customHeight="false" outlineLevel="0" collapsed="false">
      <c r="A531" s="1" t="n">
        <v>14</v>
      </c>
      <c r="B531" s="1" t="n">
        <v>11</v>
      </c>
      <c r="C531" s="1" t="n">
        <v>7</v>
      </c>
      <c r="D531" s="1" t="n">
        <v>1.2142</v>
      </c>
      <c r="E531" s="1" t="n">
        <v>0.240352</v>
      </c>
      <c r="F531" s="1" t="n">
        <v>0.000653779</v>
      </c>
      <c r="G531" s="1" t="s">
        <v>52</v>
      </c>
      <c r="H531" s="1" t="n">
        <v>72.5</v>
      </c>
      <c r="I531" s="1" t="n">
        <v>88.5</v>
      </c>
      <c r="J531" s="1" t="n">
        <v>-22.5</v>
      </c>
      <c r="K531" s="1" t="n">
        <v>118.3</v>
      </c>
      <c r="L531" s="1" t="n">
        <v>0</v>
      </c>
      <c r="M531" s="1" t="n">
        <v>0</v>
      </c>
      <c r="N531" s="1" t="s">
        <v>347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0" t="n">
        <f aca="false">I531+0</f>
        <v>88.5</v>
      </c>
      <c r="AB531" s="0" t="n">
        <f aca="false">IF(Z531&gt;360,Z531-360,Z531+0)</f>
        <v>88.5</v>
      </c>
      <c r="AC531" s="1"/>
      <c r="AD531" s="1"/>
      <c r="AE531" s="1"/>
      <c r="AF531" s="1"/>
    </row>
    <row r="532" customFormat="false" ht="15.8" hidden="false" customHeight="false" outlineLevel="0" collapsed="false">
      <c r="A532" s="1" t="n">
        <v>14</v>
      </c>
      <c r="B532" s="1" t="n">
        <v>10</v>
      </c>
      <c r="C532" s="1" t="n">
        <v>1.7</v>
      </c>
      <c r="D532" s="1" t="n">
        <v>1.2714</v>
      </c>
      <c r="E532" s="1" t="n">
        <v>0.0580592</v>
      </c>
      <c r="F532" s="1" t="n">
        <v>0.000157926</v>
      </c>
      <c r="G532" s="1" t="s">
        <v>52</v>
      </c>
      <c r="H532" s="1" t="n">
        <v>65.3</v>
      </c>
      <c r="I532" s="1" t="n">
        <v>171.9</v>
      </c>
      <c r="J532" s="1" t="n">
        <v>-33.6</v>
      </c>
      <c r="K532" s="1" t="n">
        <v>72.5</v>
      </c>
      <c r="L532" s="1" t="n">
        <v>0</v>
      </c>
      <c r="M532" s="1" t="n">
        <v>0</v>
      </c>
      <c r="N532" s="1" t="s">
        <v>358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0" t="n">
        <f aca="false">I532+0</f>
        <v>171.9</v>
      </c>
      <c r="AB532" s="0" t="n">
        <f aca="false">IF(Z532&gt;360,Z532-360,Z532+0)</f>
        <v>171.9</v>
      </c>
      <c r="AC532" s="1"/>
      <c r="AD532" s="1"/>
      <c r="AE532" s="1"/>
      <c r="AF532" s="1"/>
    </row>
    <row r="533" customFormat="false" ht="15.8" hidden="false" customHeight="false" outlineLevel="0" collapsed="false">
      <c r="A533" s="1" t="n">
        <v>14</v>
      </c>
      <c r="B533" s="1" t="n">
        <v>16</v>
      </c>
      <c r="C533" s="1" t="n">
        <v>1.6</v>
      </c>
      <c r="D533" s="1" t="n">
        <v>1.0266</v>
      </c>
      <c r="E533" s="1" t="n">
        <v>0.0558366</v>
      </c>
      <c r="F533" s="1" t="n">
        <v>0.00015188</v>
      </c>
      <c r="G533" s="1" t="s">
        <v>27</v>
      </c>
      <c r="H533" s="1" t="n">
        <v>40.7</v>
      </c>
      <c r="I533" s="1" t="n">
        <v>277.5</v>
      </c>
      <c r="J533" s="1" t="n">
        <v>0</v>
      </c>
      <c r="K533" s="1"/>
      <c r="L533" s="1" t="n">
        <v>0</v>
      </c>
      <c r="M533" s="1" t="n">
        <v>0</v>
      </c>
      <c r="N533" s="1" t="s">
        <v>359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0" t="n">
        <f aca="false">I533+0</f>
        <v>277.5</v>
      </c>
      <c r="AB533" s="0" t="n">
        <f aca="false">IF(Z533&gt;360,Z533-360,Z533+0)</f>
        <v>277.5</v>
      </c>
      <c r="AC533" s="1"/>
      <c r="AD533" s="1"/>
      <c r="AE533" s="1"/>
      <c r="AF533" s="1"/>
    </row>
    <row r="534" customFormat="false" ht="15.8" hidden="false" customHeight="false" outlineLevel="0" collapsed="false">
      <c r="A534" s="1" t="n">
        <v>14</v>
      </c>
      <c r="B534" s="1" t="n">
        <v>19</v>
      </c>
      <c r="C534" s="1" t="n">
        <v>1.6</v>
      </c>
      <c r="D534" s="1" t="n">
        <v>1.1577</v>
      </c>
      <c r="E534" s="1" t="n">
        <v>0.0550797</v>
      </c>
      <c r="F534" s="1" t="n">
        <v>0.000149822</v>
      </c>
      <c r="G534" s="1" t="s">
        <v>27</v>
      </c>
      <c r="H534" s="1" t="n">
        <v>54.5</v>
      </c>
      <c r="I534" s="1" t="n">
        <v>279</v>
      </c>
      <c r="J534" s="1" t="n">
        <v>-32.1</v>
      </c>
      <c r="K534" s="1"/>
      <c r="L534" s="1" t="n">
        <v>0</v>
      </c>
      <c r="M534" s="1" t="n">
        <v>0</v>
      </c>
      <c r="N534" s="1" t="s">
        <v>360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0" t="n">
        <f aca="false">I534+0</f>
        <v>279</v>
      </c>
      <c r="AB534" s="0" t="n">
        <f aca="false">IF(Z534&gt;360,Z534-360,Z534+0)</f>
        <v>279</v>
      </c>
      <c r="AC534" s="1"/>
      <c r="AD534" s="1"/>
      <c r="AE534" s="1"/>
      <c r="AF534" s="1"/>
    </row>
    <row r="535" customFormat="false" ht="15.8" hidden="false" customHeight="false" outlineLevel="0" collapsed="false">
      <c r="A535" s="1" t="n">
        <v>14</v>
      </c>
      <c r="B535" s="1" t="n">
        <v>20</v>
      </c>
      <c r="C535" s="1" t="n">
        <v>1.9</v>
      </c>
      <c r="D535" s="1" t="n">
        <v>1.0996</v>
      </c>
      <c r="E535" s="1" t="n">
        <v>0.0654795</v>
      </c>
      <c r="F535" s="1" t="n">
        <v>0.00017811</v>
      </c>
      <c r="G535" s="1" t="s">
        <v>27</v>
      </c>
      <c r="H535" s="1" t="n">
        <v>62.5</v>
      </c>
      <c r="I535" s="1" t="n">
        <v>212.5</v>
      </c>
      <c r="J535" s="1" t="n">
        <v>12.3</v>
      </c>
      <c r="K535" s="1"/>
      <c r="L535" s="1" t="n">
        <v>0</v>
      </c>
      <c r="M535" s="1" t="n">
        <v>0</v>
      </c>
      <c r="N535" s="1" t="s">
        <v>361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0" t="n">
        <f aca="false">I535+0</f>
        <v>212.5</v>
      </c>
      <c r="AB535" s="0" t="n">
        <f aca="false">IF(Z535&gt;360,Z535-360,Z535+0)</f>
        <v>212.5</v>
      </c>
      <c r="AC535" s="1"/>
      <c r="AD535" s="1"/>
      <c r="AE535" s="1"/>
      <c r="AF535" s="1"/>
    </row>
    <row r="536" customFormat="false" ht="15.8" hidden="false" customHeight="false" outlineLevel="0" collapsed="false">
      <c r="A536" s="1" t="n">
        <v>14</v>
      </c>
      <c r="B536" s="1" t="n">
        <v>20</v>
      </c>
      <c r="C536" s="1" t="n">
        <v>2.9</v>
      </c>
      <c r="D536" s="1" t="n">
        <v>1.1321</v>
      </c>
      <c r="E536" s="1" t="n">
        <v>0.098656</v>
      </c>
      <c r="F536" s="1" t="n">
        <v>0.000268353</v>
      </c>
      <c r="G536" s="1" t="s">
        <v>27</v>
      </c>
      <c r="H536" s="1" t="n">
        <v>81.1</v>
      </c>
      <c r="I536" s="1" t="n">
        <v>252.3</v>
      </c>
      <c r="J536" s="1" t="n">
        <v>-25.8</v>
      </c>
      <c r="K536" s="1"/>
      <c r="L536" s="1" t="n">
        <v>0</v>
      </c>
      <c r="M536" s="1" t="n">
        <v>0</v>
      </c>
      <c r="N536" s="1" t="s">
        <v>361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0" t="n">
        <f aca="false">I536+0</f>
        <v>252.3</v>
      </c>
      <c r="AB536" s="0" t="n">
        <f aca="false">IF(Z536&gt;360,Z536-360,Z536+0)</f>
        <v>252.3</v>
      </c>
      <c r="AC536" s="1"/>
      <c r="AD536" s="1"/>
      <c r="AE536" s="1"/>
      <c r="AF536" s="1"/>
    </row>
    <row r="537" customFormat="false" ht="15.8" hidden="false" customHeight="false" outlineLevel="0" collapsed="false">
      <c r="A537" s="1" t="n">
        <v>14</v>
      </c>
      <c r="B537" s="1" t="n">
        <v>19</v>
      </c>
      <c r="C537" s="1" t="n">
        <v>1.1</v>
      </c>
      <c r="D537" s="1" t="n">
        <v>1.259</v>
      </c>
      <c r="E537" s="1" t="n">
        <v>0.0386757</v>
      </c>
      <c r="F537" s="1" t="n">
        <v>0.000105201</v>
      </c>
      <c r="G537" s="1" t="s">
        <v>52</v>
      </c>
      <c r="H537" s="1" t="n">
        <v>44.1</v>
      </c>
      <c r="I537" s="1" t="n">
        <v>160.6</v>
      </c>
      <c r="J537" s="1" t="n">
        <v>-24.3</v>
      </c>
      <c r="K537" s="1" t="n">
        <v>81.1</v>
      </c>
      <c r="L537" s="1" t="n">
        <v>0</v>
      </c>
      <c r="M537" s="1" t="n">
        <v>0</v>
      </c>
      <c r="N537" s="1" t="s">
        <v>360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0" t="n">
        <f aca="false">I537+0</f>
        <v>160.6</v>
      </c>
      <c r="AB537" s="0" t="n">
        <f aca="false">IF(Z537&gt;360,Z537-360,Z537+0)</f>
        <v>160.6</v>
      </c>
      <c r="AC537" s="1"/>
      <c r="AD537" s="1"/>
      <c r="AE537" s="1"/>
      <c r="AF537" s="1"/>
    </row>
    <row r="538" customFormat="false" ht="15.8" hidden="false" customHeight="false" outlineLevel="0" collapsed="false">
      <c r="A538" s="1" t="n">
        <v>14</v>
      </c>
      <c r="B538" s="1" t="n">
        <v>18</v>
      </c>
      <c r="C538" s="1" t="n">
        <v>3.2</v>
      </c>
      <c r="D538" s="1" t="n">
        <v>1.2301</v>
      </c>
      <c r="E538" s="1" t="n">
        <v>0.109734</v>
      </c>
      <c r="F538" s="1" t="n">
        <v>0.000298485</v>
      </c>
      <c r="G538" s="1" t="s">
        <v>52</v>
      </c>
      <c r="H538" s="1" t="n">
        <v>26.2</v>
      </c>
      <c r="I538" s="1" t="n">
        <v>209</v>
      </c>
      <c r="J538" s="1" t="n">
        <v>-45.1</v>
      </c>
      <c r="K538" s="1" t="n">
        <v>54.5</v>
      </c>
      <c r="L538" s="1" t="n">
        <v>0</v>
      </c>
      <c r="M538" s="1" t="n">
        <v>0</v>
      </c>
      <c r="N538" s="1" t="s">
        <v>362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0" t="n">
        <f aca="false">I538+0</f>
        <v>209</v>
      </c>
      <c r="AB538" s="0" t="n">
        <f aca="false">IF(Z538&gt;360,Z538-360,Z538+0)</f>
        <v>209</v>
      </c>
      <c r="AC538" s="1"/>
      <c r="AD538" s="1"/>
      <c r="AE538" s="1"/>
      <c r="AF538" s="1"/>
    </row>
    <row r="539" customFormat="false" ht="15.8" hidden="false" customHeight="false" outlineLevel="0" collapsed="false">
      <c r="A539" s="1" t="n">
        <v>14</v>
      </c>
      <c r="B539" s="1" t="n">
        <v>18</v>
      </c>
      <c r="C539" s="1" t="n">
        <v>0.9</v>
      </c>
      <c r="D539" s="1" t="n">
        <v>1.1203</v>
      </c>
      <c r="E539" s="1" t="n">
        <v>0.0313796</v>
      </c>
      <c r="F539" s="1" t="n">
        <v>8.53552E-005</v>
      </c>
      <c r="G539" s="1" t="s">
        <v>27</v>
      </c>
      <c r="H539" s="1" t="n">
        <v>113.3</v>
      </c>
      <c r="I539" s="1" t="n">
        <v>53.5</v>
      </c>
      <c r="J539" s="1" t="n">
        <v>-26.8</v>
      </c>
      <c r="K539" s="1"/>
      <c r="L539" s="1" t="n">
        <v>0</v>
      </c>
      <c r="M539" s="1" t="n">
        <v>0</v>
      </c>
      <c r="N539" s="1" t="s">
        <v>362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0" t="n">
        <f aca="false">I539+0</f>
        <v>53.5</v>
      </c>
      <c r="AB539" s="0" t="n">
        <f aca="false">IF(Z539&gt;360,Z539-360,Z539+0)</f>
        <v>53.5</v>
      </c>
      <c r="AC539" s="1"/>
      <c r="AD539" s="1"/>
      <c r="AE539" s="1"/>
      <c r="AF539" s="1"/>
    </row>
    <row r="540" customFormat="false" ht="15.8" hidden="false" customHeight="false" outlineLevel="0" collapsed="false">
      <c r="A540" s="1" t="n">
        <v>14</v>
      </c>
      <c r="B540" s="1" t="n">
        <v>18</v>
      </c>
      <c r="C540" s="1" t="n">
        <v>0.8</v>
      </c>
      <c r="D540" s="1" t="n">
        <v>1.0763</v>
      </c>
      <c r="E540" s="1" t="n">
        <v>0.0267023</v>
      </c>
      <c r="F540" s="1" t="n">
        <v>7.26326E-005</v>
      </c>
      <c r="G540" s="1" t="s">
        <v>27</v>
      </c>
      <c r="H540" s="1" t="n">
        <v>32.5</v>
      </c>
      <c r="I540" s="1" t="n">
        <v>167</v>
      </c>
      <c r="J540" s="1" t="n">
        <v>0</v>
      </c>
      <c r="K540" s="1"/>
      <c r="L540" s="1" t="n">
        <v>0</v>
      </c>
      <c r="M540" s="1" t="n">
        <v>0</v>
      </c>
      <c r="N540" s="1" t="s">
        <v>362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0" t="n">
        <f aca="false">I540+0</f>
        <v>167</v>
      </c>
      <c r="AB540" s="0" t="n">
        <f aca="false">IF(Z540&gt;360,Z540-360,Z540+0)</f>
        <v>167</v>
      </c>
      <c r="AC540" s="1"/>
      <c r="AD540" s="1"/>
      <c r="AE540" s="1"/>
      <c r="AF540" s="1"/>
    </row>
    <row r="541" customFormat="false" ht="15.8" hidden="false" customHeight="false" outlineLevel="0" collapsed="false">
      <c r="A541" s="1" t="n">
        <v>14</v>
      </c>
      <c r="B541" s="1" t="n">
        <v>17</v>
      </c>
      <c r="C541" s="1" t="n">
        <v>1.2</v>
      </c>
      <c r="D541" s="1" t="n">
        <v>1.3091</v>
      </c>
      <c r="E541" s="1" t="n">
        <v>0.0400787</v>
      </c>
      <c r="F541" s="1" t="n">
        <v>0.000109017</v>
      </c>
      <c r="G541" s="1" t="s">
        <v>52</v>
      </c>
      <c r="H541" s="1" t="n">
        <v>41.7</v>
      </c>
      <c r="I541" s="1" t="n">
        <v>189.2</v>
      </c>
      <c r="J541" s="1" t="n">
        <v>-24.4</v>
      </c>
      <c r="K541" s="1" t="n">
        <v>113.3</v>
      </c>
      <c r="L541" s="1" t="n">
        <v>0</v>
      </c>
      <c r="M541" s="1" t="n">
        <v>0</v>
      </c>
      <c r="N541" s="1" t="s">
        <v>363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0" t="n">
        <f aca="false">I541+0</f>
        <v>189.2</v>
      </c>
      <c r="AB541" s="0" t="n">
        <f aca="false">IF(Z541&gt;360,Z541-360,Z541+0)</f>
        <v>189.2</v>
      </c>
      <c r="AC541" s="1"/>
      <c r="AD541" s="1"/>
      <c r="AE541" s="1"/>
      <c r="AF541" s="1"/>
    </row>
    <row r="542" customFormat="false" ht="15.8" hidden="false" customHeight="false" outlineLevel="0" collapsed="false">
      <c r="A542" s="1" t="n">
        <v>14</v>
      </c>
      <c r="B542" s="1" t="n">
        <v>17</v>
      </c>
      <c r="C542" s="1" t="n">
        <v>0.9</v>
      </c>
      <c r="D542" s="1" t="n">
        <v>1.005</v>
      </c>
      <c r="E542" s="1" t="n">
        <v>0.0315751</v>
      </c>
      <c r="F542" s="1" t="n">
        <v>8.58871E-005</v>
      </c>
      <c r="G542" s="1" t="s">
        <v>27</v>
      </c>
      <c r="H542" s="1" t="n">
        <v>58.1</v>
      </c>
      <c r="I542" s="1" t="n">
        <v>96.1</v>
      </c>
      <c r="J542" s="1" t="n">
        <v>0</v>
      </c>
      <c r="K542" s="1"/>
      <c r="L542" s="1" t="n">
        <v>0</v>
      </c>
      <c r="M542" s="1" t="n">
        <v>0</v>
      </c>
      <c r="N542" s="1" t="s">
        <v>363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0" t="n">
        <f aca="false">I542+0</f>
        <v>96.1</v>
      </c>
      <c r="AB542" s="0" t="n">
        <f aca="false">IF(Z542&gt;360,Z542-360,Z542+0)</f>
        <v>96.1</v>
      </c>
      <c r="AC542" s="1"/>
      <c r="AD542" s="1"/>
      <c r="AE542" s="1"/>
      <c r="AF542" s="1"/>
    </row>
    <row r="543" customFormat="false" ht="15.8" hidden="false" customHeight="false" outlineLevel="0" collapsed="false">
      <c r="A543" s="1" t="n">
        <v>14</v>
      </c>
      <c r="B543" s="1" t="n">
        <v>16</v>
      </c>
      <c r="C543" s="1" t="n">
        <v>0.4</v>
      </c>
      <c r="D543" s="1" t="n">
        <v>1.0437</v>
      </c>
      <c r="E543" s="1" t="n">
        <v>0.0124991</v>
      </c>
      <c r="F543" s="1" t="n">
        <v>3.39986E-005</v>
      </c>
      <c r="G543" s="1" t="s">
        <v>52</v>
      </c>
      <c r="H543" s="1" t="n">
        <v>90.9</v>
      </c>
      <c r="I543" s="1" t="n">
        <v>154.2</v>
      </c>
      <c r="J543" s="1" t="n">
        <v>0</v>
      </c>
      <c r="K543" s="1" t="n">
        <v>58.1</v>
      </c>
      <c r="L543" s="1" t="n">
        <v>0</v>
      </c>
      <c r="M543" s="1" t="n">
        <v>0</v>
      </c>
      <c r="N543" s="1" t="s">
        <v>359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0" t="n">
        <f aca="false">I543+0</f>
        <v>154.2</v>
      </c>
      <c r="AB543" s="0" t="n">
        <f aca="false">IF(Z543&gt;360,Z543-360,Z543+0)</f>
        <v>154.2</v>
      </c>
      <c r="AC543" s="1"/>
      <c r="AD543" s="1"/>
      <c r="AE543" s="1"/>
      <c r="AF543" s="1"/>
    </row>
    <row r="544" customFormat="false" ht="15.8" hidden="false" customHeight="false" outlineLevel="0" collapsed="false">
      <c r="A544" s="1" t="n">
        <v>14</v>
      </c>
      <c r="B544" s="1" t="n">
        <v>15</v>
      </c>
      <c r="C544" s="1" t="n">
        <v>2</v>
      </c>
      <c r="D544" s="1" t="n">
        <v>1.2066</v>
      </c>
      <c r="E544" s="1" t="n">
        <v>0.0688166</v>
      </c>
      <c r="F544" s="1" t="n">
        <v>0.000187187</v>
      </c>
      <c r="G544" s="1" t="s">
        <v>52</v>
      </c>
      <c r="H544" s="1" t="n">
        <v>84.4</v>
      </c>
      <c r="I544" s="1" t="n">
        <v>245.2</v>
      </c>
      <c r="J544" s="1" t="n">
        <v>-26.3</v>
      </c>
      <c r="K544" s="1" t="n">
        <v>90.9</v>
      </c>
      <c r="L544" s="1" t="n">
        <v>0</v>
      </c>
      <c r="M544" s="1" t="n">
        <v>0</v>
      </c>
      <c r="N544" s="1" t="s">
        <v>364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0" t="n">
        <f aca="false">I544+0</f>
        <v>245.2</v>
      </c>
      <c r="AB544" s="0" t="n">
        <f aca="false">IF(Z544&gt;360,Z544-360,Z544+0)</f>
        <v>245.2</v>
      </c>
      <c r="AC544" s="1"/>
      <c r="AD544" s="1"/>
      <c r="AE544" s="1"/>
      <c r="AF544" s="1"/>
    </row>
    <row r="545" customFormat="false" ht="15.8" hidden="false" customHeight="false" outlineLevel="0" collapsed="false">
      <c r="A545" s="1" t="n">
        <v>14</v>
      </c>
      <c r="B545" s="1" t="n">
        <v>15</v>
      </c>
      <c r="C545" s="1" t="n">
        <v>3.7</v>
      </c>
      <c r="D545" s="1" t="n">
        <v>1.7097</v>
      </c>
      <c r="E545" s="1" t="n">
        <v>0.125883</v>
      </c>
      <c r="F545" s="1" t="n">
        <v>0.000342412</v>
      </c>
      <c r="G545" s="1" t="s">
        <v>27</v>
      </c>
      <c r="H545" s="1" t="n">
        <v>98.1</v>
      </c>
      <c r="I545" s="1" t="n">
        <v>264.1</v>
      </c>
      <c r="J545" s="1" t="n">
        <v>-9.9</v>
      </c>
      <c r="K545" s="1"/>
      <c r="L545" s="1" t="n">
        <v>0</v>
      </c>
      <c r="M545" s="1" t="n">
        <v>0</v>
      </c>
      <c r="N545" s="1" t="s">
        <v>364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0" t="n">
        <f aca="false">I545+0</f>
        <v>264.1</v>
      </c>
      <c r="AB545" s="0" t="n">
        <f aca="false">IF(Z545&gt;360,Z545-360,Z545+0)</f>
        <v>264.1</v>
      </c>
      <c r="AC545" s="1"/>
      <c r="AD545" s="1"/>
      <c r="AE545" s="1"/>
      <c r="AF545" s="1"/>
    </row>
    <row r="546" customFormat="false" ht="15.8" hidden="false" customHeight="false" outlineLevel="0" collapsed="false">
      <c r="A546" s="1" t="n">
        <v>14</v>
      </c>
      <c r="B546" s="1" t="n">
        <v>19</v>
      </c>
      <c r="C546" s="1" t="n">
        <v>2.4</v>
      </c>
      <c r="D546" s="1" t="n">
        <v>1.5113</v>
      </c>
      <c r="E546" s="1" t="n">
        <v>0.0832618</v>
      </c>
      <c r="F546" s="1" t="n">
        <v>0.000226479</v>
      </c>
      <c r="G546" s="1" t="s">
        <v>27</v>
      </c>
      <c r="H546" s="1" t="n">
        <v>78.2</v>
      </c>
      <c r="I546" s="1" t="n">
        <v>156.3</v>
      </c>
      <c r="J546" s="1" t="n">
        <v>-13.3</v>
      </c>
      <c r="K546" s="1"/>
      <c r="L546" s="1" t="n">
        <v>0</v>
      </c>
      <c r="M546" s="1" t="n">
        <v>0</v>
      </c>
      <c r="N546" s="1" t="s">
        <v>365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0" t="n">
        <f aca="false">I546+0</f>
        <v>156.3</v>
      </c>
      <c r="AB546" s="0" t="n">
        <f aca="false">IF(Z546&gt;360,Z546-360,Z546+0)</f>
        <v>156.3</v>
      </c>
      <c r="AC546" s="1"/>
      <c r="AD546" s="1"/>
      <c r="AE546" s="1"/>
      <c r="AF546" s="1"/>
    </row>
    <row r="547" customFormat="false" ht="15.8" hidden="false" customHeight="false" outlineLevel="0" collapsed="false">
      <c r="A547" s="1" t="n">
        <v>14</v>
      </c>
      <c r="B547" s="1" t="n">
        <v>21</v>
      </c>
      <c r="C547" s="1" t="n">
        <v>1.4</v>
      </c>
      <c r="D547" s="1" t="n">
        <v>1.1176</v>
      </c>
      <c r="E547" s="1" t="n">
        <v>0.0485721</v>
      </c>
      <c r="F547" s="1" t="n">
        <v>0.00013212</v>
      </c>
      <c r="G547" s="1" t="s">
        <v>27</v>
      </c>
      <c r="H547" s="1" t="n">
        <v>38.7</v>
      </c>
      <c r="I547" s="1" t="n">
        <v>333.4</v>
      </c>
      <c r="J547" s="1" t="n">
        <v>-16.9</v>
      </c>
      <c r="K547" s="1"/>
      <c r="L547" s="1" t="n">
        <v>0</v>
      </c>
      <c r="M547" s="1" t="n">
        <v>0</v>
      </c>
      <c r="N547" s="1" t="s">
        <v>366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0" t="n">
        <f aca="false">I547+0</f>
        <v>333.4</v>
      </c>
      <c r="AB547" s="0" t="n">
        <f aca="false">IF(Z547&gt;360,Z547-360,Z547+0)</f>
        <v>333.4</v>
      </c>
      <c r="AC547" s="1"/>
      <c r="AD547" s="1"/>
      <c r="AE547" s="1"/>
      <c r="AF547" s="1"/>
    </row>
    <row r="548" customFormat="false" ht="15.8" hidden="false" customHeight="false" outlineLevel="0" collapsed="false">
      <c r="A548" s="1" t="n">
        <v>14</v>
      </c>
      <c r="B548" s="1" t="n">
        <v>21</v>
      </c>
      <c r="C548" s="1" t="n">
        <v>3.7</v>
      </c>
      <c r="D548" s="1" t="n">
        <v>1.2486</v>
      </c>
      <c r="E548" s="1" t="n">
        <v>0.12492</v>
      </c>
      <c r="F548" s="1" t="n">
        <v>0.000339793</v>
      </c>
      <c r="G548" s="1" t="s">
        <v>27</v>
      </c>
      <c r="H548" s="1" t="n">
        <v>31.2</v>
      </c>
      <c r="I548" s="1" t="n">
        <v>40</v>
      </c>
      <c r="J548" s="1" t="n">
        <v>0</v>
      </c>
      <c r="K548" s="1"/>
      <c r="L548" s="1" t="n">
        <v>0</v>
      </c>
      <c r="M548" s="1" t="n">
        <v>0</v>
      </c>
      <c r="N548" s="1" t="s">
        <v>366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0" t="n">
        <f aca="false">I548+0</f>
        <v>40</v>
      </c>
      <c r="AB548" s="0" t="n">
        <f aca="false">IF(Z548&gt;360,Z548-360,Z548+0)</f>
        <v>40</v>
      </c>
      <c r="AC548" s="1"/>
      <c r="AD548" s="1"/>
      <c r="AE548" s="1"/>
      <c r="AF548" s="1"/>
    </row>
    <row r="549" customFormat="false" ht="15.8" hidden="false" customHeight="false" outlineLevel="0" collapsed="false">
      <c r="A549" s="1" t="n">
        <v>14</v>
      </c>
      <c r="B549" s="1" t="n">
        <v>21</v>
      </c>
      <c r="C549" s="1" t="n">
        <v>0.9</v>
      </c>
      <c r="D549" s="1" t="n">
        <v>1.5121</v>
      </c>
      <c r="E549" s="1" t="n">
        <v>0.0296594</v>
      </c>
      <c r="F549" s="1" t="n">
        <v>8.0676E-005</v>
      </c>
      <c r="G549" s="1" t="s">
        <v>27</v>
      </c>
      <c r="H549" s="1" t="n">
        <v>118.4</v>
      </c>
      <c r="I549" s="1" t="n">
        <v>240.3</v>
      </c>
      <c r="J549" s="1" t="n">
        <v>40.2</v>
      </c>
      <c r="K549" s="1"/>
      <c r="L549" s="1" t="n">
        <v>0</v>
      </c>
      <c r="M549" s="1" t="n">
        <v>0</v>
      </c>
      <c r="N549" s="1" t="s">
        <v>366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0" t="n">
        <f aca="false">I549+0</f>
        <v>240.3</v>
      </c>
      <c r="AB549" s="0" t="n">
        <f aca="false">IF(Z549&gt;360,Z549-360,Z549+0)</f>
        <v>240.3</v>
      </c>
      <c r="AC549" s="1"/>
      <c r="AD549" s="1"/>
      <c r="AE549" s="1"/>
      <c r="AF549" s="1"/>
    </row>
    <row r="550" customFormat="false" ht="15.8" hidden="false" customHeight="false" outlineLevel="0" collapsed="false">
      <c r="A550" s="1" t="n">
        <v>14</v>
      </c>
      <c r="B550" s="1" t="n">
        <v>20</v>
      </c>
      <c r="C550" s="1" t="n">
        <v>3.8</v>
      </c>
      <c r="D550" s="1" t="n">
        <v>1.1273</v>
      </c>
      <c r="E550" s="1" t="n">
        <v>0.128964</v>
      </c>
      <c r="F550" s="1" t="n">
        <v>0.000350793</v>
      </c>
      <c r="G550" s="1" t="s">
        <v>52</v>
      </c>
      <c r="H550" s="1" t="n">
        <v>114.5</v>
      </c>
      <c r="I550" s="1" t="n">
        <v>8.8</v>
      </c>
      <c r="J550" s="1" t="n">
        <v>0</v>
      </c>
      <c r="K550" s="1" t="n">
        <v>118.4</v>
      </c>
      <c r="L550" s="1" t="n">
        <v>0</v>
      </c>
      <c r="M550" s="1" t="n">
        <v>0</v>
      </c>
      <c r="N550" s="1" t="s">
        <v>367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0" t="n">
        <f aca="false">I550+0</f>
        <v>8.8</v>
      </c>
      <c r="AB550" s="0" t="n">
        <f aca="false">IF(Z550&gt;360,Z550-360,Z550+0)</f>
        <v>8.8</v>
      </c>
      <c r="AC550" s="1"/>
      <c r="AD550" s="1"/>
      <c r="AE550" s="1"/>
      <c r="AF550" s="1"/>
    </row>
    <row r="551" customFormat="false" ht="15.8" hidden="false" customHeight="false" outlineLevel="0" collapsed="false">
      <c r="A551" s="1" t="n">
        <v>14</v>
      </c>
      <c r="B551" s="1" t="n">
        <v>21</v>
      </c>
      <c r="C551" s="1" t="n">
        <v>2.6</v>
      </c>
      <c r="D551" s="1" t="n">
        <v>1.136</v>
      </c>
      <c r="E551" s="1" t="n">
        <v>0.0888226</v>
      </c>
      <c r="F551" s="1" t="n">
        <v>0.000241605</v>
      </c>
      <c r="G551" s="1" t="s">
        <v>27</v>
      </c>
      <c r="H551" s="1" t="n">
        <v>18.7</v>
      </c>
      <c r="I551" s="1" t="n">
        <v>203</v>
      </c>
      <c r="J551" s="1" t="n">
        <v>-9.3</v>
      </c>
      <c r="K551" s="1"/>
      <c r="L551" s="1" t="n">
        <v>0</v>
      </c>
      <c r="M551" s="1" t="n">
        <v>0</v>
      </c>
      <c r="N551" s="1" t="s">
        <v>368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0" t="n">
        <f aca="false">I551+0</f>
        <v>203</v>
      </c>
      <c r="AB551" s="0" t="n">
        <f aca="false">IF(Z551&gt;360,Z551-360,Z551+0)</f>
        <v>203</v>
      </c>
      <c r="AC551" s="1"/>
      <c r="AD551" s="1"/>
      <c r="AE551" s="1"/>
      <c r="AF551" s="1"/>
    </row>
    <row r="552" customFormat="false" ht="15.8" hidden="false" customHeight="false" outlineLevel="0" collapsed="false">
      <c r="A552" s="1" t="n">
        <v>14</v>
      </c>
      <c r="B552" s="1" t="n">
        <v>21</v>
      </c>
      <c r="C552" s="1" t="n">
        <v>0.9</v>
      </c>
      <c r="D552" s="1" t="n">
        <v>1.131</v>
      </c>
      <c r="E552" s="1" t="n">
        <v>0.0292035</v>
      </c>
      <c r="F552" s="1" t="n">
        <v>7.94362E-005</v>
      </c>
      <c r="G552" s="1" t="s">
        <v>27</v>
      </c>
      <c r="H552" s="1" t="n">
        <v>85.1</v>
      </c>
      <c r="I552" s="1" t="n">
        <v>101.6</v>
      </c>
      <c r="J552" s="1" t="n">
        <v>0</v>
      </c>
      <c r="K552" s="1"/>
      <c r="L552" s="1" t="n">
        <v>0</v>
      </c>
      <c r="M552" s="1" t="n">
        <v>0</v>
      </c>
      <c r="N552" s="1" t="s">
        <v>368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0" t="n">
        <f aca="false">I552+0</f>
        <v>101.6</v>
      </c>
      <c r="AB552" s="0" t="n">
        <f aca="false">IF(Z552&gt;360,Z552-360,Z552+0)</f>
        <v>101.6</v>
      </c>
      <c r="AC552" s="1"/>
      <c r="AD552" s="1"/>
      <c r="AE552" s="1"/>
      <c r="AF552" s="1"/>
    </row>
    <row r="553" customFormat="false" ht="15.8" hidden="false" customHeight="false" outlineLevel="0" collapsed="false">
      <c r="A553" s="1" t="n">
        <v>14</v>
      </c>
      <c r="B553" s="1" t="n">
        <v>20</v>
      </c>
      <c r="C553" s="1" t="n">
        <v>0.4</v>
      </c>
      <c r="D553" s="1" t="n">
        <v>1.0032</v>
      </c>
      <c r="E553" s="1" t="n">
        <v>0.0127733</v>
      </c>
      <c r="F553" s="1" t="n">
        <v>3.47446E-005</v>
      </c>
      <c r="G553" s="1" t="s">
        <v>52</v>
      </c>
      <c r="H553" s="1" t="n">
        <v>66.3</v>
      </c>
      <c r="I553" s="1" t="n">
        <v>186.7</v>
      </c>
      <c r="J553" s="1" t="n">
        <v>0</v>
      </c>
      <c r="K553" s="1" t="n">
        <v>85.1</v>
      </c>
      <c r="L553" s="1" t="n">
        <v>0</v>
      </c>
      <c r="M553" s="1" t="n">
        <v>0</v>
      </c>
      <c r="N553" s="1" t="s">
        <v>367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0" t="n">
        <f aca="false">I553+0</f>
        <v>186.7</v>
      </c>
      <c r="AB553" s="0" t="n">
        <f aca="false">IF(Z553&gt;360,Z553-360,Z553+0)</f>
        <v>186.7</v>
      </c>
      <c r="AC553" s="1"/>
      <c r="AD553" s="1"/>
      <c r="AE553" s="1"/>
      <c r="AF553" s="1"/>
    </row>
    <row r="554" customFormat="false" ht="15.8" hidden="false" customHeight="false" outlineLevel="0" collapsed="false">
      <c r="A554" s="1" t="n">
        <v>14</v>
      </c>
      <c r="B554" s="1" t="n">
        <v>19</v>
      </c>
      <c r="C554" s="1" t="n">
        <v>2.9</v>
      </c>
      <c r="D554" s="1" t="n">
        <v>1.3373</v>
      </c>
      <c r="E554" s="1" t="n">
        <v>0.0994992</v>
      </c>
      <c r="F554" s="1" t="n">
        <v>0.000270647</v>
      </c>
      <c r="G554" s="1" t="s">
        <v>52</v>
      </c>
      <c r="H554" s="1" t="n">
        <v>116.7</v>
      </c>
      <c r="I554" s="1" t="n">
        <v>226.9</v>
      </c>
      <c r="J554" s="1" t="n">
        <v>-58.2</v>
      </c>
      <c r="K554" s="1" t="n">
        <v>114.5</v>
      </c>
      <c r="L554" s="1" t="n">
        <v>0</v>
      </c>
      <c r="M554" s="1" t="n">
        <v>0</v>
      </c>
      <c r="N554" s="1" t="s">
        <v>365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0" t="n">
        <f aca="false">I554+0</f>
        <v>226.9</v>
      </c>
      <c r="AB554" s="0" t="n">
        <f aca="false">IF(Z554&gt;360,Z554-360,Z554+0)</f>
        <v>226.9</v>
      </c>
      <c r="AC554" s="1"/>
      <c r="AD554" s="1"/>
      <c r="AE554" s="1"/>
      <c r="AF554" s="1"/>
    </row>
    <row r="555" customFormat="false" ht="15.8" hidden="false" customHeight="false" outlineLevel="0" collapsed="false">
      <c r="A555" s="1" t="n">
        <v>14</v>
      </c>
      <c r="B555" s="1" t="n">
        <v>18</v>
      </c>
      <c r="C555" s="1" t="n">
        <v>0.5</v>
      </c>
      <c r="D555" s="1" t="n">
        <v>1.0012</v>
      </c>
      <c r="E555" s="1" t="n">
        <v>0.0167226</v>
      </c>
      <c r="F555" s="1" t="n">
        <v>4.54869E-005</v>
      </c>
      <c r="G555" s="1" t="s">
        <v>52</v>
      </c>
      <c r="H555" s="1" t="n">
        <v>78</v>
      </c>
      <c r="I555" s="1" t="n">
        <v>78.4</v>
      </c>
      <c r="J555" s="1" t="n">
        <v>0</v>
      </c>
      <c r="K555" s="1" t="n">
        <v>116.7</v>
      </c>
      <c r="L555" s="1" t="n">
        <v>0</v>
      </c>
      <c r="M555" s="1" t="n">
        <v>0</v>
      </c>
      <c r="N555" s="1" t="s">
        <v>369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0" t="n">
        <f aca="false">I555+0</f>
        <v>78.4</v>
      </c>
      <c r="AB555" s="0" t="n">
        <f aca="false">IF(Z555&gt;360,Z555-360,Z555+0)</f>
        <v>78.4</v>
      </c>
      <c r="AC555" s="1"/>
      <c r="AD555" s="1"/>
      <c r="AE555" s="1"/>
      <c r="AF555" s="1"/>
    </row>
    <row r="556" customFormat="false" ht="15.8" hidden="false" customHeight="false" outlineLevel="0" collapsed="false">
      <c r="A556" s="1" t="n">
        <v>14</v>
      </c>
      <c r="B556" s="1" t="n">
        <v>18</v>
      </c>
      <c r="C556" s="1" t="n">
        <v>1.1</v>
      </c>
      <c r="D556" s="1" t="n">
        <v>1.0365</v>
      </c>
      <c r="E556" s="1" t="n">
        <v>0.0367015</v>
      </c>
      <c r="F556" s="1" t="n">
        <v>9.98314E-005</v>
      </c>
      <c r="G556" s="1" t="s">
        <v>27</v>
      </c>
      <c r="H556" s="1" t="n">
        <v>40.6</v>
      </c>
      <c r="I556" s="1" t="n">
        <v>197.1</v>
      </c>
      <c r="J556" s="1" t="n">
        <v>0</v>
      </c>
      <c r="K556" s="1"/>
      <c r="L556" s="1" t="n">
        <v>0</v>
      </c>
      <c r="M556" s="1" t="n">
        <v>0</v>
      </c>
      <c r="N556" s="1" t="s">
        <v>369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0" t="n">
        <f aca="false">I556+0</f>
        <v>197.1</v>
      </c>
      <c r="AB556" s="0" t="n">
        <f aca="false">IF(Z556&gt;360,Z556-360,Z556+0)</f>
        <v>197.1</v>
      </c>
      <c r="AC556" s="1"/>
      <c r="AD556" s="1"/>
      <c r="AE556" s="1"/>
      <c r="AF556" s="1"/>
    </row>
    <row r="557" customFormat="false" ht="15.8" hidden="false" customHeight="false" outlineLevel="0" collapsed="false">
      <c r="A557" s="1" t="n">
        <v>14</v>
      </c>
      <c r="B557" s="1" t="n">
        <v>17</v>
      </c>
      <c r="C557" s="1" t="n">
        <v>1.6</v>
      </c>
      <c r="D557" s="1" t="n">
        <v>1.0509</v>
      </c>
      <c r="E557" s="1" t="n">
        <v>0.0558346</v>
      </c>
      <c r="F557" s="1" t="n">
        <v>0.000151875</v>
      </c>
      <c r="G557" s="1" t="s">
        <v>52</v>
      </c>
      <c r="H557" s="1" t="n">
        <v>20.9</v>
      </c>
      <c r="I557" s="1" t="n">
        <v>156.5</v>
      </c>
      <c r="J557" s="1" t="n">
        <v>0</v>
      </c>
      <c r="K557" s="1" t="n">
        <v>78</v>
      </c>
      <c r="L557" s="1" t="n">
        <v>0</v>
      </c>
      <c r="M557" s="1" t="n">
        <v>0</v>
      </c>
      <c r="N557" s="1" t="s">
        <v>370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0" t="n">
        <f aca="false">I557+0</f>
        <v>156.5</v>
      </c>
      <c r="AB557" s="0" t="n">
        <f aca="false">IF(Z557&gt;360,Z557-360,Z557+0)</f>
        <v>156.5</v>
      </c>
      <c r="AC557" s="1"/>
      <c r="AD557" s="1"/>
      <c r="AE557" s="1"/>
      <c r="AF557" s="1"/>
    </row>
    <row r="558" customFormat="false" ht="15.8" hidden="false" customHeight="false" outlineLevel="0" collapsed="false">
      <c r="A558" s="1" t="n">
        <v>14</v>
      </c>
      <c r="B558" s="1" t="n">
        <v>18</v>
      </c>
      <c r="C558" s="1" t="n">
        <v>1.5</v>
      </c>
      <c r="D558" s="1" t="n">
        <v>1.3309</v>
      </c>
      <c r="E558" s="1" t="n">
        <v>0.0500313</v>
      </c>
      <c r="F558" s="1" t="n">
        <v>0.000136089</v>
      </c>
      <c r="G558" s="1" t="s">
        <v>27</v>
      </c>
      <c r="H558" s="1" t="n">
        <v>41.4</v>
      </c>
      <c r="I558" s="1" t="n">
        <v>289</v>
      </c>
      <c r="J558" s="1" t="n">
        <v>19.7</v>
      </c>
      <c r="K558" s="1"/>
      <c r="L558" s="1" t="n">
        <v>0</v>
      </c>
      <c r="M558" s="1" t="n">
        <v>0</v>
      </c>
      <c r="N558" s="1" t="s">
        <v>371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0" t="n">
        <f aca="false">I558+0</f>
        <v>289</v>
      </c>
      <c r="AB558" s="0" t="n">
        <f aca="false">IF(Z558&gt;360,Z558-360,Z558+0)</f>
        <v>289</v>
      </c>
      <c r="AC558" s="1"/>
      <c r="AD558" s="1"/>
      <c r="AE558" s="1"/>
      <c r="AF558" s="1"/>
    </row>
    <row r="559" customFormat="false" ht="15.8" hidden="false" customHeight="false" outlineLevel="0" collapsed="false">
      <c r="A559" s="1" t="n">
        <v>14</v>
      </c>
      <c r="B559" s="1" t="n">
        <v>20</v>
      </c>
      <c r="C559" s="1" t="n">
        <v>2.7</v>
      </c>
      <c r="D559" s="1" t="n">
        <v>1.1658</v>
      </c>
      <c r="E559" s="1" t="n">
        <v>0.0931817</v>
      </c>
      <c r="F559" s="1" t="n">
        <v>0.000253462</v>
      </c>
      <c r="G559" s="1" t="s">
        <v>27</v>
      </c>
      <c r="H559" s="1" t="n">
        <v>39.5</v>
      </c>
      <c r="I559" s="1" t="n">
        <v>199.8</v>
      </c>
      <c r="J559" s="1" t="n">
        <v>-28.3</v>
      </c>
      <c r="K559" s="1"/>
      <c r="L559" s="1" t="n">
        <v>0</v>
      </c>
      <c r="M559" s="1" t="n">
        <v>0</v>
      </c>
      <c r="N559" s="1" t="s">
        <v>372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0" t="n">
        <f aca="false">I559+0</f>
        <v>199.8</v>
      </c>
      <c r="AB559" s="0" t="n">
        <f aca="false">IF(Z559&gt;360,Z559-360,Z559+0)</f>
        <v>199.8</v>
      </c>
      <c r="AC559" s="1"/>
      <c r="AD559" s="1"/>
      <c r="AE559" s="1"/>
      <c r="AF559" s="1"/>
    </row>
    <row r="560" customFormat="false" ht="15.8" hidden="false" customHeight="false" outlineLevel="0" collapsed="false">
      <c r="A560" s="1" t="n">
        <v>14</v>
      </c>
      <c r="B560" s="1" t="n">
        <v>20</v>
      </c>
      <c r="C560" s="1" t="n">
        <v>0.9</v>
      </c>
      <c r="D560" s="1" t="n">
        <v>1.0003</v>
      </c>
      <c r="E560" s="1" t="n">
        <v>0.0294644</v>
      </c>
      <c r="F560" s="1" t="n">
        <v>8.01458E-005</v>
      </c>
      <c r="G560" s="1" t="s">
        <v>27</v>
      </c>
      <c r="H560" s="1" t="n">
        <v>53.2</v>
      </c>
      <c r="I560" s="1" t="n">
        <v>127.3</v>
      </c>
      <c r="J560" s="1" t="n">
        <v>0</v>
      </c>
      <c r="K560" s="1"/>
      <c r="L560" s="1" t="n">
        <v>0</v>
      </c>
      <c r="M560" s="1" t="n">
        <v>0</v>
      </c>
      <c r="N560" s="1" t="s">
        <v>372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0" t="n">
        <f aca="false">I560+0</f>
        <v>127.3</v>
      </c>
      <c r="AB560" s="0" t="n">
        <f aca="false">IF(Z560&gt;360,Z560-360,Z560+0)</f>
        <v>127.3</v>
      </c>
      <c r="AC560" s="1"/>
      <c r="AD560" s="1"/>
      <c r="AE560" s="1"/>
      <c r="AF560" s="1"/>
    </row>
    <row r="561" customFormat="false" ht="15.8" hidden="false" customHeight="false" outlineLevel="0" collapsed="false">
      <c r="A561" s="1" t="n">
        <v>14</v>
      </c>
      <c r="B561" s="1" t="n">
        <v>19</v>
      </c>
      <c r="C561" s="1" t="n">
        <v>2.3</v>
      </c>
      <c r="D561" s="1" t="n">
        <v>1.1525</v>
      </c>
      <c r="E561" s="1" t="n">
        <v>0.0791306</v>
      </c>
      <c r="F561" s="1" t="n">
        <v>0.000215242</v>
      </c>
      <c r="G561" s="1" t="s">
        <v>52</v>
      </c>
      <c r="H561" s="1" t="n">
        <v>40.5</v>
      </c>
      <c r="I561" s="1" t="n">
        <v>154.9</v>
      </c>
      <c r="J561" s="1" t="n">
        <v>-47.5</v>
      </c>
      <c r="K561" s="1" t="n">
        <v>53.2</v>
      </c>
      <c r="L561" s="1" t="n">
        <v>0</v>
      </c>
      <c r="M561" s="1" t="n">
        <v>0</v>
      </c>
      <c r="N561" s="1" t="s">
        <v>373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0" t="n">
        <f aca="false">I561+0</f>
        <v>154.9</v>
      </c>
      <c r="AB561" s="0" t="n">
        <f aca="false">IF(Z561&gt;360,Z561-360,Z561+0)</f>
        <v>154.9</v>
      </c>
      <c r="AC561" s="1"/>
      <c r="AD561" s="1"/>
      <c r="AE561" s="1"/>
      <c r="AF561" s="1"/>
    </row>
    <row r="562" customFormat="false" ht="15.8" hidden="false" customHeight="false" outlineLevel="0" collapsed="false">
      <c r="A562" s="1" t="n">
        <v>14</v>
      </c>
      <c r="B562" s="1" t="n">
        <v>19</v>
      </c>
      <c r="C562" s="1" t="n">
        <v>1.4</v>
      </c>
      <c r="D562" s="1" t="n">
        <v>1.1954</v>
      </c>
      <c r="E562" s="1" t="n">
        <v>0.0481839</v>
      </c>
      <c r="F562" s="1" t="n">
        <v>0.000131064</v>
      </c>
      <c r="G562" s="1" t="s">
        <v>27</v>
      </c>
      <c r="H562" s="1" t="n">
        <v>70.6</v>
      </c>
      <c r="I562" s="1" t="n">
        <v>95.4</v>
      </c>
      <c r="J562" s="1" t="n">
        <v>-38.9</v>
      </c>
      <c r="K562" s="1"/>
      <c r="L562" s="1" t="n">
        <v>0</v>
      </c>
      <c r="M562" s="1" t="n">
        <v>0</v>
      </c>
      <c r="N562" s="1" t="s">
        <v>373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0" t="n">
        <f aca="false">I562+0</f>
        <v>95.4</v>
      </c>
      <c r="AB562" s="0" t="n">
        <f aca="false">IF(Z562&gt;360,Z562-360,Z562+0)</f>
        <v>95.4</v>
      </c>
      <c r="AC562" s="1"/>
      <c r="AD562" s="1"/>
      <c r="AE562" s="1"/>
      <c r="AF562" s="1"/>
    </row>
    <row r="563" customFormat="false" ht="15.8" hidden="false" customHeight="false" outlineLevel="0" collapsed="false">
      <c r="A563" s="1" t="n">
        <v>14</v>
      </c>
      <c r="B563" s="1" t="n">
        <v>18</v>
      </c>
      <c r="C563" s="1" t="n">
        <v>1.4</v>
      </c>
      <c r="D563" s="1" t="n">
        <v>1.1223</v>
      </c>
      <c r="E563" s="1" t="n">
        <v>0.0478583</v>
      </c>
      <c r="F563" s="1" t="n">
        <v>0.000130179</v>
      </c>
      <c r="G563" s="1" t="s">
        <v>52</v>
      </c>
      <c r="H563" s="1" t="n">
        <v>56.8</v>
      </c>
      <c r="I563" s="1" t="n">
        <v>225</v>
      </c>
      <c r="J563" s="1" t="n">
        <v>-62.8</v>
      </c>
      <c r="K563" s="1" t="n">
        <v>70.6</v>
      </c>
      <c r="L563" s="1" t="n">
        <v>0</v>
      </c>
      <c r="M563" s="1" t="n">
        <v>0</v>
      </c>
      <c r="N563" s="1" t="s">
        <v>371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0" t="n">
        <f aca="false">I563+0</f>
        <v>225</v>
      </c>
      <c r="AB563" s="0" t="n">
        <f aca="false">IF(Z563&gt;360,Z563-360,Z563+0)</f>
        <v>225</v>
      </c>
      <c r="AC563" s="1"/>
      <c r="AD563" s="1"/>
      <c r="AE563" s="1"/>
      <c r="AF563" s="1"/>
    </row>
    <row r="564" customFormat="false" ht="15.8" hidden="false" customHeight="false" outlineLevel="0" collapsed="false">
      <c r="A564" s="1" t="n">
        <v>14</v>
      </c>
      <c r="B564" s="1" t="n">
        <v>17</v>
      </c>
      <c r="C564" s="1" t="n">
        <v>6.3</v>
      </c>
      <c r="D564" s="1" t="n">
        <v>1.2515</v>
      </c>
      <c r="E564" s="1" t="n">
        <v>0.215502</v>
      </c>
      <c r="F564" s="1" t="n">
        <v>0.000586184</v>
      </c>
      <c r="G564" s="1" t="s">
        <v>52</v>
      </c>
      <c r="H564" s="1" t="n">
        <v>86</v>
      </c>
      <c r="I564" s="1" t="n">
        <v>262.7</v>
      </c>
      <c r="J564" s="1" t="n">
        <v>-12.7</v>
      </c>
      <c r="K564" s="1" t="n">
        <v>56.8</v>
      </c>
      <c r="L564" s="1" t="n">
        <v>0</v>
      </c>
      <c r="M564" s="1" t="n">
        <v>0</v>
      </c>
      <c r="N564" s="1" t="s">
        <v>370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0" t="n">
        <f aca="false">I564+0</f>
        <v>262.7</v>
      </c>
      <c r="AB564" s="0" t="n">
        <f aca="false">IF(Z564&gt;360,Z564-360,Z564+0)</f>
        <v>262.7</v>
      </c>
      <c r="AC564" s="1"/>
      <c r="AD564" s="1"/>
      <c r="AE564" s="1"/>
      <c r="AF564" s="1"/>
    </row>
    <row r="565" customFormat="false" ht="15.8" hidden="false" customHeight="false" outlineLevel="0" collapsed="false">
      <c r="A565" s="1" t="n">
        <v>14</v>
      </c>
      <c r="B565" s="1" t="n">
        <v>16</v>
      </c>
      <c r="C565" s="1" t="n">
        <v>2.3</v>
      </c>
      <c r="D565" s="1" t="n">
        <v>1.154</v>
      </c>
      <c r="E565" s="1" t="n">
        <v>0.0772783</v>
      </c>
      <c r="F565" s="1" t="n">
        <v>0.000210204</v>
      </c>
      <c r="G565" s="1" t="s">
        <v>52</v>
      </c>
      <c r="H565" s="1" t="n">
        <v>16.4</v>
      </c>
      <c r="I565" s="1" t="n">
        <v>174.5</v>
      </c>
      <c r="J565" s="1" t="n">
        <v>-10.9</v>
      </c>
      <c r="K565" s="1" t="n">
        <v>86</v>
      </c>
      <c r="L565" s="1" t="n">
        <v>0</v>
      </c>
      <c r="M565" s="1" t="n">
        <v>0</v>
      </c>
      <c r="N565" s="1" t="s">
        <v>374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0" t="n">
        <f aca="false">I565+0</f>
        <v>174.5</v>
      </c>
      <c r="AB565" s="0" t="n">
        <f aca="false">IF(Z565&gt;360,Z565-360,Z565+0)</f>
        <v>174.5</v>
      </c>
      <c r="AC565" s="1"/>
      <c r="AD565" s="1"/>
      <c r="AE565" s="1"/>
      <c r="AF565" s="1"/>
    </row>
    <row r="566" customFormat="false" ht="15.8" hidden="false" customHeight="false" outlineLevel="0" collapsed="false">
      <c r="A566" s="1" t="n">
        <v>14</v>
      </c>
      <c r="B566" s="1" t="n">
        <v>16</v>
      </c>
      <c r="C566" s="1" t="n">
        <v>2.5</v>
      </c>
      <c r="D566" s="1" t="n">
        <v>1.1658</v>
      </c>
      <c r="E566" s="1" t="n">
        <v>0.0852662</v>
      </c>
      <c r="F566" s="1" t="n">
        <v>0.000231932</v>
      </c>
      <c r="G566" s="1" t="s">
        <v>27</v>
      </c>
      <c r="H566" s="1" t="n">
        <v>16.4</v>
      </c>
      <c r="I566" s="1" t="n">
        <v>184.4</v>
      </c>
      <c r="J566" s="1" t="n">
        <v>20.2</v>
      </c>
      <c r="K566" s="1"/>
      <c r="L566" s="1" t="n">
        <v>0</v>
      </c>
      <c r="M566" s="1" t="n">
        <v>0</v>
      </c>
      <c r="N566" s="1" t="s">
        <v>374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0" t="n">
        <f aca="false">I566+0</f>
        <v>184.4</v>
      </c>
      <c r="AB566" s="0" t="n">
        <f aca="false">IF(Z566&gt;360,Z566-360,Z566+0)</f>
        <v>184.4</v>
      </c>
      <c r="AC566" s="1"/>
      <c r="AD566" s="1"/>
      <c r="AE566" s="1"/>
      <c r="AF566" s="1"/>
    </row>
    <row r="567" customFormat="false" ht="15.8" hidden="false" customHeight="false" outlineLevel="0" collapsed="false">
      <c r="A567" s="1" t="n">
        <v>14</v>
      </c>
      <c r="B567" s="1" t="n">
        <v>16</v>
      </c>
      <c r="C567" s="1" t="n">
        <v>2.3</v>
      </c>
      <c r="D567" s="1" t="n">
        <v>1.5047</v>
      </c>
      <c r="E567" s="1" t="n">
        <v>0.0780424</v>
      </c>
      <c r="F567" s="1" t="n">
        <v>0.000212282</v>
      </c>
      <c r="G567" s="1" t="s">
        <v>27</v>
      </c>
      <c r="H567" s="1" t="n">
        <v>64.9</v>
      </c>
      <c r="I567" s="1" t="n">
        <v>112.3</v>
      </c>
      <c r="J567" s="1" t="n">
        <v>0</v>
      </c>
      <c r="K567" s="1"/>
      <c r="L567" s="1" t="n">
        <v>0</v>
      </c>
      <c r="M567" s="1" t="n">
        <v>0</v>
      </c>
      <c r="N567" s="1" t="s">
        <v>374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0" t="n">
        <f aca="false">I567+0</f>
        <v>112.3</v>
      </c>
      <c r="AB567" s="0" t="n">
        <f aca="false">IF(Z567&gt;360,Z567-360,Z567+0)</f>
        <v>112.3</v>
      </c>
      <c r="AC567" s="1"/>
      <c r="AD567" s="1"/>
      <c r="AE567" s="1"/>
      <c r="AF567" s="1"/>
    </row>
    <row r="568" customFormat="false" ht="15.8" hidden="false" customHeight="false" outlineLevel="0" collapsed="false">
      <c r="A568" s="1" t="n">
        <v>14</v>
      </c>
      <c r="B568" s="1" t="n">
        <v>15</v>
      </c>
      <c r="C568" s="1" t="n">
        <v>4.4</v>
      </c>
      <c r="D568" s="1" t="n">
        <v>1.1168</v>
      </c>
      <c r="E568" s="1" t="n">
        <v>0.151612</v>
      </c>
      <c r="F568" s="1" t="n">
        <v>0.000412398</v>
      </c>
      <c r="G568" s="1" t="s">
        <v>52</v>
      </c>
      <c r="H568" s="1" t="n">
        <v>11.6</v>
      </c>
      <c r="I568" s="1" t="n">
        <v>177.2</v>
      </c>
      <c r="J568" s="1" t="n">
        <v>5.3</v>
      </c>
      <c r="K568" s="1" t="n">
        <v>64.9</v>
      </c>
      <c r="L568" s="1" t="n">
        <v>0</v>
      </c>
      <c r="M568" s="1" t="n">
        <v>0</v>
      </c>
      <c r="N568" s="1" t="s">
        <v>364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0" t="n">
        <f aca="false">I568+0</f>
        <v>177.2</v>
      </c>
      <c r="AB568" s="0" t="n">
        <f aca="false">IF(Z568&gt;360,Z568-360,Z568+0)</f>
        <v>177.2</v>
      </c>
      <c r="AC568" s="1"/>
      <c r="AD568" s="1"/>
      <c r="AE568" s="1"/>
      <c r="AF568" s="1"/>
    </row>
    <row r="569" customFormat="false" ht="15.8" hidden="false" customHeight="false" outlineLevel="0" collapsed="false">
      <c r="A569" s="1" t="n">
        <v>14</v>
      </c>
      <c r="B569" s="1" t="n">
        <v>15</v>
      </c>
      <c r="C569" s="1" t="n">
        <v>1</v>
      </c>
      <c r="D569" s="1" t="n">
        <v>1.1666</v>
      </c>
      <c r="E569" s="1" t="n">
        <v>0.0346828</v>
      </c>
      <c r="F569" s="1" t="n">
        <v>9.43401E-005</v>
      </c>
      <c r="G569" s="1" t="s">
        <v>27</v>
      </c>
      <c r="H569" s="1" t="n">
        <v>46.8</v>
      </c>
      <c r="I569" s="1" t="n">
        <v>139.5</v>
      </c>
      <c r="J569" s="1" t="n">
        <v>-25.2</v>
      </c>
      <c r="K569" s="1"/>
      <c r="L569" s="1" t="n">
        <v>0</v>
      </c>
      <c r="M569" s="1" t="n">
        <v>0</v>
      </c>
      <c r="N569" s="1" t="s">
        <v>364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0" t="n">
        <f aca="false">I569+0</f>
        <v>139.5</v>
      </c>
      <c r="AB569" s="0" t="n">
        <f aca="false">IF(Z569&gt;360,Z569-360,Z569+0)</f>
        <v>139.5</v>
      </c>
      <c r="AC569" s="1"/>
      <c r="AD569" s="1"/>
      <c r="AE569" s="1"/>
      <c r="AF569" s="1"/>
    </row>
    <row r="570" customFormat="false" ht="15.8" hidden="false" customHeight="false" outlineLevel="0" collapsed="false">
      <c r="A570" s="1" t="n">
        <v>14</v>
      </c>
      <c r="B570" s="1" t="n">
        <v>14</v>
      </c>
      <c r="C570" s="1" t="n">
        <v>2</v>
      </c>
      <c r="D570" s="1" t="n">
        <v>1.1558</v>
      </c>
      <c r="E570" s="1" t="n">
        <v>0.0675316</v>
      </c>
      <c r="F570" s="1" t="n">
        <v>0.000183692</v>
      </c>
      <c r="G570" s="1" t="s">
        <v>52</v>
      </c>
      <c r="H570" s="1" t="n">
        <v>26.6</v>
      </c>
      <c r="I570" s="1" t="n">
        <v>168</v>
      </c>
      <c r="J570" s="1" t="n">
        <v>12.5</v>
      </c>
      <c r="K570" s="1" t="n">
        <v>98.1</v>
      </c>
      <c r="L570" s="1" t="n">
        <v>0</v>
      </c>
      <c r="M570" s="1" t="n">
        <v>0</v>
      </c>
      <c r="N570" s="1" t="s">
        <v>375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0" t="n">
        <f aca="false">I570+0</f>
        <v>168</v>
      </c>
      <c r="AB570" s="0" t="n">
        <f aca="false">IF(Z570&gt;360,Z570-360,Z570+0)</f>
        <v>168</v>
      </c>
      <c r="AC570" s="1"/>
      <c r="AD570" s="1"/>
      <c r="AE570" s="1"/>
      <c r="AF570" s="1"/>
    </row>
    <row r="571" customFormat="false" ht="15.8" hidden="false" customHeight="false" outlineLevel="0" collapsed="false">
      <c r="A571" s="1" t="n">
        <v>14</v>
      </c>
      <c r="B571" s="1" t="n">
        <v>14</v>
      </c>
      <c r="C571" s="1" t="n">
        <v>1.3</v>
      </c>
      <c r="D571" s="1" t="n">
        <v>1.0905</v>
      </c>
      <c r="E571" s="1" t="n">
        <v>0.0448829</v>
      </c>
      <c r="F571" s="1" t="n">
        <v>0.000122085</v>
      </c>
      <c r="G571" s="1" t="s">
        <v>27</v>
      </c>
      <c r="H571" s="1" t="n">
        <v>57.4</v>
      </c>
      <c r="I571" s="1" t="n">
        <v>247.1</v>
      </c>
      <c r="J571" s="1" t="n">
        <v>17.9</v>
      </c>
      <c r="K571" s="1"/>
      <c r="L571" s="1" t="n">
        <v>0</v>
      </c>
      <c r="M571" s="1" t="n">
        <v>0</v>
      </c>
      <c r="N571" s="1" t="s">
        <v>375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0" t="n">
        <f aca="false">I571+0</f>
        <v>247.1</v>
      </c>
      <c r="AB571" s="0" t="n">
        <f aca="false">IF(Z571&gt;360,Z571-360,Z571+0)</f>
        <v>247.1</v>
      </c>
      <c r="AC571" s="1"/>
      <c r="AD571" s="1"/>
      <c r="AE571" s="1"/>
      <c r="AF571" s="1"/>
    </row>
    <row r="572" customFormat="false" ht="15.8" hidden="false" customHeight="false" outlineLevel="0" collapsed="false">
      <c r="A572" s="1" t="n">
        <v>14</v>
      </c>
      <c r="B572" s="1" t="n">
        <v>14</v>
      </c>
      <c r="C572" s="1" t="n">
        <v>1.2</v>
      </c>
      <c r="D572" s="1" t="n">
        <v>1.0197</v>
      </c>
      <c r="E572" s="1" t="n">
        <v>0.0404961</v>
      </c>
      <c r="F572" s="1" t="n">
        <v>0.000110153</v>
      </c>
      <c r="G572" s="1" t="s">
        <v>27</v>
      </c>
      <c r="H572" s="1" t="n">
        <v>111.9</v>
      </c>
      <c r="I572" s="1" t="n">
        <v>303.5</v>
      </c>
      <c r="J572" s="1" t="n">
        <v>0</v>
      </c>
      <c r="K572" s="1"/>
      <c r="L572" s="1" t="n">
        <v>0</v>
      </c>
      <c r="M572" s="1" t="n">
        <v>0</v>
      </c>
      <c r="N572" s="1" t="s">
        <v>375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0" t="n">
        <f aca="false">I572+0</f>
        <v>303.5</v>
      </c>
      <c r="AB572" s="0" t="n">
        <f aca="false">IF(Z572&gt;360,Z572-360,Z572+0)</f>
        <v>303.5</v>
      </c>
      <c r="AC572" s="1"/>
      <c r="AD572" s="1"/>
      <c r="AE572" s="1"/>
      <c r="AF572" s="1"/>
    </row>
    <row r="573" customFormat="false" ht="15.8" hidden="false" customHeight="false" outlineLevel="0" collapsed="false">
      <c r="A573" s="1" t="n">
        <v>14</v>
      </c>
      <c r="B573" s="1" t="n">
        <v>13</v>
      </c>
      <c r="C573" s="1" t="n">
        <v>1.2</v>
      </c>
      <c r="D573" s="1" t="n">
        <v>1.0036</v>
      </c>
      <c r="E573" s="1" t="n">
        <v>0.042675</v>
      </c>
      <c r="F573" s="1" t="n">
        <v>0.00011608</v>
      </c>
      <c r="G573" s="1" t="s">
        <v>52</v>
      </c>
      <c r="H573" s="1" t="n">
        <v>11.8</v>
      </c>
      <c r="I573" s="1" t="n">
        <v>191.6</v>
      </c>
      <c r="J573" s="1" t="n">
        <v>0</v>
      </c>
      <c r="K573" s="1" t="n">
        <v>111.9</v>
      </c>
      <c r="L573" s="1" t="n">
        <v>0</v>
      </c>
      <c r="M573" s="1" t="n">
        <v>0</v>
      </c>
      <c r="N573" s="1" t="s">
        <v>376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0" t="n">
        <f aca="false">I573+0</f>
        <v>191.6</v>
      </c>
      <c r="AB573" s="0" t="n">
        <f aca="false">IF(Z573&gt;360,Z573-360,Z573+0)</f>
        <v>191.6</v>
      </c>
      <c r="AC573" s="1"/>
      <c r="AD573" s="1"/>
      <c r="AE573" s="1"/>
      <c r="AF573" s="1"/>
    </row>
    <row r="574" customFormat="false" ht="15.8" hidden="false" customHeight="false" outlineLevel="0" collapsed="false">
      <c r="A574" s="1" t="n">
        <v>14</v>
      </c>
      <c r="B574" s="1" t="n">
        <v>16</v>
      </c>
      <c r="C574" s="1" t="n">
        <v>1.9</v>
      </c>
      <c r="D574" s="1" t="n">
        <v>1.1445</v>
      </c>
      <c r="E574" s="1" t="n">
        <v>0.0652228</v>
      </c>
      <c r="F574" s="1" t="n">
        <v>0.000177412</v>
      </c>
      <c r="G574" s="1" t="s">
        <v>27</v>
      </c>
      <c r="H574" s="1" t="n">
        <v>23.5</v>
      </c>
      <c r="I574" s="1" t="n">
        <v>152.1</v>
      </c>
      <c r="J574" s="1" t="n">
        <v>12.8</v>
      </c>
      <c r="K574" s="1"/>
      <c r="L574" s="1" t="n">
        <v>0</v>
      </c>
      <c r="M574" s="1" t="n">
        <v>0</v>
      </c>
      <c r="N574" s="1" t="s">
        <v>377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0" t="n">
        <f aca="false">I574+0</f>
        <v>152.1</v>
      </c>
      <c r="AB574" s="0" t="n">
        <f aca="false">IF(Z574&gt;360,Z574-360,Z574+0)</f>
        <v>152.1</v>
      </c>
      <c r="AC574" s="1"/>
      <c r="AD574" s="1"/>
      <c r="AE574" s="1"/>
      <c r="AF574" s="1"/>
    </row>
    <row r="575" customFormat="false" ht="15.8" hidden="false" customHeight="false" outlineLevel="0" collapsed="false">
      <c r="A575" s="1" t="n">
        <v>14</v>
      </c>
      <c r="B575" s="1" t="n">
        <v>16</v>
      </c>
      <c r="C575" s="1" t="n">
        <v>0.6</v>
      </c>
      <c r="D575" s="1" t="n">
        <v>1.0085</v>
      </c>
      <c r="E575" s="1" t="n">
        <v>0.0192784</v>
      </c>
      <c r="F575" s="1" t="n">
        <v>5.2439E-005</v>
      </c>
      <c r="G575" s="1" t="s">
        <v>27</v>
      </c>
      <c r="H575" s="1" t="n">
        <v>61</v>
      </c>
      <c r="I575" s="1" t="n">
        <v>232.9</v>
      </c>
      <c r="J575" s="1" t="n">
        <v>0</v>
      </c>
      <c r="K575" s="1"/>
      <c r="L575" s="1" t="n">
        <v>0</v>
      </c>
      <c r="M575" s="1" t="n">
        <v>0</v>
      </c>
      <c r="N575" s="1" t="s">
        <v>377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0" t="n">
        <f aca="false">I575+0</f>
        <v>232.9</v>
      </c>
      <c r="AB575" s="0" t="n">
        <f aca="false">IF(Z575&gt;360,Z575-360,Z575+0)</f>
        <v>232.9</v>
      </c>
      <c r="AC575" s="1"/>
      <c r="AD575" s="1"/>
      <c r="AE575" s="1"/>
      <c r="AF575" s="1"/>
    </row>
    <row r="576" customFormat="false" ht="15.8" hidden="false" customHeight="false" outlineLevel="0" collapsed="false">
      <c r="A576" s="1" t="n">
        <v>14</v>
      </c>
      <c r="B576" s="1" t="n">
        <v>15</v>
      </c>
      <c r="C576" s="1" t="n">
        <v>1.1</v>
      </c>
      <c r="D576" s="1" t="n">
        <v>1.0716</v>
      </c>
      <c r="E576" s="1" t="n">
        <v>0.0366351</v>
      </c>
      <c r="F576" s="1" t="n">
        <v>9.96508E-005</v>
      </c>
      <c r="G576" s="1" t="s">
        <v>52</v>
      </c>
      <c r="H576" s="1" t="n">
        <v>22.8</v>
      </c>
      <c r="I576" s="1" t="n">
        <v>171.9</v>
      </c>
      <c r="J576" s="1" t="n">
        <v>0</v>
      </c>
      <c r="K576" s="1" t="n">
        <v>61</v>
      </c>
      <c r="L576" s="1" t="n">
        <v>0</v>
      </c>
      <c r="M576" s="1" t="n">
        <v>0</v>
      </c>
      <c r="N576" s="1" t="s">
        <v>378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0" t="n">
        <f aca="false">I576+0</f>
        <v>171.9</v>
      </c>
      <c r="AB576" s="0" t="n">
        <f aca="false">IF(Z576&gt;360,Z576-360,Z576+0)</f>
        <v>171.9</v>
      </c>
      <c r="AC576" s="1"/>
      <c r="AD576" s="1"/>
      <c r="AE576" s="1"/>
      <c r="AF576" s="1"/>
    </row>
    <row r="577" customFormat="false" ht="15.8" hidden="false" customHeight="false" outlineLevel="0" collapsed="false">
      <c r="A577" s="1" t="n">
        <v>14</v>
      </c>
      <c r="B577" s="1" t="n">
        <v>16</v>
      </c>
      <c r="C577" s="1" t="n">
        <v>1.3</v>
      </c>
      <c r="D577" s="1" t="n">
        <v>1.0111</v>
      </c>
      <c r="E577" s="1" t="n">
        <v>0.0447635</v>
      </c>
      <c r="F577" s="1" t="n">
        <v>0.000121761</v>
      </c>
      <c r="G577" s="1" t="s">
        <v>27</v>
      </c>
      <c r="H577" s="1" t="n">
        <v>105.4</v>
      </c>
      <c r="I577" s="1" t="n">
        <v>181.4</v>
      </c>
      <c r="J577" s="1" t="n">
        <v>0</v>
      </c>
      <c r="K577" s="1"/>
      <c r="L577" s="1" t="n">
        <v>0</v>
      </c>
      <c r="M577" s="1" t="n">
        <v>0</v>
      </c>
      <c r="N577" s="1" t="s">
        <v>379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0" t="n">
        <f aca="false">I577+0</f>
        <v>181.4</v>
      </c>
      <c r="AB577" s="0" t="n">
        <f aca="false">IF(Z577&gt;360,Z577-360,Z577+0)</f>
        <v>181.4</v>
      </c>
      <c r="AC577" s="1"/>
      <c r="AD577" s="1"/>
      <c r="AE577" s="1"/>
      <c r="AF577" s="1"/>
    </row>
    <row r="578" customFormat="false" ht="15.8" hidden="false" customHeight="false" outlineLevel="0" collapsed="false">
      <c r="A578" s="1" t="n">
        <v>14</v>
      </c>
      <c r="B578" s="1" t="n">
        <v>16</v>
      </c>
      <c r="C578" s="1" t="n">
        <v>0.3</v>
      </c>
      <c r="D578" s="1" t="n">
        <v>1</v>
      </c>
      <c r="E578" s="1" t="n">
        <v>0.0119242</v>
      </c>
      <c r="F578" s="1" t="n">
        <v>3.24348E-005</v>
      </c>
      <c r="G578" s="1" t="s">
        <v>27</v>
      </c>
      <c r="H578" s="1" t="n">
        <v>75.2</v>
      </c>
      <c r="I578" s="1" t="n">
        <v>356.4</v>
      </c>
      <c r="J578" s="1" t="n">
        <v>0</v>
      </c>
      <c r="K578" s="1"/>
      <c r="L578" s="1" t="n">
        <v>0</v>
      </c>
      <c r="M578" s="1" t="n">
        <v>0</v>
      </c>
      <c r="N578" s="1" t="s">
        <v>379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0" t="n">
        <f aca="false">I578+0</f>
        <v>356.4</v>
      </c>
      <c r="AB578" s="0" t="n">
        <f aca="false">IF(Z578&gt;360,Z578-360,Z578+0)</f>
        <v>356.4</v>
      </c>
      <c r="AC578" s="1"/>
      <c r="AD578" s="1"/>
      <c r="AE578" s="1"/>
      <c r="AF578" s="1"/>
    </row>
    <row r="579" customFormat="false" ht="15.8" hidden="false" customHeight="false" outlineLevel="0" collapsed="false">
      <c r="A579" s="1" t="n">
        <v>14</v>
      </c>
      <c r="B579" s="1" t="n">
        <v>15</v>
      </c>
      <c r="C579" s="1" t="n">
        <v>1.2</v>
      </c>
      <c r="D579" s="1" t="n">
        <v>1.0154</v>
      </c>
      <c r="E579" s="1" t="n">
        <v>0.0401677</v>
      </c>
      <c r="F579" s="1" t="n">
        <v>0.00010926</v>
      </c>
      <c r="G579" s="1" t="s">
        <v>52</v>
      </c>
      <c r="H579" s="1" t="n">
        <v>99.9</v>
      </c>
      <c r="I579" s="1" t="n">
        <v>21.4</v>
      </c>
      <c r="J579" s="1" t="n">
        <v>-73.6</v>
      </c>
      <c r="K579" s="1" t="n">
        <v>105.4</v>
      </c>
      <c r="L579" s="1" t="n">
        <v>0</v>
      </c>
      <c r="M579" s="1" t="n">
        <v>0</v>
      </c>
      <c r="N579" s="1" t="s">
        <v>378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0" t="n">
        <f aca="false">I579+0</f>
        <v>21.4</v>
      </c>
      <c r="AB579" s="0" t="n">
        <f aca="false">IF(Z579&gt;360,Z579-360,Z579+0)</f>
        <v>21.4</v>
      </c>
      <c r="AC579" s="1"/>
      <c r="AD579" s="1"/>
      <c r="AE579" s="1"/>
      <c r="AF579" s="1"/>
    </row>
    <row r="580" customFormat="false" ht="15.8" hidden="false" customHeight="false" outlineLevel="0" collapsed="false">
      <c r="A580" s="1" t="n">
        <v>14</v>
      </c>
      <c r="B580" s="1" t="n">
        <v>14</v>
      </c>
      <c r="C580" s="1" t="n">
        <v>1</v>
      </c>
      <c r="D580" s="1" t="n">
        <v>1.0124</v>
      </c>
      <c r="E580" s="1" t="n">
        <v>0.0351277</v>
      </c>
      <c r="F580" s="1" t="n">
        <v>9.55505E-005</v>
      </c>
      <c r="G580" s="1" t="s">
        <v>52</v>
      </c>
      <c r="H580" s="1" t="n">
        <v>54</v>
      </c>
      <c r="I580" s="1" t="n">
        <v>149</v>
      </c>
      <c r="J580" s="1" t="n">
        <v>0</v>
      </c>
      <c r="K580" s="1" t="n">
        <v>99.9</v>
      </c>
      <c r="L580" s="1" t="n">
        <v>0</v>
      </c>
      <c r="M580" s="1" t="n">
        <v>0</v>
      </c>
      <c r="N580" s="1" t="s">
        <v>380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0" t="n">
        <f aca="false">I580+0</f>
        <v>149</v>
      </c>
      <c r="AB580" s="0" t="n">
        <f aca="false">IF(Z580&gt;360,Z580-360,Z580+0)</f>
        <v>149</v>
      </c>
      <c r="AC580" s="1"/>
      <c r="AD580" s="1"/>
      <c r="AE580" s="1"/>
      <c r="AF580" s="1"/>
    </row>
    <row r="581" customFormat="false" ht="15.8" hidden="false" customHeight="false" outlineLevel="0" collapsed="false">
      <c r="A581" s="1" t="n">
        <v>14</v>
      </c>
      <c r="B581" s="1" t="n">
        <v>14</v>
      </c>
      <c r="C581" s="1" t="n">
        <v>0.5</v>
      </c>
      <c r="D581" s="1" t="n">
        <v>1.0083</v>
      </c>
      <c r="E581" s="1" t="n">
        <v>0.0176287</v>
      </c>
      <c r="F581" s="1" t="n">
        <v>4.79516E-005</v>
      </c>
      <c r="G581" s="1" t="s">
        <v>27</v>
      </c>
      <c r="H581" s="1" t="n">
        <v>76.7</v>
      </c>
      <c r="I581" s="1" t="n">
        <v>38.1</v>
      </c>
      <c r="J581" s="1" t="n">
        <v>0</v>
      </c>
      <c r="K581" s="1"/>
      <c r="L581" s="1" t="n">
        <v>0</v>
      </c>
      <c r="M581" s="1" t="n">
        <v>0</v>
      </c>
      <c r="N581" s="1" t="s">
        <v>380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0" t="n">
        <f aca="false">I581+0</f>
        <v>38.1</v>
      </c>
      <c r="AB581" s="0" t="n">
        <f aca="false">IF(Z581&gt;360,Z581-360,Z581+0)</f>
        <v>38.1</v>
      </c>
      <c r="AC581" s="1"/>
      <c r="AD581" s="1"/>
      <c r="AE581" s="1"/>
      <c r="AF581" s="1"/>
    </row>
    <row r="582" customFormat="false" ht="15.8" hidden="false" customHeight="false" outlineLevel="0" collapsed="false">
      <c r="A582" s="1" t="n">
        <v>14</v>
      </c>
      <c r="B582" s="1" t="n">
        <v>13</v>
      </c>
      <c r="C582" s="1" t="n">
        <v>1.2</v>
      </c>
      <c r="D582" s="1" t="n">
        <v>1.1113</v>
      </c>
      <c r="E582" s="1" t="n">
        <v>0.0427178</v>
      </c>
      <c r="F582" s="1" t="n">
        <v>0.000116196</v>
      </c>
      <c r="G582" s="1" t="s">
        <v>52</v>
      </c>
      <c r="H582" s="1" t="n">
        <v>84.6</v>
      </c>
      <c r="I582" s="1" t="n">
        <v>110.3</v>
      </c>
      <c r="J582" s="1" t="n">
        <v>-41.1</v>
      </c>
      <c r="K582" s="1" t="n">
        <v>76.7</v>
      </c>
      <c r="L582" s="1" t="n">
        <v>0</v>
      </c>
      <c r="M582" s="1" t="n">
        <v>0</v>
      </c>
      <c r="N582" s="1" t="s">
        <v>376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0" t="n">
        <f aca="false">I582+0</f>
        <v>110.3</v>
      </c>
      <c r="AB582" s="0" t="n">
        <f aca="false">IF(Z582&gt;360,Z582-360,Z582+0)</f>
        <v>110.3</v>
      </c>
      <c r="AC582" s="1"/>
      <c r="AD582" s="1"/>
      <c r="AE582" s="1"/>
      <c r="AF582" s="1"/>
    </row>
    <row r="583" customFormat="false" ht="15.8" hidden="false" customHeight="false" outlineLevel="0" collapsed="false">
      <c r="A583" s="1" t="n">
        <v>14</v>
      </c>
      <c r="B583" s="1" t="n">
        <v>12</v>
      </c>
      <c r="C583" s="1" t="n">
        <v>2.5</v>
      </c>
      <c r="D583" s="1" t="n">
        <v>1.1043</v>
      </c>
      <c r="E583" s="1" t="n">
        <v>0.0850291</v>
      </c>
      <c r="F583" s="1" t="n">
        <v>0.000231286</v>
      </c>
      <c r="G583" s="1" t="s">
        <v>52</v>
      </c>
      <c r="H583" s="1" t="n">
        <v>38.8</v>
      </c>
      <c r="I583" s="1" t="n">
        <v>184.4</v>
      </c>
      <c r="J583" s="1" t="n">
        <v>9.5</v>
      </c>
      <c r="K583" s="1" t="n">
        <v>84.6</v>
      </c>
      <c r="L583" s="1" t="n">
        <v>0</v>
      </c>
      <c r="M583" s="1" t="n">
        <v>0</v>
      </c>
      <c r="N583" s="1" t="s">
        <v>381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0" t="n">
        <f aca="false">I583+0</f>
        <v>184.4</v>
      </c>
      <c r="AB583" s="0" t="n">
        <f aca="false">IF(Z583&gt;360,Z583-360,Z583+0)</f>
        <v>184.4</v>
      </c>
      <c r="AC583" s="1"/>
      <c r="AD583" s="1"/>
      <c r="AE583" s="1"/>
      <c r="AF583" s="1"/>
    </row>
    <row r="584" customFormat="false" ht="15.8" hidden="false" customHeight="false" outlineLevel="0" collapsed="false">
      <c r="A584" s="1" t="n">
        <v>14</v>
      </c>
      <c r="B584" s="1" t="n">
        <v>12</v>
      </c>
      <c r="C584" s="1" t="n">
        <v>3</v>
      </c>
      <c r="D584" s="1" t="n">
        <v>1.2491</v>
      </c>
      <c r="E584" s="1" t="n">
        <v>0.102565</v>
      </c>
      <c r="F584" s="1" t="n">
        <v>0.000278985</v>
      </c>
      <c r="G584" s="1" t="s">
        <v>27</v>
      </c>
      <c r="H584" s="1" t="n">
        <v>102.5</v>
      </c>
      <c r="I584" s="1" t="n">
        <v>76.2</v>
      </c>
      <c r="J584" s="1" t="n">
        <v>17.9</v>
      </c>
      <c r="K584" s="1"/>
      <c r="L584" s="1" t="n">
        <v>0</v>
      </c>
      <c r="M584" s="1" t="n">
        <v>0</v>
      </c>
      <c r="N584" s="1" t="s">
        <v>381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0" t="n">
        <f aca="false">I584+0</f>
        <v>76.2</v>
      </c>
      <c r="AB584" s="0" t="n">
        <f aca="false">IF(Z584&gt;360,Z584-360,Z584+0)</f>
        <v>76.2</v>
      </c>
      <c r="AC584" s="1"/>
      <c r="AD584" s="1"/>
      <c r="AE584" s="1"/>
      <c r="AF584" s="1"/>
    </row>
    <row r="585" customFormat="false" ht="15.8" hidden="false" customHeight="false" outlineLevel="0" collapsed="false">
      <c r="A585" s="1" t="n">
        <v>14</v>
      </c>
      <c r="B585" s="1" t="n">
        <v>11</v>
      </c>
      <c r="C585" s="1" t="n">
        <v>0.6</v>
      </c>
      <c r="D585" s="1" t="n">
        <v>1.0674</v>
      </c>
      <c r="E585" s="1" t="n">
        <v>0.0194699</v>
      </c>
      <c r="F585" s="1" t="n">
        <v>5.29597E-005</v>
      </c>
      <c r="G585" s="1" t="s">
        <v>52</v>
      </c>
      <c r="H585" s="1" t="n">
        <v>75.8</v>
      </c>
      <c r="I585" s="1" t="n">
        <v>205.1</v>
      </c>
      <c r="J585" s="1" t="n">
        <v>43.9</v>
      </c>
      <c r="K585" s="1" t="n">
        <v>102.5</v>
      </c>
      <c r="L585" s="1" t="n">
        <v>0</v>
      </c>
      <c r="M585" s="1" t="n">
        <v>0</v>
      </c>
      <c r="N585" s="1" t="s">
        <v>382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0" t="n">
        <f aca="false">I585+0</f>
        <v>205.1</v>
      </c>
      <c r="AB585" s="0" t="n">
        <f aca="false">IF(Z585&gt;360,Z585-360,Z585+0)</f>
        <v>205.1</v>
      </c>
      <c r="AC585" s="1"/>
      <c r="AD585" s="1"/>
      <c r="AE585" s="1"/>
      <c r="AF585" s="1"/>
    </row>
    <row r="586" customFormat="false" ht="15.8" hidden="false" customHeight="false" outlineLevel="0" collapsed="false">
      <c r="A586" s="1" t="n">
        <v>14</v>
      </c>
      <c r="B586" s="1" t="n">
        <v>11</v>
      </c>
      <c r="C586" s="1" t="n">
        <v>1</v>
      </c>
      <c r="D586" s="1" t="n">
        <v>1.2059</v>
      </c>
      <c r="E586" s="1" t="n">
        <v>0.0342764</v>
      </c>
      <c r="F586" s="1" t="n">
        <v>9.32347E-005</v>
      </c>
      <c r="G586" s="1" t="s">
        <v>27</v>
      </c>
      <c r="H586" s="1" t="n">
        <v>72.2</v>
      </c>
      <c r="I586" s="1" t="n">
        <v>64.9</v>
      </c>
      <c r="J586" s="1" t="n">
        <v>-26.4</v>
      </c>
      <c r="K586" s="1"/>
      <c r="L586" s="1" t="n">
        <v>0</v>
      </c>
      <c r="M586" s="1" t="n">
        <v>0</v>
      </c>
      <c r="N586" s="1" t="s">
        <v>382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0" t="n">
        <f aca="false">I586+0</f>
        <v>64.9</v>
      </c>
      <c r="AB586" s="0" t="n">
        <f aca="false">IF(Z586&gt;360,Z586-360,Z586+0)</f>
        <v>64.9</v>
      </c>
      <c r="AC586" s="1"/>
      <c r="AD586" s="1"/>
      <c r="AE586" s="1"/>
      <c r="AF586" s="1"/>
    </row>
    <row r="587" customFormat="false" ht="15.8" hidden="false" customHeight="false" outlineLevel="0" collapsed="false">
      <c r="A587" s="1" t="n">
        <v>14</v>
      </c>
      <c r="B587" s="1" t="n">
        <v>10</v>
      </c>
      <c r="C587" s="1" t="n">
        <v>1.3</v>
      </c>
      <c r="D587" s="1" t="n">
        <v>1.0072</v>
      </c>
      <c r="E587" s="1" t="n">
        <v>0.0455599</v>
      </c>
      <c r="F587" s="1" t="n">
        <v>0.000123927</v>
      </c>
      <c r="G587" s="1" t="s">
        <v>52</v>
      </c>
      <c r="H587" s="1" t="n">
        <v>22.9</v>
      </c>
      <c r="I587" s="1" t="n">
        <v>135</v>
      </c>
      <c r="J587" s="1" t="n">
        <v>0</v>
      </c>
      <c r="K587" s="1" t="n">
        <v>75.8</v>
      </c>
      <c r="L587" s="1" t="n">
        <v>0</v>
      </c>
      <c r="M587" s="1" t="n">
        <v>0</v>
      </c>
      <c r="N587" s="1" t="s">
        <v>358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0" t="n">
        <f aca="false">I587+0</f>
        <v>135</v>
      </c>
      <c r="AB587" s="0" t="n">
        <f aca="false">IF(Z587&gt;360,Z587-360,Z587+0)</f>
        <v>135</v>
      </c>
      <c r="AC587" s="1"/>
      <c r="AD587" s="1"/>
      <c r="AE587" s="1"/>
      <c r="AF587" s="1"/>
    </row>
    <row r="588" customFormat="false" ht="15.8" hidden="false" customHeight="false" outlineLevel="0" collapsed="false">
      <c r="A588" s="1" t="n">
        <v>14</v>
      </c>
      <c r="B588" s="1" t="n">
        <v>10</v>
      </c>
      <c r="C588" s="1" t="n">
        <v>1.7</v>
      </c>
      <c r="D588" s="1" t="n">
        <v>1.1826</v>
      </c>
      <c r="E588" s="1" t="n">
        <v>0.0587362</v>
      </c>
      <c r="F588" s="1" t="n">
        <v>0.000159768</v>
      </c>
      <c r="G588" s="1" t="s">
        <v>27</v>
      </c>
      <c r="H588" s="1" t="n">
        <v>130.1</v>
      </c>
      <c r="I588" s="1" t="n">
        <v>333.7</v>
      </c>
      <c r="J588" s="1" t="n">
        <v>-30.6</v>
      </c>
      <c r="K588" s="1"/>
      <c r="L588" s="1" t="n">
        <v>0</v>
      </c>
      <c r="M588" s="1" t="n">
        <v>0</v>
      </c>
      <c r="N588" s="1" t="s">
        <v>358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0" t="n">
        <f aca="false">I588+0</f>
        <v>333.7</v>
      </c>
      <c r="AB588" s="0" t="n">
        <f aca="false">IF(Z588&gt;360,Z588-360,Z588+0)</f>
        <v>333.7</v>
      </c>
      <c r="AC588" s="1"/>
      <c r="AD588" s="1"/>
      <c r="AE588" s="1"/>
      <c r="AF588" s="1"/>
    </row>
    <row r="589" customFormat="false" ht="15.8" hidden="false" customHeight="false" outlineLevel="0" collapsed="false">
      <c r="A589" s="1" t="n">
        <v>14</v>
      </c>
      <c r="B589" s="1" t="n">
        <v>9</v>
      </c>
      <c r="C589" s="1" t="n">
        <v>1</v>
      </c>
      <c r="D589" s="1" t="n">
        <v>1.0332</v>
      </c>
      <c r="E589" s="1" t="n">
        <v>0.0327523</v>
      </c>
      <c r="F589" s="1" t="n">
        <v>8.90892E-005</v>
      </c>
      <c r="G589" s="1" t="s">
        <v>52</v>
      </c>
      <c r="H589" s="1" t="n">
        <v>7.2</v>
      </c>
      <c r="I589" s="1" t="n">
        <v>112.1</v>
      </c>
      <c r="J589" s="1" t="n">
        <v>0</v>
      </c>
      <c r="K589" s="1" t="n">
        <v>130.1</v>
      </c>
      <c r="L589" s="1" t="n">
        <v>0</v>
      </c>
      <c r="M589" s="1" t="n">
        <v>0</v>
      </c>
      <c r="N589" s="1" t="s">
        <v>383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0" t="n">
        <f aca="false">I589+0</f>
        <v>112.1</v>
      </c>
      <c r="AB589" s="0" t="n">
        <f aca="false">IF(Z589&gt;360,Z589-360,Z589+0)</f>
        <v>112.1</v>
      </c>
      <c r="AC589" s="1"/>
      <c r="AD589" s="1"/>
      <c r="AE589" s="1"/>
      <c r="AF589" s="1"/>
    </row>
    <row r="590" customFormat="false" ht="15.8" hidden="false" customHeight="false" outlineLevel="0" collapsed="false">
      <c r="A590" s="1" t="n">
        <v>14</v>
      </c>
      <c r="B590" s="1" t="n">
        <v>9</v>
      </c>
      <c r="C590" s="1" t="n">
        <v>0.7</v>
      </c>
      <c r="D590" s="1" t="n">
        <v>1.0292</v>
      </c>
      <c r="E590" s="1" t="n">
        <v>0.0252518</v>
      </c>
      <c r="F590" s="1" t="n">
        <v>6.86872E-005</v>
      </c>
      <c r="G590" s="1" t="s">
        <v>27</v>
      </c>
      <c r="H590" s="1" t="n">
        <v>136.7</v>
      </c>
      <c r="I590" s="1" t="n">
        <v>256</v>
      </c>
      <c r="J590" s="1" t="n">
        <v>0</v>
      </c>
      <c r="K590" s="1"/>
      <c r="L590" s="1" t="n">
        <v>0</v>
      </c>
      <c r="M590" s="1" t="n">
        <v>0</v>
      </c>
      <c r="N590" s="1" t="s">
        <v>383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0" t="n">
        <f aca="false">I590+0</f>
        <v>256</v>
      </c>
      <c r="AB590" s="0" t="n">
        <f aca="false">IF(Z590&gt;360,Z590-360,Z590+0)</f>
        <v>256</v>
      </c>
      <c r="AC590" s="1"/>
      <c r="AD590" s="1"/>
      <c r="AE590" s="1"/>
      <c r="AF590" s="1"/>
    </row>
    <row r="591" customFormat="false" ht="15.8" hidden="false" customHeight="false" outlineLevel="0" collapsed="false">
      <c r="A591" s="1" t="n">
        <v>14</v>
      </c>
      <c r="B591" s="1" t="n">
        <v>8</v>
      </c>
      <c r="C591" s="1" t="n">
        <v>1.4</v>
      </c>
      <c r="D591" s="1" t="n">
        <v>1.0379</v>
      </c>
      <c r="E591" s="1" t="n">
        <v>0.0473545</v>
      </c>
      <c r="F591" s="1" t="n">
        <v>0.000128808</v>
      </c>
      <c r="G591" s="1" t="s">
        <v>52</v>
      </c>
      <c r="H591" s="1" t="n">
        <v>10.8</v>
      </c>
      <c r="I591" s="1" t="n">
        <v>119.3</v>
      </c>
      <c r="J591" s="1" t="n">
        <v>0</v>
      </c>
      <c r="K591" s="1" t="n">
        <v>136.7</v>
      </c>
      <c r="L591" s="1" t="n">
        <v>0</v>
      </c>
      <c r="M591" s="1" t="n">
        <v>0</v>
      </c>
      <c r="N591" s="1" t="s">
        <v>384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0" t="n">
        <f aca="false">I591+0</f>
        <v>119.3</v>
      </c>
      <c r="AB591" s="0" t="n">
        <f aca="false">IF(Z591&gt;360,Z591-360,Z591+0)</f>
        <v>119.3</v>
      </c>
      <c r="AC591" s="1"/>
      <c r="AD591" s="1"/>
      <c r="AE591" s="1"/>
      <c r="AF591" s="1"/>
    </row>
    <row r="592" customFormat="false" ht="15.8" hidden="false" customHeight="false" outlineLevel="0" collapsed="false">
      <c r="A592" s="1" t="n">
        <v>14</v>
      </c>
      <c r="B592" s="1" t="n">
        <v>8</v>
      </c>
      <c r="C592" s="1" t="n">
        <v>1</v>
      </c>
      <c r="D592" s="1" t="n">
        <v>1.0065</v>
      </c>
      <c r="E592" s="1" t="n">
        <v>0.0335242</v>
      </c>
      <c r="F592" s="1" t="n">
        <v>9.11887E-005</v>
      </c>
      <c r="G592" s="1" t="s">
        <v>27</v>
      </c>
      <c r="H592" s="1" t="n">
        <v>132.1</v>
      </c>
      <c r="I592" s="1" t="n">
        <v>246.3</v>
      </c>
      <c r="J592" s="1" t="n">
        <v>0</v>
      </c>
      <c r="K592" s="1"/>
      <c r="L592" s="1" t="n">
        <v>0</v>
      </c>
      <c r="M592" s="1" t="n">
        <v>0</v>
      </c>
      <c r="N592" s="1" t="s">
        <v>384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0" t="n">
        <f aca="false">I592+0</f>
        <v>246.3</v>
      </c>
      <c r="AB592" s="0" t="n">
        <f aca="false">IF(Z592&gt;360,Z592-360,Z592+0)</f>
        <v>246.3</v>
      </c>
      <c r="AC592" s="1"/>
      <c r="AD592" s="1"/>
      <c r="AE592" s="1"/>
      <c r="AF592" s="1"/>
    </row>
    <row r="593" customFormat="false" ht="15.8" hidden="false" customHeight="false" outlineLevel="0" collapsed="false">
      <c r="A593" s="1" t="n">
        <v>14</v>
      </c>
      <c r="B593" s="1" t="n">
        <v>7</v>
      </c>
      <c r="C593" s="1" t="n">
        <v>2.5</v>
      </c>
      <c r="D593" s="1" t="n">
        <v>1.0907</v>
      </c>
      <c r="E593" s="1" t="n">
        <v>0.086492</v>
      </c>
      <c r="F593" s="1" t="n">
        <v>0.000235266</v>
      </c>
      <c r="G593" s="1" t="s">
        <v>52</v>
      </c>
      <c r="H593" s="1" t="n">
        <v>64</v>
      </c>
      <c r="I593" s="1" t="n">
        <v>113.5</v>
      </c>
      <c r="J593" s="1" t="n">
        <v>-9.2</v>
      </c>
      <c r="K593" s="1" t="n">
        <v>132.1</v>
      </c>
      <c r="L593" s="1" t="n">
        <v>0</v>
      </c>
      <c r="M593" s="1" t="n">
        <v>0</v>
      </c>
      <c r="N593" s="1" t="s">
        <v>326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0" t="n">
        <f aca="false">I593+0</f>
        <v>113.5</v>
      </c>
      <c r="AB593" s="0" t="n">
        <f aca="false">IF(Z593&gt;360,Z593-360,Z593+0)</f>
        <v>113.5</v>
      </c>
      <c r="AC593" s="1"/>
      <c r="AD593" s="1"/>
      <c r="AE593" s="1"/>
      <c r="AF593" s="1"/>
    </row>
    <row r="594" customFormat="false" ht="15.8" hidden="false" customHeight="false" outlineLevel="0" collapsed="false">
      <c r="A594" s="1" t="n">
        <v>14</v>
      </c>
      <c r="B594" s="1" t="n">
        <v>6</v>
      </c>
      <c r="C594" s="1" t="n">
        <v>2.3</v>
      </c>
      <c r="D594" s="1" t="n">
        <v>1.0876</v>
      </c>
      <c r="E594" s="1" t="n">
        <v>0.0792941</v>
      </c>
      <c r="F594" s="1" t="n">
        <v>0.000215687</v>
      </c>
      <c r="G594" s="1" t="s">
        <v>52</v>
      </c>
      <c r="H594" s="1" t="n">
        <v>20.2</v>
      </c>
      <c r="I594" s="1" t="n">
        <v>178.5</v>
      </c>
      <c r="J594" s="1" t="n">
        <v>-10</v>
      </c>
      <c r="K594" s="1" t="n">
        <v>64</v>
      </c>
      <c r="L594" s="1" t="n">
        <v>0</v>
      </c>
      <c r="M594" s="1" t="n">
        <v>0</v>
      </c>
      <c r="N594" s="1" t="s">
        <v>385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0" t="n">
        <f aca="false">I594+0</f>
        <v>178.5</v>
      </c>
      <c r="AB594" s="0" t="n">
        <f aca="false">IF(Z594&gt;360,Z594-360,Z594+0)</f>
        <v>178.5</v>
      </c>
      <c r="AC594" s="1"/>
      <c r="AD594" s="1"/>
      <c r="AE594" s="1"/>
      <c r="AF594" s="1"/>
    </row>
    <row r="595" customFormat="false" ht="15.8" hidden="false" customHeight="false" outlineLevel="0" collapsed="false">
      <c r="A595" s="1" t="n">
        <v>14</v>
      </c>
      <c r="B595" s="1" t="n">
        <v>10</v>
      </c>
      <c r="C595" s="1" t="n">
        <v>1.3</v>
      </c>
      <c r="D595" s="1" t="n">
        <v>1.0158</v>
      </c>
      <c r="E595" s="1" t="n">
        <v>0.0428278</v>
      </c>
      <c r="F595" s="1" t="n">
        <v>0.000116495</v>
      </c>
      <c r="G595" s="1" t="s">
        <v>27</v>
      </c>
      <c r="H595" s="1" t="n">
        <v>69.1</v>
      </c>
      <c r="I595" s="1" t="n">
        <v>329.8</v>
      </c>
      <c r="J595" s="1" t="n">
        <v>0</v>
      </c>
      <c r="K595" s="1"/>
      <c r="L595" s="1" t="n">
        <v>0</v>
      </c>
      <c r="M595" s="1" t="n">
        <v>0</v>
      </c>
      <c r="N595" s="1" t="s">
        <v>386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0" t="n">
        <f aca="false">I595+0</f>
        <v>329.8</v>
      </c>
      <c r="AB595" s="0" t="n">
        <f aca="false">IF(Z595&gt;360,Z595-360,Z595+0)</f>
        <v>329.8</v>
      </c>
      <c r="AC595" s="1"/>
      <c r="AD595" s="1"/>
      <c r="AE595" s="1"/>
      <c r="AF595" s="1"/>
    </row>
    <row r="596" customFormat="false" ht="15.8" hidden="false" customHeight="false" outlineLevel="0" collapsed="false">
      <c r="A596" s="1" t="n">
        <v>14</v>
      </c>
      <c r="B596" s="1" t="n">
        <v>10</v>
      </c>
      <c r="C596" s="1" t="n">
        <v>0.5</v>
      </c>
      <c r="D596" s="1" t="n">
        <v>1.0026</v>
      </c>
      <c r="E596" s="1" t="n">
        <v>0.0161886</v>
      </c>
      <c r="F596" s="1" t="n">
        <v>4.40344E-005</v>
      </c>
      <c r="G596" s="1" t="s">
        <v>27</v>
      </c>
      <c r="H596" s="1" t="n">
        <v>15.5</v>
      </c>
      <c r="I596" s="1" t="n">
        <v>51.5</v>
      </c>
      <c r="J596" s="1" t="n">
        <v>0</v>
      </c>
      <c r="K596" s="1"/>
      <c r="L596" s="1" t="n">
        <v>0</v>
      </c>
      <c r="M596" s="1" t="n">
        <v>0</v>
      </c>
      <c r="N596" s="1" t="s">
        <v>386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0" t="n">
        <f aca="false">I596+0</f>
        <v>51.5</v>
      </c>
      <c r="AB596" s="0" t="n">
        <f aca="false">IF(Z596&gt;360,Z596-360,Z596+0)</f>
        <v>51.5</v>
      </c>
      <c r="AC596" s="1"/>
      <c r="AD596" s="1"/>
      <c r="AE596" s="1"/>
      <c r="AF596" s="1"/>
    </row>
    <row r="597" customFormat="false" ht="15.8" hidden="false" customHeight="false" outlineLevel="0" collapsed="false">
      <c r="A597" s="1" t="n">
        <v>14</v>
      </c>
      <c r="B597" s="1" t="n">
        <v>9</v>
      </c>
      <c r="C597" s="1" t="n">
        <v>2.9</v>
      </c>
      <c r="D597" s="1" t="n">
        <v>1.1692</v>
      </c>
      <c r="E597" s="1" t="n">
        <v>0.098569</v>
      </c>
      <c r="F597" s="1" t="n">
        <v>0.000268116</v>
      </c>
      <c r="G597" s="1" t="s">
        <v>52</v>
      </c>
      <c r="H597" s="1" t="n">
        <v>23.9</v>
      </c>
      <c r="I597" s="1" t="n">
        <v>38.7</v>
      </c>
      <c r="J597" s="1" t="n">
        <v>-8.6</v>
      </c>
      <c r="K597" s="1" t="n">
        <v>69.1</v>
      </c>
      <c r="L597" s="1" t="n">
        <v>0</v>
      </c>
      <c r="M597" s="1" t="n">
        <v>0</v>
      </c>
      <c r="N597" s="1" t="s">
        <v>387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0" t="n">
        <f aca="false">I597+0</f>
        <v>38.7</v>
      </c>
      <c r="AB597" s="0" t="n">
        <f aca="false">IF(Z597&gt;360,Z597-360,Z597+0)</f>
        <v>38.7</v>
      </c>
      <c r="AC597" s="1"/>
      <c r="AD597" s="1"/>
      <c r="AE597" s="1"/>
      <c r="AF597" s="1"/>
    </row>
    <row r="598" customFormat="false" ht="15.8" hidden="false" customHeight="false" outlineLevel="0" collapsed="false">
      <c r="A598" s="1" t="n">
        <v>14</v>
      </c>
      <c r="B598" s="1" t="n">
        <v>9</v>
      </c>
      <c r="C598" s="1" t="n">
        <v>1.7</v>
      </c>
      <c r="D598" s="1" t="n">
        <v>1.0227</v>
      </c>
      <c r="E598" s="1" t="n">
        <v>0.0570757</v>
      </c>
      <c r="F598" s="1" t="n">
        <v>0.000155251</v>
      </c>
      <c r="G598" s="1" t="s">
        <v>27</v>
      </c>
      <c r="H598" s="1" t="n">
        <v>158.7</v>
      </c>
      <c r="I598" s="1" t="n">
        <v>178.5</v>
      </c>
      <c r="J598" s="1" t="n">
        <v>0</v>
      </c>
      <c r="K598" s="1"/>
      <c r="L598" s="1" t="n">
        <v>0</v>
      </c>
      <c r="M598" s="1" t="n">
        <v>0</v>
      </c>
      <c r="N598" s="1" t="s">
        <v>387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0" t="n">
        <f aca="false">I598+0</f>
        <v>178.5</v>
      </c>
      <c r="AB598" s="0" t="n">
        <f aca="false">IF(Z598&gt;360,Z598-360,Z598+0)</f>
        <v>178.5</v>
      </c>
      <c r="AC598" s="1"/>
      <c r="AD598" s="1"/>
      <c r="AE598" s="1"/>
      <c r="AF598" s="1"/>
    </row>
    <row r="599" customFormat="false" ht="15.8" hidden="false" customHeight="false" outlineLevel="0" collapsed="false">
      <c r="A599" s="1" t="n">
        <v>14</v>
      </c>
      <c r="B599" s="1" t="n">
        <v>8</v>
      </c>
      <c r="C599" s="1" t="n">
        <v>7.4</v>
      </c>
      <c r="D599" s="1" t="n">
        <v>1.5907</v>
      </c>
      <c r="E599" s="1" t="n">
        <v>0.253945</v>
      </c>
      <c r="F599" s="1" t="n">
        <v>0.000690752</v>
      </c>
      <c r="G599" s="1" t="s">
        <v>52</v>
      </c>
      <c r="H599" s="1" t="n">
        <v>114.7</v>
      </c>
      <c r="I599" s="1" t="n">
        <v>14.9</v>
      </c>
      <c r="J599" s="1" t="n">
        <v>-13.7</v>
      </c>
      <c r="K599" s="1" t="n">
        <v>158.7</v>
      </c>
      <c r="L599" s="1" t="n">
        <v>0</v>
      </c>
      <c r="M599" s="1" t="n">
        <v>0</v>
      </c>
      <c r="N599" s="1" t="s">
        <v>388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0" t="n">
        <f aca="false">I599+0</f>
        <v>14.9</v>
      </c>
      <c r="AB599" s="0" t="n">
        <f aca="false">IF(Z599&gt;360,Z599-360,Z599+0)</f>
        <v>14.9</v>
      </c>
      <c r="AC599" s="1"/>
      <c r="AD599" s="1"/>
      <c r="AE599" s="1"/>
      <c r="AF599" s="1"/>
    </row>
    <row r="600" customFormat="false" ht="15.8" hidden="false" customHeight="false" outlineLevel="0" collapsed="false">
      <c r="A600" s="1" t="n">
        <v>14</v>
      </c>
      <c r="B600" s="1" t="n">
        <v>9</v>
      </c>
      <c r="C600" s="1" t="n">
        <v>1.1</v>
      </c>
      <c r="D600" s="1" t="n">
        <v>1.0038</v>
      </c>
      <c r="E600" s="1" t="n">
        <v>0.0366147</v>
      </c>
      <c r="F600" s="1" t="n">
        <v>9.95951E-005</v>
      </c>
      <c r="G600" s="1" t="s">
        <v>27</v>
      </c>
      <c r="H600" s="1" t="n">
        <v>69.9</v>
      </c>
      <c r="I600" s="1" t="n">
        <v>272.3</v>
      </c>
      <c r="J600" s="1" t="n">
        <v>0</v>
      </c>
      <c r="K600" s="1"/>
      <c r="L600" s="1" t="n">
        <v>0</v>
      </c>
      <c r="M600" s="1" t="n">
        <v>0</v>
      </c>
      <c r="N600" s="1" t="s">
        <v>389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0" t="n">
        <f aca="false">I600+0</f>
        <v>272.3</v>
      </c>
      <c r="AB600" s="0" t="n">
        <f aca="false">IF(Z600&gt;360,Z600-360,Z600+0)</f>
        <v>272.3</v>
      </c>
      <c r="AC600" s="1"/>
      <c r="AD600" s="1"/>
      <c r="AE600" s="1"/>
      <c r="AF600" s="1"/>
    </row>
    <row r="601" customFormat="false" ht="15.8" hidden="false" customHeight="false" outlineLevel="0" collapsed="false">
      <c r="A601" s="1" t="n">
        <v>14</v>
      </c>
      <c r="B601" s="1" t="n">
        <v>9</v>
      </c>
      <c r="C601" s="1" t="n">
        <v>1.5</v>
      </c>
      <c r="D601" s="1" t="n">
        <v>1.0072</v>
      </c>
      <c r="E601" s="1" t="n">
        <v>0.0498417</v>
      </c>
      <c r="F601" s="1" t="n">
        <v>0.000135574</v>
      </c>
      <c r="G601" s="1" t="s">
        <v>27</v>
      </c>
      <c r="H601" s="1" t="n">
        <v>108.9</v>
      </c>
      <c r="I601" s="1" t="n">
        <v>38.6</v>
      </c>
      <c r="J601" s="1" t="n">
        <v>0</v>
      </c>
      <c r="K601" s="1"/>
      <c r="L601" s="1" t="n">
        <v>0</v>
      </c>
      <c r="M601" s="1" t="n">
        <v>0</v>
      </c>
      <c r="N601" s="1" t="s">
        <v>389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0" t="n">
        <f aca="false">I601+0</f>
        <v>38.6</v>
      </c>
      <c r="AB601" s="0" t="n">
        <f aca="false">IF(Z601&gt;360,Z601-360,Z601+0)</f>
        <v>38.6</v>
      </c>
      <c r="AC601" s="1"/>
      <c r="AD601" s="1"/>
      <c r="AE601" s="1"/>
      <c r="AF601" s="1"/>
    </row>
    <row r="602" customFormat="false" ht="15.8" hidden="false" customHeight="false" outlineLevel="0" collapsed="false">
      <c r="A602" s="1" t="n">
        <v>14</v>
      </c>
      <c r="B602" s="1" t="n">
        <v>8</v>
      </c>
      <c r="C602" s="1" t="n">
        <v>9.2</v>
      </c>
      <c r="D602" s="1" t="n">
        <v>1.438</v>
      </c>
      <c r="E602" s="1" t="n">
        <v>0.313893</v>
      </c>
      <c r="F602" s="1" t="n">
        <v>0.000853816</v>
      </c>
      <c r="G602" s="1" t="s">
        <v>52</v>
      </c>
      <c r="H602" s="1" t="n">
        <v>25</v>
      </c>
      <c r="I602" s="1" t="n">
        <v>248.7</v>
      </c>
      <c r="J602" s="1" t="n">
        <v>-68</v>
      </c>
      <c r="K602" s="1" t="n">
        <v>108.9</v>
      </c>
      <c r="L602" s="1" t="n">
        <v>0</v>
      </c>
      <c r="M602" s="1" t="n">
        <v>0</v>
      </c>
      <c r="N602" s="1" t="s">
        <v>388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0" t="n">
        <f aca="false">I602+0</f>
        <v>248.7</v>
      </c>
      <c r="AB602" s="0" t="n">
        <f aca="false">IF(Z602&gt;360,Z602-360,Z602+0)</f>
        <v>248.7</v>
      </c>
      <c r="AC602" s="1"/>
      <c r="AD602" s="1"/>
      <c r="AE602" s="1"/>
      <c r="AF602" s="1"/>
    </row>
    <row r="603" customFormat="false" ht="15.8" hidden="false" customHeight="false" outlineLevel="0" collapsed="false">
      <c r="A603" s="1" t="n">
        <v>14</v>
      </c>
      <c r="B603" s="1" t="n">
        <v>7</v>
      </c>
      <c r="C603" s="1" t="n">
        <v>2.6</v>
      </c>
      <c r="D603" s="1" t="n">
        <v>1.301</v>
      </c>
      <c r="E603" s="1" t="n">
        <v>0.0875778</v>
      </c>
      <c r="F603" s="1" t="n">
        <v>0.000238219</v>
      </c>
      <c r="G603" s="1" t="s">
        <v>52</v>
      </c>
      <c r="H603" s="1" t="n">
        <v>63.3</v>
      </c>
      <c r="I603" s="1" t="n">
        <v>216.5</v>
      </c>
      <c r="J603" s="1" t="n">
        <v>-48.7</v>
      </c>
      <c r="K603" s="1" t="n">
        <v>114.7</v>
      </c>
      <c r="L603" s="1" t="n">
        <v>0</v>
      </c>
      <c r="M603" s="1" t="n">
        <v>0</v>
      </c>
      <c r="N603" s="1" t="s">
        <v>390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0" t="n">
        <f aca="false">I603+0</f>
        <v>216.5</v>
      </c>
      <c r="AB603" s="0" t="n">
        <f aca="false">IF(Z603&gt;360,Z603-360,Z603+0)</f>
        <v>216.5</v>
      </c>
      <c r="AC603" s="1"/>
      <c r="AD603" s="1"/>
      <c r="AE603" s="1"/>
      <c r="AF603" s="1"/>
    </row>
    <row r="604" customFormat="false" ht="15.8" hidden="false" customHeight="false" outlineLevel="0" collapsed="false">
      <c r="A604" s="1" t="n">
        <v>14</v>
      </c>
      <c r="B604" s="1" t="n">
        <v>7</v>
      </c>
      <c r="C604" s="1" t="n">
        <v>0.8</v>
      </c>
      <c r="D604" s="1" t="n">
        <v>1.0002</v>
      </c>
      <c r="E604" s="1" t="n">
        <v>0.0271154</v>
      </c>
      <c r="F604" s="1" t="n">
        <v>7.37563E-005</v>
      </c>
      <c r="G604" s="1" t="s">
        <v>27</v>
      </c>
      <c r="H604" s="1" t="n">
        <v>66.8</v>
      </c>
      <c r="I604" s="1" t="n">
        <v>63.1</v>
      </c>
      <c r="J604" s="1" t="n">
        <v>0</v>
      </c>
      <c r="K604" s="1"/>
      <c r="L604" s="1" t="n">
        <v>0</v>
      </c>
      <c r="M604" s="1" t="n">
        <v>0</v>
      </c>
      <c r="N604" s="1" t="s">
        <v>390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0" t="n">
        <f aca="false">I604+0</f>
        <v>63.1</v>
      </c>
      <c r="AB604" s="0" t="n">
        <f aca="false">IF(Z604&gt;360,Z604-360,Z604+0)</f>
        <v>63.1</v>
      </c>
      <c r="AC604" s="1"/>
      <c r="AD604" s="1"/>
      <c r="AE604" s="1"/>
      <c r="AF604" s="1"/>
    </row>
    <row r="605" customFormat="false" ht="15.8" hidden="false" customHeight="false" outlineLevel="0" collapsed="false">
      <c r="A605" s="1" t="n">
        <v>14</v>
      </c>
      <c r="B605" s="1" t="n">
        <v>6</v>
      </c>
      <c r="C605" s="1" t="n">
        <v>3.4</v>
      </c>
      <c r="D605" s="1" t="n">
        <v>1.1888</v>
      </c>
      <c r="E605" s="1" t="n">
        <v>0.115253</v>
      </c>
      <c r="F605" s="1" t="n">
        <v>0.000313498</v>
      </c>
      <c r="G605" s="1" t="s">
        <v>52</v>
      </c>
      <c r="H605" s="1" t="n">
        <v>39.8</v>
      </c>
      <c r="I605" s="1" t="n">
        <v>121.8</v>
      </c>
      <c r="J605" s="1" t="n">
        <v>-40.7</v>
      </c>
      <c r="K605" s="1" t="n">
        <v>66.8</v>
      </c>
      <c r="L605" s="1" t="n">
        <v>0</v>
      </c>
      <c r="M605" s="1" t="n">
        <v>0</v>
      </c>
      <c r="N605" s="1" t="s">
        <v>385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0" t="n">
        <f aca="false">I605+0</f>
        <v>121.8</v>
      </c>
      <c r="AB605" s="0" t="n">
        <f aca="false">IF(Z605&gt;360,Z605-360,Z605+0)</f>
        <v>121.8</v>
      </c>
      <c r="AC605" s="1"/>
      <c r="AD605" s="1"/>
      <c r="AE605" s="1"/>
      <c r="AF605" s="1"/>
    </row>
    <row r="606" customFormat="false" ht="15.8" hidden="false" customHeight="false" outlineLevel="0" collapsed="false">
      <c r="A606" s="1" t="n">
        <v>14</v>
      </c>
      <c r="B606" s="1" t="n">
        <v>5</v>
      </c>
      <c r="C606" s="1" t="n">
        <v>0.9</v>
      </c>
      <c r="D606" s="1" t="n">
        <v>1.1185</v>
      </c>
      <c r="E606" s="1" t="n">
        <v>0.0307054</v>
      </c>
      <c r="F606" s="1" t="n">
        <v>8.35214E-005</v>
      </c>
      <c r="G606" s="1" t="s">
        <v>52</v>
      </c>
      <c r="H606" s="1" t="n">
        <v>30.7</v>
      </c>
      <c r="I606" s="1" t="n">
        <v>167.7</v>
      </c>
      <c r="J606" s="1" t="n">
        <v>-27.4</v>
      </c>
      <c r="K606" s="1" t="n">
        <v>39.8</v>
      </c>
      <c r="L606" s="1" t="n">
        <v>0</v>
      </c>
      <c r="M606" s="1" t="n">
        <v>0</v>
      </c>
      <c r="N606" s="1" t="s">
        <v>391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0" t="n">
        <f aca="false">I606+0</f>
        <v>167.7</v>
      </c>
      <c r="AB606" s="0" t="n">
        <f aca="false">IF(Z606&gt;360,Z606-360,Z606+0)</f>
        <v>167.7</v>
      </c>
      <c r="AC606" s="1"/>
      <c r="AD606" s="1"/>
      <c r="AE606" s="1"/>
      <c r="AF606" s="1"/>
    </row>
    <row r="607" customFormat="false" ht="15.8" hidden="false" customHeight="false" outlineLevel="0" collapsed="false">
      <c r="A607" s="1" t="n">
        <v>14</v>
      </c>
      <c r="B607" s="1" t="n">
        <v>5</v>
      </c>
      <c r="C607" s="1" t="n">
        <v>1.7</v>
      </c>
      <c r="D607" s="1" t="n">
        <v>1.3579</v>
      </c>
      <c r="E607" s="1" t="n">
        <v>0.0568864</v>
      </c>
      <c r="F607" s="1" t="n">
        <v>0.000154736</v>
      </c>
      <c r="G607" s="1" t="s">
        <v>27</v>
      </c>
      <c r="H607" s="1" t="n">
        <v>66.1</v>
      </c>
      <c r="I607" s="1" t="n">
        <v>199.6</v>
      </c>
      <c r="J607" s="1" t="n">
        <v>64.9</v>
      </c>
      <c r="K607" s="1"/>
      <c r="L607" s="1" t="n">
        <v>0</v>
      </c>
      <c r="M607" s="1" t="n">
        <v>0</v>
      </c>
      <c r="N607" s="1" t="s">
        <v>391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0" t="n">
        <f aca="false">I607+0</f>
        <v>199.6</v>
      </c>
      <c r="AB607" s="0" t="n">
        <f aca="false">IF(Z607&gt;360,Z607-360,Z607+0)</f>
        <v>199.6</v>
      </c>
      <c r="AC607" s="1"/>
      <c r="AD607" s="1"/>
      <c r="AE607" s="1"/>
      <c r="AF607" s="1"/>
    </row>
    <row r="608" customFormat="false" ht="15.8" hidden="false" customHeight="false" outlineLevel="0" collapsed="false">
      <c r="A608" s="1" t="n">
        <v>14</v>
      </c>
      <c r="B608" s="1" t="n">
        <v>4</v>
      </c>
      <c r="C608" s="1" t="n">
        <v>0.6</v>
      </c>
      <c r="D608" s="1" t="n">
        <v>1.0161</v>
      </c>
      <c r="E608" s="1" t="n">
        <v>0.0204207</v>
      </c>
      <c r="F608" s="1" t="n">
        <v>5.5546E-005</v>
      </c>
      <c r="G608" s="1" t="s">
        <v>52</v>
      </c>
      <c r="H608" s="1" t="n">
        <v>41.6</v>
      </c>
      <c r="I608" s="1" t="n">
        <v>182.1</v>
      </c>
      <c r="J608" s="1" t="n">
        <v>0</v>
      </c>
      <c r="K608" s="1" t="n">
        <v>66.1</v>
      </c>
      <c r="L608" s="1" t="n">
        <v>0</v>
      </c>
      <c r="M608" s="1" t="n">
        <v>0</v>
      </c>
      <c r="N608" s="1" t="s">
        <v>392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0" t="n">
        <f aca="false">I608+0</f>
        <v>182.1</v>
      </c>
      <c r="AB608" s="0" t="n">
        <f aca="false">IF(Z608&gt;360,Z608-360,Z608+0)</f>
        <v>182.1</v>
      </c>
      <c r="AC608" s="1"/>
      <c r="AD608" s="1"/>
      <c r="AE608" s="1"/>
      <c r="AF608" s="1"/>
    </row>
    <row r="609" customFormat="false" ht="15.8" hidden="false" customHeight="false" outlineLevel="0" collapsed="false">
      <c r="A609" s="1" t="n">
        <v>14</v>
      </c>
      <c r="B609" s="1" t="n">
        <v>4</v>
      </c>
      <c r="C609" s="1" t="n">
        <v>4</v>
      </c>
      <c r="D609" s="1" t="n">
        <v>1.0755</v>
      </c>
      <c r="E609" s="1" t="n">
        <v>0.137161</v>
      </c>
      <c r="F609" s="1" t="n">
        <v>0.000373091</v>
      </c>
      <c r="G609" s="1" t="s">
        <v>27</v>
      </c>
      <c r="H609" s="1" t="n">
        <v>120.9</v>
      </c>
      <c r="I609" s="1" t="n">
        <v>27</v>
      </c>
      <c r="J609" s="1" t="n">
        <v>5.7</v>
      </c>
      <c r="K609" s="1"/>
      <c r="L609" s="1" t="n">
        <v>0</v>
      </c>
      <c r="M609" s="1" t="n">
        <v>0</v>
      </c>
      <c r="N609" s="1" t="s">
        <v>392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0" t="n">
        <f aca="false">I609+0</f>
        <v>27</v>
      </c>
      <c r="AB609" s="0" t="n">
        <f aca="false">IF(Z609&gt;360,Z609-360,Z609+0)</f>
        <v>27</v>
      </c>
      <c r="AC609" s="1"/>
      <c r="AD609" s="1"/>
      <c r="AE609" s="1"/>
      <c r="AF609" s="1"/>
    </row>
    <row r="610" customFormat="false" ht="15.8" hidden="false" customHeight="false" outlineLevel="0" collapsed="false">
      <c r="A610" s="1" t="n">
        <v>14</v>
      </c>
      <c r="B610" s="1" t="n">
        <v>3</v>
      </c>
      <c r="C610" s="1" t="n">
        <v>2.9</v>
      </c>
      <c r="D610" s="1" t="n">
        <v>1.1515</v>
      </c>
      <c r="E610" s="1" t="n">
        <v>0.0977614</v>
      </c>
      <c r="F610" s="1" t="n">
        <v>0.000265919</v>
      </c>
      <c r="G610" s="1" t="s">
        <v>52</v>
      </c>
      <c r="H610" s="1" t="n">
        <v>3.4</v>
      </c>
      <c r="I610" s="1" t="n">
        <v>148.9</v>
      </c>
      <c r="J610" s="1" t="n">
        <v>-26.5</v>
      </c>
      <c r="K610" s="1" t="n">
        <v>120.9</v>
      </c>
      <c r="L610" s="1" t="n">
        <v>0</v>
      </c>
      <c r="M610" s="1" t="n">
        <v>0</v>
      </c>
      <c r="N610" s="1" t="s">
        <v>325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0" t="n">
        <f aca="false">I610+0</f>
        <v>148.9</v>
      </c>
      <c r="AB610" s="0" t="n">
        <f aca="false">IF(Z610&gt;360,Z610-360,Z610+0)</f>
        <v>148.9</v>
      </c>
      <c r="AC610" s="1"/>
      <c r="AD610" s="1"/>
      <c r="AE610" s="1"/>
      <c r="AF610" s="1"/>
    </row>
    <row r="611" customFormat="false" ht="15.8" hidden="false" customHeight="false" outlineLevel="0" collapsed="false">
      <c r="A611" s="1" t="n">
        <v>14</v>
      </c>
      <c r="B611" s="1" t="n">
        <v>2</v>
      </c>
      <c r="C611" s="1" t="n">
        <v>1.9</v>
      </c>
      <c r="D611" s="1" t="n">
        <v>1.169</v>
      </c>
      <c r="E611" s="1" t="n">
        <v>0.0641598</v>
      </c>
      <c r="F611" s="1" t="n">
        <v>0.00017452</v>
      </c>
      <c r="G611" s="1" t="s">
        <v>52</v>
      </c>
      <c r="H611" s="1" t="n">
        <v>30.4</v>
      </c>
      <c r="I611" s="1" t="n">
        <v>152.5</v>
      </c>
      <c r="J611" s="1" t="n">
        <v>-27.4</v>
      </c>
      <c r="K611" s="1" t="n">
        <v>38.2</v>
      </c>
      <c r="L611" s="1" t="n">
        <v>0</v>
      </c>
      <c r="M611" s="1" t="n">
        <v>0</v>
      </c>
      <c r="N611" s="1" t="s">
        <v>312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0" t="n">
        <f aca="false">I611+0</f>
        <v>152.5</v>
      </c>
      <c r="AB611" s="0" t="n">
        <f aca="false">IF(Z611&gt;360,Z611-360,Z611+0)</f>
        <v>152.5</v>
      </c>
      <c r="AC611" s="1"/>
      <c r="AD611" s="1"/>
      <c r="AE611" s="1"/>
      <c r="AF611" s="1"/>
    </row>
    <row r="612" customFormat="false" ht="15.8" hidden="false" customHeight="false" outlineLevel="0" collapsed="false">
      <c r="A612" s="1" t="n">
        <v>14</v>
      </c>
      <c r="B612" s="1" t="n">
        <v>1</v>
      </c>
      <c r="C612" s="1" t="n">
        <v>2.8</v>
      </c>
      <c r="D612" s="1" t="n">
        <v>1.0521</v>
      </c>
      <c r="E612" s="1" t="n">
        <v>0.0965131</v>
      </c>
      <c r="F612" s="1" t="n">
        <v>0.000262524</v>
      </c>
      <c r="G612" s="1" t="s">
        <v>52</v>
      </c>
      <c r="H612" s="1"/>
      <c r="I612" s="1" t="n">
        <v>138.9</v>
      </c>
      <c r="J612" s="1" t="n">
        <v>0</v>
      </c>
      <c r="K612" s="1" t="n">
        <v>43.9</v>
      </c>
      <c r="L612" s="1" t="n">
        <v>0</v>
      </c>
      <c r="M612" s="1" t="n">
        <v>0</v>
      </c>
      <c r="N612" s="1" t="s">
        <v>393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0" t="n">
        <f aca="false">I612+0</f>
        <v>138.9</v>
      </c>
      <c r="AB612" s="0" t="n">
        <f aca="false">IF(Z612&gt;360,Z612-360,Z612+0)</f>
        <v>138.9</v>
      </c>
      <c r="AC612" s="1"/>
      <c r="AD612" s="1"/>
      <c r="AE612" s="1"/>
      <c r="AF612" s="1"/>
    </row>
    <row r="613" customFormat="false" ht="15.8" hidden="false" customHeight="false" outlineLevel="0" collapsed="false">
      <c r="A613" s="1" t="n">
        <v>15</v>
      </c>
      <c r="B613" s="1" t="n">
        <v>3</v>
      </c>
      <c r="C613" s="1" t="n">
        <v>3.1</v>
      </c>
      <c r="D613" s="1" t="n">
        <v>1.201</v>
      </c>
      <c r="E613" s="1" t="n">
        <v>0.107088</v>
      </c>
      <c r="F613" s="1" t="n">
        <v>0.000291289</v>
      </c>
      <c r="G613" s="1" t="s">
        <v>27</v>
      </c>
      <c r="H613" s="1" t="n">
        <v>85.7</v>
      </c>
      <c r="I613" s="1" t="n">
        <v>62.5</v>
      </c>
      <c r="J613" s="1" t="n">
        <v>16.5</v>
      </c>
      <c r="K613" s="1"/>
      <c r="L613" s="1" t="n">
        <v>0</v>
      </c>
      <c r="M613" s="1" t="n">
        <v>0</v>
      </c>
      <c r="N613" s="1" t="s">
        <v>394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0" t="n">
        <f aca="false">I613+0</f>
        <v>62.5</v>
      </c>
      <c r="AB613" s="0" t="n">
        <f aca="false">IF(Z613&gt;360,Z613-360,Z613+0)</f>
        <v>62.5</v>
      </c>
      <c r="AC613" s="1"/>
      <c r="AD613" s="1"/>
      <c r="AE613" s="1"/>
      <c r="AF613" s="1"/>
    </row>
    <row r="614" customFormat="false" ht="15.8" hidden="false" customHeight="false" outlineLevel="0" collapsed="false">
      <c r="A614" s="1" t="n">
        <v>15</v>
      </c>
      <c r="B614" s="1" t="n">
        <v>3</v>
      </c>
      <c r="C614" s="1" t="n">
        <v>4.2</v>
      </c>
      <c r="D614" s="1" t="n">
        <v>1.4544</v>
      </c>
      <c r="E614" s="1" t="n">
        <v>0.142493</v>
      </c>
      <c r="F614" s="1" t="n">
        <v>0.000387592</v>
      </c>
      <c r="G614" s="1" t="s">
        <v>27</v>
      </c>
      <c r="H614" s="1" t="n">
        <v>42.4</v>
      </c>
      <c r="I614" s="1" t="n">
        <v>3.6</v>
      </c>
      <c r="J614" s="1" t="n">
        <v>-15</v>
      </c>
      <c r="K614" s="1"/>
      <c r="L614" s="1" t="n">
        <v>0</v>
      </c>
      <c r="M614" s="1" t="n">
        <v>0</v>
      </c>
      <c r="N614" s="1" t="s">
        <v>394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0" t="n">
        <f aca="false">I614+0</f>
        <v>3.6</v>
      </c>
      <c r="AB614" s="0" t="n">
        <f aca="false">IF(Z614&gt;360,Z614-360,Z614+0)</f>
        <v>3.6</v>
      </c>
      <c r="AC614" s="1"/>
      <c r="AD614" s="1"/>
      <c r="AE614" s="1"/>
      <c r="AF614" s="1"/>
    </row>
    <row r="615" customFormat="false" ht="15.8" hidden="false" customHeight="false" outlineLevel="0" collapsed="false">
      <c r="A615" s="1" t="n">
        <v>15</v>
      </c>
      <c r="B615" s="1" t="n">
        <v>2</v>
      </c>
      <c r="C615" s="1" t="n">
        <v>3.9</v>
      </c>
      <c r="D615" s="1" t="n">
        <v>1.3155</v>
      </c>
      <c r="E615" s="1" t="n">
        <v>0.132473</v>
      </c>
      <c r="F615" s="1" t="n">
        <v>0.000360339</v>
      </c>
      <c r="G615" s="1" t="s">
        <v>52</v>
      </c>
      <c r="H615" s="1" t="n">
        <v>17.1</v>
      </c>
      <c r="I615" s="1" t="n">
        <v>332.8</v>
      </c>
      <c r="J615" s="1" t="n">
        <v>14.5</v>
      </c>
      <c r="K615" s="1" t="n">
        <v>85.7</v>
      </c>
      <c r="L615" s="1" t="n">
        <v>0</v>
      </c>
      <c r="M615" s="1" t="n">
        <v>0</v>
      </c>
      <c r="N615" s="1" t="s">
        <v>395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0" t="n">
        <f aca="false">I615+0</f>
        <v>332.8</v>
      </c>
      <c r="AB615" s="0" t="n">
        <f aca="false">IF(Z615&gt;360,Z615-360,Z615+0)</f>
        <v>332.8</v>
      </c>
      <c r="AC615" s="1"/>
      <c r="AD615" s="1"/>
      <c r="AE615" s="1"/>
      <c r="AF615" s="1"/>
    </row>
    <row r="616" customFormat="false" ht="15.8" hidden="false" customHeight="false" outlineLevel="0" collapsed="false">
      <c r="A616" s="1" t="n">
        <v>15</v>
      </c>
      <c r="B616" s="1" t="n">
        <v>2</v>
      </c>
      <c r="C616" s="1" t="n">
        <v>4.2</v>
      </c>
      <c r="D616" s="1" t="n">
        <v>1.4719</v>
      </c>
      <c r="E616" s="1" t="n">
        <v>0.142238</v>
      </c>
      <c r="F616" s="1" t="n">
        <v>0.0003869</v>
      </c>
      <c r="G616" s="1" t="s">
        <v>27</v>
      </c>
      <c r="H616" s="1" t="n">
        <v>31.8</v>
      </c>
      <c r="I616" s="1" t="n">
        <v>319.8</v>
      </c>
      <c r="J616" s="1" t="n">
        <v>-31.6</v>
      </c>
      <c r="K616" s="1"/>
      <c r="L616" s="1" t="n">
        <v>0</v>
      </c>
      <c r="M616" s="1" t="n">
        <v>0</v>
      </c>
      <c r="N616" s="1" t="s">
        <v>395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0" t="n">
        <f aca="false">I616+0</f>
        <v>319.8</v>
      </c>
      <c r="AB616" s="0" t="n">
        <f aca="false">IF(Z616&gt;360,Z616-360,Z616+0)</f>
        <v>319.8</v>
      </c>
      <c r="AC616" s="1"/>
      <c r="AD616" s="1"/>
      <c r="AE616" s="1"/>
      <c r="AF616" s="1"/>
    </row>
    <row r="617" customFormat="false" ht="15.8" hidden="false" customHeight="false" outlineLevel="0" collapsed="false">
      <c r="A617" s="1" t="n">
        <v>15</v>
      </c>
      <c r="B617" s="1" t="n">
        <v>1</v>
      </c>
      <c r="C617" s="1" t="n">
        <v>0.8</v>
      </c>
      <c r="D617" s="1" t="n">
        <v>1.0169</v>
      </c>
      <c r="E617" s="1" t="n">
        <v>0.0267777</v>
      </c>
      <c r="F617" s="1" t="n">
        <v>7.28378E-005</v>
      </c>
      <c r="G617" s="1" t="s">
        <v>52</v>
      </c>
      <c r="H617" s="1"/>
      <c r="I617" s="1" t="n">
        <v>323.6</v>
      </c>
      <c r="J617" s="1" t="n">
        <v>0</v>
      </c>
      <c r="K617" s="1" t="n">
        <v>31.8</v>
      </c>
      <c r="L617" s="1" t="n">
        <v>0</v>
      </c>
      <c r="M617" s="1" t="n">
        <v>0</v>
      </c>
      <c r="N617" s="1" t="s">
        <v>396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0" t="n">
        <f aca="false">I617+0</f>
        <v>323.6</v>
      </c>
      <c r="AB617" s="0" t="n">
        <f aca="false">IF(Z617&gt;360,Z617-360,Z617+0)</f>
        <v>323.6</v>
      </c>
      <c r="AC617" s="1"/>
      <c r="AD617" s="1"/>
      <c r="AE617" s="1"/>
      <c r="AF617" s="1"/>
    </row>
    <row r="618" customFormat="false" ht="15.8" hidden="false" customHeight="false" outlineLevel="0" collapsed="false">
      <c r="A618" s="1" t="n">
        <v>16</v>
      </c>
      <c r="B618" s="1" t="n">
        <v>7</v>
      </c>
      <c r="C618" s="1" t="n">
        <v>0.6</v>
      </c>
      <c r="D618" s="1" t="n">
        <v>1.1035</v>
      </c>
      <c r="E618" s="1" t="n">
        <v>0.0217721</v>
      </c>
      <c r="F618" s="1" t="n">
        <v>5.9222E-005</v>
      </c>
      <c r="G618" s="1" t="s">
        <v>27</v>
      </c>
      <c r="H618" s="1" t="n">
        <v>41.6</v>
      </c>
      <c r="I618" s="1" t="n">
        <v>114.7</v>
      </c>
      <c r="J618" s="1" t="n">
        <v>39.9</v>
      </c>
      <c r="K618" s="1"/>
      <c r="L618" s="1" t="n">
        <v>0</v>
      </c>
      <c r="M618" s="1" t="n">
        <v>0</v>
      </c>
      <c r="N618" s="1" t="s">
        <v>397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0" t="n">
        <f aca="false">I618+0</f>
        <v>114.7</v>
      </c>
      <c r="AB618" s="0" t="n">
        <f aca="false">IF(Z618&gt;360,Z618-360,Z618+0)</f>
        <v>114.7</v>
      </c>
      <c r="AC618" s="1"/>
      <c r="AD618" s="1"/>
      <c r="AE618" s="1"/>
      <c r="AF618" s="1"/>
    </row>
    <row r="619" customFormat="false" ht="15.8" hidden="false" customHeight="false" outlineLevel="0" collapsed="false">
      <c r="A619" s="1" t="n">
        <v>16</v>
      </c>
      <c r="B619" s="1" t="n">
        <v>7</v>
      </c>
      <c r="C619" s="1" t="n">
        <v>1.7</v>
      </c>
      <c r="D619" s="1" t="n">
        <v>1.1663</v>
      </c>
      <c r="E619" s="1" t="n">
        <v>0.056512</v>
      </c>
      <c r="F619" s="1" t="n">
        <v>0.000153718</v>
      </c>
      <c r="G619" s="1" t="s">
        <v>27</v>
      </c>
      <c r="H619" s="1" t="n">
        <v>98.1</v>
      </c>
      <c r="I619" s="1" t="n">
        <v>358.6</v>
      </c>
      <c r="J619" s="1" t="n">
        <v>-51.5</v>
      </c>
      <c r="K619" s="1"/>
      <c r="L619" s="1" t="n">
        <v>0</v>
      </c>
      <c r="M619" s="1" t="n">
        <v>0</v>
      </c>
      <c r="N619" s="1" t="s">
        <v>397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0" t="n">
        <f aca="false">I619+0</f>
        <v>358.6</v>
      </c>
      <c r="AB619" s="0" t="n">
        <f aca="false">IF(Z619&gt;360,Z619-360,Z619+0)</f>
        <v>358.6</v>
      </c>
      <c r="AC619" s="1"/>
      <c r="AD619" s="1"/>
      <c r="AE619" s="1"/>
      <c r="AF619" s="1"/>
    </row>
    <row r="620" customFormat="false" ht="15.8" hidden="false" customHeight="false" outlineLevel="0" collapsed="false">
      <c r="A620" s="1" t="n">
        <v>16</v>
      </c>
      <c r="B620" s="1" t="n">
        <v>6</v>
      </c>
      <c r="C620" s="1" t="n">
        <v>0.3</v>
      </c>
      <c r="D620" s="1" t="n">
        <v>1.0378</v>
      </c>
      <c r="E620" s="1" t="n">
        <v>0.0114295</v>
      </c>
      <c r="F620" s="1" t="n">
        <v>3.10893E-005</v>
      </c>
      <c r="G620" s="1" t="s">
        <v>52</v>
      </c>
      <c r="H620" s="1" t="n">
        <v>78.8</v>
      </c>
      <c r="I620" s="1" t="n">
        <v>101.7</v>
      </c>
      <c r="J620" s="1" t="n">
        <v>0</v>
      </c>
      <c r="K620" s="1" t="n">
        <v>98.1</v>
      </c>
      <c r="L620" s="1" t="n">
        <v>0</v>
      </c>
      <c r="M620" s="1" t="n">
        <v>0</v>
      </c>
      <c r="N620" s="1" t="s">
        <v>398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0" t="n">
        <f aca="false">I620+0</f>
        <v>101.7</v>
      </c>
      <c r="AB620" s="0" t="n">
        <f aca="false">IF(Z620&gt;360,Z620-360,Z620+0)</f>
        <v>101.7</v>
      </c>
      <c r="AC620" s="1"/>
      <c r="AD620" s="1"/>
      <c r="AE620" s="1"/>
      <c r="AF620" s="1"/>
    </row>
    <row r="621" customFormat="false" ht="15.8" hidden="false" customHeight="false" outlineLevel="0" collapsed="false">
      <c r="A621" s="1" t="n">
        <v>16</v>
      </c>
      <c r="B621" s="1" t="n">
        <v>6</v>
      </c>
      <c r="C621" s="1" t="n">
        <v>0.6</v>
      </c>
      <c r="D621" s="1" t="n">
        <v>1.0066</v>
      </c>
      <c r="E621" s="1" t="n">
        <v>0.0202648</v>
      </c>
      <c r="F621" s="1" t="n">
        <v>5.5122E-005</v>
      </c>
      <c r="G621" s="1" t="s">
        <v>27</v>
      </c>
      <c r="H621" s="1" t="n">
        <v>101.2</v>
      </c>
      <c r="I621" s="1" t="n">
        <v>281.7</v>
      </c>
      <c r="J621" s="1" t="n">
        <v>0</v>
      </c>
      <c r="K621" s="1"/>
      <c r="L621" s="1" t="n">
        <v>0</v>
      </c>
      <c r="M621" s="1" t="n">
        <v>0</v>
      </c>
      <c r="N621" s="1" t="s">
        <v>398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0" t="n">
        <f aca="false">I621+0</f>
        <v>281.7</v>
      </c>
      <c r="AB621" s="0" t="n">
        <f aca="false">IF(Z621&gt;360,Z621-360,Z621+0)</f>
        <v>281.7</v>
      </c>
      <c r="AC621" s="1"/>
      <c r="AD621" s="1"/>
      <c r="AE621" s="1"/>
      <c r="AF621" s="1"/>
    </row>
    <row r="622" customFormat="false" ht="15.8" hidden="false" customHeight="false" outlineLevel="0" collapsed="false">
      <c r="A622" s="1" t="n">
        <v>16</v>
      </c>
      <c r="B622" s="1" t="n">
        <v>5</v>
      </c>
      <c r="C622" s="1" t="n">
        <v>1.1</v>
      </c>
      <c r="D622" s="1" t="n">
        <v>1.1684</v>
      </c>
      <c r="E622" s="1" t="n">
        <v>0.0386465</v>
      </c>
      <c r="F622" s="1" t="n">
        <v>0.000105122</v>
      </c>
      <c r="G622" s="1" t="s">
        <v>52</v>
      </c>
      <c r="H622" s="1" t="n">
        <v>28.4</v>
      </c>
      <c r="I622" s="1" t="n">
        <v>29.2</v>
      </c>
      <c r="J622" s="1" t="n">
        <v>49.9</v>
      </c>
      <c r="K622" s="1" t="n">
        <v>101.2</v>
      </c>
      <c r="L622" s="1" t="n">
        <v>0</v>
      </c>
      <c r="M622" s="1" t="n">
        <v>0</v>
      </c>
      <c r="N622" s="1" t="s">
        <v>399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0" t="n">
        <f aca="false">I622+0</f>
        <v>29.2</v>
      </c>
      <c r="AB622" s="0" t="n">
        <f aca="false">IF(Z622&gt;360,Z622-360,Z622+0)</f>
        <v>29.2</v>
      </c>
      <c r="AC622" s="1"/>
      <c r="AD622" s="1"/>
      <c r="AE622" s="1"/>
      <c r="AF622" s="1"/>
    </row>
    <row r="623" customFormat="false" ht="15.8" hidden="false" customHeight="false" outlineLevel="0" collapsed="false">
      <c r="A623" s="1" t="n">
        <v>16</v>
      </c>
      <c r="B623" s="1" t="n">
        <v>5</v>
      </c>
      <c r="C623" s="1" t="n">
        <v>0.9</v>
      </c>
      <c r="D623" s="1" t="n">
        <v>1.1489</v>
      </c>
      <c r="E623" s="1" t="n">
        <v>0.0303645</v>
      </c>
      <c r="F623" s="1" t="n">
        <v>8.2594E-005</v>
      </c>
      <c r="G623" s="1" t="s">
        <v>27</v>
      </c>
      <c r="H623" s="1" t="n">
        <v>128.2</v>
      </c>
      <c r="I623" s="1" t="n">
        <v>283.8</v>
      </c>
      <c r="J623" s="1" t="n">
        <v>0</v>
      </c>
      <c r="K623" s="1"/>
      <c r="L623" s="1" t="n">
        <v>0</v>
      </c>
      <c r="M623" s="1" t="n">
        <v>0</v>
      </c>
      <c r="N623" s="1" t="s">
        <v>399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0" t="n">
        <f aca="false">I623+0</f>
        <v>283.8</v>
      </c>
      <c r="AB623" s="0" t="n">
        <f aca="false">IF(Z623&gt;360,Z623-360,Z623+0)</f>
        <v>283.8</v>
      </c>
      <c r="AC623" s="1"/>
      <c r="AD623" s="1"/>
      <c r="AE623" s="1"/>
      <c r="AF623" s="1"/>
    </row>
    <row r="624" customFormat="false" ht="15.8" hidden="false" customHeight="false" outlineLevel="0" collapsed="false">
      <c r="A624" s="1" t="n">
        <v>16</v>
      </c>
      <c r="B624" s="1" t="n">
        <v>4</v>
      </c>
      <c r="C624" s="1" t="n">
        <v>6.1</v>
      </c>
      <c r="D624" s="1" t="n">
        <v>1.3107</v>
      </c>
      <c r="E624" s="1" t="n">
        <v>0.210053</v>
      </c>
      <c r="F624" s="1" t="n">
        <v>0.000571361</v>
      </c>
      <c r="G624" s="1" t="s">
        <v>52</v>
      </c>
      <c r="H624" s="1" t="n">
        <v>7.3</v>
      </c>
      <c r="I624" s="1" t="n">
        <v>66.7</v>
      </c>
      <c r="J624" s="1" t="n">
        <v>39.1</v>
      </c>
      <c r="K624" s="1" t="n">
        <v>128.2</v>
      </c>
      <c r="L624" s="1" t="n">
        <v>0</v>
      </c>
      <c r="M624" s="1" t="n">
        <v>0</v>
      </c>
      <c r="N624" s="1" t="s">
        <v>400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0" t="n">
        <f aca="false">I624+0</f>
        <v>66.7</v>
      </c>
      <c r="AB624" s="0" t="n">
        <f aca="false">IF(Z624&gt;360,Z624-360,Z624+0)</f>
        <v>66.7</v>
      </c>
      <c r="AC624" s="1"/>
      <c r="AD624" s="1"/>
      <c r="AE624" s="1"/>
      <c r="AF624" s="1"/>
    </row>
    <row r="625" customFormat="false" ht="15.8" hidden="false" customHeight="false" outlineLevel="0" collapsed="false">
      <c r="A625" s="1" t="n">
        <v>16</v>
      </c>
      <c r="B625" s="1" t="n">
        <v>4</v>
      </c>
      <c r="C625" s="1" t="n">
        <v>0.7</v>
      </c>
      <c r="D625" s="1" t="n">
        <v>1.1052</v>
      </c>
      <c r="E625" s="1" t="n">
        <v>0.025597</v>
      </c>
      <c r="F625" s="1" t="n">
        <v>6.96261E-005</v>
      </c>
      <c r="G625" s="1" t="s">
        <v>27</v>
      </c>
      <c r="H625" s="1" t="n">
        <v>83</v>
      </c>
      <c r="I625" s="1" t="n">
        <v>12.2</v>
      </c>
      <c r="J625" s="1" t="n">
        <v>-33.1</v>
      </c>
      <c r="K625" s="1"/>
      <c r="L625" s="1" t="n">
        <v>0</v>
      </c>
      <c r="M625" s="1" t="n">
        <v>0</v>
      </c>
      <c r="N625" s="1" t="s">
        <v>400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0" t="n">
        <f aca="false">I625+0</f>
        <v>12.2</v>
      </c>
      <c r="AB625" s="0" t="n">
        <f aca="false">IF(Z625&gt;360,Z625-360,Z625+0)</f>
        <v>12.2</v>
      </c>
      <c r="AC625" s="1"/>
      <c r="AD625" s="1"/>
      <c r="AE625" s="1"/>
      <c r="AF625" s="1"/>
    </row>
    <row r="626" customFormat="false" ht="15.8" hidden="false" customHeight="false" outlineLevel="0" collapsed="false">
      <c r="A626" s="1" t="n">
        <v>16</v>
      </c>
      <c r="B626" s="1" t="n">
        <v>3</v>
      </c>
      <c r="C626" s="1" t="n">
        <v>0.8</v>
      </c>
      <c r="D626" s="1" t="n">
        <v>1.333</v>
      </c>
      <c r="E626" s="1" t="n">
        <v>0.02707</v>
      </c>
      <c r="F626" s="1" t="n">
        <v>7.36328E-005</v>
      </c>
      <c r="G626" s="1" t="s">
        <v>52</v>
      </c>
      <c r="H626" s="1" t="n">
        <v>38.6</v>
      </c>
      <c r="I626" s="1" t="n">
        <v>57.4</v>
      </c>
      <c r="J626" s="1" t="n">
        <v>38.5</v>
      </c>
      <c r="K626" s="1" t="n">
        <v>83</v>
      </c>
      <c r="L626" s="1" t="n">
        <v>0</v>
      </c>
      <c r="M626" s="1" t="n">
        <v>0</v>
      </c>
      <c r="N626" s="1" t="s">
        <v>401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0" t="n">
        <f aca="false">I626+0</f>
        <v>57.4</v>
      </c>
      <c r="AB626" s="0" t="n">
        <f aca="false">IF(Z626&gt;360,Z626-360,Z626+0)</f>
        <v>57.4</v>
      </c>
      <c r="AC626" s="1"/>
      <c r="AD626" s="1"/>
      <c r="AE626" s="1"/>
      <c r="AF626" s="1"/>
    </row>
    <row r="627" customFormat="false" ht="15.8" hidden="false" customHeight="false" outlineLevel="0" collapsed="false">
      <c r="A627" s="1" t="n">
        <v>16</v>
      </c>
      <c r="B627" s="1" t="n">
        <v>4</v>
      </c>
      <c r="C627" s="1" t="n">
        <v>1.3</v>
      </c>
      <c r="D627" s="1" t="n">
        <v>1.167</v>
      </c>
      <c r="E627" s="1" t="n">
        <v>0.0434038</v>
      </c>
      <c r="F627" s="1" t="n">
        <v>0.000118062</v>
      </c>
      <c r="G627" s="1" t="s">
        <v>27</v>
      </c>
      <c r="H627" s="1" t="n">
        <v>90.6</v>
      </c>
      <c r="I627" s="1" t="n">
        <v>44.6</v>
      </c>
      <c r="J627" s="1" t="n">
        <v>19.9</v>
      </c>
      <c r="K627" s="1"/>
      <c r="L627" s="1" t="n">
        <v>0</v>
      </c>
      <c r="M627" s="1" t="n">
        <v>0</v>
      </c>
      <c r="N627" s="1" t="s">
        <v>402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0" t="n">
        <f aca="false">I627+0</f>
        <v>44.6</v>
      </c>
      <c r="AB627" s="0" t="n">
        <f aca="false">IF(Z627&gt;360,Z627-360,Z627+0)</f>
        <v>44.6</v>
      </c>
      <c r="AC627" s="1"/>
      <c r="AD627" s="1"/>
      <c r="AE627" s="1"/>
      <c r="AF627" s="1"/>
    </row>
    <row r="628" customFormat="false" ht="15.8" hidden="false" customHeight="false" outlineLevel="0" collapsed="false">
      <c r="A628" s="1" t="n">
        <v>16</v>
      </c>
      <c r="B628" s="1" t="n">
        <v>4</v>
      </c>
      <c r="C628" s="1" t="n">
        <v>0.8</v>
      </c>
      <c r="D628" s="1" t="n">
        <v>1.164</v>
      </c>
      <c r="E628" s="1" t="n">
        <v>0.0288928</v>
      </c>
      <c r="F628" s="1" t="n">
        <v>7.8591E-005</v>
      </c>
      <c r="G628" s="1" t="s">
        <v>27</v>
      </c>
      <c r="H628" s="1" t="n">
        <v>41.6</v>
      </c>
      <c r="I628" s="1" t="n">
        <v>97</v>
      </c>
      <c r="J628" s="1" t="n">
        <v>-30.6</v>
      </c>
      <c r="K628" s="1"/>
      <c r="L628" s="1" t="n">
        <v>0</v>
      </c>
      <c r="M628" s="1" t="n">
        <v>0</v>
      </c>
      <c r="N628" s="1" t="s">
        <v>402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0" t="n">
        <f aca="false">I628+0</f>
        <v>97</v>
      </c>
      <c r="AB628" s="0" t="n">
        <f aca="false">IF(Z628&gt;360,Z628-360,Z628+0)</f>
        <v>97</v>
      </c>
      <c r="AC628" s="1"/>
      <c r="AD628" s="1"/>
      <c r="AE628" s="1"/>
      <c r="AF628" s="1"/>
    </row>
    <row r="629" customFormat="false" ht="15.8" hidden="false" customHeight="false" outlineLevel="0" collapsed="false">
      <c r="A629" s="1" t="n">
        <v>16</v>
      </c>
      <c r="B629" s="1" t="n">
        <v>3</v>
      </c>
      <c r="C629" s="1" t="n">
        <v>8.1</v>
      </c>
      <c r="D629" s="1" t="n">
        <v>1.2072</v>
      </c>
      <c r="E629" s="1" t="n">
        <v>0.278364</v>
      </c>
      <c r="F629" s="1" t="n">
        <v>0.000757174</v>
      </c>
      <c r="G629" s="1" t="s">
        <v>52</v>
      </c>
      <c r="H629" s="1" t="n">
        <v>73.6</v>
      </c>
      <c r="I629" s="1" t="n">
        <v>133</v>
      </c>
      <c r="J629" s="1" t="n">
        <v>-6.3</v>
      </c>
      <c r="K629" s="1" t="n">
        <v>90.6</v>
      </c>
      <c r="L629" s="1" t="n">
        <v>0</v>
      </c>
      <c r="M629" s="1" t="n">
        <v>0</v>
      </c>
      <c r="N629" s="1" t="s">
        <v>401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0" t="n">
        <f aca="false">I629+0</f>
        <v>133</v>
      </c>
      <c r="AB629" s="0" t="n">
        <f aca="false">IF(Z629&gt;360,Z629-360,Z629+0)</f>
        <v>133</v>
      </c>
      <c r="AC629" s="1"/>
      <c r="AD629" s="1"/>
      <c r="AE629" s="1"/>
      <c r="AF629" s="1"/>
    </row>
    <row r="630" customFormat="false" ht="15.8" hidden="false" customHeight="false" outlineLevel="0" collapsed="false">
      <c r="A630" s="1" t="n">
        <v>16</v>
      </c>
      <c r="B630" s="1" t="n">
        <v>2</v>
      </c>
      <c r="C630" s="1" t="n">
        <v>0.8</v>
      </c>
      <c r="D630" s="1" t="n">
        <v>1.01</v>
      </c>
      <c r="E630" s="1" t="n">
        <v>0.0287967</v>
      </c>
      <c r="F630" s="1" t="n">
        <v>7.83297E-005</v>
      </c>
      <c r="G630" s="1" t="s">
        <v>52</v>
      </c>
      <c r="H630" s="1" t="n">
        <v>8.5</v>
      </c>
      <c r="I630" s="1" t="n">
        <v>59.4</v>
      </c>
      <c r="J630" s="1" t="n">
        <v>0</v>
      </c>
      <c r="K630" s="1" t="n">
        <v>73.6</v>
      </c>
      <c r="L630" s="1" t="n">
        <v>0</v>
      </c>
      <c r="M630" s="1" t="n">
        <v>0</v>
      </c>
      <c r="N630" s="1" t="s">
        <v>403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0" t="n">
        <f aca="false">I630+0</f>
        <v>59.4</v>
      </c>
      <c r="AB630" s="0" t="n">
        <f aca="false">IF(Z630&gt;360,Z630-360,Z630+0)</f>
        <v>59.4</v>
      </c>
      <c r="AC630" s="1"/>
      <c r="AD630" s="1"/>
      <c r="AE630" s="1"/>
      <c r="AF630" s="1"/>
    </row>
    <row r="631" customFormat="false" ht="15.8" hidden="false" customHeight="false" outlineLevel="0" collapsed="false">
      <c r="A631" s="1" t="n">
        <v>16</v>
      </c>
      <c r="B631" s="1" t="n">
        <v>2</v>
      </c>
      <c r="C631" s="1" t="n">
        <v>6.9</v>
      </c>
      <c r="D631" s="1" t="n">
        <v>1.2896</v>
      </c>
      <c r="E631" s="1" t="n">
        <v>0.235509</v>
      </c>
      <c r="F631" s="1" t="n">
        <v>0.000640605</v>
      </c>
      <c r="G631" s="1" t="s">
        <v>27</v>
      </c>
      <c r="H631" s="1" t="n">
        <v>53.5</v>
      </c>
      <c r="I631" s="1" t="n">
        <v>115.1</v>
      </c>
      <c r="J631" s="1" t="n">
        <v>29</v>
      </c>
      <c r="K631" s="1"/>
      <c r="L631" s="1" t="n">
        <v>0</v>
      </c>
      <c r="M631" s="1" t="n">
        <v>0</v>
      </c>
      <c r="N631" s="1" t="s">
        <v>403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0" t="n">
        <f aca="false">I631+0</f>
        <v>115.1</v>
      </c>
      <c r="AB631" s="0" t="n">
        <f aca="false">IF(Z631&gt;360,Z631-360,Z631+0)</f>
        <v>115.1</v>
      </c>
      <c r="AC631" s="1"/>
      <c r="AD631" s="1"/>
      <c r="AE631" s="1"/>
      <c r="AF631" s="1"/>
    </row>
    <row r="632" customFormat="false" ht="15.8" hidden="false" customHeight="false" outlineLevel="0" collapsed="false">
      <c r="A632" s="1" t="n">
        <v>16</v>
      </c>
      <c r="B632" s="1" t="n">
        <v>1</v>
      </c>
      <c r="C632" s="1" t="n">
        <v>4.4</v>
      </c>
      <c r="D632" s="1" t="n">
        <v>1.3024</v>
      </c>
      <c r="E632" s="1" t="n">
        <v>0.152098</v>
      </c>
      <c r="F632" s="1" t="n">
        <v>0.000413719</v>
      </c>
      <c r="G632" s="1" t="s">
        <v>52</v>
      </c>
      <c r="H632" s="1"/>
      <c r="I632" s="1" t="n">
        <v>67.9</v>
      </c>
      <c r="J632" s="1" t="n">
        <v>0</v>
      </c>
      <c r="K632" s="1" t="n">
        <v>53.5</v>
      </c>
      <c r="L632" s="1" t="n">
        <v>0</v>
      </c>
      <c r="M632" s="1" t="n">
        <v>0</v>
      </c>
      <c r="N632" s="1" t="s">
        <v>404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0" t="n">
        <f aca="false">I632+0</f>
        <v>67.9</v>
      </c>
      <c r="AB632" s="0" t="n">
        <f aca="false">IF(Z632&gt;360,Z632-360,Z632+0)</f>
        <v>67.9</v>
      </c>
      <c r="AC632" s="1"/>
      <c r="AD632" s="1"/>
      <c r="AE632" s="1"/>
      <c r="AF632" s="1"/>
    </row>
    <row r="633" customFormat="false" ht="15.8" hidden="false" customHeight="false" outlineLevel="0" collapsed="false">
      <c r="A633" s="1" t="n">
        <v>17</v>
      </c>
      <c r="B633" s="1" t="n">
        <v>2</v>
      </c>
      <c r="C633" s="1" t="n">
        <v>0.6</v>
      </c>
      <c r="D633" s="1" t="n">
        <v>1.0184</v>
      </c>
      <c r="E633" s="1" t="n">
        <v>0.0200314</v>
      </c>
      <c r="F633" s="1" t="n">
        <v>5.44872E-005</v>
      </c>
      <c r="G633" s="1" t="s">
        <v>27</v>
      </c>
      <c r="H633" s="1" t="n">
        <v>59.5</v>
      </c>
      <c r="I633" s="1" t="n">
        <v>254.6</v>
      </c>
      <c r="J633" s="1" t="n">
        <v>0</v>
      </c>
      <c r="K633" s="1"/>
      <c r="L633" s="1" t="n">
        <v>0</v>
      </c>
      <c r="M633" s="1" t="n">
        <v>0</v>
      </c>
      <c r="N633" s="1" t="s">
        <v>405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0" t="n">
        <f aca="false">I633+0</f>
        <v>254.6</v>
      </c>
      <c r="AB633" s="0" t="n">
        <f aca="false">IF(Z633&gt;360,Z633-360,Z633+0)</f>
        <v>254.6</v>
      </c>
      <c r="AC633" s="1"/>
      <c r="AD633" s="1"/>
      <c r="AE633" s="1"/>
      <c r="AF633" s="1"/>
    </row>
    <row r="634" customFormat="false" ht="15.8" hidden="false" customHeight="false" outlineLevel="0" collapsed="false">
      <c r="A634" s="1" t="n">
        <v>17</v>
      </c>
      <c r="B634" s="1" t="n">
        <v>2</v>
      </c>
      <c r="C634" s="1" t="n">
        <v>1</v>
      </c>
      <c r="D634" s="1" t="n">
        <v>1.1741</v>
      </c>
      <c r="E634" s="1" t="n">
        <v>0.0326955</v>
      </c>
      <c r="F634" s="1" t="n">
        <v>8.89346E-005</v>
      </c>
      <c r="G634" s="1" t="s">
        <v>27</v>
      </c>
      <c r="H634" s="1" t="n">
        <v>117.5</v>
      </c>
      <c r="I634" s="1" t="n">
        <v>193</v>
      </c>
      <c r="J634" s="1" t="n">
        <v>-27</v>
      </c>
      <c r="K634" s="1"/>
      <c r="L634" s="1" t="n">
        <v>0</v>
      </c>
      <c r="M634" s="1" t="n">
        <v>0</v>
      </c>
      <c r="N634" s="1" t="s">
        <v>405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0" t="n">
        <f aca="false">I634+0</f>
        <v>193</v>
      </c>
      <c r="AB634" s="0" t="n">
        <f aca="false">IF(Z634&gt;360,Z634-360,Z634+0)</f>
        <v>193</v>
      </c>
      <c r="AC634" s="1"/>
      <c r="AD634" s="1"/>
      <c r="AE634" s="1"/>
      <c r="AF634" s="1"/>
    </row>
    <row r="635" customFormat="false" ht="15.8" hidden="false" customHeight="false" outlineLevel="0" collapsed="false">
      <c r="A635" s="1" t="n">
        <v>17</v>
      </c>
      <c r="B635" s="1" t="n">
        <v>1</v>
      </c>
      <c r="C635" s="1" t="n">
        <v>2.4</v>
      </c>
      <c r="D635" s="1" t="n">
        <v>1.1248</v>
      </c>
      <c r="E635" s="1" t="n">
        <v>0.0834262</v>
      </c>
      <c r="F635" s="1" t="n">
        <v>0.000226926</v>
      </c>
      <c r="G635" s="1" t="s">
        <v>52</v>
      </c>
      <c r="H635" s="1"/>
      <c r="I635" s="1" t="n">
        <v>314.2</v>
      </c>
      <c r="J635" s="1" t="n">
        <v>0</v>
      </c>
      <c r="K635" s="1" t="n">
        <v>117.5</v>
      </c>
      <c r="L635" s="1" t="n">
        <v>0</v>
      </c>
      <c r="M635" s="1" t="n">
        <v>0</v>
      </c>
      <c r="N635" s="1" t="s">
        <v>406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0" t="n">
        <f aca="false">I635+0</f>
        <v>314.2</v>
      </c>
      <c r="AB635" s="0" t="n">
        <f aca="false">IF(Z635&gt;360,Z635-360,Z635+0)</f>
        <v>314.2</v>
      </c>
      <c r="AC635" s="1"/>
      <c r="AD635" s="1"/>
      <c r="AE635" s="1"/>
      <c r="AF635" s="1"/>
    </row>
    <row r="636" customFormat="false" ht="15.8" hidden="false" customHeight="false" outlineLevel="0" collapsed="false">
      <c r="A636" s="1" t="n">
        <v>18</v>
      </c>
      <c r="B636" s="1" t="n">
        <v>5</v>
      </c>
      <c r="C636" s="1" t="n">
        <v>2.6</v>
      </c>
      <c r="D636" s="1" t="n">
        <v>1.1502</v>
      </c>
      <c r="E636" s="1" t="n">
        <v>0.0878602</v>
      </c>
      <c r="F636" s="1" t="n">
        <v>0.000238988</v>
      </c>
      <c r="G636" s="1" t="s">
        <v>27</v>
      </c>
      <c r="H636" s="1" t="n">
        <v>41.1</v>
      </c>
      <c r="I636" s="1" t="n">
        <v>36.4</v>
      </c>
      <c r="J636" s="1" t="n">
        <v>19.3</v>
      </c>
      <c r="K636" s="1"/>
      <c r="L636" s="1" t="n">
        <v>0</v>
      </c>
      <c r="M636" s="1" t="n">
        <v>0</v>
      </c>
      <c r="N636" s="1" t="s">
        <v>407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0" t="n">
        <f aca="false">I636+0</f>
        <v>36.4</v>
      </c>
      <c r="AB636" s="0" t="n">
        <f aca="false">IF(Z636&gt;360,Z636-360,Z636+0)</f>
        <v>36.4</v>
      </c>
      <c r="AC636" s="1"/>
      <c r="AD636" s="1"/>
      <c r="AE636" s="1"/>
      <c r="AF636" s="1"/>
    </row>
    <row r="637" customFormat="false" ht="15.8" hidden="false" customHeight="false" outlineLevel="0" collapsed="false">
      <c r="A637" s="1" t="n">
        <v>18</v>
      </c>
      <c r="B637" s="1" t="n">
        <v>5</v>
      </c>
      <c r="C637" s="1" t="n">
        <v>1</v>
      </c>
      <c r="D637" s="1" t="n">
        <v>1.0353</v>
      </c>
      <c r="E637" s="1" t="n">
        <v>0.0337543</v>
      </c>
      <c r="F637" s="1" t="n">
        <v>9.18146E-005</v>
      </c>
      <c r="G637" s="1" t="s">
        <v>27</v>
      </c>
      <c r="H637" s="1" t="n">
        <v>143.1</v>
      </c>
      <c r="I637" s="1" t="n">
        <v>258.8</v>
      </c>
      <c r="J637" s="1" t="n">
        <v>0</v>
      </c>
      <c r="K637" s="1"/>
      <c r="L637" s="1" t="n">
        <v>0</v>
      </c>
      <c r="M637" s="1" t="n">
        <v>0</v>
      </c>
      <c r="N637" s="1" t="s">
        <v>407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0" t="n">
        <f aca="false">I637+0</f>
        <v>258.8</v>
      </c>
      <c r="AB637" s="0" t="n">
        <f aca="false">IF(Z637&gt;360,Z637-360,Z637+0)</f>
        <v>258.8</v>
      </c>
      <c r="AC637" s="1"/>
      <c r="AD637" s="1"/>
      <c r="AE637" s="1"/>
      <c r="AF637" s="1"/>
    </row>
    <row r="638" customFormat="false" ht="15.8" hidden="false" customHeight="false" outlineLevel="0" collapsed="false">
      <c r="A638" s="1" t="n">
        <v>18</v>
      </c>
      <c r="B638" s="1" t="n">
        <v>4</v>
      </c>
      <c r="C638" s="1" t="n">
        <v>11</v>
      </c>
      <c r="D638" s="1" t="n">
        <v>1.4788</v>
      </c>
      <c r="E638" s="1" t="n">
        <v>0.376503</v>
      </c>
      <c r="F638" s="1" t="n">
        <v>0.00102412</v>
      </c>
      <c r="G638" s="1" t="s">
        <v>52</v>
      </c>
      <c r="H638" s="1" t="n">
        <v>96</v>
      </c>
      <c r="I638" s="1" t="n">
        <v>47.3</v>
      </c>
      <c r="J638" s="1" t="n">
        <v>-20.3</v>
      </c>
      <c r="K638" s="1" t="n">
        <v>143.1</v>
      </c>
      <c r="L638" s="1" t="n">
        <v>0</v>
      </c>
      <c r="M638" s="1" t="n">
        <v>0</v>
      </c>
      <c r="N638" s="1" t="s">
        <v>408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0" t="n">
        <f aca="false">I638+0</f>
        <v>47.3</v>
      </c>
      <c r="AB638" s="0" t="n">
        <f aca="false">IF(Z638&gt;360,Z638-360,Z638+0)</f>
        <v>47.3</v>
      </c>
      <c r="AC638" s="1"/>
      <c r="AD638" s="1"/>
      <c r="AE638" s="1"/>
      <c r="AF638" s="1"/>
    </row>
    <row r="639" customFormat="false" ht="15.8" hidden="false" customHeight="false" outlineLevel="0" collapsed="false">
      <c r="A639" s="1" t="n">
        <v>18</v>
      </c>
      <c r="B639" s="1" t="n">
        <v>4</v>
      </c>
      <c r="C639" s="1" t="n">
        <v>0.9</v>
      </c>
      <c r="D639" s="1" t="n">
        <v>1.0238</v>
      </c>
      <c r="E639" s="1" t="n">
        <v>0.0294135</v>
      </c>
      <c r="F639" s="1" t="n">
        <v>8.00073E-005</v>
      </c>
      <c r="G639" s="1" t="s">
        <v>27</v>
      </c>
      <c r="H639" s="1" t="n">
        <v>112.9</v>
      </c>
      <c r="I639" s="1" t="n">
        <v>248.7</v>
      </c>
      <c r="J639" s="1" t="n">
        <v>0</v>
      </c>
      <c r="K639" s="1"/>
      <c r="L639" s="1" t="n">
        <v>0</v>
      </c>
      <c r="M639" s="1" t="n">
        <v>0</v>
      </c>
      <c r="N639" s="1" t="s">
        <v>408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0" t="n">
        <f aca="false">I639+0</f>
        <v>248.7</v>
      </c>
      <c r="AB639" s="0" t="n">
        <f aca="false">IF(Z639&gt;360,Z639-360,Z639+0)</f>
        <v>248.7</v>
      </c>
      <c r="AC639" s="1"/>
      <c r="AD639" s="1"/>
      <c r="AE639" s="1"/>
      <c r="AF639" s="1"/>
    </row>
    <row r="640" customFormat="false" ht="15.8" hidden="false" customHeight="false" outlineLevel="0" collapsed="false">
      <c r="A640" s="1" t="n">
        <v>18</v>
      </c>
      <c r="B640" s="1" t="n">
        <v>5</v>
      </c>
      <c r="C640" s="1" t="n">
        <v>2</v>
      </c>
      <c r="D640" s="1" t="n">
        <v>1.5857</v>
      </c>
      <c r="E640" s="1" t="n">
        <v>0.0695115</v>
      </c>
      <c r="F640" s="1" t="n">
        <v>0.000189077</v>
      </c>
      <c r="G640" s="1" t="s">
        <v>27</v>
      </c>
      <c r="H640" s="1" t="n">
        <v>38.4</v>
      </c>
      <c r="I640" s="1" t="n">
        <v>1.9</v>
      </c>
      <c r="J640" s="1" t="n">
        <v>59.9</v>
      </c>
      <c r="K640" s="1"/>
      <c r="L640" s="1" t="n">
        <v>0</v>
      </c>
      <c r="M640" s="1" t="n">
        <v>0</v>
      </c>
      <c r="N640" s="1" t="s">
        <v>409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0" t="n">
        <f aca="false">I640+0</f>
        <v>1.9</v>
      </c>
      <c r="AB640" s="0" t="n">
        <f aca="false">IF(Z640&gt;360,Z640-360,Z640+0)</f>
        <v>1.9</v>
      </c>
      <c r="AC640" s="1"/>
      <c r="AD640" s="1"/>
      <c r="AE640" s="1"/>
      <c r="AF640" s="1"/>
    </row>
    <row r="641" customFormat="false" ht="15.8" hidden="false" customHeight="false" outlineLevel="0" collapsed="false">
      <c r="A641" s="1" t="n">
        <v>18</v>
      </c>
      <c r="B641" s="1" t="n">
        <v>5</v>
      </c>
      <c r="C641" s="1" t="n">
        <v>0.5</v>
      </c>
      <c r="D641" s="1" t="n">
        <v>1.0001</v>
      </c>
      <c r="E641" s="1" t="n">
        <v>0.0186013</v>
      </c>
      <c r="F641" s="1" t="n">
        <v>5.05971E-005</v>
      </c>
      <c r="G641" s="1" t="s">
        <v>27</v>
      </c>
      <c r="H641" s="1" t="n">
        <v>124.7</v>
      </c>
      <c r="I641" s="1" t="n">
        <v>268.9</v>
      </c>
      <c r="J641" s="1" t="n">
        <v>0</v>
      </c>
      <c r="K641" s="1"/>
      <c r="L641" s="1" t="n">
        <v>0</v>
      </c>
      <c r="M641" s="1" t="n">
        <v>0</v>
      </c>
      <c r="N641" s="1" t="s">
        <v>409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0" t="n">
        <f aca="false">I641+0</f>
        <v>268.9</v>
      </c>
      <c r="AB641" s="0" t="n">
        <f aca="false">IF(Z641&gt;360,Z641-360,Z641+0)</f>
        <v>268.9</v>
      </c>
      <c r="AC641" s="1"/>
      <c r="AD641" s="1"/>
      <c r="AE641" s="1"/>
      <c r="AF641" s="1"/>
    </row>
    <row r="642" customFormat="false" ht="15.8" hidden="false" customHeight="false" outlineLevel="0" collapsed="false">
      <c r="A642" s="1" t="n">
        <v>18</v>
      </c>
      <c r="B642" s="1" t="n">
        <v>4</v>
      </c>
      <c r="C642" s="1" t="n">
        <v>2.8</v>
      </c>
      <c r="D642" s="1" t="n">
        <v>1.5156</v>
      </c>
      <c r="E642" s="1" t="n">
        <v>0.0944908</v>
      </c>
      <c r="F642" s="1" t="n">
        <v>0.000257023</v>
      </c>
      <c r="G642" s="1" t="s">
        <v>52</v>
      </c>
      <c r="H642" s="1" t="n">
        <v>29.9</v>
      </c>
      <c r="I642" s="1" t="n">
        <v>75.8</v>
      </c>
      <c r="J642" s="1" t="n">
        <v>54.2</v>
      </c>
      <c r="K642" s="1" t="n">
        <v>124.7</v>
      </c>
      <c r="L642" s="1" t="n">
        <v>0</v>
      </c>
      <c r="M642" s="1" t="n">
        <v>0</v>
      </c>
      <c r="N642" s="1" t="s">
        <v>408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0" t="n">
        <f aca="false">I642+0</f>
        <v>75.8</v>
      </c>
      <c r="AB642" s="0" t="n">
        <f aca="false">IF(Z642&gt;360,Z642-360,Z642+0)</f>
        <v>75.8</v>
      </c>
      <c r="AC642" s="1"/>
      <c r="AD642" s="1"/>
      <c r="AE642" s="1"/>
      <c r="AF642" s="1"/>
    </row>
    <row r="643" customFormat="false" ht="15.8" hidden="false" customHeight="false" outlineLevel="0" collapsed="false">
      <c r="A643" s="1" t="n">
        <v>18</v>
      </c>
      <c r="B643" s="1" t="n">
        <v>3</v>
      </c>
      <c r="C643" s="1" t="n">
        <v>1.9</v>
      </c>
      <c r="D643" s="1" t="n">
        <v>1.2574</v>
      </c>
      <c r="E643" s="1" t="n">
        <v>0.0643373</v>
      </c>
      <c r="F643" s="1" t="n">
        <v>0.000175003</v>
      </c>
      <c r="G643" s="1" t="s">
        <v>52</v>
      </c>
      <c r="H643" s="1" t="n">
        <v>40.2</v>
      </c>
      <c r="I643" s="1" t="n">
        <v>123.2</v>
      </c>
      <c r="J643" s="1" t="n">
        <v>47.9</v>
      </c>
      <c r="K643" s="1" t="n">
        <v>112.9</v>
      </c>
      <c r="L643" s="1" t="n">
        <v>0</v>
      </c>
      <c r="M643" s="1" t="n">
        <v>0</v>
      </c>
      <c r="N643" s="1" t="s">
        <v>410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0" t="n">
        <f aca="false">I643+0</f>
        <v>123.2</v>
      </c>
      <c r="AB643" s="0" t="n">
        <f aca="false">IF(Z643&gt;360,Z643-360,Z643+0)</f>
        <v>123.2</v>
      </c>
      <c r="AC643" s="1"/>
      <c r="AD643" s="1"/>
      <c r="AE643" s="1"/>
      <c r="AF643" s="1"/>
    </row>
    <row r="644" customFormat="false" ht="15.8" hidden="false" customHeight="false" outlineLevel="0" collapsed="false">
      <c r="A644" s="1" t="n">
        <v>18</v>
      </c>
      <c r="B644" s="1" t="n">
        <v>5</v>
      </c>
      <c r="C644" s="1" t="n">
        <v>1.2</v>
      </c>
      <c r="D644" s="1" t="n">
        <v>1.0994</v>
      </c>
      <c r="E644" s="1" t="n">
        <v>0.0400789</v>
      </c>
      <c r="F644" s="1" t="n">
        <v>0.000109018</v>
      </c>
      <c r="G644" s="1" t="s">
        <v>27</v>
      </c>
      <c r="H644" s="1" t="n">
        <v>46.6</v>
      </c>
      <c r="I644" s="1" t="n">
        <v>215.3</v>
      </c>
      <c r="J644" s="1" t="n">
        <v>43.9</v>
      </c>
      <c r="K644" s="1"/>
      <c r="L644" s="1" t="n">
        <v>0</v>
      </c>
      <c r="M644" s="1" t="n">
        <v>0</v>
      </c>
      <c r="N644" s="1" t="s">
        <v>411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0" t="n">
        <f aca="false">I644+0</f>
        <v>215.3</v>
      </c>
      <c r="AB644" s="0" t="n">
        <f aca="false">IF(Z644&gt;360,Z644-360,Z644+0)</f>
        <v>215.3</v>
      </c>
      <c r="AC644" s="1"/>
      <c r="AD644" s="1"/>
      <c r="AE644" s="1"/>
      <c r="AF644" s="1"/>
    </row>
    <row r="645" customFormat="false" ht="15.8" hidden="false" customHeight="false" outlineLevel="0" collapsed="false">
      <c r="A645" s="1" t="n">
        <v>18</v>
      </c>
      <c r="B645" s="1" t="n">
        <v>5</v>
      </c>
      <c r="C645" s="1" t="n">
        <v>0.7</v>
      </c>
      <c r="D645" s="1" t="n">
        <v>1.0012</v>
      </c>
      <c r="E645" s="1" t="n">
        <v>0.0238763</v>
      </c>
      <c r="F645" s="1" t="n">
        <v>6.49456E-005</v>
      </c>
      <c r="G645" s="1" t="s">
        <v>27</v>
      </c>
      <c r="H645" s="1" t="n">
        <v>63.4</v>
      </c>
      <c r="I645" s="1" t="n">
        <v>183.6</v>
      </c>
      <c r="J645" s="1" t="n">
        <v>0</v>
      </c>
      <c r="K645" s="1"/>
      <c r="L645" s="1" t="n">
        <v>0</v>
      </c>
      <c r="M645" s="1" t="n">
        <v>0</v>
      </c>
      <c r="N645" s="1" t="s">
        <v>411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0" t="n">
        <f aca="false">I645+0</f>
        <v>183.6</v>
      </c>
      <c r="AB645" s="0" t="n">
        <f aca="false">IF(Z645&gt;360,Z645-360,Z645+0)</f>
        <v>183.6</v>
      </c>
      <c r="AC645" s="1"/>
      <c r="AD645" s="1"/>
      <c r="AE645" s="1"/>
      <c r="AF645" s="1"/>
    </row>
    <row r="646" customFormat="false" ht="15.8" hidden="false" customHeight="false" outlineLevel="0" collapsed="false">
      <c r="A646" s="1" t="n">
        <v>18</v>
      </c>
      <c r="B646" s="1" t="n">
        <v>5</v>
      </c>
      <c r="C646" s="1" t="n">
        <v>1</v>
      </c>
      <c r="D646" s="1" t="n">
        <v>1.3623</v>
      </c>
      <c r="E646" s="1" t="n">
        <v>0.0338144</v>
      </c>
      <c r="F646" s="1" t="n">
        <v>9.19781E-005</v>
      </c>
      <c r="G646" s="1" t="s">
        <v>27</v>
      </c>
      <c r="H646" s="1" t="n">
        <v>100.5</v>
      </c>
      <c r="I646" s="1" t="n">
        <v>353</v>
      </c>
      <c r="J646" s="1" t="n">
        <v>30.6</v>
      </c>
      <c r="K646" s="1"/>
      <c r="L646" s="1" t="n">
        <v>0</v>
      </c>
      <c r="M646" s="1" t="n">
        <v>0</v>
      </c>
      <c r="N646" s="1" t="s">
        <v>411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0" t="n">
        <f aca="false">I646+0</f>
        <v>353</v>
      </c>
      <c r="AB646" s="0" t="n">
        <f aca="false">IF(Z646&gt;360,Z646-360,Z646+0)</f>
        <v>353</v>
      </c>
      <c r="AC646" s="1"/>
      <c r="AD646" s="1"/>
      <c r="AE646" s="1"/>
      <c r="AF646" s="1"/>
    </row>
    <row r="647" customFormat="false" ht="15.8" hidden="false" customHeight="false" outlineLevel="0" collapsed="false">
      <c r="A647" s="1" t="n">
        <v>18</v>
      </c>
      <c r="B647" s="1" t="n">
        <v>4</v>
      </c>
      <c r="C647" s="1" t="n">
        <v>14.1</v>
      </c>
      <c r="D647" s="1" t="n">
        <v>1.4063</v>
      </c>
      <c r="E647" s="1" t="n">
        <v>0.480477</v>
      </c>
      <c r="F647" s="1" t="n">
        <v>0.00130694</v>
      </c>
      <c r="G647" s="1" t="s">
        <v>52</v>
      </c>
      <c r="H647" s="1" t="n">
        <v>17.7</v>
      </c>
      <c r="I647" s="1" t="n">
        <v>246.8</v>
      </c>
      <c r="J647" s="1" t="n">
        <v>6.4</v>
      </c>
      <c r="K647" s="1" t="n">
        <v>100.5</v>
      </c>
      <c r="L647" s="1" t="n">
        <v>0</v>
      </c>
      <c r="M647" s="1" t="n">
        <v>0</v>
      </c>
      <c r="N647" s="1" t="s">
        <v>412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0" t="n">
        <f aca="false">I647+0</f>
        <v>246.8</v>
      </c>
      <c r="AB647" s="0" t="n">
        <f aca="false">IF(Z647&gt;360,Z647-360,Z647+0)</f>
        <v>246.8</v>
      </c>
      <c r="AC647" s="1"/>
      <c r="AD647" s="1"/>
      <c r="AE647" s="1"/>
      <c r="AF647" s="1"/>
    </row>
    <row r="648" customFormat="false" ht="15.8" hidden="false" customHeight="false" outlineLevel="0" collapsed="false">
      <c r="A648" s="1" t="n">
        <v>18</v>
      </c>
      <c r="B648" s="1" t="n">
        <v>4</v>
      </c>
      <c r="C648" s="1" t="n">
        <v>1.5</v>
      </c>
      <c r="D648" s="1" t="n">
        <v>1.0058</v>
      </c>
      <c r="E648" s="1" t="n">
        <v>0.0501398</v>
      </c>
      <c r="F648" s="1" t="n">
        <v>0.000136385</v>
      </c>
      <c r="G648" s="1" t="s">
        <v>27</v>
      </c>
      <c r="H648" s="1" t="n">
        <v>40.1</v>
      </c>
      <c r="I648" s="1" t="n">
        <v>268.7</v>
      </c>
      <c r="J648" s="1" t="n">
        <v>0</v>
      </c>
      <c r="K648" s="1"/>
      <c r="L648" s="1" t="n">
        <v>0</v>
      </c>
      <c r="M648" s="1" t="n">
        <v>0</v>
      </c>
      <c r="N648" s="1" t="s">
        <v>412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0" t="n">
        <f aca="false">I648+0</f>
        <v>268.7</v>
      </c>
      <c r="AB648" s="0" t="n">
        <f aca="false">IF(Z648&gt;360,Z648-360,Z648+0)</f>
        <v>268.7</v>
      </c>
      <c r="AC648" s="1"/>
      <c r="AD648" s="1"/>
      <c r="AE648" s="1"/>
      <c r="AF648" s="1"/>
    </row>
    <row r="649" customFormat="false" ht="15.8" hidden="false" customHeight="false" outlineLevel="0" collapsed="false">
      <c r="A649" s="1" t="n">
        <v>18</v>
      </c>
      <c r="B649" s="1" t="n">
        <v>3</v>
      </c>
      <c r="C649" s="1" t="n">
        <v>3.1</v>
      </c>
      <c r="D649" s="1" t="n">
        <v>1.1346</v>
      </c>
      <c r="E649" s="1" t="n">
        <v>0.107184</v>
      </c>
      <c r="F649" s="1" t="n">
        <v>0.000291549</v>
      </c>
      <c r="G649" s="1" t="s">
        <v>52</v>
      </c>
      <c r="H649" s="1" t="n">
        <v>60</v>
      </c>
      <c r="I649" s="1" t="n">
        <v>231.3</v>
      </c>
      <c r="J649" s="1" t="n">
        <v>15.5</v>
      </c>
      <c r="K649" s="1" t="n">
        <v>40.1</v>
      </c>
      <c r="L649" s="1" t="n">
        <v>0</v>
      </c>
      <c r="M649" s="1" t="n">
        <v>0</v>
      </c>
      <c r="N649" s="1" t="s">
        <v>410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0" t="n">
        <f aca="false">I649+0</f>
        <v>231.3</v>
      </c>
      <c r="AB649" s="0" t="n">
        <f aca="false">IF(Z649&gt;360,Z649-360,Z649+0)</f>
        <v>231.3</v>
      </c>
      <c r="AC649" s="1"/>
      <c r="AD649" s="1"/>
      <c r="AE649" s="1"/>
      <c r="AF649" s="1"/>
    </row>
    <row r="650" customFormat="false" ht="15.8" hidden="false" customHeight="false" outlineLevel="0" collapsed="false">
      <c r="A650" s="1" t="n">
        <v>18</v>
      </c>
      <c r="B650" s="1" t="n">
        <v>3</v>
      </c>
      <c r="C650" s="1" t="n">
        <v>0.9</v>
      </c>
      <c r="D650" s="1" t="n">
        <v>1.0173</v>
      </c>
      <c r="E650" s="1" t="n">
        <v>0.0316308</v>
      </c>
      <c r="F650" s="1" t="n">
        <v>8.60387E-005</v>
      </c>
      <c r="G650" s="1" t="s">
        <v>27</v>
      </c>
      <c r="H650" s="1" t="n">
        <v>96.1</v>
      </c>
      <c r="I650" s="1" t="n">
        <v>306.7</v>
      </c>
      <c r="J650" s="1" t="n">
        <v>0</v>
      </c>
      <c r="K650" s="1"/>
      <c r="L650" s="1" t="n">
        <v>0</v>
      </c>
      <c r="M650" s="1" t="n">
        <v>0</v>
      </c>
      <c r="N650" s="1" t="s">
        <v>410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0" t="n">
        <f aca="false">I650+0</f>
        <v>306.7</v>
      </c>
      <c r="AB650" s="0" t="n">
        <f aca="false">IF(Z650&gt;360,Z650-360,Z650+0)</f>
        <v>306.7</v>
      </c>
      <c r="AC650" s="1"/>
      <c r="AD650" s="1"/>
      <c r="AE650" s="1"/>
      <c r="AF650" s="1"/>
    </row>
    <row r="651" customFormat="false" ht="15.8" hidden="false" customHeight="false" outlineLevel="0" collapsed="false">
      <c r="A651" s="1" t="n">
        <v>18</v>
      </c>
      <c r="B651" s="1" t="n">
        <v>2</v>
      </c>
      <c r="C651" s="1" t="n">
        <v>2.4</v>
      </c>
      <c r="D651" s="1" t="n">
        <v>1.2097</v>
      </c>
      <c r="E651" s="1" t="n">
        <v>0.0804485</v>
      </c>
      <c r="F651" s="1" t="n">
        <v>0.000218827</v>
      </c>
      <c r="G651" s="1" t="s">
        <v>52</v>
      </c>
      <c r="H651" s="1" t="n">
        <v>107.6</v>
      </c>
      <c r="I651" s="1" t="n">
        <v>196.8</v>
      </c>
      <c r="J651" s="1" t="n">
        <v>72</v>
      </c>
      <c r="K651" s="1" t="n">
        <v>96.1</v>
      </c>
      <c r="L651" s="1" t="n">
        <v>0</v>
      </c>
      <c r="M651" s="1" t="n">
        <v>0</v>
      </c>
      <c r="N651" s="1" t="s">
        <v>413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0" t="n">
        <f aca="false">I651+0</f>
        <v>196.8</v>
      </c>
      <c r="AB651" s="0" t="n">
        <f aca="false">IF(Z651&gt;360,Z651-360,Z651+0)</f>
        <v>196.8</v>
      </c>
      <c r="AC651" s="1"/>
      <c r="AD651" s="1"/>
      <c r="AE651" s="1"/>
      <c r="AF651" s="1"/>
    </row>
    <row r="652" customFormat="false" ht="15.8" hidden="false" customHeight="false" outlineLevel="0" collapsed="false">
      <c r="A652" s="1" t="n">
        <v>18</v>
      </c>
      <c r="B652" s="1" t="n">
        <v>2</v>
      </c>
      <c r="C652" s="1" t="n">
        <v>1.4</v>
      </c>
      <c r="D652" s="1" t="n">
        <v>1.3605</v>
      </c>
      <c r="E652" s="1" t="n">
        <v>0.0469592</v>
      </c>
      <c r="F652" s="1" t="n">
        <v>0.000127733</v>
      </c>
      <c r="G652" s="1" t="s">
        <v>27</v>
      </c>
      <c r="H652" s="1" t="n">
        <v>47.5</v>
      </c>
      <c r="I652" s="1" t="n">
        <v>11</v>
      </c>
      <c r="J652" s="1" t="n">
        <v>47.1</v>
      </c>
      <c r="K652" s="1"/>
      <c r="L652" s="1" t="n">
        <v>0</v>
      </c>
      <c r="M652" s="1" t="n">
        <v>0</v>
      </c>
      <c r="N652" s="1" t="s">
        <v>413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0" t="n">
        <f aca="false">I652+0</f>
        <v>11</v>
      </c>
      <c r="AB652" s="0" t="n">
        <f aca="false">IF(Z652&gt;360,Z652-360,Z652+0)</f>
        <v>11</v>
      </c>
      <c r="AC652" s="1"/>
      <c r="AD652" s="1"/>
      <c r="AE652" s="1"/>
      <c r="AF652" s="1"/>
    </row>
    <row r="653" customFormat="false" ht="15.8" hidden="false" customHeight="false" outlineLevel="0" collapsed="false">
      <c r="A653" s="1" t="n">
        <v>18</v>
      </c>
      <c r="B653" s="1" t="n">
        <v>1</v>
      </c>
      <c r="C653" s="1" t="n">
        <v>1</v>
      </c>
      <c r="D653" s="1" t="n">
        <v>1.1527</v>
      </c>
      <c r="E653" s="1" t="n">
        <v>0.0343941</v>
      </c>
      <c r="F653" s="1" t="n">
        <v>9.35549E-005</v>
      </c>
      <c r="G653" s="1" t="s">
        <v>52</v>
      </c>
      <c r="H653" s="1"/>
      <c r="I653" s="1" t="n">
        <v>4.3</v>
      </c>
      <c r="J653" s="1" t="n">
        <v>0</v>
      </c>
      <c r="K653" s="1" t="n">
        <v>107.6</v>
      </c>
      <c r="L653" s="1" t="n">
        <v>0</v>
      </c>
      <c r="M653" s="1" t="n">
        <v>0</v>
      </c>
      <c r="N653" s="1" t="s">
        <v>414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0" t="n">
        <f aca="false">I653+0</f>
        <v>4.3</v>
      </c>
      <c r="AB653" s="0" t="n">
        <f aca="false">IF(Z653&gt;360,Z653-360,Z653+0)</f>
        <v>4.3</v>
      </c>
      <c r="AC653" s="1"/>
      <c r="AD653" s="1"/>
      <c r="AE653" s="1"/>
      <c r="AF653" s="1"/>
    </row>
    <row r="654" customFormat="false" ht="15.8" hidden="false" customHeight="false" outlineLevel="0" collapsed="false">
      <c r="A654" s="1" t="n">
        <v>19</v>
      </c>
      <c r="B654" s="1" t="n">
        <v>1</v>
      </c>
      <c r="C654" s="1" t="n">
        <v>3.6</v>
      </c>
      <c r="D654" s="1" t="n">
        <v>1.1721</v>
      </c>
      <c r="E654" s="1" t="n">
        <v>0.122075</v>
      </c>
      <c r="F654" s="1" t="n">
        <v>0.000332055</v>
      </c>
      <c r="G654" s="1" t="s">
        <v>27</v>
      </c>
      <c r="H654" s="1"/>
      <c r="I654" s="1" t="n">
        <v>226.8</v>
      </c>
      <c r="J654" s="1" t="n">
        <v>-14.1</v>
      </c>
      <c r="K654" s="1"/>
      <c r="L654" s="1" t="n">
        <v>0</v>
      </c>
      <c r="M654" s="1" t="n">
        <v>0</v>
      </c>
      <c r="N654" s="1" t="s">
        <v>415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0" t="n">
        <f aca="false">I654+0</f>
        <v>226.8</v>
      </c>
      <c r="AB654" s="0" t="n">
        <f aca="false">IF(Z654&gt;360,Z654-360,Z654+0)</f>
        <v>226.8</v>
      </c>
      <c r="AC654" s="1"/>
      <c r="AD654" s="1"/>
      <c r="AE654" s="1"/>
      <c r="AF654" s="1"/>
    </row>
    <row r="655" customFormat="false" ht="15.8" hidden="false" customHeight="false" outlineLevel="0" collapsed="false">
      <c r="A655" s="1" t="n">
        <v>20</v>
      </c>
      <c r="B655" s="1" t="n">
        <v>3</v>
      </c>
      <c r="C655" s="1" t="n">
        <v>7.8</v>
      </c>
      <c r="D655" s="1" t="n">
        <v>1.2616</v>
      </c>
      <c r="E655" s="1" t="n">
        <v>0.265613</v>
      </c>
      <c r="F655" s="1" t="n">
        <v>0.000722491</v>
      </c>
      <c r="G655" s="1" t="s">
        <v>27</v>
      </c>
      <c r="H655" s="1" t="n">
        <v>32.5</v>
      </c>
      <c r="I655" s="1" t="n">
        <v>138.5</v>
      </c>
      <c r="J655" s="1" t="n">
        <v>-10.4</v>
      </c>
      <c r="K655" s="1"/>
      <c r="L655" s="1" t="n">
        <v>0</v>
      </c>
      <c r="M655" s="1" t="n">
        <v>0</v>
      </c>
      <c r="N655" s="1" t="s">
        <v>416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0" t="n">
        <f aca="false">I655+0</f>
        <v>138.5</v>
      </c>
      <c r="AB655" s="0" t="n">
        <f aca="false">IF(Z655&gt;360,Z655-360,Z655+0)</f>
        <v>138.5</v>
      </c>
      <c r="AC655" s="1"/>
      <c r="AD655" s="1"/>
      <c r="AE655" s="1"/>
      <c r="AF655" s="1"/>
    </row>
    <row r="656" customFormat="false" ht="15.8" hidden="false" customHeight="false" outlineLevel="0" collapsed="false">
      <c r="A656" s="1" t="n">
        <v>20</v>
      </c>
      <c r="B656" s="1" t="n">
        <v>4</v>
      </c>
      <c r="C656" s="1" t="n">
        <v>4.2</v>
      </c>
      <c r="D656" s="1" t="n">
        <v>1.1619</v>
      </c>
      <c r="E656" s="1" t="n">
        <v>0.142361</v>
      </c>
      <c r="F656" s="1" t="n">
        <v>0.000387234</v>
      </c>
      <c r="G656" s="1" t="s">
        <v>27</v>
      </c>
      <c r="H656" s="1" t="n">
        <v>47.2</v>
      </c>
      <c r="I656" s="1" t="n">
        <v>192.4</v>
      </c>
      <c r="J656" s="1" t="n">
        <v>-18</v>
      </c>
      <c r="K656" s="1"/>
      <c r="L656" s="1" t="n">
        <v>0</v>
      </c>
      <c r="M656" s="1" t="n">
        <v>0</v>
      </c>
      <c r="N656" s="1" t="s">
        <v>417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0" t="n">
        <f aca="false">I656+0</f>
        <v>192.4</v>
      </c>
      <c r="AB656" s="0" t="n">
        <f aca="false">IF(Z656&gt;360,Z656-360,Z656+0)</f>
        <v>192.4</v>
      </c>
      <c r="AC656" s="1"/>
      <c r="AD656" s="1"/>
      <c r="AE656" s="1"/>
      <c r="AF656" s="1"/>
    </row>
    <row r="657" customFormat="false" ht="15.8" hidden="false" customHeight="false" outlineLevel="0" collapsed="false">
      <c r="A657" s="1" t="n">
        <v>20</v>
      </c>
      <c r="B657" s="1" t="n">
        <v>5</v>
      </c>
      <c r="C657" s="1" t="n">
        <v>1.7</v>
      </c>
      <c r="D657" s="1" t="n">
        <v>1.1503</v>
      </c>
      <c r="E657" s="1" t="n">
        <v>0.0565923</v>
      </c>
      <c r="F657" s="1" t="n">
        <v>0.000153936</v>
      </c>
      <c r="G657" s="1" t="s">
        <v>27</v>
      </c>
      <c r="H657" s="1" t="n">
        <v>78.8</v>
      </c>
      <c r="I657" s="1" t="n">
        <v>265.9</v>
      </c>
      <c r="J657" s="1" t="n">
        <v>50.5</v>
      </c>
      <c r="K657" s="1"/>
      <c r="L657" s="1" t="n">
        <v>0</v>
      </c>
      <c r="M657" s="1" t="n">
        <v>0</v>
      </c>
      <c r="N657" s="1" t="s">
        <v>418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0" t="n">
        <f aca="false">I657+0</f>
        <v>265.9</v>
      </c>
      <c r="AB657" s="0" t="n">
        <f aca="false">IF(Z657&gt;360,Z657-360,Z657+0)</f>
        <v>265.9</v>
      </c>
      <c r="AC657" s="1"/>
      <c r="AD657" s="1"/>
      <c r="AE657" s="1"/>
      <c r="AF657" s="1"/>
    </row>
    <row r="658" customFormat="false" ht="15.8" hidden="false" customHeight="false" outlineLevel="0" collapsed="false">
      <c r="A658" s="1" t="n">
        <v>20</v>
      </c>
      <c r="B658" s="1" t="n">
        <v>5</v>
      </c>
      <c r="C658" s="1" t="n">
        <v>1.3</v>
      </c>
      <c r="D658" s="1" t="n">
        <v>1.1709</v>
      </c>
      <c r="E658" s="1" t="n">
        <v>0.0457278</v>
      </c>
      <c r="F658" s="1" t="n">
        <v>0.000124383</v>
      </c>
      <c r="G658" s="1" t="s">
        <v>27</v>
      </c>
      <c r="H658" s="1" t="n">
        <v>25.4</v>
      </c>
      <c r="I658" s="1" t="n">
        <v>323.1</v>
      </c>
      <c r="J658" s="1" t="n">
        <v>-40.4</v>
      </c>
      <c r="K658" s="1"/>
      <c r="L658" s="1" t="n">
        <v>0</v>
      </c>
      <c r="M658" s="1" t="n">
        <v>0</v>
      </c>
      <c r="N658" s="1" t="s">
        <v>418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0" t="n">
        <f aca="false">I658+0</f>
        <v>323.1</v>
      </c>
      <c r="AB658" s="0" t="n">
        <f aca="false">IF(Z658&gt;360,Z658-360,Z658+0)</f>
        <v>323.1</v>
      </c>
      <c r="AC658" s="1"/>
      <c r="AD658" s="1"/>
      <c r="AE658" s="1"/>
      <c r="AF658" s="1"/>
    </row>
    <row r="659" customFormat="false" ht="15.8" hidden="false" customHeight="false" outlineLevel="0" collapsed="false">
      <c r="A659" s="1" t="n">
        <v>20</v>
      </c>
      <c r="B659" s="1" t="n">
        <v>4</v>
      </c>
      <c r="C659" s="1" t="n">
        <v>1.2</v>
      </c>
      <c r="D659" s="1" t="n">
        <v>1.1241</v>
      </c>
      <c r="E659" s="1" t="n">
        <v>0.0399504</v>
      </c>
      <c r="F659" s="1" t="n">
        <v>0.000108669</v>
      </c>
      <c r="G659" s="1" t="s">
        <v>52</v>
      </c>
      <c r="H659" s="1" t="n">
        <v>111.4</v>
      </c>
      <c r="I659" s="1" t="n">
        <v>304</v>
      </c>
      <c r="J659" s="1" t="n">
        <v>-20.8</v>
      </c>
      <c r="K659" s="1" t="n">
        <v>78.8</v>
      </c>
      <c r="L659" s="1" t="n">
        <v>0</v>
      </c>
      <c r="M659" s="1" t="n">
        <v>0</v>
      </c>
      <c r="N659" s="1" t="s">
        <v>417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0" t="n">
        <f aca="false">I659+0</f>
        <v>304</v>
      </c>
      <c r="AB659" s="0" t="n">
        <f aca="false">IF(Z659&gt;360,Z659-360,Z659+0)</f>
        <v>304</v>
      </c>
      <c r="AC659" s="1"/>
      <c r="AD659" s="1"/>
      <c r="AE659" s="1"/>
      <c r="AF659" s="1"/>
    </row>
    <row r="660" customFormat="false" ht="15.8" hidden="false" customHeight="false" outlineLevel="0" collapsed="false">
      <c r="A660" s="1" t="n">
        <v>20</v>
      </c>
      <c r="B660" s="1" t="n">
        <v>4</v>
      </c>
      <c r="C660" s="1" t="n">
        <v>2.6</v>
      </c>
      <c r="D660" s="1" t="n">
        <v>1.1833</v>
      </c>
      <c r="E660" s="1" t="n">
        <v>0.0896432</v>
      </c>
      <c r="F660" s="1" t="n">
        <v>0.000243837</v>
      </c>
      <c r="G660" s="1" t="s">
        <v>27</v>
      </c>
      <c r="H660" s="1" t="n">
        <v>131.8</v>
      </c>
      <c r="I660" s="1" t="n">
        <v>24.3</v>
      </c>
      <c r="J660" s="1" t="n">
        <v>19.5</v>
      </c>
      <c r="K660" s="1"/>
      <c r="L660" s="1" t="n">
        <v>0</v>
      </c>
      <c r="M660" s="1" t="n">
        <v>0</v>
      </c>
      <c r="N660" s="1" t="s">
        <v>417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0" t="n">
        <f aca="false">I660+0</f>
        <v>24.3</v>
      </c>
      <c r="AB660" s="0" t="n">
        <f aca="false">IF(Z660&gt;360,Z660-360,Z660+0)</f>
        <v>24.3</v>
      </c>
      <c r="AC660" s="1"/>
      <c r="AD660" s="1"/>
      <c r="AE660" s="1"/>
      <c r="AF660" s="1"/>
    </row>
    <row r="661" customFormat="false" ht="15.8" hidden="false" customHeight="false" outlineLevel="0" collapsed="false">
      <c r="A661" s="1" t="n">
        <v>20</v>
      </c>
      <c r="B661" s="1" t="n">
        <v>3</v>
      </c>
      <c r="C661" s="1" t="n">
        <v>3.4</v>
      </c>
      <c r="D661" s="1" t="n">
        <v>1.108</v>
      </c>
      <c r="E661" s="1" t="n">
        <v>0.117497</v>
      </c>
      <c r="F661" s="1" t="n">
        <v>0.000319602</v>
      </c>
      <c r="G661" s="1" t="s">
        <v>52</v>
      </c>
      <c r="H661" s="1" t="n">
        <v>52.5</v>
      </c>
      <c r="I661" s="1" t="n">
        <v>200.3</v>
      </c>
      <c r="J661" s="1" t="n">
        <v>28.5</v>
      </c>
      <c r="K661" s="1" t="n">
        <v>131.8</v>
      </c>
      <c r="L661" s="1" t="n">
        <v>0</v>
      </c>
      <c r="M661" s="1" t="n">
        <v>0</v>
      </c>
      <c r="N661" s="1" t="s">
        <v>416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0" t="n">
        <f aca="false">I661+0</f>
        <v>200.3</v>
      </c>
      <c r="AB661" s="0" t="n">
        <f aca="false">IF(Z661&gt;360,Z661-360,Z661+0)</f>
        <v>200.3</v>
      </c>
      <c r="AC661" s="1"/>
      <c r="AD661" s="1"/>
      <c r="AE661" s="1"/>
      <c r="AF661" s="1"/>
    </row>
    <row r="662" customFormat="false" ht="15.8" hidden="false" customHeight="false" outlineLevel="0" collapsed="false">
      <c r="A662" s="1" t="n">
        <v>20</v>
      </c>
      <c r="B662" s="1" t="n">
        <v>3</v>
      </c>
      <c r="C662" s="1" t="n">
        <v>3.6</v>
      </c>
      <c r="D662" s="1" t="n">
        <v>1.28</v>
      </c>
      <c r="E662" s="1" t="n">
        <v>0.123783</v>
      </c>
      <c r="F662" s="1" t="n">
        <v>0.0003367</v>
      </c>
      <c r="G662" s="1" t="s">
        <v>27</v>
      </c>
      <c r="H662" s="1" t="n">
        <v>91</v>
      </c>
      <c r="I662" s="1" t="n">
        <v>73.2</v>
      </c>
      <c r="J662" s="1" t="n">
        <v>-23.1</v>
      </c>
      <c r="K662" s="1"/>
      <c r="L662" s="1" t="n">
        <v>0</v>
      </c>
      <c r="M662" s="1" t="n">
        <v>0</v>
      </c>
      <c r="N662" s="1" t="s">
        <v>416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0" t="n">
        <f aca="false">I662+0</f>
        <v>73.2</v>
      </c>
      <c r="AB662" s="0" t="n">
        <f aca="false">IF(Z662&gt;360,Z662-360,Z662+0)</f>
        <v>73.2</v>
      </c>
      <c r="AC662" s="1"/>
      <c r="AD662" s="1"/>
      <c r="AE662" s="1"/>
      <c r="AF662" s="1"/>
    </row>
    <row r="663" customFormat="false" ht="15.8" hidden="false" customHeight="false" outlineLevel="0" collapsed="false">
      <c r="A663" s="1" t="n">
        <v>20</v>
      </c>
      <c r="B663" s="1" t="n">
        <v>2</v>
      </c>
      <c r="C663" s="1" t="n">
        <v>4.7</v>
      </c>
      <c r="D663" s="1" t="n">
        <v>1.1566</v>
      </c>
      <c r="E663" s="1" t="n">
        <v>0.159277</v>
      </c>
      <c r="F663" s="1" t="n">
        <v>0.000433248</v>
      </c>
      <c r="G663" s="1" t="s">
        <v>52</v>
      </c>
      <c r="H663" s="1" t="n">
        <v>48.1</v>
      </c>
      <c r="I663" s="1" t="n">
        <v>171.4</v>
      </c>
      <c r="J663" s="1" t="n">
        <v>-16</v>
      </c>
      <c r="K663" s="1" t="n">
        <v>91</v>
      </c>
      <c r="L663" s="1" t="n">
        <v>0</v>
      </c>
      <c r="M663" s="1" t="n">
        <v>0</v>
      </c>
      <c r="N663" s="1" t="s">
        <v>419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0" t="n">
        <f aca="false">I663+0</f>
        <v>171.4</v>
      </c>
      <c r="AB663" s="0" t="n">
        <f aca="false">IF(Z663&gt;360,Z663-360,Z663+0)</f>
        <v>171.4</v>
      </c>
      <c r="AC663" s="1"/>
      <c r="AD663" s="1"/>
      <c r="AE663" s="1"/>
      <c r="AF663" s="1"/>
    </row>
    <row r="664" customFormat="false" ht="15.8" hidden="false" customHeight="false" outlineLevel="0" collapsed="false">
      <c r="A664" s="1" t="n">
        <v>20</v>
      </c>
      <c r="B664" s="1" t="n">
        <v>13</v>
      </c>
      <c r="C664" s="1" t="n">
        <v>1.1</v>
      </c>
      <c r="D664" s="1" t="n">
        <v>1.1145</v>
      </c>
      <c r="E664" s="1" t="n">
        <v>0.0358913</v>
      </c>
      <c r="F664" s="1" t="n">
        <v>9.76275E-005</v>
      </c>
      <c r="G664" s="1" t="s">
        <v>27</v>
      </c>
      <c r="H664" s="1" t="n">
        <v>45</v>
      </c>
      <c r="I664" s="1" t="n">
        <v>277.2</v>
      </c>
      <c r="J664" s="1" t="n">
        <v>-23.1</v>
      </c>
      <c r="K664" s="1"/>
      <c r="L664" s="1" t="n">
        <v>0</v>
      </c>
      <c r="M664" s="1" t="n">
        <v>0</v>
      </c>
      <c r="N664" s="1" t="s">
        <v>420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0" t="n">
        <f aca="false">I664+0</f>
        <v>277.2</v>
      </c>
      <c r="AB664" s="0" t="n">
        <f aca="false">IF(Z664&gt;360,Z664-360,Z664+0)</f>
        <v>277.2</v>
      </c>
      <c r="AC664" s="1"/>
      <c r="AD664" s="1"/>
      <c r="AE664" s="1"/>
      <c r="AF664" s="1"/>
    </row>
    <row r="665" customFormat="false" ht="15.8" hidden="false" customHeight="false" outlineLevel="0" collapsed="false">
      <c r="A665" s="1" t="n">
        <v>20</v>
      </c>
      <c r="B665" s="1" t="n">
        <v>16</v>
      </c>
      <c r="C665" s="1" t="n">
        <v>2.1</v>
      </c>
      <c r="D665" s="1" t="n">
        <v>1.0751</v>
      </c>
      <c r="E665" s="1" t="n">
        <v>0.0719731</v>
      </c>
      <c r="F665" s="1" t="n">
        <v>0.000195773</v>
      </c>
      <c r="G665" s="1" t="s">
        <v>27</v>
      </c>
      <c r="H665" s="1" t="n">
        <v>48</v>
      </c>
      <c r="I665" s="1" t="n">
        <v>69.9</v>
      </c>
      <c r="J665" s="1" t="n">
        <v>0</v>
      </c>
      <c r="K665" s="1"/>
      <c r="L665" s="1" t="n">
        <v>0</v>
      </c>
      <c r="M665" s="1" t="n">
        <v>0</v>
      </c>
      <c r="N665" s="1" t="s">
        <v>421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0" t="n">
        <f aca="false">I665+0</f>
        <v>69.9</v>
      </c>
      <c r="AB665" s="0" t="n">
        <f aca="false">IF(Z665&gt;360,Z665-360,Z665+0)</f>
        <v>69.9</v>
      </c>
      <c r="AC665" s="1"/>
      <c r="AD665" s="1"/>
      <c r="AE665" s="1"/>
      <c r="AF665" s="1"/>
    </row>
    <row r="666" customFormat="false" ht="15.8" hidden="false" customHeight="false" outlineLevel="0" collapsed="false">
      <c r="A666" s="1" t="n">
        <v>20</v>
      </c>
      <c r="B666" s="1" t="n">
        <v>16</v>
      </c>
      <c r="C666" s="1" t="n">
        <v>1.8</v>
      </c>
      <c r="D666" s="1" t="n">
        <v>1.0849</v>
      </c>
      <c r="E666" s="1" t="n">
        <v>0.0611763</v>
      </c>
      <c r="F666" s="1" t="n">
        <v>0.000166405</v>
      </c>
      <c r="G666" s="1" t="s">
        <v>27</v>
      </c>
      <c r="H666" s="1" t="n">
        <v>78.6</v>
      </c>
      <c r="I666" s="1" t="n">
        <v>39.5</v>
      </c>
      <c r="J666" s="1" t="n">
        <v>-13</v>
      </c>
      <c r="K666" s="1"/>
      <c r="L666" s="1" t="n">
        <v>0</v>
      </c>
      <c r="M666" s="1" t="n">
        <v>0</v>
      </c>
      <c r="N666" s="1" t="s">
        <v>421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0" t="n">
        <f aca="false">I666+0</f>
        <v>39.5</v>
      </c>
      <c r="AB666" s="0" t="n">
        <f aca="false">IF(Z666&gt;360,Z666-360,Z666+0)</f>
        <v>39.5</v>
      </c>
      <c r="AC666" s="1"/>
      <c r="AD666" s="1"/>
      <c r="AE666" s="1"/>
      <c r="AF666" s="1"/>
    </row>
    <row r="667" customFormat="false" ht="15.8" hidden="false" customHeight="false" outlineLevel="0" collapsed="false">
      <c r="A667" s="1" t="n">
        <v>20</v>
      </c>
      <c r="B667" s="1" t="n">
        <v>16</v>
      </c>
      <c r="C667" s="1" t="n">
        <v>1.3</v>
      </c>
      <c r="D667" s="1" t="n">
        <v>1.2329</v>
      </c>
      <c r="E667" s="1" t="n">
        <v>0.0444918</v>
      </c>
      <c r="F667" s="1" t="n">
        <v>0.000121022</v>
      </c>
      <c r="G667" s="1" t="s">
        <v>27</v>
      </c>
      <c r="H667" s="1" t="n">
        <v>137.5</v>
      </c>
      <c r="I667" s="1" t="n">
        <v>336</v>
      </c>
      <c r="J667" s="1" t="n">
        <v>20.5</v>
      </c>
      <c r="K667" s="1"/>
      <c r="L667" s="1" t="n">
        <v>0</v>
      </c>
      <c r="M667" s="1" t="n">
        <v>0</v>
      </c>
      <c r="N667" s="1" t="s">
        <v>421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0" t="n">
        <f aca="false">I667+0</f>
        <v>336</v>
      </c>
      <c r="AB667" s="0" t="n">
        <f aca="false">IF(Z667&gt;360,Z667-360,Z667+0)</f>
        <v>336</v>
      </c>
      <c r="AC667" s="1"/>
      <c r="AD667" s="1"/>
      <c r="AE667" s="1"/>
      <c r="AF667" s="1"/>
    </row>
    <row r="668" customFormat="false" ht="15.8" hidden="false" customHeight="false" outlineLevel="0" collapsed="false">
      <c r="A668" s="1" t="n">
        <v>20</v>
      </c>
      <c r="B668" s="1" t="n">
        <v>15</v>
      </c>
      <c r="C668" s="1" t="n">
        <v>0.7</v>
      </c>
      <c r="D668" s="1" t="n">
        <v>1.0051</v>
      </c>
      <c r="E668" s="1" t="n">
        <v>0.0224054</v>
      </c>
      <c r="F668" s="1" t="n">
        <v>6.09446E-005</v>
      </c>
      <c r="G668" s="1" t="s">
        <v>52</v>
      </c>
      <c r="H668" s="1" t="n">
        <v>42.1</v>
      </c>
      <c r="I668" s="1" t="n">
        <v>117.8</v>
      </c>
      <c r="J668" s="1" t="n">
        <v>0</v>
      </c>
      <c r="K668" s="1" t="n">
        <v>137.5</v>
      </c>
      <c r="L668" s="1" t="n">
        <v>0</v>
      </c>
      <c r="M668" s="1" t="n">
        <v>0</v>
      </c>
      <c r="N668" s="1" t="s">
        <v>422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0" t="n">
        <f aca="false">I668+0</f>
        <v>117.8</v>
      </c>
      <c r="AB668" s="0" t="n">
        <f aca="false">IF(Z668&gt;360,Z668-360,Z668+0)</f>
        <v>117.8</v>
      </c>
      <c r="AC668" s="1"/>
      <c r="AD668" s="1"/>
      <c r="AE668" s="1"/>
      <c r="AF668" s="1"/>
    </row>
    <row r="669" customFormat="false" ht="15.8" hidden="false" customHeight="false" outlineLevel="0" collapsed="false">
      <c r="A669" s="1" t="n">
        <v>20</v>
      </c>
      <c r="B669" s="1" t="n">
        <v>15</v>
      </c>
      <c r="C669" s="1" t="n">
        <v>2.1</v>
      </c>
      <c r="D669" s="1" t="n">
        <v>1.1738</v>
      </c>
      <c r="E669" s="1" t="n">
        <v>0.070381</v>
      </c>
      <c r="F669" s="1" t="n">
        <v>0.000191442</v>
      </c>
      <c r="G669" s="1" t="s">
        <v>27</v>
      </c>
      <c r="H669" s="1" t="n">
        <v>58</v>
      </c>
      <c r="I669" s="1" t="n">
        <v>214.1</v>
      </c>
      <c r="J669" s="1" t="n">
        <v>-25</v>
      </c>
      <c r="K669" s="1"/>
      <c r="L669" s="1" t="n">
        <v>0</v>
      </c>
      <c r="M669" s="1" t="n">
        <v>0</v>
      </c>
      <c r="N669" s="1" t="s">
        <v>422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0" t="n">
        <f aca="false">I669+0</f>
        <v>214.1</v>
      </c>
      <c r="AB669" s="0" t="n">
        <f aca="false">IF(Z669&gt;360,Z669-360,Z669+0)</f>
        <v>214.1</v>
      </c>
      <c r="AC669" s="1"/>
      <c r="AD669" s="1"/>
      <c r="AE669" s="1"/>
      <c r="AF669" s="1"/>
    </row>
    <row r="670" customFormat="false" ht="15.8" hidden="false" customHeight="false" outlineLevel="0" collapsed="false">
      <c r="A670" s="1" t="n">
        <v>20</v>
      </c>
      <c r="B670" s="1" t="n">
        <v>14</v>
      </c>
      <c r="C670" s="1" t="n">
        <v>1</v>
      </c>
      <c r="D670" s="1" t="n">
        <v>1.028</v>
      </c>
      <c r="E670" s="1" t="n">
        <v>0.0333821</v>
      </c>
      <c r="F670" s="1" t="n">
        <v>9.08024E-005</v>
      </c>
      <c r="G670" s="1" t="s">
        <v>52</v>
      </c>
      <c r="H670" s="1" t="n">
        <v>12</v>
      </c>
      <c r="I670" s="1" t="n">
        <v>159.9</v>
      </c>
      <c r="J670" s="1" t="n">
        <v>0</v>
      </c>
      <c r="K670" s="1" t="n">
        <v>58</v>
      </c>
      <c r="L670" s="1" t="n">
        <v>0</v>
      </c>
      <c r="M670" s="1" t="n">
        <v>0</v>
      </c>
      <c r="N670" s="1" t="s">
        <v>423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0" t="n">
        <f aca="false">I670+0</f>
        <v>159.9</v>
      </c>
      <c r="AB670" s="0" t="n">
        <f aca="false">IF(Z670&gt;360,Z670-360,Z670+0)</f>
        <v>159.9</v>
      </c>
      <c r="AC670" s="1"/>
      <c r="AD670" s="1"/>
      <c r="AE670" s="1"/>
      <c r="AF670" s="1"/>
    </row>
    <row r="671" customFormat="false" ht="15.8" hidden="false" customHeight="false" outlineLevel="0" collapsed="false">
      <c r="A671" s="1" t="n">
        <v>20</v>
      </c>
      <c r="B671" s="1" t="n">
        <v>14</v>
      </c>
      <c r="C671" s="1" t="n">
        <v>1.3</v>
      </c>
      <c r="D671" s="1" t="n">
        <v>1.2171</v>
      </c>
      <c r="E671" s="1" t="n">
        <v>0.0456736</v>
      </c>
      <c r="F671" s="1" t="n">
        <v>0.000124236</v>
      </c>
      <c r="G671" s="1" t="s">
        <v>27</v>
      </c>
      <c r="H671" s="1" t="n">
        <v>122.9</v>
      </c>
      <c r="I671" s="1" t="n">
        <v>36.9</v>
      </c>
      <c r="J671" s="1" t="n">
        <v>-19.7</v>
      </c>
      <c r="K671" s="1"/>
      <c r="L671" s="1" t="n">
        <v>0</v>
      </c>
      <c r="M671" s="1" t="n">
        <v>0</v>
      </c>
      <c r="N671" s="1" t="s">
        <v>423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0" t="n">
        <f aca="false">I671+0</f>
        <v>36.9</v>
      </c>
      <c r="AB671" s="0" t="n">
        <f aca="false">IF(Z671&gt;360,Z671-360,Z671+0)</f>
        <v>36.9</v>
      </c>
      <c r="AC671" s="1"/>
      <c r="AD671" s="1"/>
      <c r="AE671" s="1"/>
      <c r="AF671" s="1"/>
    </row>
    <row r="672" customFormat="false" ht="15.8" hidden="false" customHeight="false" outlineLevel="0" collapsed="false">
      <c r="A672" s="1" t="n">
        <v>20</v>
      </c>
      <c r="B672" s="1" t="n">
        <v>13</v>
      </c>
      <c r="C672" s="1" t="n">
        <v>2.1</v>
      </c>
      <c r="D672" s="1" t="n">
        <v>1.1724</v>
      </c>
      <c r="E672" s="1" t="n">
        <v>0.0721462</v>
      </c>
      <c r="F672" s="1" t="n">
        <v>0.000196244</v>
      </c>
      <c r="G672" s="1" t="s">
        <v>52</v>
      </c>
      <c r="H672" s="1" t="n">
        <v>76.5</v>
      </c>
      <c r="I672" s="1" t="n">
        <v>157.9</v>
      </c>
      <c r="J672" s="1" t="n">
        <v>11.9</v>
      </c>
      <c r="K672" s="1" t="n">
        <v>122.9</v>
      </c>
      <c r="L672" s="1" t="n">
        <v>0</v>
      </c>
      <c r="M672" s="1" t="n">
        <v>0</v>
      </c>
      <c r="N672" s="1" t="s">
        <v>420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0" t="n">
        <f aca="false">I672+0</f>
        <v>157.9</v>
      </c>
      <c r="AB672" s="0" t="n">
        <f aca="false">IF(Z672&gt;360,Z672-360,Z672+0)</f>
        <v>157.9</v>
      </c>
      <c r="AC672" s="1"/>
      <c r="AD672" s="1"/>
      <c r="AE672" s="1"/>
      <c r="AF672" s="1"/>
    </row>
    <row r="673" customFormat="false" ht="15.8" hidden="false" customHeight="false" outlineLevel="0" collapsed="false">
      <c r="A673" s="1" t="n">
        <v>20</v>
      </c>
      <c r="B673" s="1" t="n">
        <v>12</v>
      </c>
      <c r="C673" s="1" t="n">
        <v>1.5</v>
      </c>
      <c r="D673" s="1" t="n">
        <v>1.198</v>
      </c>
      <c r="E673" s="1" t="n">
        <v>0.0509707</v>
      </c>
      <c r="F673" s="1" t="n">
        <v>0.000138645</v>
      </c>
      <c r="G673" s="1" t="s">
        <v>52</v>
      </c>
      <c r="H673" s="1" t="n">
        <v>27.7</v>
      </c>
      <c r="I673" s="1" t="n">
        <v>229.5</v>
      </c>
      <c r="J673" s="1" t="n">
        <v>-17.3</v>
      </c>
      <c r="K673" s="1" t="n">
        <v>76.5</v>
      </c>
      <c r="L673" s="1" t="n">
        <v>0</v>
      </c>
      <c r="M673" s="1" t="n">
        <v>0</v>
      </c>
      <c r="N673" s="1" t="s">
        <v>424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0" t="n">
        <f aca="false">I673+0</f>
        <v>229.5</v>
      </c>
      <c r="AB673" s="0" t="n">
        <f aca="false">IF(Z673&gt;360,Z673-360,Z673+0)</f>
        <v>229.5</v>
      </c>
      <c r="AC673" s="1"/>
      <c r="AD673" s="1"/>
      <c r="AE673" s="1"/>
      <c r="AF673" s="1"/>
    </row>
    <row r="674" customFormat="false" ht="15.8" hidden="false" customHeight="false" outlineLevel="0" collapsed="false">
      <c r="A674" s="1" t="n">
        <v>20</v>
      </c>
      <c r="B674" s="1" t="n">
        <v>13</v>
      </c>
      <c r="C674" s="1" t="n">
        <v>0.9</v>
      </c>
      <c r="D674" s="1" t="n">
        <v>1.0967</v>
      </c>
      <c r="E674" s="1" t="n">
        <v>0.0299941</v>
      </c>
      <c r="F674" s="1" t="n">
        <v>8.15865E-005</v>
      </c>
      <c r="G674" s="1" t="s">
        <v>27</v>
      </c>
      <c r="H674" s="1" t="n">
        <v>39.1</v>
      </c>
      <c r="I674" s="1" t="n">
        <v>112.4</v>
      </c>
      <c r="J674" s="1" t="n">
        <v>0</v>
      </c>
      <c r="K674" s="1"/>
      <c r="L674" s="1" t="n">
        <v>0</v>
      </c>
      <c r="M674" s="1" t="n">
        <v>0</v>
      </c>
      <c r="N674" s="1" t="s">
        <v>425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0" t="n">
        <f aca="false">I674+0</f>
        <v>112.4</v>
      </c>
      <c r="AB674" s="0" t="n">
        <f aca="false">IF(Z674&gt;360,Z674-360,Z674+0)</f>
        <v>112.4</v>
      </c>
      <c r="AC674" s="1"/>
      <c r="AD674" s="1"/>
      <c r="AE674" s="1"/>
      <c r="AF674" s="1"/>
    </row>
    <row r="675" customFormat="false" ht="15.8" hidden="false" customHeight="false" outlineLevel="0" collapsed="false">
      <c r="A675" s="1" t="n">
        <v>20</v>
      </c>
      <c r="B675" s="1" t="n">
        <v>13</v>
      </c>
      <c r="C675" s="1" t="n">
        <v>0.8</v>
      </c>
      <c r="D675" s="1" t="n">
        <v>1.0439</v>
      </c>
      <c r="E675" s="1" t="n">
        <v>0.026664</v>
      </c>
      <c r="F675" s="1" t="n">
        <v>7.25284E-005</v>
      </c>
      <c r="G675" s="1" t="s">
        <v>27</v>
      </c>
      <c r="H675" s="1" t="n">
        <v>76.5</v>
      </c>
      <c r="I675" s="1" t="n">
        <v>228</v>
      </c>
      <c r="J675" s="1" t="n">
        <v>0</v>
      </c>
      <c r="K675" s="1"/>
      <c r="L675" s="1" t="n">
        <v>0</v>
      </c>
      <c r="M675" s="1" t="n">
        <v>0</v>
      </c>
      <c r="N675" s="1" t="s">
        <v>425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0" t="n">
        <f aca="false">I675+0</f>
        <v>228</v>
      </c>
      <c r="AB675" s="0" t="n">
        <f aca="false">IF(Z675&gt;360,Z675-360,Z675+0)</f>
        <v>228</v>
      </c>
      <c r="AC675" s="1"/>
      <c r="AD675" s="1"/>
      <c r="AE675" s="1"/>
      <c r="AF675" s="1"/>
    </row>
    <row r="676" customFormat="false" ht="15.8" hidden="false" customHeight="false" outlineLevel="0" collapsed="false">
      <c r="A676" s="1" t="n">
        <v>20</v>
      </c>
      <c r="B676" s="1" t="n">
        <v>12</v>
      </c>
      <c r="C676" s="1" t="n">
        <v>1.3</v>
      </c>
      <c r="D676" s="1" t="n">
        <v>1.4865</v>
      </c>
      <c r="E676" s="1" t="n">
        <v>0.0427992</v>
      </c>
      <c r="F676" s="1" t="n">
        <v>0.000116418</v>
      </c>
      <c r="G676" s="1" t="s">
        <v>52</v>
      </c>
      <c r="H676" s="1" t="n">
        <v>56</v>
      </c>
      <c r="I676" s="1" t="n">
        <v>151.5</v>
      </c>
      <c r="J676" s="1" t="n">
        <v>0</v>
      </c>
      <c r="K676" s="1" t="n">
        <v>76.5</v>
      </c>
      <c r="L676" s="1" t="n">
        <v>0</v>
      </c>
      <c r="M676" s="1" t="n">
        <v>0</v>
      </c>
      <c r="N676" s="1" t="s">
        <v>424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0" t="n">
        <f aca="false">I676+0</f>
        <v>151.5</v>
      </c>
      <c r="AB676" s="0" t="n">
        <f aca="false">IF(Z676&gt;360,Z676-360,Z676+0)</f>
        <v>151.5</v>
      </c>
      <c r="AC676" s="1"/>
      <c r="AD676" s="1"/>
      <c r="AE676" s="1"/>
      <c r="AF676" s="1"/>
    </row>
    <row r="677" customFormat="false" ht="15.8" hidden="false" customHeight="false" outlineLevel="0" collapsed="false">
      <c r="A677" s="1" t="n">
        <v>20</v>
      </c>
      <c r="B677" s="1" t="n">
        <v>11</v>
      </c>
      <c r="C677" s="1" t="n">
        <v>5.8</v>
      </c>
      <c r="D677" s="1" t="n">
        <v>1.1453</v>
      </c>
      <c r="E677" s="1" t="n">
        <v>0.196806</v>
      </c>
      <c r="F677" s="1" t="n">
        <v>0.000535331</v>
      </c>
      <c r="G677" s="1" t="s">
        <v>52</v>
      </c>
      <c r="H677" s="1" t="n">
        <v>80.5</v>
      </c>
      <c r="I677" s="1" t="n">
        <v>207.5</v>
      </c>
      <c r="J677" s="1" t="n">
        <v>0</v>
      </c>
      <c r="K677" s="1" t="n">
        <v>56</v>
      </c>
      <c r="L677" s="1" t="n">
        <v>0</v>
      </c>
      <c r="M677" s="1" t="n">
        <v>0</v>
      </c>
      <c r="N677" s="1" t="s">
        <v>426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0" t="n">
        <f aca="false">I677+0</f>
        <v>207.5</v>
      </c>
      <c r="AB677" s="0" t="n">
        <f aca="false">IF(Z677&gt;360,Z677-360,Z677+0)</f>
        <v>207.5</v>
      </c>
      <c r="AC677" s="1"/>
      <c r="AD677" s="1"/>
      <c r="AE677" s="1"/>
      <c r="AF677" s="1"/>
    </row>
    <row r="678" customFormat="false" ht="15.8" hidden="false" customHeight="false" outlineLevel="0" collapsed="false">
      <c r="A678" s="1" t="n">
        <v>20</v>
      </c>
      <c r="B678" s="1" t="n">
        <v>16</v>
      </c>
      <c r="C678" s="1" t="n">
        <v>2.9</v>
      </c>
      <c r="D678" s="1" t="n">
        <v>1.1654</v>
      </c>
      <c r="E678" s="1" t="n">
        <v>0.10065</v>
      </c>
      <c r="F678" s="1" t="n">
        <v>0.000273777</v>
      </c>
      <c r="G678" s="1" t="s">
        <v>27</v>
      </c>
      <c r="H678" s="1" t="n">
        <v>88.1</v>
      </c>
      <c r="I678" s="1" t="n">
        <v>7.8</v>
      </c>
      <c r="J678" s="1" t="n">
        <v>17</v>
      </c>
      <c r="K678" s="1"/>
      <c r="L678" s="1" t="n">
        <v>0</v>
      </c>
      <c r="M678" s="1" t="n">
        <v>0</v>
      </c>
      <c r="N678" s="1" t="s">
        <v>427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0" t="n">
        <f aca="false">I678+0</f>
        <v>7.8</v>
      </c>
      <c r="AB678" s="0" t="n">
        <f aca="false">IF(Z678&gt;360,Z678-360,Z678+0)</f>
        <v>7.8</v>
      </c>
      <c r="AC678" s="1"/>
      <c r="AD678" s="1"/>
      <c r="AE678" s="1"/>
      <c r="AF678" s="1"/>
    </row>
    <row r="679" customFormat="false" ht="15.8" hidden="false" customHeight="false" outlineLevel="0" collapsed="false">
      <c r="A679" s="1" t="n">
        <v>20</v>
      </c>
      <c r="B679" s="1" t="n">
        <v>16</v>
      </c>
      <c r="C679" s="1" t="n">
        <v>3.3</v>
      </c>
      <c r="D679" s="1" t="n">
        <v>1.3803</v>
      </c>
      <c r="E679" s="1" t="n">
        <v>0.113777</v>
      </c>
      <c r="F679" s="1" t="n">
        <v>0.000309483</v>
      </c>
      <c r="G679" s="1" t="s">
        <v>27</v>
      </c>
      <c r="H679" s="1" t="n">
        <v>72.7</v>
      </c>
      <c r="I679" s="1" t="n">
        <v>180.5</v>
      </c>
      <c r="J679" s="1" t="n">
        <v>8.8</v>
      </c>
      <c r="K679" s="1"/>
      <c r="L679" s="1" t="n">
        <v>0</v>
      </c>
      <c r="M679" s="1" t="n">
        <v>0</v>
      </c>
      <c r="N679" s="1" t="s">
        <v>427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0" t="n">
        <f aca="false">I679+0</f>
        <v>180.5</v>
      </c>
      <c r="AB679" s="0" t="n">
        <f aca="false">IF(Z679&gt;360,Z679-360,Z679+0)</f>
        <v>180.5</v>
      </c>
      <c r="AC679" s="1"/>
      <c r="AD679" s="1"/>
      <c r="AE679" s="1"/>
      <c r="AF679" s="1"/>
    </row>
    <row r="680" customFormat="false" ht="15.8" hidden="false" customHeight="false" outlineLevel="0" collapsed="false">
      <c r="A680" s="1" t="n">
        <v>20</v>
      </c>
      <c r="B680" s="1" t="n">
        <v>18</v>
      </c>
      <c r="C680" s="1" t="n">
        <v>0.5</v>
      </c>
      <c r="D680" s="1" t="n">
        <v>1.0138</v>
      </c>
      <c r="E680" s="1" t="n">
        <v>0.018613</v>
      </c>
      <c r="F680" s="1" t="n">
        <v>5.0629E-005</v>
      </c>
      <c r="G680" s="1" t="s">
        <v>27</v>
      </c>
      <c r="H680" s="1" t="n">
        <v>27.3</v>
      </c>
      <c r="I680" s="1" t="n">
        <v>7</v>
      </c>
      <c r="J680" s="1" t="n">
        <v>0</v>
      </c>
      <c r="K680" s="1"/>
      <c r="L680" s="1" t="n">
        <v>0</v>
      </c>
      <c r="M680" s="1" t="n">
        <v>0</v>
      </c>
      <c r="N680" s="1" t="s">
        <v>428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0" t="n">
        <f aca="false">I680+0</f>
        <v>7</v>
      </c>
      <c r="AB680" s="0" t="n">
        <f aca="false">IF(Z680&gt;360,Z680-360,Z680+0)</f>
        <v>7</v>
      </c>
      <c r="AC680" s="1"/>
      <c r="AD680" s="1"/>
      <c r="AE680" s="1"/>
      <c r="AF680" s="1"/>
    </row>
    <row r="681" customFormat="false" ht="15.8" hidden="false" customHeight="false" outlineLevel="0" collapsed="false">
      <c r="A681" s="1" t="n">
        <v>20</v>
      </c>
      <c r="B681" s="1" t="n">
        <v>18</v>
      </c>
      <c r="C681" s="1" t="n">
        <v>0.6</v>
      </c>
      <c r="D681" s="1" t="n">
        <v>1.0521</v>
      </c>
      <c r="E681" s="1" t="n">
        <v>0.0218363</v>
      </c>
      <c r="F681" s="1" t="n">
        <v>5.93965E-005</v>
      </c>
      <c r="G681" s="1" t="s">
        <v>27</v>
      </c>
      <c r="H681" s="1" t="n">
        <v>47.2</v>
      </c>
      <c r="I681" s="1" t="n">
        <v>306.3</v>
      </c>
      <c r="J681" s="1" t="n">
        <v>0</v>
      </c>
      <c r="K681" s="1"/>
      <c r="L681" s="1" t="n">
        <v>0</v>
      </c>
      <c r="M681" s="1" t="n">
        <v>0</v>
      </c>
      <c r="N681" s="1" t="s">
        <v>428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0" t="n">
        <f aca="false">I681+0</f>
        <v>306.3</v>
      </c>
      <c r="AB681" s="0" t="n">
        <f aca="false">IF(Z681&gt;360,Z681-360,Z681+0)</f>
        <v>306.3</v>
      </c>
      <c r="AC681" s="1"/>
      <c r="AD681" s="1"/>
      <c r="AE681" s="1"/>
      <c r="AF681" s="1"/>
    </row>
    <row r="682" customFormat="false" ht="15.8" hidden="false" customHeight="false" outlineLevel="0" collapsed="false">
      <c r="A682" s="1" t="n">
        <v>20</v>
      </c>
      <c r="B682" s="1" t="n">
        <v>17</v>
      </c>
      <c r="C682" s="1" t="n">
        <v>2.5</v>
      </c>
      <c r="D682" s="1" t="n">
        <v>1.2281</v>
      </c>
      <c r="E682" s="1" t="n">
        <v>0.0857344</v>
      </c>
      <c r="F682" s="1" t="n">
        <v>0.000233205</v>
      </c>
      <c r="G682" s="1" t="s">
        <v>52</v>
      </c>
      <c r="H682" s="1" t="n">
        <v>54.2</v>
      </c>
      <c r="I682" s="1" t="n">
        <v>349.5</v>
      </c>
      <c r="J682" s="1" t="n">
        <v>21.2</v>
      </c>
      <c r="K682" s="1" t="n">
        <v>47.2</v>
      </c>
      <c r="L682" s="1" t="n">
        <v>0</v>
      </c>
      <c r="M682" s="1" t="n">
        <v>0</v>
      </c>
      <c r="N682" s="1" t="s">
        <v>429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0" t="n">
        <f aca="false">I682+0</f>
        <v>349.5</v>
      </c>
      <c r="AB682" s="0" t="n">
        <f aca="false">IF(Z682&gt;360,Z682-360,Z682+0)</f>
        <v>349.5</v>
      </c>
      <c r="AC682" s="1"/>
      <c r="AD682" s="1"/>
      <c r="AE682" s="1"/>
      <c r="AF682" s="1"/>
    </row>
    <row r="683" customFormat="false" ht="15.8" hidden="false" customHeight="false" outlineLevel="0" collapsed="false">
      <c r="A683" s="1" t="n">
        <v>20</v>
      </c>
      <c r="B683" s="1" t="n">
        <v>17</v>
      </c>
      <c r="C683" s="1" t="n">
        <v>1</v>
      </c>
      <c r="D683" s="1" t="n">
        <v>1.1297</v>
      </c>
      <c r="E683" s="1" t="n">
        <v>0.0338719</v>
      </c>
      <c r="F683" s="1" t="n">
        <v>9.21346E-005</v>
      </c>
      <c r="G683" s="1" t="s">
        <v>27</v>
      </c>
      <c r="H683" s="1" t="n">
        <v>17.1</v>
      </c>
      <c r="I683" s="1" t="n">
        <v>44</v>
      </c>
      <c r="J683" s="1" t="n">
        <v>0</v>
      </c>
      <c r="K683" s="1"/>
      <c r="L683" s="1" t="n">
        <v>0</v>
      </c>
      <c r="M683" s="1" t="n">
        <v>0</v>
      </c>
      <c r="N683" s="1" t="s">
        <v>429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0" t="n">
        <f aca="false">I683+0</f>
        <v>44</v>
      </c>
      <c r="AB683" s="0" t="n">
        <f aca="false">IF(Z683&gt;360,Z683-360,Z683+0)</f>
        <v>44</v>
      </c>
      <c r="AC683" s="1"/>
      <c r="AD683" s="1"/>
      <c r="AE683" s="1"/>
      <c r="AF683" s="1"/>
    </row>
    <row r="684" customFormat="false" ht="15.8" hidden="false" customHeight="false" outlineLevel="0" collapsed="false">
      <c r="A684" s="1" t="n">
        <v>20</v>
      </c>
      <c r="B684" s="1" t="n">
        <v>16</v>
      </c>
      <c r="C684" s="1" t="n">
        <v>1.9</v>
      </c>
      <c r="D684" s="1" t="n">
        <v>1.146</v>
      </c>
      <c r="E684" s="1" t="n">
        <v>0.0658148</v>
      </c>
      <c r="F684" s="1" t="n">
        <v>0.000179022</v>
      </c>
      <c r="G684" s="1" t="s">
        <v>52</v>
      </c>
      <c r="H684" s="1" t="n">
        <v>81.9</v>
      </c>
      <c r="I684" s="1" t="n">
        <v>32.5</v>
      </c>
      <c r="J684" s="1" t="n">
        <v>-12.7</v>
      </c>
      <c r="K684" s="1" t="n">
        <v>54.2</v>
      </c>
      <c r="L684" s="1" t="n">
        <v>0</v>
      </c>
      <c r="M684" s="1" t="n">
        <v>0</v>
      </c>
      <c r="N684" s="1" t="s">
        <v>427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0" t="n">
        <f aca="false">I684+0</f>
        <v>32.5</v>
      </c>
      <c r="AB684" s="0" t="n">
        <f aca="false">IF(Z684&gt;360,Z684-360,Z684+0)</f>
        <v>32.5</v>
      </c>
      <c r="AC684" s="1"/>
      <c r="AD684" s="1"/>
      <c r="AE684" s="1"/>
      <c r="AF684" s="1"/>
    </row>
    <row r="685" customFormat="false" ht="15.8" hidden="false" customHeight="false" outlineLevel="0" collapsed="false">
      <c r="A685" s="1" t="n">
        <v>20</v>
      </c>
      <c r="B685" s="1" t="n">
        <v>16</v>
      </c>
      <c r="C685" s="1" t="n">
        <v>1.8</v>
      </c>
      <c r="D685" s="1" t="n">
        <v>1.145</v>
      </c>
      <c r="E685" s="1" t="n">
        <v>0.0626042</v>
      </c>
      <c r="F685" s="1" t="n">
        <v>0.000170289</v>
      </c>
      <c r="G685" s="1" t="s">
        <v>27</v>
      </c>
      <c r="H685" s="1" t="n">
        <v>84.6</v>
      </c>
      <c r="I685" s="1" t="n">
        <v>181.2</v>
      </c>
      <c r="J685" s="1" t="n">
        <v>-13.4</v>
      </c>
      <c r="K685" s="1"/>
      <c r="L685" s="1" t="n">
        <v>0</v>
      </c>
      <c r="M685" s="1" t="n">
        <v>0</v>
      </c>
      <c r="N685" s="1" t="s">
        <v>427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0" t="n">
        <f aca="false">I685+0</f>
        <v>181.2</v>
      </c>
      <c r="AB685" s="0" t="n">
        <f aca="false">IF(Z685&gt;360,Z685-360,Z685+0)</f>
        <v>181.2</v>
      </c>
      <c r="AC685" s="1"/>
      <c r="AD685" s="1"/>
      <c r="AE685" s="1"/>
      <c r="AF685" s="1"/>
    </row>
    <row r="686" customFormat="false" ht="15.8" hidden="false" customHeight="false" outlineLevel="0" collapsed="false">
      <c r="A686" s="1" t="n">
        <v>20</v>
      </c>
      <c r="B686" s="1" t="n">
        <v>15</v>
      </c>
      <c r="C686" s="1" t="n">
        <v>1</v>
      </c>
      <c r="D686" s="1" t="n">
        <v>1.3772</v>
      </c>
      <c r="E686" s="1" t="n">
        <v>0.0353973</v>
      </c>
      <c r="F686" s="1" t="n">
        <v>9.62837E-005</v>
      </c>
      <c r="G686" s="1" t="s">
        <v>52</v>
      </c>
      <c r="H686" s="1" t="n">
        <v>73.3</v>
      </c>
      <c r="I686" s="1" t="n">
        <v>105.4</v>
      </c>
      <c r="J686" s="1" t="n">
        <v>29.5</v>
      </c>
      <c r="K686" s="1" t="n">
        <v>88.1</v>
      </c>
      <c r="L686" s="1" t="n">
        <v>0</v>
      </c>
      <c r="M686" s="1" t="n">
        <v>0</v>
      </c>
      <c r="N686" s="1" t="s">
        <v>430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0" t="n">
        <f aca="false">I686+0</f>
        <v>105.4</v>
      </c>
      <c r="AB686" s="0" t="n">
        <f aca="false">IF(Z686&gt;360,Z686-360,Z686+0)</f>
        <v>105.4</v>
      </c>
      <c r="AC686" s="1"/>
      <c r="AD686" s="1"/>
      <c r="AE686" s="1"/>
      <c r="AF686" s="1"/>
    </row>
    <row r="687" customFormat="false" ht="15.8" hidden="false" customHeight="false" outlineLevel="0" collapsed="false">
      <c r="A687" s="1" t="n">
        <v>20</v>
      </c>
      <c r="B687" s="1" t="n">
        <v>15</v>
      </c>
      <c r="C687" s="1" t="n">
        <v>1</v>
      </c>
      <c r="D687" s="1" t="n">
        <v>1.032</v>
      </c>
      <c r="E687" s="1" t="n">
        <v>0.0329924</v>
      </c>
      <c r="F687" s="1" t="n">
        <v>8.97423E-005</v>
      </c>
      <c r="G687" s="1" t="s">
        <v>27</v>
      </c>
      <c r="H687" s="1" t="n">
        <v>76.7</v>
      </c>
      <c r="I687" s="1" t="n">
        <v>330.8</v>
      </c>
      <c r="J687" s="1" t="n">
        <v>0</v>
      </c>
      <c r="K687" s="1"/>
      <c r="L687" s="1" t="n">
        <v>0</v>
      </c>
      <c r="M687" s="1" t="n">
        <v>0</v>
      </c>
      <c r="N687" s="1" t="s">
        <v>430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0" t="n">
        <f aca="false">I687+0</f>
        <v>330.8</v>
      </c>
      <c r="AB687" s="0" t="n">
        <f aca="false">IF(Z687&gt;360,Z687-360,Z687+0)</f>
        <v>330.8</v>
      </c>
      <c r="AC687" s="1"/>
      <c r="AD687" s="1"/>
      <c r="AE687" s="1"/>
      <c r="AF687" s="1"/>
    </row>
    <row r="688" customFormat="false" ht="15.8" hidden="false" customHeight="false" outlineLevel="0" collapsed="false">
      <c r="A688" s="1" t="n">
        <v>20</v>
      </c>
      <c r="B688" s="1" t="n">
        <v>14</v>
      </c>
      <c r="C688" s="1" t="n">
        <v>1.4</v>
      </c>
      <c r="D688" s="1" t="n">
        <v>1.1312</v>
      </c>
      <c r="E688" s="1" t="n">
        <v>0.0483019</v>
      </c>
      <c r="F688" s="1" t="n">
        <v>0.000131385</v>
      </c>
      <c r="G688" s="1" t="s">
        <v>52</v>
      </c>
      <c r="H688" s="1" t="n">
        <v>102.1</v>
      </c>
      <c r="I688" s="1" t="n">
        <v>46.8</v>
      </c>
      <c r="J688" s="1" t="n">
        <v>-17.2</v>
      </c>
      <c r="K688" s="1" t="n">
        <v>76.7</v>
      </c>
      <c r="L688" s="1" t="n">
        <v>0</v>
      </c>
      <c r="M688" s="1" t="n">
        <v>0</v>
      </c>
      <c r="N688" s="1" t="s">
        <v>431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0" t="n">
        <f aca="false">I688+0</f>
        <v>46.8</v>
      </c>
      <c r="AB688" s="0" t="n">
        <f aca="false">IF(Z688&gt;360,Z688-360,Z688+0)</f>
        <v>46.8</v>
      </c>
      <c r="AC688" s="1"/>
      <c r="AD688" s="1"/>
      <c r="AE688" s="1"/>
      <c r="AF688" s="1"/>
    </row>
    <row r="689" customFormat="false" ht="15.8" hidden="false" customHeight="false" outlineLevel="0" collapsed="false">
      <c r="A689" s="1" t="n">
        <v>20</v>
      </c>
      <c r="B689" s="1" t="n">
        <v>17</v>
      </c>
      <c r="C689" s="1" t="n">
        <v>1.8</v>
      </c>
      <c r="D689" s="1" t="n">
        <v>1.1498</v>
      </c>
      <c r="E689" s="1" t="n">
        <v>0.0620883</v>
      </c>
      <c r="F689" s="1" t="n">
        <v>0.000168886</v>
      </c>
      <c r="G689" s="1" t="s">
        <v>27</v>
      </c>
      <c r="H689" s="1" t="n">
        <v>63.7</v>
      </c>
      <c r="I689" s="1" t="n">
        <v>283.9</v>
      </c>
      <c r="J689" s="1" t="n">
        <v>13.5</v>
      </c>
      <c r="K689" s="1"/>
      <c r="L689" s="1" t="n">
        <v>0</v>
      </c>
      <c r="M689" s="1" t="n">
        <v>0</v>
      </c>
      <c r="N689" s="1" t="s">
        <v>432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0" t="n">
        <f aca="false">I689+0</f>
        <v>283.9</v>
      </c>
      <c r="AB689" s="0" t="n">
        <f aca="false">IF(Z689&gt;360,Z689-360,Z689+0)</f>
        <v>283.9</v>
      </c>
      <c r="AC689" s="1"/>
      <c r="AD689" s="1"/>
      <c r="AE689" s="1"/>
      <c r="AF689" s="1"/>
    </row>
    <row r="690" customFormat="false" ht="15.8" hidden="false" customHeight="false" outlineLevel="0" collapsed="false">
      <c r="A690" s="1" t="n">
        <v>20</v>
      </c>
      <c r="B690" s="1" t="n">
        <v>17</v>
      </c>
      <c r="C690" s="1" t="n">
        <v>1.7</v>
      </c>
      <c r="D690" s="1" t="n">
        <v>1.0708</v>
      </c>
      <c r="E690" s="1" t="n">
        <v>0.0580585</v>
      </c>
      <c r="F690" s="1" t="n">
        <v>0.000157924</v>
      </c>
      <c r="G690" s="1" t="s">
        <v>27</v>
      </c>
      <c r="H690" s="1" t="n">
        <v>120.7</v>
      </c>
      <c r="I690" s="1" t="n">
        <v>71.2</v>
      </c>
      <c r="J690" s="1" t="n">
        <v>0</v>
      </c>
      <c r="K690" s="1"/>
      <c r="L690" s="1" t="n">
        <v>0</v>
      </c>
      <c r="M690" s="1" t="n">
        <v>0</v>
      </c>
      <c r="N690" s="1" t="s">
        <v>432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0" t="n">
        <f aca="false">I690+0</f>
        <v>71.2</v>
      </c>
      <c r="AB690" s="0" t="n">
        <f aca="false">IF(Z690&gt;360,Z690-360,Z690+0)</f>
        <v>71.2</v>
      </c>
      <c r="AC690" s="1"/>
      <c r="AD690" s="1"/>
      <c r="AE690" s="1"/>
      <c r="AF690" s="1"/>
    </row>
    <row r="691" customFormat="false" ht="15.8" hidden="false" customHeight="false" outlineLevel="0" collapsed="false">
      <c r="A691" s="1" t="n">
        <v>20</v>
      </c>
      <c r="B691" s="1" t="n">
        <v>16</v>
      </c>
      <c r="C691" s="1" t="n">
        <v>0.6</v>
      </c>
      <c r="D691" s="1" t="n">
        <v>1.253</v>
      </c>
      <c r="E691" s="1" t="n">
        <v>0.0206648</v>
      </c>
      <c r="F691" s="1" t="n">
        <v>5.621E-005</v>
      </c>
      <c r="G691" s="1" t="s">
        <v>52</v>
      </c>
      <c r="H691" s="1" t="n">
        <v>50.9</v>
      </c>
      <c r="I691" s="1" t="n">
        <v>288.4</v>
      </c>
      <c r="J691" s="1" t="n">
        <v>-50.1</v>
      </c>
      <c r="K691" s="1" t="n">
        <v>120.7</v>
      </c>
      <c r="L691" s="1" t="n">
        <v>0</v>
      </c>
      <c r="M691" s="1" t="n">
        <v>0</v>
      </c>
      <c r="N691" s="1" t="s">
        <v>433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0" t="n">
        <f aca="false">I691+0</f>
        <v>288.4</v>
      </c>
      <c r="AB691" s="0" t="n">
        <f aca="false">IF(Z691&gt;360,Z691-360,Z691+0)</f>
        <v>288.4</v>
      </c>
      <c r="AC691" s="1"/>
      <c r="AD691" s="1"/>
      <c r="AE691" s="1"/>
      <c r="AF691" s="1"/>
    </row>
    <row r="692" customFormat="false" ht="15.8" hidden="false" customHeight="false" outlineLevel="0" collapsed="false">
      <c r="A692" s="1" t="n">
        <v>20</v>
      </c>
      <c r="B692" s="1" t="n">
        <v>16</v>
      </c>
      <c r="C692" s="1" t="n">
        <v>0.6</v>
      </c>
      <c r="D692" s="1" t="n">
        <v>1.0005</v>
      </c>
      <c r="E692" s="1" t="n">
        <v>0.0193526</v>
      </c>
      <c r="F692" s="1" t="n">
        <v>5.26407E-005</v>
      </c>
      <c r="G692" s="1" t="s">
        <v>27</v>
      </c>
      <c r="H692" s="1" t="n">
        <v>60</v>
      </c>
      <c r="I692" s="1" t="n">
        <v>181.1</v>
      </c>
      <c r="J692" s="1" t="n">
        <v>0</v>
      </c>
      <c r="K692" s="1"/>
      <c r="L692" s="1" t="n">
        <v>0</v>
      </c>
      <c r="M692" s="1" t="n">
        <v>0</v>
      </c>
      <c r="N692" s="1" t="s">
        <v>433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0" t="n">
        <f aca="false">I692+0</f>
        <v>181.1</v>
      </c>
      <c r="AB692" s="0" t="n">
        <f aca="false">IF(Z692&gt;360,Z692-360,Z692+0)</f>
        <v>181.1</v>
      </c>
      <c r="AC692" s="1"/>
      <c r="AD692" s="1"/>
      <c r="AE692" s="1"/>
      <c r="AF692" s="1"/>
    </row>
    <row r="693" customFormat="false" ht="15.8" hidden="false" customHeight="false" outlineLevel="0" collapsed="false">
      <c r="A693" s="1" t="n">
        <v>20</v>
      </c>
      <c r="B693" s="1" t="n">
        <v>15</v>
      </c>
      <c r="C693" s="1" t="n">
        <v>1.6</v>
      </c>
      <c r="D693" s="1" t="n">
        <v>1.2501</v>
      </c>
      <c r="E693" s="1" t="n">
        <v>0.0551755</v>
      </c>
      <c r="F693" s="1" t="n">
        <v>0.000150082</v>
      </c>
      <c r="G693" s="1" t="s">
        <v>52</v>
      </c>
      <c r="H693" s="1" t="n">
        <v>59.4</v>
      </c>
      <c r="I693" s="1" t="n">
        <v>193.3</v>
      </c>
      <c r="J693" s="1" t="n">
        <v>-59.3</v>
      </c>
      <c r="K693" s="1" t="n">
        <v>60</v>
      </c>
      <c r="L693" s="1" t="n">
        <v>0</v>
      </c>
      <c r="M693" s="1" t="n">
        <v>0</v>
      </c>
      <c r="N693" s="1" t="s">
        <v>434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0" t="n">
        <f aca="false">I693+0</f>
        <v>193.3</v>
      </c>
      <c r="AB693" s="0" t="n">
        <f aca="false">IF(Z693&gt;360,Z693-360,Z693+0)</f>
        <v>193.3</v>
      </c>
      <c r="AC693" s="1"/>
      <c r="AD693" s="1"/>
      <c r="AE693" s="1"/>
      <c r="AF693" s="1"/>
    </row>
    <row r="694" customFormat="false" ht="15.8" hidden="false" customHeight="false" outlineLevel="0" collapsed="false">
      <c r="A694" s="1" t="n">
        <v>20</v>
      </c>
      <c r="B694" s="1" t="n">
        <v>17</v>
      </c>
      <c r="C694" s="1" t="n">
        <v>2.6</v>
      </c>
      <c r="D694" s="1" t="n">
        <v>1.9799</v>
      </c>
      <c r="E694" s="1" t="n">
        <v>0.0879411</v>
      </c>
      <c r="F694" s="1" t="n">
        <v>0.000239207</v>
      </c>
      <c r="G694" s="1" t="s">
        <v>27</v>
      </c>
      <c r="H694" s="1" t="n">
        <v>55.7</v>
      </c>
      <c r="I694" s="1" t="n">
        <v>250.6</v>
      </c>
      <c r="J694" s="1" t="n">
        <v>16.5</v>
      </c>
      <c r="K694" s="1"/>
      <c r="L694" s="1" t="n">
        <v>0</v>
      </c>
      <c r="M694" s="1" t="n">
        <v>0</v>
      </c>
      <c r="N694" s="1" t="s">
        <v>435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0" t="n">
        <f aca="false">I694+0</f>
        <v>250.6</v>
      </c>
      <c r="AB694" s="0" t="n">
        <f aca="false">IF(Z694&gt;360,Z694-360,Z694+0)</f>
        <v>250.6</v>
      </c>
      <c r="AC694" s="1"/>
      <c r="AD694" s="1"/>
      <c r="AE694" s="1"/>
      <c r="AF694" s="1"/>
    </row>
    <row r="695" customFormat="false" ht="15.8" hidden="false" customHeight="false" outlineLevel="0" collapsed="false">
      <c r="A695" s="1" t="n">
        <v>20</v>
      </c>
      <c r="B695" s="1" t="n">
        <v>17</v>
      </c>
      <c r="C695" s="1" t="n">
        <v>1</v>
      </c>
      <c r="D695" s="1" t="n">
        <v>1.1461</v>
      </c>
      <c r="E695" s="1" t="n">
        <v>0.0335997</v>
      </c>
      <c r="F695" s="1" t="n">
        <v>9.1394E-005</v>
      </c>
      <c r="G695" s="1" t="s">
        <v>27</v>
      </c>
      <c r="H695" s="1" t="n">
        <v>56</v>
      </c>
      <c r="I695" s="1" t="n">
        <v>205.8</v>
      </c>
      <c r="J695" s="1" t="n">
        <v>-25.6</v>
      </c>
      <c r="K695" s="1"/>
      <c r="L695" s="1" t="n">
        <v>0</v>
      </c>
      <c r="M695" s="1" t="n">
        <v>0</v>
      </c>
      <c r="N695" s="1" t="s">
        <v>435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0" t="n">
        <f aca="false">I695+0</f>
        <v>205.8</v>
      </c>
      <c r="AB695" s="0" t="n">
        <f aca="false">IF(Z695&gt;360,Z695-360,Z695+0)</f>
        <v>205.8</v>
      </c>
      <c r="AC695" s="1"/>
      <c r="AD695" s="1"/>
      <c r="AE695" s="1"/>
      <c r="AF695" s="1"/>
    </row>
    <row r="696" customFormat="false" ht="15.8" hidden="false" customHeight="false" outlineLevel="0" collapsed="false">
      <c r="A696" s="1" t="n">
        <v>20</v>
      </c>
      <c r="B696" s="1" t="n">
        <v>16</v>
      </c>
      <c r="C696" s="1" t="n">
        <v>7.1</v>
      </c>
      <c r="D696" s="1" t="n">
        <v>1.5977</v>
      </c>
      <c r="E696" s="1" t="n">
        <v>0.242284</v>
      </c>
      <c r="F696" s="1" t="n">
        <v>0.000659035</v>
      </c>
      <c r="G696" s="1" t="s">
        <v>52</v>
      </c>
      <c r="H696" s="1" t="n">
        <v>76.9</v>
      </c>
      <c r="I696" s="1" t="n">
        <v>271</v>
      </c>
      <c r="J696" s="1" t="n">
        <v>-35.7</v>
      </c>
      <c r="K696" s="1" t="n">
        <v>56</v>
      </c>
      <c r="L696" s="1" t="n">
        <v>0</v>
      </c>
      <c r="M696" s="1" t="n">
        <v>0</v>
      </c>
      <c r="N696" s="1" t="s">
        <v>436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0" t="n">
        <f aca="false">I696+0</f>
        <v>271</v>
      </c>
      <c r="AB696" s="0" t="n">
        <f aca="false">IF(Z696&gt;360,Z696-360,Z696+0)</f>
        <v>271</v>
      </c>
      <c r="AC696" s="1"/>
      <c r="AD696" s="1"/>
      <c r="AE696" s="1"/>
      <c r="AF696" s="1"/>
    </row>
    <row r="697" customFormat="false" ht="15.8" hidden="false" customHeight="false" outlineLevel="0" collapsed="false">
      <c r="A697" s="1" t="n">
        <v>20</v>
      </c>
      <c r="B697" s="1" t="n">
        <v>17</v>
      </c>
      <c r="C697" s="1" t="n">
        <v>6.7</v>
      </c>
      <c r="D697" s="1" t="n">
        <v>1.5882</v>
      </c>
      <c r="E697" s="1" t="n">
        <v>0.229759</v>
      </c>
      <c r="F697" s="1" t="n">
        <v>0.000624966</v>
      </c>
      <c r="G697" s="1" t="s">
        <v>27</v>
      </c>
      <c r="H697" s="1" t="n">
        <v>37.4</v>
      </c>
      <c r="I697" s="1" t="n">
        <v>78.6</v>
      </c>
      <c r="J697" s="1" t="n">
        <v>-15.2</v>
      </c>
      <c r="K697" s="1"/>
      <c r="L697" s="1" t="n">
        <v>0</v>
      </c>
      <c r="M697" s="1" t="n">
        <v>0</v>
      </c>
      <c r="N697" s="1" t="s">
        <v>437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0" t="n">
        <f aca="false">I697+0</f>
        <v>78.6</v>
      </c>
      <c r="AB697" s="0" t="n">
        <f aca="false">IF(Z697&gt;360,Z697-360,Z697+0)</f>
        <v>78.6</v>
      </c>
      <c r="AC697" s="1"/>
      <c r="AD697" s="1"/>
      <c r="AE697" s="1"/>
      <c r="AF697" s="1"/>
    </row>
    <row r="698" customFormat="false" ht="15.8" hidden="false" customHeight="false" outlineLevel="0" collapsed="false">
      <c r="A698" s="1" t="n">
        <v>20</v>
      </c>
      <c r="B698" s="1" t="n">
        <v>17</v>
      </c>
      <c r="C698" s="1" t="n">
        <v>0.7</v>
      </c>
      <c r="D698" s="1" t="n">
        <v>1.1329</v>
      </c>
      <c r="E698" s="1" t="n">
        <v>0.0236718</v>
      </c>
      <c r="F698" s="1" t="n">
        <v>6.43895E-005</v>
      </c>
      <c r="G698" s="1" t="s">
        <v>27</v>
      </c>
      <c r="H698" s="1" t="n">
        <v>68.7</v>
      </c>
      <c r="I698" s="1" t="n">
        <v>349.7</v>
      </c>
      <c r="J698" s="1" t="n">
        <v>-37.3</v>
      </c>
      <c r="K698" s="1"/>
      <c r="L698" s="1" t="n">
        <v>0</v>
      </c>
      <c r="M698" s="1" t="n">
        <v>0</v>
      </c>
      <c r="N698" s="1" t="s">
        <v>437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0" t="n">
        <f aca="false">I698+0</f>
        <v>349.7</v>
      </c>
      <c r="AB698" s="0" t="n">
        <f aca="false">IF(Z698&gt;360,Z698-360,Z698+0)</f>
        <v>349.7</v>
      </c>
      <c r="AC698" s="1"/>
      <c r="AD698" s="1"/>
      <c r="AE698" s="1"/>
      <c r="AF698" s="1"/>
    </row>
    <row r="699" customFormat="false" ht="15.8" hidden="false" customHeight="false" outlineLevel="0" collapsed="false">
      <c r="A699" s="1" t="n">
        <v>20</v>
      </c>
      <c r="B699" s="1" t="n">
        <v>16</v>
      </c>
      <c r="C699" s="1" t="n">
        <v>1.2</v>
      </c>
      <c r="D699" s="1" t="n">
        <v>1.2277</v>
      </c>
      <c r="E699" s="1" t="n">
        <v>0.0399493</v>
      </c>
      <c r="F699" s="1" t="n">
        <v>0.000108666</v>
      </c>
      <c r="G699" s="1" t="s">
        <v>52</v>
      </c>
      <c r="H699" s="1" t="n">
        <v>77.2</v>
      </c>
      <c r="I699" s="1" t="n">
        <v>92.1</v>
      </c>
      <c r="J699" s="1" t="n">
        <v>-51</v>
      </c>
      <c r="K699" s="1" t="n">
        <v>68.7</v>
      </c>
      <c r="L699" s="1" t="n">
        <v>0</v>
      </c>
      <c r="M699" s="1" t="n">
        <v>0</v>
      </c>
      <c r="N699" s="1" t="s">
        <v>436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0" t="n">
        <f aca="false">I699+0</f>
        <v>92.1</v>
      </c>
      <c r="AB699" s="0" t="n">
        <f aca="false">IF(Z699&gt;360,Z699-360,Z699+0)</f>
        <v>92.1</v>
      </c>
      <c r="AC699" s="1"/>
      <c r="AD699" s="1"/>
      <c r="AE699" s="1"/>
      <c r="AF699" s="1"/>
    </row>
    <row r="700" customFormat="false" ht="15.8" hidden="false" customHeight="false" outlineLevel="0" collapsed="false">
      <c r="A700" s="1" t="n">
        <v>20</v>
      </c>
      <c r="B700" s="1" t="n">
        <v>15</v>
      </c>
      <c r="C700" s="1" t="n">
        <v>4.4</v>
      </c>
      <c r="D700" s="1" t="n">
        <v>1.2353</v>
      </c>
      <c r="E700" s="1" t="n">
        <v>0.149436</v>
      </c>
      <c r="F700" s="1" t="n">
        <v>0.000406479</v>
      </c>
      <c r="G700" s="1" t="s">
        <v>52</v>
      </c>
      <c r="H700" s="1" t="n">
        <v>22.8</v>
      </c>
      <c r="I700" s="1" t="n">
        <v>184.3</v>
      </c>
      <c r="J700" s="1" t="n">
        <v>-18.3</v>
      </c>
      <c r="K700" s="1" t="n">
        <v>77.2</v>
      </c>
      <c r="L700" s="1" t="n">
        <v>0</v>
      </c>
      <c r="M700" s="1" t="n">
        <v>0</v>
      </c>
      <c r="N700" s="1" t="s">
        <v>434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0" t="n">
        <f aca="false">I700+0</f>
        <v>184.3</v>
      </c>
      <c r="AB700" s="0" t="n">
        <f aca="false">IF(Z700&gt;360,Z700-360,Z700+0)</f>
        <v>184.3</v>
      </c>
      <c r="AC700" s="1"/>
      <c r="AD700" s="1"/>
      <c r="AE700" s="1"/>
      <c r="AF700" s="1"/>
    </row>
    <row r="701" customFormat="false" ht="15.8" hidden="false" customHeight="false" outlineLevel="0" collapsed="false">
      <c r="A701" s="1" t="n">
        <v>20</v>
      </c>
      <c r="B701" s="1" t="n">
        <v>14</v>
      </c>
      <c r="C701" s="1" t="n">
        <v>0.9</v>
      </c>
      <c r="D701" s="1" t="n">
        <v>1.0056</v>
      </c>
      <c r="E701" s="1" t="n">
        <v>0.0299226</v>
      </c>
      <c r="F701" s="1" t="n">
        <v>8.13921E-005</v>
      </c>
      <c r="G701" s="1" t="s">
        <v>52</v>
      </c>
      <c r="H701" s="1" t="n">
        <v>48.7</v>
      </c>
      <c r="I701" s="1" t="n">
        <v>198.2</v>
      </c>
      <c r="J701" s="1" t="n">
        <v>0</v>
      </c>
      <c r="K701" s="1" t="n">
        <v>59.4</v>
      </c>
      <c r="L701" s="1" t="n">
        <v>0</v>
      </c>
      <c r="M701" s="1" t="n">
        <v>0</v>
      </c>
      <c r="N701" s="1" t="s">
        <v>431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0" t="n">
        <f aca="false">I701+0</f>
        <v>198.2</v>
      </c>
      <c r="AB701" s="0" t="n">
        <f aca="false">IF(Z701&gt;360,Z701-360,Z701+0)</f>
        <v>198.2</v>
      </c>
      <c r="AC701" s="1"/>
      <c r="AD701" s="1"/>
      <c r="AE701" s="1"/>
      <c r="AF701" s="1"/>
    </row>
    <row r="702" customFormat="false" ht="15.8" hidden="false" customHeight="false" outlineLevel="0" collapsed="false">
      <c r="A702" s="1" t="n">
        <v>20</v>
      </c>
      <c r="B702" s="1" t="n">
        <v>13</v>
      </c>
      <c r="C702" s="1" t="n">
        <v>1.2</v>
      </c>
      <c r="D702" s="1" t="n">
        <v>1.013</v>
      </c>
      <c r="E702" s="1" t="n">
        <v>0.0393495</v>
      </c>
      <c r="F702" s="1" t="n">
        <v>0.000107034</v>
      </c>
      <c r="G702" s="1" t="s">
        <v>52</v>
      </c>
      <c r="H702" s="1" t="n">
        <v>32.4</v>
      </c>
      <c r="I702" s="1" t="n">
        <v>149.5</v>
      </c>
      <c r="J702" s="1" t="n">
        <v>0</v>
      </c>
      <c r="K702" s="1" t="n">
        <v>102.1</v>
      </c>
      <c r="L702" s="1" t="n">
        <v>0</v>
      </c>
      <c r="M702" s="1" t="n">
        <v>0</v>
      </c>
      <c r="N702" s="1" t="s">
        <v>438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0" t="n">
        <f aca="false">I702+0</f>
        <v>149.5</v>
      </c>
      <c r="AB702" s="0" t="n">
        <f aca="false">IF(Z702&gt;360,Z702-360,Z702+0)</f>
        <v>149.5</v>
      </c>
      <c r="AC702" s="1"/>
      <c r="AD702" s="1"/>
      <c r="AE702" s="1"/>
      <c r="AF702" s="1"/>
    </row>
    <row r="703" customFormat="false" ht="15.8" hidden="false" customHeight="false" outlineLevel="0" collapsed="false">
      <c r="A703" s="1" t="n">
        <v>20</v>
      </c>
      <c r="B703" s="1" t="n">
        <v>13</v>
      </c>
      <c r="C703" s="1" t="n">
        <v>1.8</v>
      </c>
      <c r="D703" s="1" t="n">
        <v>1.1215</v>
      </c>
      <c r="E703" s="1" t="n">
        <v>0.0619342</v>
      </c>
      <c r="F703" s="1" t="n">
        <v>0.000168466</v>
      </c>
      <c r="G703" s="1" t="s">
        <v>27</v>
      </c>
      <c r="H703" s="1" t="n">
        <v>104.2</v>
      </c>
      <c r="I703" s="1" t="n">
        <v>287.3</v>
      </c>
      <c r="J703" s="1" t="n">
        <v>-13.2</v>
      </c>
      <c r="K703" s="1"/>
      <c r="L703" s="1" t="n">
        <v>0</v>
      </c>
      <c r="M703" s="1" t="n">
        <v>0</v>
      </c>
      <c r="N703" s="1" t="s">
        <v>438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0" t="n">
        <f aca="false">I703+0</f>
        <v>287.3</v>
      </c>
      <c r="AB703" s="0" t="n">
        <f aca="false">IF(Z703&gt;360,Z703-360,Z703+0)</f>
        <v>287.3</v>
      </c>
      <c r="AC703" s="1"/>
      <c r="AD703" s="1"/>
      <c r="AE703" s="1"/>
      <c r="AF703" s="1"/>
    </row>
    <row r="704" customFormat="false" ht="15.8" hidden="false" customHeight="false" outlineLevel="0" collapsed="false">
      <c r="A704" s="1" t="n">
        <v>20</v>
      </c>
      <c r="B704" s="1" t="n">
        <v>12</v>
      </c>
      <c r="C704" s="1" t="n">
        <v>3.4</v>
      </c>
      <c r="D704" s="1" t="n">
        <v>1.2787</v>
      </c>
      <c r="E704" s="1" t="n">
        <v>0.117317</v>
      </c>
      <c r="F704" s="1" t="n">
        <v>0.000319112</v>
      </c>
      <c r="G704" s="1" t="s">
        <v>52</v>
      </c>
      <c r="H704" s="1" t="n">
        <v>71.5</v>
      </c>
      <c r="I704" s="1" t="n">
        <v>178.1</v>
      </c>
      <c r="J704" s="1" t="n">
        <v>-16</v>
      </c>
      <c r="K704" s="1" t="n">
        <v>104.2</v>
      </c>
      <c r="L704" s="1" t="n">
        <v>0</v>
      </c>
      <c r="M704" s="1" t="n">
        <v>0</v>
      </c>
      <c r="N704" s="1" t="s">
        <v>439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0" t="n">
        <f aca="false">I704+0</f>
        <v>178.1</v>
      </c>
      <c r="AB704" s="0" t="n">
        <f aca="false">IF(Z704&gt;360,Z704-360,Z704+0)</f>
        <v>178.1</v>
      </c>
      <c r="AC704" s="1"/>
      <c r="AD704" s="1"/>
      <c r="AE704" s="1"/>
      <c r="AF704" s="1"/>
    </row>
    <row r="705" customFormat="false" ht="15.8" hidden="false" customHeight="false" outlineLevel="0" collapsed="false">
      <c r="A705" s="1" t="n">
        <v>20</v>
      </c>
      <c r="B705" s="1" t="n">
        <v>14</v>
      </c>
      <c r="C705" s="1" t="n">
        <v>2.2</v>
      </c>
      <c r="D705" s="1" t="n">
        <v>1.0697</v>
      </c>
      <c r="E705" s="1" t="n">
        <v>0.0750179</v>
      </c>
      <c r="F705" s="1" t="n">
        <v>0.000204055</v>
      </c>
      <c r="G705" s="1" t="s">
        <v>27</v>
      </c>
      <c r="H705" s="1" t="n">
        <v>33.1</v>
      </c>
      <c r="I705" s="1" t="n">
        <v>260.5</v>
      </c>
      <c r="J705" s="1" t="n">
        <v>0</v>
      </c>
      <c r="K705" s="1"/>
      <c r="L705" s="1" t="n">
        <v>0</v>
      </c>
      <c r="M705" s="1" t="n">
        <v>0</v>
      </c>
      <c r="N705" s="1" t="s">
        <v>440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0" t="n">
        <f aca="false">I705+0</f>
        <v>260.5</v>
      </c>
      <c r="AB705" s="0" t="n">
        <f aca="false">IF(Z705&gt;360,Z705-360,Z705+0)</f>
        <v>260.5</v>
      </c>
      <c r="AC705" s="1"/>
      <c r="AD705" s="1"/>
      <c r="AE705" s="1"/>
      <c r="AF705" s="1"/>
    </row>
    <row r="706" customFormat="false" ht="15.8" hidden="false" customHeight="false" outlineLevel="0" collapsed="false">
      <c r="A706" s="1" t="n">
        <v>20</v>
      </c>
      <c r="B706" s="1" t="n">
        <v>14</v>
      </c>
      <c r="C706" s="1" t="n">
        <v>0.7</v>
      </c>
      <c r="D706" s="1" t="n">
        <v>1.1704</v>
      </c>
      <c r="E706" s="1" t="n">
        <v>0.0227952</v>
      </c>
      <c r="F706" s="1" t="n">
        <v>6.20049E-005</v>
      </c>
      <c r="G706" s="1" t="s">
        <v>27</v>
      </c>
      <c r="H706" s="1" t="n">
        <v>48.5</v>
      </c>
      <c r="I706" s="1" t="n">
        <v>321.1</v>
      </c>
      <c r="J706" s="1" t="n">
        <v>40.5</v>
      </c>
      <c r="K706" s="1"/>
      <c r="L706" s="1" t="n">
        <v>0</v>
      </c>
      <c r="M706" s="1" t="n">
        <v>0</v>
      </c>
      <c r="N706" s="1" t="s">
        <v>440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0" t="n">
        <f aca="false">I706+0</f>
        <v>321.1</v>
      </c>
      <c r="AB706" s="0" t="n">
        <f aca="false">IF(Z706&gt;360,Z706-360,Z706+0)</f>
        <v>321.1</v>
      </c>
      <c r="AC706" s="1"/>
      <c r="AD706" s="1"/>
      <c r="AE706" s="1"/>
      <c r="AF706" s="1"/>
    </row>
    <row r="707" customFormat="false" ht="15.8" hidden="false" customHeight="false" outlineLevel="0" collapsed="false">
      <c r="A707" s="1" t="n">
        <v>20</v>
      </c>
      <c r="B707" s="1" t="n">
        <v>13</v>
      </c>
      <c r="C707" s="1" t="n">
        <v>2.7</v>
      </c>
      <c r="D707" s="1" t="n">
        <v>1.3274</v>
      </c>
      <c r="E707" s="1" t="n">
        <v>0.0921627</v>
      </c>
      <c r="F707" s="1" t="n">
        <v>0.000250691</v>
      </c>
      <c r="G707" s="1" t="s">
        <v>52</v>
      </c>
      <c r="H707" s="1" t="n">
        <v>133.6</v>
      </c>
      <c r="I707" s="1" t="n">
        <v>260.1</v>
      </c>
      <c r="J707" s="1" t="n">
        <v>33.1</v>
      </c>
      <c r="K707" s="1" t="n">
        <v>48.5</v>
      </c>
      <c r="L707" s="1" t="n">
        <v>0</v>
      </c>
      <c r="M707" s="1" t="n">
        <v>0</v>
      </c>
      <c r="N707" s="1" t="s">
        <v>441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0" t="n">
        <f aca="false">I707+0</f>
        <v>260.1</v>
      </c>
      <c r="AB707" s="0" t="n">
        <f aca="false">IF(Z707&gt;360,Z707-360,Z707+0)</f>
        <v>260.1</v>
      </c>
      <c r="AC707" s="1"/>
      <c r="AD707" s="1"/>
      <c r="AE707" s="1"/>
      <c r="AF707" s="1"/>
    </row>
    <row r="708" customFormat="false" ht="15.8" hidden="false" customHeight="false" outlineLevel="0" collapsed="false">
      <c r="A708" s="1" t="n">
        <v>20</v>
      </c>
      <c r="B708" s="1" t="n">
        <v>14</v>
      </c>
      <c r="C708" s="1" t="n">
        <v>1</v>
      </c>
      <c r="D708" s="1" t="n">
        <v>1.0076</v>
      </c>
      <c r="E708" s="1" t="n">
        <v>0.0340345</v>
      </c>
      <c r="F708" s="1" t="n">
        <v>9.25769E-005</v>
      </c>
      <c r="G708" s="1" t="s">
        <v>27</v>
      </c>
      <c r="H708" s="1" t="n">
        <v>13.6</v>
      </c>
      <c r="I708" s="1" t="n">
        <v>61.7</v>
      </c>
      <c r="J708" s="1" t="n">
        <v>0</v>
      </c>
      <c r="K708" s="1"/>
      <c r="L708" s="1" t="n">
        <v>0</v>
      </c>
      <c r="M708" s="1" t="n">
        <v>0</v>
      </c>
      <c r="N708" s="1" t="s">
        <v>442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0" t="n">
        <f aca="false">I708+0</f>
        <v>61.7</v>
      </c>
      <c r="AB708" s="0" t="n">
        <f aca="false">IF(Z708&gt;360,Z708-360,Z708+0)</f>
        <v>61.7</v>
      </c>
      <c r="AC708" s="1"/>
      <c r="AD708" s="1"/>
      <c r="AE708" s="1"/>
      <c r="AF708" s="1"/>
    </row>
    <row r="709" customFormat="false" ht="15.8" hidden="false" customHeight="false" outlineLevel="0" collapsed="false">
      <c r="A709" s="1" t="n">
        <v>20</v>
      </c>
      <c r="B709" s="1" t="n">
        <v>15</v>
      </c>
      <c r="C709" s="1" t="n">
        <v>1.6</v>
      </c>
      <c r="D709" s="1" t="n">
        <v>1.223</v>
      </c>
      <c r="E709" s="1" t="n">
        <v>0.0537583</v>
      </c>
      <c r="F709" s="1" t="n">
        <v>0.000146227</v>
      </c>
      <c r="G709" s="1" t="s">
        <v>27</v>
      </c>
      <c r="H709" s="1" t="n">
        <v>53.1</v>
      </c>
      <c r="I709" s="1" t="n">
        <v>245.6</v>
      </c>
      <c r="J709" s="1" t="n">
        <v>35.1</v>
      </c>
      <c r="K709" s="1"/>
      <c r="L709" s="1" t="n">
        <v>0</v>
      </c>
      <c r="M709" s="1" t="n">
        <v>0</v>
      </c>
      <c r="N709" s="1" t="s">
        <v>443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0" t="n">
        <f aca="false">I709+0</f>
        <v>245.6</v>
      </c>
      <c r="AB709" s="0" t="n">
        <f aca="false">IF(Z709&gt;360,Z709-360,Z709+0)</f>
        <v>245.6</v>
      </c>
      <c r="AC709" s="1"/>
      <c r="AD709" s="1"/>
      <c r="AE709" s="1"/>
      <c r="AF709" s="1"/>
    </row>
    <row r="710" customFormat="false" ht="15.8" hidden="false" customHeight="false" outlineLevel="0" collapsed="false">
      <c r="A710" s="1" t="n">
        <v>20</v>
      </c>
      <c r="B710" s="1" t="n">
        <v>15</v>
      </c>
      <c r="C710" s="1" t="n">
        <v>3.3</v>
      </c>
      <c r="D710" s="1" t="n">
        <v>2.4345</v>
      </c>
      <c r="E710" s="1" t="n">
        <v>0.112088</v>
      </c>
      <c r="F710" s="1" t="n">
        <v>0.00030489</v>
      </c>
      <c r="G710" s="1" t="s">
        <v>27</v>
      </c>
      <c r="H710" s="1" t="n">
        <v>105.2</v>
      </c>
      <c r="I710" s="1" t="n">
        <v>88.6</v>
      </c>
      <c r="J710" s="1" t="n">
        <v>-15.9</v>
      </c>
      <c r="K710" s="1"/>
      <c r="L710" s="1" t="n">
        <v>0</v>
      </c>
      <c r="M710" s="1" t="n">
        <v>0</v>
      </c>
      <c r="N710" s="1" t="s">
        <v>443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0" t="n">
        <f aca="false">I710+0</f>
        <v>88.6</v>
      </c>
      <c r="AB710" s="0" t="n">
        <f aca="false">IF(Z710&gt;360,Z710-360,Z710+0)</f>
        <v>88.6</v>
      </c>
      <c r="AC710" s="1"/>
      <c r="AD710" s="1"/>
      <c r="AE710" s="1"/>
      <c r="AF710" s="1"/>
    </row>
    <row r="711" customFormat="false" ht="15.8" hidden="false" customHeight="false" outlineLevel="0" collapsed="false">
      <c r="A711" s="1" t="n">
        <v>20</v>
      </c>
      <c r="B711" s="1" t="n">
        <v>14</v>
      </c>
      <c r="C711" s="1" t="n">
        <v>0.7</v>
      </c>
      <c r="D711" s="1" t="n">
        <v>1</v>
      </c>
      <c r="E711" s="1" t="n">
        <v>0.0254715</v>
      </c>
      <c r="F711" s="1" t="n">
        <v>6.92846E-005</v>
      </c>
      <c r="G711" s="1" t="s">
        <v>52</v>
      </c>
      <c r="H711" s="1" t="n">
        <v>90.9</v>
      </c>
      <c r="I711" s="1" t="n">
        <v>172.9</v>
      </c>
      <c r="J711" s="1" t="n">
        <v>83.2</v>
      </c>
      <c r="K711" s="1" t="n">
        <v>105.2</v>
      </c>
      <c r="L711" s="1" t="n">
        <v>0</v>
      </c>
      <c r="M711" s="1" t="n">
        <v>0</v>
      </c>
      <c r="N711" s="1" t="s">
        <v>442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0" t="n">
        <f aca="false">I711+0</f>
        <v>172.9</v>
      </c>
      <c r="AB711" s="0" t="n">
        <f aca="false">IF(Z711&gt;360,Z711-360,Z711+0)</f>
        <v>172.9</v>
      </c>
      <c r="AC711" s="1"/>
      <c r="AD711" s="1"/>
      <c r="AE711" s="1"/>
      <c r="AF711" s="1"/>
    </row>
    <row r="712" customFormat="false" ht="15.8" hidden="false" customHeight="false" outlineLevel="0" collapsed="false">
      <c r="A712" s="1" t="n">
        <v>20</v>
      </c>
      <c r="B712" s="1" t="n">
        <v>13</v>
      </c>
      <c r="C712" s="1" t="n">
        <v>2.3</v>
      </c>
      <c r="D712" s="1" t="n">
        <v>1.0899</v>
      </c>
      <c r="E712" s="1" t="n">
        <v>0.0770781</v>
      </c>
      <c r="F712" s="1" t="n">
        <v>0.000209659</v>
      </c>
      <c r="G712" s="1" t="s">
        <v>52</v>
      </c>
      <c r="H712" s="1" t="n">
        <v>21.2</v>
      </c>
      <c r="I712" s="1" t="n">
        <v>75.4</v>
      </c>
      <c r="J712" s="1" t="n">
        <v>0</v>
      </c>
      <c r="K712" s="1" t="n">
        <v>90.9</v>
      </c>
      <c r="L712" s="1" t="n">
        <v>0</v>
      </c>
      <c r="M712" s="1" t="n">
        <v>0</v>
      </c>
      <c r="N712" s="1" t="s">
        <v>441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0" t="n">
        <f aca="false">I712+0</f>
        <v>75.4</v>
      </c>
      <c r="AB712" s="0" t="n">
        <f aca="false">IF(Z712&gt;360,Z712-360,Z712+0)</f>
        <v>75.4</v>
      </c>
      <c r="AC712" s="1"/>
      <c r="AD712" s="1"/>
      <c r="AE712" s="1"/>
      <c r="AF712" s="1"/>
    </row>
    <row r="713" customFormat="false" ht="15.8" hidden="false" customHeight="false" outlineLevel="0" collapsed="false">
      <c r="A713" s="1" t="n">
        <v>20</v>
      </c>
      <c r="B713" s="1" t="n">
        <v>13</v>
      </c>
      <c r="C713" s="1" t="n">
        <v>3.7</v>
      </c>
      <c r="D713" s="1" t="n">
        <v>1.4445</v>
      </c>
      <c r="E713" s="1" t="n">
        <v>0.127308</v>
      </c>
      <c r="F713" s="1" t="n">
        <v>0.000346288</v>
      </c>
      <c r="G713" s="1" t="s">
        <v>27</v>
      </c>
      <c r="H713" s="1" t="n">
        <v>20.5</v>
      </c>
      <c r="I713" s="1" t="n">
        <v>41.4</v>
      </c>
      <c r="J713" s="1" t="n">
        <v>-8.3</v>
      </c>
      <c r="K713" s="1"/>
      <c r="L713" s="1" t="n">
        <v>0</v>
      </c>
      <c r="M713" s="1" t="n">
        <v>0</v>
      </c>
      <c r="N713" s="1" t="s">
        <v>441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0" t="n">
        <f aca="false">I713+0</f>
        <v>41.4</v>
      </c>
      <c r="AB713" s="0" t="n">
        <f aca="false">IF(Z713&gt;360,Z713-360,Z713+0)</f>
        <v>41.4</v>
      </c>
      <c r="AC713" s="1"/>
      <c r="AD713" s="1"/>
      <c r="AE713" s="1"/>
      <c r="AF713" s="1"/>
    </row>
    <row r="714" customFormat="false" ht="15.8" hidden="false" customHeight="false" outlineLevel="0" collapsed="false">
      <c r="A714" s="1" t="n">
        <v>20</v>
      </c>
      <c r="B714" s="1" t="n">
        <v>12</v>
      </c>
      <c r="C714" s="1" t="n">
        <v>3.7</v>
      </c>
      <c r="D714" s="1" t="n">
        <v>1.2132</v>
      </c>
      <c r="E714" s="1" t="n">
        <v>0.127717</v>
      </c>
      <c r="F714" s="1" t="n">
        <v>0.000347402</v>
      </c>
      <c r="G714" s="1" t="s">
        <v>52</v>
      </c>
      <c r="H714" s="1" t="n">
        <v>52</v>
      </c>
      <c r="I714" s="1" t="n">
        <v>55.3</v>
      </c>
      <c r="J714" s="1" t="n">
        <v>6.9</v>
      </c>
      <c r="K714" s="1" t="n">
        <v>133.6</v>
      </c>
      <c r="L714" s="1" t="n">
        <v>0</v>
      </c>
      <c r="M714" s="1" t="n">
        <v>0</v>
      </c>
      <c r="N714" s="1" t="s">
        <v>439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0" t="n">
        <f aca="false">I714+0</f>
        <v>55.3</v>
      </c>
      <c r="AB714" s="0" t="n">
        <f aca="false">IF(Z714&gt;360,Z714-360,Z714+0)</f>
        <v>55.3</v>
      </c>
      <c r="AC714" s="1"/>
      <c r="AD714" s="1"/>
      <c r="AE714" s="1"/>
      <c r="AF714" s="1"/>
    </row>
    <row r="715" customFormat="false" ht="15.8" hidden="false" customHeight="false" outlineLevel="0" collapsed="false">
      <c r="A715" s="1" t="n">
        <v>20</v>
      </c>
      <c r="B715" s="1" t="n">
        <v>11</v>
      </c>
      <c r="C715" s="1" t="n">
        <v>2.3</v>
      </c>
      <c r="D715" s="1" t="n">
        <v>1.1913</v>
      </c>
      <c r="E715" s="1" t="n">
        <v>0.0782991</v>
      </c>
      <c r="F715" s="1" t="n">
        <v>0.00021298</v>
      </c>
      <c r="G715" s="1" t="s">
        <v>52</v>
      </c>
      <c r="H715" s="1" t="n">
        <v>34.8</v>
      </c>
      <c r="I715" s="1" t="n">
        <v>104.4</v>
      </c>
      <c r="J715" s="1" t="n">
        <v>-11.1</v>
      </c>
      <c r="K715" s="1" t="n">
        <v>71.5</v>
      </c>
      <c r="L715" s="1" t="n">
        <v>0</v>
      </c>
      <c r="M715" s="1" t="n">
        <v>0</v>
      </c>
      <c r="N715" s="1" t="s">
        <v>426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0" t="n">
        <f aca="false">I715+0</f>
        <v>104.4</v>
      </c>
      <c r="AB715" s="0" t="n">
        <f aca="false">IF(Z715&gt;360,Z715-360,Z715+0)</f>
        <v>104.4</v>
      </c>
      <c r="AC715" s="1"/>
      <c r="AD715" s="1"/>
      <c r="AE715" s="1"/>
      <c r="AF715" s="1"/>
    </row>
    <row r="716" customFormat="false" ht="15.8" hidden="false" customHeight="false" outlineLevel="0" collapsed="false">
      <c r="A716" s="1" t="n">
        <v>20</v>
      </c>
      <c r="B716" s="1" t="n">
        <v>10</v>
      </c>
      <c r="C716" s="1" t="n">
        <v>0.8</v>
      </c>
      <c r="D716" s="1" t="n">
        <v>1.3129</v>
      </c>
      <c r="E716" s="1" t="n">
        <v>0.0271696</v>
      </c>
      <c r="F716" s="1" t="n">
        <v>7.39038E-005</v>
      </c>
      <c r="G716" s="1" t="s">
        <v>52</v>
      </c>
      <c r="H716" s="1" t="n">
        <v>14</v>
      </c>
      <c r="I716" s="1" t="n">
        <v>129.5</v>
      </c>
      <c r="J716" s="1" t="n">
        <v>-37.7</v>
      </c>
      <c r="K716" s="1" t="n">
        <v>80.5</v>
      </c>
      <c r="L716" s="1" t="n">
        <v>0</v>
      </c>
      <c r="M716" s="1" t="n">
        <v>0</v>
      </c>
      <c r="N716" s="1" t="s">
        <v>444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0" t="n">
        <f aca="false">I716+0</f>
        <v>129.5</v>
      </c>
      <c r="AB716" s="0" t="n">
        <f aca="false">IF(Z716&gt;360,Z716-360,Z716+0)</f>
        <v>129.5</v>
      </c>
      <c r="AC716" s="1"/>
      <c r="AD716" s="1"/>
      <c r="AE716" s="1"/>
      <c r="AF716" s="1"/>
    </row>
    <row r="717" customFormat="false" ht="15.8" hidden="false" customHeight="false" outlineLevel="0" collapsed="false">
      <c r="A717" s="1" t="n">
        <v>20</v>
      </c>
      <c r="B717" s="1" t="n">
        <v>10</v>
      </c>
      <c r="C717" s="1" t="n">
        <v>1.2</v>
      </c>
      <c r="D717" s="1" t="n">
        <v>1.0202</v>
      </c>
      <c r="E717" s="1" t="n">
        <v>0.0413974</v>
      </c>
      <c r="F717" s="1" t="n">
        <v>0.000112605</v>
      </c>
      <c r="G717" s="1" t="s">
        <v>27</v>
      </c>
      <c r="H717" s="1" t="n">
        <v>68.5</v>
      </c>
      <c r="I717" s="1" t="n">
        <v>199.3</v>
      </c>
      <c r="J717" s="1" t="n">
        <v>0</v>
      </c>
      <c r="K717" s="1"/>
      <c r="L717" s="1" t="n">
        <v>0</v>
      </c>
      <c r="M717" s="1" t="n">
        <v>0</v>
      </c>
      <c r="N717" s="1" t="s">
        <v>444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0" t="n">
        <f aca="false">I717+0</f>
        <v>199.3</v>
      </c>
      <c r="AB717" s="0" t="n">
        <f aca="false">IF(Z717&gt;360,Z717-360,Z717+0)</f>
        <v>199.3</v>
      </c>
      <c r="AC717" s="1"/>
      <c r="AD717" s="1"/>
      <c r="AE717" s="1"/>
      <c r="AF717" s="1"/>
    </row>
    <row r="718" customFormat="false" ht="15.8" hidden="false" customHeight="false" outlineLevel="0" collapsed="false">
      <c r="A718" s="1" t="n">
        <v>20</v>
      </c>
      <c r="B718" s="1" t="n">
        <v>9</v>
      </c>
      <c r="C718" s="1" t="n">
        <v>1</v>
      </c>
      <c r="D718" s="1" t="n">
        <v>1.1525</v>
      </c>
      <c r="E718" s="1" t="n">
        <v>0.0358507</v>
      </c>
      <c r="F718" s="1" t="n">
        <v>9.7517E-005</v>
      </c>
      <c r="G718" s="1" t="s">
        <v>52</v>
      </c>
      <c r="H718" s="1" t="n">
        <v>24</v>
      </c>
      <c r="I718" s="1" t="n">
        <v>132.9</v>
      </c>
      <c r="J718" s="1" t="n">
        <v>-24</v>
      </c>
      <c r="K718" s="1" t="n">
        <v>68.5</v>
      </c>
      <c r="L718" s="1" t="n">
        <v>0</v>
      </c>
      <c r="M718" s="1" t="n">
        <v>0</v>
      </c>
      <c r="N718" s="1" t="s">
        <v>445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0" t="n">
        <f aca="false">I718+0</f>
        <v>132.9</v>
      </c>
      <c r="AB718" s="0" t="n">
        <f aca="false">IF(Z718&gt;360,Z718-360,Z718+0)</f>
        <v>132.9</v>
      </c>
      <c r="AC718" s="1"/>
      <c r="AD718" s="1"/>
      <c r="AE718" s="1"/>
      <c r="AF718" s="1"/>
    </row>
    <row r="719" customFormat="false" ht="15.8" hidden="false" customHeight="false" outlineLevel="0" collapsed="false">
      <c r="A719" s="1" t="n">
        <v>20</v>
      </c>
      <c r="B719" s="1" t="n">
        <v>9</v>
      </c>
      <c r="C719" s="1" t="n">
        <v>0.7</v>
      </c>
      <c r="D719" s="1" t="n">
        <v>1.0002</v>
      </c>
      <c r="E719" s="1" t="n">
        <v>0.0238099</v>
      </c>
      <c r="F719" s="1" t="n">
        <v>6.47651E-005</v>
      </c>
      <c r="G719" s="1" t="s">
        <v>27</v>
      </c>
      <c r="H719" s="1" t="n">
        <v>107.4</v>
      </c>
      <c r="I719" s="1" t="n">
        <v>241</v>
      </c>
      <c r="J719" s="1" t="n">
        <v>0</v>
      </c>
      <c r="K719" s="1"/>
      <c r="L719" s="1" t="n">
        <v>0</v>
      </c>
      <c r="M719" s="1" t="n">
        <v>0</v>
      </c>
      <c r="N719" s="1" t="s">
        <v>445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0" t="n">
        <f aca="false">I719+0</f>
        <v>241</v>
      </c>
      <c r="AB719" s="0" t="n">
        <f aca="false">IF(Z719&gt;360,Z719-360,Z719+0)</f>
        <v>241</v>
      </c>
      <c r="AC719" s="1"/>
      <c r="AD719" s="1"/>
      <c r="AE719" s="1"/>
      <c r="AF719" s="1"/>
    </row>
    <row r="720" customFormat="false" ht="15.8" hidden="false" customHeight="false" outlineLevel="0" collapsed="false">
      <c r="A720" s="1" t="n">
        <v>20</v>
      </c>
      <c r="B720" s="1" t="n">
        <v>8</v>
      </c>
      <c r="C720" s="1" t="n">
        <v>1.6</v>
      </c>
      <c r="D720" s="1" t="n">
        <v>1.0055</v>
      </c>
      <c r="E720" s="1" t="n">
        <v>0.0542222</v>
      </c>
      <c r="F720" s="1" t="n">
        <v>0.000147489</v>
      </c>
      <c r="G720" s="1" t="s">
        <v>52</v>
      </c>
      <c r="H720" s="1" t="n">
        <v>31.9</v>
      </c>
      <c r="I720" s="1" t="n">
        <v>133.6</v>
      </c>
      <c r="J720" s="1" t="n">
        <v>0</v>
      </c>
      <c r="K720" s="1" t="n">
        <v>107.4</v>
      </c>
      <c r="L720" s="1" t="n">
        <v>0</v>
      </c>
      <c r="M720" s="1" t="n">
        <v>0</v>
      </c>
      <c r="N720" s="1" t="s">
        <v>446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0" t="n">
        <f aca="false">I720+0</f>
        <v>133.6</v>
      </c>
      <c r="AB720" s="0" t="n">
        <f aca="false">IF(Z720&gt;360,Z720-360,Z720+0)</f>
        <v>133.6</v>
      </c>
      <c r="AC720" s="1"/>
      <c r="AD720" s="1"/>
      <c r="AE720" s="1"/>
      <c r="AF720" s="1"/>
    </row>
    <row r="721" customFormat="false" ht="15.8" hidden="false" customHeight="false" outlineLevel="0" collapsed="false">
      <c r="A721" s="1" t="n">
        <v>20</v>
      </c>
      <c r="B721" s="1" t="n">
        <v>8</v>
      </c>
      <c r="C721" s="1" t="n">
        <v>4.3</v>
      </c>
      <c r="D721" s="1" t="n">
        <v>1.5374</v>
      </c>
      <c r="E721" s="1" t="n">
        <v>0.145277</v>
      </c>
      <c r="F721" s="1" t="n">
        <v>0.000395167</v>
      </c>
      <c r="G721" s="1" t="s">
        <v>27</v>
      </c>
      <c r="H721" s="1" t="n">
        <v>33.2</v>
      </c>
      <c r="I721" s="1" t="n">
        <v>141.5</v>
      </c>
      <c r="J721" s="1" t="n">
        <v>23.7</v>
      </c>
      <c r="K721" s="1"/>
      <c r="L721" s="1" t="n">
        <v>0</v>
      </c>
      <c r="M721" s="1" t="n">
        <v>0</v>
      </c>
      <c r="N721" s="1" t="s">
        <v>446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0" t="n">
        <f aca="false">I721+0</f>
        <v>141.5</v>
      </c>
      <c r="AB721" s="0" t="n">
        <f aca="false">IF(Z721&gt;360,Z721-360,Z721+0)</f>
        <v>141.5</v>
      </c>
      <c r="AC721" s="1"/>
      <c r="AD721" s="1"/>
      <c r="AE721" s="1"/>
      <c r="AF721" s="1"/>
    </row>
    <row r="722" customFormat="false" ht="15.8" hidden="false" customHeight="false" outlineLevel="0" collapsed="false">
      <c r="A722" s="1" t="n">
        <v>20</v>
      </c>
      <c r="B722" s="1" t="n">
        <v>7</v>
      </c>
      <c r="C722" s="1" t="n">
        <v>0.3</v>
      </c>
      <c r="D722" s="1" t="n">
        <v>1.0051</v>
      </c>
      <c r="E722" s="1" t="n">
        <v>0.0104268</v>
      </c>
      <c r="F722" s="1" t="n">
        <v>2.83619E-005</v>
      </c>
      <c r="G722" s="1" t="s">
        <v>52</v>
      </c>
      <c r="H722" s="1" t="n">
        <v>41.8</v>
      </c>
      <c r="I722" s="1" t="n">
        <v>165.5</v>
      </c>
      <c r="J722" s="1" t="n">
        <v>0</v>
      </c>
      <c r="K722" s="1" t="n">
        <v>33.2</v>
      </c>
      <c r="L722" s="1" t="n">
        <v>0</v>
      </c>
      <c r="M722" s="1" t="n">
        <v>0</v>
      </c>
      <c r="N722" s="1" t="s">
        <v>447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0" t="n">
        <f aca="false">I722+0</f>
        <v>165.5</v>
      </c>
      <c r="AB722" s="0" t="n">
        <f aca="false">IF(Z722&gt;360,Z722-360,Z722+0)</f>
        <v>165.5</v>
      </c>
      <c r="AC722" s="1"/>
      <c r="AD722" s="1"/>
      <c r="AE722" s="1"/>
      <c r="AF722" s="1"/>
    </row>
    <row r="723" customFormat="false" ht="15.8" hidden="false" customHeight="false" outlineLevel="0" collapsed="false">
      <c r="A723" s="1" t="n">
        <v>20</v>
      </c>
      <c r="B723" s="1" t="n">
        <v>8</v>
      </c>
      <c r="C723" s="1" t="n">
        <v>1.3</v>
      </c>
      <c r="D723" s="1" t="n">
        <v>1.1383</v>
      </c>
      <c r="E723" s="1" t="n">
        <v>0.0455616</v>
      </c>
      <c r="F723" s="1" t="n">
        <v>0.000123932</v>
      </c>
      <c r="G723" s="1" t="s">
        <v>27</v>
      </c>
      <c r="H723" s="1" t="n">
        <v>128.8</v>
      </c>
      <c r="I723" s="1" t="n">
        <v>284.2</v>
      </c>
      <c r="J723" s="1" t="n">
        <v>18.4</v>
      </c>
      <c r="K723" s="1"/>
      <c r="L723" s="1" t="n">
        <v>0</v>
      </c>
      <c r="M723" s="1" t="n">
        <v>0</v>
      </c>
      <c r="N723" s="1" t="s">
        <v>448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0" t="n">
        <f aca="false">I723+0</f>
        <v>284.2</v>
      </c>
      <c r="AB723" s="0" t="n">
        <f aca="false">IF(Z723&gt;360,Z723-360,Z723+0)</f>
        <v>284.2</v>
      </c>
      <c r="AC723" s="1"/>
      <c r="AD723" s="1"/>
      <c r="AE723" s="1"/>
      <c r="AF723" s="1"/>
    </row>
    <row r="724" customFormat="false" ht="15.8" hidden="false" customHeight="false" outlineLevel="0" collapsed="false">
      <c r="A724" s="1" t="n">
        <v>20</v>
      </c>
      <c r="B724" s="1" t="n">
        <v>9</v>
      </c>
      <c r="C724" s="1" t="n">
        <v>2.5</v>
      </c>
      <c r="D724" s="1" t="n">
        <v>1.0971</v>
      </c>
      <c r="E724" s="1" t="n">
        <v>0.0851166</v>
      </c>
      <c r="F724" s="1" t="n">
        <v>0.000231525</v>
      </c>
      <c r="G724" s="1" t="s">
        <v>27</v>
      </c>
      <c r="H724" s="1" t="n">
        <v>87.2</v>
      </c>
      <c r="I724" s="1" t="n">
        <v>175.6</v>
      </c>
      <c r="J724" s="1" t="n">
        <v>0</v>
      </c>
      <c r="K724" s="1"/>
      <c r="L724" s="1" t="n">
        <v>0</v>
      </c>
      <c r="M724" s="1" t="n">
        <v>0</v>
      </c>
      <c r="N724" s="1" t="s">
        <v>449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0" t="n">
        <f aca="false">I724+0</f>
        <v>175.6</v>
      </c>
      <c r="AB724" s="0" t="n">
        <f aca="false">IF(Z724&gt;360,Z724-360,Z724+0)</f>
        <v>175.6</v>
      </c>
      <c r="AC724" s="1"/>
      <c r="AD724" s="1"/>
      <c r="AE724" s="1"/>
      <c r="AF724" s="1"/>
    </row>
    <row r="725" customFormat="false" ht="15.8" hidden="false" customHeight="false" outlineLevel="0" collapsed="false">
      <c r="A725" s="1" t="n">
        <v>20</v>
      </c>
      <c r="B725" s="1" t="n">
        <v>11</v>
      </c>
      <c r="C725" s="1" t="n">
        <v>0.9</v>
      </c>
      <c r="D725" s="1" t="n">
        <v>1.3284</v>
      </c>
      <c r="E725" s="1" t="n">
        <v>0.0301168</v>
      </c>
      <c r="F725" s="1" t="n">
        <v>8.19203E-005</v>
      </c>
      <c r="G725" s="1" t="s">
        <v>27</v>
      </c>
      <c r="H725" s="1" t="n">
        <v>101</v>
      </c>
      <c r="I725" s="1" t="n">
        <v>161.6</v>
      </c>
      <c r="J725" s="1" t="n">
        <v>-33.9</v>
      </c>
      <c r="K725" s="1"/>
      <c r="L725" s="1" t="n">
        <v>0</v>
      </c>
      <c r="M725" s="1" t="n">
        <v>0</v>
      </c>
      <c r="N725" s="1" t="s">
        <v>450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0" t="n">
        <f aca="false">I725+0</f>
        <v>161.6</v>
      </c>
      <c r="AB725" s="0" t="n">
        <f aca="false">IF(Z725&gt;360,Z725-360,Z725+0)</f>
        <v>161.6</v>
      </c>
      <c r="AC725" s="1"/>
      <c r="AD725" s="1"/>
      <c r="AE725" s="1"/>
      <c r="AF725" s="1"/>
    </row>
    <row r="726" customFormat="false" ht="15.8" hidden="false" customHeight="false" outlineLevel="0" collapsed="false">
      <c r="A726" s="1" t="n">
        <v>20</v>
      </c>
      <c r="B726" s="1" t="n">
        <v>11</v>
      </c>
      <c r="C726" s="1" t="n">
        <v>2.3</v>
      </c>
      <c r="D726" s="1" t="n">
        <v>1.1423</v>
      </c>
      <c r="E726" s="1" t="n">
        <v>0.0780843</v>
      </c>
      <c r="F726" s="1" t="n">
        <v>0.000212396</v>
      </c>
      <c r="G726" s="1" t="s">
        <v>27</v>
      </c>
      <c r="H726" s="1" t="n">
        <v>22.8</v>
      </c>
      <c r="I726" s="1" t="n">
        <v>78.5</v>
      </c>
      <c r="J726" s="1" t="n">
        <v>10.7</v>
      </c>
      <c r="K726" s="1"/>
      <c r="L726" s="1" t="n">
        <v>0</v>
      </c>
      <c r="M726" s="1" t="n">
        <v>0</v>
      </c>
      <c r="N726" s="1" t="s">
        <v>450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0" t="n">
        <f aca="false">I726+0</f>
        <v>78.5</v>
      </c>
      <c r="AB726" s="0" t="n">
        <f aca="false">IF(Z726&gt;360,Z726-360,Z726+0)</f>
        <v>78.5</v>
      </c>
      <c r="AC726" s="1"/>
      <c r="AD726" s="1"/>
      <c r="AE726" s="1"/>
      <c r="AF726" s="1"/>
    </row>
    <row r="727" customFormat="false" ht="15.8" hidden="false" customHeight="false" outlineLevel="0" collapsed="false">
      <c r="A727" s="1" t="n">
        <v>20</v>
      </c>
      <c r="B727" s="1" t="n">
        <v>10</v>
      </c>
      <c r="C727" s="1" t="n">
        <v>1.9</v>
      </c>
      <c r="D727" s="1" t="n">
        <v>1.358</v>
      </c>
      <c r="E727" s="1" t="n">
        <v>0.065313</v>
      </c>
      <c r="F727" s="1" t="n">
        <v>0.000177657</v>
      </c>
      <c r="G727" s="1" t="s">
        <v>52</v>
      </c>
      <c r="H727" s="1" t="n">
        <v>39.7</v>
      </c>
      <c r="I727" s="1" t="n">
        <v>58.3</v>
      </c>
      <c r="J727" s="1" t="n">
        <v>0</v>
      </c>
      <c r="K727" s="1" t="n">
        <v>101</v>
      </c>
      <c r="L727" s="1" t="n">
        <v>0</v>
      </c>
      <c r="M727" s="1" t="n">
        <v>0</v>
      </c>
      <c r="N727" s="1" t="s">
        <v>451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0" t="n">
        <f aca="false">I727+0</f>
        <v>58.3</v>
      </c>
      <c r="AB727" s="0" t="n">
        <f aca="false">IF(Z727&gt;360,Z727-360,Z727+0)</f>
        <v>58.3</v>
      </c>
      <c r="AC727" s="1"/>
      <c r="AD727" s="1"/>
      <c r="AE727" s="1"/>
      <c r="AF727" s="1"/>
    </row>
    <row r="728" customFormat="false" ht="15.8" hidden="false" customHeight="false" outlineLevel="0" collapsed="false">
      <c r="A728" s="1" t="n">
        <v>20</v>
      </c>
      <c r="B728" s="1" t="n">
        <v>10</v>
      </c>
      <c r="C728" s="1" t="n">
        <v>3</v>
      </c>
      <c r="D728" s="1" t="n">
        <v>1.1904</v>
      </c>
      <c r="E728" s="1" t="n">
        <v>0.10309</v>
      </c>
      <c r="F728" s="1" t="n">
        <v>0.000280412</v>
      </c>
      <c r="G728" s="1" t="s">
        <v>27</v>
      </c>
      <c r="H728" s="1" t="n">
        <v>113.4</v>
      </c>
      <c r="I728" s="1" t="n">
        <v>175.1</v>
      </c>
      <c r="J728" s="1" t="n">
        <v>0</v>
      </c>
      <c r="K728" s="1"/>
      <c r="L728" s="1" t="n">
        <v>0</v>
      </c>
      <c r="M728" s="1" t="n">
        <v>0</v>
      </c>
      <c r="N728" s="1" t="s">
        <v>451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0" t="n">
        <f aca="false">I728+0</f>
        <v>175.1</v>
      </c>
      <c r="AB728" s="0" t="n">
        <f aca="false">IF(Z728&gt;360,Z728-360,Z728+0)</f>
        <v>175.1</v>
      </c>
      <c r="AC728" s="1"/>
      <c r="AD728" s="1"/>
      <c r="AE728" s="1"/>
      <c r="AF728" s="1"/>
    </row>
    <row r="729" customFormat="false" ht="15.8" hidden="false" customHeight="false" outlineLevel="0" collapsed="false">
      <c r="A729" s="1" t="n">
        <v>20</v>
      </c>
      <c r="B729" s="1" t="n">
        <v>11</v>
      </c>
      <c r="C729" s="1" t="n">
        <v>0.6</v>
      </c>
      <c r="D729" s="1" t="n">
        <v>1.0119</v>
      </c>
      <c r="E729" s="1" t="n">
        <v>0.019977</v>
      </c>
      <c r="F729" s="1" t="n">
        <v>5.43391E-005</v>
      </c>
      <c r="G729" s="1" t="s">
        <v>27</v>
      </c>
      <c r="H729" s="1" t="n">
        <v>103.1</v>
      </c>
      <c r="I729" s="1" t="n">
        <v>93.2</v>
      </c>
      <c r="J729" s="1" t="n">
        <v>0</v>
      </c>
      <c r="K729" s="1"/>
      <c r="L729" s="1" t="n">
        <v>0</v>
      </c>
      <c r="M729" s="1" t="n">
        <v>0</v>
      </c>
      <c r="N729" s="1" t="s">
        <v>452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0" t="n">
        <f aca="false">I729+0</f>
        <v>93.2</v>
      </c>
      <c r="AB729" s="0" t="n">
        <f aca="false">IF(Z729&gt;360,Z729-360,Z729+0)</f>
        <v>93.2</v>
      </c>
      <c r="AC729" s="1"/>
      <c r="AD729" s="1"/>
      <c r="AE729" s="1"/>
      <c r="AF729" s="1"/>
    </row>
    <row r="730" customFormat="false" ht="15.8" hidden="false" customHeight="false" outlineLevel="0" collapsed="false">
      <c r="A730" s="1" t="n">
        <v>20</v>
      </c>
      <c r="B730" s="1" t="n">
        <v>11</v>
      </c>
      <c r="C730" s="1" t="n">
        <v>1</v>
      </c>
      <c r="D730" s="1" t="n">
        <v>1.2277</v>
      </c>
      <c r="E730" s="1" t="n">
        <v>0.0335732</v>
      </c>
      <c r="F730" s="1" t="n">
        <v>9.1322E-005</v>
      </c>
      <c r="G730" s="1" t="s">
        <v>27</v>
      </c>
      <c r="H730" s="1" t="n">
        <v>43</v>
      </c>
      <c r="I730" s="1" t="n">
        <v>4.4</v>
      </c>
      <c r="J730" s="1" t="n">
        <v>-27.5</v>
      </c>
      <c r="K730" s="1"/>
      <c r="L730" s="1" t="n">
        <v>0</v>
      </c>
      <c r="M730" s="1" t="n">
        <v>0</v>
      </c>
      <c r="N730" s="1" t="s">
        <v>452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0" t="n">
        <f aca="false">I730+0</f>
        <v>4.4</v>
      </c>
      <c r="AB730" s="0" t="n">
        <f aca="false">IF(Z730&gt;360,Z730-360,Z730+0)</f>
        <v>4.4</v>
      </c>
      <c r="AC730" s="1"/>
      <c r="AD730" s="1"/>
      <c r="AE730" s="1"/>
      <c r="AF730" s="1"/>
    </row>
    <row r="731" customFormat="false" ht="15.8" hidden="false" customHeight="false" outlineLevel="0" collapsed="false">
      <c r="A731" s="1" t="n">
        <v>20</v>
      </c>
      <c r="B731" s="1" t="n">
        <v>10</v>
      </c>
      <c r="C731" s="1" t="n">
        <v>2</v>
      </c>
      <c r="D731" s="1" t="n">
        <v>1.2411</v>
      </c>
      <c r="E731" s="1" t="n">
        <v>0.0693404</v>
      </c>
      <c r="F731" s="1" t="n">
        <v>0.000188612</v>
      </c>
      <c r="G731" s="1" t="s">
        <v>52</v>
      </c>
      <c r="H731" s="1" t="n">
        <v>62</v>
      </c>
      <c r="I731" s="1" t="n">
        <v>349.8</v>
      </c>
      <c r="J731" s="1" t="n">
        <v>13.1</v>
      </c>
      <c r="K731" s="1" t="n">
        <v>103.1</v>
      </c>
      <c r="L731" s="1" t="n">
        <v>0</v>
      </c>
      <c r="M731" s="1" t="n">
        <v>0</v>
      </c>
      <c r="N731" s="1" t="s">
        <v>451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0" t="n">
        <f aca="false">I731+0</f>
        <v>349.8</v>
      </c>
      <c r="AB731" s="0" t="n">
        <f aca="false">IF(Z731&gt;360,Z731-360,Z731+0)</f>
        <v>349.8</v>
      </c>
      <c r="AC731" s="1"/>
      <c r="AD731" s="1"/>
      <c r="AE731" s="1"/>
      <c r="AF731" s="1"/>
    </row>
    <row r="732" customFormat="false" ht="15.8" hidden="false" customHeight="false" outlineLevel="0" collapsed="false">
      <c r="A732" s="1" t="n">
        <v>20</v>
      </c>
      <c r="B732" s="1" t="n">
        <v>9</v>
      </c>
      <c r="C732" s="1" t="n">
        <v>2.4</v>
      </c>
      <c r="D732" s="1" t="n">
        <v>1.3914</v>
      </c>
      <c r="E732" s="1" t="n">
        <v>0.0829016</v>
      </c>
      <c r="F732" s="1" t="n">
        <v>0.0002255</v>
      </c>
      <c r="G732" s="1" t="s">
        <v>52</v>
      </c>
      <c r="H732" s="1" t="n">
        <v>27.9</v>
      </c>
      <c r="I732" s="1" t="n">
        <v>54.1</v>
      </c>
      <c r="J732" s="1" t="n">
        <v>39.6</v>
      </c>
      <c r="K732" s="1" t="n">
        <v>113.4</v>
      </c>
      <c r="L732" s="1" t="n">
        <v>0</v>
      </c>
      <c r="M732" s="1" t="n">
        <v>0</v>
      </c>
      <c r="N732" s="1" t="s">
        <v>449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0" t="n">
        <f aca="false">I732+0</f>
        <v>54.1</v>
      </c>
      <c r="AB732" s="0" t="n">
        <f aca="false">IF(Z732&gt;360,Z732-360,Z732+0)</f>
        <v>54.1</v>
      </c>
      <c r="AC732" s="1"/>
      <c r="AD732" s="1"/>
      <c r="AE732" s="1"/>
      <c r="AF732" s="1"/>
    </row>
    <row r="733" customFormat="false" ht="15.8" hidden="false" customHeight="false" outlineLevel="0" collapsed="false">
      <c r="A733" s="1" t="n">
        <v>20</v>
      </c>
      <c r="B733" s="1" t="n">
        <v>8</v>
      </c>
      <c r="C733" s="1" t="n">
        <v>4.3</v>
      </c>
      <c r="D733" s="1" t="n">
        <v>1.6851</v>
      </c>
      <c r="E733" s="1" t="n">
        <v>0.146962</v>
      </c>
      <c r="F733" s="1" t="n">
        <v>0.000399751</v>
      </c>
      <c r="G733" s="1" t="s">
        <v>52</v>
      </c>
      <c r="H733" s="1" t="n">
        <v>47.3</v>
      </c>
      <c r="I733" s="1" t="n">
        <v>89.1</v>
      </c>
      <c r="J733" s="1" t="n">
        <v>35.5</v>
      </c>
      <c r="K733" s="1" t="n">
        <v>87.2</v>
      </c>
      <c r="L733" s="1" t="n">
        <v>0</v>
      </c>
      <c r="M733" s="1" t="n">
        <v>0</v>
      </c>
      <c r="N733" s="1" t="s">
        <v>448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0" t="n">
        <f aca="false">I733+0</f>
        <v>89.1</v>
      </c>
      <c r="AB733" s="0" t="n">
        <f aca="false">IF(Z733&gt;360,Z733-360,Z733+0)</f>
        <v>89.1</v>
      </c>
      <c r="AC733" s="1"/>
      <c r="AD733" s="1"/>
      <c r="AE733" s="1"/>
      <c r="AF733" s="1"/>
    </row>
    <row r="734" customFormat="false" ht="15.8" hidden="false" customHeight="false" outlineLevel="0" collapsed="false">
      <c r="A734" s="1" t="n">
        <v>20</v>
      </c>
      <c r="B734" s="1" t="n">
        <v>9</v>
      </c>
      <c r="C734" s="1" t="n">
        <v>1.2</v>
      </c>
      <c r="D734" s="1" t="n">
        <v>1.1289</v>
      </c>
      <c r="E734" s="1" t="n">
        <v>0.0397019</v>
      </c>
      <c r="F734" s="1" t="n">
        <v>0.000107993</v>
      </c>
      <c r="G734" s="1" t="s">
        <v>27</v>
      </c>
      <c r="H734" s="1" t="n">
        <v>80.4</v>
      </c>
      <c r="I734" s="1" t="n">
        <v>321.4</v>
      </c>
      <c r="J734" s="1" t="n">
        <v>21.1</v>
      </c>
      <c r="K734" s="1"/>
      <c r="L734" s="1" t="n">
        <v>0</v>
      </c>
      <c r="M734" s="1" t="n">
        <v>0</v>
      </c>
      <c r="N734" s="1" t="s">
        <v>453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0" t="n">
        <f aca="false">I734+0</f>
        <v>321.4</v>
      </c>
      <c r="AB734" s="0" t="n">
        <f aca="false">IF(Z734&gt;360,Z734-360,Z734+0)</f>
        <v>321.4</v>
      </c>
      <c r="AC734" s="1"/>
      <c r="AD734" s="1"/>
      <c r="AE734" s="1"/>
      <c r="AF734" s="1"/>
    </row>
    <row r="735" customFormat="false" ht="15.8" hidden="false" customHeight="false" outlineLevel="0" collapsed="false">
      <c r="A735" s="1" t="n">
        <v>20</v>
      </c>
      <c r="B735" s="1" t="n">
        <v>10</v>
      </c>
      <c r="C735" s="1" t="n">
        <v>1.1</v>
      </c>
      <c r="D735" s="1" t="n">
        <v>1.0267</v>
      </c>
      <c r="E735" s="1" t="n">
        <v>0.0374028</v>
      </c>
      <c r="F735" s="1" t="n">
        <v>0.000101739</v>
      </c>
      <c r="G735" s="1" t="s">
        <v>27</v>
      </c>
      <c r="H735" s="1" t="n">
        <v>96</v>
      </c>
      <c r="I735" s="1" t="n">
        <v>130</v>
      </c>
      <c r="J735" s="1" t="n">
        <v>0</v>
      </c>
      <c r="K735" s="1"/>
      <c r="L735" s="1" t="n">
        <v>0</v>
      </c>
      <c r="M735" s="1" t="n">
        <v>0</v>
      </c>
      <c r="N735" s="1" t="s">
        <v>454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0" t="n">
        <f aca="false">I735+0</f>
        <v>130</v>
      </c>
      <c r="AB735" s="0" t="n">
        <f aca="false">IF(Z735&gt;360,Z735-360,Z735+0)</f>
        <v>130</v>
      </c>
      <c r="AC735" s="1"/>
      <c r="AD735" s="1"/>
      <c r="AE735" s="1"/>
      <c r="AF735" s="1"/>
    </row>
    <row r="736" customFormat="false" ht="15.8" hidden="false" customHeight="false" outlineLevel="0" collapsed="false">
      <c r="A736" s="1" t="n">
        <v>20</v>
      </c>
      <c r="B736" s="1" t="n">
        <v>11</v>
      </c>
      <c r="C736" s="1" t="n">
        <v>0.6</v>
      </c>
      <c r="D736" s="1" t="n">
        <v>1.1407</v>
      </c>
      <c r="E736" s="1" t="n">
        <v>0.0194888</v>
      </c>
      <c r="F736" s="1" t="n">
        <v>5.30112E-005</v>
      </c>
      <c r="G736" s="1" t="s">
        <v>27</v>
      </c>
      <c r="H736" s="1" t="n">
        <v>96.4</v>
      </c>
      <c r="I736" s="1" t="n">
        <v>299.1</v>
      </c>
      <c r="J736" s="1" t="n">
        <v>-47.8</v>
      </c>
      <c r="K736" s="1"/>
      <c r="L736" s="1" t="n">
        <v>0</v>
      </c>
      <c r="M736" s="1" t="n">
        <v>0</v>
      </c>
      <c r="N736" s="1" t="s">
        <v>455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0" t="n">
        <f aca="false">I736+0</f>
        <v>299.1</v>
      </c>
      <c r="AB736" s="0" t="n">
        <f aca="false">IF(Z736&gt;360,Z736-360,Z736+0)</f>
        <v>299.1</v>
      </c>
      <c r="AC736" s="1"/>
      <c r="AD736" s="1"/>
      <c r="AE736" s="1"/>
      <c r="AF736" s="1"/>
    </row>
    <row r="737" customFormat="false" ht="15.8" hidden="false" customHeight="false" outlineLevel="0" collapsed="false">
      <c r="A737" s="1" t="n">
        <v>20</v>
      </c>
      <c r="B737" s="1" t="n">
        <v>13</v>
      </c>
      <c r="C737" s="1" t="n">
        <v>0.6</v>
      </c>
      <c r="D737" s="1" t="n">
        <v>1.1696</v>
      </c>
      <c r="E737" s="1" t="n">
        <v>0.0205061</v>
      </c>
      <c r="F737" s="1" t="n">
        <v>5.57784E-005</v>
      </c>
      <c r="G737" s="1" t="s">
        <v>27</v>
      </c>
      <c r="H737" s="1" t="n">
        <v>97.1</v>
      </c>
      <c r="I737" s="1" t="n">
        <v>140</v>
      </c>
      <c r="J737" s="1" t="n">
        <v>46.2</v>
      </c>
      <c r="K737" s="1"/>
      <c r="L737" s="1" t="n">
        <v>0</v>
      </c>
      <c r="M737" s="1" t="n">
        <v>0</v>
      </c>
      <c r="N737" s="1" t="s">
        <v>456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0" t="n">
        <f aca="false">I737+0</f>
        <v>140</v>
      </c>
      <c r="AB737" s="0" t="n">
        <f aca="false">IF(Z737&gt;360,Z737-360,Z737+0)</f>
        <v>140</v>
      </c>
      <c r="AC737" s="1"/>
      <c r="AD737" s="1"/>
      <c r="AE737" s="1"/>
      <c r="AF737" s="1"/>
    </row>
    <row r="738" customFormat="false" ht="15.8" hidden="false" customHeight="false" outlineLevel="0" collapsed="false">
      <c r="A738" s="1" t="n">
        <v>20</v>
      </c>
      <c r="B738" s="1" t="n">
        <v>13</v>
      </c>
      <c r="C738" s="1" t="n">
        <v>1.8</v>
      </c>
      <c r="D738" s="1" t="n">
        <v>1.3902</v>
      </c>
      <c r="E738" s="1" t="n">
        <v>0.0604063</v>
      </c>
      <c r="F738" s="1" t="n">
        <v>0.00016431</v>
      </c>
      <c r="G738" s="1" t="s">
        <v>27</v>
      </c>
      <c r="H738" s="1" t="n">
        <v>52.2</v>
      </c>
      <c r="I738" s="1" t="n">
        <v>36.9</v>
      </c>
      <c r="J738" s="1" t="n">
        <v>-35.6</v>
      </c>
      <c r="K738" s="1"/>
      <c r="L738" s="1" t="n">
        <v>0</v>
      </c>
      <c r="M738" s="1" t="n">
        <v>0</v>
      </c>
      <c r="N738" s="1" t="s">
        <v>456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0" t="n">
        <f aca="false">I738+0</f>
        <v>36.9</v>
      </c>
      <c r="AB738" s="0" t="n">
        <f aca="false">IF(Z738&gt;360,Z738-360,Z738+0)</f>
        <v>36.9</v>
      </c>
      <c r="AC738" s="1"/>
      <c r="AD738" s="1"/>
      <c r="AE738" s="1"/>
      <c r="AF738" s="1"/>
    </row>
    <row r="739" customFormat="false" ht="15.8" hidden="false" customHeight="false" outlineLevel="0" collapsed="false">
      <c r="A739" s="1" t="n">
        <v>20</v>
      </c>
      <c r="B739" s="1" t="n">
        <v>12</v>
      </c>
      <c r="C739" s="1" t="n">
        <v>3.3</v>
      </c>
      <c r="D739" s="1" t="n">
        <v>1.1297</v>
      </c>
      <c r="E739" s="1" t="n">
        <v>0.112004</v>
      </c>
      <c r="F739" s="1" t="n">
        <v>0.00030466</v>
      </c>
      <c r="G739" s="1" t="s">
        <v>52</v>
      </c>
      <c r="H739" s="1" t="n">
        <v>14.8</v>
      </c>
      <c r="I739" s="1" t="n">
        <v>22.6</v>
      </c>
      <c r="J739" s="1" t="n">
        <v>14.8</v>
      </c>
      <c r="K739" s="1" t="n">
        <v>97.1</v>
      </c>
      <c r="L739" s="1" t="n">
        <v>0</v>
      </c>
      <c r="M739" s="1" t="n">
        <v>0</v>
      </c>
      <c r="N739" s="1" t="s">
        <v>457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0" t="n">
        <f aca="false">I739+0</f>
        <v>22.6</v>
      </c>
      <c r="AB739" s="0" t="n">
        <f aca="false">IF(Z739&gt;360,Z739-360,Z739+0)</f>
        <v>22.6</v>
      </c>
      <c r="AC739" s="1"/>
      <c r="AD739" s="1"/>
      <c r="AE739" s="1"/>
      <c r="AF739" s="1"/>
    </row>
    <row r="740" customFormat="false" ht="15.8" hidden="false" customHeight="false" outlineLevel="0" collapsed="false">
      <c r="A740" s="1" t="n">
        <v>20</v>
      </c>
      <c r="B740" s="1" t="n">
        <v>13</v>
      </c>
      <c r="C740" s="1" t="n">
        <v>0.8</v>
      </c>
      <c r="D740" s="1" t="n">
        <v>1.1719</v>
      </c>
      <c r="E740" s="1" t="n">
        <v>0.0284539</v>
      </c>
      <c r="F740" s="1" t="n">
        <v>7.7397E-005</v>
      </c>
      <c r="G740" s="1" t="s">
        <v>27</v>
      </c>
      <c r="H740" s="1" t="n">
        <v>113.6</v>
      </c>
      <c r="I740" s="1" t="n">
        <v>99.3</v>
      </c>
      <c r="J740" s="1" t="n">
        <v>31.4</v>
      </c>
      <c r="K740" s="1"/>
      <c r="L740" s="1" t="n">
        <v>0</v>
      </c>
      <c r="M740" s="1" t="n">
        <v>0</v>
      </c>
      <c r="N740" s="1" t="s">
        <v>458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0" t="n">
        <f aca="false">I740+0</f>
        <v>99.3</v>
      </c>
      <c r="AB740" s="0" t="n">
        <f aca="false">IF(Z740&gt;360,Z740-360,Z740+0)</f>
        <v>99.3</v>
      </c>
      <c r="AC740" s="1"/>
      <c r="AD740" s="1"/>
      <c r="AE740" s="1"/>
      <c r="AF740" s="1"/>
    </row>
    <row r="741" customFormat="false" ht="15.8" hidden="false" customHeight="false" outlineLevel="0" collapsed="false">
      <c r="A741" s="1" t="n">
        <v>20</v>
      </c>
      <c r="B741" s="1" t="n">
        <v>13</v>
      </c>
      <c r="C741" s="1" t="n">
        <v>0.7</v>
      </c>
      <c r="D741" s="1" t="n">
        <v>1.255</v>
      </c>
      <c r="E741" s="1" t="n">
        <v>0.0250194</v>
      </c>
      <c r="F741" s="1" t="n">
        <v>6.80548E-005</v>
      </c>
      <c r="G741" s="1" t="s">
        <v>27</v>
      </c>
      <c r="H741" s="1" t="n">
        <v>25.7</v>
      </c>
      <c r="I741" s="1" t="n">
        <v>340.3</v>
      </c>
      <c r="J741" s="1" t="n">
        <v>39.4</v>
      </c>
      <c r="K741" s="1"/>
      <c r="L741" s="1" t="n">
        <v>0</v>
      </c>
      <c r="M741" s="1" t="n">
        <v>0</v>
      </c>
      <c r="N741" s="1" t="s">
        <v>458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0" t="n">
        <f aca="false">I741+0</f>
        <v>340.3</v>
      </c>
      <c r="AB741" s="0" t="n">
        <f aca="false">IF(Z741&gt;360,Z741-360,Z741+0)</f>
        <v>340.3</v>
      </c>
      <c r="AC741" s="1"/>
      <c r="AD741" s="1"/>
      <c r="AE741" s="1"/>
      <c r="AF741" s="1"/>
    </row>
    <row r="742" customFormat="false" ht="15.8" hidden="false" customHeight="false" outlineLevel="0" collapsed="false">
      <c r="A742" s="1" t="n">
        <v>20</v>
      </c>
      <c r="B742" s="1" t="n">
        <v>12</v>
      </c>
      <c r="C742" s="1" t="n">
        <v>1.8</v>
      </c>
      <c r="D742" s="1" t="n">
        <v>1.3436</v>
      </c>
      <c r="E742" s="1" t="n">
        <v>0.0610495</v>
      </c>
      <c r="F742" s="1" t="n">
        <v>0.00016606</v>
      </c>
      <c r="G742" s="1" t="s">
        <v>52</v>
      </c>
      <c r="H742" s="1" t="n">
        <v>55.4</v>
      </c>
      <c r="I742" s="1" t="n">
        <v>327.5</v>
      </c>
      <c r="J742" s="1" t="n">
        <v>16.2</v>
      </c>
      <c r="K742" s="1" t="n">
        <v>113.6</v>
      </c>
      <c r="L742" s="1" t="n">
        <v>0</v>
      </c>
      <c r="M742" s="1" t="n">
        <v>0</v>
      </c>
      <c r="N742" s="1" t="s">
        <v>457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0" t="n">
        <f aca="false">I742+0</f>
        <v>327.5</v>
      </c>
      <c r="AB742" s="0" t="n">
        <f aca="false">IF(Z742&gt;360,Z742-360,Z742+0)</f>
        <v>327.5</v>
      </c>
      <c r="AC742" s="1"/>
      <c r="AD742" s="1"/>
      <c r="AE742" s="1"/>
      <c r="AF742" s="1"/>
    </row>
    <row r="743" customFormat="false" ht="15.8" hidden="false" customHeight="false" outlineLevel="0" collapsed="false">
      <c r="A743" s="1" t="n">
        <v>20</v>
      </c>
      <c r="B743" s="1" t="n">
        <v>11</v>
      </c>
      <c r="C743" s="1" t="n">
        <v>1.1</v>
      </c>
      <c r="D743" s="1" t="n">
        <v>1.1962</v>
      </c>
      <c r="E743" s="1" t="n">
        <v>0.0367633</v>
      </c>
      <c r="F743" s="1" t="n">
        <v>9.99993E-005</v>
      </c>
      <c r="G743" s="1" t="s">
        <v>52</v>
      </c>
      <c r="H743" s="1" t="n">
        <v>13.3</v>
      </c>
      <c r="I743" s="1" t="n">
        <v>21.3</v>
      </c>
      <c r="J743" s="1" t="n">
        <v>0</v>
      </c>
      <c r="K743" s="1" t="n">
        <v>55.4</v>
      </c>
      <c r="L743" s="1" t="n">
        <v>0</v>
      </c>
      <c r="M743" s="1" t="n">
        <v>0</v>
      </c>
      <c r="N743" s="1" t="s">
        <v>455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0" t="n">
        <f aca="false">I743+0</f>
        <v>21.3</v>
      </c>
      <c r="AB743" s="0" t="n">
        <f aca="false">IF(Z743&gt;360,Z743-360,Z743+0)</f>
        <v>21.3</v>
      </c>
      <c r="AC743" s="1"/>
      <c r="AD743" s="1"/>
      <c r="AE743" s="1"/>
      <c r="AF743" s="1"/>
    </row>
    <row r="744" customFormat="false" ht="15.8" hidden="false" customHeight="false" outlineLevel="0" collapsed="false">
      <c r="A744" s="1" t="n">
        <v>20</v>
      </c>
      <c r="B744" s="1" t="n">
        <v>10</v>
      </c>
      <c r="C744" s="1" t="n">
        <v>1.9</v>
      </c>
      <c r="D744" s="1" t="n">
        <v>1.1475</v>
      </c>
      <c r="E744" s="1" t="n">
        <v>0.0643204</v>
      </c>
      <c r="F744" s="1" t="n">
        <v>0.000174957</v>
      </c>
      <c r="G744" s="1" t="s">
        <v>52</v>
      </c>
      <c r="H744" s="1" t="n">
        <v>9.6</v>
      </c>
      <c r="I744" s="1" t="n">
        <v>24.1</v>
      </c>
      <c r="J744" s="1" t="n">
        <v>13</v>
      </c>
      <c r="K744" s="1" t="n">
        <v>96.4</v>
      </c>
      <c r="L744" s="1" t="n">
        <v>0</v>
      </c>
      <c r="M744" s="1" t="n">
        <v>0</v>
      </c>
      <c r="N744" s="1" t="s">
        <v>454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0" t="n">
        <f aca="false">I744+0</f>
        <v>24.1</v>
      </c>
      <c r="AB744" s="0" t="n">
        <f aca="false">IF(Z744&gt;360,Z744-360,Z744+0)</f>
        <v>24.1</v>
      </c>
      <c r="AC744" s="1"/>
      <c r="AD744" s="1"/>
      <c r="AE744" s="1"/>
      <c r="AF744" s="1"/>
    </row>
    <row r="745" customFormat="false" ht="15.8" hidden="false" customHeight="false" outlineLevel="0" collapsed="false">
      <c r="A745" s="1" t="n">
        <v>20</v>
      </c>
      <c r="B745" s="1" t="n">
        <v>9</v>
      </c>
      <c r="C745" s="1" t="n">
        <v>3.3</v>
      </c>
      <c r="D745" s="1" t="n">
        <v>1.1543</v>
      </c>
      <c r="E745" s="1" t="n">
        <v>0.113369</v>
      </c>
      <c r="F745" s="1" t="n">
        <v>0.000308374</v>
      </c>
      <c r="G745" s="1" t="s">
        <v>52</v>
      </c>
      <c r="H745" s="1" t="n">
        <v>16.6</v>
      </c>
      <c r="I745" s="1" t="n">
        <v>33.8</v>
      </c>
      <c r="J745" s="1" t="n">
        <v>14.9</v>
      </c>
      <c r="K745" s="1" t="n">
        <v>96</v>
      </c>
      <c r="L745" s="1" t="n">
        <v>0</v>
      </c>
      <c r="M745" s="1" t="n">
        <v>0</v>
      </c>
      <c r="N745" s="1" t="s">
        <v>453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0" t="n">
        <f aca="false">I745+0</f>
        <v>33.8</v>
      </c>
      <c r="AB745" s="0" t="n">
        <f aca="false">IF(Z745&gt;360,Z745-360,Z745+0)</f>
        <v>33.8</v>
      </c>
      <c r="AC745" s="1"/>
      <c r="AD745" s="1"/>
      <c r="AE745" s="1"/>
      <c r="AF745" s="1"/>
    </row>
    <row r="746" customFormat="false" ht="15.8" hidden="false" customHeight="false" outlineLevel="0" collapsed="false">
      <c r="A746" s="1" t="n">
        <v>20</v>
      </c>
      <c r="B746" s="1" t="n">
        <v>11</v>
      </c>
      <c r="C746" s="1" t="n">
        <v>1.1</v>
      </c>
      <c r="D746" s="1" t="n">
        <v>1.0162</v>
      </c>
      <c r="E746" s="1" t="n">
        <v>0.0377438</v>
      </c>
      <c r="F746" s="1" t="n">
        <v>0.000102667</v>
      </c>
      <c r="G746" s="1" t="s">
        <v>27</v>
      </c>
      <c r="H746" s="1" t="n">
        <v>109.1</v>
      </c>
      <c r="I746" s="1" t="n">
        <v>124.8</v>
      </c>
      <c r="J746" s="1" t="n">
        <v>0</v>
      </c>
      <c r="K746" s="1"/>
      <c r="L746" s="1" t="n">
        <v>0</v>
      </c>
      <c r="M746" s="1" t="n">
        <v>0</v>
      </c>
      <c r="N746" s="1" t="s">
        <v>459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0" t="n">
        <f aca="false">I746+0</f>
        <v>124.8</v>
      </c>
      <c r="AB746" s="0" t="n">
        <f aca="false">IF(Z746&gt;360,Z746-360,Z746+0)</f>
        <v>124.8</v>
      </c>
      <c r="AC746" s="1"/>
      <c r="AD746" s="1"/>
      <c r="AE746" s="1"/>
      <c r="AF746" s="1"/>
    </row>
    <row r="747" customFormat="false" ht="15.8" hidden="false" customHeight="false" outlineLevel="0" collapsed="false">
      <c r="A747" s="1" t="n">
        <v>20</v>
      </c>
      <c r="B747" s="1" t="n">
        <v>11</v>
      </c>
      <c r="C747" s="1" t="n">
        <v>1.8</v>
      </c>
      <c r="D747" s="1" t="n">
        <v>1.3601</v>
      </c>
      <c r="E747" s="1" t="n">
        <v>0.0602434</v>
      </c>
      <c r="F747" s="1" t="n">
        <v>0.000163867</v>
      </c>
      <c r="G747" s="1" t="s">
        <v>27</v>
      </c>
      <c r="H747" s="1" t="n">
        <v>23.4</v>
      </c>
      <c r="I747" s="1" t="n">
        <v>13.1</v>
      </c>
      <c r="J747" s="1" t="n">
        <v>0</v>
      </c>
      <c r="K747" s="1"/>
      <c r="L747" s="1" t="n">
        <v>0</v>
      </c>
      <c r="M747" s="1" t="n">
        <v>0</v>
      </c>
      <c r="N747" s="1" t="s">
        <v>459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0" t="n">
        <f aca="false">I747+0</f>
        <v>13.1</v>
      </c>
      <c r="AB747" s="0" t="n">
        <f aca="false">IF(Z747&gt;360,Z747-360,Z747+0)</f>
        <v>13.1</v>
      </c>
      <c r="AC747" s="1"/>
      <c r="AD747" s="1"/>
      <c r="AE747" s="1"/>
      <c r="AF747" s="1"/>
    </row>
    <row r="748" customFormat="false" ht="15.8" hidden="false" customHeight="false" outlineLevel="0" collapsed="false">
      <c r="A748" s="1" t="n">
        <v>20</v>
      </c>
      <c r="B748" s="1" t="n">
        <v>10</v>
      </c>
      <c r="C748" s="1" t="n">
        <v>2.2</v>
      </c>
      <c r="D748" s="1" t="n">
        <v>1.1629</v>
      </c>
      <c r="E748" s="1" t="n">
        <v>0.0742564</v>
      </c>
      <c r="F748" s="1" t="n">
        <v>0.000201984</v>
      </c>
      <c r="G748" s="1" t="s">
        <v>52</v>
      </c>
      <c r="H748" s="1" t="n">
        <v>69.6</v>
      </c>
      <c r="I748" s="1" t="n">
        <v>13.9</v>
      </c>
      <c r="J748" s="1" t="n">
        <v>23.3</v>
      </c>
      <c r="K748" s="1" t="n">
        <v>109.1</v>
      </c>
      <c r="L748" s="1" t="n">
        <v>0</v>
      </c>
      <c r="M748" s="1" t="n">
        <v>0</v>
      </c>
      <c r="N748" s="1" t="s">
        <v>460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0" t="n">
        <f aca="false">I748+0</f>
        <v>13.9</v>
      </c>
      <c r="AB748" s="0" t="n">
        <f aca="false">IF(Z748&gt;360,Z748-360,Z748+0)</f>
        <v>13.9</v>
      </c>
      <c r="AC748" s="1"/>
      <c r="AD748" s="1"/>
      <c r="AE748" s="1"/>
      <c r="AF748" s="1"/>
    </row>
    <row r="749" customFormat="false" ht="15.8" hidden="false" customHeight="false" outlineLevel="0" collapsed="false">
      <c r="A749" s="1" t="n">
        <v>20</v>
      </c>
      <c r="B749" s="1" t="n">
        <v>10</v>
      </c>
      <c r="C749" s="1" t="n">
        <v>5.6</v>
      </c>
      <c r="D749" s="1" t="n">
        <v>1.2938</v>
      </c>
      <c r="E749" s="1" t="n">
        <v>0.190641</v>
      </c>
      <c r="F749" s="1" t="n">
        <v>0.00051856</v>
      </c>
      <c r="G749" s="1" t="s">
        <v>27</v>
      </c>
      <c r="H749" s="1" t="n">
        <v>116</v>
      </c>
      <c r="I749" s="1" t="n">
        <v>196.5</v>
      </c>
      <c r="J749" s="1" t="n">
        <v>-14.9</v>
      </c>
      <c r="K749" s="1"/>
      <c r="L749" s="1" t="n">
        <v>0</v>
      </c>
      <c r="M749" s="1" t="n">
        <v>0</v>
      </c>
      <c r="N749" s="1" t="s">
        <v>460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0" t="n">
        <f aca="false">I749+0</f>
        <v>196.5</v>
      </c>
      <c r="AB749" s="0" t="n">
        <f aca="false">IF(Z749&gt;360,Z749-360,Z749+0)</f>
        <v>196.5</v>
      </c>
      <c r="AC749" s="1"/>
      <c r="AD749" s="1"/>
      <c r="AE749" s="1"/>
      <c r="AF749" s="1"/>
    </row>
    <row r="750" customFormat="false" ht="15.8" hidden="false" customHeight="false" outlineLevel="0" collapsed="false">
      <c r="A750" s="1" t="n">
        <v>20</v>
      </c>
      <c r="B750" s="1" t="n">
        <v>11</v>
      </c>
      <c r="C750" s="1" t="n">
        <v>3.5</v>
      </c>
      <c r="D750" s="1" t="n">
        <v>1.1639</v>
      </c>
      <c r="E750" s="1" t="n">
        <v>0.118555</v>
      </c>
      <c r="F750" s="1" t="n">
        <v>0.00032248</v>
      </c>
      <c r="G750" s="1" t="s">
        <v>27</v>
      </c>
      <c r="H750" s="1" t="n">
        <v>51.4</v>
      </c>
      <c r="I750" s="1" t="n">
        <v>18.2</v>
      </c>
      <c r="J750" s="1" t="n">
        <v>-14.4</v>
      </c>
      <c r="K750" s="1"/>
      <c r="L750" s="1" t="n">
        <v>0</v>
      </c>
      <c r="M750" s="1" t="n">
        <v>0</v>
      </c>
      <c r="N750" s="1" t="s">
        <v>461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0" t="n">
        <f aca="false">I750+0</f>
        <v>18.2</v>
      </c>
      <c r="AB750" s="0" t="n">
        <f aca="false">IF(Z750&gt;360,Z750-360,Z750+0)</f>
        <v>18.2</v>
      </c>
      <c r="AC750" s="1"/>
      <c r="AD750" s="1"/>
      <c r="AE750" s="1"/>
      <c r="AF750" s="1"/>
    </row>
    <row r="751" customFormat="false" ht="15.8" hidden="false" customHeight="false" outlineLevel="0" collapsed="false">
      <c r="A751" s="1" t="n">
        <v>20</v>
      </c>
      <c r="B751" s="1" t="n">
        <v>12</v>
      </c>
      <c r="C751" s="1" t="n">
        <v>3.7</v>
      </c>
      <c r="D751" s="1" t="n">
        <v>1.2349</v>
      </c>
      <c r="E751" s="1" t="n">
        <v>0.124804</v>
      </c>
      <c r="F751" s="1" t="n">
        <v>0.000339478</v>
      </c>
      <c r="G751" s="1" t="s">
        <v>27</v>
      </c>
      <c r="H751" s="1" t="n">
        <v>91.8</v>
      </c>
      <c r="I751" s="1" t="n">
        <v>189.5</v>
      </c>
      <c r="J751" s="1" t="n">
        <v>0</v>
      </c>
      <c r="K751" s="1"/>
      <c r="L751" s="1" t="n">
        <v>0</v>
      </c>
      <c r="M751" s="1" t="n">
        <v>0</v>
      </c>
      <c r="N751" s="1" t="s">
        <v>462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0" t="n">
        <f aca="false">I751+0</f>
        <v>189.5</v>
      </c>
      <c r="AB751" s="0" t="n">
        <f aca="false">IF(Z751&gt;360,Z751-360,Z751+0)</f>
        <v>189.5</v>
      </c>
      <c r="AC751" s="1"/>
      <c r="AD751" s="1"/>
      <c r="AE751" s="1"/>
      <c r="AF751" s="1"/>
    </row>
    <row r="752" customFormat="false" ht="15.8" hidden="false" customHeight="false" outlineLevel="0" collapsed="false">
      <c r="A752" s="1" t="n">
        <v>20</v>
      </c>
      <c r="B752" s="1" t="n">
        <v>13</v>
      </c>
      <c r="C752" s="1" t="n">
        <v>2.5</v>
      </c>
      <c r="D752" s="1" t="n">
        <v>1.3309</v>
      </c>
      <c r="E752" s="1" t="n">
        <v>0.0851042</v>
      </c>
      <c r="F752" s="1" t="n">
        <v>0.000231491</v>
      </c>
      <c r="G752" s="1" t="s">
        <v>27</v>
      </c>
      <c r="H752" s="1" t="n">
        <v>27.3</v>
      </c>
      <c r="I752" s="1" t="n">
        <v>96.2</v>
      </c>
      <c r="J752" s="1" t="n">
        <v>-23.3</v>
      </c>
      <c r="K752" s="1"/>
      <c r="L752" s="1" t="n">
        <v>0</v>
      </c>
      <c r="M752" s="1" t="n">
        <v>0</v>
      </c>
      <c r="N752" s="1" t="s">
        <v>463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0" t="n">
        <f aca="false">I752+0</f>
        <v>96.2</v>
      </c>
      <c r="AB752" s="0" t="n">
        <f aca="false">IF(Z752&gt;360,Z752-360,Z752+0)</f>
        <v>96.2</v>
      </c>
      <c r="AC752" s="1"/>
      <c r="AD752" s="1"/>
      <c r="AE752" s="1"/>
      <c r="AF752" s="1"/>
    </row>
    <row r="753" customFormat="false" ht="15.8" hidden="false" customHeight="false" outlineLevel="0" collapsed="false">
      <c r="A753" s="1" t="n">
        <v>20</v>
      </c>
      <c r="B753" s="1" t="n">
        <v>13</v>
      </c>
      <c r="C753" s="1" t="n">
        <v>4.6</v>
      </c>
      <c r="D753" s="1" t="n">
        <v>1.1268</v>
      </c>
      <c r="E753" s="1" t="n">
        <v>0.158562</v>
      </c>
      <c r="F753" s="1" t="n">
        <v>0.000431303</v>
      </c>
      <c r="G753" s="1" t="s">
        <v>27</v>
      </c>
      <c r="H753" s="1" t="n">
        <v>61.2</v>
      </c>
      <c r="I753" s="1" t="n">
        <v>20.8</v>
      </c>
      <c r="J753" s="1" t="n">
        <v>10.4</v>
      </c>
      <c r="K753" s="1"/>
      <c r="L753" s="1" t="n">
        <v>0</v>
      </c>
      <c r="M753" s="1" t="n">
        <v>0</v>
      </c>
      <c r="N753" s="1" t="s">
        <v>463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0" t="n">
        <f aca="false">I753+0</f>
        <v>20.8</v>
      </c>
      <c r="AB753" s="0" t="n">
        <f aca="false">IF(Z753&gt;360,Z753-360,Z753+0)</f>
        <v>20.8</v>
      </c>
      <c r="AC753" s="1"/>
      <c r="AD753" s="1"/>
      <c r="AE753" s="1"/>
      <c r="AF753" s="1"/>
    </row>
    <row r="754" customFormat="false" ht="15.8" hidden="false" customHeight="false" outlineLevel="0" collapsed="false">
      <c r="A754" s="1" t="n">
        <v>20</v>
      </c>
      <c r="B754" s="1" t="n">
        <v>12</v>
      </c>
      <c r="C754" s="1" t="n">
        <v>0.7</v>
      </c>
      <c r="D754" s="1" t="n">
        <v>1.0036</v>
      </c>
      <c r="E754" s="1" t="n">
        <v>0.0226447</v>
      </c>
      <c r="F754" s="1" t="n">
        <v>6.15956E-005</v>
      </c>
      <c r="G754" s="1" t="s">
        <v>52</v>
      </c>
      <c r="H754" s="1" t="n">
        <v>28.8</v>
      </c>
      <c r="I754" s="1" t="n">
        <v>81.5</v>
      </c>
      <c r="J754" s="1" t="n">
        <v>0</v>
      </c>
      <c r="K754" s="1" t="n">
        <v>61.2</v>
      </c>
      <c r="L754" s="1" t="n">
        <v>0</v>
      </c>
      <c r="M754" s="1" t="n">
        <v>0</v>
      </c>
      <c r="N754" s="1" t="s">
        <v>462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0" t="n">
        <f aca="false">I754+0</f>
        <v>81.5</v>
      </c>
      <c r="AB754" s="0" t="n">
        <f aca="false">IF(Z754&gt;360,Z754-360,Z754+0)</f>
        <v>81.5</v>
      </c>
      <c r="AC754" s="1"/>
      <c r="AD754" s="1"/>
      <c r="AE754" s="1"/>
      <c r="AF754" s="1"/>
    </row>
    <row r="755" customFormat="false" ht="15.8" hidden="false" customHeight="false" outlineLevel="0" collapsed="false">
      <c r="A755" s="1" t="n">
        <v>20</v>
      </c>
      <c r="B755" s="1" t="n">
        <v>11</v>
      </c>
      <c r="C755" s="1" t="n">
        <v>1.1</v>
      </c>
      <c r="D755" s="1" t="n">
        <v>1.1802</v>
      </c>
      <c r="E755" s="1" t="n">
        <v>0.0364112</v>
      </c>
      <c r="F755" s="1" t="n">
        <v>9.90416E-005</v>
      </c>
      <c r="G755" s="1" t="s">
        <v>52</v>
      </c>
      <c r="H755" s="1" t="n">
        <v>23.5</v>
      </c>
      <c r="I755" s="1" t="n">
        <v>97.6</v>
      </c>
      <c r="J755" s="1" t="n">
        <v>-24.2</v>
      </c>
      <c r="K755" s="1" t="n">
        <v>91.8</v>
      </c>
      <c r="L755" s="1" t="n">
        <v>0</v>
      </c>
      <c r="M755" s="1" t="n">
        <v>0</v>
      </c>
      <c r="N755" s="1" t="s">
        <v>461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0" t="n">
        <f aca="false">I755+0</f>
        <v>97.6</v>
      </c>
      <c r="AB755" s="0" t="n">
        <f aca="false">IF(Z755&gt;360,Z755-360,Z755+0)</f>
        <v>97.6</v>
      </c>
      <c r="AC755" s="1"/>
      <c r="AD755" s="1"/>
      <c r="AE755" s="1"/>
      <c r="AF755" s="1"/>
    </row>
    <row r="756" customFormat="false" ht="15.8" hidden="false" customHeight="false" outlineLevel="0" collapsed="false">
      <c r="A756" s="1" t="n">
        <v>20</v>
      </c>
      <c r="B756" s="1" t="n">
        <v>10</v>
      </c>
      <c r="C756" s="1" t="n">
        <v>1.1</v>
      </c>
      <c r="D756" s="1" t="n">
        <v>1.1999</v>
      </c>
      <c r="E756" s="1" t="n">
        <v>0.0391863</v>
      </c>
      <c r="F756" s="1" t="n">
        <v>0.00010659</v>
      </c>
      <c r="G756" s="1" t="s">
        <v>52</v>
      </c>
      <c r="H756" s="1" t="n">
        <v>10.9</v>
      </c>
      <c r="I756" s="1" t="n">
        <v>72</v>
      </c>
      <c r="J756" s="1" t="n">
        <v>-22.8</v>
      </c>
      <c r="K756" s="1" t="n">
        <v>51.4</v>
      </c>
      <c r="L756" s="1" t="n">
        <v>0</v>
      </c>
      <c r="M756" s="1" t="n">
        <v>0</v>
      </c>
      <c r="N756" s="1" t="s">
        <v>460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0" t="n">
        <f aca="false">I756+0</f>
        <v>72</v>
      </c>
      <c r="AB756" s="0" t="n">
        <f aca="false">IF(Z756&gt;360,Z756-360,Z756+0)</f>
        <v>72</v>
      </c>
      <c r="AC756" s="1"/>
      <c r="AD756" s="1"/>
      <c r="AE756" s="1"/>
      <c r="AF756" s="1"/>
    </row>
    <row r="757" customFormat="false" ht="15.8" hidden="false" customHeight="false" outlineLevel="0" collapsed="false">
      <c r="A757" s="1" t="n">
        <v>20</v>
      </c>
      <c r="B757" s="1" t="n">
        <v>9</v>
      </c>
      <c r="C757" s="1" t="n">
        <v>8.2</v>
      </c>
      <c r="D757" s="1" t="n">
        <v>1.1805</v>
      </c>
      <c r="E757" s="1" t="n">
        <v>0.28004</v>
      </c>
      <c r="F757" s="1" t="n">
        <v>0.000761732</v>
      </c>
      <c r="G757" s="1" t="s">
        <v>52</v>
      </c>
      <c r="H757" s="1" t="n">
        <v>35.8</v>
      </c>
      <c r="I757" s="1" t="n">
        <v>75</v>
      </c>
      <c r="J757" s="1" t="n">
        <v>-12.3</v>
      </c>
      <c r="K757" s="1" t="n">
        <v>116</v>
      </c>
      <c r="L757" s="1" t="n">
        <v>0</v>
      </c>
      <c r="M757" s="1" t="n">
        <v>0</v>
      </c>
      <c r="N757" s="1" t="s">
        <v>453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0" t="n">
        <f aca="false">I757+0</f>
        <v>75</v>
      </c>
      <c r="AB757" s="0" t="n">
        <f aca="false">IF(Z757&gt;360,Z757-360,Z757+0)</f>
        <v>75</v>
      </c>
      <c r="AC757" s="1"/>
      <c r="AD757" s="1"/>
      <c r="AE757" s="1"/>
      <c r="AF757" s="1"/>
    </row>
    <row r="758" customFormat="false" ht="15.8" hidden="false" customHeight="false" outlineLevel="0" collapsed="false">
      <c r="A758" s="1" t="n">
        <v>20</v>
      </c>
      <c r="B758" s="1" t="n">
        <v>9</v>
      </c>
      <c r="C758" s="1" t="n">
        <v>5.8</v>
      </c>
      <c r="D758" s="1" t="n">
        <v>1.1394</v>
      </c>
      <c r="E758" s="1" t="n">
        <v>0.198511</v>
      </c>
      <c r="F758" s="1" t="n">
        <v>0.000539967</v>
      </c>
      <c r="G758" s="1" t="s">
        <v>27</v>
      </c>
      <c r="H758" s="1" t="n">
        <v>144.4</v>
      </c>
      <c r="I758" s="1" t="n">
        <v>186.4</v>
      </c>
      <c r="J758" s="1" t="n">
        <v>-8.3</v>
      </c>
      <c r="K758" s="1"/>
      <c r="L758" s="1" t="n">
        <v>0</v>
      </c>
      <c r="M758" s="1" t="n">
        <v>0</v>
      </c>
      <c r="N758" s="1" t="s">
        <v>453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0" t="n">
        <f aca="false">I758+0</f>
        <v>186.4</v>
      </c>
      <c r="AB758" s="0" t="n">
        <f aca="false">IF(Z758&gt;360,Z758-360,Z758+0)</f>
        <v>186.4</v>
      </c>
      <c r="AC758" s="1"/>
      <c r="AD758" s="1"/>
      <c r="AE758" s="1"/>
      <c r="AF758" s="1"/>
    </row>
    <row r="759" customFormat="false" ht="15.8" hidden="false" customHeight="false" outlineLevel="0" collapsed="false">
      <c r="A759" s="1" t="n">
        <v>20</v>
      </c>
      <c r="B759" s="1" t="n">
        <v>8</v>
      </c>
      <c r="C759" s="1" t="n">
        <v>2.3</v>
      </c>
      <c r="D759" s="1" t="n">
        <v>1.0359</v>
      </c>
      <c r="E759" s="1" t="n">
        <v>0.079042</v>
      </c>
      <c r="F759" s="1" t="n">
        <v>0.000215001</v>
      </c>
      <c r="G759" s="1" t="s">
        <v>52</v>
      </c>
      <c r="H759" s="1" t="n">
        <v>14.3</v>
      </c>
      <c r="I759" s="1" t="n">
        <v>41.1</v>
      </c>
      <c r="J759" s="1" t="n">
        <v>0</v>
      </c>
      <c r="K759" s="1" t="n">
        <v>144.4</v>
      </c>
      <c r="L759" s="1" t="n">
        <v>0</v>
      </c>
      <c r="M759" s="1" t="n">
        <v>0</v>
      </c>
      <c r="N759" s="1" t="s">
        <v>448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0" t="n">
        <f aca="false">I759+0</f>
        <v>41.1</v>
      </c>
      <c r="AB759" s="0" t="n">
        <f aca="false">IF(Z759&gt;360,Z759-360,Z759+0)</f>
        <v>41.1</v>
      </c>
      <c r="AC759" s="1"/>
      <c r="AD759" s="1"/>
      <c r="AE759" s="1"/>
      <c r="AF759" s="1"/>
    </row>
    <row r="760" customFormat="false" ht="15.8" hidden="false" customHeight="false" outlineLevel="0" collapsed="false">
      <c r="A760" s="1" t="n">
        <v>20</v>
      </c>
      <c r="B760" s="1" t="n">
        <v>7</v>
      </c>
      <c r="C760" s="1" t="n">
        <v>4.1</v>
      </c>
      <c r="D760" s="1" t="n">
        <v>1.0534</v>
      </c>
      <c r="E760" s="1" t="n">
        <v>0.140397</v>
      </c>
      <c r="F760" s="1" t="n">
        <v>0.000381893</v>
      </c>
      <c r="G760" s="1" t="s">
        <v>52</v>
      </c>
      <c r="H760" s="1" t="n">
        <v>69.3</v>
      </c>
      <c r="I760" s="1" t="n">
        <v>55.5</v>
      </c>
      <c r="J760" s="1" t="n">
        <v>0</v>
      </c>
      <c r="K760" s="1" t="n">
        <v>128.8</v>
      </c>
      <c r="L760" s="1" t="n">
        <v>0</v>
      </c>
      <c r="M760" s="1" t="n">
        <v>0</v>
      </c>
      <c r="N760" s="1" t="s">
        <v>447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0" t="n">
        <f aca="false">I760+0</f>
        <v>55.5</v>
      </c>
      <c r="AB760" s="0" t="n">
        <f aca="false">IF(Z760&gt;360,Z760-360,Z760+0)</f>
        <v>55.5</v>
      </c>
      <c r="AC760" s="1"/>
      <c r="AD760" s="1"/>
      <c r="AE760" s="1"/>
      <c r="AF760" s="1"/>
    </row>
    <row r="761" customFormat="false" ht="15.8" hidden="false" customHeight="false" outlineLevel="0" collapsed="false">
      <c r="A761" s="1" t="n">
        <v>20</v>
      </c>
      <c r="B761" s="1" t="n">
        <v>6</v>
      </c>
      <c r="C761" s="1" t="n">
        <v>2.7</v>
      </c>
      <c r="D761" s="1" t="n">
        <v>1.131</v>
      </c>
      <c r="E761" s="1" t="n">
        <v>0.0914334</v>
      </c>
      <c r="F761" s="1" t="n">
        <v>0.000248707</v>
      </c>
      <c r="G761" s="1" t="s">
        <v>52</v>
      </c>
      <c r="H761" s="1" t="n">
        <v>39.2</v>
      </c>
      <c r="I761" s="1" t="n">
        <v>124.5</v>
      </c>
      <c r="J761" s="1" t="n">
        <v>-9</v>
      </c>
      <c r="K761" s="1" t="n">
        <v>69.3</v>
      </c>
      <c r="L761" s="1" t="n">
        <v>0</v>
      </c>
      <c r="M761" s="1" t="n">
        <v>0</v>
      </c>
      <c r="N761" s="1" t="s">
        <v>464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0" t="n">
        <f aca="false">I761+0</f>
        <v>124.5</v>
      </c>
      <c r="AB761" s="0" t="n">
        <f aca="false">IF(Z761&gt;360,Z761-360,Z761+0)</f>
        <v>124.5</v>
      </c>
      <c r="AC761" s="1"/>
      <c r="AD761" s="1"/>
      <c r="AE761" s="1"/>
      <c r="AF761" s="1"/>
    </row>
    <row r="762" customFormat="false" ht="15.8" hidden="false" customHeight="false" outlineLevel="0" collapsed="false">
      <c r="A762" s="1" t="n">
        <v>20</v>
      </c>
      <c r="B762" s="1" t="n">
        <v>6</v>
      </c>
      <c r="C762" s="1" t="n">
        <v>1.3</v>
      </c>
      <c r="D762" s="1" t="n">
        <v>1.191</v>
      </c>
      <c r="E762" s="1" t="n">
        <v>0.0451694</v>
      </c>
      <c r="F762" s="1" t="n">
        <v>0.000122865</v>
      </c>
      <c r="G762" s="1" t="s">
        <v>27</v>
      </c>
      <c r="H762" s="1" t="n">
        <v>104.1</v>
      </c>
      <c r="I762" s="1" t="n">
        <v>341.2</v>
      </c>
      <c r="J762" s="1" t="n">
        <v>19.5</v>
      </c>
      <c r="K762" s="1"/>
      <c r="L762" s="1" t="n">
        <v>0</v>
      </c>
      <c r="M762" s="1" t="n">
        <v>0</v>
      </c>
      <c r="N762" s="1" t="s">
        <v>464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0" t="n">
        <f aca="false">I762+0</f>
        <v>341.2</v>
      </c>
      <c r="AB762" s="0" t="n">
        <f aca="false">IF(Z762&gt;360,Z762-360,Z762+0)</f>
        <v>341.2</v>
      </c>
      <c r="AC762" s="1"/>
      <c r="AD762" s="1"/>
      <c r="AE762" s="1"/>
      <c r="AF762" s="1"/>
    </row>
    <row r="763" customFormat="false" ht="15.8" hidden="false" customHeight="false" outlineLevel="0" collapsed="false">
      <c r="A763" s="1" t="n">
        <v>20</v>
      </c>
      <c r="B763" s="1" t="n">
        <v>5</v>
      </c>
      <c r="C763" s="1" t="n">
        <v>2.5</v>
      </c>
      <c r="D763" s="1" t="n">
        <v>1.0047</v>
      </c>
      <c r="E763" s="1" t="n">
        <v>0.0842607</v>
      </c>
      <c r="F763" s="1" t="n">
        <v>0.000229196</v>
      </c>
      <c r="G763" s="1" t="s">
        <v>52</v>
      </c>
      <c r="H763" s="1" t="n">
        <v>47.9</v>
      </c>
      <c r="I763" s="1" t="n">
        <v>86.2</v>
      </c>
      <c r="J763" s="1" t="n">
        <v>0</v>
      </c>
      <c r="K763" s="1" t="n">
        <v>104.1</v>
      </c>
      <c r="L763" s="1" t="n">
        <v>0</v>
      </c>
      <c r="M763" s="1" t="n">
        <v>0</v>
      </c>
      <c r="N763" s="1" t="s">
        <v>465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0" t="n">
        <f aca="false">I763+0</f>
        <v>86.2</v>
      </c>
      <c r="AB763" s="0" t="n">
        <f aca="false">IF(Z763&gt;360,Z763-360,Z763+0)</f>
        <v>86.2</v>
      </c>
      <c r="AC763" s="1"/>
      <c r="AD763" s="1"/>
      <c r="AE763" s="1"/>
      <c r="AF763" s="1"/>
    </row>
    <row r="764" customFormat="false" ht="15.8" hidden="false" customHeight="false" outlineLevel="0" collapsed="false">
      <c r="A764" s="1" t="n">
        <v>20</v>
      </c>
      <c r="B764" s="1" t="n">
        <v>6</v>
      </c>
      <c r="C764" s="1" t="n">
        <v>0.5</v>
      </c>
      <c r="D764" s="1" t="n">
        <v>1.0004</v>
      </c>
      <c r="E764" s="1" t="n">
        <v>0.0187684</v>
      </c>
      <c r="F764" s="1" t="n">
        <v>5.10516E-005</v>
      </c>
      <c r="G764" s="1" t="s">
        <v>27</v>
      </c>
      <c r="H764" s="1" t="n">
        <v>130.7</v>
      </c>
      <c r="I764" s="1" t="n">
        <v>50.6</v>
      </c>
      <c r="J764" s="1" t="n">
        <v>0</v>
      </c>
      <c r="K764" s="1"/>
      <c r="L764" s="1" t="n">
        <v>0</v>
      </c>
      <c r="M764" s="1" t="n">
        <v>0</v>
      </c>
      <c r="N764" s="1" t="s">
        <v>466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0" t="n">
        <f aca="false">I764+0</f>
        <v>50.6</v>
      </c>
      <c r="AB764" s="0" t="n">
        <f aca="false">IF(Z764&gt;360,Z764-360,Z764+0)</f>
        <v>50.6</v>
      </c>
      <c r="AC764" s="1"/>
      <c r="AD764" s="1"/>
      <c r="AE764" s="1"/>
      <c r="AF764" s="1"/>
    </row>
    <row r="765" customFormat="false" ht="15.8" hidden="false" customHeight="false" outlineLevel="0" collapsed="false">
      <c r="A765" s="1" t="n">
        <v>20</v>
      </c>
      <c r="B765" s="1" t="n">
        <v>8</v>
      </c>
      <c r="C765" s="1" t="n">
        <v>1.1</v>
      </c>
      <c r="D765" s="1" t="n">
        <v>1.0103</v>
      </c>
      <c r="E765" s="1" t="n">
        <v>0.0377599</v>
      </c>
      <c r="F765" s="1" t="n">
        <v>0.00010271</v>
      </c>
      <c r="G765" s="1" t="s">
        <v>27</v>
      </c>
      <c r="H765" s="1" t="n">
        <v>80.5</v>
      </c>
      <c r="I765" s="1" t="n">
        <v>148.8</v>
      </c>
      <c r="J765" s="1" t="n">
        <v>0</v>
      </c>
      <c r="K765" s="1"/>
      <c r="L765" s="1" t="n">
        <v>0</v>
      </c>
      <c r="M765" s="1" t="n">
        <v>0</v>
      </c>
      <c r="N765" s="1" t="s">
        <v>467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0" t="n">
        <f aca="false">I765+0</f>
        <v>148.8</v>
      </c>
      <c r="AB765" s="0" t="n">
        <f aca="false">IF(Z765&gt;360,Z765-360,Z765+0)</f>
        <v>148.8</v>
      </c>
      <c r="AC765" s="1"/>
      <c r="AD765" s="1"/>
      <c r="AE765" s="1"/>
      <c r="AF765" s="1"/>
    </row>
    <row r="766" customFormat="false" ht="15.8" hidden="false" customHeight="false" outlineLevel="0" collapsed="false">
      <c r="A766" s="1" t="n">
        <v>20</v>
      </c>
      <c r="B766" s="1" t="n">
        <v>9</v>
      </c>
      <c r="C766" s="1" t="n">
        <v>0.7</v>
      </c>
      <c r="D766" s="1" t="n">
        <v>1.0043</v>
      </c>
      <c r="E766" s="1" t="n">
        <v>0.0250692</v>
      </c>
      <c r="F766" s="1" t="n">
        <v>6.81904E-005</v>
      </c>
      <c r="G766" s="1" t="s">
        <v>27</v>
      </c>
      <c r="H766" s="1" t="n">
        <v>42.2</v>
      </c>
      <c r="I766" s="1" t="n">
        <v>183.4</v>
      </c>
      <c r="J766" s="1" t="n">
        <v>0</v>
      </c>
      <c r="K766" s="1"/>
      <c r="L766" s="1" t="n">
        <v>0</v>
      </c>
      <c r="M766" s="1" t="n">
        <v>0</v>
      </c>
      <c r="N766" s="1" t="s">
        <v>468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0" t="n">
        <f aca="false">I766+0</f>
        <v>183.4</v>
      </c>
      <c r="AB766" s="0" t="n">
        <f aca="false">IF(Z766&gt;360,Z766-360,Z766+0)</f>
        <v>183.4</v>
      </c>
      <c r="AC766" s="1"/>
      <c r="AD766" s="1"/>
      <c r="AE766" s="1"/>
      <c r="AF766" s="1"/>
    </row>
    <row r="767" customFormat="false" ht="15.8" hidden="false" customHeight="false" outlineLevel="0" collapsed="false">
      <c r="A767" s="1" t="n">
        <v>20</v>
      </c>
      <c r="B767" s="1" t="n">
        <v>9</v>
      </c>
      <c r="C767" s="1" t="n">
        <v>1.1</v>
      </c>
      <c r="D767" s="1" t="n">
        <v>1.1308</v>
      </c>
      <c r="E767" s="1" t="n">
        <v>0.0365218</v>
      </c>
      <c r="F767" s="1" t="n">
        <v>9.93424E-005</v>
      </c>
      <c r="G767" s="1" t="s">
        <v>27</v>
      </c>
      <c r="H767" s="1" t="n">
        <v>94.3</v>
      </c>
      <c r="I767" s="1" t="n">
        <v>45.5</v>
      </c>
      <c r="J767" s="1" t="n">
        <v>-23.1</v>
      </c>
      <c r="K767" s="1"/>
      <c r="L767" s="1" t="n">
        <v>0</v>
      </c>
      <c r="M767" s="1" t="n">
        <v>0</v>
      </c>
      <c r="N767" s="1" t="s">
        <v>468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0" t="n">
        <f aca="false">I767+0</f>
        <v>45.5</v>
      </c>
      <c r="AB767" s="0" t="n">
        <f aca="false">IF(Z767&gt;360,Z767-360,Z767+0)</f>
        <v>45.5</v>
      </c>
      <c r="AC767" s="1"/>
      <c r="AD767" s="1"/>
      <c r="AE767" s="1"/>
      <c r="AF767" s="1"/>
    </row>
    <row r="768" customFormat="false" ht="15.8" hidden="false" customHeight="false" outlineLevel="0" collapsed="false">
      <c r="A768" s="1" t="n">
        <v>20</v>
      </c>
      <c r="B768" s="1" t="n">
        <v>8</v>
      </c>
      <c r="C768" s="1" t="n">
        <v>2.8</v>
      </c>
      <c r="D768" s="1" t="n">
        <v>1.4828</v>
      </c>
      <c r="E768" s="1" t="n">
        <v>0.0958849</v>
      </c>
      <c r="F768" s="1" t="n">
        <v>0.000260815</v>
      </c>
      <c r="G768" s="1" t="s">
        <v>52</v>
      </c>
      <c r="H768" s="1" t="n">
        <v>61.2</v>
      </c>
      <c r="I768" s="1" t="n">
        <v>159.6</v>
      </c>
      <c r="J768" s="1" t="n">
        <v>-35.9</v>
      </c>
      <c r="K768" s="1" t="n">
        <v>94.3</v>
      </c>
      <c r="L768" s="1" t="n">
        <v>0</v>
      </c>
      <c r="M768" s="1" t="n">
        <v>0</v>
      </c>
      <c r="N768" s="1" t="s">
        <v>467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0" t="n">
        <f aca="false">I768+0</f>
        <v>159.6</v>
      </c>
      <c r="AB768" s="0" t="n">
        <f aca="false">IF(Z768&gt;360,Z768-360,Z768+0)</f>
        <v>159.6</v>
      </c>
      <c r="AC768" s="1"/>
      <c r="AD768" s="1"/>
      <c r="AE768" s="1"/>
      <c r="AF768" s="1"/>
    </row>
    <row r="769" customFormat="false" ht="15.8" hidden="false" customHeight="false" outlineLevel="0" collapsed="false">
      <c r="A769" s="1" t="n">
        <v>20</v>
      </c>
      <c r="B769" s="1" t="n">
        <v>7</v>
      </c>
      <c r="C769" s="1" t="n">
        <v>1.1</v>
      </c>
      <c r="D769" s="1" t="n">
        <v>1.1067</v>
      </c>
      <c r="E769" s="1" t="n">
        <v>0.0387762</v>
      </c>
      <c r="F769" s="1" t="n">
        <v>0.000105475</v>
      </c>
      <c r="G769" s="1" t="s">
        <v>52</v>
      </c>
      <c r="H769" s="1" t="n">
        <v>66.9</v>
      </c>
      <c r="I769" s="1" t="n">
        <v>228.7</v>
      </c>
      <c r="J769" s="1" t="n">
        <v>-21.2</v>
      </c>
      <c r="K769" s="1" t="n">
        <v>80.5</v>
      </c>
      <c r="L769" s="1" t="n">
        <v>0</v>
      </c>
      <c r="M769" s="1" t="n">
        <v>0</v>
      </c>
      <c r="N769" s="1" t="s">
        <v>469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0" t="n">
        <f aca="false">I769+0</f>
        <v>228.7</v>
      </c>
      <c r="AB769" s="0" t="n">
        <f aca="false">IF(Z769&gt;360,Z769-360,Z769+0)</f>
        <v>228.7</v>
      </c>
      <c r="AC769" s="1"/>
      <c r="AD769" s="1"/>
      <c r="AE769" s="1"/>
      <c r="AF769" s="1"/>
    </row>
    <row r="770" customFormat="false" ht="15.8" hidden="false" customHeight="false" outlineLevel="0" collapsed="false">
      <c r="A770" s="1" t="n">
        <v>20</v>
      </c>
      <c r="B770" s="1" t="n">
        <v>9</v>
      </c>
      <c r="C770" s="1" t="n">
        <v>0.9</v>
      </c>
      <c r="D770" s="1" t="n">
        <v>1.3485</v>
      </c>
      <c r="E770" s="1" t="n">
        <v>0.0309702</v>
      </c>
      <c r="F770" s="1" t="n">
        <v>8.42415E-005</v>
      </c>
      <c r="G770" s="1" t="s">
        <v>27</v>
      </c>
      <c r="H770" s="1" t="n">
        <v>68.7</v>
      </c>
      <c r="I770" s="1" t="n">
        <v>108.1</v>
      </c>
      <c r="J770" s="1" t="n">
        <v>33.4</v>
      </c>
      <c r="K770" s="1"/>
      <c r="L770" s="1" t="n">
        <v>0</v>
      </c>
      <c r="M770" s="1" t="n">
        <v>0</v>
      </c>
      <c r="N770" s="1" t="s">
        <v>470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0" t="n">
        <f aca="false">I770+0</f>
        <v>108.1</v>
      </c>
      <c r="AB770" s="0" t="n">
        <f aca="false">IF(Z770&gt;360,Z770-360,Z770+0)</f>
        <v>108.1</v>
      </c>
      <c r="AC770" s="1"/>
      <c r="AD770" s="1"/>
      <c r="AE770" s="1"/>
      <c r="AF770" s="1"/>
    </row>
    <row r="771" customFormat="false" ht="15.8" hidden="false" customHeight="false" outlineLevel="0" collapsed="false">
      <c r="A771" s="1" t="n">
        <v>20</v>
      </c>
      <c r="B771" s="1" t="n">
        <v>10</v>
      </c>
      <c r="C771" s="1" t="n">
        <v>1.5</v>
      </c>
      <c r="D771" s="1" t="n">
        <v>1.2445</v>
      </c>
      <c r="E771" s="1" t="n">
        <v>0.0522299</v>
      </c>
      <c r="F771" s="1" t="n">
        <v>0.00014207</v>
      </c>
      <c r="G771" s="1" t="s">
        <v>27</v>
      </c>
      <c r="H771" s="1" t="n">
        <v>75.3</v>
      </c>
      <c r="I771" s="1" t="n">
        <v>300</v>
      </c>
      <c r="J771" s="1" t="n">
        <v>37.1</v>
      </c>
      <c r="K771" s="1"/>
      <c r="L771" s="1" t="n">
        <v>0</v>
      </c>
      <c r="M771" s="1" t="n">
        <v>0</v>
      </c>
      <c r="N771" s="1" t="s">
        <v>471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0" t="n">
        <f aca="false">I771+0</f>
        <v>300</v>
      </c>
      <c r="AB771" s="0" t="n">
        <f aca="false">IF(Z771&gt;360,Z771-360,Z771+0)</f>
        <v>300</v>
      </c>
      <c r="AC771" s="1"/>
      <c r="AD771" s="1"/>
      <c r="AE771" s="1"/>
      <c r="AF771" s="1"/>
    </row>
    <row r="772" customFormat="false" ht="15.8" hidden="false" customHeight="false" outlineLevel="0" collapsed="false">
      <c r="A772" s="1" t="n">
        <v>20</v>
      </c>
      <c r="B772" s="1" t="n">
        <v>11</v>
      </c>
      <c r="C772" s="1" t="n">
        <v>0.6</v>
      </c>
      <c r="D772" s="1" t="n">
        <v>1.0003</v>
      </c>
      <c r="E772" s="1" t="n">
        <v>0.0203204</v>
      </c>
      <c r="F772" s="1" t="n">
        <v>5.52732E-005</v>
      </c>
      <c r="G772" s="1" t="s">
        <v>27</v>
      </c>
      <c r="H772" s="1" t="n">
        <v>123.4</v>
      </c>
      <c r="I772" s="1" t="n">
        <v>293.7</v>
      </c>
      <c r="J772" s="1" t="n">
        <v>0</v>
      </c>
      <c r="K772" s="1"/>
      <c r="L772" s="1" t="n">
        <v>0</v>
      </c>
      <c r="M772" s="1" t="n">
        <v>0</v>
      </c>
      <c r="N772" s="1" t="s">
        <v>472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0" t="n">
        <f aca="false">I772+0</f>
        <v>293.7</v>
      </c>
      <c r="AB772" s="0" t="n">
        <f aca="false">IF(Z772&gt;360,Z772-360,Z772+0)</f>
        <v>293.7</v>
      </c>
      <c r="AC772" s="1"/>
      <c r="AD772" s="1"/>
      <c r="AE772" s="1"/>
      <c r="AF772" s="1"/>
    </row>
    <row r="773" customFormat="false" ht="15.8" hidden="false" customHeight="false" outlineLevel="0" collapsed="false">
      <c r="A773" s="1" t="n">
        <v>20</v>
      </c>
      <c r="B773" s="1" t="n">
        <v>12</v>
      </c>
      <c r="C773" s="1" t="n">
        <v>2.1</v>
      </c>
      <c r="D773" s="1" t="n">
        <v>1.1121</v>
      </c>
      <c r="E773" s="1" t="n">
        <v>0.0719309</v>
      </c>
      <c r="F773" s="1" t="n">
        <v>0.000195658</v>
      </c>
      <c r="G773" s="1" t="s">
        <v>27</v>
      </c>
      <c r="H773" s="1" t="n">
        <v>125.3</v>
      </c>
      <c r="I773" s="1" t="n">
        <v>352.3</v>
      </c>
      <c r="J773" s="1" t="n">
        <v>11.3</v>
      </c>
      <c r="K773" s="1"/>
      <c r="L773" s="1" t="n">
        <v>0</v>
      </c>
      <c r="M773" s="1" t="n">
        <v>0</v>
      </c>
      <c r="N773" s="1" t="s">
        <v>473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0" t="n">
        <f aca="false">I773+0</f>
        <v>352.3</v>
      </c>
      <c r="AB773" s="0" t="n">
        <f aca="false">IF(Z773&gt;360,Z773-360,Z773+0)</f>
        <v>352.3</v>
      </c>
      <c r="AC773" s="1"/>
      <c r="AD773" s="1"/>
      <c r="AE773" s="1"/>
      <c r="AF773" s="1"/>
    </row>
    <row r="774" customFormat="false" ht="15.8" hidden="false" customHeight="false" outlineLevel="0" collapsed="false">
      <c r="A774" s="1" t="n">
        <v>20</v>
      </c>
      <c r="B774" s="1" t="n">
        <v>14</v>
      </c>
      <c r="C774" s="1" t="n">
        <v>1.2</v>
      </c>
      <c r="D774" s="1" t="n">
        <v>1.0219</v>
      </c>
      <c r="E774" s="1" t="n">
        <v>0.0406002</v>
      </c>
      <c r="F774" s="1" t="n">
        <v>0.000110436</v>
      </c>
      <c r="G774" s="1" t="s">
        <v>27</v>
      </c>
      <c r="H774" s="1" t="n">
        <v>69.2</v>
      </c>
      <c r="I774" s="1" t="n">
        <v>141.8</v>
      </c>
      <c r="J774" s="1" t="n">
        <v>0</v>
      </c>
      <c r="K774" s="1"/>
      <c r="L774" s="1" t="n">
        <v>0</v>
      </c>
      <c r="M774" s="1" t="n">
        <v>0</v>
      </c>
      <c r="N774" s="1" t="s">
        <v>474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0" t="n">
        <f aca="false">I774+0</f>
        <v>141.8</v>
      </c>
      <c r="AB774" s="0" t="n">
        <f aca="false">IF(Z774&gt;360,Z774-360,Z774+0)</f>
        <v>141.8</v>
      </c>
      <c r="AC774" s="1"/>
      <c r="AD774" s="1"/>
      <c r="AE774" s="1"/>
      <c r="AF774" s="1"/>
    </row>
    <row r="775" customFormat="false" ht="15.8" hidden="false" customHeight="false" outlineLevel="0" collapsed="false">
      <c r="A775" s="1" t="n">
        <v>20</v>
      </c>
      <c r="B775" s="1" t="n">
        <v>14</v>
      </c>
      <c r="C775" s="1" t="n">
        <v>0.6</v>
      </c>
      <c r="D775" s="1" t="n">
        <v>1</v>
      </c>
      <c r="E775" s="1" t="n">
        <v>0.0190993</v>
      </c>
      <c r="F775" s="1" t="n">
        <v>5.19517E-005</v>
      </c>
      <c r="G775" s="1" t="s">
        <v>27</v>
      </c>
      <c r="H775" s="1" t="n">
        <v>38.8</v>
      </c>
      <c r="I775" s="1" t="n">
        <v>245.4</v>
      </c>
      <c r="J775" s="1" t="n">
        <v>41.5</v>
      </c>
      <c r="K775" s="1"/>
      <c r="L775" s="1" t="n">
        <v>0</v>
      </c>
      <c r="M775" s="1" t="n">
        <v>0</v>
      </c>
      <c r="N775" s="1" t="s">
        <v>474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0" t="n">
        <f aca="false">I775+0</f>
        <v>245.4</v>
      </c>
      <c r="AB775" s="0" t="n">
        <f aca="false">IF(Z775&gt;360,Z775-360,Z775+0)</f>
        <v>245.4</v>
      </c>
      <c r="AC775" s="1"/>
      <c r="AD775" s="1"/>
      <c r="AE775" s="1"/>
      <c r="AF775" s="1"/>
    </row>
    <row r="776" customFormat="false" ht="15.8" hidden="false" customHeight="false" outlineLevel="0" collapsed="false">
      <c r="A776" s="1" t="n">
        <v>20</v>
      </c>
      <c r="B776" s="1" t="n">
        <v>13</v>
      </c>
      <c r="C776" s="1" t="n">
        <v>1.5</v>
      </c>
      <c r="D776" s="1" t="n">
        <v>1.205</v>
      </c>
      <c r="E776" s="1" t="n">
        <v>0.0515038</v>
      </c>
      <c r="F776" s="1" t="n">
        <v>0.000140095</v>
      </c>
      <c r="G776" s="1" t="s">
        <v>52</v>
      </c>
      <c r="H776" s="1" t="n">
        <v>88.2</v>
      </c>
      <c r="I776" s="1" t="n">
        <v>210.1</v>
      </c>
      <c r="J776" s="1" t="n">
        <v>17.2</v>
      </c>
      <c r="K776" s="1" t="n">
        <v>69.2</v>
      </c>
      <c r="L776" s="1" t="n">
        <v>0</v>
      </c>
      <c r="M776" s="1" t="n">
        <v>0</v>
      </c>
      <c r="N776" s="1" t="s">
        <v>475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0" t="n">
        <f aca="false">I776+0</f>
        <v>210.1</v>
      </c>
      <c r="AB776" s="0" t="n">
        <f aca="false">IF(Z776&gt;360,Z776-360,Z776+0)</f>
        <v>210.1</v>
      </c>
      <c r="AC776" s="1"/>
      <c r="AD776" s="1"/>
      <c r="AE776" s="1"/>
      <c r="AF776" s="1"/>
    </row>
    <row r="777" customFormat="false" ht="15.8" hidden="false" customHeight="false" outlineLevel="0" collapsed="false">
      <c r="A777" s="1" t="n">
        <v>20</v>
      </c>
      <c r="B777" s="1" t="n">
        <v>14</v>
      </c>
      <c r="C777" s="1" t="n">
        <v>1.4</v>
      </c>
      <c r="D777" s="1" t="n">
        <v>1.1216</v>
      </c>
      <c r="E777" s="1" t="n">
        <v>0.0479931</v>
      </c>
      <c r="F777" s="1" t="n">
        <v>0.000130545</v>
      </c>
      <c r="G777" s="1" t="s">
        <v>27</v>
      </c>
      <c r="H777" s="1" t="n">
        <v>61.9</v>
      </c>
      <c r="I777" s="1" t="n">
        <v>37.1</v>
      </c>
      <c r="J777" s="1" t="n">
        <v>-36.2</v>
      </c>
      <c r="K777" s="1"/>
      <c r="L777" s="1" t="n">
        <v>0</v>
      </c>
      <c r="M777" s="1" t="n">
        <v>0</v>
      </c>
      <c r="N777" s="1" t="s">
        <v>476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0" t="n">
        <f aca="false">I777+0</f>
        <v>37.1</v>
      </c>
      <c r="AB777" s="0" t="n">
        <f aca="false">IF(Z777&gt;360,Z777-360,Z777+0)</f>
        <v>37.1</v>
      </c>
      <c r="AC777" s="1"/>
      <c r="AD777" s="1"/>
      <c r="AE777" s="1"/>
      <c r="AF777" s="1"/>
    </row>
    <row r="778" customFormat="false" ht="15.8" hidden="false" customHeight="false" outlineLevel="0" collapsed="false">
      <c r="A778" s="1" t="n">
        <v>20</v>
      </c>
      <c r="B778" s="1" t="n">
        <v>15</v>
      </c>
      <c r="C778" s="1" t="n">
        <v>0.5</v>
      </c>
      <c r="D778" s="1" t="n">
        <v>1</v>
      </c>
      <c r="E778" s="1" t="n">
        <v>0.0171501</v>
      </c>
      <c r="F778" s="1" t="n">
        <v>4.66499E-005</v>
      </c>
      <c r="G778" s="1" t="s">
        <v>27</v>
      </c>
      <c r="H778" s="1" t="n">
        <v>54.7</v>
      </c>
      <c r="I778" s="1" t="n">
        <v>95.5</v>
      </c>
      <c r="J778" s="1" t="n">
        <v>-47.5</v>
      </c>
      <c r="K778" s="1"/>
      <c r="L778" s="1" t="n">
        <v>0</v>
      </c>
      <c r="M778" s="1" t="n">
        <v>0</v>
      </c>
      <c r="N778" s="1" t="s">
        <v>477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0" t="n">
        <f aca="false">I778+0</f>
        <v>95.5</v>
      </c>
      <c r="AB778" s="0" t="n">
        <f aca="false">IF(Z778&gt;360,Z778-360,Z778+0)</f>
        <v>95.5</v>
      </c>
      <c r="AC778" s="1"/>
      <c r="AD778" s="1"/>
      <c r="AE778" s="1"/>
      <c r="AF778" s="1"/>
    </row>
    <row r="779" customFormat="false" ht="15.8" hidden="false" customHeight="false" outlineLevel="0" collapsed="false">
      <c r="A779" s="1" t="n">
        <v>20</v>
      </c>
      <c r="B779" s="1" t="n">
        <v>16</v>
      </c>
      <c r="C779" s="1" t="n">
        <v>1.3</v>
      </c>
      <c r="D779" s="1" t="n">
        <v>1.0125</v>
      </c>
      <c r="E779" s="1" t="n">
        <v>0.0449336</v>
      </c>
      <c r="F779" s="1" t="n">
        <v>0.000122223</v>
      </c>
      <c r="G779" s="1" t="s">
        <v>27</v>
      </c>
      <c r="H779" s="1" t="n">
        <v>98.8</v>
      </c>
      <c r="I779" s="1" t="n">
        <v>39.6</v>
      </c>
      <c r="J779" s="1" t="n">
        <v>0</v>
      </c>
      <c r="K779" s="1"/>
      <c r="L779" s="1" t="n">
        <v>0</v>
      </c>
      <c r="M779" s="1" t="n">
        <v>0</v>
      </c>
      <c r="N779" s="1" t="s">
        <v>478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0" t="n">
        <f aca="false">I779+0</f>
        <v>39.6</v>
      </c>
      <c r="AB779" s="0" t="n">
        <f aca="false">IF(Z779&gt;360,Z779-360,Z779+0)</f>
        <v>39.6</v>
      </c>
      <c r="AC779" s="1"/>
      <c r="AD779" s="1"/>
      <c r="AE779" s="1"/>
      <c r="AF779" s="1"/>
    </row>
    <row r="780" customFormat="false" ht="15.8" hidden="false" customHeight="false" outlineLevel="0" collapsed="false">
      <c r="A780" s="1" t="n">
        <v>20</v>
      </c>
      <c r="B780" s="1" t="n">
        <v>17</v>
      </c>
      <c r="C780" s="1" t="n">
        <v>0.5</v>
      </c>
      <c r="D780" s="1" t="n">
        <v>1.0029</v>
      </c>
      <c r="E780" s="1" t="n">
        <v>0.0180423</v>
      </c>
      <c r="F780" s="1" t="n">
        <v>4.90767E-005</v>
      </c>
      <c r="G780" s="1" t="s">
        <v>27</v>
      </c>
      <c r="H780" s="1" t="n">
        <v>34.8</v>
      </c>
      <c r="I780" s="1" t="n">
        <v>172.9</v>
      </c>
      <c r="J780" s="1" t="n">
        <v>0</v>
      </c>
      <c r="K780" s="1"/>
      <c r="L780" s="1" t="n">
        <v>0</v>
      </c>
      <c r="M780" s="1" t="n">
        <v>0</v>
      </c>
      <c r="N780" s="1" t="s">
        <v>479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0" t="n">
        <f aca="false">I780+0</f>
        <v>172.9</v>
      </c>
      <c r="AB780" s="0" t="n">
        <f aca="false">IF(Z780&gt;360,Z780-360,Z780+0)</f>
        <v>172.9</v>
      </c>
      <c r="AC780" s="1"/>
      <c r="AD780" s="1"/>
      <c r="AE780" s="1"/>
      <c r="AF780" s="1"/>
    </row>
    <row r="781" customFormat="false" ht="15.8" hidden="false" customHeight="false" outlineLevel="0" collapsed="false">
      <c r="A781" s="1" t="n">
        <v>20</v>
      </c>
      <c r="B781" s="1" t="n">
        <v>17</v>
      </c>
      <c r="C781" s="1" t="n">
        <v>1.4</v>
      </c>
      <c r="D781" s="1" t="n">
        <v>1.1578</v>
      </c>
      <c r="E781" s="1" t="n">
        <v>0.0470538</v>
      </c>
      <c r="F781" s="1" t="n">
        <v>0.00012799</v>
      </c>
      <c r="G781" s="1" t="s">
        <v>27</v>
      </c>
      <c r="H781" s="1" t="n">
        <v>78.5</v>
      </c>
      <c r="I781" s="1" t="n">
        <v>285.6</v>
      </c>
      <c r="J781" s="1" t="n">
        <v>-18.1</v>
      </c>
      <c r="K781" s="1"/>
      <c r="L781" s="1" t="n">
        <v>0</v>
      </c>
      <c r="M781" s="1" t="n">
        <v>0</v>
      </c>
      <c r="N781" s="1" t="s">
        <v>479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0" t="n">
        <f aca="false">I781+0</f>
        <v>285.6</v>
      </c>
      <c r="AB781" s="0" t="n">
        <f aca="false">IF(Z781&gt;360,Z781-360,Z781+0)</f>
        <v>285.6</v>
      </c>
      <c r="AC781" s="1"/>
      <c r="AD781" s="1"/>
      <c r="AE781" s="1"/>
      <c r="AF781" s="1"/>
    </row>
    <row r="782" customFormat="false" ht="15.8" hidden="false" customHeight="false" outlineLevel="0" collapsed="false">
      <c r="A782" s="1" t="n">
        <v>20</v>
      </c>
      <c r="B782" s="1" t="n">
        <v>16</v>
      </c>
      <c r="C782" s="1" t="n">
        <v>0.5</v>
      </c>
      <c r="D782" s="1" t="n">
        <v>1.0213</v>
      </c>
      <c r="E782" s="1" t="n">
        <v>0.0171593</v>
      </c>
      <c r="F782" s="1" t="n">
        <v>4.66748E-005</v>
      </c>
      <c r="G782" s="1" t="s">
        <v>52</v>
      </c>
      <c r="H782" s="1" t="n">
        <v>69.6</v>
      </c>
      <c r="I782" s="1" t="n">
        <v>207.7</v>
      </c>
      <c r="J782" s="1" t="n">
        <v>0</v>
      </c>
      <c r="K782" s="1" t="n">
        <v>78.5</v>
      </c>
      <c r="L782" s="1" t="n">
        <v>0</v>
      </c>
      <c r="M782" s="1" t="n">
        <v>0</v>
      </c>
      <c r="N782" s="1" t="s">
        <v>478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0" t="n">
        <f aca="false">I782+0</f>
        <v>207.7</v>
      </c>
      <c r="AB782" s="0" t="n">
        <f aca="false">IF(Z782&gt;360,Z782-360,Z782+0)</f>
        <v>207.7</v>
      </c>
      <c r="AC782" s="1"/>
      <c r="AD782" s="1"/>
      <c r="AE782" s="1"/>
      <c r="AF782" s="1"/>
    </row>
    <row r="783" customFormat="false" ht="15.8" hidden="false" customHeight="false" outlineLevel="0" collapsed="false">
      <c r="A783" s="1" t="n">
        <v>20</v>
      </c>
      <c r="B783" s="1" t="n">
        <v>15</v>
      </c>
      <c r="C783" s="1" t="n">
        <v>2.1</v>
      </c>
      <c r="D783" s="1" t="n">
        <v>1.1874</v>
      </c>
      <c r="E783" s="1" t="n">
        <v>0.0710682</v>
      </c>
      <c r="F783" s="1" t="n">
        <v>0.000193312</v>
      </c>
      <c r="G783" s="1" t="s">
        <v>52</v>
      </c>
      <c r="H783" s="1" t="n">
        <v>5.1</v>
      </c>
      <c r="I783" s="1" t="n">
        <v>138.6</v>
      </c>
      <c r="J783" s="1" t="n">
        <v>-12.2</v>
      </c>
      <c r="K783" s="1" t="n">
        <v>98.8</v>
      </c>
      <c r="L783" s="1" t="n">
        <v>0</v>
      </c>
      <c r="M783" s="1" t="n">
        <v>0</v>
      </c>
      <c r="N783" s="1" t="s">
        <v>477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0" t="n">
        <f aca="false">I783+0</f>
        <v>138.6</v>
      </c>
      <c r="AB783" s="0" t="n">
        <f aca="false">IF(Z783&gt;360,Z783-360,Z783+0)</f>
        <v>138.6</v>
      </c>
      <c r="AC783" s="1"/>
      <c r="AD783" s="1"/>
      <c r="AE783" s="1"/>
      <c r="AF783" s="1"/>
    </row>
    <row r="784" customFormat="false" ht="15.8" hidden="false" customHeight="false" outlineLevel="0" collapsed="false">
      <c r="A784" s="1" t="n">
        <v>20</v>
      </c>
      <c r="B784" s="1" t="n">
        <v>14</v>
      </c>
      <c r="C784" s="1" t="n">
        <v>3.5</v>
      </c>
      <c r="D784" s="1" t="n">
        <v>1.1499</v>
      </c>
      <c r="E784" s="1" t="n">
        <v>0.118208</v>
      </c>
      <c r="F784" s="1" t="n">
        <v>0.000321537</v>
      </c>
      <c r="G784" s="1" t="s">
        <v>52</v>
      </c>
      <c r="H784" s="1" t="n">
        <v>35.5</v>
      </c>
      <c r="I784" s="1" t="n">
        <v>139</v>
      </c>
      <c r="J784" s="1" t="n">
        <v>-7.1</v>
      </c>
      <c r="K784" s="1" t="n">
        <v>54.7</v>
      </c>
      <c r="L784" s="1" t="n">
        <v>0</v>
      </c>
      <c r="M784" s="1" t="n">
        <v>0</v>
      </c>
      <c r="N784" s="1" t="s">
        <v>476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0" t="n">
        <f aca="false">I784+0</f>
        <v>139</v>
      </c>
      <c r="AB784" s="0" t="n">
        <f aca="false">IF(Z784&gt;360,Z784-360,Z784+0)</f>
        <v>139</v>
      </c>
      <c r="AC784" s="1"/>
      <c r="AD784" s="1"/>
      <c r="AE784" s="1"/>
      <c r="AF784" s="1"/>
    </row>
    <row r="785" customFormat="false" ht="15.8" hidden="false" customHeight="false" outlineLevel="0" collapsed="false">
      <c r="A785" s="1" t="n">
        <v>20</v>
      </c>
      <c r="B785" s="1" t="n">
        <v>13</v>
      </c>
      <c r="C785" s="1" t="n">
        <v>1.6</v>
      </c>
      <c r="D785" s="1" t="n">
        <v>1.178</v>
      </c>
      <c r="E785" s="1" t="n">
        <v>0.0531348</v>
      </c>
      <c r="F785" s="1" t="n">
        <v>0.000144531</v>
      </c>
      <c r="G785" s="1" t="s">
        <v>52</v>
      </c>
      <c r="H785" s="1" t="n">
        <v>24.1</v>
      </c>
      <c r="I785" s="1" t="n">
        <v>103.9</v>
      </c>
      <c r="J785" s="1" t="n">
        <v>-16.3</v>
      </c>
      <c r="K785" s="1" t="n">
        <v>61.9</v>
      </c>
      <c r="L785" s="1" t="n">
        <v>0</v>
      </c>
      <c r="M785" s="1" t="n">
        <v>0</v>
      </c>
      <c r="N785" s="1" t="s">
        <v>475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0" t="n">
        <f aca="false">I785+0</f>
        <v>103.9</v>
      </c>
      <c r="AB785" s="0" t="n">
        <f aca="false">IF(Z785&gt;360,Z785-360,Z785+0)</f>
        <v>103.9</v>
      </c>
      <c r="AC785" s="1"/>
      <c r="AD785" s="1"/>
      <c r="AE785" s="1"/>
      <c r="AF785" s="1"/>
    </row>
    <row r="786" customFormat="false" ht="15.8" hidden="false" customHeight="false" outlineLevel="0" collapsed="false">
      <c r="A786" s="1" t="n">
        <v>20</v>
      </c>
      <c r="B786" s="1" t="n">
        <v>12</v>
      </c>
      <c r="C786" s="1" t="n">
        <v>0.8</v>
      </c>
      <c r="D786" s="1" t="n">
        <v>1.0094</v>
      </c>
      <c r="E786" s="1" t="n">
        <v>0.0269797</v>
      </c>
      <c r="F786" s="1" t="n">
        <v>7.33871E-005</v>
      </c>
      <c r="G786" s="1" t="s">
        <v>52</v>
      </c>
      <c r="H786" s="1" t="n">
        <v>35.1</v>
      </c>
      <c r="I786" s="1" t="n">
        <v>121.9</v>
      </c>
      <c r="J786" s="1" t="n">
        <v>0</v>
      </c>
      <c r="K786" s="1" t="n">
        <v>88.2</v>
      </c>
      <c r="L786" s="1" t="n">
        <v>0</v>
      </c>
      <c r="M786" s="1" t="n">
        <v>0</v>
      </c>
      <c r="N786" s="1" t="s">
        <v>473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0" t="n">
        <f aca="false">I786+0</f>
        <v>121.9</v>
      </c>
      <c r="AB786" s="0" t="n">
        <f aca="false">IF(Z786&gt;360,Z786-360,Z786+0)</f>
        <v>121.9</v>
      </c>
      <c r="AC786" s="1"/>
      <c r="AD786" s="1"/>
      <c r="AE786" s="1"/>
      <c r="AF786" s="1"/>
    </row>
    <row r="787" customFormat="false" ht="15.8" hidden="false" customHeight="false" outlineLevel="0" collapsed="false">
      <c r="A787" s="1" t="n">
        <v>20</v>
      </c>
      <c r="B787" s="1" t="n">
        <v>11</v>
      </c>
      <c r="C787" s="1" t="n">
        <v>0.8</v>
      </c>
      <c r="D787" s="1" t="n">
        <v>1.212</v>
      </c>
      <c r="E787" s="1" t="n">
        <v>0.0289506</v>
      </c>
      <c r="F787" s="1" t="n">
        <v>7.87482E-005</v>
      </c>
      <c r="G787" s="1" t="s">
        <v>52</v>
      </c>
      <c r="H787" s="1" t="n">
        <v>34.4</v>
      </c>
      <c r="I787" s="1" t="n">
        <v>137.2</v>
      </c>
      <c r="J787" s="1" t="n">
        <v>32</v>
      </c>
      <c r="K787" s="1" t="n">
        <v>125.3</v>
      </c>
      <c r="L787" s="1" t="n">
        <v>0</v>
      </c>
      <c r="M787" s="1" t="n">
        <v>0</v>
      </c>
      <c r="N787" s="1" t="s">
        <v>472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0" t="n">
        <f aca="false">I787+0</f>
        <v>137.2</v>
      </c>
      <c r="AB787" s="0" t="n">
        <f aca="false">IF(Z787&gt;360,Z787-360,Z787+0)</f>
        <v>137.2</v>
      </c>
      <c r="AC787" s="1"/>
      <c r="AD787" s="1"/>
      <c r="AE787" s="1"/>
      <c r="AF787" s="1"/>
    </row>
    <row r="788" customFormat="false" ht="15.8" hidden="false" customHeight="false" outlineLevel="0" collapsed="false">
      <c r="A788" s="1" t="n">
        <v>20</v>
      </c>
      <c r="B788" s="1" t="n">
        <v>10</v>
      </c>
      <c r="C788" s="1" t="n">
        <v>1.8</v>
      </c>
      <c r="D788" s="1" t="n">
        <v>1.154</v>
      </c>
      <c r="E788" s="1" t="n">
        <v>0.0611897</v>
      </c>
      <c r="F788" s="1" t="n">
        <v>0.000166441</v>
      </c>
      <c r="G788" s="1" t="s">
        <v>52</v>
      </c>
      <c r="H788" s="1" t="n">
        <v>39.5</v>
      </c>
      <c r="I788" s="1" t="n">
        <v>169.2</v>
      </c>
      <c r="J788" s="1" t="n">
        <v>13.8</v>
      </c>
      <c r="K788" s="1" t="n">
        <v>123.4</v>
      </c>
      <c r="L788" s="1" t="n">
        <v>0</v>
      </c>
      <c r="M788" s="1" t="n">
        <v>0</v>
      </c>
      <c r="N788" s="1" t="s">
        <v>471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0" t="n">
        <f aca="false">I788+0</f>
        <v>169.2</v>
      </c>
      <c r="AB788" s="0" t="n">
        <f aca="false">IF(Z788&gt;360,Z788-360,Z788+0)</f>
        <v>169.2</v>
      </c>
      <c r="AC788" s="1"/>
      <c r="AD788" s="1"/>
      <c r="AE788" s="1"/>
      <c r="AF788" s="1"/>
    </row>
    <row r="789" customFormat="false" ht="15.8" hidden="false" customHeight="false" outlineLevel="0" collapsed="false">
      <c r="A789" s="1" t="n">
        <v>20</v>
      </c>
      <c r="B789" s="1" t="n">
        <v>9</v>
      </c>
      <c r="C789" s="1" t="n">
        <v>2.2</v>
      </c>
      <c r="D789" s="1" t="n">
        <v>1.2689</v>
      </c>
      <c r="E789" s="1" t="n">
        <v>0.07447</v>
      </c>
      <c r="F789" s="1" t="n">
        <v>0.000202565</v>
      </c>
      <c r="G789" s="1" t="s">
        <v>52</v>
      </c>
      <c r="H789" s="1" t="n">
        <v>53.2</v>
      </c>
      <c r="I789" s="1" t="n">
        <v>209.4</v>
      </c>
      <c r="J789" s="1" t="n">
        <v>25.5</v>
      </c>
      <c r="K789" s="1" t="n">
        <v>75.3</v>
      </c>
      <c r="L789" s="1" t="n">
        <v>0</v>
      </c>
      <c r="M789" s="1" t="n">
        <v>0</v>
      </c>
      <c r="N789" s="1" t="s">
        <v>470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0" t="n">
        <f aca="false">I789+0</f>
        <v>209.4</v>
      </c>
      <c r="AB789" s="0" t="n">
        <f aca="false">IF(Z789&gt;360,Z789-360,Z789+0)</f>
        <v>209.4</v>
      </c>
      <c r="AC789" s="1"/>
      <c r="AD789" s="1"/>
      <c r="AE789" s="1"/>
      <c r="AF789" s="1"/>
    </row>
    <row r="790" customFormat="false" ht="15.8" hidden="false" customHeight="false" outlineLevel="0" collapsed="false">
      <c r="A790" s="1" t="n">
        <v>20</v>
      </c>
      <c r="B790" s="1" t="n">
        <v>8</v>
      </c>
      <c r="C790" s="1" t="n">
        <v>3.3</v>
      </c>
      <c r="D790" s="1" t="n">
        <v>1.1672</v>
      </c>
      <c r="E790" s="1" t="n">
        <v>0.114352</v>
      </c>
      <c r="F790" s="1" t="n">
        <v>0.000311048</v>
      </c>
      <c r="G790" s="1" t="s">
        <v>52</v>
      </c>
      <c r="H790" s="1" t="n">
        <v>16</v>
      </c>
      <c r="I790" s="1" t="n">
        <v>166.5</v>
      </c>
      <c r="J790" s="1" t="n">
        <v>-7.4</v>
      </c>
      <c r="K790" s="1" t="n">
        <v>68.7</v>
      </c>
      <c r="L790" s="1" t="n">
        <v>0</v>
      </c>
      <c r="M790" s="1" t="n">
        <v>0</v>
      </c>
      <c r="N790" s="1" t="s">
        <v>480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0" t="n">
        <f aca="false">I790+0</f>
        <v>166.5</v>
      </c>
      <c r="AB790" s="0" t="n">
        <f aca="false">IF(Z790&gt;360,Z790-360,Z790+0)</f>
        <v>166.5</v>
      </c>
      <c r="AC790" s="1"/>
      <c r="AD790" s="1"/>
      <c r="AE790" s="1"/>
      <c r="AF790" s="1"/>
    </row>
    <row r="791" customFormat="false" ht="15.8" hidden="false" customHeight="false" outlineLevel="0" collapsed="false">
      <c r="A791" s="1" t="n">
        <v>20</v>
      </c>
      <c r="B791" s="1" t="n">
        <v>9</v>
      </c>
      <c r="C791" s="1" t="n">
        <v>5.2</v>
      </c>
      <c r="D791" s="1" t="n">
        <v>1.8429</v>
      </c>
      <c r="E791" s="1" t="n">
        <v>0.178714</v>
      </c>
      <c r="F791" s="1" t="n">
        <v>0.000486118</v>
      </c>
      <c r="G791" s="1" t="s">
        <v>27</v>
      </c>
      <c r="H791" s="1" t="n">
        <v>108.7</v>
      </c>
      <c r="I791" s="1" t="n">
        <v>97.4</v>
      </c>
      <c r="J791" s="1" t="n">
        <v>-51.5</v>
      </c>
      <c r="K791" s="1"/>
      <c r="L791" s="1" t="n">
        <v>0</v>
      </c>
      <c r="M791" s="1" t="n">
        <v>0</v>
      </c>
      <c r="N791" s="1" t="s">
        <v>481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0" t="n">
        <f aca="false">I791+0</f>
        <v>97.4</v>
      </c>
      <c r="AB791" s="0" t="n">
        <f aca="false">IF(Z791&gt;360,Z791-360,Z791+0)</f>
        <v>97.4</v>
      </c>
      <c r="AC791" s="1"/>
      <c r="AD791" s="1"/>
      <c r="AE791" s="1"/>
      <c r="AF791" s="1"/>
    </row>
    <row r="792" customFormat="false" ht="15.8" hidden="false" customHeight="false" outlineLevel="0" collapsed="false">
      <c r="A792" s="1" t="n">
        <v>20</v>
      </c>
      <c r="B792" s="1" t="n">
        <v>9</v>
      </c>
      <c r="C792" s="1" t="n">
        <v>2.6</v>
      </c>
      <c r="D792" s="1" t="n">
        <v>1.1314</v>
      </c>
      <c r="E792" s="1" t="n">
        <v>0.0884875</v>
      </c>
      <c r="F792" s="1" t="n">
        <v>0.000240694</v>
      </c>
      <c r="G792" s="1" t="s">
        <v>27</v>
      </c>
      <c r="H792" s="1" t="n">
        <v>77.5</v>
      </c>
      <c r="I792" s="1" t="n">
        <v>295.7</v>
      </c>
      <c r="J792" s="1" t="n">
        <v>9.3</v>
      </c>
      <c r="K792" s="1"/>
      <c r="L792" s="1" t="n">
        <v>0</v>
      </c>
      <c r="M792" s="1" t="n">
        <v>0</v>
      </c>
      <c r="N792" s="1" t="s">
        <v>481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0" t="n">
        <f aca="false">I792+0</f>
        <v>295.7</v>
      </c>
      <c r="AB792" s="0" t="n">
        <f aca="false">IF(Z792&gt;360,Z792-360,Z792+0)</f>
        <v>295.7</v>
      </c>
      <c r="AC792" s="1"/>
      <c r="AD792" s="1"/>
      <c r="AE792" s="1"/>
      <c r="AF792" s="1"/>
    </row>
    <row r="793" customFormat="false" ht="15.8" hidden="false" customHeight="false" outlineLevel="0" collapsed="false">
      <c r="A793" s="1" t="n">
        <v>20</v>
      </c>
      <c r="B793" s="1" t="n">
        <v>10</v>
      </c>
      <c r="C793" s="1" t="n">
        <v>0.6</v>
      </c>
      <c r="D793" s="1" t="n">
        <v>1.0025</v>
      </c>
      <c r="E793" s="1" t="n">
        <v>0.0213649</v>
      </c>
      <c r="F793" s="1" t="n">
        <v>5.81144E-005</v>
      </c>
      <c r="G793" s="1" t="s">
        <v>27</v>
      </c>
      <c r="H793" s="1" t="n">
        <v>71.8</v>
      </c>
      <c r="I793" s="1" t="n">
        <v>209.2</v>
      </c>
      <c r="J793" s="1" t="n">
        <v>0</v>
      </c>
      <c r="K793" s="1"/>
      <c r="L793" s="1" t="n">
        <v>0</v>
      </c>
      <c r="M793" s="1" t="n">
        <v>0</v>
      </c>
      <c r="N793" s="1" t="s">
        <v>482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0" t="n">
        <f aca="false">I793+0</f>
        <v>209.2</v>
      </c>
      <c r="AB793" s="0" t="n">
        <f aca="false">IF(Z793&gt;360,Z793-360,Z793+0)</f>
        <v>209.2</v>
      </c>
      <c r="AC793" s="1"/>
      <c r="AD793" s="1"/>
      <c r="AE793" s="1"/>
      <c r="AF793" s="1"/>
    </row>
    <row r="794" customFormat="false" ht="15.8" hidden="false" customHeight="false" outlineLevel="0" collapsed="false">
      <c r="A794" s="1" t="n">
        <v>20</v>
      </c>
      <c r="B794" s="1" t="n">
        <v>12</v>
      </c>
      <c r="C794" s="1" t="n">
        <v>0.8</v>
      </c>
      <c r="D794" s="1" t="n">
        <v>1.1619</v>
      </c>
      <c r="E794" s="1" t="n">
        <v>0.0283402</v>
      </c>
      <c r="F794" s="1" t="n">
        <v>7.70878E-005</v>
      </c>
      <c r="G794" s="1" t="s">
        <v>27</v>
      </c>
      <c r="H794" s="1" t="n">
        <v>42.5</v>
      </c>
      <c r="I794" s="1" t="n">
        <v>121.1</v>
      </c>
      <c r="J794" s="1" t="n">
        <v>-31.2</v>
      </c>
      <c r="K794" s="1"/>
      <c r="L794" s="1" t="n">
        <v>0</v>
      </c>
      <c r="M794" s="1" t="n">
        <v>0</v>
      </c>
      <c r="N794" s="1" t="s">
        <v>483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0" t="n">
        <f aca="false">I794+0</f>
        <v>121.1</v>
      </c>
      <c r="AB794" s="0" t="n">
        <f aca="false">IF(Z794&gt;360,Z794-360,Z794+0)</f>
        <v>121.1</v>
      </c>
      <c r="AC794" s="1"/>
      <c r="AD794" s="1"/>
      <c r="AE794" s="1"/>
      <c r="AF794" s="1"/>
    </row>
    <row r="795" customFormat="false" ht="15.8" hidden="false" customHeight="false" outlineLevel="0" collapsed="false">
      <c r="A795" s="1" t="n">
        <v>20</v>
      </c>
      <c r="B795" s="1" t="n">
        <v>12</v>
      </c>
      <c r="C795" s="1" t="n">
        <v>2.9</v>
      </c>
      <c r="D795" s="1" t="n">
        <v>1.1375</v>
      </c>
      <c r="E795" s="1" t="n">
        <v>0.0997197</v>
      </c>
      <c r="F795" s="1" t="n">
        <v>0.000271246</v>
      </c>
      <c r="G795" s="1" t="s">
        <v>27</v>
      </c>
      <c r="H795" s="1" t="n">
        <v>32.1</v>
      </c>
      <c r="I795" s="1" t="n">
        <v>182.7</v>
      </c>
      <c r="J795" s="1" t="n">
        <v>-8.3</v>
      </c>
      <c r="K795" s="1"/>
      <c r="L795" s="1" t="n">
        <v>0</v>
      </c>
      <c r="M795" s="1" t="n">
        <v>0</v>
      </c>
      <c r="N795" s="1" t="s">
        <v>483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0" t="n">
        <f aca="false">I795+0</f>
        <v>182.7</v>
      </c>
      <c r="AB795" s="0" t="n">
        <f aca="false">IF(Z795&gt;360,Z795-360,Z795+0)</f>
        <v>182.7</v>
      </c>
      <c r="AC795" s="1"/>
      <c r="AD795" s="1"/>
      <c r="AE795" s="1"/>
      <c r="AF795" s="1"/>
    </row>
    <row r="796" customFormat="false" ht="15.8" hidden="false" customHeight="false" outlineLevel="0" collapsed="false">
      <c r="A796" s="1" t="n">
        <v>20</v>
      </c>
      <c r="B796" s="1" t="n">
        <v>11</v>
      </c>
      <c r="C796" s="1" t="n">
        <v>0.6</v>
      </c>
      <c r="D796" s="1" t="n">
        <v>1.0044</v>
      </c>
      <c r="E796" s="1" t="n">
        <v>0.0203902</v>
      </c>
      <c r="F796" s="1" t="n">
        <v>5.54631E-005</v>
      </c>
      <c r="G796" s="1" t="s">
        <v>52</v>
      </c>
      <c r="H796" s="1" t="n">
        <v>67.8</v>
      </c>
      <c r="I796" s="1" t="n">
        <v>151.6</v>
      </c>
      <c r="J796" s="1" t="n">
        <v>0</v>
      </c>
      <c r="K796" s="1" t="n">
        <v>42.5</v>
      </c>
      <c r="L796" s="1" t="n">
        <v>0</v>
      </c>
      <c r="M796" s="1" t="n">
        <v>0</v>
      </c>
      <c r="N796" s="1" t="s">
        <v>484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0" t="n">
        <f aca="false">I796+0</f>
        <v>151.6</v>
      </c>
      <c r="AB796" s="0" t="n">
        <f aca="false">IF(Z796&gt;360,Z796-360,Z796+0)</f>
        <v>151.6</v>
      </c>
      <c r="AC796" s="1"/>
      <c r="AD796" s="1"/>
      <c r="AE796" s="1"/>
      <c r="AF796" s="1"/>
    </row>
    <row r="797" customFormat="false" ht="15.8" hidden="false" customHeight="false" outlineLevel="0" collapsed="false">
      <c r="A797" s="1" t="n">
        <v>20</v>
      </c>
      <c r="B797" s="1" t="n">
        <v>11</v>
      </c>
      <c r="C797" s="1" t="n">
        <v>5.5</v>
      </c>
      <c r="D797" s="1" t="n">
        <v>1.351</v>
      </c>
      <c r="E797" s="1" t="n">
        <v>0.186358</v>
      </c>
      <c r="F797" s="1" t="n">
        <v>0.000506909</v>
      </c>
      <c r="G797" s="1" t="s">
        <v>27</v>
      </c>
      <c r="H797" s="1" t="n">
        <v>42.3</v>
      </c>
      <c r="I797" s="1" t="n">
        <v>92.5</v>
      </c>
      <c r="J797" s="1" t="n">
        <v>-5.3</v>
      </c>
      <c r="K797" s="1"/>
      <c r="L797" s="1" t="n">
        <v>0</v>
      </c>
      <c r="M797" s="1" t="n">
        <v>0</v>
      </c>
      <c r="N797" s="1" t="s">
        <v>484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0" t="n">
        <f aca="false">I797+0</f>
        <v>92.5</v>
      </c>
      <c r="AB797" s="0" t="n">
        <f aca="false">IF(Z797&gt;360,Z797-360,Z797+0)</f>
        <v>92.5</v>
      </c>
      <c r="AC797" s="1"/>
      <c r="AD797" s="1"/>
      <c r="AE797" s="1"/>
      <c r="AF797" s="1"/>
    </row>
    <row r="798" customFormat="false" ht="15.8" hidden="false" customHeight="false" outlineLevel="0" collapsed="false">
      <c r="A798" s="1" t="n">
        <v>20</v>
      </c>
      <c r="B798" s="1" t="n">
        <v>10</v>
      </c>
      <c r="C798" s="1" t="n">
        <v>0.6</v>
      </c>
      <c r="D798" s="1" t="n">
        <v>1.2114</v>
      </c>
      <c r="E798" s="1" t="n">
        <v>0.0207748</v>
      </c>
      <c r="F798" s="1" t="n">
        <v>5.65092E-005</v>
      </c>
      <c r="G798" s="1" t="s">
        <v>52</v>
      </c>
      <c r="H798" s="1" t="n">
        <v>59.8</v>
      </c>
      <c r="I798" s="1" t="n">
        <v>95.5</v>
      </c>
      <c r="J798" s="1" t="n">
        <v>-47.5</v>
      </c>
      <c r="K798" s="1" t="n">
        <v>67.8</v>
      </c>
      <c r="L798" s="1" t="n">
        <v>0</v>
      </c>
      <c r="M798" s="1" t="n">
        <v>0</v>
      </c>
      <c r="N798" s="1" t="s">
        <v>482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0" t="n">
        <f aca="false">I798+0</f>
        <v>95.5</v>
      </c>
      <c r="AB798" s="0" t="n">
        <f aca="false">IF(Z798&gt;360,Z798-360,Z798+0)</f>
        <v>95.5</v>
      </c>
      <c r="AC798" s="1"/>
      <c r="AD798" s="1"/>
      <c r="AE798" s="1"/>
      <c r="AF798" s="1"/>
    </row>
    <row r="799" customFormat="false" ht="15.8" hidden="false" customHeight="false" outlineLevel="0" collapsed="false">
      <c r="A799" s="1" t="n">
        <v>20</v>
      </c>
      <c r="B799" s="1" t="n">
        <v>9</v>
      </c>
      <c r="C799" s="1" t="n">
        <v>6.6</v>
      </c>
      <c r="D799" s="1" t="n">
        <v>1.1385</v>
      </c>
      <c r="E799" s="1" t="n">
        <v>0.225349</v>
      </c>
      <c r="F799" s="1" t="n">
        <v>0.000612969</v>
      </c>
      <c r="G799" s="1" t="s">
        <v>52</v>
      </c>
      <c r="H799" s="1" t="n">
        <v>80.9</v>
      </c>
      <c r="I799" s="1" t="n">
        <v>137.4</v>
      </c>
      <c r="J799" s="1" t="n">
        <v>0</v>
      </c>
      <c r="K799" s="1" t="n">
        <v>71.8</v>
      </c>
      <c r="L799" s="1" t="n">
        <v>0</v>
      </c>
      <c r="M799" s="1" t="n">
        <v>0</v>
      </c>
      <c r="N799" s="1" t="s">
        <v>481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0" t="n">
        <f aca="false">I799+0</f>
        <v>137.4</v>
      </c>
      <c r="AB799" s="0" t="n">
        <f aca="false">IF(Z799&gt;360,Z799-360,Z799+0)</f>
        <v>137.4</v>
      </c>
      <c r="AC799" s="1"/>
      <c r="AD799" s="1"/>
      <c r="AE799" s="1"/>
      <c r="AF799" s="1"/>
    </row>
    <row r="800" customFormat="false" ht="15.8" hidden="false" customHeight="false" outlineLevel="0" collapsed="false">
      <c r="A800" s="1" t="n">
        <v>20</v>
      </c>
      <c r="B800" s="1" t="n">
        <v>8</v>
      </c>
      <c r="C800" s="1" t="n">
        <v>1.4</v>
      </c>
      <c r="D800" s="1" t="n">
        <v>1.1512</v>
      </c>
      <c r="E800" s="1" t="n">
        <v>0.0469398</v>
      </c>
      <c r="F800" s="1" t="n">
        <v>0.00012768</v>
      </c>
      <c r="G800" s="1" t="s">
        <v>52</v>
      </c>
      <c r="H800" s="1" t="n">
        <v>51.4</v>
      </c>
      <c r="I800" s="1" t="n">
        <v>218.3</v>
      </c>
      <c r="J800" s="1" t="n">
        <v>0</v>
      </c>
      <c r="K800" s="1" t="n">
        <v>108.7</v>
      </c>
      <c r="L800" s="1" t="n">
        <v>0</v>
      </c>
      <c r="M800" s="1" t="n">
        <v>0</v>
      </c>
      <c r="N800" s="1" t="s">
        <v>480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0" t="n">
        <f aca="false">I800+0</f>
        <v>218.3</v>
      </c>
      <c r="AB800" s="0" t="n">
        <f aca="false">IF(Z800&gt;360,Z800-360,Z800+0)</f>
        <v>218.3</v>
      </c>
      <c r="AC800" s="1"/>
      <c r="AD800" s="1"/>
      <c r="AE800" s="1"/>
      <c r="AF800" s="1"/>
    </row>
    <row r="801" customFormat="false" ht="15.8" hidden="false" customHeight="false" outlineLevel="0" collapsed="false">
      <c r="A801" s="1" t="n">
        <v>20</v>
      </c>
      <c r="B801" s="1" t="n">
        <v>7</v>
      </c>
      <c r="C801" s="1" t="n">
        <v>2.8</v>
      </c>
      <c r="D801" s="1" t="n">
        <v>1.135</v>
      </c>
      <c r="E801" s="1" t="n">
        <v>0.0962142</v>
      </c>
      <c r="F801" s="1" t="n">
        <v>0.000261711</v>
      </c>
      <c r="G801" s="1" t="s">
        <v>52</v>
      </c>
      <c r="H801" s="1" t="n">
        <v>15.3</v>
      </c>
      <c r="I801" s="1" t="n">
        <v>167.4</v>
      </c>
      <c r="J801" s="1" t="n">
        <v>8.6</v>
      </c>
      <c r="K801" s="1" t="n">
        <v>51.4</v>
      </c>
      <c r="L801" s="1" t="n">
        <v>0</v>
      </c>
      <c r="M801" s="1" t="n">
        <v>0</v>
      </c>
      <c r="N801" s="1" t="s">
        <v>469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0" t="n">
        <f aca="false">I801+0</f>
        <v>167.4</v>
      </c>
      <c r="AB801" s="0" t="n">
        <f aca="false">IF(Z801&gt;360,Z801-360,Z801+0)</f>
        <v>167.4</v>
      </c>
      <c r="AC801" s="1"/>
      <c r="AD801" s="1"/>
      <c r="AE801" s="1"/>
      <c r="AF801" s="1"/>
    </row>
    <row r="802" customFormat="false" ht="15.8" hidden="false" customHeight="false" outlineLevel="0" collapsed="false">
      <c r="A802" s="1" t="n">
        <v>20</v>
      </c>
      <c r="B802" s="1" t="n">
        <v>6</v>
      </c>
      <c r="C802" s="1" t="n">
        <v>9.1</v>
      </c>
      <c r="D802" s="1" t="n">
        <v>1.1706</v>
      </c>
      <c r="E802" s="1" t="n">
        <v>0.309671</v>
      </c>
      <c r="F802" s="1" t="n">
        <v>0.000842332</v>
      </c>
      <c r="G802" s="1" t="s">
        <v>52</v>
      </c>
      <c r="H802" s="1" t="n">
        <v>27.6</v>
      </c>
      <c r="I802" s="1" t="n">
        <v>161.4</v>
      </c>
      <c r="J802" s="1" t="n">
        <v>-5.5</v>
      </c>
      <c r="K802" s="1" t="n">
        <v>66.9</v>
      </c>
      <c r="L802" s="1" t="n">
        <v>0</v>
      </c>
      <c r="M802" s="1" t="n">
        <v>0</v>
      </c>
      <c r="N802" s="1" t="s">
        <v>466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0" t="n">
        <f aca="false">I802+0</f>
        <v>161.4</v>
      </c>
      <c r="AB802" s="0" t="n">
        <f aca="false">IF(Z802&gt;360,Z802-360,Z802+0)</f>
        <v>161.4</v>
      </c>
      <c r="AC802" s="1"/>
      <c r="AD802" s="1"/>
      <c r="AE802" s="1"/>
      <c r="AF802" s="1"/>
    </row>
    <row r="803" customFormat="false" ht="15.8" hidden="false" customHeight="false" outlineLevel="0" collapsed="false">
      <c r="A803" s="1" t="n">
        <v>20</v>
      </c>
      <c r="B803" s="1" t="n">
        <v>5</v>
      </c>
      <c r="C803" s="1" t="n">
        <v>2</v>
      </c>
      <c r="D803" s="1" t="n">
        <v>1.1821</v>
      </c>
      <c r="E803" s="1" t="n">
        <v>0.0694435</v>
      </c>
      <c r="F803" s="1" t="n">
        <v>0.000188892</v>
      </c>
      <c r="G803" s="1" t="s">
        <v>52</v>
      </c>
      <c r="H803" s="1" t="n">
        <v>61.7</v>
      </c>
      <c r="I803" s="1" t="n">
        <v>182.5</v>
      </c>
      <c r="J803" s="1" t="n">
        <v>12.4</v>
      </c>
      <c r="K803" s="1" t="n">
        <v>130.7</v>
      </c>
      <c r="L803" s="1" t="n">
        <v>0</v>
      </c>
      <c r="M803" s="1" t="n">
        <v>0</v>
      </c>
      <c r="N803" s="1" t="s">
        <v>465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0" t="n">
        <f aca="false">I803+0</f>
        <v>182.5</v>
      </c>
      <c r="AB803" s="0" t="n">
        <f aca="false">IF(Z803&gt;360,Z803-360,Z803+0)</f>
        <v>182.5</v>
      </c>
      <c r="AC803" s="1"/>
      <c r="AD803" s="1"/>
      <c r="AE803" s="1"/>
      <c r="AF803" s="1"/>
    </row>
    <row r="804" customFormat="false" ht="15.8" hidden="false" customHeight="false" outlineLevel="0" collapsed="false">
      <c r="A804" s="1" t="n">
        <v>20</v>
      </c>
      <c r="B804" s="1" t="n">
        <v>4</v>
      </c>
      <c r="C804" s="1" t="n">
        <v>1.2</v>
      </c>
      <c r="D804" s="1" t="n">
        <v>1.1585</v>
      </c>
      <c r="E804" s="1" t="n">
        <v>0.0399386</v>
      </c>
      <c r="F804" s="1" t="n">
        <v>0.000108637</v>
      </c>
      <c r="G804" s="1" t="s">
        <v>52</v>
      </c>
      <c r="H804" s="1" t="n">
        <v>84.6</v>
      </c>
      <c r="I804" s="1" t="n">
        <v>130.1</v>
      </c>
      <c r="J804" s="1" t="n">
        <v>-21.5</v>
      </c>
      <c r="K804" s="1" t="n">
        <v>61.7</v>
      </c>
      <c r="L804" s="1" t="n">
        <v>0</v>
      </c>
      <c r="M804" s="1" t="n">
        <v>0</v>
      </c>
      <c r="N804" s="1" t="s">
        <v>485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0" t="n">
        <f aca="false">I804+0</f>
        <v>130.1</v>
      </c>
      <c r="AB804" s="0" t="n">
        <f aca="false">IF(Z804&gt;360,Z804-360,Z804+0)</f>
        <v>130.1</v>
      </c>
      <c r="AC804" s="1"/>
      <c r="AD804" s="1"/>
      <c r="AE804" s="1"/>
      <c r="AF804" s="1"/>
    </row>
    <row r="805" customFormat="false" ht="15.8" hidden="false" customHeight="false" outlineLevel="0" collapsed="false">
      <c r="A805" s="1" t="n">
        <v>20</v>
      </c>
      <c r="B805" s="1" t="n">
        <v>5</v>
      </c>
      <c r="C805" s="1" t="n">
        <v>2.3</v>
      </c>
      <c r="D805" s="1" t="n">
        <v>1.272</v>
      </c>
      <c r="E805" s="1" t="n">
        <v>0.080067</v>
      </c>
      <c r="F805" s="1" t="n">
        <v>0.000217789</v>
      </c>
      <c r="G805" s="1" t="s">
        <v>27</v>
      </c>
      <c r="H805" s="1" t="n">
        <v>89.8</v>
      </c>
      <c r="I805" s="1" t="n">
        <v>104.6</v>
      </c>
      <c r="J805" s="1" t="n">
        <v>-23.7</v>
      </c>
      <c r="K805" s="1"/>
      <c r="L805" s="1" t="n">
        <v>0</v>
      </c>
      <c r="M805" s="1" t="n">
        <v>0</v>
      </c>
      <c r="N805" s="1" t="s">
        <v>486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0" t="n">
        <f aca="false">I805+0</f>
        <v>104.6</v>
      </c>
      <c r="AB805" s="0" t="n">
        <f aca="false">IF(Z805&gt;360,Z805-360,Z805+0)</f>
        <v>104.6</v>
      </c>
      <c r="AC805" s="1"/>
      <c r="AD805" s="1"/>
      <c r="AE805" s="1"/>
      <c r="AF805" s="1"/>
    </row>
    <row r="806" customFormat="false" ht="15.8" hidden="false" customHeight="false" outlineLevel="0" collapsed="false">
      <c r="A806" s="1" t="n">
        <v>20</v>
      </c>
      <c r="B806" s="1" t="n">
        <v>6</v>
      </c>
      <c r="C806" s="1" t="n">
        <v>3.4</v>
      </c>
      <c r="D806" s="1" t="n">
        <v>1.3025</v>
      </c>
      <c r="E806" s="1" t="n">
        <v>0.116735</v>
      </c>
      <c r="F806" s="1" t="n">
        <v>0.00031753</v>
      </c>
      <c r="G806" s="1" t="s">
        <v>27</v>
      </c>
      <c r="H806" s="1" t="n">
        <v>43.1</v>
      </c>
      <c r="I806" s="1" t="n">
        <v>10</v>
      </c>
      <c r="J806" s="1" t="n">
        <v>-25</v>
      </c>
      <c r="K806" s="1"/>
      <c r="L806" s="1" t="n">
        <v>0</v>
      </c>
      <c r="M806" s="1" t="n">
        <v>0</v>
      </c>
      <c r="N806" s="1" t="s">
        <v>487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0" t="n">
        <f aca="false">I806+0</f>
        <v>10</v>
      </c>
      <c r="AB806" s="0" t="n">
        <f aca="false">IF(Z806&gt;360,Z806-360,Z806+0)</f>
        <v>10</v>
      </c>
      <c r="AC806" s="1"/>
      <c r="AD806" s="1"/>
      <c r="AE806" s="1"/>
      <c r="AF806" s="1"/>
    </row>
    <row r="807" customFormat="false" ht="15.8" hidden="false" customHeight="false" outlineLevel="0" collapsed="false">
      <c r="A807" s="1" t="n">
        <v>20</v>
      </c>
      <c r="B807" s="1" t="n">
        <v>7</v>
      </c>
      <c r="C807" s="1" t="n">
        <v>5</v>
      </c>
      <c r="D807" s="1" t="n">
        <v>1.3365</v>
      </c>
      <c r="E807" s="1" t="n">
        <v>0.169835</v>
      </c>
      <c r="F807" s="1" t="n">
        <v>0.000461965</v>
      </c>
      <c r="G807" s="1" t="s">
        <v>27</v>
      </c>
      <c r="H807" s="1" t="n">
        <v>38.5</v>
      </c>
      <c r="I807" s="1" t="n">
        <v>83.5</v>
      </c>
      <c r="J807" s="1" t="n">
        <v>-17.4</v>
      </c>
      <c r="K807" s="1"/>
      <c r="L807" s="1" t="n">
        <v>0</v>
      </c>
      <c r="M807" s="1" t="n">
        <v>0</v>
      </c>
      <c r="N807" s="1" t="s">
        <v>488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0" t="n">
        <f aca="false">I807+0</f>
        <v>83.5</v>
      </c>
      <c r="AB807" s="0" t="n">
        <f aca="false">IF(Z807&gt;360,Z807-360,Z807+0)</f>
        <v>83.5</v>
      </c>
      <c r="AC807" s="1"/>
      <c r="AD807" s="1"/>
      <c r="AE807" s="1"/>
      <c r="AF807" s="1"/>
    </row>
    <row r="808" customFormat="false" ht="15.8" hidden="false" customHeight="false" outlineLevel="0" collapsed="false">
      <c r="A808" s="1" t="n">
        <v>20</v>
      </c>
      <c r="B808" s="1" t="n">
        <v>7</v>
      </c>
      <c r="C808" s="1" t="n">
        <v>0.8</v>
      </c>
      <c r="D808" s="1" t="n">
        <v>1.2032</v>
      </c>
      <c r="E808" s="1" t="n">
        <v>0.0281617</v>
      </c>
      <c r="F808" s="1" t="n">
        <v>7.66023E-005</v>
      </c>
      <c r="G808" s="1" t="s">
        <v>27</v>
      </c>
      <c r="H808" s="1" t="n">
        <v>32.3</v>
      </c>
      <c r="I808" s="1" t="n">
        <v>79.1</v>
      </c>
      <c r="J808" s="1" t="n">
        <v>32.7</v>
      </c>
      <c r="K808" s="1"/>
      <c r="L808" s="1" t="n">
        <v>0</v>
      </c>
      <c r="M808" s="1" t="n">
        <v>0</v>
      </c>
      <c r="N808" s="1" t="s">
        <v>488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0" t="n">
        <f aca="false">I808+0</f>
        <v>79.1</v>
      </c>
      <c r="AB808" s="0" t="n">
        <f aca="false">IF(Z808&gt;360,Z808-360,Z808+0)</f>
        <v>79.1</v>
      </c>
      <c r="AC808" s="1"/>
      <c r="AD808" s="1"/>
      <c r="AE808" s="1"/>
      <c r="AF808" s="1"/>
    </row>
    <row r="809" customFormat="false" ht="15.8" hidden="false" customHeight="false" outlineLevel="0" collapsed="false">
      <c r="A809" s="1" t="n">
        <v>20</v>
      </c>
      <c r="B809" s="1" t="n">
        <v>6</v>
      </c>
      <c r="C809" s="1" t="n">
        <v>2.6</v>
      </c>
      <c r="D809" s="1" t="n">
        <v>1.0944</v>
      </c>
      <c r="E809" s="1" t="n">
        <v>0.0873616</v>
      </c>
      <c r="F809" s="1" t="n">
        <v>0.000237631</v>
      </c>
      <c r="G809" s="1" t="s">
        <v>52</v>
      </c>
      <c r="H809" s="1" t="n">
        <v>12.7</v>
      </c>
      <c r="I809" s="1" t="n">
        <v>55.2</v>
      </c>
      <c r="J809" s="1" t="n">
        <v>9.1</v>
      </c>
      <c r="K809" s="1" t="n">
        <v>38.5</v>
      </c>
      <c r="L809" s="1" t="n">
        <v>0</v>
      </c>
      <c r="M809" s="1" t="n">
        <v>0</v>
      </c>
      <c r="N809" s="1" t="s">
        <v>487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0" t="n">
        <f aca="false">I809+0</f>
        <v>55.2</v>
      </c>
      <c r="AB809" s="0" t="n">
        <f aca="false">IF(Z809&gt;360,Z809-360,Z809+0)</f>
        <v>55.2</v>
      </c>
      <c r="AC809" s="1"/>
      <c r="AD809" s="1"/>
      <c r="AE809" s="1"/>
      <c r="AF809" s="1"/>
    </row>
    <row r="810" customFormat="false" ht="15.8" hidden="false" customHeight="false" outlineLevel="0" collapsed="false">
      <c r="A810" s="1" t="n">
        <v>20</v>
      </c>
      <c r="B810" s="1" t="n">
        <v>5</v>
      </c>
      <c r="C810" s="1" t="n">
        <v>2.9</v>
      </c>
      <c r="D810" s="1" t="n">
        <v>1.0846</v>
      </c>
      <c r="E810" s="1" t="n">
        <v>0.100423</v>
      </c>
      <c r="F810" s="1" t="n">
        <v>0.00027316</v>
      </c>
      <c r="G810" s="1" t="s">
        <v>52</v>
      </c>
      <c r="H810" s="1" t="n">
        <v>31.5</v>
      </c>
      <c r="I810" s="1" t="n">
        <v>46.3</v>
      </c>
      <c r="J810" s="1" t="n">
        <v>0</v>
      </c>
      <c r="K810" s="1" t="n">
        <v>43.1</v>
      </c>
      <c r="L810" s="1" t="n">
        <v>0</v>
      </c>
      <c r="M810" s="1" t="n">
        <v>0</v>
      </c>
      <c r="N810" s="1" t="s">
        <v>486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0" t="n">
        <f aca="false">I810+0</f>
        <v>46.3</v>
      </c>
      <c r="AB810" s="0" t="n">
        <f aca="false">IF(Z810&gt;360,Z810-360,Z810+0)</f>
        <v>46.3</v>
      </c>
      <c r="AC810" s="1"/>
      <c r="AD810" s="1"/>
      <c r="AE810" s="1"/>
      <c r="AF810" s="1"/>
    </row>
    <row r="811" customFormat="false" ht="15.8" hidden="false" customHeight="false" outlineLevel="0" collapsed="false">
      <c r="A811" s="1" t="n">
        <v>20</v>
      </c>
      <c r="B811" s="1" t="n">
        <v>4</v>
      </c>
      <c r="C811" s="1" t="n">
        <v>1.4</v>
      </c>
      <c r="D811" s="1" t="n">
        <v>1.0665</v>
      </c>
      <c r="E811" s="1" t="n">
        <v>0.0465648</v>
      </c>
      <c r="F811" s="1" t="n">
        <v>0.00012666</v>
      </c>
      <c r="G811" s="1" t="s">
        <v>52</v>
      </c>
      <c r="H811" s="1" t="n">
        <v>31.1</v>
      </c>
      <c r="I811" s="1" t="n">
        <v>14.8</v>
      </c>
      <c r="J811" s="1" t="n">
        <v>0</v>
      </c>
      <c r="K811" s="1" t="n">
        <v>89.8</v>
      </c>
      <c r="L811" s="1" t="n">
        <v>0</v>
      </c>
      <c r="M811" s="1" t="n">
        <v>0</v>
      </c>
      <c r="N811" s="1" t="s">
        <v>485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0" t="n">
        <f aca="false">I811+0</f>
        <v>14.8</v>
      </c>
      <c r="AB811" s="0" t="n">
        <f aca="false">IF(Z811&gt;360,Z811-360,Z811+0)</f>
        <v>14.8</v>
      </c>
      <c r="AC811" s="1"/>
      <c r="AD811" s="1"/>
      <c r="AE811" s="1"/>
      <c r="AF811" s="1"/>
    </row>
    <row r="812" customFormat="false" ht="15.8" hidden="false" customHeight="false" outlineLevel="0" collapsed="false">
      <c r="A812" s="1" t="n">
        <v>20</v>
      </c>
      <c r="B812" s="1" t="n">
        <v>3</v>
      </c>
      <c r="C812" s="1" t="n">
        <v>0.5</v>
      </c>
      <c r="D812" s="1" t="n">
        <v>1.0087</v>
      </c>
      <c r="E812" s="1" t="n">
        <v>0.0167146</v>
      </c>
      <c r="F812" s="1" t="n">
        <v>4.5465E-005</v>
      </c>
      <c r="G812" s="1" t="s">
        <v>52</v>
      </c>
      <c r="H812" s="1" t="n">
        <v>49.9</v>
      </c>
      <c r="I812" s="1" t="n">
        <v>45.9</v>
      </c>
      <c r="J812" s="1" t="n">
        <v>0</v>
      </c>
      <c r="K812" s="1" t="n">
        <v>84.6</v>
      </c>
      <c r="L812" s="1" t="n">
        <v>0</v>
      </c>
      <c r="M812" s="1" t="n">
        <v>0</v>
      </c>
      <c r="N812" s="1" t="s">
        <v>489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0" t="n">
        <f aca="false">I812+0</f>
        <v>45.9</v>
      </c>
      <c r="AB812" s="0" t="n">
        <f aca="false">IF(Z812&gt;360,Z812-360,Z812+0)</f>
        <v>45.9</v>
      </c>
      <c r="AC812" s="1"/>
      <c r="AD812" s="1"/>
      <c r="AE812" s="1"/>
      <c r="AF812" s="1"/>
    </row>
    <row r="813" customFormat="false" ht="15.8" hidden="false" customHeight="false" outlineLevel="0" collapsed="false">
      <c r="A813" s="1" t="n">
        <v>20</v>
      </c>
      <c r="B813" s="1" t="n">
        <v>3</v>
      </c>
      <c r="C813" s="1" t="n">
        <v>0.9</v>
      </c>
      <c r="D813" s="1" t="n">
        <v>1.0236</v>
      </c>
      <c r="E813" s="1" t="n">
        <v>0.0311559</v>
      </c>
      <c r="F813" s="1" t="n">
        <v>8.47469E-005</v>
      </c>
      <c r="G813" s="1" t="s">
        <v>27</v>
      </c>
      <c r="H813" s="1" t="n">
        <v>119.6</v>
      </c>
      <c r="I813" s="1" t="n">
        <v>215</v>
      </c>
      <c r="J813" s="1" t="n">
        <v>0</v>
      </c>
      <c r="K813" s="1"/>
      <c r="L813" s="1" t="n">
        <v>0</v>
      </c>
      <c r="M813" s="1" t="n">
        <v>0</v>
      </c>
      <c r="N813" s="1" t="s">
        <v>489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0" t="n">
        <f aca="false">I813+0</f>
        <v>215</v>
      </c>
      <c r="AB813" s="0" t="n">
        <f aca="false">IF(Z813&gt;360,Z813-360,Z813+0)</f>
        <v>215</v>
      </c>
      <c r="AC813" s="1"/>
      <c r="AD813" s="1"/>
      <c r="AE813" s="1"/>
      <c r="AF813" s="1"/>
    </row>
    <row r="814" customFormat="false" ht="15.8" hidden="false" customHeight="false" outlineLevel="0" collapsed="false">
      <c r="A814" s="1" t="n">
        <v>20</v>
      </c>
      <c r="B814" s="1" t="n">
        <v>3</v>
      </c>
      <c r="C814" s="1" t="n">
        <v>1.5</v>
      </c>
      <c r="D814" s="1" t="n">
        <v>1.2062</v>
      </c>
      <c r="E814" s="1" t="n">
        <v>0.0510866</v>
      </c>
      <c r="F814" s="1" t="n">
        <v>0.00013896</v>
      </c>
      <c r="G814" s="1" t="s">
        <v>27</v>
      </c>
      <c r="H814" s="1" t="n">
        <v>143.1</v>
      </c>
      <c r="I814" s="1" t="n">
        <v>295.6</v>
      </c>
      <c r="J814" s="1" t="n">
        <v>17.4</v>
      </c>
      <c r="K814" s="1"/>
      <c r="L814" s="1" t="n">
        <v>0</v>
      </c>
      <c r="M814" s="1" t="n">
        <v>0</v>
      </c>
      <c r="N814" s="1" t="s">
        <v>489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0" t="n">
        <f aca="false">I814+0</f>
        <v>295.6</v>
      </c>
      <c r="AB814" s="0" t="n">
        <f aca="false">IF(Z814&gt;360,Z814-360,Z814+0)</f>
        <v>295.6</v>
      </c>
      <c r="AC814" s="1"/>
      <c r="AD814" s="1"/>
      <c r="AE814" s="1"/>
      <c r="AF814" s="1"/>
    </row>
    <row r="815" customFormat="false" ht="15.8" hidden="false" customHeight="false" outlineLevel="0" collapsed="false">
      <c r="A815" s="1" t="n">
        <v>20</v>
      </c>
      <c r="B815" s="1" t="n">
        <v>2</v>
      </c>
      <c r="C815" s="1" t="n">
        <v>1.9</v>
      </c>
      <c r="D815" s="1" t="n">
        <v>1.1597</v>
      </c>
      <c r="E815" s="1" t="n">
        <v>0.0649366</v>
      </c>
      <c r="F815" s="1" t="n">
        <v>0.000176633</v>
      </c>
      <c r="G815" s="1" t="s">
        <v>52</v>
      </c>
      <c r="H815" s="1" t="n">
        <v>34.6</v>
      </c>
      <c r="I815" s="1" t="n">
        <v>94.5</v>
      </c>
      <c r="J815" s="1" t="n">
        <v>13.1</v>
      </c>
      <c r="K815" s="1" t="n">
        <v>143.1</v>
      </c>
      <c r="L815" s="1" t="n">
        <v>0</v>
      </c>
      <c r="M815" s="1" t="n">
        <v>0</v>
      </c>
      <c r="N815" s="1" t="s">
        <v>419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0" t="n">
        <f aca="false">I815+0</f>
        <v>94.5</v>
      </c>
      <c r="AB815" s="0" t="n">
        <f aca="false">IF(Z815&gt;360,Z815-360,Z815+0)</f>
        <v>94.5</v>
      </c>
      <c r="AC815" s="1"/>
      <c r="AD815" s="1"/>
      <c r="AE815" s="1"/>
      <c r="AF815" s="1"/>
    </row>
    <row r="816" customFormat="false" ht="15.8" hidden="false" customHeight="false" outlineLevel="0" collapsed="false">
      <c r="A816" s="1" t="n">
        <v>20</v>
      </c>
      <c r="B816" s="1" t="n">
        <v>1</v>
      </c>
      <c r="C816" s="1" t="n">
        <v>2.8</v>
      </c>
      <c r="D816" s="1" t="n">
        <v>1.1066</v>
      </c>
      <c r="E816" s="1" t="n">
        <v>0.0971269</v>
      </c>
      <c r="F816" s="1" t="n">
        <v>0.000264194</v>
      </c>
      <c r="G816" s="1" t="s">
        <v>52</v>
      </c>
      <c r="H816" s="1"/>
      <c r="I816" s="1" t="n">
        <v>129.5</v>
      </c>
      <c r="J816" s="1" t="n">
        <v>8.3</v>
      </c>
      <c r="K816" s="1" t="n">
        <v>48.1</v>
      </c>
      <c r="L816" s="1" t="n">
        <v>0</v>
      </c>
      <c r="M816" s="1" t="n">
        <v>0</v>
      </c>
      <c r="N816" s="1" t="s">
        <v>490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0" t="n">
        <f aca="false">I816+0</f>
        <v>129.5</v>
      </c>
      <c r="AB816" s="0" t="n">
        <f aca="false">IF(Z816&gt;360,Z816-360,Z816+0)</f>
        <v>129.5</v>
      </c>
      <c r="AC816" s="1"/>
      <c r="AD816" s="1"/>
      <c r="AE816" s="1"/>
      <c r="AF816" s="1"/>
    </row>
    <row r="817" customFormat="false" ht="15.8" hidden="false" customHeight="false" outlineLevel="0" collapsed="false">
      <c r="A817" s="1" t="n">
        <v>21</v>
      </c>
      <c r="B817" s="1" t="n">
        <v>2</v>
      </c>
      <c r="C817" s="1" t="n">
        <v>2.4</v>
      </c>
      <c r="D817" s="1" t="n">
        <v>1.7271</v>
      </c>
      <c r="E817" s="1" t="n">
        <v>0.0832126</v>
      </c>
      <c r="F817" s="1" t="n">
        <v>0.000226345</v>
      </c>
      <c r="G817" s="1" t="s">
        <v>27</v>
      </c>
      <c r="H817" s="1" t="n">
        <v>102.4</v>
      </c>
      <c r="I817" s="1" t="n">
        <v>247.9</v>
      </c>
      <c r="J817" s="1" t="n">
        <v>51.9</v>
      </c>
      <c r="K817" s="1"/>
      <c r="L817" s="1" t="n">
        <v>0</v>
      </c>
      <c r="M817" s="1" t="n">
        <v>0</v>
      </c>
      <c r="N817" s="1" t="s">
        <v>491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0" t="n">
        <f aca="false">I817+0</f>
        <v>247.9</v>
      </c>
      <c r="AB817" s="0" t="n">
        <f aca="false">IF(Z817&gt;360,Z817-360,Z817+0)</f>
        <v>247.9</v>
      </c>
      <c r="AC817" s="1"/>
      <c r="AD817" s="1"/>
      <c r="AE817" s="1"/>
      <c r="AF817" s="1"/>
    </row>
    <row r="818" customFormat="false" ht="15.8" hidden="false" customHeight="false" outlineLevel="0" collapsed="false">
      <c r="A818" s="1" t="n">
        <v>21</v>
      </c>
      <c r="B818" s="1" t="n">
        <v>6</v>
      </c>
      <c r="C818" s="1" t="n">
        <v>2.9</v>
      </c>
      <c r="D818" s="1" t="n">
        <v>1.376</v>
      </c>
      <c r="E818" s="1" t="n">
        <v>0.0801241</v>
      </c>
      <c r="F818" s="1" t="n">
        <v>0.000174356</v>
      </c>
      <c r="G818" s="1" t="s">
        <v>27</v>
      </c>
      <c r="H818" s="1" t="n">
        <v>26.2</v>
      </c>
      <c r="I818" s="1" t="n">
        <v>145.7</v>
      </c>
      <c r="J818" s="1" t="n">
        <v>0</v>
      </c>
      <c r="K818" s="1"/>
      <c r="L818" s="1" t="n">
        <v>0</v>
      </c>
      <c r="M818" s="1" t="n">
        <v>0</v>
      </c>
      <c r="N818" s="1" t="s">
        <v>492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0" t="n">
        <f aca="false">I818+0</f>
        <v>145.7</v>
      </c>
      <c r="AB818" s="0" t="n">
        <f aca="false">IF(Z818&gt;360,Z818-360,Z818+0)</f>
        <v>145.7</v>
      </c>
      <c r="AC818" s="1"/>
      <c r="AD818" s="1"/>
      <c r="AE818" s="1"/>
      <c r="AF818" s="1"/>
    </row>
    <row r="819" customFormat="false" ht="15.8" hidden="false" customHeight="false" outlineLevel="0" collapsed="false">
      <c r="A819" s="1" t="n">
        <v>21</v>
      </c>
      <c r="B819" s="1" t="n">
        <v>6</v>
      </c>
      <c r="C819" s="1" t="n">
        <v>1.7</v>
      </c>
      <c r="D819" s="1" t="n">
        <v>1.2341</v>
      </c>
      <c r="E819" s="1" t="n">
        <v>0.045843</v>
      </c>
      <c r="F819" s="1" t="n">
        <v>9.97576E-005</v>
      </c>
      <c r="G819" s="1" t="s">
        <v>27</v>
      </c>
      <c r="H819" s="1" t="n">
        <v>60.4</v>
      </c>
      <c r="I819" s="1" t="n">
        <v>231.2</v>
      </c>
      <c r="J819" s="1" t="n">
        <v>33</v>
      </c>
      <c r="K819" s="1"/>
      <c r="L819" s="1" t="n">
        <v>0</v>
      </c>
      <c r="M819" s="1" t="n">
        <v>0</v>
      </c>
      <c r="N819" s="1" t="s">
        <v>492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0" t="n">
        <f aca="false">I819+0</f>
        <v>231.2</v>
      </c>
      <c r="AB819" s="0" t="n">
        <f aca="false">IF(Z819&gt;360,Z819-360,Z819+0)</f>
        <v>231.2</v>
      </c>
      <c r="AC819" s="1"/>
      <c r="AD819" s="1"/>
      <c r="AE819" s="1"/>
      <c r="AF819" s="1"/>
    </row>
    <row r="820" customFormat="false" ht="15.8" hidden="false" customHeight="false" outlineLevel="0" collapsed="false">
      <c r="A820" s="1" t="n">
        <v>21</v>
      </c>
      <c r="B820" s="1" t="n">
        <v>5</v>
      </c>
      <c r="C820" s="1" t="n">
        <v>1.5</v>
      </c>
      <c r="D820" s="1" t="n">
        <v>1.1922</v>
      </c>
      <c r="E820" s="1" t="n">
        <v>0.0413051</v>
      </c>
      <c r="F820" s="1" t="n">
        <v>8.98827E-005</v>
      </c>
      <c r="G820" s="1" t="s">
        <v>52</v>
      </c>
      <c r="H820" s="1" t="n">
        <v>99</v>
      </c>
      <c r="I820" s="1" t="n">
        <v>165.9</v>
      </c>
      <c r="J820" s="1" t="n">
        <v>17</v>
      </c>
      <c r="K820" s="1" t="n">
        <v>60.4</v>
      </c>
      <c r="L820" s="1" t="n">
        <v>0</v>
      </c>
      <c r="M820" s="1" t="n">
        <v>0</v>
      </c>
      <c r="N820" s="1" t="s">
        <v>493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0" t="n">
        <f aca="false">I820+0</f>
        <v>165.9</v>
      </c>
      <c r="AB820" s="0" t="n">
        <f aca="false">IF(Z820&gt;360,Z820-360,Z820+0)</f>
        <v>165.9</v>
      </c>
      <c r="AC820" s="1"/>
      <c r="AD820" s="1"/>
      <c r="AE820" s="1"/>
      <c r="AF820" s="1"/>
    </row>
    <row r="821" customFormat="false" ht="15.8" hidden="false" customHeight="false" outlineLevel="0" collapsed="false">
      <c r="A821" s="1" t="n">
        <v>21</v>
      </c>
      <c r="B821" s="1" t="n">
        <v>14</v>
      </c>
      <c r="C821" s="1" t="n">
        <v>2.2</v>
      </c>
      <c r="D821" s="1" t="n">
        <v>1.1841</v>
      </c>
      <c r="E821" s="1" t="n">
        <v>0.0600013</v>
      </c>
      <c r="F821" s="1" t="n">
        <v>0.000130567</v>
      </c>
      <c r="G821" s="1" t="s">
        <v>27</v>
      </c>
      <c r="H821" s="1" t="n">
        <v>39.4</v>
      </c>
      <c r="I821" s="1" t="n">
        <v>256.7</v>
      </c>
      <c r="J821" s="1" t="n">
        <v>11.5</v>
      </c>
      <c r="K821" s="1"/>
      <c r="L821" s="1" t="n">
        <v>0</v>
      </c>
      <c r="M821" s="1" t="n">
        <v>0</v>
      </c>
      <c r="N821" s="1" t="s">
        <v>494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0" t="n">
        <f aca="false">I821+0</f>
        <v>256.7</v>
      </c>
      <c r="AB821" s="0" t="n">
        <f aca="false">IF(Z821&gt;360,Z821-360,Z821+0)</f>
        <v>256.7</v>
      </c>
      <c r="AC821" s="1"/>
      <c r="AD821" s="1"/>
      <c r="AE821" s="1"/>
      <c r="AF821" s="1"/>
    </row>
    <row r="822" customFormat="false" ht="15.8" hidden="false" customHeight="false" outlineLevel="0" collapsed="false">
      <c r="A822" s="1" t="n">
        <v>21</v>
      </c>
      <c r="B822" s="1" t="n">
        <v>14</v>
      </c>
      <c r="C822" s="1" t="n">
        <v>2.1</v>
      </c>
      <c r="D822" s="1" t="n">
        <v>1.3247</v>
      </c>
      <c r="E822" s="1" t="n">
        <v>0.0581857</v>
      </c>
      <c r="F822" s="1" t="n">
        <v>0.000126616</v>
      </c>
      <c r="G822" s="1" t="s">
        <v>27</v>
      </c>
      <c r="H822" s="1" t="n">
        <v>45.4</v>
      </c>
      <c r="I822" s="1" t="n">
        <v>338.4</v>
      </c>
      <c r="J822" s="1" t="n">
        <v>-13.3</v>
      </c>
      <c r="K822" s="1"/>
      <c r="L822" s="1" t="n">
        <v>0</v>
      </c>
      <c r="M822" s="1" t="n">
        <v>0</v>
      </c>
      <c r="N822" s="1" t="s">
        <v>494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0" t="n">
        <f aca="false">I822+0</f>
        <v>338.4</v>
      </c>
      <c r="AB822" s="0" t="n">
        <f aca="false">IF(Z822&gt;360,Z822-360,Z822+0)</f>
        <v>338.4</v>
      </c>
      <c r="AC822" s="1"/>
      <c r="AD822" s="1"/>
      <c r="AE822" s="1"/>
      <c r="AF822" s="1"/>
    </row>
    <row r="823" customFormat="false" ht="15.8" hidden="false" customHeight="false" outlineLevel="0" collapsed="false">
      <c r="A823" s="1" t="n">
        <v>21</v>
      </c>
      <c r="B823" s="1" t="n">
        <v>13</v>
      </c>
      <c r="C823" s="1" t="n">
        <v>0.6</v>
      </c>
      <c r="D823" s="1" t="n">
        <v>1.0935</v>
      </c>
      <c r="E823" s="1" t="n">
        <v>0.0168887</v>
      </c>
      <c r="F823" s="1" t="n">
        <v>3.67509E-005</v>
      </c>
      <c r="G823" s="1" t="s">
        <v>52</v>
      </c>
      <c r="H823" s="1" t="n">
        <v>72</v>
      </c>
      <c r="I823" s="1" t="n">
        <v>294.6</v>
      </c>
      <c r="J823" s="1" t="n">
        <v>0</v>
      </c>
      <c r="K823" s="1" t="n">
        <v>45.4</v>
      </c>
      <c r="L823" s="1" t="n">
        <v>0</v>
      </c>
      <c r="M823" s="1" t="n">
        <v>0</v>
      </c>
      <c r="N823" s="1" t="s">
        <v>495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0" t="n">
        <f aca="false">I823+0</f>
        <v>294.6</v>
      </c>
      <c r="AB823" s="0" t="n">
        <f aca="false">IF(Z823&gt;360,Z823-360,Z823+0)</f>
        <v>294.6</v>
      </c>
      <c r="AC823" s="1"/>
      <c r="AD823" s="1"/>
      <c r="AE823" s="1"/>
      <c r="AF823" s="1"/>
    </row>
    <row r="824" customFormat="false" ht="15.8" hidden="false" customHeight="false" outlineLevel="0" collapsed="false">
      <c r="A824" s="1" t="n">
        <v>21</v>
      </c>
      <c r="B824" s="1" t="n">
        <v>13</v>
      </c>
      <c r="C824" s="1" t="n">
        <v>2.9</v>
      </c>
      <c r="D824" s="1" t="n">
        <v>1.1197</v>
      </c>
      <c r="E824" s="1" t="n">
        <v>0.0805648</v>
      </c>
      <c r="F824" s="1" t="n">
        <v>0.000175315</v>
      </c>
      <c r="G824" s="1" t="s">
        <v>27</v>
      </c>
      <c r="H824" s="1" t="n">
        <v>9.1</v>
      </c>
      <c r="I824" s="1" t="n">
        <v>10.8</v>
      </c>
      <c r="J824" s="1" t="n">
        <v>8.1</v>
      </c>
      <c r="K824" s="1"/>
      <c r="L824" s="1" t="n">
        <v>0</v>
      </c>
      <c r="M824" s="1" t="n">
        <v>0</v>
      </c>
      <c r="N824" s="1" t="s">
        <v>495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0" t="n">
        <f aca="false">I824+0</f>
        <v>10.8</v>
      </c>
      <c r="AB824" s="0" t="n">
        <f aca="false">IF(Z824&gt;360,Z824-360,Z824+0)</f>
        <v>10.8</v>
      </c>
      <c r="AC824" s="1"/>
      <c r="AD824" s="1"/>
      <c r="AE824" s="1"/>
      <c r="AF824" s="1"/>
    </row>
    <row r="825" customFormat="false" ht="15.8" hidden="false" customHeight="false" outlineLevel="0" collapsed="false">
      <c r="A825" s="1" t="n">
        <v>21</v>
      </c>
      <c r="B825" s="1" t="n">
        <v>12</v>
      </c>
      <c r="C825" s="1" t="n">
        <v>1.9</v>
      </c>
      <c r="D825" s="1" t="n">
        <v>1.057</v>
      </c>
      <c r="E825" s="1" t="n">
        <v>0.052928</v>
      </c>
      <c r="F825" s="1" t="n">
        <v>0.000115175</v>
      </c>
      <c r="G825" s="1" t="s">
        <v>52</v>
      </c>
      <c r="H825" s="1" t="n">
        <v>38.1</v>
      </c>
      <c r="I825" s="1" t="n">
        <v>6.6</v>
      </c>
      <c r="J825" s="1" t="n">
        <v>0</v>
      </c>
      <c r="K825" s="1" t="n">
        <v>72</v>
      </c>
      <c r="L825" s="1" t="n">
        <v>0</v>
      </c>
      <c r="M825" s="1" t="n">
        <v>0</v>
      </c>
      <c r="N825" s="1" t="s">
        <v>496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0" t="n">
        <f aca="false">I825+0</f>
        <v>6.6</v>
      </c>
      <c r="AB825" s="0" t="n">
        <f aca="false">IF(Z825&gt;360,Z825-360,Z825+0)</f>
        <v>6.6</v>
      </c>
      <c r="AC825" s="1"/>
      <c r="AD825" s="1"/>
      <c r="AE825" s="1"/>
      <c r="AF825" s="1"/>
    </row>
    <row r="826" customFormat="false" ht="15.8" hidden="false" customHeight="false" outlineLevel="0" collapsed="false">
      <c r="A826" s="1" t="n">
        <v>21</v>
      </c>
      <c r="B826" s="1" t="n">
        <v>12</v>
      </c>
      <c r="C826" s="1" t="n">
        <v>1</v>
      </c>
      <c r="D826" s="1" t="n">
        <v>1.3292</v>
      </c>
      <c r="E826" s="1" t="n">
        <v>0.0276392</v>
      </c>
      <c r="F826" s="1" t="n">
        <v>6.01449E-005</v>
      </c>
      <c r="G826" s="1" t="s">
        <v>27</v>
      </c>
      <c r="H826" s="1" t="n">
        <v>68.1</v>
      </c>
      <c r="I826" s="1" t="n">
        <v>58.4</v>
      </c>
      <c r="J826" s="1" t="n">
        <v>29.1</v>
      </c>
      <c r="K826" s="1"/>
      <c r="L826" s="1" t="n">
        <v>0</v>
      </c>
      <c r="M826" s="1" t="n">
        <v>0</v>
      </c>
      <c r="N826" s="1" t="s">
        <v>496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0" t="n">
        <f aca="false">I826+0</f>
        <v>58.4</v>
      </c>
      <c r="AB826" s="0" t="n">
        <f aca="false">IF(Z826&gt;360,Z826-360,Z826+0)</f>
        <v>58.4</v>
      </c>
      <c r="AC826" s="1"/>
      <c r="AD826" s="1"/>
      <c r="AE826" s="1"/>
      <c r="AF826" s="1"/>
    </row>
    <row r="827" customFormat="false" ht="15.8" hidden="false" customHeight="false" outlineLevel="0" collapsed="false">
      <c r="A827" s="1" t="n">
        <v>21</v>
      </c>
      <c r="B827" s="1" t="n">
        <v>11</v>
      </c>
      <c r="C827" s="1" t="n">
        <v>2</v>
      </c>
      <c r="D827" s="1" t="n">
        <v>1.2451</v>
      </c>
      <c r="E827" s="1" t="n">
        <v>0.0540693</v>
      </c>
      <c r="F827" s="1" t="n">
        <v>0.000117659</v>
      </c>
      <c r="G827" s="1" t="s">
        <v>52</v>
      </c>
      <c r="H827" s="1" t="n">
        <v>85.4</v>
      </c>
      <c r="I827" s="1" t="n">
        <v>339.3</v>
      </c>
      <c r="J827" s="1" t="n">
        <v>27.8</v>
      </c>
      <c r="K827" s="1" t="n">
        <v>68.1</v>
      </c>
      <c r="L827" s="1" t="n">
        <v>0</v>
      </c>
      <c r="M827" s="1" t="n">
        <v>0</v>
      </c>
      <c r="N827" s="1" t="s">
        <v>497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0" t="n">
        <f aca="false">I827+0</f>
        <v>339.3</v>
      </c>
      <c r="AB827" s="0" t="n">
        <f aca="false">IF(Z827&gt;360,Z827-360,Z827+0)</f>
        <v>339.3</v>
      </c>
      <c r="AC827" s="1"/>
      <c r="AD827" s="1"/>
      <c r="AE827" s="1"/>
      <c r="AF827" s="1"/>
    </row>
    <row r="828" customFormat="false" ht="15.8" hidden="false" customHeight="false" outlineLevel="0" collapsed="false">
      <c r="A828" s="1" t="n">
        <v>21</v>
      </c>
      <c r="B828" s="1" t="n">
        <v>11</v>
      </c>
      <c r="C828" s="1" t="n">
        <v>0.8</v>
      </c>
      <c r="D828" s="1" t="n">
        <v>1.0183</v>
      </c>
      <c r="E828" s="1" t="n">
        <v>0.0212265</v>
      </c>
      <c r="F828" s="1" t="n">
        <v>4.61904E-005</v>
      </c>
      <c r="G828" s="1" t="s">
        <v>27</v>
      </c>
      <c r="H828" s="1" t="n">
        <v>36.6</v>
      </c>
      <c r="I828" s="1" t="n">
        <v>96.6</v>
      </c>
      <c r="J828" s="1" t="n">
        <v>0</v>
      </c>
      <c r="K828" s="1"/>
      <c r="L828" s="1" t="n">
        <v>0</v>
      </c>
      <c r="M828" s="1" t="n">
        <v>0</v>
      </c>
      <c r="N828" s="1" t="s">
        <v>497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0" t="n">
        <f aca="false">I828+0</f>
        <v>96.6</v>
      </c>
      <c r="AB828" s="0" t="n">
        <f aca="false">IF(Z828&gt;360,Z828-360,Z828+0)</f>
        <v>96.6</v>
      </c>
      <c r="AC828" s="1"/>
      <c r="AD828" s="1"/>
      <c r="AE828" s="1"/>
      <c r="AF828" s="1"/>
    </row>
    <row r="829" customFormat="false" ht="15.8" hidden="false" customHeight="false" outlineLevel="0" collapsed="false">
      <c r="A829" s="1" t="n">
        <v>21</v>
      </c>
      <c r="B829" s="1" t="n">
        <v>10</v>
      </c>
      <c r="C829" s="1" t="n">
        <v>8.2</v>
      </c>
      <c r="D829" s="1" t="n">
        <v>1.2925</v>
      </c>
      <c r="E829" s="1" t="n">
        <v>0.223473</v>
      </c>
      <c r="F829" s="1" t="n">
        <v>0.000486294</v>
      </c>
      <c r="G829" s="1" t="s">
        <v>52</v>
      </c>
      <c r="H829" s="1" t="n">
        <v>85.7</v>
      </c>
      <c r="I829" s="1" t="n">
        <v>60.5</v>
      </c>
      <c r="J829" s="1" t="n">
        <v>-6.7</v>
      </c>
      <c r="K829" s="1" t="n">
        <v>85.4</v>
      </c>
      <c r="L829" s="1" t="n">
        <v>0</v>
      </c>
      <c r="M829" s="1" t="n">
        <v>0</v>
      </c>
      <c r="N829" s="1" t="s">
        <v>498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0" t="n">
        <f aca="false">I829+0</f>
        <v>60.5</v>
      </c>
      <c r="AB829" s="0" t="n">
        <f aca="false">IF(Z829&gt;360,Z829-360,Z829+0)</f>
        <v>60.5</v>
      </c>
      <c r="AC829" s="1"/>
      <c r="AD829" s="1"/>
      <c r="AE829" s="1"/>
      <c r="AF829" s="1"/>
    </row>
    <row r="830" customFormat="false" ht="15.8" hidden="false" customHeight="false" outlineLevel="0" collapsed="false">
      <c r="A830" s="1" t="n">
        <v>21</v>
      </c>
      <c r="B830" s="1" t="n">
        <v>11</v>
      </c>
      <c r="C830" s="1" t="n">
        <v>0.9</v>
      </c>
      <c r="D830" s="1" t="n">
        <v>1.2333</v>
      </c>
      <c r="E830" s="1" t="n">
        <v>0.024321</v>
      </c>
      <c r="F830" s="1" t="n">
        <v>5.29243E-005</v>
      </c>
      <c r="G830" s="1" t="s">
        <v>27</v>
      </c>
      <c r="H830" s="1" t="n">
        <v>122.9</v>
      </c>
      <c r="I830" s="1" t="n">
        <v>273.2</v>
      </c>
      <c r="J830" s="1" t="n">
        <v>30.9</v>
      </c>
      <c r="K830" s="1"/>
      <c r="L830" s="1" t="n">
        <v>0</v>
      </c>
      <c r="M830" s="1" t="n">
        <v>0</v>
      </c>
      <c r="N830" s="1" t="s">
        <v>499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0" t="n">
        <f aca="false">I830+0</f>
        <v>273.2</v>
      </c>
      <c r="AB830" s="0" t="n">
        <f aca="false">IF(Z830&gt;360,Z830-360,Z830+0)</f>
        <v>273.2</v>
      </c>
      <c r="AC830" s="1"/>
      <c r="AD830" s="1"/>
      <c r="AE830" s="1"/>
      <c r="AF830" s="1"/>
    </row>
    <row r="831" customFormat="false" ht="15.8" hidden="false" customHeight="false" outlineLevel="0" collapsed="false">
      <c r="A831" s="1" t="n">
        <v>21</v>
      </c>
      <c r="B831" s="1" t="n">
        <v>11</v>
      </c>
      <c r="C831" s="1" t="n">
        <v>3.3</v>
      </c>
      <c r="D831" s="1" t="n">
        <v>1.3345</v>
      </c>
      <c r="E831" s="1" t="n">
        <v>0.0892336</v>
      </c>
      <c r="F831" s="1" t="n">
        <v>0.000194179</v>
      </c>
      <c r="G831" s="1" t="s">
        <v>27</v>
      </c>
      <c r="H831" s="1" t="n">
        <v>23.7</v>
      </c>
      <c r="I831" s="1" t="n">
        <v>7.8</v>
      </c>
      <c r="J831" s="1" t="n">
        <v>-27</v>
      </c>
      <c r="K831" s="1"/>
      <c r="L831" s="1" t="n">
        <v>0</v>
      </c>
      <c r="M831" s="1" t="n">
        <v>0</v>
      </c>
      <c r="N831" s="1" t="s">
        <v>499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0" t="n">
        <f aca="false">I831+0</f>
        <v>7.8</v>
      </c>
      <c r="AB831" s="0" t="n">
        <f aca="false">IF(Z831&gt;360,Z831-360,Z831+0)</f>
        <v>7.8</v>
      </c>
      <c r="AC831" s="1"/>
      <c r="AD831" s="1"/>
      <c r="AE831" s="1"/>
      <c r="AF831" s="1"/>
    </row>
    <row r="832" customFormat="false" ht="15.8" hidden="false" customHeight="false" outlineLevel="0" collapsed="false">
      <c r="A832" s="1" t="n">
        <v>21</v>
      </c>
      <c r="B832" s="1" t="n">
        <v>10</v>
      </c>
      <c r="C832" s="1" t="n">
        <v>4.4</v>
      </c>
      <c r="D832" s="1" t="n">
        <v>1.2202</v>
      </c>
      <c r="E832" s="1" t="n">
        <v>0.121543</v>
      </c>
      <c r="F832" s="1" t="n">
        <v>0.000264486</v>
      </c>
      <c r="G832" s="1" t="s">
        <v>52</v>
      </c>
      <c r="H832" s="1" t="n">
        <v>62.4</v>
      </c>
      <c r="I832" s="1" t="n">
        <v>31.5</v>
      </c>
      <c r="J832" s="1" t="n">
        <v>-17.7</v>
      </c>
      <c r="K832" s="1" t="n">
        <v>122.9</v>
      </c>
      <c r="L832" s="1" t="n">
        <v>0</v>
      </c>
      <c r="M832" s="1" t="n">
        <v>0</v>
      </c>
      <c r="N832" s="1" t="s">
        <v>498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0" t="n">
        <f aca="false">I832+0</f>
        <v>31.5</v>
      </c>
      <c r="AB832" s="0" t="n">
        <f aca="false">IF(Z832&gt;360,Z832-360,Z832+0)</f>
        <v>31.5</v>
      </c>
      <c r="AC832" s="1"/>
      <c r="AD832" s="1"/>
      <c r="AE832" s="1"/>
      <c r="AF832" s="1"/>
    </row>
    <row r="833" customFormat="false" ht="15.8" hidden="false" customHeight="false" outlineLevel="0" collapsed="false">
      <c r="A833" s="1" t="n">
        <v>21</v>
      </c>
      <c r="B833" s="1" t="n">
        <v>9</v>
      </c>
      <c r="C833" s="1" t="n">
        <v>6.2</v>
      </c>
      <c r="D833" s="1" t="n">
        <v>1.946</v>
      </c>
      <c r="E833" s="1" t="n">
        <v>0.170822</v>
      </c>
      <c r="F833" s="1" t="n">
        <v>0.000371765</v>
      </c>
      <c r="G833" s="1" t="s">
        <v>52</v>
      </c>
      <c r="H833" s="1" t="n">
        <v>60.6</v>
      </c>
      <c r="I833" s="1" t="n">
        <v>336.6</v>
      </c>
      <c r="J833" s="1" t="n">
        <v>13.3</v>
      </c>
      <c r="K833" s="1" t="n">
        <v>85.7</v>
      </c>
      <c r="L833" s="1" t="n">
        <v>0</v>
      </c>
      <c r="M833" s="1" t="n">
        <v>0</v>
      </c>
      <c r="N833" s="1" t="s">
        <v>500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0" t="n">
        <f aca="false">I833+0</f>
        <v>336.6</v>
      </c>
      <c r="AB833" s="0" t="n">
        <f aca="false">IF(Z833&gt;360,Z833-360,Z833+0)</f>
        <v>336.6</v>
      </c>
      <c r="AC833" s="1"/>
      <c r="AD833" s="1"/>
      <c r="AE833" s="1"/>
      <c r="AF833" s="1"/>
    </row>
    <row r="834" customFormat="false" ht="15.8" hidden="false" customHeight="false" outlineLevel="0" collapsed="false">
      <c r="A834" s="1" t="n">
        <v>21</v>
      </c>
      <c r="B834" s="1" t="n">
        <v>16</v>
      </c>
      <c r="C834" s="1" t="n">
        <v>0.8</v>
      </c>
      <c r="D834" s="1" t="n">
        <v>1.0484</v>
      </c>
      <c r="E834" s="1" t="n">
        <v>0.022349</v>
      </c>
      <c r="F834" s="1" t="n">
        <v>4.86331E-005</v>
      </c>
      <c r="G834" s="1" t="s">
        <v>27</v>
      </c>
      <c r="H834" s="1" t="n">
        <v>33.6</v>
      </c>
      <c r="I834" s="1" t="n">
        <v>343.8</v>
      </c>
      <c r="J834" s="1" t="n">
        <v>0</v>
      </c>
      <c r="K834" s="1"/>
      <c r="L834" s="1" t="n">
        <v>0</v>
      </c>
      <c r="M834" s="1" t="n">
        <v>0</v>
      </c>
      <c r="N834" s="1" t="s">
        <v>501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0" t="n">
        <f aca="false">I834+0</f>
        <v>343.8</v>
      </c>
      <c r="AB834" s="0" t="n">
        <f aca="false">IF(Z834&gt;360,Z834-360,Z834+0)</f>
        <v>343.8</v>
      </c>
      <c r="AC834" s="1"/>
      <c r="AD834" s="1"/>
      <c r="AE834" s="1"/>
      <c r="AF834" s="1"/>
    </row>
    <row r="835" customFormat="false" ht="15.8" hidden="false" customHeight="false" outlineLevel="0" collapsed="false">
      <c r="A835" s="1" t="n">
        <v>21</v>
      </c>
      <c r="B835" s="1" t="n">
        <v>16</v>
      </c>
      <c r="C835" s="1" t="n">
        <v>0.7</v>
      </c>
      <c r="D835" s="1" t="n">
        <v>1.1611</v>
      </c>
      <c r="E835" s="1" t="n">
        <v>0.0179708</v>
      </c>
      <c r="F835" s="1" t="n">
        <v>3.91057E-005</v>
      </c>
      <c r="G835" s="1" t="s">
        <v>27</v>
      </c>
      <c r="H835" s="1" t="n">
        <v>51.7</v>
      </c>
      <c r="I835" s="1" t="n">
        <v>52.4</v>
      </c>
      <c r="J835" s="1" t="n">
        <v>-40.8</v>
      </c>
      <c r="K835" s="1"/>
      <c r="L835" s="1" t="n">
        <v>0</v>
      </c>
      <c r="M835" s="1" t="n">
        <v>0</v>
      </c>
      <c r="N835" s="1" t="s">
        <v>501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0" t="n">
        <f aca="false">I835+0</f>
        <v>52.4</v>
      </c>
      <c r="AB835" s="0" t="n">
        <f aca="false">IF(Z835&gt;360,Z835-360,Z835+0)</f>
        <v>52.4</v>
      </c>
      <c r="AC835" s="1"/>
      <c r="AD835" s="1"/>
      <c r="AE835" s="1"/>
      <c r="AF835" s="1"/>
    </row>
    <row r="836" customFormat="false" ht="15.8" hidden="false" customHeight="false" outlineLevel="0" collapsed="false">
      <c r="A836" s="1" t="n">
        <v>21</v>
      </c>
      <c r="B836" s="1" t="n">
        <v>15</v>
      </c>
      <c r="C836" s="1" t="n">
        <v>1.3</v>
      </c>
      <c r="D836" s="1" t="n">
        <v>1.0591</v>
      </c>
      <c r="E836" s="1" t="n">
        <v>0.0346032</v>
      </c>
      <c r="F836" s="1" t="n">
        <v>7.5299E-005</v>
      </c>
      <c r="G836" s="1" t="s">
        <v>52</v>
      </c>
      <c r="H836" s="1" t="n">
        <v>56.6</v>
      </c>
      <c r="I836" s="1" t="n">
        <v>17.4</v>
      </c>
      <c r="J836" s="1" t="n">
        <v>0</v>
      </c>
      <c r="K836" s="1" t="n">
        <v>51.7</v>
      </c>
      <c r="L836" s="1" t="n">
        <v>0</v>
      </c>
      <c r="M836" s="1" t="n">
        <v>0</v>
      </c>
      <c r="N836" s="1" t="s">
        <v>502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0" t="n">
        <f aca="false">I836+0</f>
        <v>17.4</v>
      </c>
      <c r="AB836" s="0" t="n">
        <f aca="false">IF(Z836&gt;360,Z836-360,Z836+0)</f>
        <v>17.4</v>
      </c>
      <c r="AC836" s="1"/>
      <c r="AD836" s="1"/>
      <c r="AE836" s="1"/>
      <c r="AF836" s="1"/>
    </row>
    <row r="837" customFormat="false" ht="15.8" hidden="false" customHeight="false" outlineLevel="0" collapsed="false">
      <c r="A837" s="1" t="n">
        <v>21</v>
      </c>
      <c r="B837" s="1" t="n">
        <v>15</v>
      </c>
      <c r="C837" s="1" t="n">
        <v>0.7</v>
      </c>
      <c r="D837" s="1" t="n">
        <v>1.0911</v>
      </c>
      <c r="E837" s="1" t="n">
        <v>0.0198122</v>
      </c>
      <c r="F837" s="1" t="n">
        <v>4.31127E-005</v>
      </c>
      <c r="G837" s="1" t="s">
        <v>27</v>
      </c>
      <c r="H837" s="1" t="n">
        <v>47.6</v>
      </c>
      <c r="I837" s="1" t="n">
        <v>101.8</v>
      </c>
      <c r="J837" s="1" t="n">
        <v>-33.9</v>
      </c>
      <c r="K837" s="1"/>
      <c r="L837" s="1" t="n">
        <v>0</v>
      </c>
      <c r="M837" s="1" t="n">
        <v>0</v>
      </c>
      <c r="N837" s="1" t="s">
        <v>502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0" t="n">
        <f aca="false">I837+0</f>
        <v>101.8</v>
      </c>
      <c r="AB837" s="0" t="n">
        <f aca="false">IF(Z837&gt;360,Z837-360,Z837+0)</f>
        <v>101.8</v>
      </c>
      <c r="AC837" s="1"/>
      <c r="AD837" s="1"/>
      <c r="AE837" s="1"/>
      <c r="AF837" s="1"/>
    </row>
    <row r="838" customFormat="false" ht="15.8" hidden="false" customHeight="false" outlineLevel="0" collapsed="false">
      <c r="A838" s="1" t="n">
        <v>21</v>
      </c>
      <c r="B838" s="1" t="n">
        <v>14</v>
      </c>
      <c r="C838" s="1" t="n">
        <v>4.4</v>
      </c>
      <c r="D838" s="1" t="n">
        <v>1.1698</v>
      </c>
      <c r="E838" s="1" t="n">
        <v>0.11919</v>
      </c>
      <c r="F838" s="1" t="n">
        <v>0.000259367</v>
      </c>
      <c r="G838" s="1" t="s">
        <v>52</v>
      </c>
      <c r="H838" s="1" t="n">
        <v>70.2</v>
      </c>
      <c r="I838" s="1" t="n">
        <v>73.8</v>
      </c>
      <c r="J838" s="1" t="n">
        <v>5.7</v>
      </c>
      <c r="K838" s="1" t="n">
        <v>56.6</v>
      </c>
      <c r="L838" s="1" t="n">
        <v>0</v>
      </c>
      <c r="M838" s="1" t="n">
        <v>0</v>
      </c>
      <c r="N838" s="1" t="s">
        <v>503</v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0" t="n">
        <f aca="false">I838+0</f>
        <v>73.8</v>
      </c>
      <c r="AB838" s="0" t="n">
        <f aca="false">IF(Z838&gt;360,Z838-360,Z838+0)</f>
        <v>73.8</v>
      </c>
      <c r="AC838" s="1"/>
      <c r="AD838" s="1"/>
      <c r="AE838" s="1"/>
      <c r="AF838" s="1"/>
    </row>
    <row r="839" customFormat="false" ht="15.8" hidden="false" customHeight="false" outlineLevel="0" collapsed="false">
      <c r="A839" s="1" t="n">
        <v>21</v>
      </c>
      <c r="B839" s="1" t="n">
        <v>14</v>
      </c>
      <c r="C839" s="1" t="n">
        <v>5</v>
      </c>
      <c r="D839" s="1" t="n">
        <v>1.3064</v>
      </c>
      <c r="E839" s="1" t="n">
        <v>0.136626</v>
      </c>
      <c r="F839" s="1" t="n">
        <v>0.000297308</v>
      </c>
      <c r="G839" s="1" t="s">
        <v>27</v>
      </c>
      <c r="H839" s="1" t="n">
        <v>43.7</v>
      </c>
      <c r="I839" s="1" t="n">
        <v>14.5</v>
      </c>
      <c r="J839" s="1" t="n">
        <v>-42.6</v>
      </c>
      <c r="K839" s="1"/>
      <c r="L839" s="1" t="n">
        <v>0</v>
      </c>
      <c r="M839" s="1" t="n">
        <v>0</v>
      </c>
      <c r="N839" s="1" t="s">
        <v>503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0" t="n">
        <f aca="false">I839+0</f>
        <v>14.5</v>
      </c>
      <c r="AB839" s="0" t="n">
        <f aca="false">IF(Z839&gt;360,Z839-360,Z839+0)</f>
        <v>14.5</v>
      </c>
      <c r="AC839" s="1"/>
      <c r="AD839" s="1"/>
      <c r="AE839" s="1"/>
      <c r="AF839" s="1"/>
    </row>
    <row r="840" customFormat="false" ht="15.8" hidden="false" customHeight="false" outlineLevel="0" collapsed="false">
      <c r="A840" s="1" t="n">
        <v>21</v>
      </c>
      <c r="B840" s="1" t="n">
        <v>13</v>
      </c>
      <c r="C840" s="1" t="n">
        <v>1</v>
      </c>
      <c r="D840" s="1" t="n">
        <v>1.0093</v>
      </c>
      <c r="E840" s="1" t="n">
        <v>0.0268166</v>
      </c>
      <c r="F840" s="1" t="n">
        <v>5.83547E-005</v>
      </c>
      <c r="G840" s="1" t="s">
        <v>52</v>
      </c>
      <c r="H840" s="1" t="n">
        <v>30</v>
      </c>
      <c r="I840" s="1" t="n">
        <v>3.7</v>
      </c>
      <c r="J840" s="1" t="n">
        <v>0</v>
      </c>
      <c r="K840" s="1" t="n">
        <v>70.2</v>
      </c>
      <c r="L840" s="1" t="n">
        <v>0</v>
      </c>
      <c r="M840" s="1" t="n">
        <v>0</v>
      </c>
      <c r="N840" s="1" t="s">
        <v>504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0" t="n">
        <f aca="false">I840+0</f>
        <v>3.7</v>
      </c>
      <c r="AB840" s="0" t="n">
        <f aca="false">IF(Z840&gt;360,Z840-360,Z840+0)</f>
        <v>3.7</v>
      </c>
      <c r="AC840" s="1"/>
      <c r="AD840" s="1"/>
      <c r="AE840" s="1"/>
      <c r="AF840" s="1"/>
    </row>
    <row r="841" customFormat="false" ht="15.8" hidden="false" customHeight="false" outlineLevel="0" collapsed="false">
      <c r="A841" s="1" t="n">
        <v>21</v>
      </c>
      <c r="B841" s="1" t="n">
        <v>13</v>
      </c>
      <c r="C841" s="1" t="n">
        <v>5.7</v>
      </c>
      <c r="D841" s="1" t="n">
        <v>1.5473</v>
      </c>
      <c r="E841" s="1" t="n">
        <v>0.154865</v>
      </c>
      <c r="F841" s="1" t="n">
        <v>0.000336998</v>
      </c>
      <c r="G841" s="1" t="s">
        <v>27</v>
      </c>
      <c r="H841" s="1" t="n">
        <v>62.7</v>
      </c>
      <c r="I841" s="1" t="n">
        <v>88.6</v>
      </c>
      <c r="J841" s="1" t="n">
        <v>-37.3</v>
      </c>
      <c r="K841" s="1"/>
      <c r="L841" s="1" t="n">
        <v>0</v>
      </c>
      <c r="M841" s="1" t="n">
        <v>0</v>
      </c>
      <c r="N841" s="1" t="s">
        <v>504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0" t="n">
        <f aca="false">I841+0</f>
        <v>88.6</v>
      </c>
      <c r="AB841" s="0" t="n">
        <f aca="false">IF(Z841&gt;360,Z841-360,Z841+0)</f>
        <v>88.6</v>
      </c>
      <c r="AC841" s="1"/>
      <c r="AD841" s="1"/>
      <c r="AE841" s="1"/>
      <c r="AF841" s="1"/>
    </row>
    <row r="842" customFormat="false" ht="15.8" hidden="false" customHeight="false" outlineLevel="0" collapsed="false">
      <c r="A842" s="1" t="n">
        <v>21</v>
      </c>
      <c r="B842" s="1" t="n">
        <v>12</v>
      </c>
      <c r="C842" s="1" t="n">
        <v>2.6</v>
      </c>
      <c r="D842" s="1" t="n">
        <v>1.0605</v>
      </c>
      <c r="E842" s="1" t="n">
        <v>0.0722513</v>
      </c>
      <c r="F842" s="1" t="n">
        <v>0.000157224</v>
      </c>
      <c r="G842" s="1" t="s">
        <v>52</v>
      </c>
      <c r="H842" s="1" t="n">
        <v>1.5</v>
      </c>
      <c r="I842" s="1" t="n">
        <v>33.7</v>
      </c>
      <c r="J842" s="1" t="n">
        <v>0</v>
      </c>
      <c r="K842" s="1" t="n">
        <v>62.7</v>
      </c>
      <c r="L842" s="1" t="n">
        <v>0</v>
      </c>
      <c r="M842" s="1" t="n">
        <v>0</v>
      </c>
      <c r="N842" s="1" t="s">
        <v>505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0" t="n">
        <f aca="false">I842+0</f>
        <v>33.7</v>
      </c>
      <c r="AB842" s="0" t="n">
        <f aca="false">IF(Z842&gt;360,Z842-360,Z842+0)</f>
        <v>33.7</v>
      </c>
      <c r="AC842" s="1"/>
      <c r="AD842" s="1"/>
      <c r="AE842" s="1"/>
      <c r="AF842" s="1"/>
    </row>
    <row r="843" customFormat="false" ht="15.8" hidden="false" customHeight="false" outlineLevel="0" collapsed="false">
      <c r="A843" s="1" t="n">
        <v>21</v>
      </c>
      <c r="B843" s="1" t="n">
        <v>12</v>
      </c>
      <c r="C843" s="1" t="n">
        <v>1.4</v>
      </c>
      <c r="D843" s="1" t="n">
        <v>1.1649</v>
      </c>
      <c r="E843" s="1" t="n">
        <v>0.0371959</v>
      </c>
      <c r="F843" s="1" t="n">
        <v>8.09408E-005</v>
      </c>
      <c r="G843" s="1" t="s">
        <v>27</v>
      </c>
      <c r="H843" s="1" t="n">
        <v>36.2</v>
      </c>
      <c r="I843" s="1" t="n">
        <v>66.9</v>
      </c>
      <c r="J843" s="1" t="n">
        <v>18.5</v>
      </c>
      <c r="K843" s="1"/>
      <c r="L843" s="1" t="n">
        <v>0</v>
      </c>
      <c r="M843" s="1" t="n">
        <v>0</v>
      </c>
      <c r="N843" s="1" t="s">
        <v>505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0" t="n">
        <f aca="false">I843+0</f>
        <v>66.9</v>
      </c>
      <c r="AB843" s="0" t="n">
        <f aca="false">IF(Z843&gt;360,Z843-360,Z843+0)</f>
        <v>66.9</v>
      </c>
      <c r="AC843" s="1"/>
      <c r="AD843" s="1"/>
      <c r="AE843" s="1"/>
      <c r="AF843" s="1"/>
    </row>
    <row r="844" customFormat="false" ht="15.8" hidden="false" customHeight="false" outlineLevel="0" collapsed="false">
      <c r="A844" s="1" t="n">
        <v>21</v>
      </c>
      <c r="B844" s="1" t="n">
        <v>11</v>
      </c>
      <c r="C844" s="1" t="n">
        <v>0.5</v>
      </c>
      <c r="D844" s="1" t="n">
        <v>1.0003</v>
      </c>
      <c r="E844" s="1" t="n">
        <v>0.0148631</v>
      </c>
      <c r="F844" s="1" t="n">
        <v>3.23432E-005</v>
      </c>
      <c r="G844" s="1" t="s">
        <v>52</v>
      </c>
      <c r="H844" s="1" t="n">
        <v>47.8</v>
      </c>
      <c r="I844" s="1" t="n">
        <v>35.2</v>
      </c>
      <c r="J844" s="1" t="n">
        <v>0</v>
      </c>
      <c r="K844" s="1" t="n">
        <v>36.2</v>
      </c>
      <c r="L844" s="1" t="n">
        <v>0</v>
      </c>
      <c r="M844" s="1" t="n">
        <v>0</v>
      </c>
      <c r="N844" s="1" t="s">
        <v>506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0" t="n">
        <f aca="false">I844+0</f>
        <v>35.2</v>
      </c>
      <c r="AB844" s="0" t="n">
        <f aca="false">IF(Z844&gt;360,Z844-360,Z844+0)</f>
        <v>35.2</v>
      </c>
      <c r="AC844" s="1"/>
      <c r="AD844" s="1"/>
      <c r="AE844" s="1"/>
      <c r="AF844" s="1"/>
    </row>
    <row r="845" customFormat="false" ht="15.8" hidden="false" customHeight="false" outlineLevel="0" collapsed="false">
      <c r="A845" s="1" t="n">
        <v>21</v>
      </c>
      <c r="B845" s="1" t="n">
        <v>11</v>
      </c>
      <c r="C845" s="1" t="n">
        <v>3.4</v>
      </c>
      <c r="D845" s="1" t="n">
        <v>1.2364</v>
      </c>
      <c r="E845" s="1" t="n">
        <v>0.0923786</v>
      </c>
      <c r="F845" s="1" t="n">
        <v>0.000201022</v>
      </c>
      <c r="G845" s="1" t="s">
        <v>27</v>
      </c>
      <c r="H845" s="1" t="n">
        <v>50.5</v>
      </c>
      <c r="I845" s="1" t="n">
        <v>296.1</v>
      </c>
      <c r="J845" s="1" t="n">
        <v>-32.8</v>
      </c>
      <c r="K845" s="1"/>
      <c r="L845" s="1" t="n">
        <v>0</v>
      </c>
      <c r="M845" s="1" t="n">
        <v>0</v>
      </c>
      <c r="N845" s="1" t="s">
        <v>506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0" t="n">
        <f aca="false">I845+0</f>
        <v>296.1</v>
      </c>
      <c r="AB845" s="0" t="n">
        <f aca="false">IF(Z845&gt;360,Z845-360,Z845+0)</f>
        <v>296.1</v>
      </c>
      <c r="AC845" s="1"/>
      <c r="AD845" s="1"/>
      <c r="AE845" s="1"/>
      <c r="AF845" s="1"/>
    </row>
    <row r="846" customFormat="false" ht="15.8" hidden="false" customHeight="false" outlineLevel="0" collapsed="false">
      <c r="A846" s="1" t="n">
        <v>21</v>
      </c>
      <c r="B846" s="1" t="n">
        <v>10</v>
      </c>
      <c r="C846" s="1" t="n">
        <v>5.9</v>
      </c>
      <c r="D846" s="1" t="n">
        <v>1.2102</v>
      </c>
      <c r="E846" s="1" t="n">
        <v>0.160451</v>
      </c>
      <c r="F846" s="1" t="n">
        <v>0.000349619</v>
      </c>
      <c r="G846" s="1" t="s">
        <v>52</v>
      </c>
      <c r="H846" s="1" t="n">
        <v>74.6</v>
      </c>
      <c r="I846" s="1" t="n">
        <v>350.1</v>
      </c>
      <c r="J846" s="1" t="n">
        <v>-17.8</v>
      </c>
      <c r="K846" s="1" t="n">
        <v>50.5</v>
      </c>
      <c r="L846" s="1" t="n">
        <v>0</v>
      </c>
      <c r="M846" s="1" t="n">
        <v>0</v>
      </c>
      <c r="N846" s="1" t="s">
        <v>507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0" t="n">
        <f aca="false">I846+0</f>
        <v>350.1</v>
      </c>
      <c r="AB846" s="0" t="n">
        <f aca="false">IF(Z846&gt;360,Z846-360,Z846+0)</f>
        <v>350.1</v>
      </c>
      <c r="AC846" s="1"/>
      <c r="AD846" s="1"/>
      <c r="AE846" s="1"/>
      <c r="AF846" s="1"/>
    </row>
    <row r="847" customFormat="false" ht="15.8" hidden="false" customHeight="false" outlineLevel="0" collapsed="false">
      <c r="A847" s="1" t="n">
        <v>21</v>
      </c>
      <c r="B847" s="1" t="n">
        <v>16</v>
      </c>
      <c r="C847" s="1" t="n">
        <v>1.1</v>
      </c>
      <c r="D847" s="1" t="n">
        <v>1.1877</v>
      </c>
      <c r="E847" s="1" t="n">
        <v>0.0311992</v>
      </c>
      <c r="F847" s="1" t="n">
        <v>6.78917E-005</v>
      </c>
      <c r="G847" s="1" t="s">
        <v>27</v>
      </c>
      <c r="H847" s="1" t="n">
        <v>53.5</v>
      </c>
      <c r="I847" s="1" t="n">
        <v>109.5</v>
      </c>
      <c r="J847" s="1" t="n">
        <v>-22.7</v>
      </c>
      <c r="K847" s="1"/>
      <c r="L847" s="1" t="n">
        <v>0</v>
      </c>
      <c r="M847" s="1" t="n">
        <v>0</v>
      </c>
      <c r="N847" s="1" t="s">
        <v>508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0" t="n">
        <f aca="false">I847+0</f>
        <v>109.5</v>
      </c>
      <c r="AB847" s="0" t="n">
        <f aca="false">IF(Z847&gt;360,Z847-360,Z847+0)</f>
        <v>109.5</v>
      </c>
      <c r="AC847" s="1"/>
      <c r="AD847" s="1"/>
      <c r="AE847" s="1"/>
      <c r="AF847" s="1"/>
    </row>
    <row r="848" customFormat="false" ht="15.8" hidden="false" customHeight="false" outlineLevel="0" collapsed="false">
      <c r="A848" s="1" t="n">
        <v>21</v>
      </c>
      <c r="B848" s="1" t="n">
        <v>16</v>
      </c>
      <c r="C848" s="1" t="n">
        <v>1.5</v>
      </c>
      <c r="D848" s="1" t="n">
        <v>1.1778</v>
      </c>
      <c r="E848" s="1" t="n">
        <v>0.040336</v>
      </c>
      <c r="F848" s="1" t="n">
        <v>8.7774E-005</v>
      </c>
      <c r="G848" s="1" t="s">
        <v>27</v>
      </c>
      <c r="H848" s="1" t="n">
        <v>53.2</v>
      </c>
      <c r="I848" s="1" t="n">
        <v>8.4</v>
      </c>
      <c r="J848" s="1" t="n">
        <v>-17.2</v>
      </c>
      <c r="K848" s="1"/>
      <c r="L848" s="1" t="n">
        <v>0</v>
      </c>
      <c r="M848" s="1" t="n">
        <v>0</v>
      </c>
      <c r="N848" s="1" t="s">
        <v>508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0" t="n">
        <f aca="false">I848+0</f>
        <v>8.4</v>
      </c>
      <c r="AB848" s="0" t="n">
        <f aca="false">IF(Z848&gt;360,Z848-360,Z848+0)</f>
        <v>8.4</v>
      </c>
      <c r="AC848" s="1"/>
      <c r="AD848" s="1"/>
      <c r="AE848" s="1"/>
      <c r="AF848" s="1"/>
    </row>
    <row r="849" customFormat="false" ht="15.8" hidden="false" customHeight="false" outlineLevel="0" collapsed="false">
      <c r="A849" s="1" t="n">
        <v>21</v>
      </c>
      <c r="B849" s="1" t="n">
        <v>15</v>
      </c>
      <c r="C849" s="1" t="n">
        <v>3.7</v>
      </c>
      <c r="D849" s="1" t="n">
        <v>1.0732</v>
      </c>
      <c r="E849" s="1" t="n">
        <v>0.101905</v>
      </c>
      <c r="F849" s="1" t="n">
        <v>0.000221753</v>
      </c>
      <c r="G849" s="1" t="s">
        <v>52</v>
      </c>
      <c r="H849" s="1" t="n">
        <v>46.4</v>
      </c>
      <c r="I849" s="1" t="n">
        <v>59.6</v>
      </c>
      <c r="J849" s="1" t="n">
        <v>0</v>
      </c>
      <c r="K849" s="1" t="n">
        <v>53.5</v>
      </c>
      <c r="L849" s="1" t="n">
        <v>0</v>
      </c>
      <c r="M849" s="1" t="n">
        <v>0</v>
      </c>
      <c r="N849" s="1" t="s">
        <v>509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0" t="n">
        <f aca="false">I849+0</f>
        <v>59.6</v>
      </c>
      <c r="AB849" s="0" t="n">
        <f aca="false">IF(Z849&gt;360,Z849-360,Z849+0)</f>
        <v>59.6</v>
      </c>
      <c r="AC849" s="1"/>
      <c r="AD849" s="1"/>
      <c r="AE849" s="1"/>
      <c r="AF849" s="1"/>
    </row>
    <row r="850" customFormat="false" ht="15.8" hidden="false" customHeight="false" outlineLevel="0" collapsed="false">
      <c r="A850" s="1" t="n">
        <v>21</v>
      </c>
      <c r="B850" s="1" t="n">
        <v>15</v>
      </c>
      <c r="C850" s="1" t="n">
        <v>0.3</v>
      </c>
      <c r="D850" s="1" t="n">
        <v>1</v>
      </c>
      <c r="E850" s="1" t="n">
        <v>0.00791231</v>
      </c>
      <c r="F850" s="1" t="n">
        <v>1.72177E-005</v>
      </c>
      <c r="G850" s="1" t="s">
        <v>27</v>
      </c>
      <c r="H850" s="1" t="n">
        <v>87.5</v>
      </c>
      <c r="I850" s="1" t="n">
        <v>285.7</v>
      </c>
      <c r="J850" s="1" t="n">
        <v>0</v>
      </c>
      <c r="K850" s="1"/>
      <c r="L850" s="1" t="n">
        <v>0</v>
      </c>
      <c r="M850" s="1" t="n">
        <v>0</v>
      </c>
      <c r="N850" s="1" t="s">
        <v>509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0" t="n">
        <f aca="false">I850+0</f>
        <v>285.7</v>
      </c>
      <c r="AB850" s="0" t="n">
        <f aca="false">IF(Z850&gt;360,Z850-360,Z850+0)</f>
        <v>285.7</v>
      </c>
      <c r="AC850" s="1"/>
      <c r="AD850" s="1"/>
      <c r="AE850" s="1"/>
      <c r="AF850" s="1"/>
    </row>
    <row r="851" customFormat="false" ht="15.8" hidden="false" customHeight="false" outlineLevel="0" collapsed="false">
      <c r="A851" s="1" t="n">
        <v>21</v>
      </c>
      <c r="B851" s="1" t="n">
        <v>14</v>
      </c>
      <c r="C851" s="1" t="n">
        <v>2.2</v>
      </c>
      <c r="D851" s="1" t="n">
        <v>1.3007</v>
      </c>
      <c r="E851" s="1" t="n">
        <v>0.0610545</v>
      </c>
      <c r="F851" s="1" t="n">
        <v>0.000132859</v>
      </c>
      <c r="G851" s="1" t="s">
        <v>52</v>
      </c>
      <c r="H851" s="1" t="n">
        <v>19.2</v>
      </c>
      <c r="I851" s="1" t="n">
        <v>13.2</v>
      </c>
      <c r="J851" s="1" t="n">
        <v>0</v>
      </c>
      <c r="K851" s="1" t="n">
        <v>87.5</v>
      </c>
      <c r="L851" s="1" t="n">
        <v>0</v>
      </c>
      <c r="M851" s="1" t="n">
        <v>0</v>
      </c>
      <c r="N851" s="1" t="s">
        <v>510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0" t="n">
        <f aca="false">I851+0</f>
        <v>13.2</v>
      </c>
      <c r="AB851" s="0" t="n">
        <f aca="false">IF(Z851&gt;360,Z851-360,Z851+0)</f>
        <v>13.2</v>
      </c>
      <c r="AC851" s="1"/>
      <c r="AD851" s="1"/>
      <c r="AE851" s="1"/>
      <c r="AF851" s="1"/>
    </row>
    <row r="852" customFormat="false" ht="15.8" hidden="false" customHeight="false" outlineLevel="0" collapsed="false">
      <c r="A852" s="1" t="n">
        <v>21</v>
      </c>
      <c r="B852" s="1" t="n">
        <v>14</v>
      </c>
      <c r="C852" s="1" t="n">
        <v>5.2</v>
      </c>
      <c r="D852" s="1" t="n">
        <v>1.1817</v>
      </c>
      <c r="E852" s="1" t="n">
        <v>0.143449</v>
      </c>
      <c r="F852" s="1" t="n">
        <v>0.000312155</v>
      </c>
      <c r="G852" s="1" t="s">
        <v>27</v>
      </c>
      <c r="H852" s="1" t="n">
        <v>77.2</v>
      </c>
      <c r="I852" s="1" t="n">
        <v>81.2</v>
      </c>
      <c r="J852" s="1" t="n">
        <v>0</v>
      </c>
      <c r="K852" s="1"/>
      <c r="L852" s="1" t="n">
        <v>0</v>
      </c>
      <c r="M852" s="1" t="n">
        <v>0</v>
      </c>
      <c r="N852" s="1" t="s">
        <v>510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0" t="n">
        <f aca="false">I852+0</f>
        <v>81.2</v>
      </c>
      <c r="AB852" s="0" t="n">
        <f aca="false">IF(Z852&gt;360,Z852-360,Z852+0)</f>
        <v>81.2</v>
      </c>
      <c r="AC852" s="1"/>
      <c r="AD852" s="1"/>
      <c r="AE852" s="1"/>
      <c r="AF852" s="1"/>
    </row>
    <row r="853" customFormat="false" ht="15.8" hidden="false" customHeight="false" outlineLevel="0" collapsed="false">
      <c r="A853" s="1" t="n">
        <v>21</v>
      </c>
      <c r="B853" s="1" t="n">
        <v>13</v>
      </c>
      <c r="C853" s="1" t="n">
        <v>3</v>
      </c>
      <c r="D853" s="1" t="n">
        <v>1.1987</v>
      </c>
      <c r="E853" s="1" t="n">
        <v>0.0820937</v>
      </c>
      <c r="F853" s="1" t="n">
        <v>0.000178642</v>
      </c>
      <c r="G853" s="1" t="s">
        <v>52</v>
      </c>
      <c r="H853" s="1" t="n">
        <v>28.3</v>
      </c>
      <c r="I853" s="1" t="n">
        <v>4.6</v>
      </c>
      <c r="J853" s="1" t="n">
        <v>17.2</v>
      </c>
      <c r="K853" s="1" t="n">
        <v>77.2</v>
      </c>
      <c r="L853" s="1" t="n">
        <v>0</v>
      </c>
      <c r="M853" s="1" t="n">
        <v>0</v>
      </c>
      <c r="N853" s="1" t="s">
        <v>511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0" t="n">
        <f aca="false">I853+0</f>
        <v>4.6</v>
      </c>
      <c r="AB853" s="0" t="n">
        <f aca="false">IF(Z853&gt;360,Z853-360,Z853+0)</f>
        <v>4.6</v>
      </c>
      <c r="AC853" s="1"/>
      <c r="AD853" s="1"/>
      <c r="AE853" s="1"/>
      <c r="AF853" s="1"/>
    </row>
    <row r="854" customFormat="false" ht="15.8" hidden="false" customHeight="false" outlineLevel="0" collapsed="false">
      <c r="A854" s="1" t="n">
        <v>21</v>
      </c>
      <c r="B854" s="1" t="n">
        <v>13</v>
      </c>
      <c r="C854" s="1" t="n">
        <v>1.8</v>
      </c>
      <c r="D854" s="1" t="n">
        <v>1.0122</v>
      </c>
      <c r="E854" s="1" t="n">
        <v>0.0500437</v>
      </c>
      <c r="F854" s="1" t="n">
        <v>0.000108899</v>
      </c>
      <c r="G854" s="1" t="s">
        <v>27</v>
      </c>
      <c r="H854" s="1" t="n">
        <v>95.4</v>
      </c>
      <c r="I854" s="1" t="n">
        <v>128.7</v>
      </c>
      <c r="J854" s="1" t="n">
        <v>0</v>
      </c>
      <c r="K854" s="1"/>
      <c r="L854" s="1" t="n">
        <v>0</v>
      </c>
      <c r="M854" s="1" t="n">
        <v>0</v>
      </c>
      <c r="N854" s="1" t="s">
        <v>511</v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0" t="n">
        <f aca="false">I854+0</f>
        <v>128.7</v>
      </c>
      <c r="AB854" s="0" t="n">
        <f aca="false">IF(Z854&gt;360,Z854-360,Z854+0)</f>
        <v>128.7</v>
      </c>
      <c r="AC854" s="1"/>
      <c r="AD854" s="1"/>
      <c r="AE854" s="1"/>
      <c r="AF854" s="1"/>
    </row>
    <row r="855" customFormat="false" ht="15.8" hidden="false" customHeight="false" outlineLevel="0" collapsed="false">
      <c r="A855" s="1" t="n">
        <v>21</v>
      </c>
      <c r="B855" s="1" t="n">
        <v>12</v>
      </c>
      <c r="C855" s="1" t="n">
        <v>4.6</v>
      </c>
      <c r="D855" s="1" t="n">
        <v>1.2152</v>
      </c>
      <c r="E855" s="1" t="n">
        <v>0.132057</v>
      </c>
      <c r="F855" s="1" t="n">
        <v>0.000301648</v>
      </c>
      <c r="G855" s="1" t="s">
        <v>52</v>
      </c>
      <c r="H855" s="1" t="n">
        <v>37.2</v>
      </c>
      <c r="I855" s="1" t="n">
        <v>33.2</v>
      </c>
      <c r="J855" s="1" t="n">
        <v>11.3</v>
      </c>
      <c r="K855" s="1" t="n">
        <v>95.4</v>
      </c>
      <c r="L855" s="1" t="n">
        <v>0</v>
      </c>
      <c r="M855" s="1" t="n">
        <v>0</v>
      </c>
      <c r="N855" s="1" t="s">
        <v>512</v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0" t="n">
        <f aca="false">I855+0</f>
        <v>33.2</v>
      </c>
      <c r="AB855" s="0" t="n">
        <f aca="false">IF(Z855&gt;360,Z855-360,Z855+0)</f>
        <v>33.2</v>
      </c>
      <c r="AC855" s="1"/>
      <c r="AD855" s="1"/>
      <c r="AE855" s="1"/>
      <c r="AF855" s="1"/>
    </row>
    <row r="856" customFormat="false" ht="15.8" hidden="false" customHeight="false" outlineLevel="0" collapsed="false">
      <c r="A856" s="1" t="n">
        <v>21</v>
      </c>
      <c r="B856" s="1" t="n">
        <v>12</v>
      </c>
      <c r="C856" s="1" t="n">
        <v>0.9</v>
      </c>
      <c r="D856" s="1" t="n">
        <v>1.0179</v>
      </c>
      <c r="E856" s="1" t="n">
        <v>0.0245415</v>
      </c>
      <c r="F856" s="1" t="n">
        <v>5.62148E-005</v>
      </c>
      <c r="G856" s="1" t="s">
        <v>27</v>
      </c>
      <c r="H856" s="1" t="n">
        <v>57.3</v>
      </c>
      <c r="I856" s="1" t="n">
        <v>300.2</v>
      </c>
      <c r="J856" s="1" t="n">
        <v>0</v>
      </c>
      <c r="K856" s="1"/>
      <c r="L856" s="1" t="n">
        <v>0</v>
      </c>
      <c r="M856" s="1" t="n">
        <v>0</v>
      </c>
      <c r="N856" s="1" t="s">
        <v>512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0" t="n">
        <f aca="false">I856+0</f>
        <v>300.2</v>
      </c>
      <c r="AB856" s="0" t="n">
        <f aca="false">IF(Z856&gt;360,Z856-360,Z856+0)</f>
        <v>300.2</v>
      </c>
      <c r="AC856" s="1"/>
      <c r="AD856" s="1"/>
      <c r="AE856" s="1"/>
      <c r="AF856" s="1"/>
    </row>
    <row r="857" customFormat="false" ht="15.8" hidden="false" customHeight="false" outlineLevel="0" collapsed="false">
      <c r="A857" s="1" t="n">
        <v>21</v>
      </c>
      <c r="B857" s="1" t="n">
        <v>11</v>
      </c>
      <c r="C857" s="1" t="n">
        <v>3.9</v>
      </c>
      <c r="D857" s="1" t="n">
        <v>1.3291</v>
      </c>
      <c r="E857" s="1" t="n">
        <v>0.111923</v>
      </c>
      <c r="F857" s="1" t="n">
        <v>0.000256371</v>
      </c>
      <c r="G857" s="1" t="s">
        <v>52</v>
      </c>
      <c r="H857" s="1" t="n">
        <v>113.4</v>
      </c>
      <c r="I857" s="1" t="n">
        <v>357.5</v>
      </c>
      <c r="J857" s="1" t="n">
        <v>0</v>
      </c>
      <c r="K857" s="1" t="n">
        <v>57.3</v>
      </c>
      <c r="L857" s="1" t="n">
        <v>0</v>
      </c>
      <c r="M857" s="1" t="n">
        <v>0</v>
      </c>
      <c r="N857" s="1" t="s">
        <v>513</v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0" t="n">
        <f aca="false">I857+0</f>
        <v>357.5</v>
      </c>
      <c r="AB857" s="0" t="n">
        <f aca="false">IF(Z857&gt;360,Z857-360,Z857+0)</f>
        <v>357.5</v>
      </c>
      <c r="AC857" s="1"/>
      <c r="AD857" s="1"/>
      <c r="AE857" s="1"/>
      <c r="AF857" s="1"/>
    </row>
    <row r="858" customFormat="false" ht="15.8" hidden="false" customHeight="false" outlineLevel="0" collapsed="false">
      <c r="A858" s="1" t="n">
        <v>21</v>
      </c>
      <c r="B858" s="1" t="n">
        <v>12</v>
      </c>
      <c r="C858" s="1" t="n">
        <v>4.2</v>
      </c>
      <c r="D858" s="1" t="n">
        <v>1.1677</v>
      </c>
      <c r="E858" s="1" t="n">
        <v>0.121453</v>
      </c>
      <c r="F858" s="1" t="n">
        <v>0.000278201</v>
      </c>
      <c r="G858" s="1" t="s">
        <v>27</v>
      </c>
      <c r="H858" s="1" t="n">
        <v>89.3</v>
      </c>
      <c r="I858" s="1" t="n">
        <v>195.3</v>
      </c>
      <c r="J858" s="1" t="n">
        <v>-17.9</v>
      </c>
      <c r="K858" s="1"/>
      <c r="L858" s="1" t="n">
        <v>0</v>
      </c>
      <c r="M858" s="1" t="n">
        <v>0</v>
      </c>
      <c r="N858" s="1" t="s">
        <v>514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0" t="n">
        <f aca="false">I858+0</f>
        <v>195.3</v>
      </c>
      <c r="AB858" s="0" t="n">
        <f aca="false">IF(Z858&gt;360,Z858-360,Z858+0)</f>
        <v>195.3</v>
      </c>
      <c r="AC858" s="1"/>
      <c r="AD858" s="1"/>
      <c r="AE858" s="1"/>
      <c r="AF858" s="1"/>
    </row>
    <row r="859" customFormat="false" ht="15.8" hidden="false" customHeight="false" outlineLevel="0" collapsed="false">
      <c r="A859" s="1" t="n">
        <v>21</v>
      </c>
      <c r="B859" s="1" t="n">
        <v>12</v>
      </c>
      <c r="C859" s="1" t="n">
        <v>2.1</v>
      </c>
      <c r="D859" s="1" t="n">
        <v>1.3626</v>
      </c>
      <c r="E859" s="1" t="n">
        <v>0.0603813</v>
      </c>
      <c r="F859" s="1" t="n">
        <v>0.000138309</v>
      </c>
      <c r="G859" s="1" t="s">
        <v>27</v>
      </c>
      <c r="H859" s="1" t="n">
        <v>92</v>
      </c>
      <c r="I859" s="1" t="n">
        <v>359</v>
      </c>
      <c r="J859" s="1" t="n">
        <v>0</v>
      </c>
      <c r="K859" s="1"/>
      <c r="L859" s="1" t="n">
        <v>0</v>
      </c>
      <c r="M859" s="1" t="n">
        <v>0</v>
      </c>
      <c r="N859" s="1" t="s">
        <v>514</v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0" t="n">
        <f aca="false">I859+0</f>
        <v>359</v>
      </c>
      <c r="AB859" s="0" t="n">
        <f aca="false">IF(Z859&gt;360,Z859-360,Z859+0)</f>
        <v>359</v>
      </c>
      <c r="AC859" s="1"/>
      <c r="AD859" s="1"/>
      <c r="AE859" s="1"/>
      <c r="AF859" s="1"/>
    </row>
    <row r="860" customFormat="false" ht="15.8" hidden="false" customHeight="false" outlineLevel="0" collapsed="false">
      <c r="A860" s="1" t="n">
        <v>21</v>
      </c>
      <c r="B860" s="1" t="n">
        <v>11</v>
      </c>
      <c r="C860" s="1" t="n">
        <v>2.8</v>
      </c>
      <c r="D860" s="1" t="n">
        <v>1.559</v>
      </c>
      <c r="E860" s="1" t="n">
        <v>0.080579</v>
      </c>
      <c r="F860" s="1" t="n">
        <v>0.000184574</v>
      </c>
      <c r="G860" s="1" t="s">
        <v>52</v>
      </c>
      <c r="H860" s="1" t="n">
        <v>42.2</v>
      </c>
      <c r="I860" s="1" t="n">
        <v>91.5</v>
      </c>
      <c r="J860" s="1" t="n">
        <v>-38.2</v>
      </c>
      <c r="K860" s="1" t="n">
        <v>92</v>
      </c>
      <c r="L860" s="1" t="n">
        <v>0</v>
      </c>
      <c r="M860" s="1" t="n">
        <v>0</v>
      </c>
      <c r="N860" s="1" t="s">
        <v>513</v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0" t="n">
        <f aca="false">I860+0</f>
        <v>91.5</v>
      </c>
      <c r="AB860" s="0" t="n">
        <f aca="false">IF(Z860&gt;360,Z860-360,Z860+0)</f>
        <v>91.5</v>
      </c>
      <c r="AC860" s="1"/>
      <c r="AD860" s="1"/>
      <c r="AE860" s="1"/>
      <c r="AF860" s="1"/>
    </row>
    <row r="861" customFormat="false" ht="15.8" hidden="false" customHeight="false" outlineLevel="0" collapsed="false">
      <c r="A861" s="1" t="n">
        <v>21</v>
      </c>
      <c r="B861" s="1" t="n">
        <v>10</v>
      </c>
      <c r="C861" s="1" t="n">
        <v>0.7</v>
      </c>
      <c r="D861" s="1" t="n">
        <v>1.0415</v>
      </c>
      <c r="E861" s="1" t="n">
        <v>0.0199981</v>
      </c>
      <c r="F861" s="1" t="n">
        <v>4.58077E-005</v>
      </c>
      <c r="G861" s="1" t="s">
        <v>52</v>
      </c>
      <c r="H861" s="1" t="n">
        <v>55</v>
      </c>
      <c r="I861" s="1" t="n">
        <v>110.9</v>
      </c>
      <c r="J861" s="1" t="n">
        <v>0</v>
      </c>
      <c r="K861" s="1" t="n">
        <v>113.4</v>
      </c>
      <c r="L861" s="1" t="n">
        <v>0</v>
      </c>
      <c r="M861" s="1" t="n">
        <v>0</v>
      </c>
      <c r="N861" s="1" t="s">
        <v>507</v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0" t="n">
        <f aca="false">I861+0</f>
        <v>110.9</v>
      </c>
      <c r="AB861" s="0" t="n">
        <f aca="false">IF(Z861&gt;360,Z861-360,Z861+0)</f>
        <v>110.9</v>
      </c>
      <c r="AC861" s="1"/>
      <c r="AD861" s="1"/>
      <c r="AE861" s="1"/>
      <c r="AF861" s="1"/>
    </row>
    <row r="862" customFormat="false" ht="15.8" hidden="false" customHeight="false" outlineLevel="0" collapsed="false">
      <c r="A862" s="1" t="n">
        <v>21</v>
      </c>
      <c r="B862" s="1" t="n">
        <v>9</v>
      </c>
      <c r="C862" s="1" t="n">
        <v>2.7</v>
      </c>
      <c r="D862" s="1" t="n">
        <v>1.2872</v>
      </c>
      <c r="E862" s="1" t="n">
        <v>0.076624</v>
      </c>
      <c r="F862" s="1" t="n">
        <v>0.000175515</v>
      </c>
      <c r="G862" s="1" t="s">
        <v>52</v>
      </c>
      <c r="H862" s="1" t="n">
        <v>57.5</v>
      </c>
      <c r="I862" s="1" t="n">
        <v>76.1</v>
      </c>
      <c r="J862" s="1" t="n">
        <v>-45.7</v>
      </c>
      <c r="K862" s="1" t="n">
        <v>74.6</v>
      </c>
      <c r="L862" s="1" t="n">
        <v>0</v>
      </c>
      <c r="M862" s="1" t="n">
        <v>0</v>
      </c>
      <c r="N862" s="1" t="s">
        <v>500</v>
      </c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0" t="n">
        <f aca="false">I862+0</f>
        <v>76.1</v>
      </c>
      <c r="AB862" s="0" t="n">
        <f aca="false">IF(Z862&gt;360,Z862-360,Z862+0)</f>
        <v>76.1</v>
      </c>
      <c r="AC862" s="1"/>
      <c r="AD862" s="1"/>
      <c r="AE862" s="1"/>
      <c r="AF862" s="1"/>
    </row>
    <row r="863" customFormat="false" ht="15.8" hidden="false" customHeight="false" outlineLevel="0" collapsed="false">
      <c r="A863" s="1" t="n">
        <v>21</v>
      </c>
      <c r="B863" s="1" t="n">
        <v>9</v>
      </c>
      <c r="C863" s="1" t="n">
        <v>1.3</v>
      </c>
      <c r="D863" s="1" t="n">
        <v>1.1698</v>
      </c>
      <c r="E863" s="1" t="n">
        <v>0.0372243</v>
      </c>
      <c r="F863" s="1" t="n">
        <v>8.52659E-005</v>
      </c>
      <c r="G863" s="1" t="s">
        <v>27</v>
      </c>
      <c r="H863" s="1" t="n">
        <v>42.1</v>
      </c>
      <c r="I863" s="1" t="n">
        <v>38.7</v>
      </c>
      <c r="J863" s="1" t="n">
        <v>-42</v>
      </c>
      <c r="K863" s="1"/>
      <c r="L863" s="1" t="n">
        <v>0</v>
      </c>
      <c r="M863" s="1" t="n">
        <v>0</v>
      </c>
      <c r="N863" s="1" t="s">
        <v>500</v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0" t="n">
        <f aca="false">I863+0</f>
        <v>38.7</v>
      </c>
      <c r="AB863" s="0" t="n">
        <f aca="false">IF(Z863&gt;360,Z863-360,Z863+0)</f>
        <v>38.7</v>
      </c>
      <c r="AC863" s="1"/>
      <c r="AD863" s="1"/>
      <c r="AE863" s="1"/>
      <c r="AF863" s="1"/>
    </row>
    <row r="864" customFormat="false" ht="15.8" hidden="false" customHeight="false" outlineLevel="0" collapsed="false">
      <c r="A864" s="1" t="n">
        <v>21</v>
      </c>
      <c r="B864" s="1" t="n">
        <v>8</v>
      </c>
      <c r="C864" s="1" t="n">
        <v>1.3</v>
      </c>
      <c r="D864" s="1" t="n">
        <v>1.0119</v>
      </c>
      <c r="E864" s="1" t="n">
        <v>0.0374181</v>
      </c>
      <c r="F864" s="1" t="n">
        <v>8.57099E-005</v>
      </c>
      <c r="G864" s="1" t="s">
        <v>52</v>
      </c>
      <c r="H864" s="1" t="n">
        <v>45.8</v>
      </c>
      <c r="I864" s="1" t="n">
        <v>36.3</v>
      </c>
      <c r="J864" s="1" t="n">
        <v>0</v>
      </c>
      <c r="K864" s="1" t="n">
        <v>60.6</v>
      </c>
      <c r="L864" s="1" t="n">
        <v>0</v>
      </c>
      <c r="M864" s="1" t="n">
        <v>0</v>
      </c>
      <c r="N864" s="1" t="s">
        <v>515</v>
      </c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0" t="n">
        <f aca="false">I864+0</f>
        <v>36.3</v>
      </c>
      <c r="AB864" s="0" t="n">
        <f aca="false">IF(Z864&gt;360,Z864-360,Z864+0)</f>
        <v>36.3</v>
      </c>
      <c r="AC864" s="1"/>
      <c r="AD864" s="1"/>
      <c r="AE864" s="1"/>
      <c r="AF864" s="1"/>
    </row>
    <row r="865" customFormat="false" ht="15.8" hidden="false" customHeight="false" outlineLevel="0" collapsed="false">
      <c r="A865" s="1" t="n">
        <v>21</v>
      </c>
      <c r="B865" s="1" t="n">
        <v>8</v>
      </c>
      <c r="C865" s="1" t="n">
        <v>1.4</v>
      </c>
      <c r="D865" s="1" t="n">
        <v>1.2215</v>
      </c>
      <c r="E865" s="1" t="n">
        <v>0.0407004</v>
      </c>
      <c r="F865" s="1" t="n">
        <v>9.32284E-005</v>
      </c>
      <c r="G865" s="1" t="s">
        <v>27</v>
      </c>
      <c r="H865" s="1" t="n">
        <v>23.6</v>
      </c>
      <c r="I865" s="1" t="n">
        <v>83.8</v>
      </c>
      <c r="J865" s="1" t="n">
        <v>-18.6</v>
      </c>
      <c r="K865" s="1"/>
      <c r="L865" s="1" t="n">
        <v>0</v>
      </c>
      <c r="M865" s="1" t="n">
        <v>0</v>
      </c>
      <c r="N865" s="1" t="s">
        <v>515</v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0" t="n">
        <f aca="false">I865+0</f>
        <v>83.8</v>
      </c>
      <c r="AB865" s="0" t="n">
        <f aca="false">IF(Z865&gt;360,Z865-360,Z865+0)</f>
        <v>83.8</v>
      </c>
      <c r="AC865" s="1"/>
      <c r="AD865" s="1"/>
      <c r="AE865" s="1"/>
      <c r="AF865" s="1"/>
    </row>
    <row r="866" customFormat="false" ht="15.8" hidden="false" customHeight="false" outlineLevel="0" collapsed="false">
      <c r="A866" s="1" t="n">
        <v>21</v>
      </c>
      <c r="B866" s="1" t="n">
        <v>7</v>
      </c>
      <c r="C866" s="1" t="n">
        <v>0.7</v>
      </c>
      <c r="D866" s="1" t="n">
        <v>1.0715</v>
      </c>
      <c r="E866" s="1" t="n">
        <v>0.0191963</v>
      </c>
      <c r="F866" s="1" t="n">
        <v>4.39711E-005</v>
      </c>
      <c r="G866" s="1" t="s">
        <v>52</v>
      </c>
      <c r="H866" s="1" t="n">
        <v>21.2</v>
      </c>
      <c r="I866" s="1" t="n">
        <v>66.3</v>
      </c>
      <c r="J866" s="1" t="n">
        <v>-36.5</v>
      </c>
      <c r="K866" s="1" t="n">
        <v>45.8</v>
      </c>
      <c r="L866" s="1" t="n">
        <v>0</v>
      </c>
      <c r="M866" s="1" t="n">
        <v>0</v>
      </c>
      <c r="N866" s="1" t="s">
        <v>516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0" t="n">
        <f aca="false">I866+0</f>
        <v>66.3</v>
      </c>
      <c r="AB866" s="0" t="n">
        <f aca="false">IF(Z866&gt;360,Z866-360,Z866+0)</f>
        <v>66.3</v>
      </c>
      <c r="AC866" s="1"/>
      <c r="AD866" s="1"/>
      <c r="AE866" s="1"/>
      <c r="AF866" s="1"/>
    </row>
    <row r="867" customFormat="false" ht="15.8" hidden="false" customHeight="false" outlineLevel="0" collapsed="false">
      <c r="A867" s="1" t="n">
        <v>21</v>
      </c>
      <c r="B867" s="1" t="n">
        <v>7</v>
      </c>
      <c r="C867" s="1" t="n">
        <v>0.8</v>
      </c>
      <c r="D867" s="1" t="n">
        <v>1.0151</v>
      </c>
      <c r="E867" s="1" t="n">
        <v>0.0216342</v>
      </c>
      <c r="F867" s="1" t="n">
        <v>4.95554E-005</v>
      </c>
      <c r="G867" s="1" t="s">
        <v>27</v>
      </c>
      <c r="H867" s="1" t="n">
        <v>103.2</v>
      </c>
      <c r="I867" s="1" t="n">
        <v>311</v>
      </c>
      <c r="J867" s="1" t="n">
        <v>0</v>
      </c>
      <c r="K867" s="1"/>
      <c r="L867" s="1" t="n">
        <v>0</v>
      </c>
      <c r="M867" s="1" t="n">
        <v>0</v>
      </c>
      <c r="N867" s="1" t="s">
        <v>516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0" t="n">
        <f aca="false">I867+0</f>
        <v>311</v>
      </c>
      <c r="AB867" s="0" t="n">
        <f aca="false">IF(Z867&gt;360,Z867-360,Z867+0)</f>
        <v>311</v>
      </c>
      <c r="AC867" s="1"/>
      <c r="AD867" s="1"/>
      <c r="AE867" s="1"/>
      <c r="AF867" s="1"/>
    </row>
    <row r="868" customFormat="false" ht="15.8" hidden="false" customHeight="false" outlineLevel="0" collapsed="false">
      <c r="A868" s="1" t="n">
        <v>21</v>
      </c>
      <c r="B868" s="1" t="n">
        <v>6</v>
      </c>
      <c r="C868" s="1" t="n">
        <v>2.8</v>
      </c>
      <c r="D868" s="1" t="n">
        <v>1.1514</v>
      </c>
      <c r="E868" s="1" t="n">
        <v>0.0803304</v>
      </c>
      <c r="F868" s="1" t="n">
        <v>0.000184005</v>
      </c>
      <c r="G868" s="1" t="s">
        <v>52</v>
      </c>
      <c r="H868" s="1" t="n">
        <v>31.4</v>
      </c>
      <c r="I868" s="1" t="n">
        <v>54.9</v>
      </c>
      <c r="J868" s="1" t="n">
        <v>-17.8</v>
      </c>
      <c r="K868" s="1" t="n">
        <v>103.2</v>
      </c>
      <c r="L868" s="1" t="n">
        <v>0</v>
      </c>
      <c r="M868" s="1" t="n">
        <v>0</v>
      </c>
      <c r="N868" s="1" t="s">
        <v>517</v>
      </c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0" t="n">
        <f aca="false">I868+0</f>
        <v>54.9</v>
      </c>
      <c r="AB868" s="0" t="n">
        <f aca="false">IF(Z868&gt;360,Z868-360,Z868+0)</f>
        <v>54.9</v>
      </c>
      <c r="AC868" s="1"/>
      <c r="AD868" s="1"/>
      <c r="AE868" s="1"/>
      <c r="AF868" s="1"/>
    </row>
    <row r="869" customFormat="false" ht="15.8" hidden="false" customHeight="false" outlineLevel="0" collapsed="false">
      <c r="A869" s="1" t="n">
        <v>21</v>
      </c>
      <c r="B869" s="1" t="n">
        <v>6</v>
      </c>
      <c r="C869" s="1" t="n">
        <v>5.4</v>
      </c>
      <c r="D869" s="1" t="n">
        <v>1.3406</v>
      </c>
      <c r="E869" s="1" t="n">
        <v>0.156298</v>
      </c>
      <c r="F869" s="1" t="n">
        <v>0.000358017</v>
      </c>
      <c r="G869" s="1" t="s">
        <v>27</v>
      </c>
      <c r="H869" s="1" t="n">
        <v>41.8</v>
      </c>
      <c r="I869" s="1" t="n">
        <v>340.9</v>
      </c>
      <c r="J869" s="1" t="n">
        <v>-5.2</v>
      </c>
      <c r="K869" s="1"/>
      <c r="L869" s="1" t="n">
        <v>0</v>
      </c>
      <c r="M869" s="1" t="n">
        <v>0</v>
      </c>
      <c r="N869" s="1" t="s">
        <v>517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0" t="n">
        <f aca="false">I869+0</f>
        <v>340.9</v>
      </c>
      <c r="AB869" s="0" t="n">
        <f aca="false">IF(Z869&gt;360,Z869-360,Z869+0)</f>
        <v>340.9</v>
      </c>
      <c r="AC869" s="1"/>
      <c r="AD869" s="1"/>
      <c r="AE869" s="1"/>
      <c r="AF869" s="1"/>
    </row>
    <row r="870" customFormat="false" ht="15.8" hidden="false" customHeight="false" outlineLevel="0" collapsed="false">
      <c r="A870" s="1" t="n">
        <v>21</v>
      </c>
      <c r="B870" s="1" t="n">
        <v>5</v>
      </c>
      <c r="C870" s="1" t="n">
        <v>4.6</v>
      </c>
      <c r="D870" s="1" t="n">
        <v>1.176</v>
      </c>
      <c r="E870" s="1" t="n">
        <v>0.131629</v>
      </c>
      <c r="F870" s="1" t="n">
        <v>0.000297257</v>
      </c>
      <c r="G870" s="1" t="s">
        <v>52</v>
      </c>
      <c r="H870" s="1" t="n">
        <v>57.2</v>
      </c>
      <c r="I870" s="1" t="n">
        <v>22</v>
      </c>
      <c r="J870" s="1" t="n">
        <v>-16.3</v>
      </c>
      <c r="K870" s="1" t="n">
        <v>41.8</v>
      </c>
      <c r="L870" s="1" t="n">
        <v>0</v>
      </c>
      <c r="M870" s="1" t="n">
        <v>0</v>
      </c>
      <c r="N870" s="1" t="s">
        <v>493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0" t="n">
        <f aca="false">I870+0</f>
        <v>22</v>
      </c>
      <c r="AB870" s="0" t="n">
        <f aca="false">IF(Z870&gt;360,Z870-360,Z870+0)</f>
        <v>22</v>
      </c>
      <c r="AC870" s="1"/>
      <c r="AD870" s="1"/>
      <c r="AE870" s="1"/>
      <c r="AF870" s="1"/>
    </row>
    <row r="871" customFormat="false" ht="15.8" hidden="false" customHeight="false" outlineLevel="0" collapsed="false">
      <c r="A871" s="1" t="n">
        <v>21</v>
      </c>
      <c r="B871" s="1" t="n">
        <v>4</v>
      </c>
      <c r="C871" s="1" t="n">
        <v>1.6</v>
      </c>
      <c r="D871" s="1" t="n">
        <v>2.3276</v>
      </c>
      <c r="E871" s="1" t="n">
        <v>0.0373867</v>
      </c>
      <c r="F871" s="1" t="n">
        <v>7.41587E-005</v>
      </c>
      <c r="G871" s="1" t="s">
        <v>52</v>
      </c>
      <c r="H871" s="1" t="n">
        <v>51.7</v>
      </c>
      <c r="I871" s="1" t="n">
        <v>52.9</v>
      </c>
      <c r="J871" s="1" t="n">
        <v>32.7</v>
      </c>
      <c r="K871" s="1" t="n">
        <v>99</v>
      </c>
      <c r="L871" s="1" t="n">
        <v>0</v>
      </c>
      <c r="M871" s="1" t="n">
        <v>0</v>
      </c>
      <c r="N871" s="1" t="s">
        <v>518</v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0" t="n">
        <f aca="false">I871+0</f>
        <v>52.9</v>
      </c>
      <c r="AB871" s="0" t="n">
        <f aca="false">IF(Z871&gt;360,Z871-360,Z871+0)</f>
        <v>52.9</v>
      </c>
      <c r="AC871" s="1"/>
      <c r="AD871" s="1"/>
      <c r="AE871" s="1"/>
      <c r="AF871" s="1"/>
    </row>
    <row r="872" customFormat="false" ht="15.8" hidden="false" customHeight="false" outlineLevel="0" collapsed="false">
      <c r="A872" s="1" t="n">
        <v>21</v>
      </c>
      <c r="B872" s="1" t="n">
        <v>5</v>
      </c>
      <c r="C872" s="1" t="n">
        <v>0.7</v>
      </c>
      <c r="D872" s="1" t="n">
        <v>1.072</v>
      </c>
      <c r="E872" s="1" t="n">
        <v>0.0246842</v>
      </c>
      <c r="F872" s="1" t="n">
        <v>6.71431E-005</v>
      </c>
      <c r="G872" s="1" t="s">
        <v>27</v>
      </c>
      <c r="H872" s="1" t="n">
        <v>16.6</v>
      </c>
      <c r="I872" s="1" t="n">
        <v>131.1</v>
      </c>
      <c r="J872" s="1" t="n">
        <v>-33.3</v>
      </c>
      <c r="K872" s="1"/>
      <c r="L872" s="1" t="n">
        <v>0</v>
      </c>
      <c r="M872" s="1" t="n">
        <v>0</v>
      </c>
      <c r="N872" s="1" t="s">
        <v>519</v>
      </c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0" t="n">
        <f aca="false">I872+0</f>
        <v>131.1</v>
      </c>
      <c r="AB872" s="0" t="n">
        <f aca="false">IF(Z872&gt;360,Z872-360,Z872+0)</f>
        <v>131.1</v>
      </c>
      <c r="AC872" s="1"/>
      <c r="AD872" s="1"/>
      <c r="AE872" s="1"/>
      <c r="AF872" s="1"/>
    </row>
    <row r="873" customFormat="false" ht="15.8" hidden="false" customHeight="false" outlineLevel="0" collapsed="false">
      <c r="A873" s="1" t="n">
        <v>21</v>
      </c>
      <c r="B873" s="1" t="n">
        <v>5</v>
      </c>
      <c r="C873" s="1" t="n">
        <v>0.6</v>
      </c>
      <c r="D873" s="1" t="n">
        <v>1.0799</v>
      </c>
      <c r="E873" s="1" t="n">
        <v>0.0220222</v>
      </c>
      <c r="F873" s="1" t="n">
        <v>5.99023E-005</v>
      </c>
      <c r="G873" s="1" t="s">
        <v>27</v>
      </c>
      <c r="H873" s="1" t="n">
        <v>81</v>
      </c>
      <c r="I873" s="1" t="n">
        <v>252.4</v>
      </c>
      <c r="J873" s="1" t="n">
        <v>-38.3</v>
      </c>
      <c r="K873" s="1"/>
      <c r="L873" s="1" t="n">
        <v>0</v>
      </c>
      <c r="M873" s="1" t="n">
        <v>0</v>
      </c>
      <c r="N873" s="1" t="s">
        <v>519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0" t="n">
        <f aca="false">I873+0</f>
        <v>252.4</v>
      </c>
      <c r="AB873" s="0" t="n">
        <f aca="false">IF(Z873&gt;360,Z873-360,Z873+0)</f>
        <v>252.4</v>
      </c>
      <c r="AC873" s="1"/>
      <c r="AD873" s="1"/>
      <c r="AE873" s="1"/>
      <c r="AF873" s="1"/>
    </row>
    <row r="874" customFormat="false" ht="15.8" hidden="false" customHeight="false" outlineLevel="0" collapsed="false">
      <c r="A874" s="1" t="n">
        <v>21</v>
      </c>
      <c r="B874" s="1" t="n">
        <v>4</v>
      </c>
      <c r="C874" s="1" t="n">
        <v>6.5</v>
      </c>
      <c r="D874" s="1" t="n">
        <v>1.4748</v>
      </c>
      <c r="E874" s="1" t="n">
        <v>0.221621</v>
      </c>
      <c r="F874" s="1" t="n">
        <v>0.00060283</v>
      </c>
      <c r="G874" s="1" t="s">
        <v>52</v>
      </c>
      <c r="H874" s="1" t="n">
        <v>68.4</v>
      </c>
      <c r="I874" s="1" t="n">
        <v>124.8</v>
      </c>
      <c r="J874" s="1" t="n">
        <v>-49.2</v>
      </c>
      <c r="K874" s="1" t="n">
        <v>81</v>
      </c>
      <c r="L874" s="1" t="n">
        <v>0</v>
      </c>
      <c r="M874" s="1" t="n">
        <v>0</v>
      </c>
      <c r="N874" s="1" t="s">
        <v>518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0" t="n">
        <f aca="false">I874+0</f>
        <v>124.8</v>
      </c>
      <c r="AB874" s="0" t="n">
        <f aca="false">IF(Z874&gt;360,Z874-360,Z874+0)</f>
        <v>124.8</v>
      </c>
      <c r="AC874" s="1"/>
      <c r="AD874" s="1"/>
      <c r="AE874" s="1"/>
      <c r="AF874" s="1"/>
    </row>
    <row r="875" customFormat="false" ht="15.8" hidden="false" customHeight="false" outlineLevel="0" collapsed="false">
      <c r="A875" s="1" t="n">
        <v>21</v>
      </c>
      <c r="B875" s="1" t="n">
        <v>3</v>
      </c>
      <c r="C875" s="1" t="n">
        <v>2.7</v>
      </c>
      <c r="D875" s="1" t="n">
        <v>1.1503</v>
      </c>
      <c r="E875" s="1" t="n">
        <v>0.0909542</v>
      </c>
      <c r="F875" s="1" t="n">
        <v>0.000247404</v>
      </c>
      <c r="G875" s="1" t="s">
        <v>52</v>
      </c>
      <c r="H875" s="1" t="n">
        <v>21</v>
      </c>
      <c r="I875" s="1" t="n">
        <v>46.6</v>
      </c>
      <c r="J875" s="1" t="n">
        <v>-18.7</v>
      </c>
      <c r="K875" s="1" t="n">
        <v>68.4</v>
      </c>
      <c r="L875" s="1" t="n">
        <v>0</v>
      </c>
      <c r="M875" s="1" t="n">
        <v>0</v>
      </c>
      <c r="N875" s="1" t="s">
        <v>520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0" t="n">
        <f aca="false">I875+0</f>
        <v>46.6</v>
      </c>
      <c r="AB875" s="0" t="n">
        <f aca="false">IF(Z875&gt;360,Z875-360,Z875+0)</f>
        <v>46.6</v>
      </c>
      <c r="AC875" s="1"/>
      <c r="AD875" s="1"/>
      <c r="AE875" s="1"/>
      <c r="AF875" s="1"/>
    </row>
    <row r="876" customFormat="false" ht="15.8" hidden="false" customHeight="false" outlineLevel="0" collapsed="false">
      <c r="A876" s="1" t="n">
        <v>21</v>
      </c>
      <c r="B876" s="1" t="n">
        <v>15</v>
      </c>
      <c r="C876" s="1" t="n">
        <v>4.1</v>
      </c>
      <c r="D876" s="1" t="n">
        <v>1.0462</v>
      </c>
      <c r="E876" s="1" t="n">
        <v>0.113419</v>
      </c>
      <c r="F876" s="1" t="n">
        <v>0.000246808</v>
      </c>
      <c r="G876" s="1" t="s">
        <v>27</v>
      </c>
      <c r="H876" s="1" t="n">
        <v>37.9</v>
      </c>
      <c r="I876" s="1" t="n">
        <v>13.2</v>
      </c>
      <c r="J876" s="1" t="n">
        <v>0</v>
      </c>
      <c r="K876" s="1"/>
      <c r="L876" s="1" t="n">
        <v>0</v>
      </c>
      <c r="M876" s="1" t="n">
        <v>0</v>
      </c>
      <c r="N876" s="1" t="s">
        <v>521</v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0" t="n">
        <f aca="false">I876+0</f>
        <v>13.2</v>
      </c>
      <c r="AB876" s="0" t="n">
        <f aca="false">IF(Z876&gt;360,Z876-360,Z876+0)</f>
        <v>13.2</v>
      </c>
      <c r="AC876" s="1"/>
      <c r="AD876" s="1"/>
      <c r="AE876" s="1"/>
      <c r="AF876" s="1"/>
    </row>
    <row r="877" customFormat="false" ht="15.8" hidden="false" customHeight="false" outlineLevel="0" collapsed="false">
      <c r="A877" s="1" t="n">
        <v>21</v>
      </c>
      <c r="B877" s="1" t="n">
        <v>15</v>
      </c>
      <c r="C877" s="1" t="n">
        <v>1.6</v>
      </c>
      <c r="D877" s="1" t="n">
        <v>1.2708</v>
      </c>
      <c r="E877" s="1" t="n">
        <v>0.0428293</v>
      </c>
      <c r="F877" s="1" t="n">
        <v>9.31995E-005</v>
      </c>
      <c r="G877" s="1" t="s">
        <v>27</v>
      </c>
      <c r="H877" s="1" t="n">
        <v>102.4</v>
      </c>
      <c r="I877" s="1" t="n">
        <v>305.7</v>
      </c>
      <c r="J877" s="1" t="n">
        <v>-36.9</v>
      </c>
      <c r="K877" s="1"/>
      <c r="L877" s="1" t="n">
        <v>0</v>
      </c>
      <c r="M877" s="1" t="n">
        <v>0</v>
      </c>
      <c r="N877" s="1" t="s">
        <v>521</v>
      </c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0" t="n">
        <f aca="false">I877+0</f>
        <v>305.7</v>
      </c>
      <c r="AB877" s="0" t="n">
        <f aca="false">IF(Z877&gt;360,Z877-360,Z877+0)</f>
        <v>305.7</v>
      </c>
      <c r="AC877" s="1"/>
      <c r="AD877" s="1"/>
      <c r="AE877" s="1"/>
      <c r="AF877" s="1"/>
    </row>
    <row r="878" customFormat="false" ht="15.8" hidden="false" customHeight="false" outlineLevel="0" collapsed="false">
      <c r="A878" s="1" t="n">
        <v>21</v>
      </c>
      <c r="B878" s="1" t="n">
        <v>15</v>
      </c>
      <c r="C878" s="1" t="n">
        <v>3.6</v>
      </c>
      <c r="D878" s="1" t="n">
        <v>1.7689</v>
      </c>
      <c r="E878" s="1" t="n">
        <v>0.0994613</v>
      </c>
      <c r="F878" s="1" t="n">
        <v>0.000216435</v>
      </c>
      <c r="G878" s="1" t="s">
        <v>27</v>
      </c>
      <c r="H878" s="1" t="n">
        <v>107.3</v>
      </c>
      <c r="I878" s="1" t="n">
        <v>278.4</v>
      </c>
      <c r="J878" s="1" t="n">
        <v>64.1</v>
      </c>
      <c r="K878" s="1"/>
      <c r="L878" s="1" t="n">
        <v>0</v>
      </c>
      <c r="M878" s="1" t="n">
        <v>0</v>
      </c>
      <c r="N878" s="1" t="s">
        <v>521</v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0" t="n">
        <f aca="false">I878+0</f>
        <v>278.4</v>
      </c>
      <c r="AB878" s="0" t="n">
        <f aca="false">IF(Z878&gt;360,Z878-360,Z878+0)</f>
        <v>278.4</v>
      </c>
      <c r="AC878" s="1"/>
      <c r="AD878" s="1"/>
      <c r="AE878" s="1"/>
      <c r="AF878" s="1"/>
    </row>
    <row r="879" customFormat="false" ht="15.8" hidden="false" customHeight="false" outlineLevel="0" collapsed="false">
      <c r="A879" s="1" t="n">
        <v>21</v>
      </c>
      <c r="B879" s="1" t="n">
        <v>15</v>
      </c>
      <c r="C879" s="1" t="n">
        <v>1.2</v>
      </c>
      <c r="D879" s="1" t="n">
        <v>1.0126</v>
      </c>
      <c r="E879" s="1" t="n">
        <v>0.0314799</v>
      </c>
      <c r="F879" s="1" t="n">
        <v>6.85024E-005</v>
      </c>
      <c r="G879" s="1" t="s">
        <v>27</v>
      </c>
      <c r="H879" s="1" t="n">
        <v>117.3</v>
      </c>
      <c r="I879" s="1" t="n">
        <v>168.5</v>
      </c>
      <c r="J879" s="1" t="n">
        <v>0</v>
      </c>
      <c r="K879" s="1"/>
      <c r="L879" s="1" t="n">
        <v>0</v>
      </c>
      <c r="M879" s="1" t="n">
        <v>0</v>
      </c>
      <c r="N879" s="1" t="s">
        <v>521</v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0" t="n">
        <f aca="false">I879+0</f>
        <v>168.5</v>
      </c>
      <c r="AB879" s="0" t="n">
        <f aca="false">IF(Z879&gt;360,Z879-360,Z879+0)</f>
        <v>168.5</v>
      </c>
      <c r="AC879" s="1"/>
      <c r="AD879" s="1"/>
      <c r="AE879" s="1"/>
      <c r="AF879" s="1"/>
    </row>
    <row r="880" customFormat="false" ht="15.8" hidden="false" customHeight="false" outlineLevel="0" collapsed="false">
      <c r="A880" s="1" t="n">
        <v>21</v>
      </c>
      <c r="B880" s="1" t="n">
        <v>14</v>
      </c>
      <c r="C880" s="1" t="n">
        <v>0.9</v>
      </c>
      <c r="D880" s="1" t="n">
        <v>1.0247</v>
      </c>
      <c r="E880" s="1" t="n">
        <v>0.0256738</v>
      </c>
      <c r="F880" s="1" t="n">
        <v>5.58679E-005</v>
      </c>
      <c r="G880" s="1" t="s">
        <v>52</v>
      </c>
      <c r="H880" s="1" t="n">
        <v>55.9</v>
      </c>
      <c r="I880" s="1" t="n">
        <v>51.2</v>
      </c>
      <c r="J880" s="1" t="n">
        <v>0</v>
      </c>
      <c r="K880" s="1" t="n">
        <v>117.3</v>
      </c>
      <c r="L880" s="1" t="n">
        <v>0</v>
      </c>
      <c r="M880" s="1" t="n">
        <v>0</v>
      </c>
      <c r="N880" s="1" t="s">
        <v>522</v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0" t="n">
        <f aca="false">I880+0</f>
        <v>51.2</v>
      </c>
      <c r="AB880" s="0" t="n">
        <f aca="false">IF(Z880&gt;360,Z880-360,Z880+0)</f>
        <v>51.2</v>
      </c>
      <c r="AC880" s="1"/>
      <c r="AD880" s="1"/>
      <c r="AE880" s="1"/>
      <c r="AF880" s="1"/>
    </row>
    <row r="881" customFormat="false" ht="15.8" hidden="false" customHeight="false" outlineLevel="0" collapsed="false">
      <c r="A881" s="1" t="n">
        <v>21</v>
      </c>
      <c r="B881" s="1" t="n">
        <v>14</v>
      </c>
      <c r="C881" s="1" t="n">
        <v>1.7</v>
      </c>
      <c r="D881" s="1" t="n">
        <v>1.1916</v>
      </c>
      <c r="E881" s="1" t="n">
        <v>0.045549</v>
      </c>
      <c r="F881" s="1" t="n">
        <v>9.91179E-005</v>
      </c>
      <c r="G881" s="1" t="s">
        <v>27</v>
      </c>
      <c r="H881" s="1" t="n">
        <v>80.1</v>
      </c>
      <c r="I881" s="1" t="n">
        <v>313.2</v>
      </c>
      <c r="J881" s="1" t="n">
        <v>0</v>
      </c>
      <c r="K881" s="1"/>
      <c r="L881" s="1" t="n">
        <v>0</v>
      </c>
      <c r="M881" s="1" t="n">
        <v>0</v>
      </c>
      <c r="N881" s="1" t="s">
        <v>522</v>
      </c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0" t="n">
        <f aca="false">I881+0</f>
        <v>313.2</v>
      </c>
      <c r="AB881" s="0" t="n">
        <f aca="false">IF(Z881&gt;360,Z881-360,Z881+0)</f>
        <v>313.2</v>
      </c>
      <c r="AC881" s="1"/>
      <c r="AD881" s="1"/>
      <c r="AE881" s="1"/>
      <c r="AF881" s="1"/>
    </row>
    <row r="882" customFormat="false" ht="15.8" hidden="false" customHeight="false" outlineLevel="0" collapsed="false">
      <c r="A882" s="1" t="n">
        <v>21</v>
      </c>
      <c r="B882" s="1" t="n">
        <v>13</v>
      </c>
      <c r="C882" s="1" t="n">
        <v>1.1</v>
      </c>
      <c r="D882" s="1" t="n">
        <v>1.1991</v>
      </c>
      <c r="E882" s="1" t="n">
        <v>0.0307519</v>
      </c>
      <c r="F882" s="1" t="n">
        <v>6.69184E-005</v>
      </c>
      <c r="G882" s="1" t="s">
        <v>52</v>
      </c>
      <c r="H882" s="1" t="n">
        <v>93.3</v>
      </c>
      <c r="I882" s="1" t="n">
        <v>27</v>
      </c>
      <c r="J882" s="1" t="n">
        <v>-52.1</v>
      </c>
      <c r="K882" s="1" t="n">
        <v>80.1</v>
      </c>
      <c r="L882" s="1" t="n">
        <v>0</v>
      </c>
      <c r="M882" s="1" t="n">
        <v>0</v>
      </c>
      <c r="N882" s="1" t="s">
        <v>523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0" t="n">
        <f aca="false">I882+0</f>
        <v>27</v>
      </c>
      <c r="AB882" s="0" t="n">
        <f aca="false">IF(Z882&gt;360,Z882-360,Z882+0)</f>
        <v>27</v>
      </c>
      <c r="AC882" s="1"/>
      <c r="AD882" s="1"/>
      <c r="AE882" s="1"/>
      <c r="AF882" s="1"/>
    </row>
    <row r="883" customFormat="false" ht="15.8" hidden="false" customHeight="false" outlineLevel="0" collapsed="false">
      <c r="A883" s="1" t="n">
        <v>21</v>
      </c>
      <c r="B883" s="1" t="n">
        <v>13</v>
      </c>
      <c r="C883" s="1" t="n">
        <v>0.7</v>
      </c>
      <c r="D883" s="1" t="n">
        <v>1.2735</v>
      </c>
      <c r="E883" s="1" t="n">
        <v>0.018055</v>
      </c>
      <c r="F883" s="1" t="n">
        <v>3.92889E-005</v>
      </c>
      <c r="G883" s="1" t="s">
        <v>27</v>
      </c>
      <c r="H883" s="1" t="n">
        <v>90.1</v>
      </c>
      <c r="I883" s="1" t="n">
        <v>134</v>
      </c>
      <c r="J883" s="1" t="n">
        <v>45.5</v>
      </c>
      <c r="K883" s="1"/>
      <c r="L883" s="1" t="n">
        <v>0</v>
      </c>
      <c r="M883" s="1" t="n">
        <v>0</v>
      </c>
      <c r="N883" s="1" t="s">
        <v>523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0" t="n">
        <f aca="false">I883+0</f>
        <v>134</v>
      </c>
      <c r="AB883" s="0" t="n">
        <f aca="false">IF(Z883&gt;360,Z883-360,Z883+0)</f>
        <v>134</v>
      </c>
      <c r="AC883" s="1"/>
      <c r="AD883" s="1"/>
      <c r="AE883" s="1"/>
      <c r="AF883" s="1"/>
    </row>
    <row r="884" customFormat="false" ht="15.8" hidden="false" customHeight="false" outlineLevel="0" collapsed="false">
      <c r="A884" s="1" t="n">
        <v>21</v>
      </c>
      <c r="B884" s="1" t="n">
        <v>12</v>
      </c>
      <c r="C884" s="1" t="n">
        <v>2.5</v>
      </c>
      <c r="D884" s="1" t="n">
        <v>1.3225</v>
      </c>
      <c r="E884" s="1" t="n">
        <v>0.0671087</v>
      </c>
      <c r="F884" s="1" t="n">
        <v>0.000146033</v>
      </c>
      <c r="G884" s="1" t="s">
        <v>52</v>
      </c>
      <c r="H884" s="1" t="n">
        <v>114.8</v>
      </c>
      <c r="I884" s="1" t="n">
        <v>354.3</v>
      </c>
      <c r="J884" s="1" t="n">
        <v>36.7</v>
      </c>
      <c r="K884" s="1" t="n">
        <v>93.3</v>
      </c>
      <c r="L884" s="1" t="n">
        <v>0</v>
      </c>
      <c r="M884" s="1" t="n">
        <v>0</v>
      </c>
      <c r="N884" s="1" t="s">
        <v>524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0" t="n">
        <f aca="false">I884+0</f>
        <v>354.3</v>
      </c>
      <c r="AB884" s="0" t="n">
        <f aca="false">IF(Z884&gt;360,Z884-360,Z884+0)</f>
        <v>354.3</v>
      </c>
      <c r="AC884" s="1"/>
      <c r="AD884" s="1"/>
      <c r="AE884" s="1"/>
      <c r="AF884" s="1"/>
    </row>
    <row r="885" customFormat="false" ht="15.8" hidden="false" customHeight="false" outlineLevel="0" collapsed="false">
      <c r="A885" s="1" t="n">
        <v>21</v>
      </c>
      <c r="B885" s="1" t="n">
        <v>12</v>
      </c>
      <c r="C885" s="1" t="n">
        <v>1</v>
      </c>
      <c r="D885" s="1" t="n">
        <v>1.214</v>
      </c>
      <c r="E885" s="1" t="n">
        <v>0.027248</v>
      </c>
      <c r="F885" s="1" t="n">
        <v>5.92935E-005</v>
      </c>
      <c r="G885" s="1" t="s">
        <v>27</v>
      </c>
      <c r="H885" s="1" t="n">
        <v>47.1</v>
      </c>
      <c r="I885" s="1" t="n">
        <v>156.2</v>
      </c>
      <c r="J885" s="1" t="n">
        <v>26.8</v>
      </c>
      <c r="K885" s="1"/>
      <c r="L885" s="1" t="n">
        <v>0</v>
      </c>
      <c r="M885" s="1" t="n">
        <v>0</v>
      </c>
      <c r="N885" s="1" t="s">
        <v>524</v>
      </c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0" t="n">
        <f aca="false">I885+0</f>
        <v>156.2</v>
      </c>
      <c r="AB885" s="0" t="n">
        <f aca="false">IF(Z885&gt;360,Z885-360,Z885+0)</f>
        <v>156.2</v>
      </c>
      <c r="AC885" s="1"/>
      <c r="AD885" s="1"/>
      <c r="AE885" s="1"/>
      <c r="AF885" s="1"/>
    </row>
    <row r="886" customFormat="false" ht="15.8" hidden="false" customHeight="false" outlineLevel="0" collapsed="false">
      <c r="A886" s="1" t="n">
        <v>21</v>
      </c>
      <c r="B886" s="1" t="n">
        <v>11</v>
      </c>
      <c r="C886" s="1" t="n">
        <v>1</v>
      </c>
      <c r="D886" s="1" t="n">
        <v>1.0074</v>
      </c>
      <c r="E886" s="1" t="n">
        <v>0.026382</v>
      </c>
      <c r="F886" s="1" t="n">
        <v>5.7409E-005</v>
      </c>
      <c r="G886" s="1" t="s">
        <v>52</v>
      </c>
      <c r="H886" s="1" t="n">
        <v>76.1</v>
      </c>
      <c r="I886" s="1" t="n">
        <v>115.9</v>
      </c>
      <c r="J886" s="1" t="n">
        <v>0</v>
      </c>
      <c r="K886" s="1" t="n">
        <v>114.8</v>
      </c>
      <c r="L886" s="1" t="n">
        <v>0</v>
      </c>
      <c r="M886" s="1" t="n">
        <v>0</v>
      </c>
      <c r="N886" s="1" t="s">
        <v>525</v>
      </c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0" t="n">
        <f aca="false">I886+0</f>
        <v>115.9</v>
      </c>
      <c r="AB886" s="0" t="n">
        <f aca="false">IF(Z886&gt;360,Z886-360,Z886+0)</f>
        <v>115.9</v>
      </c>
      <c r="AC886" s="1"/>
      <c r="AD886" s="1"/>
      <c r="AE886" s="1"/>
      <c r="AF886" s="1"/>
    </row>
    <row r="887" customFormat="false" ht="15.8" hidden="false" customHeight="false" outlineLevel="0" collapsed="false">
      <c r="A887" s="1" t="n">
        <v>21</v>
      </c>
      <c r="B887" s="1" t="n">
        <v>11</v>
      </c>
      <c r="C887" s="1" t="n">
        <v>4.4</v>
      </c>
      <c r="D887" s="1" t="n">
        <v>1.3848</v>
      </c>
      <c r="E887" s="1" t="n">
        <v>0.120855</v>
      </c>
      <c r="F887" s="1" t="n">
        <v>0.000262988</v>
      </c>
      <c r="G887" s="1" t="s">
        <v>27</v>
      </c>
      <c r="H887" s="1" t="n">
        <v>53.4</v>
      </c>
      <c r="I887" s="1" t="n">
        <v>9.9</v>
      </c>
      <c r="J887" s="1" t="n">
        <v>-27.6</v>
      </c>
      <c r="K887" s="1"/>
      <c r="L887" s="1" t="n">
        <v>0</v>
      </c>
      <c r="M887" s="1" t="n">
        <v>0</v>
      </c>
      <c r="N887" s="1" t="s">
        <v>525</v>
      </c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0" t="n">
        <f aca="false">I887+0</f>
        <v>9.9</v>
      </c>
      <c r="AB887" s="0" t="n">
        <f aca="false">IF(Z887&gt;360,Z887-360,Z887+0)</f>
        <v>9.9</v>
      </c>
      <c r="AC887" s="1"/>
      <c r="AD887" s="1"/>
      <c r="AE887" s="1"/>
      <c r="AF887" s="1"/>
    </row>
    <row r="888" customFormat="false" ht="15.8" hidden="false" customHeight="false" outlineLevel="0" collapsed="false">
      <c r="A888" s="1" t="n">
        <v>21</v>
      </c>
      <c r="B888" s="1" t="n">
        <v>10</v>
      </c>
      <c r="C888" s="1" t="n">
        <v>1.5</v>
      </c>
      <c r="D888" s="1" t="n">
        <v>1.1582</v>
      </c>
      <c r="E888" s="1" t="n">
        <v>0.0404572</v>
      </c>
      <c r="F888" s="1" t="n">
        <v>8.80376E-005</v>
      </c>
      <c r="G888" s="1" t="s">
        <v>52</v>
      </c>
      <c r="H888" s="1" t="n">
        <v>44.9</v>
      </c>
      <c r="I888" s="1" t="n">
        <v>40.4</v>
      </c>
      <c r="J888" s="1" t="n">
        <v>16.8</v>
      </c>
      <c r="K888" s="1" t="n">
        <v>76.1</v>
      </c>
      <c r="L888" s="1" t="n">
        <v>0</v>
      </c>
      <c r="M888" s="1" t="n">
        <v>0</v>
      </c>
      <c r="N888" s="1" t="s">
        <v>526</v>
      </c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0" t="n">
        <f aca="false">I888+0</f>
        <v>40.4</v>
      </c>
      <c r="AB888" s="0" t="n">
        <f aca="false">IF(Z888&gt;360,Z888-360,Z888+0)</f>
        <v>40.4</v>
      </c>
      <c r="AC888" s="1"/>
      <c r="AD888" s="1"/>
      <c r="AE888" s="1"/>
      <c r="AF888" s="1"/>
    </row>
    <row r="889" customFormat="false" ht="15.8" hidden="false" customHeight="false" outlineLevel="0" collapsed="false">
      <c r="A889" s="1" t="n">
        <v>21</v>
      </c>
      <c r="B889" s="1" t="n">
        <v>10</v>
      </c>
      <c r="C889" s="1" t="n">
        <v>2.7</v>
      </c>
      <c r="D889" s="1" t="n">
        <v>1.2196</v>
      </c>
      <c r="E889" s="1" t="n">
        <v>0.0733257</v>
      </c>
      <c r="F889" s="1" t="n">
        <v>0.000159562</v>
      </c>
      <c r="G889" s="1" t="s">
        <v>27</v>
      </c>
      <c r="H889" s="1" t="n">
        <v>48.7</v>
      </c>
      <c r="I889" s="1" t="n">
        <v>317.7</v>
      </c>
      <c r="J889" s="1" t="n">
        <v>-19.7</v>
      </c>
      <c r="K889" s="1"/>
      <c r="L889" s="1" t="n">
        <v>0</v>
      </c>
      <c r="M889" s="1" t="n">
        <v>0</v>
      </c>
      <c r="N889" s="1" t="s">
        <v>526</v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0" t="n">
        <f aca="false">I889+0</f>
        <v>317.7</v>
      </c>
      <c r="AB889" s="0" t="n">
        <f aca="false">IF(Z889&gt;360,Z889-360,Z889+0)</f>
        <v>317.7</v>
      </c>
      <c r="AC889" s="1"/>
      <c r="AD889" s="1"/>
      <c r="AE889" s="1"/>
      <c r="AF889" s="1"/>
    </row>
    <row r="890" customFormat="false" ht="15.8" hidden="false" customHeight="false" outlineLevel="0" collapsed="false">
      <c r="A890" s="1" t="n">
        <v>21</v>
      </c>
      <c r="B890" s="1" t="n">
        <v>9</v>
      </c>
      <c r="C890" s="1" t="n">
        <v>3.2</v>
      </c>
      <c r="D890" s="1" t="n">
        <v>1.1658</v>
      </c>
      <c r="E890" s="1" t="n">
        <v>0.088558</v>
      </c>
      <c r="F890" s="1" t="n">
        <v>0.000192708</v>
      </c>
      <c r="G890" s="1" t="s">
        <v>52</v>
      </c>
      <c r="H890" s="1" t="n">
        <v>69</v>
      </c>
      <c r="I890" s="1" t="n">
        <v>8.8</v>
      </c>
      <c r="J890" s="1" t="n">
        <v>-15.4</v>
      </c>
      <c r="K890" s="1" t="n">
        <v>48.7</v>
      </c>
      <c r="L890" s="1" t="n">
        <v>0</v>
      </c>
      <c r="M890" s="1" t="n">
        <v>0</v>
      </c>
      <c r="N890" s="1" t="s">
        <v>527</v>
      </c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0" t="n">
        <f aca="false">I890+0</f>
        <v>8.8</v>
      </c>
      <c r="AB890" s="0" t="n">
        <f aca="false">IF(Z890&gt;360,Z890-360,Z890+0)</f>
        <v>8.8</v>
      </c>
      <c r="AC890" s="1"/>
      <c r="AD890" s="1"/>
      <c r="AE890" s="1"/>
      <c r="AF890" s="1"/>
    </row>
    <row r="891" customFormat="false" ht="15.8" hidden="false" customHeight="false" outlineLevel="0" collapsed="false">
      <c r="A891" s="1" t="n">
        <v>21</v>
      </c>
      <c r="B891" s="1" t="n">
        <v>9</v>
      </c>
      <c r="C891" s="1" t="n">
        <v>1.6</v>
      </c>
      <c r="D891" s="1" t="n">
        <v>1.3333</v>
      </c>
      <c r="E891" s="1" t="n">
        <v>0.0425286</v>
      </c>
      <c r="F891" s="1" t="n">
        <v>9.25452E-005</v>
      </c>
      <c r="G891" s="1" t="s">
        <v>27</v>
      </c>
      <c r="H891" s="1" t="n">
        <v>23.5</v>
      </c>
      <c r="I891" s="1" t="n">
        <v>5.6</v>
      </c>
      <c r="J891" s="1" t="n">
        <v>72.1</v>
      </c>
      <c r="K891" s="1"/>
      <c r="L891" s="1" t="n">
        <v>0</v>
      </c>
      <c r="M891" s="1" t="n">
        <v>0</v>
      </c>
      <c r="N891" s="1" t="s">
        <v>527</v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0" t="n">
        <f aca="false">I891+0</f>
        <v>5.6</v>
      </c>
      <c r="AB891" s="0" t="n">
        <f aca="false">IF(Z891&gt;360,Z891-360,Z891+0)</f>
        <v>5.6</v>
      </c>
      <c r="AC891" s="1"/>
      <c r="AD891" s="1"/>
      <c r="AE891" s="1"/>
      <c r="AF891" s="1"/>
    </row>
    <row r="892" customFormat="false" ht="15.8" hidden="false" customHeight="false" outlineLevel="0" collapsed="false">
      <c r="A892" s="1" t="n">
        <v>21</v>
      </c>
      <c r="B892" s="1" t="n">
        <v>8</v>
      </c>
      <c r="C892" s="1" t="n">
        <v>0.6</v>
      </c>
      <c r="D892" s="1" t="n">
        <v>1.162</v>
      </c>
      <c r="E892" s="1" t="n">
        <v>0.0152589</v>
      </c>
      <c r="F892" s="1" t="n">
        <v>3.32044E-005</v>
      </c>
      <c r="G892" s="1" t="s">
        <v>52</v>
      </c>
      <c r="H892" s="1" t="n">
        <v>69</v>
      </c>
      <c r="I892" s="1" t="n">
        <v>345.2</v>
      </c>
      <c r="J892" s="1" t="n">
        <v>50.4</v>
      </c>
      <c r="K892" s="1" t="n">
        <v>69</v>
      </c>
      <c r="L892" s="1" t="n">
        <v>0</v>
      </c>
      <c r="M892" s="1" t="n">
        <v>0</v>
      </c>
      <c r="N892" s="1" t="s">
        <v>528</v>
      </c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0" t="n">
        <f aca="false">I892+0</f>
        <v>345.2</v>
      </c>
      <c r="AB892" s="0" t="n">
        <f aca="false">IF(Z892&gt;360,Z892-360,Z892+0)</f>
        <v>345.2</v>
      </c>
      <c r="AC892" s="1"/>
      <c r="AD892" s="1"/>
      <c r="AE892" s="1"/>
      <c r="AF892" s="1"/>
    </row>
    <row r="893" customFormat="false" ht="15.8" hidden="false" customHeight="false" outlineLevel="0" collapsed="false">
      <c r="A893" s="1" t="n">
        <v>21</v>
      </c>
      <c r="B893" s="1" t="n">
        <v>8</v>
      </c>
      <c r="C893" s="1" t="n">
        <v>2.9</v>
      </c>
      <c r="D893" s="1" t="n">
        <v>1.3204</v>
      </c>
      <c r="E893" s="1" t="n">
        <v>0.0796668</v>
      </c>
      <c r="F893" s="1" t="n">
        <v>0.00017336</v>
      </c>
      <c r="G893" s="1" t="s">
        <v>27</v>
      </c>
      <c r="H893" s="1" t="n">
        <v>82.4</v>
      </c>
      <c r="I893" s="1" t="n">
        <v>123.2</v>
      </c>
      <c r="J893" s="1" t="n">
        <v>-9.7</v>
      </c>
      <c r="K893" s="1"/>
      <c r="L893" s="1" t="n">
        <v>0</v>
      </c>
      <c r="M893" s="1" t="n">
        <v>0</v>
      </c>
      <c r="N893" s="1" t="s">
        <v>528</v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0" t="n">
        <f aca="false">I893+0</f>
        <v>123.2</v>
      </c>
      <c r="AB893" s="0" t="n">
        <f aca="false">IF(Z893&gt;360,Z893-360,Z893+0)</f>
        <v>123.2</v>
      </c>
      <c r="AC893" s="1"/>
      <c r="AD893" s="1"/>
      <c r="AE893" s="1"/>
      <c r="AF893" s="1"/>
    </row>
    <row r="894" customFormat="false" ht="15.8" hidden="false" customHeight="false" outlineLevel="0" collapsed="false">
      <c r="A894" s="1" t="n">
        <v>21</v>
      </c>
      <c r="B894" s="1" t="n">
        <v>7</v>
      </c>
      <c r="C894" s="1" t="n">
        <v>0.5</v>
      </c>
      <c r="D894" s="1" t="n">
        <v>1.0415</v>
      </c>
      <c r="E894" s="1" t="n">
        <v>0.0124772</v>
      </c>
      <c r="F894" s="1" t="n">
        <v>2.71512E-005</v>
      </c>
      <c r="G894" s="1" t="s">
        <v>52</v>
      </c>
      <c r="H894" s="1" t="n">
        <v>38.2</v>
      </c>
      <c r="I894" s="1" t="n">
        <v>41</v>
      </c>
      <c r="J894" s="1" t="n">
        <v>0</v>
      </c>
      <c r="K894" s="1" t="n">
        <v>82.4</v>
      </c>
      <c r="L894" s="1" t="n">
        <v>0</v>
      </c>
      <c r="M894" s="1" t="n">
        <v>0</v>
      </c>
      <c r="N894" s="1" t="s">
        <v>529</v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0" t="n">
        <f aca="false">I894+0</f>
        <v>41</v>
      </c>
      <c r="AB894" s="0" t="n">
        <f aca="false">IF(Z894&gt;360,Z894-360,Z894+0)</f>
        <v>41</v>
      </c>
      <c r="AC894" s="1"/>
      <c r="AD894" s="1"/>
      <c r="AE894" s="1"/>
      <c r="AF894" s="1"/>
    </row>
    <row r="895" customFormat="false" ht="15.8" hidden="false" customHeight="false" outlineLevel="0" collapsed="false">
      <c r="A895" s="1" t="n">
        <v>21</v>
      </c>
      <c r="B895" s="1" t="n">
        <v>7</v>
      </c>
      <c r="C895" s="1" t="n">
        <v>0.7</v>
      </c>
      <c r="D895" s="1" t="n">
        <v>1.1007</v>
      </c>
      <c r="E895" s="1" t="n">
        <v>0.0183099</v>
      </c>
      <c r="F895" s="1" t="n">
        <v>3.98436E-005</v>
      </c>
      <c r="G895" s="1" t="s">
        <v>27</v>
      </c>
      <c r="H895" s="1" t="n">
        <v>79.6</v>
      </c>
      <c r="I895" s="1" t="n">
        <v>304</v>
      </c>
      <c r="J895" s="1" t="n">
        <v>37.5</v>
      </c>
      <c r="K895" s="1"/>
      <c r="L895" s="1" t="n">
        <v>0</v>
      </c>
      <c r="M895" s="1" t="n">
        <v>0</v>
      </c>
      <c r="N895" s="1" t="s">
        <v>529</v>
      </c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0" t="n">
        <f aca="false">I895+0</f>
        <v>304</v>
      </c>
      <c r="AB895" s="0" t="n">
        <f aca="false">IF(Z895&gt;360,Z895-360,Z895+0)</f>
        <v>304</v>
      </c>
      <c r="AC895" s="1"/>
      <c r="AD895" s="1"/>
      <c r="AE895" s="1"/>
      <c r="AF895" s="1"/>
    </row>
    <row r="896" customFormat="false" ht="15.8" hidden="false" customHeight="false" outlineLevel="0" collapsed="false">
      <c r="A896" s="1" t="n">
        <v>21</v>
      </c>
      <c r="B896" s="1" t="n">
        <v>6</v>
      </c>
      <c r="C896" s="1" t="n">
        <v>1.5</v>
      </c>
      <c r="D896" s="1" t="n">
        <v>1.18</v>
      </c>
      <c r="E896" s="1" t="n">
        <v>0.0415754</v>
      </c>
      <c r="F896" s="1" t="n">
        <v>9.04709E-005</v>
      </c>
      <c r="G896" s="1" t="s">
        <v>52</v>
      </c>
      <c r="H896" s="1" t="n">
        <v>25.6</v>
      </c>
      <c r="I896" s="1" t="n">
        <v>6.1</v>
      </c>
      <c r="J896" s="1" t="n">
        <v>-16.7</v>
      </c>
      <c r="K896" s="1" t="n">
        <v>79.6</v>
      </c>
      <c r="L896" s="1" t="n">
        <v>0</v>
      </c>
      <c r="M896" s="1" t="n">
        <v>0</v>
      </c>
      <c r="N896" s="1" t="s">
        <v>530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0" t="n">
        <f aca="false">I896+0</f>
        <v>6.1</v>
      </c>
      <c r="AB896" s="0" t="n">
        <f aca="false">IF(Z896&gt;360,Z896-360,Z896+0)</f>
        <v>6.1</v>
      </c>
      <c r="AC896" s="1"/>
      <c r="AD896" s="1"/>
      <c r="AE896" s="1"/>
      <c r="AF896" s="1"/>
    </row>
    <row r="897" customFormat="false" ht="15.8" hidden="false" customHeight="false" outlineLevel="0" collapsed="false">
      <c r="A897" s="1" t="n">
        <v>21</v>
      </c>
      <c r="B897" s="1" t="n">
        <v>6</v>
      </c>
      <c r="C897" s="1" t="n">
        <v>0.8</v>
      </c>
      <c r="D897" s="1" t="n">
        <v>1.1698</v>
      </c>
      <c r="E897" s="1" t="n">
        <v>0.0206429</v>
      </c>
      <c r="F897" s="1" t="n">
        <v>4.49204E-005</v>
      </c>
      <c r="G897" s="1" t="s">
        <v>27</v>
      </c>
      <c r="H897" s="1" t="n">
        <v>94.6</v>
      </c>
      <c r="I897" s="1" t="n">
        <v>290.2</v>
      </c>
      <c r="J897" s="1" t="n">
        <v>35</v>
      </c>
      <c r="K897" s="1"/>
      <c r="L897" s="1" t="n">
        <v>0</v>
      </c>
      <c r="M897" s="1" t="n">
        <v>0</v>
      </c>
      <c r="N897" s="1" t="s">
        <v>530</v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0" t="n">
        <f aca="false">I897+0</f>
        <v>290.2</v>
      </c>
      <c r="AB897" s="0" t="n">
        <f aca="false">IF(Z897&gt;360,Z897-360,Z897+0)</f>
        <v>290.2</v>
      </c>
      <c r="AC897" s="1"/>
      <c r="AD897" s="1"/>
      <c r="AE897" s="1"/>
      <c r="AF897" s="1"/>
    </row>
    <row r="898" customFormat="false" ht="15.8" hidden="false" customHeight="false" outlineLevel="0" collapsed="false">
      <c r="A898" s="1" t="n">
        <v>21</v>
      </c>
      <c r="B898" s="1" t="n">
        <v>5</v>
      </c>
      <c r="C898" s="1" t="n">
        <v>3.4</v>
      </c>
      <c r="D898" s="1" t="n">
        <v>1.3103</v>
      </c>
      <c r="E898" s="1" t="n">
        <v>0.093877</v>
      </c>
      <c r="F898" s="1" t="n">
        <v>0.000204283</v>
      </c>
      <c r="G898" s="1" t="s">
        <v>52</v>
      </c>
      <c r="H898" s="1" t="n">
        <v>40.6</v>
      </c>
      <c r="I898" s="1" t="n">
        <v>25.8</v>
      </c>
      <c r="J898" s="1" t="n">
        <v>0</v>
      </c>
      <c r="K898" s="1" t="n">
        <v>94.6</v>
      </c>
      <c r="L898" s="1" t="n">
        <v>0</v>
      </c>
      <c r="M898" s="1" t="n">
        <v>0</v>
      </c>
      <c r="N898" s="1" t="s">
        <v>531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0" t="n">
        <f aca="false">I898+0</f>
        <v>25.8</v>
      </c>
      <c r="AB898" s="0" t="n">
        <f aca="false">IF(Z898&gt;360,Z898-360,Z898+0)</f>
        <v>25.8</v>
      </c>
      <c r="AC898" s="1"/>
      <c r="AD898" s="1"/>
      <c r="AE898" s="1"/>
      <c r="AF898" s="1"/>
    </row>
    <row r="899" customFormat="false" ht="15.8" hidden="false" customHeight="false" outlineLevel="0" collapsed="false">
      <c r="A899" s="1" t="n">
        <v>21</v>
      </c>
      <c r="B899" s="1" t="n">
        <v>5</v>
      </c>
      <c r="C899" s="1" t="n">
        <v>1.4</v>
      </c>
      <c r="D899" s="1" t="n">
        <v>1.1747</v>
      </c>
      <c r="E899" s="1" t="n">
        <v>0.0394387</v>
      </c>
      <c r="F899" s="1" t="n">
        <v>8.58213E-005</v>
      </c>
      <c r="G899" s="1" t="s">
        <v>27</v>
      </c>
      <c r="H899" s="1" t="n">
        <v>53.2</v>
      </c>
      <c r="I899" s="1" t="n">
        <v>80.2</v>
      </c>
      <c r="J899" s="1" t="n">
        <v>0</v>
      </c>
      <c r="K899" s="1"/>
      <c r="L899" s="1" t="n">
        <v>0</v>
      </c>
      <c r="M899" s="1" t="n">
        <v>0</v>
      </c>
      <c r="N899" s="1" t="s">
        <v>531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0" t="n">
        <f aca="false">I899+0</f>
        <v>80.2</v>
      </c>
      <c r="AB899" s="0" t="n">
        <f aca="false">IF(Z899&gt;360,Z899-360,Z899+0)</f>
        <v>80.2</v>
      </c>
      <c r="AC899" s="1"/>
      <c r="AD899" s="1"/>
      <c r="AE899" s="1"/>
      <c r="AF899" s="1"/>
    </row>
    <row r="900" customFormat="false" ht="15.8" hidden="false" customHeight="false" outlineLevel="0" collapsed="false">
      <c r="A900" s="1" t="n">
        <v>21</v>
      </c>
      <c r="B900" s="1" t="n">
        <v>4</v>
      </c>
      <c r="C900" s="1" t="n">
        <v>1.4</v>
      </c>
      <c r="D900" s="1" t="n">
        <v>1.1974</v>
      </c>
      <c r="E900" s="1" t="n">
        <v>0.0389863</v>
      </c>
      <c r="F900" s="1" t="n">
        <v>8.4837E-005</v>
      </c>
      <c r="G900" s="1" t="s">
        <v>52</v>
      </c>
      <c r="H900" s="1" t="n">
        <v>59.3</v>
      </c>
      <c r="I900" s="1" t="n">
        <v>40.1</v>
      </c>
      <c r="J900" s="1" t="n">
        <v>-38.4</v>
      </c>
      <c r="K900" s="1" t="n">
        <v>53.2</v>
      </c>
      <c r="L900" s="1" t="n">
        <v>0</v>
      </c>
      <c r="M900" s="1" t="n">
        <v>0</v>
      </c>
      <c r="N900" s="1" t="s">
        <v>532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0" t="n">
        <f aca="false">I900+0</f>
        <v>40.1</v>
      </c>
      <c r="AB900" s="0" t="n">
        <f aca="false">IF(Z900&gt;360,Z900-360,Z900+0)</f>
        <v>40.1</v>
      </c>
      <c r="AC900" s="1"/>
      <c r="AD900" s="1"/>
      <c r="AE900" s="1"/>
      <c r="AF900" s="1"/>
    </row>
    <row r="901" customFormat="false" ht="15.8" hidden="false" customHeight="false" outlineLevel="0" collapsed="false">
      <c r="A901" s="1" t="n">
        <v>21</v>
      </c>
      <c r="B901" s="1" t="n">
        <v>4</v>
      </c>
      <c r="C901" s="1" t="n">
        <v>0.3</v>
      </c>
      <c r="D901" s="1" t="n">
        <v>1.0084</v>
      </c>
      <c r="E901" s="1" t="n">
        <v>0.00883218</v>
      </c>
      <c r="F901" s="1" t="n">
        <v>1.92194E-005</v>
      </c>
      <c r="G901" s="1" t="s">
        <v>27</v>
      </c>
      <c r="H901" s="1" t="n">
        <v>83</v>
      </c>
      <c r="I901" s="1" t="n">
        <v>312.8</v>
      </c>
      <c r="J901" s="1" t="n">
        <v>0</v>
      </c>
      <c r="K901" s="1"/>
      <c r="L901" s="1" t="n">
        <v>0</v>
      </c>
      <c r="M901" s="1" t="n">
        <v>0</v>
      </c>
      <c r="N901" s="1" t="s">
        <v>532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0" t="n">
        <f aca="false">I901+0</f>
        <v>312.8</v>
      </c>
      <c r="AB901" s="0" t="n">
        <f aca="false">IF(Z901&gt;360,Z901-360,Z901+0)</f>
        <v>312.8</v>
      </c>
      <c r="AC901" s="1"/>
      <c r="AD901" s="1"/>
      <c r="AE901" s="1"/>
      <c r="AF901" s="1"/>
    </row>
    <row r="902" customFormat="false" ht="15.8" hidden="false" customHeight="false" outlineLevel="0" collapsed="false">
      <c r="A902" s="1" t="n">
        <v>21</v>
      </c>
      <c r="B902" s="1" t="n">
        <v>3</v>
      </c>
      <c r="C902" s="1" t="n">
        <v>4.5</v>
      </c>
      <c r="D902" s="1" t="n">
        <v>1.4363</v>
      </c>
      <c r="E902" s="1" t="n">
        <v>0.135168</v>
      </c>
      <c r="F902" s="1" t="n">
        <v>0.000326135</v>
      </c>
      <c r="G902" s="1" t="s">
        <v>52</v>
      </c>
      <c r="H902" s="1" t="n">
        <v>29.2</v>
      </c>
      <c r="I902" s="1" t="n">
        <v>35.3</v>
      </c>
      <c r="J902" s="1" t="n">
        <v>20.7</v>
      </c>
      <c r="K902" s="1" t="n">
        <v>83</v>
      </c>
      <c r="L902" s="1" t="n">
        <v>0</v>
      </c>
      <c r="M902" s="1" t="n">
        <v>0</v>
      </c>
      <c r="N902" s="1" t="s">
        <v>520</v>
      </c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0" t="n">
        <f aca="false">I902+0</f>
        <v>35.3</v>
      </c>
      <c r="AB902" s="0" t="n">
        <f aca="false">IF(Z902&gt;360,Z902-360,Z902+0)</f>
        <v>35.3</v>
      </c>
      <c r="AC902" s="1"/>
      <c r="AD902" s="1"/>
      <c r="AE902" s="1"/>
      <c r="AF902" s="1"/>
    </row>
    <row r="903" customFormat="false" ht="15.8" hidden="false" customHeight="false" outlineLevel="0" collapsed="false">
      <c r="A903" s="1" t="n">
        <v>21</v>
      </c>
      <c r="B903" s="1" t="n">
        <v>8</v>
      </c>
      <c r="C903" s="1" t="n">
        <v>6</v>
      </c>
      <c r="D903" s="1" t="n">
        <v>1.2747</v>
      </c>
      <c r="E903" s="1" t="n">
        <v>0.173451</v>
      </c>
      <c r="F903" s="1" t="n">
        <v>0.000400134</v>
      </c>
      <c r="G903" s="1" t="s">
        <v>27</v>
      </c>
      <c r="H903" s="1" t="n">
        <v>15.9</v>
      </c>
      <c r="I903" s="1" t="n">
        <v>32.5</v>
      </c>
      <c r="J903" s="1" t="n">
        <v>9</v>
      </c>
      <c r="K903" s="1"/>
      <c r="L903" s="1" t="n">
        <v>0</v>
      </c>
      <c r="M903" s="1" t="n">
        <v>0</v>
      </c>
      <c r="N903" s="1" t="s">
        <v>533</v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0" t="n">
        <f aca="false">I903+0</f>
        <v>32.5</v>
      </c>
      <c r="AB903" s="0" t="n">
        <f aca="false">IF(Z903&gt;360,Z903-360,Z903+0)</f>
        <v>32.5</v>
      </c>
      <c r="AC903" s="1"/>
      <c r="AD903" s="1"/>
      <c r="AE903" s="1"/>
      <c r="AF903" s="1"/>
    </row>
    <row r="904" customFormat="false" ht="15.8" hidden="false" customHeight="false" outlineLevel="0" collapsed="false">
      <c r="A904" s="1" t="n">
        <v>21</v>
      </c>
      <c r="B904" s="1" t="n">
        <v>8</v>
      </c>
      <c r="C904" s="1" t="n">
        <v>0.9</v>
      </c>
      <c r="D904" s="1" t="n">
        <v>1.1098</v>
      </c>
      <c r="E904" s="1" t="n">
        <v>0.0321995</v>
      </c>
      <c r="F904" s="1" t="n">
        <v>8.75854E-005</v>
      </c>
      <c r="G904" s="1" t="s">
        <v>27</v>
      </c>
      <c r="H904" s="1" t="n">
        <v>64.8</v>
      </c>
      <c r="I904" s="1" t="n">
        <v>107.4</v>
      </c>
      <c r="J904" s="1" t="n">
        <v>-25.8</v>
      </c>
      <c r="K904" s="1"/>
      <c r="L904" s="1" t="n">
        <v>0</v>
      </c>
      <c r="M904" s="1" t="n">
        <v>0</v>
      </c>
      <c r="N904" s="1" t="s">
        <v>533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0" t="n">
        <f aca="false">I904+0</f>
        <v>107.4</v>
      </c>
      <c r="AB904" s="0" t="n">
        <f aca="false">IF(Z904&gt;360,Z904-360,Z904+0)</f>
        <v>107.4</v>
      </c>
      <c r="AC904" s="1"/>
      <c r="AD904" s="1"/>
      <c r="AE904" s="1"/>
      <c r="AF904" s="1"/>
    </row>
    <row r="905" customFormat="false" ht="15.8" hidden="false" customHeight="false" outlineLevel="0" collapsed="false">
      <c r="A905" s="1" t="n">
        <v>21</v>
      </c>
      <c r="B905" s="1" t="n">
        <v>7</v>
      </c>
      <c r="C905" s="1" t="n">
        <v>0.7</v>
      </c>
      <c r="D905" s="1" t="n">
        <v>1.0678</v>
      </c>
      <c r="E905" s="1" t="n">
        <v>0.0249923</v>
      </c>
      <c r="F905" s="1" t="n">
        <v>6.79811E-005</v>
      </c>
      <c r="G905" s="1" t="s">
        <v>52</v>
      </c>
      <c r="H905" s="1" t="n">
        <v>33.9</v>
      </c>
      <c r="I905" s="1" t="n">
        <v>45.6</v>
      </c>
      <c r="J905" s="1" t="n">
        <v>0</v>
      </c>
      <c r="K905" s="1" t="n">
        <v>64.8</v>
      </c>
      <c r="L905" s="1" t="n">
        <v>0</v>
      </c>
      <c r="M905" s="1" t="n">
        <v>0</v>
      </c>
      <c r="N905" s="1" t="s">
        <v>534</v>
      </c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0" t="n">
        <f aca="false">I905+0</f>
        <v>45.6</v>
      </c>
      <c r="AB905" s="0" t="n">
        <f aca="false">IF(Z905&gt;360,Z905-360,Z905+0)</f>
        <v>45.6</v>
      </c>
      <c r="AC905" s="1"/>
      <c r="AD905" s="1"/>
      <c r="AE905" s="1"/>
      <c r="AF905" s="1"/>
    </row>
    <row r="906" customFormat="false" ht="15.8" hidden="false" customHeight="false" outlineLevel="0" collapsed="false">
      <c r="A906" s="1" t="n">
        <v>21</v>
      </c>
      <c r="B906" s="1" t="n">
        <v>15</v>
      </c>
      <c r="C906" s="1" t="n">
        <v>1.9</v>
      </c>
      <c r="D906" s="1" t="n">
        <v>1.1255</v>
      </c>
      <c r="E906" s="1" t="n">
        <v>0.0637286</v>
      </c>
      <c r="F906" s="1" t="n">
        <v>0.000173347</v>
      </c>
      <c r="G906" s="1" t="s">
        <v>27</v>
      </c>
      <c r="H906" s="1" t="n">
        <v>46</v>
      </c>
      <c r="I906" s="1" t="n">
        <v>307.3</v>
      </c>
      <c r="J906" s="1" t="n">
        <v>12.9</v>
      </c>
      <c r="K906" s="1"/>
      <c r="L906" s="1" t="n">
        <v>0</v>
      </c>
      <c r="M906" s="1" t="n">
        <v>0</v>
      </c>
      <c r="N906" s="1" t="s">
        <v>535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0" t="n">
        <f aca="false">I906+0</f>
        <v>307.3</v>
      </c>
      <c r="AB906" s="0" t="n">
        <f aca="false">IF(Z906&gt;360,Z906-360,Z906+0)</f>
        <v>307.3</v>
      </c>
      <c r="AC906" s="1"/>
      <c r="AD906" s="1"/>
      <c r="AE906" s="1"/>
      <c r="AF906" s="1"/>
    </row>
    <row r="907" customFormat="false" ht="15.8" hidden="false" customHeight="false" outlineLevel="0" collapsed="false">
      <c r="A907" s="1" t="n">
        <v>21</v>
      </c>
      <c r="B907" s="1" t="n">
        <v>15</v>
      </c>
      <c r="C907" s="1" t="n">
        <v>1.5</v>
      </c>
      <c r="D907" s="1" t="n">
        <v>1.1259</v>
      </c>
      <c r="E907" s="1" t="n">
        <v>0.0520399</v>
      </c>
      <c r="F907" s="1" t="n">
        <v>0.000141553</v>
      </c>
      <c r="G907" s="1" t="s">
        <v>27</v>
      </c>
      <c r="H907" s="1" t="n">
        <v>65.1</v>
      </c>
      <c r="I907" s="1" t="n">
        <v>55.9</v>
      </c>
      <c r="J907" s="1" t="n">
        <v>15.9</v>
      </c>
      <c r="K907" s="1"/>
      <c r="L907" s="1" t="n">
        <v>0</v>
      </c>
      <c r="M907" s="1" t="n">
        <v>0</v>
      </c>
      <c r="N907" s="1" t="s">
        <v>535</v>
      </c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0" t="n">
        <f aca="false">I907+0</f>
        <v>55.9</v>
      </c>
      <c r="AB907" s="0" t="n">
        <f aca="false">IF(Z907&gt;360,Z907-360,Z907+0)</f>
        <v>55.9</v>
      </c>
      <c r="AC907" s="1"/>
      <c r="AD907" s="1"/>
      <c r="AE907" s="1"/>
      <c r="AF907" s="1"/>
    </row>
    <row r="908" customFormat="false" ht="15.8" hidden="false" customHeight="false" outlineLevel="0" collapsed="false">
      <c r="A908" s="1" t="n">
        <v>21</v>
      </c>
      <c r="B908" s="1" t="n">
        <v>14</v>
      </c>
      <c r="C908" s="1" t="n">
        <v>0.7</v>
      </c>
      <c r="D908" s="1" t="n">
        <v>1.0169</v>
      </c>
      <c r="E908" s="1" t="n">
        <v>0.0240673</v>
      </c>
      <c r="F908" s="1" t="n">
        <v>6.54651E-005</v>
      </c>
      <c r="G908" s="1" t="s">
        <v>52</v>
      </c>
      <c r="H908" s="1" t="n">
        <v>57.2</v>
      </c>
      <c r="I908" s="1" t="n">
        <v>351.9</v>
      </c>
      <c r="J908" s="1" t="n">
        <v>0</v>
      </c>
      <c r="K908" s="1" t="n">
        <v>65.1</v>
      </c>
      <c r="L908" s="1" t="n">
        <v>0</v>
      </c>
      <c r="M908" s="1" t="n">
        <v>0</v>
      </c>
      <c r="N908" s="1" t="s">
        <v>536</v>
      </c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0" t="n">
        <f aca="false">I908+0</f>
        <v>351.9</v>
      </c>
      <c r="AB908" s="0" t="n">
        <f aca="false">IF(Z908&gt;360,Z908-360,Z908+0)</f>
        <v>351.9</v>
      </c>
      <c r="AC908" s="1"/>
      <c r="AD908" s="1"/>
      <c r="AE908" s="1"/>
      <c r="AF908" s="1"/>
    </row>
    <row r="909" customFormat="false" ht="15.8" hidden="false" customHeight="false" outlineLevel="0" collapsed="false">
      <c r="A909" s="1" t="n">
        <v>21</v>
      </c>
      <c r="B909" s="1" t="n">
        <v>14</v>
      </c>
      <c r="C909" s="1" t="n">
        <v>1.1</v>
      </c>
      <c r="D909" s="1" t="n">
        <v>1.3299</v>
      </c>
      <c r="E909" s="1" t="n">
        <v>0.0375053</v>
      </c>
      <c r="F909" s="1" t="n">
        <v>0.000102018</v>
      </c>
      <c r="G909" s="1" t="s">
        <v>27</v>
      </c>
      <c r="H909" s="1" t="n">
        <v>32.5</v>
      </c>
      <c r="I909" s="1" t="n">
        <v>68.4</v>
      </c>
      <c r="J909" s="1" t="n">
        <v>-26.6</v>
      </c>
      <c r="K909" s="1"/>
      <c r="L909" s="1" t="n">
        <v>0</v>
      </c>
      <c r="M909" s="1" t="n">
        <v>0</v>
      </c>
      <c r="N909" s="1" t="s">
        <v>536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0" t="n">
        <f aca="false">I909+0</f>
        <v>68.4</v>
      </c>
      <c r="AB909" s="0" t="n">
        <f aca="false">IF(Z909&gt;360,Z909-360,Z909+0)</f>
        <v>68.4</v>
      </c>
      <c r="AC909" s="1"/>
      <c r="AD909" s="1"/>
      <c r="AE909" s="1"/>
      <c r="AF909" s="1"/>
    </row>
    <row r="910" customFormat="false" ht="15.8" hidden="false" customHeight="false" outlineLevel="0" collapsed="false">
      <c r="A910" s="1" t="n">
        <v>21</v>
      </c>
      <c r="B910" s="1" t="n">
        <v>13</v>
      </c>
      <c r="C910" s="1" t="n">
        <v>0.4</v>
      </c>
      <c r="D910" s="1" t="n">
        <v>1.005</v>
      </c>
      <c r="E910" s="1" t="n">
        <v>0.0148372</v>
      </c>
      <c r="F910" s="1" t="n">
        <v>4.03586E-005</v>
      </c>
      <c r="G910" s="1" t="s">
        <v>52</v>
      </c>
      <c r="H910" s="1" t="n">
        <v>5.3</v>
      </c>
      <c r="I910" s="1" t="n">
        <v>49.1</v>
      </c>
      <c r="J910" s="1" t="n">
        <v>0</v>
      </c>
      <c r="K910" s="1" t="n">
        <v>57.2</v>
      </c>
      <c r="L910" s="1" t="n">
        <v>0</v>
      </c>
      <c r="M910" s="1" t="n">
        <v>0</v>
      </c>
      <c r="N910" s="1" t="s">
        <v>537</v>
      </c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0" t="n">
        <f aca="false">I910+0</f>
        <v>49.1</v>
      </c>
      <c r="AB910" s="0" t="n">
        <f aca="false">IF(Z910&gt;360,Z910-360,Z910+0)</f>
        <v>49.1</v>
      </c>
      <c r="AC910" s="1"/>
      <c r="AD910" s="1"/>
      <c r="AE910" s="1"/>
      <c r="AF910" s="1"/>
    </row>
    <row r="911" customFormat="false" ht="15.8" hidden="false" customHeight="false" outlineLevel="0" collapsed="false">
      <c r="A911" s="1" t="n">
        <v>21</v>
      </c>
      <c r="B911" s="1" t="n">
        <v>13</v>
      </c>
      <c r="C911" s="1" t="n">
        <v>1.2</v>
      </c>
      <c r="D911" s="1" t="n">
        <v>1.2118</v>
      </c>
      <c r="E911" s="1" t="n">
        <v>0.0422888</v>
      </c>
      <c r="F911" s="1" t="n">
        <v>0.000115029</v>
      </c>
      <c r="G911" s="1" t="s">
        <v>27</v>
      </c>
      <c r="H911" s="1" t="n">
        <v>75.6</v>
      </c>
      <c r="I911" s="1" t="n">
        <v>129</v>
      </c>
      <c r="J911" s="1" t="n">
        <v>-21.2</v>
      </c>
      <c r="K911" s="1"/>
      <c r="L911" s="1" t="n">
        <v>0</v>
      </c>
      <c r="M911" s="1" t="n">
        <v>0</v>
      </c>
      <c r="N911" s="1" t="s">
        <v>537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0" t="n">
        <f aca="false">I911+0</f>
        <v>129</v>
      </c>
      <c r="AB911" s="0" t="n">
        <f aca="false">IF(Z911&gt;360,Z911-360,Z911+0)</f>
        <v>129</v>
      </c>
      <c r="AC911" s="1"/>
      <c r="AD911" s="1"/>
      <c r="AE911" s="1"/>
      <c r="AF911" s="1"/>
    </row>
    <row r="912" customFormat="false" ht="15.8" hidden="false" customHeight="false" outlineLevel="0" collapsed="false">
      <c r="A912" s="1" t="n">
        <v>21</v>
      </c>
      <c r="B912" s="1" t="n">
        <v>12</v>
      </c>
      <c r="C912" s="1" t="n">
        <v>2.3</v>
      </c>
      <c r="D912" s="1" t="n">
        <v>1.919</v>
      </c>
      <c r="E912" s="1" t="n">
        <v>0.077239</v>
      </c>
      <c r="F912" s="1" t="n">
        <v>0.000210097</v>
      </c>
      <c r="G912" s="1" t="s">
        <v>52</v>
      </c>
      <c r="H912" s="1" t="n">
        <v>62.8</v>
      </c>
      <c r="I912" s="1" t="n">
        <v>54.4</v>
      </c>
      <c r="J912" s="1" t="n">
        <v>0</v>
      </c>
      <c r="K912" s="1" t="n">
        <v>75.6</v>
      </c>
      <c r="L912" s="1" t="n">
        <v>0</v>
      </c>
      <c r="M912" s="1" t="n">
        <v>0</v>
      </c>
      <c r="N912" s="1" t="s">
        <v>538</v>
      </c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0" t="n">
        <f aca="false">I912+0</f>
        <v>54.4</v>
      </c>
      <c r="AB912" s="0" t="n">
        <f aca="false">IF(Z912&gt;360,Z912-360,Z912+0)</f>
        <v>54.4</v>
      </c>
      <c r="AC912" s="1"/>
      <c r="AD912" s="1"/>
      <c r="AE912" s="1"/>
      <c r="AF912" s="1"/>
    </row>
    <row r="913" customFormat="false" ht="15.8" hidden="false" customHeight="false" outlineLevel="0" collapsed="false">
      <c r="A913" s="1" t="n">
        <v>21</v>
      </c>
      <c r="B913" s="1" t="n">
        <v>14</v>
      </c>
      <c r="C913" s="1" t="n">
        <v>2.2</v>
      </c>
      <c r="D913" s="1" t="n">
        <v>1.2419</v>
      </c>
      <c r="E913" s="1" t="n">
        <v>0.0747067</v>
      </c>
      <c r="F913" s="1" t="n">
        <v>0.000203209</v>
      </c>
      <c r="G913" s="1" t="s">
        <v>27</v>
      </c>
      <c r="H913" s="1" t="n">
        <v>37.7</v>
      </c>
      <c r="I913" s="1" t="n">
        <v>77</v>
      </c>
      <c r="J913" s="1" t="n">
        <v>24.9</v>
      </c>
      <c r="K913" s="1"/>
      <c r="L913" s="1" t="n">
        <v>0</v>
      </c>
      <c r="M913" s="1" t="n">
        <v>0</v>
      </c>
      <c r="N913" s="1" t="s">
        <v>539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0" t="n">
        <f aca="false">I913+0</f>
        <v>77</v>
      </c>
      <c r="AB913" s="0" t="n">
        <f aca="false">IF(Z913&gt;360,Z913-360,Z913+0)</f>
        <v>77</v>
      </c>
      <c r="AC913" s="1"/>
      <c r="AD913" s="1"/>
      <c r="AE913" s="1"/>
      <c r="AF913" s="1"/>
    </row>
    <row r="914" customFormat="false" ht="15.8" hidden="false" customHeight="false" outlineLevel="0" collapsed="false">
      <c r="A914" s="1" t="n">
        <v>21</v>
      </c>
      <c r="B914" s="1" t="n">
        <v>14</v>
      </c>
      <c r="C914" s="1" t="n">
        <v>3.6</v>
      </c>
      <c r="D914" s="1" t="n">
        <v>1.5611</v>
      </c>
      <c r="E914" s="1" t="n">
        <v>0.123795</v>
      </c>
      <c r="F914" s="1" t="n">
        <v>0.000336732</v>
      </c>
      <c r="G914" s="1" t="s">
        <v>27</v>
      </c>
      <c r="H914" s="1" t="n">
        <v>41.5</v>
      </c>
      <c r="I914" s="1" t="n">
        <v>34.1</v>
      </c>
      <c r="J914" s="1" t="n">
        <v>39.6</v>
      </c>
      <c r="K914" s="1"/>
      <c r="L914" s="1" t="n">
        <v>0</v>
      </c>
      <c r="M914" s="1" t="n">
        <v>0</v>
      </c>
      <c r="N914" s="1" t="s">
        <v>539</v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0" t="n">
        <f aca="false">I914+0</f>
        <v>34.1</v>
      </c>
      <c r="AB914" s="0" t="n">
        <f aca="false">IF(Z914&gt;360,Z914-360,Z914+0)</f>
        <v>34.1</v>
      </c>
      <c r="AC914" s="1"/>
      <c r="AD914" s="1"/>
      <c r="AE914" s="1"/>
      <c r="AF914" s="1"/>
    </row>
    <row r="915" customFormat="false" ht="15.8" hidden="false" customHeight="false" outlineLevel="0" collapsed="false">
      <c r="A915" s="1" t="n">
        <v>21</v>
      </c>
      <c r="B915" s="1" t="n">
        <v>13</v>
      </c>
      <c r="C915" s="1" t="n">
        <v>0.5</v>
      </c>
      <c r="D915" s="1" t="n">
        <v>1.0031</v>
      </c>
      <c r="E915" s="1" t="n">
        <v>0.0171647</v>
      </c>
      <c r="F915" s="1" t="n">
        <v>4.66894E-005</v>
      </c>
      <c r="G915" s="1" t="s">
        <v>52</v>
      </c>
      <c r="H915" s="1" t="n">
        <v>72.9</v>
      </c>
      <c r="I915" s="1" t="n">
        <v>47.6</v>
      </c>
      <c r="J915" s="1" t="n">
        <v>0</v>
      </c>
      <c r="K915" s="1" t="n">
        <v>41.5</v>
      </c>
      <c r="L915" s="1" t="n">
        <v>0</v>
      </c>
      <c r="M915" s="1" t="n">
        <v>0</v>
      </c>
      <c r="N915" s="1" t="s">
        <v>540</v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0" t="n">
        <f aca="false">I915+0</f>
        <v>47.6</v>
      </c>
      <c r="AB915" s="0" t="n">
        <f aca="false">IF(Z915&gt;360,Z915-360,Z915+0)</f>
        <v>47.6</v>
      </c>
      <c r="AC915" s="1"/>
      <c r="AD915" s="1"/>
      <c r="AE915" s="1"/>
      <c r="AF915" s="1"/>
    </row>
    <row r="916" customFormat="false" ht="15.8" hidden="false" customHeight="false" outlineLevel="0" collapsed="false">
      <c r="A916" s="1" t="n">
        <v>21</v>
      </c>
      <c r="B916" s="1" t="n">
        <v>13</v>
      </c>
      <c r="C916" s="1" t="n">
        <v>1.1</v>
      </c>
      <c r="D916" s="1" t="n">
        <v>1.4178</v>
      </c>
      <c r="E916" s="1" t="n">
        <v>0.0366592</v>
      </c>
      <c r="F916" s="1" t="n">
        <v>9.97162E-005</v>
      </c>
      <c r="G916" s="1" t="s">
        <v>27</v>
      </c>
      <c r="H916" s="1" t="n">
        <v>68.1</v>
      </c>
      <c r="I916" s="1" t="n">
        <v>193.3</v>
      </c>
      <c r="J916" s="1" t="n">
        <v>29.3</v>
      </c>
      <c r="K916" s="1"/>
      <c r="L916" s="1" t="n">
        <v>0</v>
      </c>
      <c r="M916" s="1" t="n">
        <v>0</v>
      </c>
      <c r="N916" s="1" t="s">
        <v>540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0" t="n">
        <f aca="false">I916+0</f>
        <v>193.3</v>
      </c>
      <c r="AB916" s="0" t="n">
        <f aca="false">IF(Z916&gt;360,Z916-360,Z916+0)</f>
        <v>193.3</v>
      </c>
      <c r="AC916" s="1"/>
      <c r="AD916" s="1"/>
      <c r="AE916" s="1"/>
      <c r="AF916" s="1"/>
    </row>
    <row r="917" customFormat="false" ht="15.8" hidden="false" customHeight="false" outlineLevel="0" collapsed="false">
      <c r="A917" s="1" t="n">
        <v>21</v>
      </c>
      <c r="B917" s="1" t="n">
        <v>12</v>
      </c>
      <c r="C917" s="1" t="n">
        <v>2.6</v>
      </c>
      <c r="D917" s="1" t="n">
        <v>1.2584</v>
      </c>
      <c r="E917" s="1" t="n">
        <v>0.0871703</v>
      </c>
      <c r="F917" s="1" t="n">
        <v>0.000237111</v>
      </c>
      <c r="G917" s="1" t="s">
        <v>52</v>
      </c>
      <c r="H917" s="1" t="n">
        <v>94</v>
      </c>
      <c r="I917" s="1" t="n">
        <v>91.5</v>
      </c>
      <c r="J917" s="1" t="n">
        <v>65.9</v>
      </c>
      <c r="K917" s="1" t="n">
        <v>72.9</v>
      </c>
      <c r="L917" s="1" t="n">
        <v>0</v>
      </c>
      <c r="M917" s="1" t="n">
        <v>0</v>
      </c>
      <c r="N917" s="1" t="s">
        <v>538</v>
      </c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0" t="n">
        <f aca="false">I917+0</f>
        <v>91.5</v>
      </c>
      <c r="AB917" s="0" t="n">
        <f aca="false">IF(Z917&gt;360,Z917-360,Z917+0)</f>
        <v>91.5</v>
      </c>
      <c r="AC917" s="1"/>
      <c r="AD917" s="1"/>
      <c r="AE917" s="1"/>
      <c r="AF917" s="1"/>
    </row>
    <row r="918" customFormat="false" ht="15.8" hidden="false" customHeight="false" outlineLevel="0" collapsed="false">
      <c r="A918" s="1" t="n">
        <v>21</v>
      </c>
      <c r="B918" s="1" t="n">
        <v>11</v>
      </c>
      <c r="C918" s="1" t="n">
        <v>0.3</v>
      </c>
      <c r="D918" s="1" t="n">
        <v>1.0045</v>
      </c>
      <c r="E918" s="1" t="n">
        <v>0.0101961</v>
      </c>
      <c r="F918" s="1" t="n">
        <v>2.77344E-005</v>
      </c>
      <c r="G918" s="1" t="s">
        <v>52</v>
      </c>
      <c r="H918" s="1" t="n">
        <v>17.7</v>
      </c>
      <c r="I918" s="1" t="n">
        <v>351.6</v>
      </c>
      <c r="J918" s="1" t="n">
        <v>0</v>
      </c>
      <c r="K918" s="1" t="n">
        <v>94</v>
      </c>
      <c r="L918" s="1" t="n">
        <v>0</v>
      </c>
      <c r="M918" s="1" t="n">
        <v>0</v>
      </c>
      <c r="N918" s="1" t="s">
        <v>541</v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0" t="n">
        <f aca="false">I918+0</f>
        <v>351.6</v>
      </c>
      <c r="AB918" s="0" t="n">
        <f aca="false">IF(Z918&gt;360,Z918-360,Z918+0)</f>
        <v>351.6</v>
      </c>
      <c r="AC918" s="1"/>
      <c r="AD918" s="1"/>
      <c r="AE918" s="1"/>
      <c r="AF918" s="1"/>
    </row>
    <row r="919" customFormat="false" ht="15.8" hidden="false" customHeight="false" outlineLevel="0" collapsed="false">
      <c r="A919" s="1" t="n">
        <v>21</v>
      </c>
      <c r="B919" s="1" t="n">
        <v>12</v>
      </c>
      <c r="C919" s="1" t="n">
        <v>3.5</v>
      </c>
      <c r="D919" s="1" t="n">
        <v>1.2254</v>
      </c>
      <c r="E919" s="1" t="n">
        <v>0.119698</v>
      </c>
      <c r="F919" s="1" t="n">
        <v>0.00032559</v>
      </c>
      <c r="G919" s="1" t="s">
        <v>27</v>
      </c>
      <c r="H919" s="1" t="n">
        <v>6.8</v>
      </c>
      <c r="I919" s="1" t="n">
        <v>269.1</v>
      </c>
      <c r="J919" s="1" t="n">
        <v>-22.9</v>
      </c>
      <c r="K919" s="1"/>
      <c r="L919" s="1" t="n">
        <v>0</v>
      </c>
      <c r="M919" s="1" t="n">
        <v>0</v>
      </c>
      <c r="N919" s="1" t="s">
        <v>542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0" t="n">
        <f aca="false">I919+0</f>
        <v>269.1</v>
      </c>
      <c r="AB919" s="0" t="n">
        <f aca="false">IF(Z919&gt;360,Z919-360,Z919+0)</f>
        <v>269.1</v>
      </c>
      <c r="AC919" s="1"/>
      <c r="AD919" s="1"/>
      <c r="AE919" s="1"/>
      <c r="AF919" s="1"/>
    </row>
    <row r="920" customFormat="false" ht="15.8" hidden="false" customHeight="false" outlineLevel="0" collapsed="false">
      <c r="A920" s="1" t="n">
        <v>21</v>
      </c>
      <c r="B920" s="1" t="n">
        <v>12</v>
      </c>
      <c r="C920" s="1" t="n">
        <v>1.4</v>
      </c>
      <c r="D920" s="1" t="n">
        <v>1.159</v>
      </c>
      <c r="E920" s="1" t="n">
        <v>0.0463466</v>
      </c>
      <c r="F920" s="1" t="n">
        <v>0.000126067</v>
      </c>
      <c r="G920" s="1" t="s">
        <v>27</v>
      </c>
      <c r="H920" s="1" t="n">
        <v>67.4</v>
      </c>
      <c r="I920" s="1" t="n">
        <v>331.9</v>
      </c>
      <c r="J920" s="1" t="n">
        <v>18.4</v>
      </c>
      <c r="K920" s="1"/>
      <c r="L920" s="1" t="n">
        <v>0</v>
      </c>
      <c r="M920" s="1" t="n">
        <v>0</v>
      </c>
      <c r="N920" s="1" t="s">
        <v>542</v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0" t="n">
        <f aca="false">I920+0</f>
        <v>331.9</v>
      </c>
      <c r="AB920" s="0" t="n">
        <f aca="false">IF(Z920&gt;360,Z920-360,Z920+0)</f>
        <v>331.9</v>
      </c>
      <c r="AC920" s="1"/>
      <c r="AD920" s="1"/>
      <c r="AE920" s="1"/>
      <c r="AF920" s="1"/>
    </row>
    <row r="921" customFormat="false" ht="15.8" hidden="false" customHeight="false" outlineLevel="0" collapsed="false">
      <c r="A921" s="1" t="n">
        <v>21</v>
      </c>
      <c r="B921" s="1" t="n">
        <v>11</v>
      </c>
      <c r="C921" s="1" t="n">
        <v>1.5</v>
      </c>
      <c r="D921" s="1" t="n">
        <v>1.2473</v>
      </c>
      <c r="E921" s="1" t="n">
        <v>0.0500132</v>
      </c>
      <c r="F921" s="1" t="n">
        <v>0.00013604</v>
      </c>
      <c r="G921" s="1" t="s">
        <v>52</v>
      </c>
      <c r="H921" s="1" t="n">
        <v>90</v>
      </c>
      <c r="I921" s="1" t="n">
        <v>274.5</v>
      </c>
      <c r="J921" s="1" t="n">
        <v>-18.4</v>
      </c>
      <c r="K921" s="1" t="n">
        <v>67.4</v>
      </c>
      <c r="L921" s="1" t="n">
        <v>0</v>
      </c>
      <c r="M921" s="1" t="n">
        <v>0</v>
      </c>
      <c r="N921" s="1" t="s">
        <v>541</v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0" t="n">
        <f aca="false">I921+0</f>
        <v>274.5</v>
      </c>
      <c r="AB921" s="0" t="n">
        <f aca="false">IF(Z921&gt;360,Z921-360,Z921+0)</f>
        <v>274.5</v>
      </c>
      <c r="AC921" s="1"/>
      <c r="AD921" s="1"/>
      <c r="AE921" s="1"/>
      <c r="AF921" s="1"/>
    </row>
    <row r="922" customFormat="false" ht="15.8" hidden="false" customHeight="false" outlineLevel="0" collapsed="false">
      <c r="A922" s="1" t="n">
        <v>21</v>
      </c>
      <c r="B922" s="1" t="n">
        <v>10</v>
      </c>
      <c r="C922" s="1" t="n">
        <v>1.7</v>
      </c>
      <c r="D922" s="1" t="n">
        <v>1.2435</v>
      </c>
      <c r="E922" s="1" t="n">
        <v>0.0568008</v>
      </c>
      <c r="F922" s="1" t="n">
        <v>0.000154503</v>
      </c>
      <c r="G922" s="1" t="s">
        <v>52</v>
      </c>
      <c r="H922" s="1" t="n">
        <v>52.6</v>
      </c>
      <c r="I922" s="1" t="n">
        <v>359</v>
      </c>
      <c r="J922" s="1" t="n">
        <v>16.1</v>
      </c>
      <c r="K922" s="1" t="n">
        <v>90</v>
      </c>
      <c r="L922" s="1" t="n">
        <v>0</v>
      </c>
      <c r="M922" s="1" t="n">
        <v>0</v>
      </c>
      <c r="N922" s="1" t="s">
        <v>543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0" t="n">
        <f aca="false">I922+0</f>
        <v>359</v>
      </c>
      <c r="AB922" s="0" t="n">
        <f aca="false">IF(Z922&gt;360,Z922-360,Z922+0)</f>
        <v>359</v>
      </c>
      <c r="AC922" s="1"/>
      <c r="AD922" s="1"/>
      <c r="AE922" s="1"/>
      <c r="AF922" s="1"/>
    </row>
    <row r="923" customFormat="false" ht="15.8" hidden="false" customHeight="false" outlineLevel="0" collapsed="false">
      <c r="A923" s="1" t="n">
        <v>21</v>
      </c>
      <c r="B923" s="1" t="n">
        <v>10</v>
      </c>
      <c r="C923" s="1" t="n">
        <v>2.1</v>
      </c>
      <c r="D923" s="1" t="n">
        <v>1.1197</v>
      </c>
      <c r="E923" s="1" t="n">
        <v>0.0715245</v>
      </c>
      <c r="F923" s="1" t="n">
        <v>0.000194553</v>
      </c>
      <c r="G923" s="1" t="s">
        <v>27</v>
      </c>
      <c r="H923" s="1" t="n">
        <v>132.2</v>
      </c>
      <c r="I923" s="1" t="n">
        <v>266.3</v>
      </c>
      <c r="J923" s="1" t="n">
        <v>11.4</v>
      </c>
      <c r="K923" s="1"/>
      <c r="L923" s="1" t="n">
        <v>0</v>
      </c>
      <c r="M923" s="1" t="n">
        <v>0</v>
      </c>
      <c r="N923" s="1" t="s">
        <v>543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0" t="n">
        <f aca="false">I923+0</f>
        <v>266.3</v>
      </c>
      <c r="AB923" s="0" t="n">
        <f aca="false">IF(Z923&gt;360,Z923-360,Z923+0)</f>
        <v>266.3</v>
      </c>
      <c r="AC923" s="1"/>
      <c r="AD923" s="1"/>
      <c r="AE923" s="1"/>
      <c r="AF923" s="1"/>
    </row>
    <row r="924" customFormat="false" ht="15.8" hidden="false" customHeight="false" outlineLevel="0" collapsed="false">
      <c r="A924" s="1" t="n">
        <v>21</v>
      </c>
      <c r="B924" s="1" t="n">
        <v>10</v>
      </c>
      <c r="C924" s="1" t="n">
        <v>1.8</v>
      </c>
      <c r="D924" s="1" t="n">
        <v>1.0482</v>
      </c>
      <c r="E924" s="1" t="n">
        <v>0.0615497</v>
      </c>
      <c r="F924" s="1" t="n">
        <v>0.000167421</v>
      </c>
      <c r="G924" s="1" t="s">
        <v>27</v>
      </c>
      <c r="H924" s="1" t="n">
        <v>120</v>
      </c>
      <c r="I924" s="1" t="n">
        <v>159.6</v>
      </c>
      <c r="J924" s="1" t="n">
        <v>0</v>
      </c>
      <c r="K924" s="1"/>
      <c r="L924" s="1" t="n">
        <v>0</v>
      </c>
      <c r="M924" s="1" t="n">
        <v>0</v>
      </c>
      <c r="N924" s="1" t="s">
        <v>543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0" t="n">
        <f aca="false">I924+0</f>
        <v>159.6</v>
      </c>
      <c r="AB924" s="0" t="n">
        <f aca="false">IF(Z924&gt;360,Z924-360,Z924+0)</f>
        <v>159.6</v>
      </c>
      <c r="AC924" s="1"/>
      <c r="AD924" s="1"/>
      <c r="AE924" s="1"/>
      <c r="AF924" s="1"/>
    </row>
    <row r="925" customFormat="false" ht="15.8" hidden="false" customHeight="false" outlineLevel="0" collapsed="false">
      <c r="A925" s="1" t="n">
        <v>21</v>
      </c>
      <c r="B925" s="1" t="n">
        <v>9</v>
      </c>
      <c r="C925" s="1" t="n">
        <v>1.2</v>
      </c>
      <c r="D925" s="1" t="n">
        <v>1.1477</v>
      </c>
      <c r="E925" s="1" t="n">
        <v>0.0407494</v>
      </c>
      <c r="F925" s="1" t="n">
        <v>0.000110842</v>
      </c>
      <c r="G925" s="1" t="s">
        <v>52</v>
      </c>
      <c r="H925" s="1" t="n">
        <v>30.6</v>
      </c>
      <c r="I925" s="1" t="n">
        <v>37.3</v>
      </c>
      <c r="J925" s="1" t="n">
        <v>-20.9</v>
      </c>
      <c r="K925" s="1" t="n">
        <v>132.2</v>
      </c>
      <c r="L925" s="1" t="n">
        <v>0</v>
      </c>
      <c r="M925" s="1" t="n">
        <v>0</v>
      </c>
      <c r="N925" s="1" t="s">
        <v>544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0" t="n">
        <f aca="false">I925+0</f>
        <v>37.3</v>
      </c>
      <c r="AB925" s="0" t="n">
        <f aca="false">IF(Z925&gt;360,Z925-360,Z925+0)</f>
        <v>37.3</v>
      </c>
      <c r="AC925" s="1"/>
      <c r="AD925" s="1"/>
      <c r="AE925" s="1"/>
      <c r="AF925" s="1"/>
    </row>
    <row r="926" customFormat="false" ht="15.8" hidden="false" customHeight="false" outlineLevel="0" collapsed="false">
      <c r="A926" s="1" t="n">
        <v>21</v>
      </c>
      <c r="B926" s="1" t="n">
        <v>9</v>
      </c>
      <c r="C926" s="1" t="n">
        <v>4.7</v>
      </c>
      <c r="D926" s="1" t="n">
        <v>1.3025</v>
      </c>
      <c r="E926" s="1" t="n">
        <v>0.161028</v>
      </c>
      <c r="F926" s="1" t="n">
        <v>0.000438009</v>
      </c>
      <c r="G926" s="1" t="s">
        <v>27</v>
      </c>
      <c r="H926" s="1" t="n">
        <v>88.7</v>
      </c>
      <c r="I926" s="1" t="n">
        <v>295.6</v>
      </c>
      <c r="J926" s="1" t="n">
        <v>67</v>
      </c>
      <c r="K926" s="1"/>
      <c r="L926" s="1" t="n">
        <v>0</v>
      </c>
      <c r="M926" s="1" t="n">
        <v>0</v>
      </c>
      <c r="N926" s="1" t="s">
        <v>544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0" t="n">
        <f aca="false">I926+0</f>
        <v>295.6</v>
      </c>
      <c r="AB926" s="0" t="n">
        <f aca="false">IF(Z926&gt;360,Z926-360,Z926+0)</f>
        <v>295.6</v>
      </c>
      <c r="AC926" s="1"/>
      <c r="AD926" s="1"/>
      <c r="AE926" s="1"/>
      <c r="AF926" s="1"/>
    </row>
    <row r="927" customFormat="false" ht="15.8" hidden="false" customHeight="false" outlineLevel="0" collapsed="false">
      <c r="A927" s="1" t="n">
        <v>21</v>
      </c>
      <c r="B927" s="1" t="n">
        <v>9</v>
      </c>
      <c r="C927" s="1" t="n">
        <v>1.5</v>
      </c>
      <c r="D927" s="1" t="n">
        <v>1.1395</v>
      </c>
      <c r="E927" s="1" t="n">
        <v>0.0510347</v>
      </c>
      <c r="F927" s="1" t="n">
        <v>0.000138819</v>
      </c>
      <c r="G927" s="1" t="s">
        <v>27</v>
      </c>
      <c r="H927" s="1" t="n">
        <v>139.9</v>
      </c>
      <c r="I927" s="1" t="n">
        <v>264.5</v>
      </c>
      <c r="J927" s="1" t="n">
        <v>-16.4</v>
      </c>
      <c r="K927" s="1"/>
      <c r="L927" s="1" t="n">
        <v>0</v>
      </c>
      <c r="M927" s="1" t="n">
        <v>0</v>
      </c>
      <c r="N927" s="1" t="s">
        <v>544</v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0" t="n">
        <f aca="false">I927+0</f>
        <v>264.5</v>
      </c>
      <c r="AB927" s="0" t="n">
        <f aca="false">IF(Z927&gt;360,Z927-360,Z927+0)</f>
        <v>264.5</v>
      </c>
      <c r="AC927" s="1"/>
      <c r="AD927" s="1"/>
      <c r="AE927" s="1"/>
      <c r="AF927" s="1"/>
    </row>
    <row r="928" customFormat="false" ht="15.8" hidden="false" customHeight="false" outlineLevel="0" collapsed="false">
      <c r="A928" s="1" t="n">
        <v>21</v>
      </c>
      <c r="B928" s="1" t="n">
        <v>8</v>
      </c>
      <c r="C928" s="1" t="n">
        <v>5.4</v>
      </c>
      <c r="D928" s="1" t="n">
        <v>1.1472</v>
      </c>
      <c r="E928" s="1" t="n">
        <v>0.185135</v>
      </c>
      <c r="F928" s="1" t="n">
        <v>0.000503583</v>
      </c>
      <c r="G928" s="1" t="s">
        <v>52</v>
      </c>
      <c r="H928" s="1" t="n">
        <v>89.4</v>
      </c>
      <c r="I928" s="1" t="n">
        <v>44.1</v>
      </c>
      <c r="J928" s="1" t="n">
        <v>9</v>
      </c>
      <c r="K928" s="1" t="n">
        <v>139.9</v>
      </c>
      <c r="L928" s="1" t="n">
        <v>0</v>
      </c>
      <c r="M928" s="1" t="n">
        <v>0</v>
      </c>
      <c r="N928" s="1" t="s">
        <v>545</v>
      </c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0" t="n">
        <f aca="false">I928+0</f>
        <v>44.1</v>
      </c>
      <c r="AB928" s="0" t="n">
        <f aca="false">IF(Z928&gt;360,Z928-360,Z928+0)</f>
        <v>44.1</v>
      </c>
      <c r="AC928" s="1"/>
      <c r="AD928" s="1"/>
      <c r="AE928" s="1"/>
      <c r="AF928" s="1"/>
    </row>
    <row r="929" customFormat="false" ht="15.8" hidden="false" customHeight="false" outlineLevel="0" collapsed="false">
      <c r="A929" s="1" t="n">
        <v>21</v>
      </c>
      <c r="B929" s="1" t="n">
        <v>8</v>
      </c>
      <c r="C929" s="1" t="n">
        <v>0.6</v>
      </c>
      <c r="D929" s="1" t="n">
        <v>1.0013</v>
      </c>
      <c r="E929" s="1" t="n">
        <v>0.0222012</v>
      </c>
      <c r="F929" s="1" t="n">
        <v>6.03891E-005</v>
      </c>
      <c r="G929" s="1" t="s">
        <v>27</v>
      </c>
      <c r="H929" s="1" t="n">
        <v>66.3</v>
      </c>
      <c r="I929" s="1" t="n">
        <v>247.3</v>
      </c>
      <c r="J929" s="1" t="n">
        <v>0</v>
      </c>
      <c r="K929" s="1"/>
      <c r="L929" s="1" t="n">
        <v>0</v>
      </c>
      <c r="M929" s="1" t="n">
        <v>0</v>
      </c>
      <c r="N929" s="1" t="s">
        <v>545</v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0" t="n">
        <f aca="false">I929+0</f>
        <v>247.3</v>
      </c>
      <c r="AB929" s="0" t="n">
        <f aca="false">IF(Z929&gt;360,Z929-360,Z929+0)</f>
        <v>247.3</v>
      </c>
      <c r="AC929" s="1"/>
      <c r="AD929" s="1"/>
      <c r="AE929" s="1"/>
      <c r="AF929" s="1"/>
    </row>
    <row r="930" customFormat="false" ht="15.8" hidden="false" customHeight="false" outlineLevel="0" collapsed="false">
      <c r="A930" s="1" t="n">
        <v>21</v>
      </c>
      <c r="B930" s="1" t="n">
        <v>7</v>
      </c>
      <c r="C930" s="1" t="n">
        <v>1.8</v>
      </c>
      <c r="D930" s="1" t="n">
        <v>1.2612</v>
      </c>
      <c r="E930" s="1" t="n">
        <v>0.0610131</v>
      </c>
      <c r="F930" s="1" t="n">
        <v>0.000165961</v>
      </c>
      <c r="G930" s="1" t="s">
        <v>52</v>
      </c>
      <c r="H930" s="1" t="n">
        <v>61.7</v>
      </c>
      <c r="I930" s="1" t="n">
        <v>309.1</v>
      </c>
      <c r="J930" s="1" t="n">
        <v>31.5</v>
      </c>
      <c r="K930" s="1" t="n">
        <v>89.4</v>
      </c>
      <c r="L930" s="1" t="n">
        <v>0</v>
      </c>
      <c r="M930" s="1" t="n">
        <v>0</v>
      </c>
      <c r="N930" s="1" t="s">
        <v>534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0" t="n">
        <f aca="false">I930+0</f>
        <v>309.1</v>
      </c>
      <c r="AB930" s="0" t="n">
        <f aca="false">IF(Z930&gt;360,Z930-360,Z930+0)</f>
        <v>309.1</v>
      </c>
      <c r="AC930" s="1"/>
      <c r="AD930" s="1"/>
      <c r="AE930" s="1"/>
      <c r="AF930" s="1"/>
    </row>
    <row r="931" customFormat="false" ht="15.8" hidden="false" customHeight="false" outlineLevel="0" collapsed="false">
      <c r="A931" s="1" t="n">
        <v>21</v>
      </c>
      <c r="B931" s="1" t="n">
        <v>11</v>
      </c>
      <c r="C931" s="1" t="n">
        <v>4.8</v>
      </c>
      <c r="D931" s="1" t="n">
        <v>1.3997</v>
      </c>
      <c r="E931" s="1" t="n">
        <v>0.165145</v>
      </c>
      <c r="F931" s="1" t="n">
        <v>0.000449209</v>
      </c>
      <c r="G931" s="1" t="s">
        <v>27</v>
      </c>
      <c r="H931" s="1" t="n">
        <v>10.7</v>
      </c>
      <c r="I931" s="1" t="n">
        <v>331.6</v>
      </c>
      <c r="J931" s="1" t="n">
        <v>0</v>
      </c>
      <c r="K931" s="1"/>
      <c r="L931" s="1" t="n">
        <v>0</v>
      </c>
      <c r="M931" s="1" t="n">
        <v>0</v>
      </c>
      <c r="N931" s="1" t="s">
        <v>546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0" t="n">
        <f aca="false">I931+0</f>
        <v>331.6</v>
      </c>
      <c r="AB931" s="0" t="n">
        <f aca="false">IF(Z931&gt;360,Z931-360,Z931+0)</f>
        <v>331.6</v>
      </c>
      <c r="AC931" s="1"/>
      <c r="AD931" s="1"/>
      <c r="AE931" s="1"/>
      <c r="AF931" s="1"/>
    </row>
    <row r="932" customFormat="false" ht="15.8" hidden="false" customHeight="false" outlineLevel="0" collapsed="false">
      <c r="A932" s="1" t="n">
        <v>21</v>
      </c>
      <c r="B932" s="1" t="n">
        <v>14</v>
      </c>
      <c r="C932" s="1" t="n">
        <v>0.9</v>
      </c>
      <c r="D932" s="1" t="n">
        <v>1.0394</v>
      </c>
      <c r="E932" s="1" t="n">
        <v>0.0315388</v>
      </c>
      <c r="F932" s="1" t="n">
        <v>8.57883E-005</v>
      </c>
      <c r="G932" s="1" t="s">
        <v>27</v>
      </c>
      <c r="H932" s="1" t="n">
        <v>65.7</v>
      </c>
      <c r="I932" s="1" t="n">
        <v>281.3</v>
      </c>
      <c r="J932" s="1" t="n">
        <v>0</v>
      </c>
      <c r="K932" s="1"/>
      <c r="L932" s="1" t="n">
        <v>0</v>
      </c>
      <c r="M932" s="1" t="n">
        <v>0</v>
      </c>
      <c r="N932" s="1" t="s">
        <v>547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0" t="n">
        <f aca="false">I932+0</f>
        <v>281.3</v>
      </c>
      <c r="AB932" s="0" t="n">
        <f aca="false">IF(Z932&gt;360,Z932-360,Z932+0)</f>
        <v>281.3</v>
      </c>
      <c r="AC932" s="1"/>
      <c r="AD932" s="1"/>
      <c r="AE932" s="1"/>
      <c r="AF932" s="1"/>
    </row>
    <row r="933" customFormat="false" ht="15.8" hidden="false" customHeight="false" outlineLevel="0" collapsed="false">
      <c r="A933" s="1" t="n">
        <v>21</v>
      </c>
      <c r="B933" s="1" t="n">
        <v>14</v>
      </c>
      <c r="C933" s="1" t="n">
        <v>0.6</v>
      </c>
      <c r="D933" s="1" t="n">
        <v>1.0057</v>
      </c>
      <c r="E933" s="1" t="n">
        <v>0.0214372</v>
      </c>
      <c r="F933" s="1" t="n">
        <v>5.83109E-005</v>
      </c>
      <c r="G933" s="1" t="s">
        <v>27</v>
      </c>
      <c r="H933" s="1" t="n">
        <v>109</v>
      </c>
      <c r="I933" s="1" t="n">
        <v>96</v>
      </c>
      <c r="J933" s="1" t="n">
        <v>0</v>
      </c>
      <c r="K933" s="1"/>
      <c r="L933" s="1" t="n">
        <v>0</v>
      </c>
      <c r="M933" s="1" t="n">
        <v>0</v>
      </c>
      <c r="N933" s="1" t="s">
        <v>547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0" t="n">
        <f aca="false">I933+0</f>
        <v>96</v>
      </c>
      <c r="AB933" s="0" t="n">
        <f aca="false">IF(Z933&gt;360,Z933-360,Z933+0)</f>
        <v>96</v>
      </c>
      <c r="AC933" s="1"/>
      <c r="AD933" s="1"/>
      <c r="AE933" s="1"/>
      <c r="AF933" s="1"/>
    </row>
    <row r="934" customFormat="false" ht="15.8" hidden="false" customHeight="false" outlineLevel="0" collapsed="false">
      <c r="A934" s="1" t="n">
        <v>21</v>
      </c>
      <c r="B934" s="1" t="n">
        <v>13</v>
      </c>
      <c r="C934" s="1" t="n">
        <v>0.6</v>
      </c>
      <c r="D934" s="1" t="n">
        <v>1.053</v>
      </c>
      <c r="E934" s="1" t="n">
        <v>0.0208998</v>
      </c>
      <c r="F934" s="1" t="n">
        <v>5.68491E-005</v>
      </c>
      <c r="G934" s="1" t="s">
        <v>52</v>
      </c>
      <c r="H934" s="1" t="n">
        <v>11.7</v>
      </c>
      <c r="I934" s="1" t="n">
        <v>347</v>
      </c>
      <c r="J934" s="1" t="n">
        <v>0</v>
      </c>
      <c r="K934" s="1" t="n">
        <v>109</v>
      </c>
      <c r="L934" s="1" t="n">
        <v>0</v>
      </c>
      <c r="M934" s="1" t="n">
        <v>0</v>
      </c>
      <c r="N934" s="1" t="s">
        <v>548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0" t="n">
        <f aca="false">I934+0</f>
        <v>347</v>
      </c>
      <c r="AB934" s="0" t="n">
        <f aca="false">IF(Z934&gt;360,Z934-360,Z934+0)</f>
        <v>347</v>
      </c>
      <c r="AC934" s="1"/>
      <c r="AD934" s="1"/>
      <c r="AE934" s="1"/>
      <c r="AF934" s="1"/>
    </row>
    <row r="935" customFormat="false" ht="15.8" hidden="false" customHeight="false" outlineLevel="0" collapsed="false">
      <c r="A935" s="1" t="n">
        <v>21</v>
      </c>
      <c r="B935" s="1" t="n">
        <v>13</v>
      </c>
      <c r="C935" s="1" t="n">
        <v>1.7</v>
      </c>
      <c r="D935" s="1" t="n">
        <v>1.2676</v>
      </c>
      <c r="E935" s="1" t="n">
        <v>0.0569961</v>
      </c>
      <c r="F935" s="1" t="n">
        <v>0.000155034</v>
      </c>
      <c r="G935" s="1" t="s">
        <v>27</v>
      </c>
      <c r="H935" s="1" t="n">
        <v>90.3</v>
      </c>
      <c r="I935" s="1" t="n">
        <v>89</v>
      </c>
      <c r="J935" s="1" t="n">
        <v>16.3</v>
      </c>
      <c r="K935" s="1"/>
      <c r="L935" s="1" t="n">
        <v>0</v>
      </c>
      <c r="M935" s="1" t="n">
        <v>0</v>
      </c>
      <c r="N935" s="1" t="s">
        <v>548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0" t="n">
        <f aca="false">I935+0</f>
        <v>89</v>
      </c>
      <c r="AB935" s="0" t="n">
        <f aca="false">IF(Z935&gt;360,Z935-360,Z935+0)</f>
        <v>89</v>
      </c>
      <c r="AC935" s="1"/>
      <c r="AD935" s="1"/>
      <c r="AE935" s="1"/>
      <c r="AF935" s="1"/>
    </row>
    <row r="936" customFormat="false" ht="15.8" hidden="false" customHeight="false" outlineLevel="0" collapsed="false">
      <c r="A936" s="1" t="n">
        <v>21</v>
      </c>
      <c r="B936" s="1" t="n">
        <v>12</v>
      </c>
      <c r="C936" s="1" t="n">
        <v>1.7</v>
      </c>
      <c r="D936" s="1" t="n">
        <v>1.1497</v>
      </c>
      <c r="E936" s="1" t="n">
        <v>0.0585923</v>
      </c>
      <c r="F936" s="1" t="n">
        <v>0.000159376</v>
      </c>
      <c r="G936" s="1" t="s">
        <v>52</v>
      </c>
      <c r="H936" s="1" t="n">
        <v>72.2</v>
      </c>
      <c r="I936" s="1" t="n">
        <v>358.7</v>
      </c>
      <c r="J936" s="1" t="n">
        <v>0</v>
      </c>
      <c r="K936" s="1" t="n">
        <v>90.3</v>
      </c>
      <c r="L936" s="1" t="n">
        <v>0</v>
      </c>
      <c r="M936" s="1" t="n">
        <v>0</v>
      </c>
      <c r="N936" s="1" t="s">
        <v>549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0" t="n">
        <f aca="false">I936+0</f>
        <v>358.7</v>
      </c>
      <c r="AB936" s="0" t="n">
        <f aca="false">IF(Z936&gt;360,Z936-360,Z936+0)</f>
        <v>358.7</v>
      </c>
      <c r="AC936" s="1"/>
      <c r="AD936" s="1"/>
      <c r="AE936" s="1"/>
      <c r="AF936" s="1"/>
    </row>
    <row r="937" customFormat="false" ht="15.8" hidden="false" customHeight="false" outlineLevel="0" collapsed="false">
      <c r="A937" s="1" t="n">
        <v>21</v>
      </c>
      <c r="B937" s="1" t="n">
        <v>12</v>
      </c>
      <c r="C937" s="1" t="n">
        <v>2</v>
      </c>
      <c r="D937" s="1" t="n">
        <v>1.2071</v>
      </c>
      <c r="E937" s="1" t="n">
        <v>0.0676668</v>
      </c>
      <c r="F937" s="1" t="n">
        <v>0.00018406</v>
      </c>
      <c r="G937" s="1" t="s">
        <v>27</v>
      </c>
      <c r="H937" s="1" t="n">
        <v>97.3</v>
      </c>
      <c r="I937" s="1" t="n">
        <v>163.8</v>
      </c>
      <c r="J937" s="1" t="n">
        <v>13</v>
      </c>
      <c r="K937" s="1"/>
      <c r="L937" s="1" t="n">
        <v>0</v>
      </c>
      <c r="M937" s="1" t="n">
        <v>0</v>
      </c>
      <c r="N937" s="1" t="s">
        <v>549</v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0" t="n">
        <f aca="false">I937+0</f>
        <v>163.8</v>
      </c>
      <c r="AB937" s="0" t="n">
        <f aca="false">IF(Z937&gt;360,Z937-360,Z937+0)</f>
        <v>163.8</v>
      </c>
      <c r="AC937" s="1"/>
      <c r="AD937" s="1"/>
      <c r="AE937" s="1"/>
      <c r="AF937" s="1"/>
    </row>
    <row r="938" customFormat="false" ht="15.8" hidden="false" customHeight="false" outlineLevel="0" collapsed="false">
      <c r="A938" s="1" t="n">
        <v>21</v>
      </c>
      <c r="B938" s="1" t="n">
        <v>11</v>
      </c>
      <c r="C938" s="1" t="n">
        <v>0.9</v>
      </c>
      <c r="D938" s="1" t="n">
        <v>1.1756</v>
      </c>
      <c r="E938" s="1" t="n">
        <v>0.0319348</v>
      </c>
      <c r="F938" s="1" t="n">
        <v>8.68653E-005</v>
      </c>
      <c r="G938" s="1" t="s">
        <v>52</v>
      </c>
      <c r="H938" s="1" t="n">
        <v>69.5</v>
      </c>
      <c r="I938" s="1" t="n">
        <v>325.7</v>
      </c>
      <c r="J938" s="1" t="n">
        <v>68.6</v>
      </c>
      <c r="K938" s="1" t="n">
        <v>97.3</v>
      </c>
      <c r="L938" s="1" t="n">
        <v>0</v>
      </c>
      <c r="M938" s="1" t="n">
        <v>0</v>
      </c>
      <c r="N938" s="1" t="s">
        <v>546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0" t="n">
        <f aca="false">I938+0</f>
        <v>325.7</v>
      </c>
      <c r="AB938" s="0" t="n">
        <f aca="false">IF(Z938&gt;360,Z938-360,Z938+0)</f>
        <v>325.7</v>
      </c>
      <c r="AC938" s="1"/>
      <c r="AD938" s="1"/>
      <c r="AE938" s="1"/>
      <c r="AF938" s="1"/>
    </row>
    <row r="939" customFormat="false" ht="15.8" hidden="false" customHeight="false" outlineLevel="0" collapsed="false">
      <c r="A939" s="1" t="n">
        <v>21</v>
      </c>
      <c r="B939" s="1" t="n">
        <v>10</v>
      </c>
      <c r="C939" s="1" t="n">
        <v>1.1</v>
      </c>
      <c r="D939" s="1" t="n">
        <v>1.0377</v>
      </c>
      <c r="E939" s="1" t="n">
        <v>0.0392987</v>
      </c>
      <c r="F939" s="1" t="n">
        <v>0.000106896</v>
      </c>
      <c r="G939" s="1" t="s">
        <v>52</v>
      </c>
      <c r="H939" s="1" t="n">
        <v>70.6</v>
      </c>
      <c r="I939" s="1" t="n">
        <v>342.3</v>
      </c>
      <c r="J939" s="1" t="n">
        <v>0</v>
      </c>
      <c r="K939" s="1" t="n">
        <v>69.5</v>
      </c>
      <c r="L939" s="1" t="n">
        <v>0</v>
      </c>
      <c r="M939" s="1" t="n">
        <v>0</v>
      </c>
      <c r="N939" s="1" t="s">
        <v>550</v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0" t="n">
        <f aca="false">I939+0</f>
        <v>342.3</v>
      </c>
      <c r="AB939" s="0" t="n">
        <f aca="false">IF(Z939&gt;360,Z939-360,Z939+0)</f>
        <v>342.3</v>
      </c>
      <c r="AC939" s="1"/>
      <c r="AD939" s="1"/>
      <c r="AE939" s="1"/>
      <c r="AF939" s="1"/>
    </row>
    <row r="940" customFormat="false" ht="15.8" hidden="false" customHeight="false" outlineLevel="0" collapsed="false">
      <c r="A940" s="1" t="n">
        <v>21</v>
      </c>
      <c r="B940" s="1" t="n">
        <v>16</v>
      </c>
      <c r="C940" s="1" t="n">
        <v>2.3</v>
      </c>
      <c r="D940" s="1" t="n">
        <v>1.2504</v>
      </c>
      <c r="E940" s="1" t="n">
        <v>0.0791049</v>
      </c>
      <c r="F940" s="1" t="n">
        <v>0.000215172</v>
      </c>
      <c r="G940" s="1" t="s">
        <v>27</v>
      </c>
      <c r="H940" s="1" t="n">
        <v>114.2</v>
      </c>
      <c r="I940" s="1" t="n">
        <v>252.5</v>
      </c>
      <c r="J940" s="1" t="n">
        <v>-11.5</v>
      </c>
      <c r="K940" s="1"/>
      <c r="L940" s="1" t="n">
        <v>0</v>
      </c>
      <c r="M940" s="1" t="n">
        <v>0</v>
      </c>
      <c r="N940" s="1" t="s">
        <v>551</v>
      </c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0" t="n">
        <f aca="false">I940+0</f>
        <v>252.5</v>
      </c>
      <c r="AB940" s="0" t="n">
        <f aca="false">IF(Z940&gt;360,Z940-360,Z940+0)</f>
        <v>252.5</v>
      </c>
      <c r="AC940" s="1"/>
      <c r="AD940" s="1"/>
      <c r="AE940" s="1"/>
      <c r="AF940" s="1"/>
    </row>
    <row r="941" customFormat="false" ht="15.8" hidden="false" customHeight="false" outlineLevel="0" collapsed="false">
      <c r="A941" s="1" t="n">
        <v>21</v>
      </c>
      <c r="B941" s="1" t="n">
        <v>16</v>
      </c>
      <c r="C941" s="1" t="n">
        <v>8</v>
      </c>
      <c r="D941" s="1" t="n">
        <v>1.3309</v>
      </c>
      <c r="E941" s="1" t="n">
        <v>0.274506</v>
      </c>
      <c r="F941" s="1" t="n">
        <v>0.00074668</v>
      </c>
      <c r="G941" s="1" t="s">
        <v>27</v>
      </c>
      <c r="H941" s="1" t="n">
        <v>27.4</v>
      </c>
      <c r="I941" s="1" t="n">
        <v>343.7</v>
      </c>
      <c r="J941" s="1" t="n">
        <v>-14.2</v>
      </c>
      <c r="K941" s="1"/>
      <c r="L941" s="1" t="n">
        <v>0</v>
      </c>
      <c r="M941" s="1" t="n">
        <v>0</v>
      </c>
      <c r="N941" s="1" t="s">
        <v>551</v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0" t="n">
        <f aca="false">I941+0</f>
        <v>343.7</v>
      </c>
      <c r="AB941" s="0" t="n">
        <f aca="false">IF(Z941&gt;360,Z941-360,Z941+0)</f>
        <v>343.7</v>
      </c>
      <c r="AC941" s="1"/>
      <c r="AD941" s="1"/>
      <c r="AE941" s="1"/>
      <c r="AF941" s="1"/>
    </row>
    <row r="942" customFormat="false" ht="15.8" hidden="false" customHeight="false" outlineLevel="0" collapsed="false">
      <c r="A942" s="1" t="n">
        <v>21</v>
      </c>
      <c r="B942" s="1" t="n">
        <v>16</v>
      </c>
      <c r="C942" s="1" t="n">
        <v>1.7</v>
      </c>
      <c r="D942" s="1" t="n">
        <v>1.1197</v>
      </c>
      <c r="E942" s="1" t="n">
        <v>0.057142</v>
      </c>
      <c r="F942" s="1" t="n">
        <v>0.000155431</v>
      </c>
      <c r="G942" s="1" t="s">
        <v>27</v>
      </c>
      <c r="H942" s="1" t="n">
        <v>126.3</v>
      </c>
      <c r="I942" s="1" t="n">
        <v>135</v>
      </c>
      <c r="J942" s="1" t="n">
        <v>14.3</v>
      </c>
      <c r="K942" s="1"/>
      <c r="L942" s="1" t="n">
        <v>0</v>
      </c>
      <c r="M942" s="1" t="n">
        <v>0</v>
      </c>
      <c r="N942" s="1" t="s">
        <v>551</v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0" t="n">
        <f aca="false">I942+0</f>
        <v>135</v>
      </c>
      <c r="AB942" s="0" t="n">
        <f aca="false">IF(Z942&gt;360,Z942-360,Z942+0)</f>
        <v>135</v>
      </c>
      <c r="AC942" s="1"/>
      <c r="AD942" s="1"/>
      <c r="AE942" s="1"/>
      <c r="AF942" s="1"/>
    </row>
    <row r="943" customFormat="false" ht="15.8" hidden="false" customHeight="false" outlineLevel="0" collapsed="false">
      <c r="A943" s="1" t="n">
        <v>21</v>
      </c>
      <c r="B943" s="1" t="n">
        <v>15</v>
      </c>
      <c r="C943" s="1" t="n">
        <v>1.2</v>
      </c>
      <c r="D943" s="1" t="n">
        <v>1.0197</v>
      </c>
      <c r="E943" s="1" t="n">
        <v>0.0416777</v>
      </c>
      <c r="F943" s="1" t="n">
        <v>0.000113367</v>
      </c>
      <c r="G943" s="1" t="s">
        <v>52</v>
      </c>
      <c r="H943" s="1" t="n">
        <v>49.3</v>
      </c>
      <c r="I943" s="1" t="n">
        <v>7.3</v>
      </c>
      <c r="J943" s="1" t="n">
        <v>0</v>
      </c>
      <c r="K943" s="1" t="n">
        <v>126.3</v>
      </c>
      <c r="L943" s="1" t="n">
        <v>0</v>
      </c>
      <c r="M943" s="1" t="n">
        <v>0</v>
      </c>
      <c r="N943" s="1" t="s">
        <v>552</v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0" t="n">
        <f aca="false">I943+0</f>
        <v>7.3</v>
      </c>
      <c r="AB943" s="0" t="n">
        <f aca="false">IF(Z943&gt;360,Z943-360,Z943+0)</f>
        <v>7.3</v>
      </c>
      <c r="AC943" s="1"/>
      <c r="AD943" s="1"/>
      <c r="AE943" s="1"/>
      <c r="AF943" s="1"/>
    </row>
    <row r="944" customFormat="false" ht="15.8" hidden="false" customHeight="false" outlineLevel="0" collapsed="false">
      <c r="A944" s="1" t="n">
        <v>21</v>
      </c>
      <c r="B944" s="1" t="n">
        <v>15</v>
      </c>
      <c r="C944" s="1" t="n">
        <v>1.7</v>
      </c>
      <c r="D944" s="1" t="n">
        <v>1.177</v>
      </c>
      <c r="E944" s="1" t="n">
        <v>0.0576096</v>
      </c>
      <c r="F944" s="1" t="n">
        <v>0.000156703</v>
      </c>
      <c r="G944" s="1" t="s">
        <v>27</v>
      </c>
      <c r="H944" s="1" t="n">
        <v>114.7</v>
      </c>
      <c r="I944" s="1" t="n">
        <v>172.3</v>
      </c>
      <c r="J944" s="1" t="n">
        <v>15</v>
      </c>
      <c r="K944" s="1"/>
      <c r="L944" s="1" t="n">
        <v>0</v>
      </c>
      <c r="M944" s="1" t="n">
        <v>0</v>
      </c>
      <c r="N944" s="1" t="s">
        <v>552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0" t="n">
        <f aca="false">I944+0</f>
        <v>172.3</v>
      </c>
      <c r="AB944" s="0" t="n">
        <f aca="false">IF(Z944&gt;360,Z944-360,Z944+0)</f>
        <v>172.3</v>
      </c>
      <c r="AC944" s="1"/>
      <c r="AD944" s="1"/>
      <c r="AE944" s="1"/>
      <c r="AF944" s="1"/>
    </row>
    <row r="945" customFormat="false" ht="15.8" hidden="false" customHeight="false" outlineLevel="0" collapsed="false">
      <c r="A945" s="1" t="n">
        <v>21</v>
      </c>
      <c r="B945" s="1" t="n">
        <v>14</v>
      </c>
      <c r="C945" s="1" t="n">
        <v>1.1</v>
      </c>
      <c r="D945" s="1" t="n">
        <v>1.029</v>
      </c>
      <c r="E945" s="1" t="n">
        <v>0.0375757</v>
      </c>
      <c r="F945" s="1" t="n">
        <v>0.000102209</v>
      </c>
      <c r="G945" s="1" t="s">
        <v>52</v>
      </c>
      <c r="H945" s="1" t="n">
        <v>23.3</v>
      </c>
      <c r="I945" s="1" t="n">
        <v>56.6</v>
      </c>
      <c r="J945" s="1" t="n">
        <v>0</v>
      </c>
      <c r="K945" s="1" t="n">
        <v>114.7</v>
      </c>
      <c r="L945" s="1" t="n">
        <v>0</v>
      </c>
      <c r="M945" s="1" t="n">
        <v>0</v>
      </c>
      <c r="N945" s="1" t="s">
        <v>553</v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0" t="n">
        <f aca="false">I945+0</f>
        <v>56.6</v>
      </c>
      <c r="AB945" s="0" t="n">
        <f aca="false">IF(Z945&gt;360,Z945-360,Z945+0)</f>
        <v>56.6</v>
      </c>
      <c r="AC945" s="1"/>
      <c r="AD945" s="1"/>
      <c r="AE945" s="1"/>
      <c r="AF945" s="1"/>
    </row>
    <row r="946" customFormat="false" ht="15.8" hidden="false" customHeight="false" outlineLevel="0" collapsed="false">
      <c r="A946" s="1" t="n">
        <v>21</v>
      </c>
      <c r="B946" s="1" t="n">
        <v>14</v>
      </c>
      <c r="C946" s="1" t="n">
        <v>0.9</v>
      </c>
      <c r="D946" s="1" t="n">
        <v>1.1434</v>
      </c>
      <c r="E946" s="1" t="n">
        <v>0.0292931</v>
      </c>
      <c r="F946" s="1" t="n">
        <v>7.96799E-005</v>
      </c>
      <c r="G946" s="1" t="s">
        <v>27</v>
      </c>
      <c r="H946" s="1" t="n">
        <v>66.8</v>
      </c>
      <c r="I946" s="1" t="n">
        <v>326.6</v>
      </c>
      <c r="J946" s="1" t="n">
        <v>-29.6</v>
      </c>
      <c r="K946" s="1"/>
      <c r="L946" s="1" t="n">
        <v>0</v>
      </c>
      <c r="M946" s="1" t="n">
        <v>0</v>
      </c>
      <c r="N946" s="1" t="s">
        <v>553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0" t="n">
        <f aca="false">I946+0</f>
        <v>326.6</v>
      </c>
      <c r="AB946" s="0" t="n">
        <f aca="false">IF(Z946&gt;360,Z946-360,Z946+0)</f>
        <v>326.6</v>
      </c>
      <c r="AC946" s="1"/>
      <c r="AD946" s="1"/>
      <c r="AE946" s="1"/>
      <c r="AF946" s="1"/>
    </row>
    <row r="947" customFormat="false" ht="15.8" hidden="false" customHeight="false" outlineLevel="0" collapsed="false">
      <c r="A947" s="1" t="n">
        <v>21</v>
      </c>
      <c r="B947" s="1" t="n">
        <v>13</v>
      </c>
      <c r="C947" s="1" t="n">
        <v>2.2</v>
      </c>
      <c r="D947" s="1" t="n">
        <v>1.3053</v>
      </c>
      <c r="E947" s="1" t="n">
        <v>0.0753311</v>
      </c>
      <c r="F947" s="1" t="n">
        <v>0.000204907</v>
      </c>
      <c r="G947" s="1" t="s">
        <v>52</v>
      </c>
      <c r="H947" s="1" t="n">
        <v>21.2</v>
      </c>
      <c r="I947" s="1" t="n">
        <v>36.9</v>
      </c>
      <c r="J947" s="1" t="n">
        <v>-12.7</v>
      </c>
      <c r="K947" s="1" t="n">
        <v>66.8</v>
      </c>
      <c r="L947" s="1" t="n">
        <v>0</v>
      </c>
      <c r="M947" s="1" t="n">
        <v>0</v>
      </c>
      <c r="N947" s="1" t="s">
        <v>554</v>
      </c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0" t="n">
        <f aca="false">I947+0</f>
        <v>36.9</v>
      </c>
      <c r="AB947" s="0" t="n">
        <f aca="false">IF(Z947&gt;360,Z947-360,Z947+0)</f>
        <v>36.9</v>
      </c>
      <c r="AC947" s="1"/>
      <c r="AD947" s="1"/>
      <c r="AE947" s="1"/>
      <c r="AF947" s="1"/>
    </row>
    <row r="948" customFormat="false" ht="15.8" hidden="false" customHeight="false" outlineLevel="0" collapsed="false">
      <c r="A948" s="1" t="n">
        <v>21</v>
      </c>
      <c r="B948" s="1" t="n">
        <v>13</v>
      </c>
      <c r="C948" s="1" t="n">
        <v>1.2</v>
      </c>
      <c r="D948" s="1" t="n">
        <v>1.2637</v>
      </c>
      <c r="E948" s="1" t="n">
        <v>0.039532</v>
      </c>
      <c r="F948" s="1" t="n">
        <v>0.00010753</v>
      </c>
      <c r="G948" s="1" t="s">
        <v>27</v>
      </c>
      <c r="H948" s="1" t="n">
        <v>75.5</v>
      </c>
      <c r="I948" s="1" t="n">
        <v>315</v>
      </c>
      <c r="J948" s="1" t="n">
        <v>-54</v>
      </c>
      <c r="K948" s="1"/>
      <c r="L948" s="1" t="n">
        <v>0</v>
      </c>
      <c r="M948" s="1" t="n">
        <v>0</v>
      </c>
      <c r="N948" s="1" t="s">
        <v>554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0" t="n">
        <f aca="false">I948+0</f>
        <v>315</v>
      </c>
      <c r="AB948" s="0" t="n">
        <f aca="false">IF(Z948&gt;360,Z948-360,Z948+0)</f>
        <v>315</v>
      </c>
      <c r="AC948" s="1"/>
      <c r="AD948" s="1"/>
      <c r="AE948" s="1"/>
      <c r="AF948" s="1"/>
    </row>
    <row r="949" customFormat="false" ht="15.8" hidden="false" customHeight="false" outlineLevel="0" collapsed="false">
      <c r="A949" s="1" t="n">
        <v>21</v>
      </c>
      <c r="B949" s="1" t="n">
        <v>12</v>
      </c>
      <c r="C949" s="1" t="n">
        <v>0.5</v>
      </c>
      <c r="D949" s="1" t="n">
        <v>1.0105</v>
      </c>
      <c r="E949" s="1" t="n">
        <v>0.0155727</v>
      </c>
      <c r="F949" s="1" t="n">
        <v>4.2359E-005</v>
      </c>
      <c r="G949" s="1" t="s">
        <v>52</v>
      </c>
      <c r="H949" s="1" t="n">
        <v>10.7</v>
      </c>
      <c r="I949" s="1" t="n">
        <v>19.7</v>
      </c>
      <c r="J949" s="1" t="n">
        <v>0</v>
      </c>
      <c r="K949" s="1" t="n">
        <v>75.5</v>
      </c>
      <c r="L949" s="1" t="n">
        <v>0</v>
      </c>
      <c r="M949" s="1" t="n">
        <v>0</v>
      </c>
      <c r="N949" s="1" t="s">
        <v>555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0" t="n">
        <f aca="false">I949+0</f>
        <v>19.7</v>
      </c>
      <c r="AB949" s="0" t="n">
        <f aca="false">IF(Z949&gt;360,Z949-360,Z949+0)</f>
        <v>19.7</v>
      </c>
      <c r="AC949" s="1"/>
      <c r="AD949" s="1"/>
      <c r="AE949" s="1"/>
      <c r="AF949" s="1"/>
    </row>
    <row r="950" customFormat="false" ht="15.8" hidden="false" customHeight="false" outlineLevel="0" collapsed="false">
      <c r="A950" s="1" t="n">
        <v>21</v>
      </c>
      <c r="B950" s="1" t="n">
        <v>15</v>
      </c>
      <c r="C950" s="1" t="n">
        <v>1.2</v>
      </c>
      <c r="D950" s="1" t="n">
        <v>1.2053</v>
      </c>
      <c r="E950" s="1" t="n">
        <v>0.0395228</v>
      </c>
      <c r="F950" s="1" t="n">
        <v>0.000107506</v>
      </c>
      <c r="G950" s="1" t="s">
        <v>27</v>
      </c>
      <c r="H950" s="1" t="n">
        <v>18.6</v>
      </c>
      <c r="I950" s="1" t="n">
        <v>249.1</v>
      </c>
      <c r="J950" s="1" t="n">
        <v>22.7</v>
      </c>
      <c r="K950" s="1"/>
      <c r="L950" s="1" t="n">
        <v>0</v>
      </c>
      <c r="M950" s="1" t="n">
        <v>0</v>
      </c>
      <c r="N950" s="1" t="s">
        <v>556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0" t="n">
        <f aca="false">I950+0</f>
        <v>249.1</v>
      </c>
      <c r="AB950" s="0" t="n">
        <f aca="false">IF(Z950&gt;360,Z950-360,Z950+0)</f>
        <v>249.1</v>
      </c>
      <c r="AC950" s="1"/>
      <c r="AD950" s="1"/>
      <c r="AE950" s="1"/>
      <c r="AF950" s="1"/>
    </row>
    <row r="951" customFormat="false" ht="15.8" hidden="false" customHeight="false" outlineLevel="0" collapsed="false">
      <c r="A951" s="1" t="n">
        <v>21</v>
      </c>
      <c r="B951" s="1" t="n">
        <v>15</v>
      </c>
      <c r="C951" s="1" t="n">
        <v>1</v>
      </c>
      <c r="D951" s="1" t="n">
        <v>1.141</v>
      </c>
      <c r="E951" s="1" t="n">
        <v>0.0345896</v>
      </c>
      <c r="F951" s="1" t="n">
        <v>9.40867E-005</v>
      </c>
      <c r="G951" s="1" t="s">
        <v>27</v>
      </c>
      <c r="H951" s="1" t="n">
        <v>25.1</v>
      </c>
      <c r="I951" s="1" t="n">
        <v>286.8</v>
      </c>
      <c r="J951" s="1" t="n">
        <v>56.6</v>
      </c>
      <c r="K951" s="1"/>
      <c r="L951" s="1" t="n">
        <v>0</v>
      </c>
      <c r="M951" s="1" t="n">
        <v>0</v>
      </c>
      <c r="N951" s="1" t="s">
        <v>556</v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0" t="n">
        <f aca="false">I951+0</f>
        <v>286.8</v>
      </c>
      <c r="AB951" s="0" t="n">
        <f aca="false">IF(Z951&gt;360,Z951-360,Z951+0)</f>
        <v>286.8</v>
      </c>
      <c r="AC951" s="1"/>
      <c r="AD951" s="1"/>
      <c r="AE951" s="1"/>
      <c r="AF951" s="1"/>
    </row>
    <row r="952" customFormat="false" ht="15.8" hidden="false" customHeight="false" outlineLevel="0" collapsed="false">
      <c r="A952" s="1" t="n">
        <v>21</v>
      </c>
      <c r="B952" s="1" t="n">
        <v>14</v>
      </c>
      <c r="C952" s="1" t="n">
        <v>0.8</v>
      </c>
      <c r="D952" s="1" t="n">
        <v>1.3229</v>
      </c>
      <c r="E952" s="1" t="n">
        <v>0.0275189</v>
      </c>
      <c r="F952" s="1" t="n">
        <v>7.48538E-005</v>
      </c>
      <c r="G952" s="1" t="s">
        <v>52</v>
      </c>
      <c r="H952" s="1" t="n">
        <v>86.1</v>
      </c>
      <c r="I952" s="1" t="n">
        <v>262.2</v>
      </c>
      <c r="J952" s="1" t="n">
        <v>37.4</v>
      </c>
      <c r="K952" s="1" t="n">
        <v>25.1</v>
      </c>
      <c r="L952" s="1" t="n">
        <v>0</v>
      </c>
      <c r="M952" s="1" t="n">
        <v>0</v>
      </c>
      <c r="N952" s="1" t="s">
        <v>557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0" t="n">
        <f aca="false">I952+0</f>
        <v>262.2</v>
      </c>
      <c r="AB952" s="0" t="n">
        <f aca="false">IF(Z952&gt;360,Z952-360,Z952+0)</f>
        <v>262.2</v>
      </c>
      <c r="AC952" s="1"/>
      <c r="AD952" s="1"/>
      <c r="AE952" s="1"/>
      <c r="AF952" s="1"/>
    </row>
    <row r="953" customFormat="false" ht="15.8" hidden="false" customHeight="false" outlineLevel="0" collapsed="false">
      <c r="A953" s="1" t="n">
        <v>21</v>
      </c>
      <c r="B953" s="1" t="n">
        <v>16</v>
      </c>
      <c r="C953" s="1" t="n">
        <v>0.7</v>
      </c>
      <c r="D953" s="1" t="n">
        <v>1.0065</v>
      </c>
      <c r="E953" s="1" t="n">
        <v>0.0240799</v>
      </c>
      <c r="F953" s="1" t="n">
        <v>6.54993E-005</v>
      </c>
      <c r="G953" s="1" t="s">
        <v>27</v>
      </c>
      <c r="H953" s="1" t="n">
        <v>21.3</v>
      </c>
      <c r="I953" s="1" t="n">
        <v>11.7</v>
      </c>
      <c r="J953" s="1" t="n">
        <v>0</v>
      </c>
      <c r="K953" s="1"/>
      <c r="L953" s="1" t="n">
        <v>0</v>
      </c>
      <c r="M953" s="1" t="n">
        <v>0</v>
      </c>
      <c r="N953" s="1" t="s">
        <v>558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0" t="n">
        <f aca="false">I953+0</f>
        <v>11.7</v>
      </c>
      <c r="AB953" s="0" t="n">
        <f aca="false">IF(Z953&gt;360,Z953-360,Z953+0)</f>
        <v>11.7</v>
      </c>
      <c r="AC953" s="1"/>
      <c r="AD953" s="1"/>
      <c r="AE953" s="1"/>
      <c r="AF953" s="1"/>
    </row>
    <row r="954" customFormat="false" ht="15.8" hidden="false" customHeight="false" outlineLevel="0" collapsed="false">
      <c r="A954" s="1" t="n">
        <v>21</v>
      </c>
      <c r="B954" s="1" t="n">
        <v>16</v>
      </c>
      <c r="C954" s="1" t="n">
        <v>0.6</v>
      </c>
      <c r="D954" s="1" t="n">
        <v>1</v>
      </c>
      <c r="E954" s="1" t="n">
        <v>0.021955</v>
      </c>
      <c r="F954" s="1" t="n">
        <v>5.97194E-005</v>
      </c>
      <c r="G954" s="1" t="s">
        <v>27</v>
      </c>
      <c r="H954" s="1" t="n">
        <v>91.3</v>
      </c>
      <c r="I954" s="1" t="n">
        <v>268.1</v>
      </c>
      <c r="J954" s="1" t="n">
        <v>0</v>
      </c>
      <c r="K954" s="1"/>
      <c r="L954" s="1" t="n">
        <v>0</v>
      </c>
      <c r="M954" s="1" t="n">
        <v>0</v>
      </c>
      <c r="N954" s="1" t="s">
        <v>558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0" t="n">
        <f aca="false">I954+0</f>
        <v>268.1</v>
      </c>
      <c r="AB954" s="0" t="n">
        <f aca="false">IF(Z954&gt;360,Z954-360,Z954+0)</f>
        <v>268.1</v>
      </c>
      <c r="AC954" s="1"/>
      <c r="AD954" s="1"/>
      <c r="AE954" s="1"/>
      <c r="AF954" s="1"/>
    </row>
    <row r="955" customFormat="false" ht="15.8" hidden="false" customHeight="false" outlineLevel="0" collapsed="false">
      <c r="A955" s="1" t="n">
        <v>21</v>
      </c>
      <c r="B955" s="1" t="n">
        <v>15</v>
      </c>
      <c r="C955" s="1" t="n">
        <v>1.4</v>
      </c>
      <c r="D955" s="1" t="n">
        <v>1.177</v>
      </c>
      <c r="E955" s="1" t="n">
        <v>0.0491462</v>
      </c>
      <c r="F955" s="1" t="n">
        <v>0.000133682</v>
      </c>
      <c r="G955" s="1" t="s">
        <v>52</v>
      </c>
      <c r="H955" s="1" t="n">
        <v>18.8</v>
      </c>
      <c r="I955" s="1" t="n">
        <v>359.5</v>
      </c>
      <c r="J955" s="1" t="n">
        <v>-17.6</v>
      </c>
      <c r="K955" s="1" t="n">
        <v>91.3</v>
      </c>
      <c r="L955" s="1" t="n">
        <v>0</v>
      </c>
      <c r="M955" s="1" t="n">
        <v>0</v>
      </c>
      <c r="N955" s="1" t="s">
        <v>559</v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0" t="n">
        <f aca="false">I955+0</f>
        <v>359.5</v>
      </c>
      <c r="AB955" s="0" t="n">
        <f aca="false">IF(Z955&gt;360,Z955-360,Z955+0)</f>
        <v>359.5</v>
      </c>
      <c r="AC955" s="1"/>
      <c r="AD955" s="1"/>
      <c r="AE955" s="1"/>
      <c r="AF955" s="1"/>
    </row>
    <row r="956" customFormat="false" ht="15.8" hidden="false" customHeight="false" outlineLevel="0" collapsed="false">
      <c r="A956" s="1" t="n">
        <v>21</v>
      </c>
      <c r="B956" s="1" t="n">
        <v>15</v>
      </c>
      <c r="C956" s="1" t="n">
        <v>1.2</v>
      </c>
      <c r="D956" s="1" t="n">
        <v>1.0705</v>
      </c>
      <c r="E956" s="1" t="n">
        <v>0.0400423</v>
      </c>
      <c r="F956" s="1" t="n">
        <v>0.000108918</v>
      </c>
      <c r="G956" s="1" t="s">
        <v>27</v>
      </c>
      <c r="H956" s="1" t="n">
        <v>113.5</v>
      </c>
      <c r="I956" s="1" t="n">
        <v>252.6</v>
      </c>
      <c r="J956" s="1" t="n">
        <v>0</v>
      </c>
      <c r="K956" s="1"/>
      <c r="L956" s="1" t="n">
        <v>0</v>
      </c>
      <c r="M956" s="1" t="n">
        <v>0</v>
      </c>
      <c r="N956" s="1" t="s">
        <v>559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0" t="n">
        <f aca="false">I956+0</f>
        <v>252.6</v>
      </c>
      <c r="AB956" s="0" t="n">
        <f aca="false">IF(Z956&gt;360,Z956-360,Z956+0)</f>
        <v>252.6</v>
      </c>
      <c r="AC956" s="1"/>
      <c r="AD956" s="1"/>
      <c r="AE956" s="1"/>
      <c r="AF956" s="1"/>
    </row>
    <row r="957" customFormat="false" ht="15.8" hidden="false" customHeight="false" outlineLevel="0" collapsed="false">
      <c r="A957" s="1" t="n">
        <v>21</v>
      </c>
      <c r="B957" s="1" t="n">
        <v>14</v>
      </c>
      <c r="C957" s="1" t="n">
        <v>1.9</v>
      </c>
      <c r="D957" s="1" t="n">
        <v>1.049</v>
      </c>
      <c r="E957" s="1" t="n">
        <v>0.0655321</v>
      </c>
      <c r="F957" s="1" t="n">
        <v>0.000178253</v>
      </c>
      <c r="G957" s="1" t="s">
        <v>52</v>
      </c>
      <c r="H957" s="1" t="n">
        <v>21</v>
      </c>
      <c r="I957" s="1" t="n">
        <v>6.2</v>
      </c>
      <c r="J957" s="1" t="n">
        <v>0</v>
      </c>
      <c r="K957" s="1" t="n">
        <v>113.5</v>
      </c>
      <c r="L957" s="1" t="n">
        <v>0</v>
      </c>
      <c r="M957" s="1" t="n">
        <v>0</v>
      </c>
      <c r="N957" s="1" t="s">
        <v>557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0" t="n">
        <f aca="false">I957+0</f>
        <v>6.2</v>
      </c>
      <c r="AB957" s="0" t="n">
        <f aca="false">IF(Z957&gt;360,Z957-360,Z957+0)</f>
        <v>6.2</v>
      </c>
      <c r="AC957" s="1"/>
      <c r="AD957" s="1"/>
      <c r="AE957" s="1"/>
      <c r="AF957" s="1"/>
    </row>
    <row r="958" customFormat="false" ht="15.8" hidden="false" customHeight="false" outlineLevel="0" collapsed="false">
      <c r="A958" s="1" t="n">
        <v>21</v>
      </c>
      <c r="B958" s="1" t="n">
        <v>13</v>
      </c>
      <c r="C958" s="1" t="n">
        <v>1.3</v>
      </c>
      <c r="D958" s="1" t="n">
        <v>1.2326</v>
      </c>
      <c r="E958" s="1" t="n">
        <v>0.0437616</v>
      </c>
      <c r="F958" s="1" t="n">
        <v>0.000119035</v>
      </c>
      <c r="G958" s="1" t="s">
        <v>52</v>
      </c>
      <c r="H958" s="1" t="n">
        <v>55.6</v>
      </c>
      <c r="I958" s="1" t="n">
        <v>3.9</v>
      </c>
      <c r="J958" s="1" t="n">
        <v>20.9</v>
      </c>
      <c r="K958" s="1" t="n">
        <v>86.1</v>
      </c>
      <c r="L958" s="1" t="n">
        <v>0</v>
      </c>
      <c r="M958" s="1" t="n">
        <v>0</v>
      </c>
      <c r="N958" s="1" t="s">
        <v>560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0" t="n">
        <f aca="false">I958+0</f>
        <v>3.9</v>
      </c>
      <c r="AB958" s="0" t="n">
        <f aca="false">IF(Z958&gt;360,Z958-360,Z958+0)</f>
        <v>3.9</v>
      </c>
      <c r="AC958" s="1"/>
      <c r="AD958" s="1"/>
      <c r="AE958" s="1"/>
      <c r="AF958" s="1"/>
    </row>
    <row r="959" customFormat="false" ht="15.8" hidden="false" customHeight="false" outlineLevel="0" collapsed="false">
      <c r="A959" s="1" t="n">
        <v>21</v>
      </c>
      <c r="B959" s="1" t="n">
        <v>13</v>
      </c>
      <c r="C959" s="1" t="n">
        <v>5.1</v>
      </c>
      <c r="D959" s="1" t="n">
        <v>1.234</v>
      </c>
      <c r="E959" s="1" t="n">
        <v>0.174919</v>
      </c>
      <c r="F959" s="1" t="n">
        <v>0.000475795</v>
      </c>
      <c r="G959" s="1" t="s">
        <v>27</v>
      </c>
      <c r="H959" s="1" t="n">
        <v>83.6</v>
      </c>
      <c r="I959" s="1" t="n">
        <v>137.4</v>
      </c>
      <c r="J959" s="1" t="n">
        <v>26.5</v>
      </c>
      <c r="K959" s="1"/>
      <c r="L959" s="1" t="n">
        <v>0</v>
      </c>
      <c r="M959" s="1" t="n">
        <v>0</v>
      </c>
      <c r="N959" s="1" t="s">
        <v>560</v>
      </c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0" t="n">
        <f aca="false">I959+0</f>
        <v>137.4</v>
      </c>
      <c r="AB959" s="0" t="n">
        <f aca="false">IF(Z959&gt;360,Z959-360,Z959+0)</f>
        <v>137.4</v>
      </c>
      <c r="AC959" s="1"/>
      <c r="AD959" s="1"/>
      <c r="AE959" s="1"/>
      <c r="AF959" s="1"/>
    </row>
    <row r="960" customFormat="false" ht="15.8" hidden="false" customHeight="false" outlineLevel="0" collapsed="false">
      <c r="A960" s="1" t="n">
        <v>21</v>
      </c>
      <c r="B960" s="1" t="n">
        <v>12</v>
      </c>
      <c r="C960" s="1" t="n">
        <v>2</v>
      </c>
      <c r="D960" s="1" t="n">
        <v>1.2982</v>
      </c>
      <c r="E960" s="1" t="n">
        <v>0.0699156</v>
      </c>
      <c r="F960" s="1" t="n">
        <v>0.000190176</v>
      </c>
      <c r="G960" s="1" t="s">
        <v>52</v>
      </c>
      <c r="H960" s="1" t="n">
        <v>83.4</v>
      </c>
      <c r="I960" s="1" t="n">
        <v>319.9</v>
      </c>
      <c r="J960" s="1" t="n">
        <v>69.9</v>
      </c>
      <c r="K960" s="1" t="n">
        <v>83.6</v>
      </c>
      <c r="L960" s="1" t="n">
        <v>0</v>
      </c>
      <c r="M960" s="1" t="n">
        <v>0</v>
      </c>
      <c r="N960" s="1" t="s">
        <v>555</v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0" t="n">
        <f aca="false">I960+0</f>
        <v>319.9</v>
      </c>
      <c r="AB960" s="0" t="n">
        <f aca="false">IF(Z960&gt;360,Z960-360,Z960+0)</f>
        <v>319.9</v>
      </c>
      <c r="AC960" s="1"/>
      <c r="AD960" s="1"/>
      <c r="AE960" s="1"/>
      <c r="AF960" s="1"/>
    </row>
    <row r="961" customFormat="false" ht="15.8" hidden="false" customHeight="false" outlineLevel="0" collapsed="false">
      <c r="A961" s="1" t="n">
        <v>21</v>
      </c>
      <c r="B961" s="1" t="n">
        <v>11</v>
      </c>
      <c r="C961" s="1" t="n">
        <v>0.6</v>
      </c>
      <c r="D961" s="1" t="n">
        <v>1.0003</v>
      </c>
      <c r="E961" s="1" t="n">
        <v>0.0198436</v>
      </c>
      <c r="F961" s="1" t="n">
        <v>5.39763E-005</v>
      </c>
      <c r="G961" s="1" t="s">
        <v>52</v>
      </c>
      <c r="H961" s="1" t="n">
        <v>11.5</v>
      </c>
      <c r="I961" s="1" t="n">
        <v>30.4</v>
      </c>
      <c r="J961" s="1" t="n">
        <v>0</v>
      </c>
      <c r="K961" s="1" t="n">
        <v>83.4</v>
      </c>
      <c r="L961" s="1" t="n">
        <v>0</v>
      </c>
      <c r="M961" s="1" t="n">
        <v>0</v>
      </c>
      <c r="N961" s="1" t="s">
        <v>561</v>
      </c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0" t="n">
        <f aca="false">I961+0</f>
        <v>30.4</v>
      </c>
      <c r="AB961" s="0" t="n">
        <f aca="false">IF(Z961&gt;360,Z961-360,Z961+0)</f>
        <v>30.4</v>
      </c>
      <c r="AC961" s="1"/>
      <c r="AD961" s="1"/>
      <c r="AE961" s="1"/>
      <c r="AF961" s="1"/>
    </row>
    <row r="962" customFormat="false" ht="15.8" hidden="false" customHeight="false" outlineLevel="0" collapsed="false">
      <c r="A962" s="1" t="n">
        <v>21</v>
      </c>
      <c r="B962" s="1" t="n">
        <v>11</v>
      </c>
      <c r="C962" s="1" t="n">
        <v>1.2</v>
      </c>
      <c r="D962" s="1" t="n">
        <v>1.1075</v>
      </c>
      <c r="E962" s="1" t="n">
        <v>0.0422747</v>
      </c>
      <c r="F962" s="1" t="n">
        <v>0.000114991</v>
      </c>
      <c r="G962" s="1" t="s">
        <v>27</v>
      </c>
      <c r="H962" s="1" t="n">
        <v>82.8</v>
      </c>
      <c r="I962" s="1" t="n">
        <v>305.3</v>
      </c>
      <c r="J962" s="1" t="n">
        <v>19.4</v>
      </c>
      <c r="K962" s="1"/>
      <c r="L962" s="1" t="n">
        <v>0</v>
      </c>
      <c r="M962" s="1" t="n">
        <v>0</v>
      </c>
      <c r="N962" s="1" t="s">
        <v>561</v>
      </c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0" t="n">
        <f aca="false">I962+0</f>
        <v>305.3</v>
      </c>
      <c r="AB962" s="0" t="n">
        <f aca="false">IF(Z962&gt;360,Z962-360,Z962+0)</f>
        <v>305.3</v>
      </c>
      <c r="AC962" s="1"/>
      <c r="AD962" s="1"/>
      <c r="AE962" s="1"/>
      <c r="AF962" s="1"/>
    </row>
    <row r="963" customFormat="false" ht="15.8" hidden="false" customHeight="false" outlineLevel="0" collapsed="false">
      <c r="A963" s="1" t="n">
        <v>21</v>
      </c>
      <c r="B963" s="1" t="n">
        <v>10</v>
      </c>
      <c r="C963" s="1" t="n">
        <v>5</v>
      </c>
      <c r="D963" s="1" t="n">
        <v>1.3456</v>
      </c>
      <c r="E963" s="1" t="n">
        <v>0.171462</v>
      </c>
      <c r="F963" s="1" t="n">
        <v>0.000466391</v>
      </c>
      <c r="G963" s="1" t="s">
        <v>52</v>
      </c>
      <c r="H963" s="1" t="n">
        <v>28.6</v>
      </c>
      <c r="I963" s="1" t="n">
        <v>31.6</v>
      </c>
      <c r="J963" s="1" t="n">
        <v>11.4</v>
      </c>
      <c r="K963" s="1" t="n">
        <v>82.8</v>
      </c>
      <c r="L963" s="1" t="n">
        <v>0</v>
      </c>
      <c r="M963" s="1" t="n">
        <v>0</v>
      </c>
      <c r="N963" s="1" t="s">
        <v>550</v>
      </c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0" t="n">
        <f aca="false">I963+0</f>
        <v>31.6</v>
      </c>
      <c r="AB963" s="0" t="n">
        <f aca="false">IF(Z963&gt;360,Z963-360,Z963+0)</f>
        <v>31.6</v>
      </c>
      <c r="AC963" s="1"/>
      <c r="AD963" s="1"/>
      <c r="AE963" s="1"/>
      <c r="AF963" s="1"/>
    </row>
    <row r="964" customFormat="false" ht="15.8" hidden="false" customHeight="false" outlineLevel="0" collapsed="false">
      <c r="A964" s="1" t="n">
        <v>21</v>
      </c>
      <c r="B964" s="1" t="n">
        <v>9</v>
      </c>
      <c r="C964" s="1" t="n">
        <v>2.9</v>
      </c>
      <c r="D964" s="1" t="n">
        <v>1.0896</v>
      </c>
      <c r="E964" s="1" t="n">
        <v>0.0992714</v>
      </c>
      <c r="F964" s="1" t="n">
        <v>0.000270027</v>
      </c>
      <c r="G964" s="1" t="s">
        <v>52</v>
      </c>
      <c r="H964" s="1" t="n">
        <v>46.9</v>
      </c>
      <c r="I964" s="1" t="n">
        <v>52.7</v>
      </c>
      <c r="J964" s="1" t="n">
        <v>-8</v>
      </c>
      <c r="K964" s="1" t="n">
        <v>70.6</v>
      </c>
      <c r="L964" s="1" t="n">
        <v>0</v>
      </c>
      <c r="M964" s="1" t="n">
        <v>0</v>
      </c>
      <c r="N964" s="1" t="s">
        <v>562</v>
      </c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0" t="n">
        <f aca="false">I964+0</f>
        <v>52.7</v>
      </c>
      <c r="AB964" s="0" t="n">
        <f aca="false">IF(Z964&gt;360,Z964-360,Z964+0)</f>
        <v>52.7</v>
      </c>
      <c r="AC964" s="1"/>
      <c r="AD964" s="1"/>
      <c r="AE964" s="1"/>
      <c r="AF964" s="1"/>
    </row>
    <row r="965" customFormat="false" ht="15.8" hidden="false" customHeight="false" outlineLevel="0" collapsed="false">
      <c r="A965" s="1" t="n">
        <v>21</v>
      </c>
      <c r="B965" s="1" t="n">
        <v>9</v>
      </c>
      <c r="C965" s="1" t="n">
        <v>0.4</v>
      </c>
      <c r="D965" s="1" t="n">
        <v>1</v>
      </c>
      <c r="E965" s="1" t="n">
        <v>0.0151041</v>
      </c>
      <c r="F965" s="1" t="n">
        <v>4.10846E-005</v>
      </c>
      <c r="G965" s="1" t="s">
        <v>27</v>
      </c>
      <c r="H965" s="1" t="n">
        <v>95.8</v>
      </c>
      <c r="I965" s="1" t="n">
        <v>187.8</v>
      </c>
      <c r="J965" s="1" t="n">
        <v>56.9</v>
      </c>
      <c r="K965" s="1"/>
      <c r="L965" s="1" t="n">
        <v>0</v>
      </c>
      <c r="M965" s="1" t="n">
        <v>0</v>
      </c>
      <c r="N965" s="1" t="s">
        <v>562</v>
      </c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0" t="n">
        <f aca="false">I965+0</f>
        <v>187.8</v>
      </c>
      <c r="AB965" s="0" t="n">
        <f aca="false">IF(Z965&gt;360,Z965-360,Z965+0)</f>
        <v>187.8</v>
      </c>
      <c r="AC965" s="1"/>
      <c r="AD965" s="1"/>
      <c r="AE965" s="1"/>
      <c r="AF965" s="1"/>
    </row>
    <row r="966" customFormat="false" ht="15.8" hidden="false" customHeight="false" outlineLevel="0" collapsed="false">
      <c r="A966" s="1" t="n">
        <v>21</v>
      </c>
      <c r="B966" s="1" t="n">
        <v>8</v>
      </c>
      <c r="C966" s="1" t="n">
        <v>3.1</v>
      </c>
      <c r="D966" s="1" t="n">
        <v>1.2614</v>
      </c>
      <c r="E966" s="1" t="n">
        <v>0.107474</v>
      </c>
      <c r="F966" s="1" t="n">
        <v>0.000292338</v>
      </c>
      <c r="G966" s="1" t="s">
        <v>52</v>
      </c>
      <c r="H966" s="1" t="n">
        <v>48.3</v>
      </c>
      <c r="I966" s="1" t="n">
        <v>100.2</v>
      </c>
      <c r="J966" s="1" t="n">
        <v>-8.5</v>
      </c>
      <c r="K966" s="1" t="n">
        <v>95.8</v>
      </c>
      <c r="L966" s="1" t="n">
        <v>0</v>
      </c>
      <c r="M966" s="1" t="n">
        <v>0</v>
      </c>
      <c r="N966" s="1" t="s">
        <v>563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0" t="n">
        <f aca="false">I966+0</f>
        <v>100.2</v>
      </c>
      <c r="AB966" s="0" t="n">
        <f aca="false">IF(Z966&gt;360,Z966-360,Z966+0)</f>
        <v>100.2</v>
      </c>
      <c r="AC966" s="1"/>
      <c r="AD966" s="1"/>
      <c r="AE966" s="1"/>
      <c r="AF966" s="1"/>
    </row>
    <row r="967" customFormat="false" ht="15.8" hidden="false" customHeight="false" outlineLevel="0" collapsed="false">
      <c r="A967" s="1" t="n">
        <v>21</v>
      </c>
      <c r="B967" s="1" t="n">
        <v>8</v>
      </c>
      <c r="C967" s="1" t="n">
        <v>0.7</v>
      </c>
      <c r="D967" s="1" t="n">
        <v>1.1134</v>
      </c>
      <c r="E967" s="1" t="n">
        <v>0.0232629</v>
      </c>
      <c r="F967" s="1" t="n">
        <v>6.3277E-005</v>
      </c>
      <c r="G967" s="1" t="s">
        <v>27</v>
      </c>
      <c r="H967" s="1" t="n">
        <v>58.6</v>
      </c>
      <c r="I967" s="1" t="n">
        <v>10.3</v>
      </c>
      <c r="J967" s="1" t="n">
        <v>-37.3</v>
      </c>
      <c r="K967" s="1"/>
      <c r="L967" s="1" t="n">
        <v>0</v>
      </c>
      <c r="M967" s="1" t="n">
        <v>0</v>
      </c>
      <c r="N967" s="1" t="s">
        <v>563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0" t="n">
        <f aca="false">I967+0</f>
        <v>10.3</v>
      </c>
      <c r="AB967" s="0" t="n">
        <f aca="false">IF(Z967&gt;360,Z967-360,Z967+0)</f>
        <v>10.3</v>
      </c>
      <c r="AC967" s="1"/>
      <c r="AD967" s="1"/>
      <c r="AE967" s="1"/>
      <c r="AF967" s="1"/>
    </row>
    <row r="968" customFormat="false" ht="15.8" hidden="false" customHeight="false" outlineLevel="0" collapsed="false">
      <c r="A968" s="1" t="n">
        <v>21</v>
      </c>
      <c r="B968" s="1" t="n">
        <v>7</v>
      </c>
      <c r="C968" s="1" t="n">
        <v>5.7</v>
      </c>
      <c r="D968" s="1" t="n">
        <v>1.3967</v>
      </c>
      <c r="E968" s="1" t="n">
        <v>0.195919</v>
      </c>
      <c r="F968" s="1" t="n">
        <v>0.000532918</v>
      </c>
      <c r="G968" s="1" t="s">
        <v>52</v>
      </c>
      <c r="H968" s="1" t="n">
        <v>38.7</v>
      </c>
      <c r="I968" s="1" t="n">
        <v>53.8</v>
      </c>
      <c r="J968" s="1" t="n">
        <v>5.2</v>
      </c>
      <c r="K968" s="1" t="n">
        <v>58.6</v>
      </c>
      <c r="L968" s="1" t="n">
        <v>0</v>
      </c>
      <c r="M968" s="1" t="n">
        <v>0</v>
      </c>
      <c r="N968" s="1" t="s">
        <v>534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0" t="n">
        <f aca="false">I968+0</f>
        <v>53.8</v>
      </c>
      <c r="AB968" s="0" t="n">
        <f aca="false">IF(Z968&gt;360,Z968-360,Z968+0)</f>
        <v>53.8</v>
      </c>
      <c r="AC968" s="1"/>
      <c r="AD968" s="1"/>
      <c r="AE968" s="1"/>
      <c r="AF968" s="1"/>
    </row>
    <row r="969" customFormat="false" ht="15.8" hidden="false" customHeight="false" outlineLevel="0" collapsed="false">
      <c r="A969" s="1" t="n">
        <v>21</v>
      </c>
      <c r="B969" s="1" t="n">
        <v>6</v>
      </c>
      <c r="C969" s="1" t="n">
        <v>1.8</v>
      </c>
      <c r="D969" s="1" t="n">
        <v>1.4983</v>
      </c>
      <c r="E969" s="1" t="n">
        <v>0.0627123</v>
      </c>
      <c r="F969" s="1" t="n">
        <v>0.000170583</v>
      </c>
      <c r="G969" s="1" t="s">
        <v>52</v>
      </c>
      <c r="H969" s="1" t="n">
        <v>54.6</v>
      </c>
      <c r="I969" s="1" t="n">
        <v>16.2</v>
      </c>
      <c r="J969" s="1" t="n">
        <v>17.6</v>
      </c>
      <c r="K969" s="1" t="n">
        <v>61.7</v>
      </c>
      <c r="L969" s="1" t="n">
        <v>0</v>
      </c>
      <c r="M969" s="1" t="n">
        <v>0</v>
      </c>
      <c r="N969" s="1" t="s">
        <v>564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0" t="n">
        <f aca="false">I969+0</f>
        <v>16.2</v>
      </c>
      <c r="AB969" s="0" t="n">
        <f aca="false">IF(Z969&gt;360,Z969-360,Z969+0)</f>
        <v>16.2</v>
      </c>
      <c r="AC969" s="1"/>
      <c r="AD969" s="1"/>
      <c r="AE969" s="1"/>
      <c r="AF969" s="1"/>
    </row>
    <row r="970" customFormat="false" ht="15.8" hidden="false" customHeight="false" outlineLevel="0" collapsed="false">
      <c r="A970" s="1" t="n">
        <v>21</v>
      </c>
      <c r="B970" s="1" t="n">
        <v>6</v>
      </c>
      <c r="C970" s="1" t="n">
        <v>0.7</v>
      </c>
      <c r="D970" s="1" t="n">
        <v>1.1865</v>
      </c>
      <c r="E970" s="1" t="n">
        <v>0.0242829</v>
      </c>
      <c r="F970" s="1" t="n">
        <v>6.60517E-005</v>
      </c>
      <c r="G970" s="1" t="s">
        <v>27</v>
      </c>
      <c r="H970" s="1" t="n">
        <v>63.7</v>
      </c>
      <c r="I970" s="1" t="n">
        <v>146.3</v>
      </c>
      <c r="J970" s="1" t="n">
        <v>38.2</v>
      </c>
      <c r="K970" s="1"/>
      <c r="L970" s="1" t="n">
        <v>0</v>
      </c>
      <c r="M970" s="1" t="n">
        <v>0</v>
      </c>
      <c r="N970" s="1" t="s">
        <v>564</v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0" t="n">
        <f aca="false">I970+0</f>
        <v>146.3</v>
      </c>
      <c r="AB970" s="0" t="n">
        <f aca="false">IF(Z970&gt;360,Z970-360,Z970+0)</f>
        <v>146.3</v>
      </c>
      <c r="AC970" s="1"/>
      <c r="AD970" s="1"/>
      <c r="AE970" s="1"/>
      <c r="AF970" s="1"/>
    </row>
    <row r="971" customFormat="false" ht="15.8" hidden="false" customHeight="false" outlineLevel="0" collapsed="false">
      <c r="A971" s="1" t="n">
        <v>21</v>
      </c>
      <c r="B971" s="1" t="n">
        <v>5</v>
      </c>
      <c r="C971" s="1" t="n">
        <v>1.3</v>
      </c>
      <c r="D971" s="1" t="n">
        <v>1.0938</v>
      </c>
      <c r="E971" s="1" t="n">
        <v>0.0436036</v>
      </c>
      <c r="F971" s="1" t="n">
        <v>0.000118606</v>
      </c>
      <c r="G971" s="1" t="s">
        <v>52</v>
      </c>
      <c r="H971" s="1" t="n">
        <v>61.2</v>
      </c>
      <c r="I971" s="1" t="n">
        <v>19.5</v>
      </c>
      <c r="J971" s="1" t="n">
        <v>72.1</v>
      </c>
      <c r="K971" s="1" t="n">
        <v>63.7</v>
      </c>
      <c r="L971" s="1" t="n">
        <v>0</v>
      </c>
      <c r="M971" s="1" t="n">
        <v>0</v>
      </c>
      <c r="N971" s="1" t="s">
        <v>565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0" t="n">
        <f aca="false">I971+0</f>
        <v>19.5</v>
      </c>
      <c r="AB971" s="0" t="n">
        <f aca="false">IF(Z971&gt;360,Z971-360,Z971+0)</f>
        <v>19.5</v>
      </c>
      <c r="AC971" s="1"/>
      <c r="AD971" s="1"/>
      <c r="AE971" s="1"/>
      <c r="AF971" s="1"/>
    </row>
    <row r="972" customFormat="false" ht="15.8" hidden="false" customHeight="false" outlineLevel="0" collapsed="false">
      <c r="A972" s="1" t="n">
        <v>21</v>
      </c>
      <c r="B972" s="1" t="n">
        <v>6</v>
      </c>
      <c r="C972" s="1" t="n">
        <v>2.2</v>
      </c>
      <c r="D972" s="1" t="n">
        <v>1.3149</v>
      </c>
      <c r="E972" s="1" t="n">
        <v>0.0768438</v>
      </c>
      <c r="F972" s="1" t="n">
        <v>0.000209022</v>
      </c>
      <c r="G972" s="1" t="s">
        <v>27</v>
      </c>
      <c r="H972" s="1" t="n">
        <v>40.9</v>
      </c>
      <c r="I972" s="1" t="n">
        <v>346.9</v>
      </c>
      <c r="J972" s="1" t="n">
        <v>-25.6</v>
      </c>
      <c r="K972" s="1"/>
      <c r="L972" s="1" t="n">
        <v>0</v>
      </c>
      <c r="M972" s="1" t="n">
        <v>0</v>
      </c>
      <c r="N972" s="1" t="s">
        <v>566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0" t="n">
        <f aca="false">I972+0</f>
        <v>346.9</v>
      </c>
      <c r="AB972" s="0" t="n">
        <f aca="false">IF(Z972&gt;360,Z972-360,Z972+0)</f>
        <v>346.9</v>
      </c>
      <c r="AC972" s="1"/>
      <c r="AD972" s="1"/>
      <c r="AE972" s="1"/>
      <c r="AF972" s="1"/>
    </row>
    <row r="973" customFormat="false" ht="15.8" hidden="false" customHeight="false" outlineLevel="0" collapsed="false">
      <c r="A973" s="1" t="n">
        <v>21</v>
      </c>
      <c r="B973" s="1" t="n">
        <v>6</v>
      </c>
      <c r="C973" s="1" t="n">
        <v>3.7</v>
      </c>
      <c r="D973" s="1" t="n">
        <v>1.2596</v>
      </c>
      <c r="E973" s="1" t="n">
        <v>0.124774</v>
      </c>
      <c r="F973" s="1" t="n">
        <v>0.000339396</v>
      </c>
      <c r="G973" s="1" t="s">
        <v>27</v>
      </c>
      <c r="H973" s="1" t="n">
        <v>107.3</v>
      </c>
      <c r="I973" s="1" t="n">
        <v>151.5</v>
      </c>
      <c r="J973" s="1" t="n">
        <v>-63.3</v>
      </c>
      <c r="K973" s="1"/>
      <c r="L973" s="1" t="n">
        <v>0</v>
      </c>
      <c r="M973" s="1" t="n">
        <v>0</v>
      </c>
      <c r="N973" s="1" t="s">
        <v>566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0" t="n">
        <f aca="false">I973+0</f>
        <v>151.5</v>
      </c>
      <c r="AB973" s="0" t="n">
        <f aca="false">IF(Z973&gt;360,Z973-360,Z973+0)</f>
        <v>151.5</v>
      </c>
      <c r="AC973" s="1"/>
      <c r="AD973" s="1"/>
      <c r="AE973" s="1"/>
      <c r="AF973" s="1"/>
    </row>
    <row r="974" customFormat="false" ht="15.8" hidden="false" customHeight="false" outlineLevel="0" collapsed="false">
      <c r="A974" s="1" t="n">
        <v>21</v>
      </c>
      <c r="B974" s="1" t="n">
        <v>6</v>
      </c>
      <c r="C974" s="1" t="n">
        <v>0.6</v>
      </c>
      <c r="D974" s="1" t="n">
        <v>1.0011</v>
      </c>
      <c r="E974" s="1" t="n">
        <v>0.0208399</v>
      </c>
      <c r="F974" s="1" t="n">
        <v>5.66863E-005</v>
      </c>
      <c r="G974" s="1" t="s">
        <v>27</v>
      </c>
      <c r="H974" s="1" t="n">
        <v>61.3</v>
      </c>
      <c r="I974" s="1" t="n">
        <v>318.6</v>
      </c>
      <c r="J974" s="1" t="n">
        <v>0</v>
      </c>
      <c r="K974" s="1"/>
      <c r="L974" s="1" t="n">
        <v>0</v>
      </c>
      <c r="M974" s="1" t="n">
        <v>0</v>
      </c>
      <c r="N974" s="1" t="s">
        <v>566</v>
      </c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0" t="n">
        <f aca="false">I974+0</f>
        <v>318.6</v>
      </c>
      <c r="AB974" s="0" t="n">
        <f aca="false">IF(Z974&gt;360,Z974-360,Z974+0)</f>
        <v>318.6</v>
      </c>
      <c r="AC974" s="1"/>
      <c r="AD974" s="1"/>
      <c r="AE974" s="1"/>
      <c r="AF974" s="1"/>
    </row>
    <row r="975" customFormat="false" ht="15.8" hidden="false" customHeight="false" outlineLevel="0" collapsed="false">
      <c r="A975" s="1" t="n">
        <v>21</v>
      </c>
      <c r="B975" s="1" t="n">
        <v>5</v>
      </c>
      <c r="C975" s="1" t="n">
        <v>0.8</v>
      </c>
      <c r="D975" s="1" t="n">
        <v>1.0607</v>
      </c>
      <c r="E975" s="1" t="n">
        <v>0.0289512</v>
      </c>
      <c r="F975" s="1" t="n">
        <v>7.87499E-005</v>
      </c>
      <c r="G975" s="1" t="s">
        <v>52</v>
      </c>
      <c r="H975" s="1" t="n">
        <v>11</v>
      </c>
      <c r="I975" s="1" t="n">
        <v>19.9</v>
      </c>
      <c r="J975" s="1" t="n">
        <v>0</v>
      </c>
      <c r="K975" s="1" t="n">
        <v>107.3</v>
      </c>
      <c r="L975" s="1" t="n">
        <v>0</v>
      </c>
      <c r="M975" s="1" t="n">
        <v>0</v>
      </c>
      <c r="N975" s="1" t="s">
        <v>565</v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0" t="n">
        <f aca="false">I975+0</f>
        <v>19.9</v>
      </c>
      <c r="AB975" s="0" t="n">
        <f aca="false">IF(Z975&gt;360,Z975-360,Z975+0)</f>
        <v>19.9</v>
      </c>
      <c r="AC975" s="1"/>
      <c r="AD975" s="1"/>
      <c r="AE975" s="1"/>
      <c r="AF975" s="1"/>
    </row>
    <row r="976" customFormat="false" ht="15.8" hidden="false" customHeight="false" outlineLevel="0" collapsed="false">
      <c r="A976" s="1" t="n">
        <v>21</v>
      </c>
      <c r="B976" s="1" t="n">
        <v>4</v>
      </c>
      <c r="C976" s="1" t="n">
        <v>2.2</v>
      </c>
      <c r="D976" s="1" t="n">
        <v>1.1033</v>
      </c>
      <c r="E976" s="1" t="n">
        <v>0.073738</v>
      </c>
      <c r="F976" s="1" t="n">
        <v>0.000200574</v>
      </c>
      <c r="G976" s="1" t="s">
        <v>52</v>
      </c>
      <c r="H976" s="1" t="n">
        <v>68.8</v>
      </c>
      <c r="I976" s="1" t="n">
        <v>18.8</v>
      </c>
      <c r="J976" s="1" t="n">
        <v>10.9</v>
      </c>
      <c r="K976" s="1" t="n">
        <v>61.2</v>
      </c>
      <c r="L976" s="1" t="n">
        <v>0</v>
      </c>
      <c r="M976" s="1" t="n">
        <v>0</v>
      </c>
      <c r="N976" s="1" t="s">
        <v>567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0" t="n">
        <f aca="false">I976+0</f>
        <v>18.8</v>
      </c>
      <c r="AB976" s="0" t="n">
        <f aca="false">IF(Z976&gt;360,Z976-360,Z976+0)</f>
        <v>18.8</v>
      </c>
      <c r="AC976" s="1"/>
      <c r="AD976" s="1"/>
      <c r="AE976" s="1"/>
      <c r="AF976" s="1"/>
    </row>
    <row r="977" customFormat="false" ht="15.8" hidden="false" customHeight="false" outlineLevel="0" collapsed="false">
      <c r="A977" s="1" t="n">
        <v>21</v>
      </c>
      <c r="B977" s="1" t="n">
        <v>5</v>
      </c>
      <c r="C977" s="1" t="n">
        <v>2.7</v>
      </c>
      <c r="D977" s="1" t="n">
        <v>1.3817</v>
      </c>
      <c r="E977" s="1" t="n">
        <v>0.136888</v>
      </c>
      <c r="F977" s="1" t="n">
        <v>0.000559648</v>
      </c>
      <c r="G977" s="1" t="s">
        <v>27</v>
      </c>
      <c r="H977" s="1" t="n">
        <v>40.7</v>
      </c>
      <c r="I977" s="1" t="n">
        <v>195.5</v>
      </c>
      <c r="J977" s="1" t="n">
        <v>10.8</v>
      </c>
      <c r="K977" s="1"/>
      <c r="L977" s="1" t="n">
        <v>0</v>
      </c>
      <c r="M977" s="1" t="n">
        <v>0</v>
      </c>
      <c r="N977" s="1" t="s">
        <v>568</v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0" t="n">
        <f aca="false">I977+0</f>
        <v>195.5</v>
      </c>
      <c r="AB977" s="0" t="n">
        <f aca="false">IF(Z977&gt;360,Z977-360,Z977+0)</f>
        <v>195.5</v>
      </c>
      <c r="AC977" s="1"/>
      <c r="AD977" s="1"/>
      <c r="AE977" s="1"/>
      <c r="AF977" s="1"/>
    </row>
    <row r="978" customFormat="false" ht="15.8" hidden="false" customHeight="false" outlineLevel="0" collapsed="false">
      <c r="A978" s="1" t="n">
        <v>21</v>
      </c>
      <c r="B978" s="1" t="n">
        <v>16</v>
      </c>
      <c r="C978" s="1" t="n">
        <v>5.6</v>
      </c>
      <c r="D978" s="1" t="n">
        <v>1.2736</v>
      </c>
      <c r="E978" s="1" t="n">
        <v>0.1907</v>
      </c>
      <c r="F978" s="1" t="n">
        <v>0.000518721</v>
      </c>
      <c r="G978" s="1" t="s">
        <v>27</v>
      </c>
      <c r="H978" s="1" t="n">
        <v>29.9</v>
      </c>
      <c r="I978" s="1" t="n">
        <v>175.9</v>
      </c>
      <c r="J978" s="1" t="n">
        <v>25</v>
      </c>
      <c r="K978" s="1"/>
      <c r="L978" s="1" t="n">
        <v>0</v>
      </c>
      <c r="M978" s="1" t="n">
        <v>0</v>
      </c>
      <c r="N978" s="1" t="s">
        <v>569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0" t="n">
        <f aca="false">I978+0</f>
        <v>175.9</v>
      </c>
      <c r="AB978" s="0" t="n">
        <f aca="false">IF(Z978&gt;360,Z978-360,Z978+0)</f>
        <v>175.9</v>
      </c>
      <c r="AC978" s="1"/>
      <c r="AD978" s="1"/>
      <c r="AE978" s="1"/>
      <c r="AF978" s="1"/>
    </row>
    <row r="979" customFormat="false" ht="15.8" hidden="false" customHeight="false" outlineLevel="0" collapsed="false">
      <c r="A979" s="1" t="n">
        <v>21</v>
      </c>
      <c r="B979" s="1" t="n">
        <v>16</v>
      </c>
      <c r="C979" s="1" t="n">
        <v>1.2</v>
      </c>
      <c r="D979" s="1" t="n">
        <v>1.2097</v>
      </c>
      <c r="E979" s="1" t="n">
        <v>0.0403646</v>
      </c>
      <c r="F979" s="1" t="n">
        <v>0.000109795</v>
      </c>
      <c r="G979" s="1" t="s">
        <v>27</v>
      </c>
      <c r="H979" s="1" t="n">
        <v>110.8</v>
      </c>
      <c r="I979" s="1" t="n">
        <v>271.4</v>
      </c>
      <c r="J979" s="1" t="n">
        <v>22.3</v>
      </c>
      <c r="K979" s="1"/>
      <c r="L979" s="1" t="n">
        <v>0</v>
      </c>
      <c r="M979" s="1" t="n">
        <v>0</v>
      </c>
      <c r="N979" s="1" t="s">
        <v>569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0" t="n">
        <f aca="false">I979+0</f>
        <v>271.4</v>
      </c>
      <c r="AB979" s="0" t="n">
        <f aca="false">IF(Z979&gt;360,Z979-360,Z979+0)</f>
        <v>271.4</v>
      </c>
      <c r="AC979" s="1"/>
      <c r="AD979" s="1"/>
      <c r="AE979" s="1"/>
      <c r="AF979" s="1"/>
    </row>
    <row r="980" customFormat="false" ht="15.8" hidden="false" customHeight="false" outlineLevel="0" collapsed="false">
      <c r="A980" s="1" t="n">
        <v>21</v>
      </c>
      <c r="B980" s="1" t="n">
        <v>15</v>
      </c>
      <c r="C980" s="1" t="n">
        <v>4.2</v>
      </c>
      <c r="D980" s="1" t="n">
        <v>1.4437</v>
      </c>
      <c r="E980" s="1" t="n">
        <v>0.142785</v>
      </c>
      <c r="F980" s="1" t="n">
        <v>0.000388387</v>
      </c>
      <c r="G980" s="1" t="s">
        <v>52</v>
      </c>
      <c r="H980" s="1" t="n">
        <v>7.1</v>
      </c>
      <c r="I980" s="1" t="n">
        <v>158.8</v>
      </c>
      <c r="J980" s="1" t="n">
        <v>0</v>
      </c>
      <c r="K980" s="1" t="n">
        <v>110.8</v>
      </c>
      <c r="L980" s="1" t="n">
        <v>0</v>
      </c>
      <c r="M980" s="1" t="n">
        <v>0</v>
      </c>
      <c r="N980" s="1" t="s">
        <v>570</v>
      </c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0" t="n">
        <f aca="false">I980+0</f>
        <v>158.8</v>
      </c>
      <c r="AB980" s="0" t="n">
        <f aca="false">IF(Z980&gt;360,Z980-360,Z980+0)</f>
        <v>158.8</v>
      </c>
      <c r="AC980" s="1"/>
      <c r="AD980" s="1"/>
      <c r="AE980" s="1"/>
      <c r="AF980" s="1"/>
    </row>
    <row r="981" customFormat="false" ht="15.8" hidden="false" customHeight="false" outlineLevel="0" collapsed="false">
      <c r="A981" s="1" t="n">
        <v>21</v>
      </c>
      <c r="B981" s="1" t="n">
        <v>15</v>
      </c>
      <c r="C981" s="1" t="n">
        <v>2.3</v>
      </c>
      <c r="D981" s="1" t="n">
        <v>1.3409</v>
      </c>
      <c r="E981" s="1" t="n">
        <v>0.0797838</v>
      </c>
      <c r="F981" s="1" t="n">
        <v>0.000217019</v>
      </c>
      <c r="G981" s="1" t="s">
        <v>27</v>
      </c>
      <c r="H981" s="1" t="n">
        <v>25.2</v>
      </c>
      <c r="I981" s="1" t="n">
        <v>166.8</v>
      </c>
      <c r="J981" s="1" t="n">
        <v>-25.2</v>
      </c>
      <c r="K981" s="1"/>
      <c r="L981" s="1" t="n">
        <v>0</v>
      </c>
      <c r="M981" s="1" t="n">
        <v>0</v>
      </c>
      <c r="N981" s="1" t="s">
        <v>570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0" t="n">
        <f aca="false">I981+0</f>
        <v>166.8</v>
      </c>
      <c r="AB981" s="0" t="n">
        <f aca="false">IF(Z981&gt;360,Z981-360,Z981+0)</f>
        <v>166.8</v>
      </c>
      <c r="AC981" s="1"/>
      <c r="AD981" s="1"/>
      <c r="AE981" s="1"/>
      <c r="AF981" s="1"/>
    </row>
    <row r="982" customFormat="false" ht="15.8" hidden="false" customHeight="false" outlineLevel="0" collapsed="false">
      <c r="A982" s="1" t="n">
        <v>21</v>
      </c>
      <c r="B982" s="1" t="n">
        <v>15</v>
      </c>
      <c r="C982" s="1" t="n">
        <v>2.8</v>
      </c>
      <c r="D982" s="1" t="n">
        <v>1.5931</v>
      </c>
      <c r="E982" s="1" t="n">
        <v>0.0955102</v>
      </c>
      <c r="F982" s="1" t="n">
        <v>0.000259796</v>
      </c>
      <c r="G982" s="1" t="s">
        <v>27</v>
      </c>
      <c r="H982" s="1" t="n">
        <v>124.9</v>
      </c>
      <c r="I982" s="1" t="n">
        <v>303.6</v>
      </c>
      <c r="J982" s="1" t="n">
        <v>39.3</v>
      </c>
      <c r="K982" s="1"/>
      <c r="L982" s="1" t="n">
        <v>0</v>
      </c>
      <c r="M982" s="1" t="n">
        <v>0</v>
      </c>
      <c r="N982" s="1" t="s">
        <v>570</v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0" t="n">
        <f aca="false">I982+0</f>
        <v>303.6</v>
      </c>
      <c r="AB982" s="0" t="n">
        <f aca="false">IF(Z982&gt;360,Z982-360,Z982+0)</f>
        <v>303.6</v>
      </c>
      <c r="AC982" s="1"/>
      <c r="AD982" s="1"/>
      <c r="AE982" s="1"/>
      <c r="AF982" s="1"/>
    </row>
    <row r="983" customFormat="false" ht="15.8" hidden="false" customHeight="false" outlineLevel="0" collapsed="false">
      <c r="A983" s="1" t="n">
        <v>21</v>
      </c>
      <c r="B983" s="1" t="n">
        <v>15</v>
      </c>
      <c r="C983" s="1" t="n">
        <v>4.1</v>
      </c>
      <c r="D983" s="1" t="n">
        <v>1.4321</v>
      </c>
      <c r="E983" s="1" t="n">
        <v>0.140961</v>
      </c>
      <c r="F983" s="1" t="n">
        <v>0.000383426</v>
      </c>
      <c r="G983" s="1" t="s">
        <v>27</v>
      </c>
      <c r="H983" s="1" t="n">
        <v>98.2</v>
      </c>
      <c r="I983" s="1" t="n">
        <v>57</v>
      </c>
      <c r="J983" s="1" t="n">
        <v>64.1</v>
      </c>
      <c r="K983" s="1"/>
      <c r="L983" s="1" t="n">
        <v>0</v>
      </c>
      <c r="M983" s="1" t="n">
        <v>0</v>
      </c>
      <c r="N983" s="1" t="s">
        <v>570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0" t="n">
        <f aca="false">I983+0</f>
        <v>57</v>
      </c>
      <c r="AB983" s="0" t="n">
        <f aca="false">IF(Z983&gt;360,Z983-360,Z983+0)</f>
        <v>57</v>
      </c>
      <c r="AC983" s="1"/>
      <c r="AD983" s="1"/>
      <c r="AE983" s="1"/>
      <c r="AF983" s="1"/>
    </row>
    <row r="984" customFormat="false" ht="15.8" hidden="false" customHeight="false" outlineLevel="0" collapsed="false">
      <c r="A984" s="1" t="n">
        <v>21</v>
      </c>
      <c r="B984" s="1" t="n">
        <v>14</v>
      </c>
      <c r="C984" s="1" t="n">
        <v>0.5</v>
      </c>
      <c r="D984" s="1" t="n">
        <v>1.0187</v>
      </c>
      <c r="E984" s="1" t="n">
        <v>0.0156208</v>
      </c>
      <c r="F984" s="1" t="n">
        <v>4.249E-005</v>
      </c>
      <c r="G984" s="1" t="s">
        <v>52</v>
      </c>
      <c r="H984" s="1" t="n">
        <v>48.6</v>
      </c>
      <c r="I984" s="1" t="n">
        <v>166</v>
      </c>
      <c r="J984" s="1" t="n">
        <v>0</v>
      </c>
      <c r="K984" s="1" t="n">
        <v>124.9</v>
      </c>
      <c r="L984" s="1" t="n">
        <v>0</v>
      </c>
      <c r="M984" s="1" t="n">
        <v>0</v>
      </c>
      <c r="N984" s="1" t="s">
        <v>571</v>
      </c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0" t="n">
        <f aca="false">I984+0</f>
        <v>166</v>
      </c>
      <c r="AB984" s="0" t="n">
        <f aca="false">IF(Z984&gt;360,Z984-360,Z984+0)</f>
        <v>166</v>
      </c>
      <c r="AC984" s="1"/>
      <c r="AD984" s="1"/>
      <c r="AE984" s="1"/>
      <c r="AF984" s="1"/>
    </row>
    <row r="985" customFormat="false" ht="15.8" hidden="false" customHeight="false" outlineLevel="0" collapsed="false">
      <c r="A985" s="1" t="n">
        <v>21</v>
      </c>
      <c r="B985" s="1" t="n">
        <v>14</v>
      </c>
      <c r="C985" s="1" t="n">
        <v>1.5</v>
      </c>
      <c r="D985" s="1" t="n">
        <v>1.1807</v>
      </c>
      <c r="E985" s="1" t="n">
        <v>0.051122</v>
      </c>
      <c r="F985" s="1" t="n">
        <v>0.000139056</v>
      </c>
      <c r="G985" s="1" t="s">
        <v>27</v>
      </c>
      <c r="H985" s="1" t="n">
        <v>125</v>
      </c>
      <c r="I985" s="1" t="n">
        <v>230.1</v>
      </c>
      <c r="J985" s="1" t="n">
        <v>-61.2</v>
      </c>
      <c r="K985" s="1"/>
      <c r="L985" s="1" t="n">
        <v>0</v>
      </c>
      <c r="M985" s="1" t="n">
        <v>0</v>
      </c>
      <c r="N985" s="1" t="s">
        <v>571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0" t="n">
        <f aca="false">I985+0</f>
        <v>230.1</v>
      </c>
      <c r="AB985" s="0" t="n">
        <f aca="false">IF(Z985&gt;360,Z985-360,Z985+0)</f>
        <v>230.1</v>
      </c>
      <c r="AC985" s="1"/>
      <c r="AD985" s="1"/>
      <c r="AE985" s="1"/>
      <c r="AF985" s="1"/>
    </row>
    <row r="986" customFormat="false" ht="15.8" hidden="false" customHeight="false" outlineLevel="0" collapsed="false">
      <c r="A986" s="1" t="n">
        <v>21</v>
      </c>
      <c r="B986" s="1" t="n">
        <v>14</v>
      </c>
      <c r="C986" s="1" t="n">
        <v>1.9</v>
      </c>
      <c r="D986" s="1" t="n">
        <v>1.0463</v>
      </c>
      <c r="E986" s="1" t="n">
        <v>0.0657486</v>
      </c>
      <c r="F986" s="1" t="n">
        <v>0.000178842</v>
      </c>
      <c r="G986" s="1" t="s">
        <v>27</v>
      </c>
      <c r="H986" s="1" t="n">
        <v>124.3</v>
      </c>
      <c r="I986" s="1" t="n">
        <v>6.1</v>
      </c>
      <c r="J986" s="1" t="n">
        <v>0</v>
      </c>
      <c r="K986" s="1"/>
      <c r="L986" s="1" t="n">
        <v>0</v>
      </c>
      <c r="M986" s="1" t="n">
        <v>0</v>
      </c>
      <c r="N986" s="1" t="s">
        <v>571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0" t="n">
        <f aca="false">I986+0</f>
        <v>6.1</v>
      </c>
      <c r="AB986" s="0" t="n">
        <f aca="false">IF(Z986&gt;360,Z986-360,Z986+0)</f>
        <v>6.1</v>
      </c>
      <c r="AC986" s="1"/>
      <c r="AD986" s="1"/>
      <c r="AE986" s="1"/>
      <c r="AF986" s="1"/>
    </row>
    <row r="987" customFormat="false" ht="15.8" hidden="false" customHeight="false" outlineLevel="0" collapsed="false">
      <c r="A987" s="1" t="n">
        <v>21</v>
      </c>
      <c r="B987" s="1" t="n">
        <v>13</v>
      </c>
      <c r="C987" s="1" t="n">
        <v>1.1</v>
      </c>
      <c r="D987" s="1" t="n">
        <v>1.0906</v>
      </c>
      <c r="E987" s="1" t="n">
        <v>0.03775</v>
      </c>
      <c r="F987" s="1" t="n">
        <v>0.000102683</v>
      </c>
      <c r="G987" s="1" t="s">
        <v>52</v>
      </c>
      <c r="H987" s="1" t="n">
        <v>3.9</v>
      </c>
      <c r="I987" s="1" t="n">
        <v>151.8</v>
      </c>
      <c r="J987" s="1" t="n">
        <v>47</v>
      </c>
      <c r="K987" s="1" t="n">
        <v>125</v>
      </c>
      <c r="L987" s="1" t="n">
        <v>0</v>
      </c>
      <c r="M987" s="1" t="n">
        <v>0</v>
      </c>
      <c r="N987" s="1" t="s">
        <v>572</v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0" t="n">
        <f aca="false">I987+0</f>
        <v>151.8</v>
      </c>
      <c r="AB987" s="0" t="n">
        <f aca="false">IF(Z987&gt;360,Z987-360,Z987+0)</f>
        <v>151.8</v>
      </c>
      <c r="AC987" s="1"/>
      <c r="AD987" s="1"/>
      <c r="AE987" s="1"/>
      <c r="AF987" s="1"/>
    </row>
    <row r="988" customFormat="false" ht="15.8" hidden="false" customHeight="false" outlineLevel="0" collapsed="false">
      <c r="A988" s="1" t="n">
        <v>21</v>
      </c>
      <c r="B988" s="1" t="n">
        <v>13</v>
      </c>
      <c r="C988" s="1" t="n">
        <v>2</v>
      </c>
      <c r="D988" s="1" t="n">
        <v>1.1538</v>
      </c>
      <c r="E988" s="1" t="n">
        <v>0.0674495</v>
      </c>
      <c r="F988" s="1" t="n">
        <v>0.000183469</v>
      </c>
      <c r="G988" s="1" t="s">
        <v>27</v>
      </c>
      <c r="H988" s="1" t="n">
        <v>87.4</v>
      </c>
      <c r="I988" s="1" t="n">
        <v>224.2</v>
      </c>
      <c r="J988" s="1" t="n">
        <v>-12.5</v>
      </c>
      <c r="K988" s="1"/>
      <c r="L988" s="1" t="n">
        <v>0</v>
      </c>
      <c r="M988" s="1" t="n">
        <v>0</v>
      </c>
      <c r="N988" s="1" t="s">
        <v>572</v>
      </c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0" t="n">
        <f aca="false">I988+0</f>
        <v>224.2</v>
      </c>
      <c r="AB988" s="0" t="n">
        <f aca="false">IF(Z988&gt;360,Z988-360,Z988+0)</f>
        <v>224.2</v>
      </c>
      <c r="AC988" s="1"/>
      <c r="AD988" s="1"/>
      <c r="AE988" s="1"/>
      <c r="AF988" s="1"/>
    </row>
    <row r="989" customFormat="false" ht="15.8" hidden="false" customHeight="false" outlineLevel="0" collapsed="false">
      <c r="A989" s="1" t="n">
        <v>21</v>
      </c>
      <c r="B989" s="1" t="n">
        <v>12</v>
      </c>
      <c r="C989" s="1" t="n">
        <v>2.9</v>
      </c>
      <c r="D989" s="1" t="n">
        <v>1.2231</v>
      </c>
      <c r="E989" s="1" t="n">
        <v>0.100182</v>
      </c>
      <c r="F989" s="1" t="n">
        <v>0.000272504</v>
      </c>
      <c r="G989" s="1" t="s">
        <v>52</v>
      </c>
      <c r="H989" s="1" t="n">
        <v>56.5</v>
      </c>
      <c r="I989" s="1" t="n">
        <v>154.2</v>
      </c>
      <c r="J989" s="1" t="n">
        <v>50.5</v>
      </c>
      <c r="K989" s="1" t="n">
        <v>87.4</v>
      </c>
      <c r="L989" s="1" t="n">
        <v>0</v>
      </c>
      <c r="M989" s="1" t="n">
        <v>0</v>
      </c>
      <c r="N989" s="1" t="s">
        <v>573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0" t="n">
        <f aca="false">I989+0</f>
        <v>154.2</v>
      </c>
      <c r="AB989" s="0" t="n">
        <f aca="false">IF(Z989&gt;360,Z989-360,Z989+0)</f>
        <v>154.2</v>
      </c>
      <c r="AC989" s="1"/>
      <c r="AD989" s="1"/>
      <c r="AE989" s="1"/>
      <c r="AF989" s="1"/>
    </row>
    <row r="990" customFormat="false" ht="15.8" hidden="false" customHeight="false" outlineLevel="0" collapsed="false">
      <c r="A990" s="1" t="n">
        <v>21</v>
      </c>
      <c r="B990" s="1" t="n">
        <v>13</v>
      </c>
      <c r="C990" s="1" t="n">
        <v>2.2</v>
      </c>
      <c r="D990" s="1" t="n">
        <v>1.1097</v>
      </c>
      <c r="E990" s="1" t="n">
        <v>0.0753918</v>
      </c>
      <c r="F990" s="1" t="n">
        <v>0.000205072</v>
      </c>
      <c r="G990" s="1" t="s">
        <v>27</v>
      </c>
      <c r="H990" s="1" t="n">
        <v>53.4</v>
      </c>
      <c r="I990" s="1" t="n">
        <v>172.6</v>
      </c>
      <c r="J990" s="1" t="n">
        <v>10.7</v>
      </c>
      <c r="K990" s="1"/>
      <c r="L990" s="1" t="n">
        <v>0</v>
      </c>
      <c r="M990" s="1" t="n">
        <v>0</v>
      </c>
      <c r="N990" s="1" t="s">
        <v>574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0" t="n">
        <f aca="false">I990+0</f>
        <v>172.6</v>
      </c>
      <c r="AB990" s="0" t="n">
        <f aca="false">IF(Z990&gt;360,Z990-360,Z990+0)</f>
        <v>172.6</v>
      </c>
      <c r="AC990" s="1"/>
      <c r="AD990" s="1"/>
      <c r="AE990" s="1"/>
      <c r="AF990" s="1"/>
    </row>
    <row r="991" customFormat="false" ht="15.8" hidden="false" customHeight="false" outlineLevel="0" collapsed="false">
      <c r="A991" s="1" t="n">
        <v>21</v>
      </c>
      <c r="B991" s="1" t="n">
        <v>13</v>
      </c>
      <c r="C991" s="1" t="n">
        <v>0.7</v>
      </c>
      <c r="D991" s="1" t="n">
        <v>1.0016</v>
      </c>
      <c r="E991" s="1" t="n">
        <v>0.0231573</v>
      </c>
      <c r="F991" s="1" t="n">
        <v>6.29898E-005</v>
      </c>
      <c r="G991" s="1" t="s">
        <v>27</v>
      </c>
      <c r="H991" s="1" t="n">
        <v>92</v>
      </c>
      <c r="I991" s="1" t="n">
        <v>25.7</v>
      </c>
      <c r="J991" s="1" t="n">
        <v>0</v>
      </c>
      <c r="K991" s="1"/>
      <c r="L991" s="1" t="n">
        <v>0</v>
      </c>
      <c r="M991" s="1" t="n">
        <v>0</v>
      </c>
      <c r="N991" s="1" t="s">
        <v>574</v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0" t="n">
        <f aca="false">I991+0</f>
        <v>25.7</v>
      </c>
      <c r="AB991" s="0" t="n">
        <f aca="false">IF(Z991&gt;360,Z991-360,Z991+0)</f>
        <v>25.7</v>
      </c>
      <c r="AC991" s="1"/>
      <c r="AD991" s="1"/>
      <c r="AE991" s="1"/>
      <c r="AF991" s="1"/>
    </row>
    <row r="992" customFormat="false" ht="15.8" hidden="false" customHeight="false" outlineLevel="0" collapsed="false">
      <c r="A992" s="1" t="n">
        <v>21</v>
      </c>
      <c r="B992" s="1" t="n">
        <v>12</v>
      </c>
      <c r="C992" s="1" t="n">
        <v>6</v>
      </c>
      <c r="D992" s="1" t="n">
        <v>1.258</v>
      </c>
      <c r="E992" s="1" t="n">
        <v>0.204675</v>
      </c>
      <c r="F992" s="1" t="n">
        <v>0.000556733</v>
      </c>
      <c r="G992" s="1" t="s">
        <v>52</v>
      </c>
      <c r="H992" s="1" t="n">
        <v>23.7</v>
      </c>
      <c r="I992" s="1" t="n">
        <v>118</v>
      </c>
      <c r="J992" s="1" t="n">
        <v>22.9</v>
      </c>
      <c r="K992" s="1" t="n">
        <v>92</v>
      </c>
      <c r="L992" s="1" t="n">
        <v>0</v>
      </c>
      <c r="M992" s="1" t="n">
        <v>0</v>
      </c>
      <c r="N992" s="1" t="s">
        <v>573</v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0" t="n">
        <f aca="false">I992+0</f>
        <v>118</v>
      </c>
      <c r="AB992" s="0" t="n">
        <f aca="false">IF(Z992&gt;360,Z992-360,Z992+0)</f>
        <v>118</v>
      </c>
      <c r="AC992" s="1"/>
      <c r="AD992" s="1"/>
      <c r="AE992" s="1"/>
      <c r="AF992" s="1"/>
    </row>
    <row r="993" customFormat="false" ht="15.8" hidden="false" customHeight="false" outlineLevel="0" collapsed="false">
      <c r="A993" s="1" t="n">
        <v>21</v>
      </c>
      <c r="B993" s="1" t="n">
        <v>11</v>
      </c>
      <c r="C993" s="1" t="n">
        <v>0.5</v>
      </c>
      <c r="D993" s="1" t="n">
        <v>1.0021</v>
      </c>
      <c r="E993" s="1" t="n">
        <v>0.0158155</v>
      </c>
      <c r="F993" s="1" t="n">
        <v>4.30196E-005</v>
      </c>
      <c r="G993" s="1" t="s">
        <v>52</v>
      </c>
      <c r="H993" s="1" t="n">
        <v>22.4</v>
      </c>
      <c r="I993" s="1" t="n">
        <v>124.4</v>
      </c>
      <c r="J993" s="1" t="n">
        <v>0</v>
      </c>
      <c r="K993" s="1" t="n">
        <v>56.5</v>
      </c>
      <c r="L993" s="1" t="n">
        <v>0</v>
      </c>
      <c r="M993" s="1" t="n">
        <v>0</v>
      </c>
      <c r="N993" s="1" t="s">
        <v>575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0" t="n">
        <f aca="false">I993+0</f>
        <v>124.4</v>
      </c>
      <c r="AB993" s="0" t="n">
        <f aca="false">IF(Z993&gt;360,Z993-360,Z993+0)</f>
        <v>124.4</v>
      </c>
      <c r="AC993" s="1"/>
      <c r="AD993" s="1"/>
      <c r="AE993" s="1"/>
      <c r="AF993" s="1"/>
    </row>
    <row r="994" customFormat="false" ht="15.8" hidden="false" customHeight="false" outlineLevel="0" collapsed="false">
      <c r="A994" s="1" t="n">
        <v>21</v>
      </c>
      <c r="B994" s="1" t="n">
        <v>11</v>
      </c>
      <c r="C994" s="1" t="n">
        <v>0.8</v>
      </c>
      <c r="D994" s="1" t="n">
        <v>1.0033</v>
      </c>
      <c r="E994" s="1" t="n">
        <v>0.0274404</v>
      </c>
      <c r="F994" s="1" t="n">
        <v>7.46402E-005</v>
      </c>
      <c r="G994" s="1" t="s">
        <v>27</v>
      </c>
      <c r="H994" s="1" t="n">
        <v>102</v>
      </c>
      <c r="I994" s="1" t="n">
        <v>225</v>
      </c>
      <c r="J994" s="1" t="n">
        <v>0</v>
      </c>
      <c r="K994" s="1"/>
      <c r="L994" s="1" t="n">
        <v>0</v>
      </c>
      <c r="M994" s="1" t="n">
        <v>0</v>
      </c>
      <c r="N994" s="1" t="s">
        <v>575</v>
      </c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0" t="n">
        <f aca="false">I994+0</f>
        <v>225</v>
      </c>
      <c r="AB994" s="0" t="n">
        <f aca="false">IF(Z994&gt;360,Z994-360,Z994+0)</f>
        <v>225</v>
      </c>
      <c r="AC994" s="1"/>
      <c r="AD994" s="1"/>
      <c r="AE994" s="1"/>
      <c r="AF994" s="1"/>
    </row>
    <row r="995" customFormat="false" ht="15.8" hidden="false" customHeight="false" outlineLevel="0" collapsed="false">
      <c r="A995" s="1" t="n">
        <v>21</v>
      </c>
      <c r="B995" s="1" t="n">
        <v>10</v>
      </c>
      <c r="C995" s="1" t="n">
        <v>2.2</v>
      </c>
      <c r="D995" s="1" t="n">
        <v>1.1491</v>
      </c>
      <c r="E995" s="1" t="n">
        <v>0.0767458</v>
      </c>
      <c r="F995" s="1" t="n">
        <v>0.000208755</v>
      </c>
      <c r="G995" s="1" t="s">
        <v>52</v>
      </c>
      <c r="H995" s="1" t="n">
        <v>28.9</v>
      </c>
      <c r="I995" s="1" t="n">
        <v>122</v>
      </c>
      <c r="J995" s="1" t="n">
        <v>22.3</v>
      </c>
      <c r="K995" s="1" t="n">
        <v>102</v>
      </c>
      <c r="L995" s="1" t="n">
        <v>0</v>
      </c>
      <c r="M995" s="1" t="n">
        <v>0</v>
      </c>
      <c r="N995" s="1" t="s">
        <v>576</v>
      </c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0" t="n">
        <f aca="false">I995+0</f>
        <v>122</v>
      </c>
      <c r="AB995" s="0" t="n">
        <f aca="false">IF(Z995&gt;360,Z995-360,Z995+0)</f>
        <v>122</v>
      </c>
      <c r="AC995" s="1"/>
      <c r="AD995" s="1"/>
      <c r="AE995" s="1"/>
      <c r="AF995" s="1"/>
    </row>
    <row r="996" customFormat="false" ht="15.8" hidden="false" customHeight="false" outlineLevel="0" collapsed="false">
      <c r="A996" s="1" t="n">
        <v>21</v>
      </c>
      <c r="B996" s="1" t="n">
        <v>13</v>
      </c>
      <c r="C996" s="1" t="n">
        <v>1.4</v>
      </c>
      <c r="D996" s="1" t="n">
        <v>1.2981</v>
      </c>
      <c r="E996" s="1" t="n">
        <v>0.0482284</v>
      </c>
      <c r="F996" s="1" t="n">
        <v>0.000131185</v>
      </c>
      <c r="G996" s="1" t="s">
        <v>27</v>
      </c>
      <c r="H996" s="1" t="n">
        <v>43.3</v>
      </c>
      <c r="I996" s="1" t="n">
        <v>93.9</v>
      </c>
      <c r="J996" s="1" t="n">
        <v>-42.9</v>
      </c>
      <c r="K996" s="1"/>
      <c r="L996" s="1" t="n">
        <v>0</v>
      </c>
      <c r="M996" s="1" t="n">
        <v>0</v>
      </c>
      <c r="N996" s="1" t="s">
        <v>577</v>
      </c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0" t="n">
        <f aca="false">I996+0</f>
        <v>93.9</v>
      </c>
      <c r="AB996" s="0" t="n">
        <f aca="false">IF(Z996&gt;360,Z996-360,Z996+0)</f>
        <v>93.9</v>
      </c>
      <c r="AC996" s="1"/>
      <c r="AD996" s="1"/>
      <c r="AE996" s="1"/>
      <c r="AF996" s="1"/>
    </row>
    <row r="997" customFormat="false" ht="15.8" hidden="false" customHeight="false" outlineLevel="0" collapsed="false">
      <c r="A997" s="1" t="n">
        <v>21</v>
      </c>
      <c r="B997" s="1" t="n">
        <v>13</v>
      </c>
      <c r="C997" s="1" t="n">
        <v>1.1</v>
      </c>
      <c r="D997" s="1" t="n">
        <v>1.1797</v>
      </c>
      <c r="E997" s="1" t="n">
        <v>0.0378164</v>
      </c>
      <c r="F997" s="1" t="n">
        <v>0.000102864</v>
      </c>
      <c r="G997" s="1" t="s">
        <v>27</v>
      </c>
      <c r="H997" s="1" t="n">
        <v>66</v>
      </c>
      <c r="I997" s="1" t="n">
        <v>307.3</v>
      </c>
      <c r="J997" s="1" t="n">
        <v>-23.2</v>
      </c>
      <c r="K997" s="1"/>
      <c r="L997" s="1" t="n">
        <v>0</v>
      </c>
      <c r="M997" s="1" t="n">
        <v>0</v>
      </c>
      <c r="N997" s="1" t="s">
        <v>577</v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0" t="n">
        <f aca="false">I997+0</f>
        <v>307.3</v>
      </c>
      <c r="AB997" s="0" t="n">
        <f aca="false">IF(Z997&gt;360,Z997-360,Z997+0)</f>
        <v>307.3</v>
      </c>
      <c r="AC997" s="1"/>
      <c r="AD997" s="1"/>
      <c r="AE997" s="1"/>
      <c r="AF997" s="1"/>
    </row>
    <row r="998" customFormat="false" ht="15.8" hidden="false" customHeight="false" outlineLevel="0" collapsed="false">
      <c r="A998" s="1" t="n">
        <v>21</v>
      </c>
      <c r="B998" s="1" t="n">
        <v>12</v>
      </c>
      <c r="C998" s="1" t="n">
        <v>0.4</v>
      </c>
      <c r="D998" s="1" t="n">
        <v>1</v>
      </c>
      <c r="E998" s="1" t="n">
        <v>0.0128318</v>
      </c>
      <c r="F998" s="1" t="n">
        <v>3.49036E-005</v>
      </c>
      <c r="G998" s="1" t="s">
        <v>52</v>
      </c>
      <c r="H998" s="1" t="n">
        <v>99.5</v>
      </c>
      <c r="I998" s="1" t="n">
        <v>31</v>
      </c>
      <c r="J998" s="1" t="n">
        <v>-80.3</v>
      </c>
      <c r="K998" s="1" t="n">
        <v>66</v>
      </c>
      <c r="L998" s="1" t="n">
        <v>0</v>
      </c>
      <c r="M998" s="1" t="n">
        <v>0</v>
      </c>
      <c r="N998" s="1" t="s">
        <v>578</v>
      </c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0" t="n">
        <f aca="false">I998+0</f>
        <v>31</v>
      </c>
      <c r="AB998" s="0" t="n">
        <f aca="false">IF(Z998&gt;360,Z998-360,Z998+0)</f>
        <v>31</v>
      </c>
      <c r="AC998" s="1"/>
      <c r="AD998" s="1"/>
      <c r="AE998" s="1"/>
      <c r="AF998" s="1"/>
    </row>
    <row r="999" customFormat="false" ht="15.8" hidden="false" customHeight="false" outlineLevel="0" collapsed="false">
      <c r="A999" s="1" t="n">
        <v>21</v>
      </c>
      <c r="B999" s="1" t="n">
        <v>12</v>
      </c>
      <c r="C999" s="1" t="n">
        <v>0.9</v>
      </c>
      <c r="D999" s="1" t="n">
        <v>1.2144</v>
      </c>
      <c r="E999" s="1" t="n">
        <v>0.0323102</v>
      </c>
      <c r="F999" s="1" t="n">
        <v>8.78867E-005</v>
      </c>
      <c r="G999" s="1" t="s">
        <v>27</v>
      </c>
      <c r="H999" s="1" t="n">
        <v>28.4</v>
      </c>
      <c r="I999" s="1" t="n">
        <v>197.6</v>
      </c>
      <c r="J999" s="1" t="n">
        <v>28.4</v>
      </c>
      <c r="K999" s="1"/>
      <c r="L999" s="1" t="n">
        <v>0</v>
      </c>
      <c r="M999" s="1" t="n">
        <v>0</v>
      </c>
      <c r="N999" s="1" t="s">
        <v>578</v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0" t="n">
        <f aca="false">I999+0</f>
        <v>197.6</v>
      </c>
      <c r="AB999" s="0" t="n">
        <f aca="false">IF(Z999&gt;360,Z999-360,Z999+0)</f>
        <v>197.6</v>
      </c>
      <c r="AC999" s="1"/>
      <c r="AD999" s="1"/>
      <c r="AE999" s="1"/>
      <c r="AF999" s="1"/>
    </row>
    <row r="1000" customFormat="false" ht="15.8" hidden="false" customHeight="false" outlineLevel="0" collapsed="false">
      <c r="A1000" s="1" t="n">
        <v>21</v>
      </c>
      <c r="B1000" s="1" t="n">
        <v>11</v>
      </c>
      <c r="C1000" s="1" t="n">
        <v>0.4</v>
      </c>
      <c r="D1000" s="1" t="n">
        <v>1.0125</v>
      </c>
      <c r="E1000" s="1" t="n">
        <v>0.0136507</v>
      </c>
      <c r="F1000" s="1" t="n">
        <v>3.71312E-005</v>
      </c>
      <c r="G1000" s="1" t="s">
        <v>52</v>
      </c>
      <c r="H1000" s="1" t="n">
        <v>96.6</v>
      </c>
      <c r="I1000" s="1" t="n">
        <v>197.3</v>
      </c>
      <c r="J1000" s="1" t="n">
        <v>0</v>
      </c>
      <c r="K1000" s="1" t="n">
        <v>99.5</v>
      </c>
      <c r="L1000" s="1" t="n">
        <v>0</v>
      </c>
      <c r="M1000" s="1" t="n">
        <v>0</v>
      </c>
      <c r="N1000" s="1" t="s">
        <v>579</v>
      </c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0" t="n">
        <f aca="false">I1000+0</f>
        <v>197.3</v>
      </c>
      <c r="AB1000" s="0" t="n">
        <f aca="false">IF(Z1000&gt;360,Z1000-360,Z1000+0)</f>
        <v>197.3</v>
      </c>
      <c r="AC1000" s="1"/>
      <c r="AD1000" s="1"/>
      <c r="AE1000" s="1"/>
      <c r="AF1000" s="1"/>
    </row>
    <row r="1001" customFormat="false" ht="15.8" hidden="false" customHeight="false" outlineLevel="0" collapsed="false">
      <c r="A1001" s="1" t="n">
        <v>21</v>
      </c>
      <c r="B1001" s="1" t="n">
        <v>19</v>
      </c>
      <c r="C1001" s="1" t="n">
        <v>8.2</v>
      </c>
      <c r="D1001" s="1" t="n">
        <v>1.3874</v>
      </c>
      <c r="E1001" s="1" t="n">
        <v>0.281312</v>
      </c>
      <c r="F1001" s="1" t="n">
        <v>0.000765193</v>
      </c>
      <c r="G1001" s="1" t="s">
        <v>27</v>
      </c>
      <c r="H1001" s="1" t="n">
        <v>17.8</v>
      </c>
      <c r="I1001" s="1" t="n">
        <v>134.9</v>
      </c>
      <c r="J1001" s="1" t="n">
        <v>-7.2</v>
      </c>
      <c r="K1001" s="1"/>
      <c r="L1001" s="1" t="n">
        <v>0</v>
      </c>
      <c r="M1001" s="1" t="n">
        <v>0</v>
      </c>
      <c r="N1001" s="1" t="s">
        <v>580</v>
      </c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0" t="n">
        <f aca="false">I1001+0</f>
        <v>134.9</v>
      </c>
      <c r="AB1001" s="0" t="n">
        <f aca="false">IF(Z1001&gt;360,Z1001-360,Z1001+0)</f>
        <v>134.9</v>
      </c>
      <c r="AC1001" s="1"/>
      <c r="AD1001" s="1"/>
      <c r="AE1001" s="1"/>
      <c r="AF1001" s="1"/>
    </row>
    <row r="1002" customFormat="false" ht="15.8" hidden="false" customHeight="false" outlineLevel="0" collapsed="false">
      <c r="A1002" s="1" t="n">
        <v>21</v>
      </c>
      <c r="B1002" s="1" t="n">
        <v>19</v>
      </c>
      <c r="C1002" s="1" t="n">
        <v>0.5</v>
      </c>
      <c r="D1002" s="1" t="n">
        <v>1</v>
      </c>
      <c r="E1002" s="1" t="n">
        <v>0.018718</v>
      </c>
      <c r="F1002" s="1" t="n">
        <v>5.09146E-005</v>
      </c>
      <c r="G1002" s="1" t="s">
        <v>27</v>
      </c>
      <c r="H1002" s="1" t="n">
        <v>110.2</v>
      </c>
      <c r="I1002" s="1" t="n">
        <v>41</v>
      </c>
      <c r="J1002" s="1" t="n">
        <v>0</v>
      </c>
      <c r="K1002" s="1"/>
      <c r="L1002" s="1" t="n">
        <v>0</v>
      </c>
      <c r="M1002" s="1" t="n">
        <v>0</v>
      </c>
      <c r="N1002" s="1" t="s">
        <v>580</v>
      </c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0" t="n">
        <f aca="false">I1002+0</f>
        <v>41</v>
      </c>
      <c r="AB1002" s="0" t="n">
        <f aca="false">IF(Z1002&gt;360,Z1002-360,Z1002+0)</f>
        <v>41</v>
      </c>
      <c r="AC1002" s="1"/>
      <c r="AD1002" s="1"/>
      <c r="AE1002" s="1"/>
      <c r="AF1002" s="1"/>
    </row>
    <row r="1003" customFormat="false" ht="15.8" hidden="false" customHeight="false" outlineLevel="0" collapsed="false">
      <c r="A1003" s="1" t="n">
        <v>21</v>
      </c>
      <c r="B1003" s="1" t="n">
        <v>18</v>
      </c>
      <c r="C1003" s="1" t="n">
        <v>1.9</v>
      </c>
      <c r="D1003" s="1" t="n">
        <v>1.1662</v>
      </c>
      <c r="E1003" s="1" t="n">
        <v>0.0632565</v>
      </c>
      <c r="F1003" s="1" t="n">
        <v>0.000172063</v>
      </c>
      <c r="G1003" s="1" t="s">
        <v>52</v>
      </c>
      <c r="H1003" s="1" t="n">
        <v>25.6</v>
      </c>
      <c r="I1003" s="1" t="n">
        <v>151.8</v>
      </c>
      <c r="J1003" s="1" t="n">
        <v>-13.5</v>
      </c>
      <c r="K1003" s="1" t="n">
        <v>110.2</v>
      </c>
      <c r="L1003" s="1" t="n">
        <v>0</v>
      </c>
      <c r="M1003" s="1" t="n">
        <v>0</v>
      </c>
      <c r="N1003" s="1" t="s">
        <v>581</v>
      </c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0" t="n">
        <f aca="false">I1003+0</f>
        <v>151.8</v>
      </c>
      <c r="AB1003" s="0" t="n">
        <f aca="false">IF(Z1003&gt;360,Z1003-360,Z1003+0)</f>
        <v>151.8</v>
      </c>
      <c r="AC1003" s="1"/>
      <c r="AD1003" s="1"/>
      <c r="AE1003" s="1"/>
      <c r="AF1003" s="1"/>
    </row>
    <row r="1004" customFormat="false" ht="15.8" hidden="false" customHeight="false" outlineLevel="0" collapsed="false">
      <c r="A1004" s="1" t="n">
        <v>21</v>
      </c>
      <c r="B1004" s="1" t="n">
        <v>20</v>
      </c>
      <c r="C1004" s="1" t="n">
        <v>3.7</v>
      </c>
      <c r="D1004" s="1" t="n">
        <v>1.0535</v>
      </c>
      <c r="E1004" s="1" t="n">
        <v>0.125123</v>
      </c>
      <c r="F1004" s="1" t="n">
        <v>0.000340346</v>
      </c>
      <c r="G1004" s="1" t="s">
        <v>27</v>
      </c>
      <c r="H1004" s="1" t="n">
        <v>11.3</v>
      </c>
      <c r="I1004" s="1" t="n">
        <v>117.6</v>
      </c>
      <c r="J1004" s="1" t="n">
        <v>0</v>
      </c>
      <c r="K1004" s="1"/>
      <c r="L1004" s="1" t="n">
        <v>0</v>
      </c>
      <c r="M1004" s="1" t="n">
        <v>0</v>
      </c>
      <c r="N1004" s="1" t="s">
        <v>582</v>
      </c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0" t="n">
        <f aca="false">I1004+0</f>
        <v>117.6</v>
      </c>
      <c r="AB1004" s="0" t="n">
        <f aca="false">IF(Z1004&gt;360,Z1004-360,Z1004+0)</f>
        <v>117.6</v>
      </c>
      <c r="AC1004" s="1"/>
      <c r="AD1004" s="1"/>
      <c r="AE1004" s="1"/>
      <c r="AF1004" s="1"/>
    </row>
    <row r="1005" customFormat="false" ht="15.8" hidden="false" customHeight="false" outlineLevel="0" collapsed="false">
      <c r="A1005" s="1" t="n">
        <v>21</v>
      </c>
      <c r="B1005" s="1" t="n">
        <v>20</v>
      </c>
      <c r="C1005" s="1" t="n">
        <v>0.8</v>
      </c>
      <c r="D1005" s="1" t="n">
        <v>1.1425</v>
      </c>
      <c r="E1005" s="1" t="n">
        <v>0.0265427</v>
      </c>
      <c r="F1005" s="1" t="n">
        <v>7.21985E-005</v>
      </c>
      <c r="G1005" s="1" t="s">
        <v>27</v>
      </c>
      <c r="H1005" s="1" t="n">
        <v>92.5</v>
      </c>
      <c r="I1005" s="1" t="n">
        <v>221.9</v>
      </c>
      <c r="J1005" s="1" t="n">
        <v>-33</v>
      </c>
      <c r="K1005" s="1"/>
      <c r="L1005" s="1" t="n">
        <v>0</v>
      </c>
      <c r="M1005" s="1" t="n">
        <v>0</v>
      </c>
      <c r="N1005" s="1" t="s">
        <v>582</v>
      </c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0" t="n">
        <f aca="false">I1005+0</f>
        <v>221.9</v>
      </c>
      <c r="AB1005" s="0" t="n">
        <f aca="false">IF(Z1005&gt;360,Z1005-360,Z1005+0)</f>
        <v>221.9</v>
      </c>
      <c r="AC1005" s="1"/>
      <c r="AD1005" s="1"/>
      <c r="AE1005" s="1"/>
      <c r="AF1005" s="1"/>
    </row>
    <row r="1006" customFormat="false" ht="15.8" hidden="false" customHeight="false" outlineLevel="0" collapsed="false">
      <c r="A1006" s="1" t="n">
        <v>21</v>
      </c>
      <c r="B1006" s="1" t="n">
        <v>19</v>
      </c>
      <c r="C1006" s="1" t="n">
        <v>0.4</v>
      </c>
      <c r="D1006" s="1" t="n">
        <v>1.0034</v>
      </c>
      <c r="E1006" s="1" t="n">
        <v>0.0124723</v>
      </c>
      <c r="F1006" s="1" t="n">
        <v>3.39257E-005</v>
      </c>
      <c r="G1006" s="1" t="s">
        <v>52</v>
      </c>
      <c r="H1006" s="1" t="n">
        <v>48.3</v>
      </c>
      <c r="I1006" s="1" t="n">
        <v>128.9</v>
      </c>
      <c r="J1006" s="1" t="n">
        <v>0</v>
      </c>
      <c r="K1006" s="1" t="n">
        <v>92.5</v>
      </c>
      <c r="L1006" s="1" t="n">
        <v>0</v>
      </c>
      <c r="M1006" s="1" t="n">
        <v>0</v>
      </c>
      <c r="N1006" s="1" t="s">
        <v>583</v>
      </c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0" t="n">
        <f aca="false">I1006+0</f>
        <v>128.9</v>
      </c>
      <c r="AB1006" s="0" t="n">
        <f aca="false">IF(Z1006&gt;360,Z1006-360,Z1006+0)</f>
        <v>128.9</v>
      </c>
      <c r="AC1006" s="1"/>
      <c r="AD1006" s="1"/>
      <c r="AE1006" s="1"/>
      <c r="AF1006" s="1"/>
    </row>
    <row r="1007" customFormat="false" ht="15.8" hidden="false" customHeight="false" outlineLevel="0" collapsed="false">
      <c r="A1007" s="1" t="n">
        <v>21</v>
      </c>
      <c r="B1007" s="1" t="n">
        <v>19</v>
      </c>
      <c r="C1007" s="1" t="n">
        <v>0.6</v>
      </c>
      <c r="D1007" s="1" t="n">
        <v>1.2533</v>
      </c>
      <c r="E1007" s="1" t="n">
        <v>0.0201474</v>
      </c>
      <c r="F1007" s="1" t="n">
        <v>5.48028E-005</v>
      </c>
      <c r="G1007" s="1" t="s">
        <v>27</v>
      </c>
      <c r="H1007" s="1" t="n">
        <v>64.9</v>
      </c>
      <c r="I1007" s="1" t="n">
        <v>13</v>
      </c>
      <c r="J1007" s="1" t="n">
        <v>51.9</v>
      </c>
      <c r="K1007" s="1"/>
      <c r="L1007" s="1" t="n">
        <v>0</v>
      </c>
      <c r="M1007" s="1" t="n">
        <v>0</v>
      </c>
      <c r="N1007" s="1" t="s">
        <v>583</v>
      </c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0" t="n">
        <f aca="false">I1007+0</f>
        <v>13</v>
      </c>
      <c r="AB1007" s="0" t="n">
        <f aca="false">IF(Z1007&gt;360,Z1007-360,Z1007+0)</f>
        <v>13</v>
      </c>
      <c r="AC1007" s="1"/>
      <c r="AD1007" s="1"/>
      <c r="AE1007" s="1"/>
      <c r="AF1007" s="1"/>
    </row>
    <row r="1008" customFormat="false" ht="15.8" hidden="false" customHeight="false" outlineLevel="0" collapsed="false">
      <c r="A1008" s="1" t="n">
        <v>21</v>
      </c>
      <c r="B1008" s="1" t="n">
        <v>18</v>
      </c>
      <c r="C1008" s="1" t="n">
        <v>1.6</v>
      </c>
      <c r="D1008" s="1" t="n">
        <v>1.2088</v>
      </c>
      <c r="E1008" s="1" t="n">
        <v>0.0551913</v>
      </c>
      <c r="F1008" s="1" t="n">
        <v>0.000150125</v>
      </c>
      <c r="G1008" s="1" t="s">
        <v>52</v>
      </c>
      <c r="H1008" s="1" t="n">
        <v>76.6</v>
      </c>
      <c r="I1008" s="1" t="n">
        <v>82.7</v>
      </c>
      <c r="J1008" s="1" t="n">
        <v>16.1</v>
      </c>
      <c r="K1008" s="1" t="n">
        <v>64.9</v>
      </c>
      <c r="L1008" s="1" t="n">
        <v>0</v>
      </c>
      <c r="M1008" s="1" t="n">
        <v>0</v>
      </c>
      <c r="N1008" s="1" t="s">
        <v>581</v>
      </c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0" t="n">
        <f aca="false">I1008+0</f>
        <v>82.7</v>
      </c>
      <c r="AB1008" s="0" t="n">
        <f aca="false">IF(Z1008&gt;360,Z1008-360,Z1008+0)</f>
        <v>82.7</v>
      </c>
      <c r="AC1008" s="1"/>
      <c r="AD1008" s="1"/>
      <c r="AE1008" s="1"/>
      <c r="AF1008" s="1"/>
    </row>
    <row r="1009" customFormat="false" ht="15.8" hidden="false" customHeight="false" outlineLevel="0" collapsed="false">
      <c r="A1009" s="1" t="n">
        <v>21</v>
      </c>
      <c r="B1009" s="1" t="n">
        <v>21</v>
      </c>
      <c r="C1009" s="1" t="n">
        <v>0.9</v>
      </c>
      <c r="D1009" s="1" t="n">
        <v>1.0138</v>
      </c>
      <c r="E1009" s="1" t="n">
        <v>0.0321515</v>
      </c>
      <c r="F1009" s="1" t="n">
        <v>8.7455E-005</v>
      </c>
      <c r="G1009" s="1" t="s">
        <v>27</v>
      </c>
      <c r="H1009" s="1" t="n">
        <v>72.3</v>
      </c>
      <c r="I1009" s="1" t="n">
        <v>140.7</v>
      </c>
      <c r="J1009" s="1" t="n">
        <v>0</v>
      </c>
      <c r="K1009" s="1"/>
      <c r="L1009" s="1" t="n">
        <v>0</v>
      </c>
      <c r="M1009" s="1" t="n">
        <v>0</v>
      </c>
      <c r="N1009" s="1" t="s">
        <v>584</v>
      </c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0" t="n">
        <f aca="false">I1009+0</f>
        <v>140.7</v>
      </c>
      <c r="AB1009" s="0" t="n">
        <f aca="false">IF(Z1009&gt;360,Z1009-360,Z1009+0)</f>
        <v>140.7</v>
      </c>
      <c r="AC1009" s="1"/>
      <c r="AD1009" s="1"/>
      <c r="AE1009" s="1"/>
      <c r="AF1009" s="1"/>
    </row>
    <row r="1010" customFormat="false" ht="15.8" hidden="false" customHeight="false" outlineLevel="0" collapsed="false">
      <c r="A1010" s="1" t="n">
        <v>21</v>
      </c>
      <c r="B1010" s="1" t="n">
        <v>21</v>
      </c>
      <c r="C1010" s="1" t="n">
        <v>0.6</v>
      </c>
      <c r="D1010" s="1" t="n">
        <v>1.0015</v>
      </c>
      <c r="E1010" s="1" t="n">
        <v>0.0190289</v>
      </c>
      <c r="F1010" s="1" t="n">
        <v>5.17604E-005</v>
      </c>
      <c r="G1010" s="1" t="s">
        <v>27</v>
      </c>
      <c r="H1010" s="1" t="n">
        <v>65</v>
      </c>
      <c r="I1010" s="1" t="n">
        <v>3.4</v>
      </c>
      <c r="J1010" s="1" t="n">
        <v>0</v>
      </c>
      <c r="K1010" s="1"/>
      <c r="L1010" s="1" t="n">
        <v>0</v>
      </c>
      <c r="M1010" s="1" t="n">
        <v>0</v>
      </c>
      <c r="N1010" s="1" t="s">
        <v>584</v>
      </c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0" t="n">
        <f aca="false">I1010+0</f>
        <v>3.4</v>
      </c>
      <c r="AB1010" s="0" t="n">
        <f aca="false">IF(Z1010&gt;360,Z1010-360,Z1010+0)</f>
        <v>3.4</v>
      </c>
      <c r="AC1010" s="1"/>
      <c r="AD1010" s="1"/>
      <c r="AE1010" s="1"/>
      <c r="AF1010" s="1"/>
    </row>
    <row r="1011" customFormat="false" ht="15.8" hidden="false" customHeight="false" outlineLevel="0" collapsed="false">
      <c r="A1011" s="1" t="n">
        <v>21</v>
      </c>
      <c r="B1011" s="1" t="n">
        <v>20</v>
      </c>
      <c r="C1011" s="1" t="n">
        <v>0.6</v>
      </c>
      <c r="D1011" s="1" t="n">
        <v>1.037</v>
      </c>
      <c r="E1011" s="1" t="n">
        <v>0.0199094</v>
      </c>
      <c r="F1011" s="1" t="n">
        <v>5.41554E-005</v>
      </c>
      <c r="G1011" s="1" t="s">
        <v>52</v>
      </c>
      <c r="H1011" s="1" t="n">
        <v>70.9</v>
      </c>
      <c r="I1011" s="1" t="n">
        <v>68.4</v>
      </c>
      <c r="J1011" s="1" t="n">
        <v>0</v>
      </c>
      <c r="K1011" s="1" t="n">
        <v>72.3</v>
      </c>
      <c r="L1011" s="1" t="n">
        <v>0</v>
      </c>
      <c r="M1011" s="1" t="n">
        <v>0</v>
      </c>
      <c r="N1011" s="1" t="s">
        <v>585</v>
      </c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0" t="n">
        <f aca="false">I1011+0</f>
        <v>68.4</v>
      </c>
      <c r="AB1011" s="0" t="n">
        <f aca="false">IF(Z1011&gt;360,Z1011-360,Z1011+0)</f>
        <v>68.4</v>
      </c>
      <c r="AC1011" s="1"/>
      <c r="AD1011" s="1"/>
      <c r="AE1011" s="1"/>
      <c r="AF1011" s="1"/>
    </row>
    <row r="1012" customFormat="false" ht="15.8" hidden="false" customHeight="false" outlineLevel="0" collapsed="false">
      <c r="A1012" s="1" t="n">
        <v>21</v>
      </c>
      <c r="B1012" s="1" t="n">
        <v>20</v>
      </c>
      <c r="C1012" s="1" t="n">
        <v>0.9</v>
      </c>
      <c r="D1012" s="1" t="n">
        <v>2.1265</v>
      </c>
      <c r="E1012" s="1" t="n">
        <v>0.0302343</v>
      </c>
      <c r="F1012" s="1" t="n">
        <v>8.22398E-005</v>
      </c>
      <c r="G1012" s="1" t="s">
        <v>27</v>
      </c>
      <c r="H1012" s="1" t="n">
        <v>22.9</v>
      </c>
      <c r="I1012" s="1" t="n">
        <v>166.8</v>
      </c>
      <c r="J1012" s="1" t="n">
        <v>62.8</v>
      </c>
      <c r="K1012" s="1"/>
      <c r="L1012" s="1" t="n">
        <v>0</v>
      </c>
      <c r="M1012" s="1" t="n">
        <v>0</v>
      </c>
      <c r="N1012" s="1" t="s">
        <v>585</v>
      </c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0" t="n">
        <f aca="false">I1012+0</f>
        <v>166.8</v>
      </c>
      <c r="AB1012" s="0" t="n">
        <f aca="false">IF(Z1012&gt;360,Z1012-360,Z1012+0)</f>
        <v>166.8</v>
      </c>
      <c r="AC1012" s="1"/>
      <c r="AD1012" s="1"/>
      <c r="AE1012" s="1"/>
      <c r="AF1012" s="1"/>
    </row>
    <row r="1013" customFormat="false" ht="15.8" hidden="false" customHeight="false" outlineLevel="0" collapsed="false">
      <c r="A1013" s="1" t="n">
        <v>21</v>
      </c>
      <c r="B1013" s="1" t="n">
        <v>19</v>
      </c>
      <c r="C1013" s="1" t="n">
        <v>3.3</v>
      </c>
      <c r="D1013" s="1" t="n">
        <v>1.2454</v>
      </c>
      <c r="E1013" s="1" t="n">
        <v>0.113139</v>
      </c>
      <c r="F1013" s="1" t="n">
        <v>0.000307748</v>
      </c>
      <c r="G1013" s="1" t="s">
        <v>52</v>
      </c>
      <c r="H1013" s="1" t="n">
        <v>88.8</v>
      </c>
      <c r="I1013" s="1" t="n">
        <v>121.9</v>
      </c>
      <c r="J1013" s="1" t="n">
        <v>56.6</v>
      </c>
      <c r="K1013" s="1" t="n">
        <v>70.9</v>
      </c>
      <c r="L1013" s="1" t="n">
        <v>0</v>
      </c>
      <c r="M1013" s="1" t="n">
        <v>0</v>
      </c>
      <c r="N1013" s="1" t="s">
        <v>586</v>
      </c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0" t="n">
        <f aca="false">I1013+0</f>
        <v>121.9</v>
      </c>
      <c r="AB1013" s="0" t="n">
        <f aca="false">IF(Z1013&gt;360,Z1013-360,Z1013+0)</f>
        <v>121.9</v>
      </c>
      <c r="AC1013" s="1"/>
      <c r="AD1013" s="1"/>
      <c r="AE1013" s="1"/>
      <c r="AF1013" s="1"/>
    </row>
    <row r="1014" customFormat="false" ht="15.8" hidden="false" customHeight="false" outlineLevel="0" collapsed="false">
      <c r="A1014" s="1" t="n">
        <v>21</v>
      </c>
      <c r="B1014" s="1" t="n">
        <v>19</v>
      </c>
      <c r="C1014" s="1" t="n">
        <v>1.5</v>
      </c>
      <c r="D1014" s="1" t="n">
        <v>1.0173</v>
      </c>
      <c r="E1014" s="1" t="n">
        <v>0.0527547</v>
      </c>
      <c r="F1014" s="1" t="n">
        <v>0.000143497</v>
      </c>
      <c r="G1014" s="1" t="s">
        <v>27</v>
      </c>
      <c r="H1014" s="1" t="n">
        <v>75</v>
      </c>
      <c r="I1014" s="1" t="n">
        <v>300.6</v>
      </c>
      <c r="J1014" s="1" t="n">
        <v>0</v>
      </c>
      <c r="K1014" s="1"/>
      <c r="L1014" s="1" t="n">
        <v>0</v>
      </c>
      <c r="M1014" s="1" t="n">
        <v>0</v>
      </c>
      <c r="N1014" s="1" t="s">
        <v>586</v>
      </c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0" t="n">
        <f aca="false">I1014+0</f>
        <v>300.6</v>
      </c>
      <c r="AB1014" s="0" t="n">
        <f aca="false">IF(Z1014&gt;360,Z1014-360,Z1014+0)</f>
        <v>300.6</v>
      </c>
      <c r="AC1014" s="1"/>
      <c r="AD1014" s="1"/>
      <c r="AE1014" s="1"/>
      <c r="AF1014" s="1"/>
    </row>
    <row r="1015" customFormat="false" ht="15.8" hidden="false" customHeight="false" outlineLevel="0" collapsed="false">
      <c r="A1015" s="1" t="n">
        <v>21</v>
      </c>
      <c r="B1015" s="1" t="n">
        <v>18</v>
      </c>
      <c r="C1015" s="1" t="n">
        <v>2.3</v>
      </c>
      <c r="D1015" s="1" t="n">
        <v>1.1357</v>
      </c>
      <c r="E1015" s="1" t="n">
        <v>0.0795679</v>
      </c>
      <c r="F1015" s="1" t="n">
        <v>0.000216432</v>
      </c>
      <c r="G1015" s="1" t="s">
        <v>52</v>
      </c>
      <c r="H1015" s="1" t="n">
        <v>63.2</v>
      </c>
      <c r="I1015" s="1" t="n">
        <v>225.9</v>
      </c>
      <c r="J1015" s="1" t="n">
        <v>10.4</v>
      </c>
      <c r="K1015" s="1" t="n">
        <v>88.8</v>
      </c>
      <c r="L1015" s="1" t="n">
        <v>0</v>
      </c>
      <c r="M1015" s="1" t="n">
        <v>0</v>
      </c>
      <c r="N1015" s="1" t="s">
        <v>581</v>
      </c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0" t="n">
        <f aca="false">I1015+0</f>
        <v>225.9</v>
      </c>
      <c r="AB1015" s="0" t="n">
        <f aca="false">IF(Z1015&gt;360,Z1015-360,Z1015+0)</f>
        <v>225.9</v>
      </c>
      <c r="AC1015" s="1"/>
      <c r="AD1015" s="1"/>
      <c r="AE1015" s="1"/>
      <c r="AF1015" s="1"/>
    </row>
    <row r="1016" customFormat="false" ht="15.8" hidden="false" customHeight="false" outlineLevel="0" collapsed="false">
      <c r="A1016" s="1" t="n">
        <v>21</v>
      </c>
      <c r="B1016" s="1" t="n">
        <v>17</v>
      </c>
      <c r="C1016" s="1" t="n">
        <v>2.3</v>
      </c>
      <c r="D1016" s="1" t="n">
        <v>1.0878</v>
      </c>
      <c r="E1016" s="1" t="n">
        <v>0.0779827</v>
      </c>
      <c r="F1016" s="1" t="n">
        <v>0.00021212</v>
      </c>
      <c r="G1016" s="1" t="s">
        <v>52</v>
      </c>
      <c r="H1016" s="1" t="n">
        <v>30.2</v>
      </c>
      <c r="I1016" s="1" t="n">
        <v>161.6</v>
      </c>
      <c r="J1016" s="1" t="n">
        <v>10.2</v>
      </c>
      <c r="K1016" s="1" t="n">
        <v>76.6</v>
      </c>
      <c r="L1016" s="1" t="n">
        <v>0</v>
      </c>
      <c r="M1016" s="1" t="n">
        <v>0</v>
      </c>
      <c r="N1016" s="1" t="s">
        <v>587</v>
      </c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0" t="n">
        <f aca="false">I1016+0</f>
        <v>161.6</v>
      </c>
      <c r="AB1016" s="0" t="n">
        <f aca="false">IF(Z1016&gt;360,Z1016-360,Z1016+0)</f>
        <v>161.6</v>
      </c>
      <c r="AC1016" s="1"/>
      <c r="AD1016" s="1"/>
      <c r="AE1016" s="1"/>
      <c r="AF1016" s="1"/>
    </row>
    <row r="1017" customFormat="false" ht="15.8" hidden="false" customHeight="false" outlineLevel="0" collapsed="false">
      <c r="A1017" s="1" t="n">
        <v>21</v>
      </c>
      <c r="B1017" s="1" t="n">
        <v>23</v>
      </c>
      <c r="C1017" s="1" t="n">
        <v>0.7</v>
      </c>
      <c r="D1017" s="1" t="n">
        <v>1.0153</v>
      </c>
      <c r="E1017" s="1" t="n">
        <v>0.0235756</v>
      </c>
      <c r="F1017" s="1" t="n">
        <v>6.41276E-005</v>
      </c>
      <c r="G1017" s="1" t="s">
        <v>27</v>
      </c>
      <c r="H1017" s="1" t="n">
        <v>68.9</v>
      </c>
      <c r="I1017" s="1" t="n">
        <v>121.9</v>
      </c>
      <c r="J1017" s="1" t="n">
        <v>0</v>
      </c>
      <c r="K1017" s="1"/>
      <c r="L1017" s="1" t="n">
        <v>0</v>
      </c>
      <c r="M1017" s="1" t="n">
        <v>0</v>
      </c>
      <c r="N1017" s="1" t="s">
        <v>588</v>
      </c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0" t="n">
        <f aca="false">I1017+0</f>
        <v>121.9</v>
      </c>
      <c r="AB1017" s="0" t="n">
        <f aca="false">IF(Z1017&gt;360,Z1017-360,Z1017+0)</f>
        <v>121.9</v>
      </c>
      <c r="AC1017" s="1"/>
      <c r="AD1017" s="1"/>
      <c r="AE1017" s="1"/>
      <c r="AF1017" s="1"/>
    </row>
    <row r="1018" customFormat="false" ht="15.8" hidden="false" customHeight="false" outlineLevel="0" collapsed="false">
      <c r="A1018" s="1" t="n">
        <v>21</v>
      </c>
      <c r="B1018" s="1" t="n">
        <v>25</v>
      </c>
      <c r="C1018" s="1" t="n">
        <v>0.9</v>
      </c>
      <c r="D1018" s="1" t="n">
        <v>1.0976</v>
      </c>
      <c r="E1018" s="1" t="n">
        <v>0.0300138</v>
      </c>
      <c r="F1018" s="1" t="n">
        <v>8.16403E-005</v>
      </c>
      <c r="G1018" s="1" t="s">
        <v>27</v>
      </c>
      <c r="H1018" s="1" t="n">
        <v>38</v>
      </c>
      <c r="I1018" s="1" t="n">
        <v>318.7</v>
      </c>
      <c r="J1018" s="1" t="n">
        <v>27.5</v>
      </c>
      <c r="K1018" s="1"/>
      <c r="L1018" s="1" t="n">
        <v>0</v>
      </c>
      <c r="M1018" s="1" t="n">
        <v>0</v>
      </c>
      <c r="N1018" s="1" t="s">
        <v>589</v>
      </c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0" t="n">
        <f aca="false">I1018+0</f>
        <v>318.7</v>
      </c>
      <c r="AB1018" s="0" t="n">
        <f aca="false">IF(Z1018&gt;360,Z1018-360,Z1018+0)</f>
        <v>318.7</v>
      </c>
      <c r="AC1018" s="1"/>
      <c r="AD1018" s="1"/>
      <c r="AE1018" s="1"/>
      <c r="AF1018" s="1"/>
    </row>
    <row r="1019" customFormat="false" ht="15.8" hidden="false" customHeight="false" outlineLevel="0" collapsed="false">
      <c r="A1019" s="1" t="n">
        <v>21</v>
      </c>
      <c r="B1019" s="1" t="n">
        <v>25</v>
      </c>
      <c r="C1019" s="1" t="n">
        <v>0.9</v>
      </c>
      <c r="D1019" s="1" t="n">
        <v>1.3018</v>
      </c>
      <c r="E1019" s="1" t="n">
        <v>0.0319544</v>
      </c>
      <c r="F1019" s="1" t="n">
        <v>8.69187E-005</v>
      </c>
      <c r="G1019" s="1" t="s">
        <v>27</v>
      </c>
      <c r="H1019" s="1" t="n">
        <v>41.8</v>
      </c>
      <c r="I1019" s="1" t="n">
        <v>261.9</v>
      </c>
      <c r="J1019" s="1" t="n">
        <v>31</v>
      </c>
      <c r="K1019" s="1"/>
      <c r="L1019" s="1" t="n">
        <v>0</v>
      </c>
      <c r="M1019" s="1" t="n">
        <v>0</v>
      </c>
      <c r="N1019" s="1" t="s">
        <v>589</v>
      </c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0" t="n">
        <f aca="false">I1019+0</f>
        <v>261.9</v>
      </c>
      <c r="AB1019" s="0" t="n">
        <f aca="false">IF(Z1019&gt;360,Z1019-360,Z1019+0)</f>
        <v>261.9</v>
      </c>
      <c r="AC1019" s="1"/>
      <c r="AD1019" s="1"/>
      <c r="AE1019" s="1"/>
      <c r="AF1019" s="1"/>
    </row>
    <row r="1020" customFormat="false" ht="15.8" hidden="false" customHeight="false" outlineLevel="0" collapsed="false">
      <c r="A1020" s="1" t="n">
        <v>21</v>
      </c>
      <c r="B1020" s="1" t="n">
        <v>24</v>
      </c>
      <c r="C1020" s="1" t="n">
        <v>1</v>
      </c>
      <c r="D1020" s="1" t="n">
        <v>1.0396</v>
      </c>
      <c r="E1020" s="1" t="n">
        <v>0.0328133</v>
      </c>
      <c r="F1020" s="1" t="n">
        <v>8.92549E-005</v>
      </c>
      <c r="G1020" s="1" t="s">
        <v>52</v>
      </c>
      <c r="H1020" s="1" t="n">
        <v>55.9</v>
      </c>
      <c r="I1020" s="1" t="n">
        <v>291.4</v>
      </c>
      <c r="J1020" s="1" t="n">
        <v>0</v>
      </c>
      <c r="K1020" s="1" t="n">
        <v>41.8</v>
      </c>
      <c r="L1020" s="1" t="n">
        <v>0</v>
      </c>
      <c r="M1020" s="1" t="n">
        <v>0</v>
      </c>
      <c r="N1020" s="1" t="s">
        <v>590</v>
      </c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0" t="n">
        <f aca="false">I1020+0</f>
        <v>291.4</v>
      </c>
      <c r="AB1020" s="0" t="n">
        <f aca="false">IF(Z1020&gt;360,Z1020-360,Z1020+0)</f>
        <v>291.4</v>
      </c>
      <c r="AC1020" s="1"/>
      <c r="AD1020" s="1"/>
      <c r="AE1020" s="1"/>
      <c r="AF1020" s="1"/>
    </row>
    <row r="1021" customFormat="false" ht="15.8" hidden="false" customHeight="false" outlineLevel="0" collapsed="false">
      <c r="A1021" s="1" t="n">
        <v>21</v>
      </c>
      <c r="B1021" s="1" t="n">
        <v>25</v>
      </c>
      <c r="C1021" s="1" t="n">
        <v>0.7</v>
      </c>
      <c r="D1021" s="1" t="n">
        <v>1.0111</v>
      </c>
      <c r="E1021" s="1" t="n">
        <v>0.0222615</v>
      </c>
      <c r="F1021" s="1" t="n">
        <v>6.05533E-005</v>
      </c>
      <c r="G1021" s="1" t="s">
        <v>27</v>
      </c>
      <c r="H1021" s="1" t="n">
        <v>53.6</v>
      </c>
      <c r="I1021" s="1" t="n">
        <v>254.3</v>
      </c>
      <c r="J1021" s="1" t="n">
        <v>0</v>
      </c>
      <c r="K1021" s="1"/>
      <c r="L1021" s="1" t="n">
        <v>0</v>
      </c>
      <c r="M1021" s="1" t="n">
        <v>0</v>
      </c>
      <c r="N1021" s="1" t="s">
        <v>591</v>
      </c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0" t="n">
        <f aca="false">I1021+0</f>
        <v>254.3</v>
      </c>
      <c r="AB1021" s="0" t="n">
        <f aca="false">IF(Z1021&gt;360,Z1021-360,Z1021+0)</f>
        <v>254.3</v>
      </c>
      <c r="AC1021" s="1"/>
      <c r="AD1021" s="1"/>
      <c r="AE1021" s="1"/>
      <c r="AF1021" s="1"/>
    </row>
    <row r="1022" customFormat="false" ht="15.8" hidden="false" customHeight="false" outlineLevel="0" collapsed="false">
      <c r="A1022" s="1" t="n">
        <v>21</v>
      </c>
      <c r="B1022" s="1" t="n">
        <v>25</v>
      </c>
      <c r="C1022" s="1" t="n">
        <v>0.4</v>
      </c>
      <c r="D1022" s="1" t="n">
        <v>1.0002</v>
      </c>
      <c r="E1022" s="1" t="n">
        <v>0.0130249</v>
      </c>
      <c r="F1022" s="1" t="n">
        <v>3.54289E-005</v>
      </c>
      <c r="G1022" s="1" t="s">
        <v>27</v>
      </c>
      <c r="H1022" s="1" t="n">
        <v>112.7</v>
      </c>
      <c r="I1022" s="1" t="n">
        <v>88.4</v>
      </c>
      <c r="J1022" s="1" t="n">
        <v>0</v>
      </c>
      <c r="K1022" s="1"/>
      <c r="L1022" s="1" t="n">
        <v>0</v>
      </c>
      <c r="M1022" s="1" t="n">
        <v>0</v>
      </c>
      <c r="N1022" s="1" t="s">
        <v>591</v>
      </c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0" t="n">
        <f aca="false">I1022+0</f>
        <v>88.4</v>
      </c>
      <c r="AB1022" s="0" t="n">
        <f aca="false">IF(Z1022&gt;360,Z1022-360,Z1022+0)</f>
        <v>88.4</v>
      </c>
      <c r="AC1022" s="1"/>
      <c r="AD1022" s="1"/>
      <c r="AE1022" s="1"/>
      <c r="AF1022" s="1"/>
    </row>
    <row r="1023" customFormat="false" ht="15.8" hidden="false" customHeight="false" outlineLevel="0" collapsed="false">
      <c r="A1023" s="1" t="n">
        <v>21</v>
      </c>
      <c r="B1023" s="1" t="n">
        <v>24</v>
      </c>
      <c r="C1023" s="1" t="n">
        <v>2.3</v>
      </c>
      <c r="D1023" s="1" t="n">
        <v>1.0883</v>
      </c>
      <c r="E1023" s="1" t="n">
        <v>0.0777413</v>
      </c>
      <c r="F1023" s="1" t="n">
        <v>0.000211463</v>
      </c>
      <c r="G1023" s="1" t="s">
        <v>52</v>
      </c>
      <c r="H1023" s="1" t="n">
        <v>48.3</v>
      </c>
      <c r="I1023" s="1" t="n">
        <v>201.4</v>
      </c>
      <c r="J1023" s="1" t="n">
        <v>-10.2</v>
      </c>
      <c r="K1023" s="1" t="n">
        <v>112.7</v>
      </c>
      <c r="L1023" s="1" t="n">
        <v>0</v>
      </c>
      <c r="M1023" s="1" t="n">
        <v>0</v>
      </c>
      <c r="N1023" s="1" t="s">
        <v>590</v>
      </c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0" t="n">
        <f aca="false">I1023+0</f>
        <v>201.4</v>
      </c>
      <c r="AB1023" s="0" t="n">
        <f aca="false">IF(Z1023&gt;360,Z1023-360,Z1023+0)</f>
        <v>201.4</v>
      </c>
      <c r="AC1023" s="1"/>
      <c r="AD1023" s="1"/>
      <c r="AE1023" s="1"/>
      <c r="AF1023" s="1"/>
    </row>
    <row r="1024" customFormat="false" ht="15.8" hidden="false" customHeight="false" outlineLevel="0" collapsed="false">
      <c r="A1024" s="1" t="n">
        <v>21</v>
      </c>
      <c r="B1024" s="1" t="n">
        <v>23</v>
      </c>
      <c r="C1024" s="1" t="n">
        <v>2.3</v>
      </c>
      <c r="D1024" s="1" t="n">
        <v>1.1389</v>
      </c>
      <c r="E1024" s="1" t="n">
        <v>0.0784835</v>
      </c>
      <c r="F1024" s="1" t="n">
        <v>0.000213482</v>
      </c>
      <c r="G1024" s="1" t="s">
        <v>52</v>
      </c>
      <c r="H1024" s="1" t="n">
        <v>51.2</v>
      </c>
      <c r="I1024" s="1" t="n">
        <v>238.5</v>
      </c>
      <c r="J1024" s="1" t="n">
        <v>21.5</v>
      </c>
      <c r="K1024" s="1" t="n">
        <v>55.9</v>
      </c>
      <c r="L1024" s="1" t="n">
        <v>0</v>
      </c>
      <c r="M1024" s="1" t="n">
        <v>0</v>
      </c>
      <c r="N1024" s="1" t="s">
        <v>588</v>
      </c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0" t="n">
        <f aca="false">I1024+0</f>
        <v>238.5</v>
      </c>
      <c r="AB1024" s="0" t="n">
        <f aca="false">IF(Z1024&gt;360,Z1024-360,Z1024+0)</f>
        <v>238.5</v>
      </c>
      <c r="AC1024" s="1"/>
      <c r="AD1024" s="1"/>
      <c r="AE1024" s="1"/>
      <c r="AF1024" s="1"/>
    </row>
    <row r="1025" customFormat="false" ht="15.8" hidden="false" customHeight="false" outlineLevel="0" collapsed="false">
      <c r="A1025" s="1" t="n">
        <v>21</v>
      </c>
      <c r="B1025" s="1" t="n">
        <v>22</v>
      </c>
      <c r="C1025" s="1" t="n">
        <v>0.8</v>
      </c>
      <c r="D1025" s="1" t="n">
        <v>1.044</v>
      </c>
      <c r="E1025" s="1" t="n">
        <v>0.0268809</v>
      </c>
      <c r="F1025" s="1" t="n">
        <v>7.31183E-005</v>
      </c>
      <c r="G1025" s="1" t="s">
        <v>52</v>
      </c>
      <c r="H1025" s="1" t="n">
        <v>5.5</v>
      </c>
      <c r="I1025" s="1" t="n">
        <v>190.8</v>
      </c>
      <c r="J1025" s="1" t="n">
        <v>0</v>
      </c>
      <c r="K1025" s="1" t="n">
        <v>68.9</v>
      </c>
      <c r="L1025" s="1" t="n">
        <v>0</v>
      </c>
      <c r="M1025" s="1" t="n">
        <v>0</v>
      </c>
      <c r="N1025" s="1" t="s">
        <v>592</v>
      </c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0" t="n">
        <f aca="false">I1025+0</f>
        <v>190.8</v>
      </c>
      <c r="AB1025" s="0" t="n">
        <f aca="false">IF(Z1025&gt;360,Z1025-360,Z1025+0)</f>
        <v>190.8</v>
      </c>
      <c r="AC1025" s="1"/>
      <c r="AD1025" s="1"/>
      <c r="AE1025" s="1"/>
      <c r="AF1025" s="1"/>
    </row>
    <row r="1026" customFormat="false" ht="15.8" hidden="false" customHeight="false" outlineLevel="0" collapsed="false">
      <c r="A1026" s="1" t="n">
        <v>21</v>
      </c>
      <c r="B1026" s="1" t="n">
        <v>22</v>
      </c>
      <c r="C1026" s="1" t="n">
        <v>1.5</v>
      </c>
      <c r="D1026" s="1" t="n">
        <v>1.1597</v>
      </c>
      <c r="E1026" s="1" t="n">
        <v>0.0523047</v>
      </c>
      <c r="F1026" s="1" t="n">
        <v>0.000142273</v>
      </c>
      <c r="G1026" s="1" t="s">
        <v>27</v>
      </c>
      <c r="H1026" s="1" t="n">
        <v>58.1</v>
      </c>
      <c r="I1026" s="1" t="n">
        <v>135</v>
      </c>
      <c r="J1026" s="1" t="n">
        <v>34.1</v>
      </c>
      <c r="K1026" s="1"/>
      <c r="L1026" s="1" t="n">
        <v>0</v>
      </c>
      <c r="M1026" s="1" t="n">
        <v>0</v>
      </c>
      <c r="N1026" s="1" t="s">
        <v>592</v>
      </c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0" t="n">
        <f aca="false">I1026+0</f>
        <v>135</v>
      </c>
      <c r="AB1026" s="0" t="n">
        <f aca="false">IF(Z1026&gt;360,Z1026-360,Z1026+0)</f>
        <v>135</v>
      </c>
      <c r="AC1026" s="1"/>
      <c r="AD1026" s="1"/>
      <c r="AE1026" s="1"/>
      <c r="AF1026" s="1"/>
    </row>
    <row r="1027" customFormat="false" ht="15.8" hidden="false" customHeight="false" outlineLevel="0" collapsed="false">
      <c r="A1027" s="1" t="n">
        <v>21</v>
      </c>
      <c r="B1027" s="1" t="n">
        <v>21</v>
      </c>
      <c r="C1027" s="1" t="n">
        <v>0.4</v>
      </c>
      <c r="D1027" s="1" t="n">
        <v>1.0063</v>
      </c>
      <c r="E1027" s="1" t="n">
        <v>0.0120277</v>
      </c>
      <c r="F1027" s="1" t="n">
        <v>3.27165E-005</v>
      </c>
      <c r="G1027" s="1" t="s">
        <v>52</v>
      </c>
      <c r="H1027" s="1" t="n">
        <v>36.8</v>
      </c>
      <c r="I1027" s="1" t="n">
        <v>185.4</v>
      </c>
      <c r="J1027" s="1" t="n">
        <v>0</v>
      </c>
      <c r="K1027" s="1" t="n">
        <v>58.1</v>
      </c>
      <c r="L1027" s="1" t="n">
        <v>0</v>
      </c>
      <c r="M1027" s="1" t="n">
        <v>0</v>
      </c>
      <c r="N1027" s="1" t="s">
        <v>593</v>
      </c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0" t="n">
        <f aca="false">I1027+0</f>
        <v>185.4</v>
      </c>
      <c r="AB1027" s="0" t="n">
        <f aca="false">IF(Z1027&gt;360,Z1027-360,Z1027+0)</f>
        <v>185.4</v>
      </c>
      <c r="AC1027" s="1"/>
      <c r="AD1027" s="1"/>
      <c r="AE1027" s="1"/>
      <c r="AF1027" s="1"/>
    </row>
    <row r="1028" customFormat="false" ht="15.8" hidden="false" customHeight="false" outlineLevel="0" collapsed="false">
      <c r="A1028" s="1" t="n">
        <v>21</v>
      </c>
      <c r="B1028" s="1" t="n">
        <v>21</v>
      </c>
      <c r="C1028" s="1" t="n">
        <v>1.2</v>
      </c>
      <c r="D1028" s="1" t="n">
        <v>1.089</v>
      </c>
      <c r="E1028" s="1" t="n">
        <v>0.0400166</v>
      </c>
      <c r="F1028" s="1" t="n">
        <v>0.000108849</v>
      </c>
      <c r="G1028" s="1" t="s">
        <v>27</v>
      </c>
      <c r="H1028" s="1" t="n">
        <v>96.9</v>
      </c>
      <c r="I1028" s="1" t="n">
        <v>48.1</v>
      </c>
      <c r="J1028" s="1" t="n">
        <v>-20.1</v>
      </c>
      <c r="K1028" s="1"/>
      <c r="L1028" s="1" t="n">
        <v>0</v>
      </c>
      <c r="M1028" s="1" t="n">
        <v>0</v>
      </c>
      <c r="N1028" s="1" t="s">
        <v>593</v>
      </c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0" t="n">
        <f aca="false">I1028+0</f>
        <v>48.1</v>
      </c>
      <c r="AB1028" s="0" t="n">
        <f aca="false">IF(Z1028&gt;360,Z1028-360,Z1028+0)</f>
        <v>48.1</v>
      </c>
      <c r="AC1028" s="1"/>
      <c r="AD1028" s="1"/>
      <c r="AE1028" s="1"/>
      <c r="AF1028" s="1"/>
    </row>
    <row r="1029" customFormat="false" ht="15.8" hidden="false" customHeight="false" outlineLevel="0" collapsed="false">
      <c r="A1029" s="1" t="n">
        <v>21</v>
      </c>
      <c r="B1029" s="1" t="n">
        <v>20</v>
      </c>
      <c r="C1029" s="1" t="n">
        <v>1.7</v>
      </c>
      <c r="D1029" s="1" t="n">
        <v>1.127</v>
      </c>
      <c r="E1029" s="1" t="n">
        <v>0.0573322</v>
      </c>
      <c r="F1029" s="1" t="n">
        <v>0.000155949</v>
      </c>
      <c r="G1029" s="1" t="s">
        <v>52</v>
      </c>
      <c r="H1029" s="1" t="n">
        <v>39.2</v>
      </c>
      <c r="I1029" s="1" t="n">
        <v>151.1</v>
      </c>
      <c r="J1029" s="1" t="n">
        <v>-14.4</v>
      </c>
      <c r="K1029" s="1" t="n">
        <v>96.9</v>
      </c>
      <c r="L1029" s="1" t="n">
        <v>0</v>
      </c>
      <c r="M1029" s="1" t="n">
        <v>0</v>
      </c>
      <c r="N1029" s="1" t="s">
        <v>594</v>
      </c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0" t="n">
        <f aca="false">I1029+0</f>
        <v>151.1</v>
      </c>
      <c r="AB1029" s="0" t="n">
        <f aca="false">IF(Z1029&gt;360,Z1029-360,Z1029+0)</f>
        <v>151.1</v>
      </c>
      <c r="AC1029" s="1"/>
      <c r="AD1029" s="1"/>
      <c r="AE1029" s="1"/>
      <c r="AF1029" s="1"/>
    </row>
    <row r="1030" customFormat="false" ht="15.8" hidden="false" customHeight="false" outlineLevel="0" collapsed="false">
      <c r="A1030" s="1" t="n">
        <v>21</v>
      </c>
      <c r="B1030" s="1" t="n">
        <v>26</v>
      </c>
      <c r="C1030" s="1" t="n">
        <v>2.2</v>
      </c>
      <c r="D1030" s="1" t="n">
        <v>1.1526</v>
      </c>
      <c r="E1030" s="1" t="n">
        <v>0.0754417</v>
      </c>
      <c r="F1030" s="1" t="n">
        <v>0.000205208</v>
      </c>
      <c r="G1030" s="1" t="s">
        <v>27</v>
      </c>
      <c r="H1030" s="1" t="n">
        <v>82.8</v>
      </c>
      <c r="I1030" s="1" t="n">
        <v>19.3</v>
      </c>
      <c r="J1030" s="1" t="n">
        <v>-11.1</v>
      </c>
      <c r="K1030" s="1"/>
      <c r="L1030" s="1" t="n">
        <v>0</v>
      </c>
      <c r="M1030" s="1" t="n">
        <v>0</v>
      </c>
      <c r="N1030" s="1" t="s">
        <v>595</v>
      </c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0" t="n">
        <f aca="false">I1030+0</f>
        <v>19.3</v>
      </c>
      <c r="AB1030" s="0" t="n">
        <f aca="false">IF(Z1030&gt;360,Z1030-360,Z1030+0)</f>
        <v>19.3</v>
      </c>
      <c r="AC1030" s="1"/>
      <c r="AD1030" s="1"/>
      <c r="AE1030" s="1"/>
      <c r="AF1030" s="1"/>
    </row>
    <row r="1031" customFormat="false" ht="15.8" hidden="false" customHeight="false" outlineLevel="0" collapsed="false">
      <c r="A1031" s="1" t="n">
        <v>21</v>
      </c>
      <c r="B1031" s="1" t="n">
        <v>26</v>
      </c>
      <c r="C1031" s="1" t="n">
        <v>1.6</v>
      </c>
      <c r="D1031" s="1" t="n">
        <v>1.0186</v>
      </c>
      <c r="E1031" s="1" t="n">
        <v>0.0554934</v>
      </c>
      <c r="F1031" s="1" t="n">
        <v>0.000150947</v>
      </c>
      <c r="G1031" s="1" t="s">
        <v>27</v>
      </c>
      <c r="H1031" s="1" t="n">
        <v>27.4</v>
      </c>
      <c r="I1031" s="1" t="n">
        <v>128.9</v>
      </c>
      <c r="J1031" s="1" t="n">
        <v>0</v>
      </c>
      <c r="K1031" s="1"/>
      <c r="L1031" s="1" t="n">
        <v>0</v>
      </c>
      <c r="M1031" s="1" t="n">
        <v>0</v>
      </c>
      <c r="N1031" s="1" t="s">
        <v>595</v>
      </c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0" t="n">
        <f aca="false">I1031+0</f>
        <v>128.9</v>
      </c>
      <c r="AB1031" s="0" t="n">
        <f aca="false">IF(Z1031&gt;360,Z1031-360,Z1031+0)</f>
        <v>128.9</v>
      </c>
      <c r="AC1031" s="1"/>
      <c r="AD1031" s="1"/>
      <c r="AE1031" s="1"/>
      <c r="AF1031" s="1"/>
    </row>
    <row r="1032" customFormat="false" ht="15.8" hidden="false" customHeight="false" outlineLevel="0" collapsed="false">
      <c r="A1032" s="1" t="n">
        <v>21</v>
      </c>
      <c r="B1032" s="1" t="n">
        <v>25</v>
      </c>
      <c r="C1032" s="1" t="n">
        <v>2.6</v>
      </c>
      <c r="D1032" s="1" t="n">
        <v>1.5148</v>
      </c>
      <c r="E1032" s="1" t="n">
        <v>0.0887211</v>
      </c>
      <c r="F1032" s="1" t="n">
        <v>0.000241329</v>
      </c>
      <c r="G1032" s="1" t="s">
        <v>52</v>
      </c>
      <c r="H1032" s="1" t="n">
        <v>70.8</v>
      </c>
      <c r="I1032" s="1" t="n">
        <v>104.3</v>
      </c>
      <c r="J1032" s="1" t="n">
        <v>-12.5</v>
      </c>
      <c r="K1032" s="1" t="n">
        <v>82.8</v>
      </c>
      <c r="L1032" s="1" t="n">
        <v>0</v>
      </c>
      <c r="M1032" s="1" t="n">
        <v>0</v>
      </c>
      <c r="N1032" s="1" t="s">
        <v>596</v>
      </c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0" t="n">
        <f aca="false">I1032+0</f>
        <v>104.3</v>
      </c>
      <c r="AB1032" s="0" t="n">
        <f aca="false">IF(Z1032&gt;360,Z1032-360,Z1032+0)</f>
        <v>104.3</v>
      </c>
      <c r="AC1032" s="1"/>
      <c r="AD1032" s="1"/>
      <c r="AE1032" s="1"/>
      <c r="AF1032" s="1"/>
    </row>
    <row r="1033" customFormat="false" ht="15.8" hidden="false" customHeight="false" outlineLevel="0" collapsed="false">
      <c r="A1033" s="1" t="n">
        <v>21</v>
      </c>
      <c r="B1033" s="1" t="n">
        <v>26</v>
      </c>
      <c r="C1033" s="1" t="n">
        <v>2.9</v>
      </c>
      <c r="D1033" s="1" t="n">
        <v>1.3513</v>
      </c>
      <c r="E1033" s="1" t="n">
        <v>0.100019</v>
      </c>
      <c r="F1033" s="1" t="n">
        <v>0.00027206</v>
      </c>
      <c r="G1033" s="1" t="s">
        <v>27</v>
      </c>
      <c r="H1033" s="1" t="n">
        <v>21.9</v>
      </c>
      <c r="I1033" s="1" t="n">
        <v>271.8</v>
      </c>
      <c r="J1033" s="1" t="n">
        <v>9.8</v>
      </c>
      <c r="K1033" s="1"/>
      <c r="L1033" s="1" t="n">
        <v>0</v>
      </c>
      <c r="M1033" s="1" t="n">
        <v>0</v>
      </c>
      <c r="N1033" s="1" t="s">
        <v>597</v>
      </c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0" t="n">
        <f aca="false">I1033+0</f>
        <v>271.8</v>
      </c>
      <c r="AB1033" s="0" t="n">
        <f aca="false">IF(Z1033&gt;360,Z1033-360,Z1033+0)</f>
        <v>271.8</v>
      </c>
      <c r="AC1033" s="1"/>
      <c r="AD1033" s="1"/>
      <c r="AE1033" s="1"/>
      <c r="AF1033" s="1"/>
    </row>
    <row r="1034" customFormat="false" ht="15.8" hidden="false" customHeight="false" outlineLevel="0" collapsed="false">
      <c r="A1034" s="1" t="n">
        <v>21</v>
      </c>
      <c r="B1034" s="1" t="n">
        <v>26</v>
      </c>
      <c r="C1034" s="1" t="n">
        <v>2.5</v>
      </c>
      <c r="D1034" s="1" t="n">
        <v>1.1882</v>
      </c>
      <c r="E1034" s="1" t="n">
        <v>0.0869786</v>
      </c>
      <c r="F1034" s="1" t="n">
        <v>0.00023659</v>
      </c>
      <c r="G1034" s="1" t="s">
        <v>27</v>
      </c>
      <c r="H1034" s="1" t="n">
        <v>103.6</v>
      </c>
      <c r="I1034" s="1" t="n">
        <v>149.4</v>
      </c>
      <c r="J1034" s="1" t="n">
        <v>-20.2</v>
      </c>
      <c r="K1034" s="1"/>
      <c r="L1034" s="1" t="n">
        <v>0</v>
      </c>
      <c r="M1034" s="1" t="n">
        <v>0</v>
      </c>
      <c r="N1034" s="1" t="s">
        <v>597</v>
      </c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0" t="n">
        <f aca="false">I1034+0</f>
        <v>149.4</v>
      </c>
      <c r="AB1034" s="0" t="n">
        <f aca="false">IF(Z1034&gt;360,Z1034-360,Z1034+0)</f>
        <v>149.4</v>
      </c>
      <c r="AC1034" s="1"/>
      <c r="AD1034" s="1"/>
      <c r="AE1034" s="1"/>
      <c r="AF1034" s="1"/>
    </row>
    <row r="1035" customFormat="false" ht="15.8" hidden="false" customHeight="false" outlineLevel="0" collapsed="false">
      <c r="A1035" s="1" t="n">
        <v>21</v>
      </c>
      <c r="B1035" s="1" t="n">
        <v>25</v>
      </c>
      <c r="C1035" s="1" t="n">
        <v>1.9</v>
      </c>
      <c r="D1035" s="1" t="n">
        <v>1.0984</v>
      </c>
      <c r="E1035" s="1" t="n">
        <v>0.0659745</v>
      </c>
      <c r="F1035" s="1" t="n">
        <v>0.000179456</v>
      </c>
      <c r="G1035" s="1" t="s">
        <v>52</v>
      </c>
      <c r="H1035" s="1" t="n">
        <v>79.2</v>
      </c>
      <c r="I1035" s="1" t="n">
        <v>249.6</v>
      </c>
      <c r="J1035" s="1" t="n">
        <v>12.2</v>
      </c>
      <c r="K1035" s="1" t="n">
        <v>103.6</v>
      </c>
      <c r="L1035" s="1" t="n">
        <v>0</v>
      </c>
      <c r="M1035" s="1" t="n">
        <v>0</v>
      </c>
      <c r="N1035" s="1" t="s">
        <v>596</v>
      </c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0" t="n">
        <f aca="false">I1035+0</f>
        <v>249.6</v>
      </c>
      <c r="AB1035" s="0" t="n">
        <f aca="false">IF(Z1035&gt;360,Z1035-360,Z1035+0)</f>
        <v>249.6</v>
      </c>
      <c r="AC1035" s="1"/>
      <c r="AD1035" s="1"/>
      <c r="AE1035" s="1"/>
      <c r="AF1035" s="1"/>
    </row>
    <row r="1036" customFormat="false" ht="15.8" hidden="false" customHeight="false" outlineLevel="0" collapsed="false">
      <c r="A1036" s="1" t="n">
        <v>21</v>
      </c>
      <c r="B1036" s="1" t="n">
        <v>24</v>
      </c>
      <c r="C1036" s="1" t="n">
        <v>0.9</v>
      </c>
      <c r="D1036" s="1" t="n">
        <v>1.1792</v>
      </c>
      <c r="E1036" s="1" t="n">
        <v>0.0314013</v>
      </c>
      <c r="F1036" s="1" t="n">
        <v>8.54143E-005</v>
      </c>
      <c r="G1036" s="1" t="s">
        <v>52</v>
      </c>
      <c r="H1036" s="1" t="n">
        <v>30.8</v>
      </c>
      <c r="I1036" s="1" t="n">
        <v>179.1</v>
      </c>
      <c r="J1036" s="1" t="n">
        <v>-28.4</v>
      </c>
      <c r="K1036" s="1" t="n">
        <v>79.2</v>
      </c>
      <c r="L1036" s="1" t="n">
        <v>0</v>
      </c>
      <c r="M1036" s="1" t="n">
        <v>0</v>
      </c>
      <c r="N1036" s="1" t="s">
        <v>598</v>
      </c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0" t="n">
        <f aca="false">I1036+0</f>
        <v>179.1</v>
      </c>
      <c r="AB1036" s="0" t="n">
        <f aca="false">IF(Z1036&gt;360,Z1036-360,Z1036+0)</f>
        <v>179.1</v>
      </c>
      <c r="AC1036" s="1"/>
      <c r="AD1036" s="1"/>
      <c r="AE1036" s="1"/>
      <c r="AF1036" s="1"/>
    </row>
    <row r="1037" customFormat="false" ht="15.8" hidden="false" customHeight="false" outlineLevel="0" collapsed="false">
      <c r="A1037" s="1" t="n">
        <v>21</v>
      </c>
      <c r="B1037" s="1" t="n">
        <v>24</v>
      </c>
      <c r="C1037" s="1" t="n">
        <v>1.8</v>
      </c>
      <c r="D1037" s="1" t="n">
        <v>1.5274</v>
      </c>
      <c r="E1037" s="1" t="n">
        <v>0.0632012</v>
      </c>
      <c r="F1037" s="1" t="n">
        <v>0.000171913</v>
      </c>
      <c r="G1037" s="1" t="s">
        <v>27</v>
      </c>
      <c r="H1037" s="1" t="n">
        <v>82.3</v>
      </c>
      <c r="I1037" s="1" t="n">
        <v>272</v>
      </c>
      <c r="J1037" s="1" t="n">
        <v>-37.7</v>
      </c>
      <c r="K1037" s="1"/>
      <c r="L1037" s="1" t="n">
        <v>0</v>
      </c>
      <c r="M1037" s="1" t="n">
        <v>0</v>
      </c>
      <c r="N1037" s="1" t="s">
        <v>598</v>
      </c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0" t="n">
        <f aca="false">I1037+0</f>
        <v>272</v>
      </c>
      <c r="AB1037" s="0" t="n">
        <f aca="false">IF(Z1037&gt;360,Z1037-360,Z1037+0)</f>
        <v>272</v>
      </c>
      <c r="AC1037" s="1"/>
      <c r="AD1037" s="1"/>
      <c r="AE1037" s="1"/>
      <c r="AF1037" s="1"/>
    </row>
    <row r="1038" customFormat="false" ht="15.8" hidden="false" customHeight="false" outlineLevel="0" collapsed="false">
      <c r="A1038" s="1" t="n">
        <v>21</v>
      </c>
      <c r="B1038" s="1" t="n">
        <v>23</v>
      </c>
      <c r="C1038" s="1" t="n">
        <v>1.1</v>
      </c>
      <c r="D1038" s="1" t="n">
        <v>1.0294</v>
      </c>
      <c r="E1038" s="1" t="n">
        <v>0.0359644</v>
      </c>
      <c r="F1038" s="1" t="n">
        <v>9.78264E-005</v>
      </c>
      <c r="G1038" s="1" t="s">
        <v>52</v>
      </c>
      <c r="H1038" s="1" t="n">
        <v>85.1</v>
      </c>
      <c r="I1038" s="1" t="n">
        <v>191.7</v>
      </c>
      <c r="J1038" s="1" t="n">
        <v>0</v>
      </c>
      <c r="K1038" s="1" t="n">
        <v>82.3</v>
      </c>
      <c r="L1038" s="1" t="n">
        <v>0</v>
      </c>
      <c r="M1038" s="1" t="n">
        <v>0</v>
      </c>
      <c r="N1038" s="1" t="s">
        <v>599</v>
      </c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0" t="n">
        <f aca="false">I1038+0</f>
        <v>191.7</v>
      </c>
      <c r="AB1038" s="0" t="n">
        <f aca="false">IF(Z1038&gt;360,Z1038-360,Z1038+0)</f>
        <v>191.7</v>
      </c>
      <c r="AC1038" s="1"/>
      <c r="AD1038" s="1"/>
      <c r="AE1038" s="1"/>
      <c r="AF1038" s="1"/>
    </row>
    <row r="1039" customFormat="false" ht="15.8" hidden="false" customHeight="false" outlineLevel="0" collapsed="false">
      <c r="A1039" s="1" t="n">
        <v>21</v>
      </c>
      <c r="B1039" s="1" t="n">
        <v>23</v>
      </c>
      <c r="C1039" s="1" t="n">
        <v>2.2</v>
      </c>
      <c r="D1039" s="1" t="n">
        <v>1.0578</v>
      </c>
      <c r="E1039" s="1" t="n">
        <v>0.0747098</v>
      </c>
      <c r="F1039" s="1" t="n">
        <v>0.000203217</v>
      </c>
      <c r="G1039" s="1" t="s">
        <v>27</v>
      </c>
      <c r="H1039" s="1" t="n">
        <v>92.5</v>
      </c>
      <c r="I1039" s="1" t="n">
        <v>14.3</v>
      </c>
      <c r="J1039" s="1" t="n">
        <v>0</v>
      </c>
      <c r="K1039" s="1"/>
      <c r="L1039" s="1" t="n">
        <v>0</v>
      </c>
      <c r="M1039" s="1" t="n">
        <v>0</v>
      </c>
      <c r="N1039" s="1" t="s">
        <v>599</v>
      </c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0" t="n">
        <f aca="false">I1039+0</f>
        <v>14.3</v>
      </c>
      <c r="AB1039" s="0" t="n">
        <f aca="false">IF(Z1039&gt;360,Z1039-360,Z1039+0)</f>
        <v>14.3</v>
      </c>
      <c r="AC1039" s="1"/>
      <c r="AD1039" s="1"/>
      <c r="AE1039" s="1"/>
      <c r="AF1039" s="1"/>
    </row>
    <row r="1040" customFormat="false" ht="15.8" hidden="false" customHeight="false" outlineLevel="0" collapsed="false">
      <c r="A1040" s="1" t="n">
        <v>21</v>
      </c>
      <c r="B1040" s="1" t="n">
        <v>22</v>
      </c>
      <c r="C1040" s="1" t="n">
        <v>1.1</v>
      </c>
      <c r="D1040" s="1" t="n">
        <v>1.2835</v>
      </c>
      <c r="E1040" s="1" t="n">
        <v>0.0362951</v>
      </c>
      <c r="F1040" s="1" t="n">
        <v>9.8726E-005</v>
      </c>
      <c r="G1040" s="1" t="s">
        <v>52</v>
      </c>
      <c r="H1040" s="1" t="n">
        <v>53.5</v>
      </c>
      <c r="I1040" s="1" t="n">
        <v>107.1</v>
      </c>
      <c r="J1040" s="1" t="n">
        <v>-26.6</v>
      </c>
      <c r="K1040" s="1" t="n">
        <v>92.5</v>
      </c>
      <c r="L1040" s="1" t="n">
        <v>0</v>
      </c>
      <c r="M1040" s="1" t="n">
        <v>0</v>
      </c>
      <c r="N1040" s="1" t="s">
        <v>600</v>
      </c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0" t="n">
        <f aca="false">I1040+0</f>
        <v>107.1</v>
      </c>
      <c r="AB1040" s="0" t="n">
        <f aca="false">IF(Z1040&gt;360,Z1040-360,Z1040+0)</f>
        <v>107.1</v>
      </c>
      <c r="AC1040" s="1"/>
      <c r="AD1040" s="1"/>
      <c r="AE1040" s="1"/>
      <c r="AF1040" s="1"/>
    </row>
    <row r="1041" customFormat="false" ht="15.8" hidden="false" customHeight="false" outlineLevel="0" collapsed="false">
      <c r="A1041" s="1" t="n">
        <v>21</v>
      </c>
      <c r="B1041" s="1" t="n">
        <v>22</v>
      </c>
      <c r="C1041" s="1" t="n">
        <v>0.9</v>
      </c>
      <c r="D1041" s="1" t="n">
        <v>1.1846</v>
      </c>
      <c r="E1041" s="1" t="n">
        <v>0.0291495</v>
      </c>
      <c r="F1041" s="1" t="n">
        <v>7.92892E-005</v>
      </c>
      <c r="G1041" s="1" t="s">
        <v>27</v>
      </c>
      <c r="H1041" s="1" t="n">
        <v>52.3</v>
      </c>
      <c r="I1041" s="1" t="n">
        <v>14.3</v>
      </c>
      <c r="J1041" s="1" t="n">
        <v>30.9</v>
      </c>
      <c r="K1041" s="1"/>
      <c r="L1041" s="1" t="n">
        <v>0</v>
      </c>
      <c r="M1041" s="1" t="n">
        <v>0</v>
      </c>
      <c r="N1041" s="1" t="s">
        <v>600</v>
      </c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0" t="n">
        <f aca="false">I1041+0</f>
        <v>14.3</v>
      </c>
      <c r="AB1041" s="0" t="n">
        <f aca="false">IF(Z1041&gt;360,Z1041-360,Z1041+0)</f>
        <v>14.3</v>
      </c>
      <c r="AC1041" s="1"/>
      <c r="AD1041" s="1"/>
      <c r="AE1041" s="1"/>
      <c r="AF1041" s="1"/>
    </row>
    <row r="1042" customFormat="false" ht="15.8" hidden="false" customHeight="false" outlineLevel="0" collapsed="false">
      <c r="A1042" s="1" t="n">
        <v>21</v>
      </c>
      <c r="B1042" s="1" t="n">
        <v>21</v>
      </c>
      <c r="C1042" s="1" t="n">
        <v>0.4</v>
      </c>
      <c r="D1042" s="1" t="n">
        <v>1.0005</v>
      </c>
      <c r="E1042" s="1" t="n">
        <v>0.0143579</v>
      </c>
      <c r="F1042" s="1" t="n">
        <v>3.90546E-005</v>
      </c>
      <c r="G1042" s="1" t="s">
        <v>52</v>
      </c>
      <c r="H1042" s="1" t="n">
        <v>43</v>
      </c>
      <c r="I1042" s="1" t="n">
        <v>58.8</v>
      </c>
      <c r="J1042" s="1" t="n">
        <v>0</v>
      </c>
      <c r="K1042" s="1" t="n">
        <v>53.5</v>
      </c>
      <c r="L1042" s="1" t="n">
        <v>0</v>
      </c>
      <c r="M1042" s="1" t="n">
        <v>0</v>
      </c>
      <c r="N1042" s="1" t="s">
        <v>601</v>
      </c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0" t="n">
        <f aca="false">I1042+0</f>
        <v>58.8</v>
      </c>
      <c r="AB1042" s="0" t="n">
        <f aca="false">IF(Z1042&gt;360,Z1042-360,Z1042+0)</f>
        <v>58.8</v>
      </c>
      <c r="AC1042" s="1"/>
      <c r="AD1042" s="1"/>
      <c r="AE1042" s="1"/>
      <c r="AF1042" s="1"/>
    </row>
    <row r="1043" customFormat="false" ht="15.8" hidden="false" customHeight="false" outlineLevel="0" collapsed="false">
      <c r="A1043" s="1" t="n">
        <v>21</v>
      </c>
      <c r="B1043" s="1" t="n">
        <v>21</v>
      </c>
      <c r="C1043" s="1" t="n">
        <v>0.9</v>
      </c>
      <c r="D1043" s="1" t="n">
        <v>1.1189</v>
      </c>
      <c r="E1043" s="1" t="n">
        <v>0.0313516</v>
      </c>
      <c r="F1043" s="1" t="n">
        <v>8.52791E-005</v>
      </c>
      <c r="G1043" s="1" t="s">
        <v>27</v>
      </c>
      <c r="H1043" s="1" t="n">
        <v>134.6</v>
      </c>
      <c r="I1043" s="1" t="n">
        <v>239.6</v>
      </c>
      <c r="J1043" s="1" t="n">
        <v>26.8</v>
      </c>
      <c r="K1043" s="1"/>
      <c r="L1043" s="1" t="n">
        <v>0</v>
      </c>
      <c r="M1043" s="1" t="n">
        <v>0</v>
      </c>
      <c r="N1043" s="1" t="s">
        <v>601</v>
      </c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0" t="n">
        <f aca="false">I1043+0</f>
        <v>239.6</v>
      </c>
      <c r="AB1043" s="0" t="n">
        <f aca="false">IF(Z1043&gt;360,Z1043-360,Z1043+0)</f>
        <v>239.6</v>
      </c>
      <c r="AC1043" s="1"/>
      <c r="AD1043" s="1"/>
      <c r="AE1043" s="1"/>
      <c r="AF1043" s="1"/>
    </row>
    <row r="1044" customFormat="false" ht="15.8" hidden="false" customHeight="false" outlineLevel="0" collapsed="false">
      <c r="A1044" s="1" t="n">
        <v>21</v>
      </c>
      <c r="B1044" s="1" t="n">
        <v>20</v>
      </c>
      <c r="C1044" s="1" t="n">
        <v>4.9</v>
      </c>
      <c r="D1044" s="1" t="n">
        <v>1.2021</v>
      </c>
      <c r="E1044" s="1" t="n">
        <v>0.168584</v>
      </c>
      <c r="F1044" s="1" t="n">
        <v>0.000458563</v>
      </c>
      <c r="G1044" s="1" t="s">
        <v>52</v>
      </c>
      <c r="H1044" s="1" t="n">
        <v>13.7</v>
      </c>
      <c r="I1044" s="1" t="n">
        <v>101.5</v>
      </c>
      <c r="J1044" s="1" t="n">
        <v>-5.2</v>
      </c>
      <c r="K1044" s="1" t="n">
        <v>134.6</v>
      </c>
      <c r="L1044" s="1" t="n">
        <v>0</v>
      </c>
      <c r="M1044" s="1" t="n">
        <v>0</v>
      </c>
      <c r="N1044" s="1" t="s">
        <v>594</v>
      </c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0" t="n">
        <f aca="false">I1044+0</f>
        <v>101.5</v>
      </c>
      <c r="AB1044" s="0" t="n">
        <f aca="false">IF(Z1044&gt;360,Z1044-360,Z1044+0)</f>
        <v>101.5</v>
      </c>
      <c r="AC1044" s="1"/>
      <c r="AD1044" s="1"/>
      <c r="AE1044" s="1"/>
      <c r="AF1044" s="1"/>
    </row>
    <row r="1045" customFormat="false" ht="15.8" hidden="false" customHeight="false" outlineLevel="0" collapsed="false">
      <c r="A1045" s="1" t="n">
        <v>21</v>
      </c>
      <c r="B1045" s="1" t="n">
        <v>19</v>
      </c>
      <c r="C1045" s="1" t="n">
        <v>0.5</v>
      </c>
      <c r="D1045" s="1" t="n">
        <v>1.0067</v>
      </c>
      <c r="E1045" s="1" t="n">
        <v>0.0164223</v>
      </c>
      <c r="F1045" s="1" t="n">
        <v>4.46702E-005</v>
      </c>
      <c r="G1045" s="1" t="s">
        <v>52</v>
      </c>
      <c r="H1045" s="1" t="n">
        <v>26.6</v>
      </c>
      <c r="I1045" s="1" t="n">
        <v>114.2</v>
      </c>
      <c r="J1045" s="1" t="n">
        <v>0</v>
      </c>
      <c r="K1045" s="1" t="n">
        <v>39.2</v>
      </c>
      <c r="L1045" s="1" t="n">
        <v>0</v>
      </c>
      <c r="M1045" s="1" t="n">
        <v>0</v>
      </c>
      <c r="N1045" s="1" t="s">
        <v>602</v>
      </c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0" t="n">
        <f aca="false">I1045+0</f>
        <v>114.2</v>
      </c>
      <c r="AB1045" s="0" t="n">
        <f aca="false">IF(Z1045&gt;360,Z1045-360,Z1045+0)</f>
        <v>114.2</v>
      </c>
      <c r="AC1045" s="1"/>
      <c r="AD1045" s="1"/>
      <c r="AE1045" s="1"/>
      <c r="AF1045" s="1"/>
    </row>
    <row r="1046" customFormat="false" ht="15.8" hidden="false" customHeight="false" outlineLevel="0" collapsed="false">
      <c r="A1046" s="1" t="n">
        <v>21</v>
      </c>
      <c r="B1046" s="1" t="n">
        <v>19</v>
      </c>
      <c r="C1046" s="1" t="n">
        <v>0.4</v>
      </c>
      <c r="D1046" s="1" t="n">
        <v>1</v>
      </c>
      <c r="E1046" s="1" t="n">
        <v>0.0137656</v>
      </c>
      <c r="F1046" s="1" t="n">
        <v>3.74437E-005</v>
      </c>
      <c r="G1046" s="1" t="s">
        <v>27</v>
      </c>
      <c r="H1046" s="1" t="n">
        <v>91.7</v>
      </c>
      <c r="I1046" s="1" t="n">
        <v>358.5</v>
      </c>
      <c r="J1046" s="1" t="n">
        <v>0</v>
      </c>
      <c r="K1046" s="1"/>
      <c r="L1046" s="1" t="n">
        <v>0</v>
      </c>
      <c r="M1046" s="1" t="n">
        <v>0</v>
      </c>
      <c r="N1046" s="1" t="s">
        <v>602</v>
      </c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0" t="n">
        <f aca="false">I1046+0</f>
        <v>358.5</v>
      </c>
      <c r="AB1046" s="0" t="n">
        <f aca="false">IF(Z1046&gt;360,Z1046-360,Z1046+0)</f>
        <v>358.5</v>
      </c>
      <c r="AC1046" s="1"/>
      <c r="AD1046" s="1"/>
      <c r="AE1046" s="1"/>
      <c r="AF1046" s="1"/>
    </row>
    <row r="1047" customFormat="false" ht="15.8" hidden="false" customHeight="false" outlineLevel="0" collapsed="false">
      <c r="A1047" s="1" t="n">
        <v>21</v>
      </c>
      <c r="B1047" s="1" t="n">
        <v>18</v>
      </c>
      <c r="C1047" s="1" t="n">
        <v>4.8</v>
      </c>
      <c r="D1047" s="1" t="n">
        <v>1.3184</v>
      </c>
      <c r="E1047" s="1" t="n">
        <v>0.163773</v>
      </c>
      <c r="F1047" s="1" t="n">
        <v>0.000445476</v>
      </c>
      <c r="G1047" s="1" t="s">
        <v>52</v>
      </c>
      <c r="H1047" s="1" t="n">
        <v>13</v>
      </c>
      <c r="I1047" s="1" t="n">
        <v>90.2</v>
      </c>
      <c r="J1047" s="1" t="n">
        <v>-11.7</v>
      </c>
      <c r="K1047" s="1" t="n">
        <v>91.7</v>
      </c>
      <c r="L1047" s="1" t="n">
        <v>0</v>
      </c>
      <c r="M1047" s="1" t="n">
        <v>0</v>
      </c>
      <c r="N1047" s="1" t="s">
        <v>603</v>
      </c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0" t="n">
        <f aca="false">I1047+0</f>
        <v>90.2</v>
      </c>
      <c r="AB1047" s="0" t="n">
        <f aca="false">IF(Z1047&gt;360,Z1047-360,Z1047+0)</f>
        <v>90.2</v>
      </c>
      <c r="AC1047" s="1"/>
      <c r="AD1047" s="1"/>
      <c r="AE1047" s="1"/>
      <c r="AF1047" s="1"/>
    </row>
    <row r="1048" customFormat="false" ht="15.8" hidden="false" customHeight="false" outlineLevel="0" collapsed="false">
      <c r="A1048" s="1" t="n">
        <v>21</v>
      </c>
      <c r="B1048" s="1" t="n">
        <v>18</v>
      </c>
      <c r="C1048" s="1" t="n">
        <v>0.5</v>
      </c>
      <c r="D1048" s="1" t="n">
        <v>1.0721</v>
      </c>
      <c r="E1048" s="1" t="n">
        <v>0.0167722</v>
      </c>
      <c r="F1048" s="1" t="n">
        <v>4.56219E-005</v>
      </c>
      <c r="G1048" s="1" t="s">
        <v>27</v>
      </c>
      <c r="H1048" s="1" t="n">
        <v>94.9</v>
      </c>
      <c r="I1048" s="1" t="n">
        <v>313.4</v>
      </c>
      <c r="J1048" s="1" t="n">
        <v>-53.9</v>
      </c>
      <c r="K1048" s="1"/>
      <c r="L1048" s="1" t="n">
        <v>0</v>
      </c>
      <c r="M1048" s="1" t="n">
        <v>0</v>
      </c>
      <c r="N1048" s="1" t="s">
        <v>603</v>
      </c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0" t="n">
        <f aca="false">I1048+0</f>
        <v>313.4</v>
      </c>
      <c r="AB1048" s="0" t="n">
        <f aca="false">IF(Z1048&gt;360,Z1048-360,Z1048+0)</f>
        <v>313.4</v>
      </c>
      <c r="AC1048" s="1"/>
      <c r="AD1048" s="1"/>
      <c r="AE1048" s="1"/>
      <c r="AF1048" s="1"/>
    </row>
    <row r="1049" customFormat="false" ht="15.8" hidden="false" customHeight="false" outlineLevel="0" collapsed="false">
      <c r="A1049" s="1" t="n">
        <v>21</v>
      </c>
      <c r="B1049" s="1" t="n">
        <v>17</v>
      </c>
      <c r="C1049" s="1" t="n">
        <v>2.4</v>
      </c>
      <c r="D1049" s="1" t="n">
        <v>1.309</v>
      </c>
      <c r="E1049" s="1" t="n">
        <v>0.0808026</v>
      </c>
      <c r="F1049" s="1" t="n">
        <v>0.00021979</v>
      </c>
      <c r="G1049" s="1" t="s">
        <v>52</v>
      </c>
      <c r="H1049" s="1" t="n">
        <v>44.7</v>
      </c>
      <c r="I1049" s="1" t="n">
        <v>94.2</v>
      </c>
      <c r="J1049" s="1" t="n">
        <v>-24.2</v>
      </c>
      <c r="K1049" s="1" t="n">
        <v>94.9</v>
      </c>
      <c r="L1049" s="1" t="n">
        <v>0</v>
      </c>
      <c r="M1049" s="1" t="n">
        <v>0</v>
      </c>
      <c r="N1049" s="1" t="s">
        <v>587</v>
      </c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0" t="n">
        <f aca="false">I1049+0</f>
        <v>94.2</v>
      </c>
      <c r="AB1049" s="0" t="n">
        <f aca="false">IF(Z1049&gt;360,Z1049-360,Z1049+0)</f>
        <v>94.2</v>
      </c>
      <c r="AC1049" s="1"/>
      <c r="AD1049" s="1"/>
      <c r="AE1049" s="1"/>
      <c r="AF1049" s="1"/>
    </row>
    <row r="1050" customFormat="false" ht="15.8" hidden="false" customHeight="false" outlineLevel="0" collapsed="false">
      <c r="A1050" s="1" t="n">
        <v>21</v>
      </c>
      <c r="B1050" s="1" t="n">
        <v>16</v>
      </c>
      <c r="C1050" s="1" t="n">
        <v>2.2</v>
      </c>
      <c r="D1050" s="1" t="n">
        <v>1.047</v>
      </c>
      <c r="E1050" s="1" t="n">
        <v>0.0765914</v>
      </c>
      <c r="F1050" s="1" t="n">
        <v>0.000208335</v>
      </c>
      <c r="G1050" s="1" t="s">
        <v>52</v>
      </c>
      <c r="H1050" s="1" t="n">
        <v>68.2</v>
      </c>
      <c r="I1050" s="1" t="n">
        <v>132.9</v>
      </c>
      <c r="J1050" s="1" t="n">
        <v>0</v>
      </c>
      <c r="K1050" s="1" t="n">
        <v>44.7</v>
      </c>
      <c r="L1050" s="1" t="n">
        <v>0</v>
      </c>
      <c r="M1050" s="1" t="n">
        <v>0</v>
      </c>
      <c r="N1050" s="1" t="s">
        <v>604</v>
      </c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0" t="n">
        <f aca="false">I1050+0</f>
        <v>132.9</v>
      </c>
      <c r="AB1050" s="0" t="n">
        <f aca="false">IF(Z1050&gt;360,Z1050-360,Z1050+0)</f>
        <v>132.9</v>
      </c>
      <c r="AC1050" s="1"/>
      <c r="AD1050" s="1"/>
      <c r="AE1050" s="1"/>
      <c r="AF1050" s="1"/>
    </row>
    <row r="1051" customFormat="false" ht="15.8" hidden="false" customHeight="false" outlineLevel="0" collapsed="false">
      <c r="A1051" s="1" t="n">
        <v>21</v>
      </c>
      <c r="B1051" s="1" t="n">
        <v>16</v>
      </c>
      <c r="C1051" s="1" t="n">
        <v>0.5</v>
      </c>
      <c r="D1051" s="1" t="n">
        <v>1</v>
      </c>
      <c r="E1051" s="1" t="n">
        <v>0.0156115</v>
      </c>
      <c r="F1051" s="1" t="n">
        <v>4.24647E-005</v>
      </c>
      <c r="G1051" s="1" t="s">
        <v>27</v>
      </c>
      <c r="H1051" s="1" t="n">
        <v>89.3</v>
      </c>
      <c r="I1051" s="1" t="n">
        <v>257.6</v>
      </c>
      <c r="J1051" s="1" t="n">
        <v>0</v>
      </c>
      <c r="K1051" s="1"/>
      <c r="L1051" s="1" t="n">
        <v>0</v>
      </c>
      <c r="M1051" s="1" t="n">
        <v>0</v>
      </c>
      <c r="N1051" s="1" t="s">
        <v>604</v>
      </c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0" t="n">
        <f aca="false">I1051+0</f>
        <v>257.6</v>
      </c>
      <c r="AB1051" s="0" t="n">
        <f aca="false">IF(Z1051&gt;360,Z1051-360,Z1051+0)</f>
        <v>257.6</v>
      </c>
      <c r="AC1051" s="1"/>
      <c r="AD1051" s="1"/>
      <c r="AE1051" s="1"/>
      <c r="AF1051" s="1"/>
    </row>
    <row r="1052" customFormat="false" ht="15.8" hidden="false" customHeight="false" outlineLevel="0" collapsed="false">
      <c r="A1052" s="1" t="n">
        <v>21</v>
      </c>
      <c r="B1052" s="1" t="n">
        <v>15</v>
      </c>
      <c r="C1052" s="1" t="n">
        <v>1.4</v>
      </c>
      <c r="D1052" s="1" t="n">
        <v>1.0947</v>
      </c>
      <c r="E1052" s="1" t="n">
        <v>0.0467973</v>
      </c>
      <c r="F1052" s="1" t="n">
        <v>0.000127293</v>
      </c>
      <c r="G1052" s="1" t="s">
        <v>52</v>
      </c>
      <c r="H1052" s="1" t="n">
        <v>63.2</v>
      </c>
      <c r="I1052" s="1" t="n">
        <v>169.1</v>
      </c>
      <c r="J1052" s="1" t="n">
        <v>-62.6</v>
      </c>
      <c r="K1052" s="1" t="n">
        <v>89.3</v>
      </c>
      <c r="L1052" s="1" t="n">
        <v>0</v>
      </c>
      <c r="M1052" s="1" t="n">
        <v>0</v>
      </c>
      <c r="N1052" s="1" t="s">
        <v>605</v>
      </c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0" t="n">
        <f aca="false">I1052+0</f>
        <v>169.1</v>
      </c>
      <c r="AB1052" s="0" t="n">
        <f aca="false">IF(Z1052&gt;360,Z1052-360,Z1052+0)</f>
        <v>169.1</v>
      </c>
      <c r="AC1052" s="1"/>
      <c r="AD1052" s="1"/>
      <c r="AE1052" s="1"/>
      <c r="AF1052" s="1"/>
    </row>
    <row r="1053" customFormat="false" ht="15.8" hidden="false" customHeight="false" outlineLevel="0" collapsed="false">
      <c r="A1053" s="1" t="n">
        <v>21</v>
      </c>
      <c r="B1053" s="1" t="n">
        <v>15</v>
      </c>
      <c r="C1053" s="1" t="n">
        <v>1.6</v>
      </c>
      <c r="D1053" s="1" t="n">
        <v>1.1773</v>
      </c>
      <c r="E1053" s="1" t="n">
        <v>0.0538805</v>
      </c>
      <c r="F1053" s="1" t="n">
        <v>0.00014656</v>
      </c>
      <c r="G1053" s="1" t="s">
        <v>27</v>
      </c>
      <c r="H1053" s="1" t="n">
        <v>52.8</v>
      </c>
      <c r="I1053" s="1" t="n">
        <v>113.6</v>
      </c>
      <c r="J1053" s="1" t="n">
        <v>-33.6</v>
      </c>
      <c r="K1053" s="1"/>
      <c r="L1053" s="1" t="n">
        <v>0</v>
      </c>
      <c r="M1053" s="1" t="n">
        <v>0</v>
      </c>
      <c r="N1053" s="1" t="s">
        <v>605</v>
      </c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0" t="n">
        <f aca="false">I1053+0</f>
        <v>113.6</v>
      </c>
      <c r="AB1053" s="0" t="n">
        <f aca="false">IF(Z1053&gt;360,Z1053-360,Z1053+0)</f>
        <v>113.6</v>
      </c>
      <c r="AC1053" s="1"/>
      <c r="AD1053" s="1"/>
      <c r="AE1053" s="1"/>
      <c r="AF1053" s="1"/>
    </row>
    <row r="1054" customFormat="false" ht="15.8" hidden="false" customHeight="false" outlineLevel="0" collapsed="false">
      <c r="A1054" s="1" t="n">
        <v>21</v>
      </c>
      <c r="B1054" s="1" t="n">
        <v>14</v>
      </c>
      <c r="C1054" s="1" t="n">
        <v>0.3</v>
      </c>
      <c r="D1054" s="1" t="n">
        <v>1</v>
      </c>
      <c r="E1054" s="1" t="n">
        <v>0.0104996</v>
      </c>
      <c r="F1054" s="1" t="n">
        <v>2.85598E-005</v>
      </c>
      <c r="G1054" s="1" t="s">
        <v>52</v>
      </c>
      <c r="H1054" s="1" t="n">
        <v>92.2</v>
      </c>
      <c r="I1054" s="1" t="n">
        <v>157.1</v>
      </c>
      <c r="J1054" s="1" t="n">
        <v>0</v>
      </c>
      <c r="K1054" s="1" t="n">
        <v>63.2</v>
      </c>
      <c r="L1054" s="1" t="n">
        <v>0</v>
      </c>
      <c r="M1054" s="1" t="n">
        <v>0</v>
      </c>
      <c r="N1054" s="1" t="s">
        <v>606</v>
      </c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0" t="n">
        <f aca="false">I1054+0</f>
        <v>157.1</v>
      </c>
      <c r="AB1054" s="0" t="n">
        <f aca="false">IF(Z1054&gt;360,Z1054-360,Z1054+0)</f>
        <v>157.1</v>
      </c>
      <c r="AC1054" s="1"/>
      <c r="AD1054" s="1"/>
      <c r="AE1054" s="1"/>
      <c r="AF1054" s="1"/>
    </row>
    <row r="1055" customFormat="false" ht="15.8" hidden="false" customHeight="false" outlineLevel="0" collapsed="false">
      <c r="A1055" s="1" t="n">
        <v>21</v>
      </c>
      <c r="B1055" s="1" t="n">
        <v>14</v>
      </c>
      <c r="C1055" s="1" t="n">
        <v>1.3</v>
      </c>
      <c r="D1055" s="1" t="n">
        <v>1.006</v>
      </c>
      <c r="E1055" s="1" t="n">
        <v>0.0446741</v>
      </c>
      <c r="F1055" s="1" t="n">
        <v>0.000121517</v>
      </c>
      <c r="G1055" s="1" t="s">
        <v>27</v>
      </c>
      <c r="H1055" s="1" t="n">
        <v>28.4</v>
      </c>
      <c r="I1055" s="1" t="n">
        <v>36.5</v>
      </c>
      <c r="J1055" s="1" t="n">
        <v>0</v>
      </c>
      <c r="K1055" s="1"/>
      <c r="L1055" s="1" t="n">
        <v>0</v>
      </c>
      <c r="M1055" s="1" t="n">
        <v>0</v>
      </c>
      <c r="N1055" s="1" t="s">
        <v>606</v>
      </c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0" t="n">
        <f aca="false">I1055+0</f>
        <v>36.5</v>
      </c>
      <c r="AB1055" s="0" t="n">
        <f aca="false">IF(Z1055&gt;360,Z1055-360,Z1055+0)</f>
        <v>36.5</v>
      </c>
      <c r="AC1055" s="1"/>
      <c r="AD1055" s="1"/>
      <c r="AE1055" s="1"/>
      <c r="AF1055" s="1"/>
    </row>
    <row r="1056" customFormat="false" ht="15.8" hidden="false" customHeight="false" outlineLevel="0" collapsed="false">
      <c r="A1056" s="1" t="n">
        <v>21</v>
      </c>
      <c r="B1056" s="1" t="n">
        <v>13</v>
      </c>
      <c r="C1056" s="1" t="n">
        <v>0.4</v>
      </c>
      <c r="D1056" s="1" t="n">
        <v>1.0344</v>
      </c>
      <c r="E1056" s="1" t="n">
        <v>0.0135955</v>
      </c>
      <c r="F1056" s="1" t="n">
        <v>3.69811E-005</v>
      </c>
      <c r="G1056" s="1" t="s">
        <v>52</v>
      </c>
      <c r="H1056" s="1" t="n">
        <v>38.6</v>
      </c>
      <c r="I1056" s="1" t="n">
        <v>64.9</v>
      </c>
      <c r="J1056" s="1" t="n">
        <v>0</v>
      </c>
      <c r="K1056" s="1" t="n">
        <v>92.2</v>
      </c>
      <c r="L1056" s="1" t="n">
        <v>0</v>
      </c>
      <c r="M1056" s="1" t="n">
        <v>0</v>
      </c>
      <c r="N1056" s="1" t="s">
        <v>607</v>
      </c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0" t="n">
        <f aca="false">I1056+0</f>
        <v>64.9</v>
      </c>
      <c r="AB1056" s="0" t="n">
        <f aca="false">IF(Z1056&gt;360,Z1056-360,Z1056+0)</f>
        <v>64.9</v>
      </c>
      <c r="AC1056" s="1"/>
      <c r="AD1056" s="1"/>
      <c r="AE1056" s="1"/>
      <c r="AF1056" s="1"/>
    </row>
    <row r="1057" customFormat="false" ht="15.8" hidden="false" customHeight="false" outlineLevel="0" collapsed="false">
      <c r="A1057" s="1" t="n">
        <v>21</v>
      </c>
      <c r="B1057" s="1" t="n">
        <v>13</v>
      </c>
      <c r="C1057" s="1" t="n">
        <v>1.2</v>
      </c>
      <c r="D1057" s="1" t="n">
        <v>1.2452</v>
      </c>
      <c r="E1057" s="1" t="n">
        <v>0.0402057</v>
      </c>
      <c r="F1057" s="1" t="n">
        <v>0.000109363</v>
      </c>
      <c r="G1057" s="1" t="s">
        <v>27</v>
      </c>
      <c r="H1057" s="1" t="n">
        <v>128.2</v>
      </c>
      <c r="I1057" s="1" t="n">
        <v>235.7</v>
      </c>
      <c r="J1057" s="1" t="n">
        <v>-23.1</v>
      </c>
      <c r="K1057" s="1"/>
      <c r="L1057" s="1" t="n">
        <v>0</v>
      </c>
      <c r="M1057" s="1" t="n">
        <v>0</v>
      </c>
      <c r="N1057" s="1" t="s">
        <v>607</v>
      </c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0" t="n">
        <f aca="false">I1057+0</f>
        <v>235.7</v>
      </c>
      <c r="AB1057" s="0" t="n">
        <f aca="false">IF(Z1057&gt;360,Z1057-360,Z1057+0)</f>
        <v>235.7</v>
      </c>
      <c r="AC1057" s="1"/>
      <c r="AD1057" s="1"/>
      <c r="AE1057" s="1"/>
      <c r="AF1057" s="1"/>
    </row>
    <row r="1058" customFormat="false" ht="15.8" hidden="false" customHeight="false" outlineLevel="0" collapsed="false">
      <c r="A1058" s="1" t="n">
        <v>21</v>
      </c>
      <c r="B1058" s="1" t="n">
        <v>12</v>
      </c>
      <c r="C1058" s="1" t="n">
        <v>0.6</v>
      </c>
      <c r="D1058" s="1" t="n">
        <v>1.0234</v>
      </c>
      <c r="E1058" s="1" t="n">
        <v>0.0211399</v>
      </c>
      <c r="F1058" s="1" t="n">
        <v>5.75024E-005</v>
      </c>
      <c r="G1058" s="1" t="s">
        <v>52</v>
      </c>
      <c r="H1058" s="1" t="n">
        <v>1.8</v>
      </c>
      <c r="I1058" s="1" t="n">
        <v>103.5</v>
      </c>
      <c r="J1058" s="1" t="n">
        <v>0</v>
      </c>
      <c r="K1058" s="1" t="n">
        <v>128.2</v>
      </c>
      <c r="L1058" s="1" t="n">
        <v>0</v>
      </c>
      <c r="M1058" s="1" t="n">
        <v>0</v>
      </c>
      <c r="N1058" s="1" t="s">
        <v>608</v>
      </c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0" t="n">
        <f aca="false">I1058+0</f>
        <v>103.5</v>
      </c>
      <c r="AB1058" s="0" t="n">
        <f aca="false">IF(Z1058&gt;360,Z1058-360,Z1058+0)</f>
        <v>103.5</v>
      </c>
      <c r="AC1058" s="1"/>
      <c r="AD1058" s="1"/>
      <c r="AE1058" s="1"/>
      <c r="AF1058" s="1"/>
    </row>
    <row r="1059" customFormat="false" ht="15.8" hidden="false" customHeight="false" outlineLevel="0" collapsed="false">
      <c r="A1059" s="1" t="n">
        <v>21</v>
      </c>
      <c r="B1059" s="1" t="n">
        <v>12</v>
      </c>
      <c r="C1059" s="1" t="n">
        <v>1.2</v>
      </c>
      <c r="D1059" s="1" t="n">
        <v>1.0469</v>
      </c>
      <c r="E1059" s="1" t="n">
        <v>0.0395329</v>
      </c>
      <c r="F1059" s="1" t="n">
        <v>0.000107533</v>
      </c>
      <c r="G1059" s="1" t="s">
        <v>27</v>
      </c>
      <c r="H1059" s="1" t="n">
        <v>122.5</v>
      </c>
      <c r="I1059" s="1" t="n">
        <v>342.8</v>
      </c>
      <c r="J1059" s="1" t="n">
        <v>0</v>
      </c>
      <c r="K1059" s="1"/>
      <c r="L1059" s="1" t="n">
        <v>0</v>
      </c>
      <c r="M1059" s="1" t="n">
        <v>0</v>
      </c>
      <c r="N1059" s="1" t="s">
        <v>608</v>
      </c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0" t="n">
        <f aca="false">I1059+0</f>
        <v>342.8</v>
      </c>
      <c r="AB1059" s="0" t="n">
        <f aca="false">IF(Z1059&gt;360,Z1059-360,Z1059+0)</f>
        <v>342.8</v>
      </c>
      <c r="AC1059" s="1"/>
      <c r="AD1059" s="1"/>
      <c r="AE1059" s="1"/>
      <c r="AF1059" s="1"/>
    </row>
    <row r="1060" customFormat="false" ht="15.8" hidden="false" customHeight="false" outlineLevel="0" collapsed="false">
      <c r="A1060" s="1" t="n">
        <v>21</v>
      </c>
      <c r="B1060" s="1" t="n">
        <v>11</v>
      </c>
      <c r="C1060" s="1" t="n">
        <v>1.7</v>
      </c>
      <c r="D1060" s="1" t="n">
        <v>1.0408</v>
      </c>
      <c r="E1060" s="1" t="n">
        <v>0.0585941</v>
      </c>
      <c r="F1060" s="1" t="n">
        <v>0.000159381</v>
      </c>
      <c r="G1060" s="1" t="s">
        <v>52</v>
      </c>
      <c r="H1060" s="1" t="n">
        <v>31.4</v>
      </c>
      <c r="I1060" s="1" t="n">
        <v>105.3</v>
      </c>
      <c r="J1060" s="1" t="n">
        <v>0</v>
      </c>
      <c r="K1060" s="1" t="n">
        <v>122.5</v>
      </c>
      <c r="L1060" s="1" t="n">
        <v>0</v>
      </c>
      <c r="M1060" s="1" t="n">
        <v>0</v>
      </c>
      <c r="N1060" s="1" t="s">
        <v>579</v>
      </c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0" t="n">
        <f aca="false">I1060+0</f>
        <v>105.3</v>
      </c>
      <c r="AB1060" s="0" t="n">
        <f aca="false">IF(Z1060&gt;360,Z1060-360,Z1060+0)</f>
        <v>105.3</v>
      </c>
      <c r="AC1060" s="1"/>
      <c r="AD1060" s="1"/>
      <c r="AE1060" s="1"/>
      <c r="AF1060" s="1"/>
    </row>
    <row r="1061" customFormat="false" ht="15.8" hidden="false" customHeight="false" outlineLevel="0" collapsed="false">
      <c r="A1061" s="1" t="n">
        <v>21</v>
      </c>
      <c r="B1061" s="1" t="n">
        <v>10</v>
      </c>
      <c r="C1061" s="1" t="n">
        <v>2.3</v>
      </c>
      <c r="D1061" s="1" t="n">
        <v>1.5834</v>
      </c>
      <c r="E1061" s="1" t="n">
        <v>0.0779685</v>
      </c>
      <c r="F1061" s="1" t="n">
        <v>0.000212081</v>
      </c>
      <c r="G1061" s="1" t="s">
        <v>52</v>
      </c>
      <c r="H1061" s="1" t="n">
        <v>49.8</v>
      </c>
      <c r="I1061" s="1" t="n">
        <v>99.6</v>
      </c>
      <c r="J1061" s="1" t="n">
        <v>-30.9</v>
      </c>
      <c r="K1061" s="1" t="n">
        <v>96.6</v>
      </c>
      <c r="L1061" s="1" t="n">
        <v>0</v>
      </c>
      <c r="M1061" s="1" t="n">
        <v>0</v>
      </c>
      <c r="N1061" s="1" t="s">
        <v>576</v>
      </c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0" t="n">
        <f aca="false">I1061+0</f>
        <v>99.6</v>
      </c>
      <c r="AB1061" s="0" t="n">
        <f aca="false">IF(Z1061&gt;360,Z1061-360,Z1061+0)</f>
        <v>99.6</v>
      </c>
      <c r="AC1061" s="1"/>
      <c r="AD1061" s="1"/>
      <c r="AE1061" s="1"/>
      <c r="AF1061" s="1"/>
    </row>
    <row r="1062" customFormat="false" ht="15.8" hidden="false" customHeight="false" outlineLevel="0" collapsed="false">
      <c r="A1062" s="1" t="n">
        <v>21</v>
      </c>
      <c r="B1062" s="1" t="n">
        <v>17</v>
      </c>
      <c r="C1062" s="1" t="n">
        <v>5.7</v>
      </c>
      <c r="D1062" s="1" t="n">
        <v>2.7676</v>
      </c>
      <c r="E1062" s="1" t="n">
        <v>0.19472</v>
      </c>
      <c r="F1062" s="1" t="n">
        <v>0.000529656</v>
      </c>
      <c r="G1062" s="1" t="s">
        <v>27</v>
      </c>
      <c r="H1062" s="1" t="n">
        <v>79.1</v>
      </c>
      <c r="I1062" s="1" t="n">
        <v>291.9</v>
      </c>
      <c r="J1062" s="1" t="n">
        <v>-46</v>
      </c>
      <c r="K1062" s="1"/>
      <c r="L1062" s="1" t="n">
        <v>0</v>
      </c>
      <c r="M1062" s="1" t="n">
        <v>0</v>
      </c>
      <c r="N1062" s="1" t="s">
        <v>609</v>
      </c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0" t="n">
        <f aca="false">I1062+0</f>
        <v>291.9</v>
      </c>
      <c r="AB1062" s="0" t="n">
        <f aca="false">IF(Z1062&gt;360,Z1062-360,Z1062+0)</f>
        <v>291.9</v>
      </c>
      <c r="AC1062" s="1"/>
      <c r="AD1062" s="1"/>
      <c r="AE1062" s="1"/>
      <c r="AF1062" s="1"/>
    </row>
    <row r="1063" customFormat="false" ht="15.8" hidden="false" customHeight="false" outlineLevel="0" collapsed="false">
      <c r="A1063" s="1" t="n">
        <v>21</v>
      </c>
      <c r="B1063" s="1" t="n">
        <v>18</v>
      </c>
      <c r="C1063" s="1" t="n">
        <v>1.6</v>
      </c>
      <c r="D1063" s="1" t="n">
        <v>1.5309</v>
      </c>
      <c r="E1063" s="1" t="n">
        <v>0.0535629</v>
      </c>
      <c r="F1063" s="1" t="n">
        <v>0.000145696</v>
      </c>
      <c r="G1063" s="1" t="s">
        <v>27</v>
      </c>
      <c r="H1063" s="1" t="n">
        <v>51.1</v>
      </c>
      <c r="I1063" s="1" t="n">
        <v>194.3</v>
      </c>
      <c r="J1063" s="1" t="n">
        <v>46.3</v>
      </c>
      <c r="K1063" s="1"/>
      <c r="L1063" s="1" t="n">
        <v>0</v>
      </c>
      <c r="M1063" s="1" t="n">
        <v>0</v>
      </c>
      <c r="N1063" s="1" t="s">
        <v>610</v>
      </c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0" t="n">
        <f aca="false">I1063+0</f>
        <v>194.3</v>
      </c>
      <c r="AB1063" s="0" t="n">
        <f aca="false">IF(Z1063&gt;360,Z1063-360,Z1063+0)</f>
        <v>194.3</v>
      </c>
      <c r="AC1063" s="1"/>
      <c r="AD1063" s="1"/>
      <c r="AE1063" s="1"/>
      <c r="AF1063" s="1"/>
    </row>
    <row r="1064" customFormat="false" ht="15.8" hidden="false" customHeight="false" outlineLevel="0" collapsed="false">
      <c r="A1064" s="1" t="n">
        <v>21</v>
      </c>
      <c r="B1064" s="1" t="n">
        <v>18</v>
      </c>
      <c r="C1064" s="1" t="n">
        <v>0.5</v>
      </c>
      <c r="D1064" s="1" t="n">
        <v>1.006</v>
      </c>
      <c r="E1064" s="1" t="n">
        <v>0.0154894</v>
      </c>
      <c r="F1064" s="1" t="n">
        <v>4.21326E-005</v>
      </c>
      <c r="G1064" s="1" t="s">
        <v>27</v>
      </c>
      <c r="H1064" s="1" t="n">
        <v>63.2</v>
      </c>
      <c r="I1064" s="1" t="n">
        <v>232.9</v>
      </c>
      <c r="J1064" s="1" t="n">
        <v>0</v>
      </c>
      <c r="K1064" s="1"/>
      <c r="L1064" s="1" t="n">
        <v>0</v>
      </c>
      <c r="M1064" s="1" t="n">
        <v>0</v>
      </c>
      <c r="N1064" s="1" t="s">
        <v>610</v>
      </c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0" t="n">
        <f aca="false">I1064+0</f>
        <v>232.9</v>
      </c>
      <c r="AB1064" s="0" t="n">
        <f aca="false">IF(Z1064&gt;360,Z1064-360,Z1064+0)</f>
        <v>232.9</v>
      </c>
      <c r="AC1064" s="1"/>
      <c r="AD1064" s="1"/>
      <c r="AE1064" s="1"/>
      <c r="AF1064" s="1"/>
    </row>
    <row r="1065" customFormat="false" ht="15.8" hidden="false" customHeight="false" outlineLevel="0" collapsed="false">
      <c r="A1065" s="1" t="n">
        <v>21</v>
      </c>
      <c r="B1065" s="1" t="n">
        <v>17</v>
      </c>
      <c r="C1065" s="1" t="n">
        <v>1.4</v>
      </c>
      <c r="D1065" s="1" t="n">
        <v>1.0277</v>
      </c>
      <c r="E1065" s="1" t="n">
        <v>0.048954</v>
      </c>
      <c r="F1065" s="1" t="n">
        <v>0.000133159</v>
      </c>
      <c r="G1065" s="1" t="s">
        <v>52</v>
      </c>
      <c r="H1065" s="1" t="n">
        <v>33.5</v>
      </c>
      <c r="I1065" s="1" t="n">
        <v>169.7</v>
      </c>
      <c r="J1065" s="1" t="n">
        <v>0</v>
      </c>
      <c r="K1065" s="1" t="n">
        <v>63.2</v>
      </c>
      <c r="L1065" s="1" t="n">
        <v>0</v>
      </c>
      <c r="M1065" s="1" t="n">
        <v>0</v>
      </c>
      <c r="N1065" s="1" t="s">
        <v>609</v>
      </c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0" t="n">
        <f aca="false">I1065+0</f>
        <v>169.7</v>
      </c>
      <c r="AB1065" s="0" t="n">
        <f aca="false">IF(Z1065&gt;360,Z1065-360,Z1065+0)</f>
        <v>169.7</v>
      </c>
      <c r="AC1065" s="1"/>
      <c r="AD1065" s="1"/>
      <c r="AE1065" s="1"/>
      <c r="AF1065" s="1"/>
    </row>
    <row r="1066" customFormat="false" ht="15.8" hidden="false" customHeight="false" outlineLevel="0" collapsed="false">
      <c r="A1066" s="1" t="n">
        <v>21</v>
      </c>
      <c r="B1066" s="1" t="n">
        <v>16</v>
      </c>
      <c r="C1066" s="1" t="n">
        <v>7.3</v>
      </c>
      <c r="D1066" s="1" t="n">
        <v>1.4056</v>
      </c>
      <c r="E1066" s="1" t="n">
        <v>0.250567</v>
      </c>
      <c r="F1066" s="1" t="n">
        <v>0.000681563</v>
      </c>
      <c r="G1066" s="1" t="s">
        <v>52</v>
      </c>
      <c r="H1066" s="1" t="n">
        <v>51.3</v>
      </c>
      <c r="I1066" s="1" t="n">
        <v>185.7</v>
      </c>
      <c r="J1066" s="1" t="n">
        <v>-29.8</v>
      </c>
      <c r="K1066" s="1" t="n">
        <v>79.1</v>
      </c>
      <c r="L1066" s="1" t="n">
        <v>0</v>
      </c>
      <c r="M1066" s="1" t="n">
        <v>0</v>
      </c>
      <c r="N1066" s="1" t="s">
        <v>611</v>
      </c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0" t="n">
        <f aca="false">I1066+0</f>
        <v>185.7</v>
      </c>
      <c r="AB1066" s="0" t="n">
        <f aca="false">IF(Z1066&gt;360,Z1066-360,Z1066+0)</f>
        <v>185.7</v>
      </c>
      <c r="AC1066" s="1"/>
      <c r="AD1066" s="1"/>
      <c r="AE1066" s="1"/>
      <c r="AF1066" s="1"/>
    </row>
    <row r="1067" customFormat="false" ht="15.8" hidden="false" customHeight="false" outlineLevel="0" collapsed="false">
      <c r="A1067" s="1" t="n">
        <v>21</v>
      </c>
      <c r="B1067" s="1" t="n">
        <v>16</v>
      </c>
      <c r="C1067" s="1" t="n">
        <v>1.2</v>
      </c>
      <c r="D1067" s="1" t="n">
        <v>1.033</v>
      </c>
      <c r="E1067" s="1" t="n">
        <v>0.0409605</v>
      </c>
      <c r="F1067" s="1" t="n">
        <v>0.000111416</v>
      </c>
      <c r="G1067" s="1" t="s">
        <v>27</v>
      </c>
      <c r="H1067" s="1" t="n">
        <v>61.5</v>
      </c>
      <c r="I1067" s="1" t="n">
        <v>203.2</v>
      </c>
      <c r="J1067" s="1" t="n">
        <v>0</v>
      </c>
      <c r="K1067" s="1"/>
      <c r="L1067" s="1" t="n">
        <v>0</v>
      </c>
      <c r="M1067" s="1" t="n">
        <v>0</v>
      </c>
      <c r="N1067" s="1" t="s">
        <v>611</v>
      </c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0" t="n">
        <f aca="false">I1067+0</f>
        <v>203.2</v>
      </c>
      <c r="AB1067" s="0" t="n">
        <f aca="false">IF(Z1067&gt;360,Z1067-360,Z1067+0)</f>
        <v>203.2</v>
      </c>
      <c r="AC1067" s="1"/>
      <c r="AD1067" s="1"/>
      <c r="AE1067" s="1"/>
      <c r="AF1067" s="1"/>
    </row>
    <row r="1068" customFormat="false" ht="15.8" hidden="false" customHeight="false" outlineLevel="0" collapsed="false">
      <c r="A1068" s="1" t="n">
        <v>21</v>
      </c>
      <c r="B1068" s="1" t="n">
        <v>15</v>
      </c>
      <c r="C1068" s="1" t="n">
        <v>0.7</v>
      </c>
      <c r="D1068" s="1" t="n">
        <v>1.011</v>
      </c>
      <c r="E1068" s="1" t="n">
        <v>0.0248982</v>
      </c>
      <c r="F1068" s="1" t="n">
        <v>6.77254E-005</v>
      </c>
      <c r="G1068" s="1" t="s">
        <v>52</v>
      </c>
      <c r="H1068" s="1" t="n">
        <v>93.3</v>
      </c>
      <c r="I1068" s="1" t="n">
        <v>141.7</v>
      </c>
      <c r="J1068" s="1" t="n">
        <v>0</v>
      </c>
      <c r="K1068" s="1" t="n">
        <v>61.5</v>
      </c>
      <c r="L1068" s="1" t="n">
        <v>0</v>
      </c>
      <c r="M1068" s="1" t="n">
        <v>0</v>
      </c>
      <c r="N1068" s="1" t="s">
        <v>612</v>
      </c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0" t="n">
        <f aca="false">I1068+0</f>
        <v>141.7</v>
      </c>
      <c r="AB1068" s="0" t="n">
        <f aca="false">IF(Z1068&gt;360,Z1068-360,Z1068+0)</f>
        <v>141.7</v>
      </c>
      <c r="AC1068" s="1"/>
      <c r="AD1068" s="1"/>
      <c r="AE1068" s="1"/>
      <c r="AF1068" s="1"/>
    </row>
    <row r="1069" customFormat="false" ht="15.8" hidden="false" customHeight="false" outlineLevel="0" collapsed="false">
      <c r="A1069" s="1" t="n">
        <v>21</v>
      </c>
      <c r="B1069" s="1" t="n">
        <v>19</v>
      </c>
      <c r="C1069" s="1" t="n">
        <v>0.8</v>
      </c>
      <c r="D1069" s="1" t="n">
        <v>1.016</v>
      </c>
      <c r="E1069" s="1" t="n">
        <v>0.0262468</v>
      </c>
      <c r="F1069" s="1" t="n">
        <v>7.13937E-005</v>
      </c>
      <c r="G1069" s="1" t="s">
        <v>27</v>
      </c>
      <c r="H1069" s="1" t="n">
        <v>24.5</v>
      </c>
      <c r="I1069" s="1" t="n">
        <v>22.9</v>
      </c>
      <c r="J1069" s="1" t="n">
        <v>0</v>
      </c>
      <c r="K1069" s="1"/>
      <c r="L1069" s="1" t="n">
        <v>0</v>
      </c>
      <c r="M1069" s="1" t="n">
        <v>0</v>
      </c>
      <c r="N1069" s="1" t="s">
        <v>613</v>
      </c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0" t="n">
        <f aca="false">I1069+0</f>
        <v>22.9</v>
      </c>
      <c r="AB1069" s="0" t="n">
        <f aca="false">IF(Z1069&gt;360,Z1069-360,Z1069+0)</f>
        <v>22.9</v>
      </c>
      <c r="AC1069" s="1"/>
      <c r="AD1069" s="1"/>
      <c r="AE1069" s="1"/>
      <c r="AF1069" s="1"/>
    </row>
    <row r="1070" customFormat="false" ht="15.8" hidden="false" customHeight="false" outlineLevel="0" collapsed="false">
      <c r="A1070" s="1" t="n">
        <v>21</v>
      </c>
      <c r="B1070" s="1" t="n">
        <v>19</v>
      </c>
      <c r="C1070" s="1" t="n">
        <v>0.7</v>
      </c>
      <c r="D1070" s="1" t="n">
        <v>1.1972</v>
      </c>
      <c r="E1070" s="1" t="n">
        <v>0.0230769</v>
      </c>
      <c r="F1070" s="1" t="n">
        <v>6.27711E-005</v>
      </c>
      <c r="G1070" s="1" t="s">
        <v>27</v>
      </c>
      <c r="H1070" s="1" t="n">
        <v>119.1</v>
      </c>
      <c r="I1070" s="1" t="n">
        <v>122.5</v>
      </c>
      <c r="J1070" s="1" t="n">
        <v>-41</v>
      </c>
      <c r="K1070" s="1"/>
      <c r="L1070" s="1" t="n">
        <v>0</v>
      </c>
      <c r="M1070" s="1" t="n">
        <v>0</v>
      </c>
      <c r="N1070" s="1" t="s">
        <v>613</v>
      </c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0" t="n">
        <f aca="false">I1070+0</f>
        <v>122.5</v>
      </c>
      <c r="AB1070" s="0" t="n">
        <f aca="false">IF(Z1070&gt;360,Z1070-360,Z1070+0)</f>
        <v>122.5</v>
      </c>
      <c r="AC1070" s="1"/>
      <c r="AD1070" s="1"/>
      <c r="AE1070" s="1"/>
      <c r="AF1070" s="1"/>
    </row>
    <row r="1071" customFormat="false" ht="15.8" hidden="false" customHeight="false" outlineLevel="0" collapsed="false">
      <c r="A1071" s="1" t="n">
        <v>21</v>
      </c>
      <c r="B1071" s="1" t="n">
        <v>18</v>
      </c>
      <c r="C1071" s="1" t="n">
        <v>1.4</v>
      </c>
      <c r="D1071" s="1" t="n">
        <v>1.4852</v>
      </c>
      <c r="E1071" s="1" t="n">
        <v>0.0495319</v>
      </c>
      <c r="F1071" s="1" t="n">
        <v>0.000134731</v>
      </c>
      <c r="G1071" s="1" t="s">
        <v>52</v>
      </c>
      <c r="H1071" s="1" t="n">
        <v>23.8</v>
      </c>
      <c r="I1071" s="1" t="n">
        <v>12.5</v>
      </c>
      <c r="J1071" s="1" t="n">
        <v>22.3</v>
      </c>
      <c r="K1071" s="1" t="n">
        <v>119.1</v>
      </c>
      <c r="L1071" s="1" t="n">
        <v>0</v>
      </c>
      <c r="M1071" s="1" t="n">
        <v>0</v>
      </c>
      <c r="N1071" s="1" t="s">
        <v>614</v>
      </c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0" t="n">
        <f aca="false">I1071+0</f>
        <v>12.5</v>
      </c>
      <c r="AB1071" s="0" t="n">
        <f aca="false">IF(Z1071&gt;360,Z1071-360,Z1071+0)</f>
        <v>12.5</v>
      </c>
      <c r="AC1071" s="1"/>
      <c r="AD1071" s="1"/>
      <c r="AE1071" s="1"/>
      <c r="AF1071" s="1"/>
    </row>
    <row r="1072" customFormat="false" ht="15.8" hidden="false" customHeight="false" outlineLevel="0" collapsed="false">
      <c r="A1072" s="1" t="n">
        <v>21</v>
      </c>
      <c r="B1072" s="1" t="n">
        <v>18</v>
      </c>
      <c r="C1072" s="1" t="n">
        <v>0.6</v>
      </c>
      <c r="D1072" s="1" t="n">
        <v>1.1059</v>
      </c>
      <c r="E1072" s="1" t="n">
        <v>0.0216087</v>
      </c>
      <c r="F1072" s="1" t="n">
        <v>5.87775E-005</v>
      </c>
      <c r="G1072" s="1" t="s">
        <v>27</v>
      </c>
      <c r="H1072" s="1" t="n">
        <v>84.8</v>
      </c>
      <c r="I1072" s="1" t="n">
        <v>87.1</v>
      </c>
      <c r="J1072" s="1" t="n">
        <v>-40.3</v>
      </c>
      <c r="K1072" s="1"/>
      <c r="L1072" s="1" t="n">
        <v>0</v>
      </c>
      <c r="M1072" s="1" t="n">
        <v>0</v>
      </c>
      <c r="N1072" s="1" t="s">
        <v>614</v>
      </c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0" t="n">
        <f aca="false">I1072+0</f>
        <v>87.1</v>
      </c>
      <c r="AB1072" s="0" t="n">
        <f aca="false">IF(Z1072&gt;360,Z1072-360,Z1072+0)</f>
        <v>87.1</v>
      </c>
      <c r="AC1072" s="1"/>
      <c r="AD1072" s="1"/>
      <c r="AE1072" s="1"/>
      <c r="AF1072" s="1"/>
    </row>
    <row r="1073" customFormat="false" ht="15.8" hidden="false" customHeight="false" outlineLevel="0" collapsed="false">
      <c r="A1073" s="1" t="n">
        <v>21</v>
      </c>
      <c r="B1073" s="1" t="n">
        <v>17</v>
      </c>
      <c r="C1073" s="1" t="n">
        <v>0.5</v>
      </c>
      <c r="D1073" s="1" t="n">
        <v>1.041</v>
      </c>
      <c r="E1073" s="1" t="n">
        <v>0.0166882</v>
      </c>
      <c r="F1073" s="1" t="n">
        <v>4.53934E-005</v>
      </c>
      <c r="G1073" s="1" t="s">
        <v>52</v>
      </c>
      <c r="H1073" s="1" t="n">
        <v>58.4</v>
      </c>
      <c r="I1073" s="1" t="n">
        <v>4</v>
      </c>
      <c r="J1073" s="1" t="n">
        <v>0</v>
      </c>
      <c r="K1073" s="1" t="n">
        <v>84.8</v>
      </c>
      <c r="L1073" s="1" t="n">
        <v>0</v>
      </c>
      <c r="M1073" s="1" t="n">
        <v>0</v>
      </c>
      <c r="N1073" s="1" t="s">
        <v>615</v>
      </c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0" t="n">
        <f aca="false">I1073+0</f>
        <v>4</v>
      </c>
      <c r="AB1073" s="0" t="n">
        <f aca="false">IF(Z1073&gt;360,Z1073-360,Z1073+0)</f>
        <v>4</v>
      </c>
      <c r="AC1073" s="1"/>
      <c r="AD1073" s="1"/>
      <c r="AE1073" s="1"/>
      <c r="AF1073" s="1"/>
    </row>
    <row r="1074" customFormat="false" ht="15.8" hidden="false" customHeight="false" outlineLevel="0" collapsed="false">
      <c r="A1074" s="1" t="n">
        <v>21</v>
      </c>
      <c r="B1074" s="1" t="n">
        <v>17</v>
      </c>
      <c r="C1074" s="1" t="n">
        <v>1.1</v>
      </c>
      <c r="D1074" s="1" t="n">
        <v>2.3095</v>
      </c>
      <c r="E1074" s="1" t="n">
        <v>0.0380794</v>
      </c>
      <c r="F1074" s="1" t="n">
        <v>0.000103579</v>
      </c>
      <c r="G1074" s="1" t="s">
        <v>27</v>
      </c>
      <c r="H1074" s="1" t="n">
        <v>11.7</v>
      </c>
      <c r="I1074" s="1" t="n">
        <v>10.1</v>
      </c>
      <c r="J1074" s="1" t="n">
        <v>-50.1</v>
      </c>
      <c r="K1074" s="1"/>
      <c r="L1074" s="1" t="n">
        <v>0</v>
      </c>
      <c r="M1074" s="1" t="n">
        <v>0</v>
      </c>
      <c r="N1074" s="1" t="s">
        <v>615</v>
      </c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0" t="n">
        <f aca="false">I1074+0</f>
        <v>10.1</v>
      </c>
      <c r="AB1074" s="0" t="n">
        <f aca="false">IF(Z1074&gt;360,Z1074-360,Z1074+0)</f>
        <v>10.1</v>
      </c>
      <c r="AC1074" s="1"/>
      <c r="AD1074" s="1"/>
      <c r="AE1074" s="1"/>
      <c r="AF1074" s="1"/>
    </row>
    <row r="1075" customFormat="false" ht="15.8" hidden="false" customHeight="false" outlineLevel="0" collapsed="false">
      <c r="A1075" s="1" t="n">
        <v>21</v>
      </c>
      <c r="B1075" s="1" t="n">
        <v>16</v>
      </c>
      <c r="C1075" s="1" t="n">
        <v>0.5</v>
      </c>
      <c r="D1075" s="1" t="n">
        <v>1</v>
      </c>
      <c r="E1075" s="1" t="n">
        <v>0.0154171</v>
      </c>
      <c r="F1075" s="1" t="n">
        <v>4.19359E-005</v>
      </c>
      <c r="G1075" s="1" t="s">
        <v>52</v>
      </c>
      <c r="H1075" s="1" t="n">
        <v>97.5</v>
      </c>
      <c r="I1075" s="1" t="n">
        <v>27.6</v>
      </c>
      <c r="J1075" s="1" t="n">
        <v>-55.1</v>
      </c>
      <c r="K1075" s="1" t="n">
        <v>58.4</v>
      </c>
      <c r="L1075" s="1" t="n">
        <v>0</v>
      </c>
      <c r="M1075" s="1" t="n">
        <v>0</v>
      </c>
      <c r="N1075" s="1" t="s">
        <v>616</v>
      </c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0" t="n">
        <f aca="false">I1075+0</f>
        <v>27.6</v>
      </c>
      <c r="AB1075" s="0" t="n">
        <f aca="false">IF(Z1075&gt;360,Z1075-360,Z1075+0)</f>
        <v>27.6</v>
      </c>
      <c r="AC1075" s="1"/>
      <c r="AD1075" s="1"/>
      <c r="AE1075" s="1"/>
      <c r="AF1075" s="1"/>
    </row>
    <row r="1076" customFormat="false" ht="15.8" hidden="false" customHeight="false" outlineLevel="0" collapsed="false">
      <c r="A1076" s="1" t="n">
        <v>21</v>
      </c>
      <c r="B1076" s="1" t="n">
        <v>17</v>
      </c>
      <c r="C1076" s="1" t="n">
        <v>5.5</v>
      </c>
      <c r="D1076" s="1" t="n">
        <v>1.262</v>
      </c>
      <c r="E1076" s="1" t="n">
        <v>0.188167</v>
      </c>
      <c r="F1076" s="1" t="n">
        <v>0.00051183</v>
      </c>
      <c r="G1076" s="1" t="s">
        <v>27</v>
      </c>
      <c r="H1076" s="1" t="n">
        <v>7.5</v>
      </c>
      <c r="I1076" s="1" t="n">
        <v>197</v>
      </c>
      <c r="J1076" s="1" t="n">
        <v>-30.6</v>
      </c>
      <c r="K1076" s="1"/>
      <c r="L1076" s="1" t="n">
        <v>0</v>
      </c>
      <c r="M1076" s="1" t="n">
        <v>0</v>
      </c>
      <c r="N1076" s="1" t="s">
        <v>617</v>
      </c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0" t="n">
        <f aca="false">I1076+0</f>
        <v>197</v>
      </c>
      <c r="AB1076" s="0" t="n">
        <f aca="false">IF(Z1076&gt;360,Z1076-360,Z1076+0)</f>
        <v>197</v>
      </c>
      <c r="AC1076" s="1"/>
      <c r="AD1076" s="1"/>
      <c r="AE1076" s="1"/>
      <c r="AF1076" s="1"/>
    </row>
    <row r="1077" customFormat="false" ht="15.8" hidden="false" customHeight="false" outlineLevel="0" collapsed="false">
      <c r="A1077" s="1" t="n">
        <v>21</v>
      </c>
      <c r="B1077" s="1" t="n">
        <v>17</v>
      </c>
      <c r="C1077" s="1" t="n">
        <v>0.6</v>
      </c>
      <c r="D1077" s="1" t="n">
        <v>1.0049</v>
      </c>
      <c r="E1077" s="1" t="n">
        <v>0.0213548</v>
      </c>
      <c r="F1077" s="1" t="n">
        <v>5.8087E-005</v>
      </c>
      <c r="G1077" s="1" t="s">
        <v>27</v>
      </c>
      <c r="H1077" s="1" t="n">
        <v>100.5</v>
      </c>
      <c r="I1077" s="1" t="n">
        <v>86</v>
      </c>
      <c r="J1077" s="1" t="n">
        <v>0</v>
      </c>
      <c r="K1077" s="1"/>
      <c r="L1077" s="1" t="n">
        <v>0</v>
      </c>
      <c r="M1077" s="1" t="n">
        <v>0</v>
      </c>
      <c r="N1077" s="1" t="s">
        <v>617</v>
      </c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0" t="n">
        <f aca="false">I1077+0</f>
        <v>86</v>
      </c>
      <c r="AB1077" s="0" t="n">
        <f aca="false">IF(Z1077&gt;360,Z1077-360,Z1077+0)</f>
        <v>86</v>
      </c>
      <c r="AC1077" s="1"/>
      <c r="AD1077" s="1"/>
      <c r="AE1077" s="1"/>
      <c r="AF1077" s="1"/>
    </row>
    <row r="1078" customFormat="false" ht="15.8" hidden="false" customHeight="false" outlineLevel="0" collapsed="false">
      <c r="A1078" s="1" t="n">
        <v>21</v>
      </c>
      <c r="B1078" s="1" t="n">
        <v>16</v>
      </c>
      <c r="C1078" s="1" t="n">
        <v>1.9</v>
      </c>
      <c r="D1078" s="1" t="n">
        <v>1.3208</v>
      </c>
      <c r="E1078" s="1" t="n">
        <v>0.0636005</v>
      </c>
      <c r="F1078" s="1" t="n">
        <v>0.000172999</v>
      </c>
      <c r="G1078" s="1" t="s">
        <v>52</v>
      </c>
      <c r="H1078" s="1" t="n">
        <v>95.3</v>
      </c>
      <c r="I1078" s="1" t="n">
        <v>188.4</v>
      </c>
      <c r="J1078" s="1" t="n">
        <v>-31.7</v>
      </c>
      <c r="K1078" s="1" t="n">
        <v>100.5</v>
      </c>
      <c r="L1078" s="1" t="n">
        <v>0</v>
      </c>
      <c r="M1078" s="1" t="n">
        <v>0</v>
      </c>
      <c r="N1078" s="1" t="s">
        <v>616</v>
      </c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0" t="n">
        <f aca="false">I1078+0</f>
        <v>188.4</v>
      </c>
      <c r="AB1078" s="0" t="n">
        <f aca="false">IF(Z1078&gt;360,Z1078-360,Z1078+0)</f>
        <v>188.4</v>
      </c>
      <c r="AC1078" s="1"/>
      <c r="AD1078" s="1"/>
      <c r="AE1078" s="1"/>
      <c r="AF1078" s="1"/>
    </row>
    <row r="1079" customFormat="false" ht="15.8" hidden="false" customHeight="false" outlineLevel="0" collapsed="false">
      <c r="A1079" s="1" t="n">
        <v>21</v>
      </c>
      <c r="B1079" s="1" t="n">
        <v>15</v>
      </c>
      <c r="C1079" s="1" t="n">
        <v>1.1</v>
      </c>
      <c r="D1079" s="1" t="n">
        <v>1.1667</v>
      </c>
      <c r="E1079" s="1" t="n">
        <v>0.0363091</v>
      </c>
      <c r="F1079" s="1" t="n">
        <v>9.8764E-005</v>
      </c>
      <c r="G1079" s="1" t="s">
        <v>52</v>
      </c>
      <c r="H1079" s="1" t="n">
        <v>49.5</v>
      </c>
      <c r="I1079" s="1" t="n">
        <v>284.5</v>
      </c>
      <c r="J1079" s="1" t="n">
        <v>0</v>
      </c>
      <c r="K1079" s="1" t="n">
        <v>97.5</v>
      </c>
      <c r="L1079" s="1" t="n">
        <v>0</v>
      </c>
      <c r="M1079" s="1" t="n">
        <v>0</v>
      </c>
      <c r="N1079" s="1" t="s">
        <v>612</v>
      </c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0" t="n">
        <f aca="false">I1079+0</f>
        <v>284.5</v>
      </c>
      <c r="AB1079" s="0" t="n">
        <f aca="false">IF(Z1079&gt;360,Z1079-360,Z1079+0)</f>
        <v>284.5</v>
      </c>
      <c r="AC1079" s="1"/>
      <c r="AD1079" s="1"/>
      <c r="AE1079" s="1"/>
      <c r="AF1079" s="1"/>
    </row>
    <row r="1080" customFormat="false" ht="15.8" hidden="false" customHeight="false" outlineLevel="0" collapsed="false">
      <c r="A1080" s="1" t="n">
        <v>21</v>
      </c>
      <c r="B1080" s="1" t="n">
        <v>14</v>
      </c>
      <c r="C1080" s="1" t="n">
        <v>0.7</v>
      </c>
      <c r="D1080" s="1" t="n">
        <v>1.0808</v>
      </c>
      <c r="E1080" s="1" t="n">
        <v>0.0245319</v>
      </c>
      <c r="F1080" s="1" t="n">
        <v>6.67288E-005</v>
      </c>
      <c r="G1080" s="1" t="s">
        <v>52</v>
      </c>
      <c r="H1080" s="1" t="n">
        <v>6.4</v>
      </c>
      <c r="I1080" s="1" t="n">
        <v>235</v>
      </c>
      <c r="J1080" s="1" t="n">
        <v>0</v>
      </c>
      <c r="K1080" s="1" t="n">
        <v>93.3</v>
      </c>
      <c r="L1080" s="1" t="n">
        <v>0</v>
      </c>
      <c r="M1080" s="1" t="n">
        <v>0</v>
      </c>
      <c r="N1080" s="1" t="s">
        <v>618</v>
      </c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0" t="n">
        <f aca="false">I1080+0</f>
        <v>235</v>
      </c>
      <c r="AB1080" s="0" t="n">
        <f aca="false">IF(Z1080&gt;360,Z1080-360,Z1080+0)</f>
        <v>235</v>
      </c>
      <c r="AC1080" s="1"/>
      <c r="AD1080" s="1"/>
      <c r="AE1080" s="1"/>
      <c r="AF1080" s="1"/>
    </row>
    <row r="1081" customFormat="false" ht="15.8" hidden="false" customHeight="false" outlineLevel="0" collapsed="false">
      <c r="A1081" s="1" t="n">
        <v>21</v>
      </c>
      <c r="B1081" s="1" t="n">
        <v>14</v>
      </c>
      <c r="C1081" s="1" t="n">
        <v>0.7</v>
      </c>
      <c r="D1081" s="1" t="n">
        <v>1.03</v>
      </c>
      <c r="E1081" s="1" t="n">
        <v>0.0224837</v>
      </c>
      <c r="F1081" s="1" t="n">
        <v>6.11576E-005</v>
      </c>
      <c r="G1081" s="1" t="s">
        <v>27</v>
      </c>
      <c r="H1081" s="1" t="n">
        <v>94.3</v>
      </c>
      <c r="I1081" s="1" t="n">
        <v>134.3</v>
      </c>
      <c r="J1081" s="1" t="n">
        <v>0</v>
      </c>
      <c r="K1081" s="1"/>
      <c r="L1081" s="1" t="n">
        <v>0</v>
      </c>
      <c r="M1081" s="1" t="n">
        <v>0</v>
      </c>
      <c r="N1081" s="1" t="s">
        <v>618</v>
      </c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0" t="n">
        <f aca="false">I1081+0</f>
        <v>134.3</v>
      </c>
      <c r="AB1081" s="0" t="n">
        <f aca="false">IF(Z1081&gt;360,Z1081-360,Z1081+0)</f>
        <v>134.3</v>
      </c>
      <c r="AC1081" s="1"/>
      <c r="AD1081" s="1"/>
      <c r="AE1081" s="1"/>
      <c r="AF1081" s="1"/>
    </row>
    <row r="1082" customFormat="false" ht="15.8" hidden="false" customHeight="false" outlineLevel="0" collapsed="false">
      <c r="A1082" s="1" t="n">
        <v>21</v>
      </c>
      <c r="B1082" s="1" t="n">
        <v>13</v>
      </c>
      <c r="C1082" s="1" t="n">
        <v>0.5</v>
      </c>
      <c r="D1082" s="1" t="n">
        <v>1.0321</v>
      </c>
      <c r="E1082" s="1" t="n">
        <v>0.0174047</v>
      </c>
      <c r="F1082" s="1" t="n">
        <v>4.73423E-005</v>
      </c>
      <c r="G1082" s="1" t="s">
        <v>52</v>
      </c>
      <c r="H1082" s="1" t="n">
        <v>27.2</v>
      </c>
      <c r="I1082" s="1" t="n">
        <v>228.6</v>
      </c>
      <c r="J1082" s="1" t="n">
        <v>0</v>
      </c>
      <c r="K1082" s="1" t="n">
        <v>94.3</v>
      </c>
      <c r="L1082" s="1" t="n">
        <v>0</v>
      </c>
      <c r="M1082" s="1" t="n">
        <v>0</v>
      </c>
      <c r="N1082" s="1" t="s">
        <v>619</v>
      </c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0" t="n">
        <f aca="false">I1082+0</f>
        <v>228.6</v>
      </c>
      <c r="AB1082" s="0" t="n">
        <f aca="false">IF(Z1082&gt;360,Z1082-360,Z1082+0)</f>
        <v>228.6</v>
      </c>
      <c r="AC1082" s="1"/>
      <c r="AD1082" s="1"/>
      <c r="AE1082" s="1"/>
      <c r="AF1082" s="1"/>
    </row>
    <row r="1083" customFormat="false" ht="15.8" hidden="false" customHeight="false" outlineLevel="0" collapsed="false">
      <c r="A1083" s="1" t="n">
        <v>21</v>
      </c>
      <c r="B1083" s="1" t="n">
        <v>13</v>
      </c>
      <c r="C1083" s="1" t="n">
        <v>2</v>
      </c>
      <c r="D1083" s="1" t="n">
        <v>1.1901</v>
      </c>
      <c r="E1083" s="1" t="n">
        <v>0.0692598</v>
      </c>
      <c r="F1083" s="1" t="n">
        <v>0.000188393</v>
      </c>
      <c r="G1083" s="1" t="s">
        <v>27</v>
      </c>
      <c r="H1083" s="1" t="n">
        <v>120.7</v>
      </c>
      <c r="I1083" s="1" t="n">
        <v>81.3</v>
      </c>
      <c r="J1083" s="1" t="n">
        <v>-12.6</v>
      </c>
      <c r="K1083" s="1"/>
      <c r="L1083" s="1" t="n">
        <v>0</v>
      </c>
      <c r="M1083" s="1" t="n">
        <v>0</v>
      </c>
      <c r="N1083" s="1" t="s">
        <v>619</v>
      </c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0" t="n">
        <f aca="false">I1083+0</f>
        <v>81.3</v>
      </c>
      <c r="AB1083" s="0" t="n">
        <f aca="false">IF(Z1083&gt;360,Z1083-360,Z1083+0)</f>
        <v>81.3</v>
      </c>
      <c r="AC1083" s="1"/>
      <c r="AD1083" s="1"/>
      <c r="AE1083" s="1"/>
      <c r="AF1083" s="1"/>
    </row>
    <row r="1084" customFormat="false" ht="15.8" hidden="false" customHeight="false" outlineLevel="0" collapsed="false">
      <c r="A1084" s="1" t="n">
        <v>21</v>
      </c>
      <c r="B1084" s="1" t="n">
        <v>12</v>
      </c>
      <c r="C1084" s="1" t="n">
        <v>3.9</v>
      </c>
      <c r="D1084" s="1" t="n">
        <v>1.327</v>
      </c>
      <c r="E1084" s="1" t="n">
        <v>0.134014</v>
      </c>
      <c r="F1084" s="1" t="n">
        <v>0.00036453</v>
      </c>
      <c r="G1084" s="1" t="s">
        <v>52</v>
      </c>
      <c r="H1084" s="1" t="n">
        <v>76.3</v>
      </c>
      <c r="I1084" s="1" t="n">
        <v>212.2</v>
      </c>
      <c r="J1084" s="1" t="n">
        <v>-22.1</v>
      </c>
      <c r="K1084" s="1" t="n">
        <v>120.7</v>
      </c>
      <c r="L1084" s="1" t="n">
        <v>0</v>
      </c>
      <c r="M1084" s="1" t="n">
        <v>0</v>
      </c>
      <c r="N1084" s="1" t="s">
        <v>620</v>
      </c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0" t="n">
        <f aca="false">I1084+0</f>
        <v>212.2</v>
      </c>
      <c r="AB1084" s="0" t="n">
        <f aca="false">IF(Z1084&gt;360,Z1084-360,Z1084+0)</f>
        <v>212.2</v>
      </c>
      <c r="AC1084" s="1"/>
      <c r="AD1084" s="1"/>
      <c r="AE1084" s="1"/>
      <c r="AF1084" s="1"/>
    </row>
    <row r="1085" customFormat="false" ht="15.8" hidden="false" customHeight="false" outlineLevel="0" collapsed="false">
      <c r="A1085" s="1" t="n">
        <v>21</v>
      </c>
      <c r="B1085" s="1" t="n">
        <v>12</v>
      </c>
      <c r="C1085" s="1" t="n">
        <v>1.3</v>
      </c>
      <c r="D1085" s="1" t="n">
        <v>1.1218</v>
      </c>
      <c r="E1085" s="1" t="n">
        <v>0.0439985</v>
      </c>
      <c r="F1085" s="1" t="n">
        <v>0.00011968</v>
      </c>
      <c r="G1085" s="1" t="s">
        <v>27</v>
      </c>
      <c r="H1085" s="1" t="n">
        <v>63.3</v>
      </c>
      <c r="I1085" s="1" t="n">
        <v>349</v>
      </c>
      <c r="J1085" s="1" t="n">
        <v>18.8</v>
      </c>
      <c r="K1085" s="1"/>
      <c r="L1085" s="1" t="n">
        <v>0</v>
      </c>
      <c r="M1085" s="1" t="n">
        <v>0</v>
      </c>
      <c r="N1085" s="1" t="s">
        <v>620</v>
      </c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0" t="n">
        <f aca="false">I1085+0</f>
        <v>349</v>
      </c>
      <c r="AB1085" s="0" t="n">
        <f aca="false">IF(Z1085&gt;360,Z1085-360,Z1085+0)</f>
        <v>349</v>
      </c>
      <c r="AC1085" s="1"/>
      <c r="AD1085" s="1"/>
      <c r="AE1085" s="1"/>
      <c r="AF1085" s="1"/>
    </row>
    <row r="1086" customFormat="false" ht="15.8" hidden="false" customHeight="false" outlineLevel="0" collapsed="false">
      <c r="A1086" s="1" t="n">
        <v>21</v>
      </c>
      <c r="B1086" s="1" t="n">
        <v>11</v>
      </c>
      <c r="C1086" s="1" t="n">
        <v>0.6</v>
      </c>
      <c r="D1086" s="1" t="n">
        <v>1.0301</v>
      </c>
      <c r="E1086" s="1" t="n">
        <v>0.0192666</v>
      </c>
      <c r="F1086" s="1" t="n">
        <v>5.2407E-005</v>
      </c>
      <c r="G1086" s="1" t="s">
        <v>52</v>
      </c>
      <c r="H1086" s="1" t="n">
        <v>23.8</v>
      </c>
      <c r="I1086" s="1" t="n">
        <v>287.4</v>
      </c>
      <c r="J1086" s="1" t="n">
        <v>0</v>
      </c>
      <c r="K1086" s="1" t="n">
        <v>76.3</v>
      </c>
      <c r="L1086" s="1" t="n">
        <v>0</v>
      </c>
      <c r="M1086" s="1" t="n">
        <v>0</v>
      </c>
      <c r="N1086" s="1" t="s">
        <v>621</v>
      </c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0" t="n">
        <f aca="false">I1086+0</f>
        <v>287.4</v>
      </c>
      <c r="AB1086" s="0" t="n">
        <f aca="false">IF(Z1086&gt;360,Z1086-360,Z1086+0)</f>
        <v>287.4</v>
      </c>
      <c r="AC1086" s="1"/>
      <c r="AD1086" s="1"/>
      <c r="AE1086" s="1"/>
      <c r="AF1086" s="1"/>
    </row>
    <row r="1087" customFormat="false" ht="15.8" hidden="false" customHeight="false" outlineLevel="0" collapsed="false">
      <c r="A1087" s="1" t="n">
        <v>21</v>
      </c>
      <c r="B1087" s="1" t="n">
        <v>11</v>
      </c>
      <c r="C1087" s="1" t="n">
        <v>1.7</v>
      </c>
      <c r="D1087" s="1" t="n">
        <v>2.1069</v>
      </c>
      <c r="E1087" s="1" t="n">
        <v>0.0582686</v>
      </c>
      <c r="F1087" s="1" t="n">
        <v>0.000158496</v>
      </c>
      <c r="G1087" s="1" t="s">
        <v>27</v>
      </c>
      <c r="H1087" s="1" t="n">
        <v>113.4</v>
      </c>
      <c r="I1087" s="1" t="n">
        <v>93.8</v>
      </c>
      <c r="J1087" s="1" t="n">
        <v>66.2</v>
      </c>
      <c r="K1087" s="1"/>
      <c r="L1087" s="1" t="n">
        <v>0</v>
      </c>
      <c r="M1087" s="1" t="n">
        <v>0</v>
      </c>
      <c r="N1087" s="1" t="s">
        <v>621</v>
      </c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0" t="n">
        <f aca="false">I1087+0</f>
        <v>93.8</v>
      </c>
      <c r="AB1087" s="0" t="n">
        <f aca="false">IF(Z1087&gt;360,Z1087-360,Z1087+0)</f>
        <v>93.8</v>
      </c>
      <c r="AC1087" s="1"/>
      <c r="AD1087" s="1"/>
      <c r="AE1087" s="1"/>
      <c r="AF1087" s="1"/>
    </row>
    <row r="1088" customFormat="false" ht="15.8" hidden="false" customHeight="false" outlineLevel="0" collapsed="false">
      <c r="A1088" s="1" t="n">
        <v>21</v>
      </c>
      <c r="B1088" s="1" t="n">
        <v>10</v>
      </c>
      <c r="C1088" s="1" t="n">
        <v>1.7</v>
      </c>
      <c r="D1088" s="1" t="n">
        <v>1.0003</v>
      </c>
      <c r="E1088" s="1" t="n">
        <v>0.056532</v>
      </c>
      <c r="F1088" s="1" t="n">
        <v>0.000153772</v>
      </c>
      <c r="G1088" s="1" t="s">
        <v>52</v>
      </c>
      <c r="H1088" s="1" t="n">
        <v>122.7</v>
      </c>
      <c r="I1088" s="1" t="n">
        <v>263.6</v>
      </c>
      <c r="J1088" s="1" t="n">
        <v>0</v>
      </c>
      <c r="K1088" s="1" t="n">
        <v>113.4</v>
      </c>
      <c r="L1088" s="1" t="n">
        <v>0</v>
      </c>
      <c r="M1088" s="1" t="n">
        <v>0</v>
      </c>
      <c r="N1088" s="1" t="s">
        <v>576</v>
      </c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0" t="n">
        <f aca="false">I1088+0</f>
        <v>263.6</v>
      </c>
      <c r="AB1088" s="0" t="n">
        <f aca="false">IF(Z1088&gt;360,Z1088-360,Z1088+0)</f>
        <v>263.6</v>
      </c>
      <c r="AC1088" s="1"/>
      <c r="AD1088" s="1"/>
      <c r="AE1088" s="1"/>
      <c r="AF1088" s="1"/>
    </row>
    <row r="1089" customFormat="false" ht="15.8" hidden="false" customHeight="false" outlineLevel="0" collapsed="false">
      <c r="A1089" s="1" t="n">
        <v>21</v>
      </c>
      <c r="B1089" s="1" t="n">
        <v>9</v>
      </c>
      <c r="C1089" s="1" t="n">
        <v>3.9</v>
      </c>
      <c r="D1089" s="1" t="n">
        <v>1.0357</v>
      </c>
      <c r="E1089" s="1" t="n">
        <v>0.134223</v>
      </c>
      <c r="F1089" s="1" t="n">
        <v>0.000365098</v>
      </c>
      <c r="G1089" s="1" t="s">
        <v>52</v>
      </c>
      <c r="H1089" s="1" t="n">
        <v>58.4</v>
      </c>
      <c r="I1089" s="1" t="n">
        <v>140.9</v>
      </c>
      <c r="J1089" s="1" t="n">
        <v>0</v>
      </c>
      <c r="K1089" s="1" t="n">
        <v>122.7</v>
      </c>
      <c r="L1089" s="1" t="n">
        <v>0</v>
      </c>
      <c r="M1089" s="1" t="n">
        <v>0</v>
      </c>
      <c r="N1089" s="1" t="s">
        <v>622</v>
      </c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0" t="n">
        <f aca="false">I1089+0</f>
        <v>140.9</v>
      </c>
      <c r="AB1089" s="0" t="n">
        <f aca="false">IF(Z1089&gt;360,Z1089-360,Z1089+0)</f>
        <v>140.9</v>
      </c>
      <c r="AC1089" s="1"/>
      <c r="AD1089" s="1"/>
      <c r="AE1089" s="1"/>
      <c r="AF1089" s="1"/>
    </row>
    <row r="1090" customFormat="false" ht="15.8" hidden="false" customHeight="false" outlineLevel="0" collapsed="false">
      <c r="A1090" s="1" t="n">
        <v>21</v>
      </c>
      <c r="B1090" s="1" t="n">
        <v>9</v>
      </c>
      <c r="C1090" s="1" t="n">
        <v>3.8</v>
      </c>
      <c r="D1090" s="1" t="n">
        <v>1.3565</v>
      </c>
      <c r="E1090" s="1" t="n">
        <v>0.129771</v>
      </c>
      <c r="F1090" s="1" t="n">
        <v>0.000352989</v>
      </c>
      <c r="G1090" s="1" t="s">
        <v>27</v>
      </c>
      <c r="H1090" s="1" t="n">
        <v>26.1</v>
      </c>
      <c r="I1090" s="1" t="n">
        <v>209.5</v>
      </c>
      <c r="J1090" s="1" t="n">
        <v>-15.3</v>
      </c>
      <c r="K1090" s="1"/>
      <c r="L1090" s="1" t="n">
        <v>0</v>
      </c>
      <c r="M1090" s="1" t="n">
        <v>0</v>
      </c>
      <c r="N1090" s="1" t="s">
        <v>622</v>
      </c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0" t="n">
        <f aca="false">I1090+0</f>
        <v>209.5</v>
      </c>
      <c r="AB1090" s="0" t="n">
        <f aca="false">IF(Z1090&gt;360,Z1090-360,Z1090+0)</f>
        <v>209.5</v>
      </c>
      <c r="AC1090" s="1"/>
      <c r="AD1090" s="1"/>
      <c r="AE1090" s="1"/>
      <c r="AF1090" s="1"/>
    </row>
    <row r="1091" customFormat="false" ht="15.8" hidden="false" customHeight="false" outlineLevel="0" collapsed="false">
      <c r="A1091" s="1" t="n">
        <v>21</v>
      </c>
      <c r="B1091" s="1" t="n">
        <v>11</v>
      </c>
      <c r="C1091" s="1" t="n">
        <v>1.1</v>
      </c>
      <c r="D1091" s="1" t="n">
        <v>1.1202</v>
      </c>
      <c r="E1091" s="1" t="n">
        <v>0.03877</v>
      </c>
      <c r="F1091" s="1" t="n">
        <v>0.000105458</v>
      </c>
      <c r="G1091" s="1" t="s">
        <v>27</v>
      </c>
      <c r="H1091" s="1" t="n">
        <v>34.7</v>
      </c>
      <c r="I1091" s="1" t="n">
        <v>118.2</v>
      </c>
      <c r="J1091" s="1" t="n">
        <v>0</v>
      </c>
      <c r="K1091" s="1"/>
      <c r="L1091" s="1" t="n">
        <v>0</v>
      </c>
      <c r="M1091" s="1" t="n">
        <v>0</v>
      </c>
      <c r="N1091" s="1" t="s">
        <v>623</v>
      </c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0" t="n">
        <f aca="false">I1091+0</f>
        <v>118.2</v>
      </c>
      <c r="AB1091" s="0" t="n">
        <f aca="false">IF(Z1091&gt;360,Z1091-360,Z1091+0)</f>
        <v>118.2</v>
      </c>
      <c r="AC1091" s="1"/>
      <c r="AD1091" s="1"/>
      <c r="AE1091" s="1"/>
      <c r="AF1091" s="1"/>
    </row>
    <row r="1092" customFormat="false" ht="15.8" hidden="false" customHeight="false" outlineLevel="0" collapsed="false">
      <c r="A1092" s="1" t="n">
        <v>21</v>
      </c>
      <c r="B1092" s="1" t="n">
        <v>11</v>
      </c>
      <c r="C1092" s="1" t="n">
        <v>3.2</v>
      </c>
      <c r="D1092" s="1" t="n">
        <v>1.3932</v>
      </c>
      <c r="E1092" s="1" t="n">
        <v>0.109769</v>
      </c>
      <c r="F1092" s="1" t="n">
        <v>0.000298581</v>
      </c>
      <c r="G1092" s="1" t="s">
        <v>27</v>
      </c>
      <c r="H1092" s="1" t="n">
        <v>28.7</v>
      </c>
      <c r="I1092" s="1" t="n">
        <v>140.1</v>
      </c>
      <c r="J1092" s="1" t="n">
        <v>53.4</v>
      </c>
      <c r="K1092" s="1"/>
      <c r="L1092" s="1" t="n">
        <v>0</v>
      </c>
      <c r="M1092" s="1" t="n">
        <v>0</v>
      </c>
      <c r="N1092" s="1" t="s">
        <v>623</v>
      </c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0" t="n">
        <f aca="false">I1092+0</f>
        <v>140.1</v>
      </c>
      <c r="AB1092" s="0" t="n">
        <f aca="false">IF(Z1092&gt;360,Z1092-360,Z1092+0)</f>
        <v>140.1</v>
      </c>
      <c r="AC1092" s="1"/>
      <c r="AD1092" s="1"/>
      <c r="AE1092" s="1"/>
      <c r="AF1092" s="1"/>
    </row>
    <row r="1093" customFormat="false" ht="15.8" hidden="false" customHeight="false" outlineLevel="0" collapsed="false">
      <c r="A1093" s="1" t="n">
        <v>21</v>
      </c>
      <c r="B1093" s="1" t="n">
        <v>10</v>
      </c>
      <c r="C1093" s="1" t="n">
        <v>3.2</v>
      </c>
      <c r="D1093" s="1" t="n">
        <v>1.2059</v>
      </c>
      <c r="E1093" s="1" t="n">
        <v>0.109397</v>
      </c>
      <c r="F1093" s="1" t="n">
        <v>0.00029757</v>
      </c>
      <c r="G1093" s="1" t="s">
        <v>52</v>
      </c>
      <c r="H1093" s="1" t="n">
        <v>27</v>
      </c>
      <c r="I1093" s="1" t="n">
        <v>110.2</v>
      </c>
      <c r="J1093" s="1" t="n">
        <v>33.9</v>
      </c>
      <c r="K1093" s="1" t="n">
        <v>34.7</v>
      </c>
      <c r="L1093" s="1" t="n">
        <v>0</v>
      </c>
      <c r="M1093" s="1" t="n">
        <v>0</v>
      </c>
      <c r="N1093" s="1" t="s">
        <v>624</v>
      </c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0" t="n">
        <f aca="false">I1093+0</f>
        <v>110.2</v>
      </c>
      <c r="AB1093" s="0" t="n">
        <f aca="false">IF(Z1093&gt;360,Z1093-360,Z1093+0)</f>
        <v>110.2</v>
      </c>
      <c r="AC1093" s="1"/>
      <c r="AD1093" s="1"/>
      <c r="AE1093" s="1"/>
      <c r="AF1093" s="1"/>
    </row>
    <row r="1094" customFormat="false" ht="15.8" hidden="false" customHeight="false" outlineLevel="0" collapsed="false">
      <c r="A1094" s="1" t="n">
        <v>21</v>
      </c>
      <c r="B1094" s="1" t="n">
        <v>12</v>
      </c>
      <c r="C1094" s="1" t="n">
        <v>2.8</v>
      </c>
      <c r="D1094" s="1" t="n">
        <v>1.585</v>
      </c>
      <c r="E1094" s="1" t="n">
        <v>0.0955778</v>
      </c>
      <c r="F1094" s="1" t="n">
        <v>0.00025998</v>
      </c>
      <c r="G1094" s="1" t="s">
        <v>27</v>
      </c>
      <c r="H1094" s="1" t="n">
        <v>47.8</v>
      </c>
      <c r="I1094" s="1" t="n">
        <v>38.6</v>
      </c>
      <c r="J1094" s="1" t="n">
        <v>57</v>
      </c>
      <c r="K1094" s="1"/>
      <c r="L1094" s="1" t="n">
        <v>0</v>
      </c>
      <c r="M1094" s="1" t="n">
        <v>0</v>
      </c>
      <c r="N1094" s="1" t="s">
        <v>625</v>
      </c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0" t="n">
        <f aca="false">I1094+0</f>
        <v>38.6</v>
      </c>
      <c r="AB1094" s="0" t="n">
        <f aca="false">IF(Z1094&gt;360,Z1094-360,Z1094+0)</f>
        <v>38.6</v>
      </c>
      <c r="AC1094" s="1"/>
      <c r="AD1094" s="1"/>
      <c r="AE1094" s="1"/>
      <c r="AF1094" s="1"/>
    </row>
    <row r="1095" customFormat="false" ht="15.8" hidden="false" customHeight="false" outlineLevel="0" collapsed="false">
      <c r="A1095" s="1" t="n">
        <v>21</v>
      </c>
      <c r="B1095" s="1" t="n">
        <v>12</v>
      </c>
      <c r="C1095" s="1" t="n">
        <v>0.5</v>
      </c>
      <c r="D1095" s="1" t="n">
        <v>1</v>
      </c>
      <c r="E1095" s="1" t="n">
        <v>0.0161958</v>
      </c>
      <c r="F1095" s="1" t="n">
        <v>4.40541E-005</v>
      </c>
      <c r="G1095" s="1" t="s">
        <v>27</v>
      </c>
      <c r="H1095" s="1" t="n">
        <v>68.9</v>
      </c>
      <c r="I1095" s="1" t="n">
        <v>306</v>
      </c>
      <c r="J1095" s="1" t="n">
        <v>51.3</v>
      </c>
      <c r="K1095" s="1"/>
      <c r="L1095" s="1" t="n">
        <v>0</v>
      </c>
      <c r="M1095" s="1" t="n">
        <v>0</v>
      </c>
      <c r="N1095" s="1" t="s">
        <v>625</v>
      </c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0" t="n">
        <f aca="false">I1095+0</f>
        <v>306</v>
      </c>
      <c r="AB1095" s="0" t="n">
        <f aca="false">IF(Z1095&gt;360,Z1095-360,Z1095+0)</f>
        <v>306</v>
      </c>
      <c r="AC1095" s="1"/>
      <c r="AD1095" s="1"/>
      <c r="AE1095" s="1"/>
      <c r="AF1095" s="1"/>
    </row>
    <row r="1096" customFormat="false" ht="15.8" hidden="false" customHeight="false" outlineLevel="0" collapsed="false">
      <c r="A1096" s="1" t="n">
        <v>21</v>
      </c>
      <c r="B1096" s="1" t="n">
        <v>11</v>
      </c>
      <c r="C1096" s="1" t="n">
        <v>2.1</v>
      </c>
      <c r="D1096" s="1" t="n">
        <v>1.1968</v>
      </c>
      <c r="E1096" s="1" t="n">
        <v>0.0719978</v>
      </c>
      <c r="F1096" s="1" t="n">
        <v>0.00019584</v>
      </c>
      <c r="G1096" s="1" t="s">
        <v>52</v>
      </c>
      <c r="H1096" s="1" t="n">
        <v>25.1</v>
      </c>
      <c r="I1096" s="1" t="n">
        <v>17.3</v>
      </c>
      <c r="J1096" s="1" t="n">
        <v>12.1</v>
      </c>
      <c r="K1096" s="1" t="n">
        <v>68.9</v>
      </c>
      <c r="L1096" s="1" t="n">
        <v>0</v>
      </c>
      <c r="M1096" s="1" t="n">
        <v>0</v>
      </c>
      <c r="N1096" s="1" t="s">
        <v>626</v>
      </c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0" t="n">
        <f aca="false">I1096+0</f>
        <v>17.3</v>
      </c>
      <c r="AB1096" s="0" t="n">
        <f aca="false">IF(Z1096&gt;360,Z1096-360,Z1096+0)</f>
        <v>17.3</v>
      </c>
      <c r="AC1096" s="1"/>
      <c r="AD1096" s="1"/>
      <c r="AE1096" s="1"/>
      <c r="AF1096" s="1"/>
    </row>
    <row r="1097" customFormat="false" ht="15.8" hidden="false" customHeight="false" outlineLevel="0" collapsed="false">
      <c r="A1097" s="1" t="n">
        <v>21</v>
      </c>
      <c r="B1097" s="1" t="n">
        <v>11</v>
      </c>
      <c r="C1097" s="1" t="n">
        <v>0.4</v>
      </c>
      <c r="D1097" s="1" t="n">
        <v>1</v>
      </c>
      <c r="E1097" s="1" t="n">
        <v>0.0137804</v>
      </c>
      <c r="F1097" s="1" t="n">
        <v>3.74839E-005</v>
      </c>
      <c r="G1097" s="1" t="s">
        <v>27</v>
      </c>
      <c r="H1097" s="1" t="n">
        <v>72.1</v>
      </c>
      <c r="I1097" s="1" t="n">
        <v>93.1</v>
      </c>
      <c r="J1097" s="1" t="n">
        <v>0</v>
      </c>
      <c r="K1097" s="1"/>
      <c r="L1097" s="1" t="n">
        <v>0</v>
      </c>
      <c r="M1097" s="1" t="n">
        <v>0</v>
      </c>
      <c r="N1097" s="1" t="s">
        <v>626</v>
      </c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0" t="n">
        <f aca="false">I1097+0</f>
        <v>93.1</v>
      </c>
      <c r="AB1097" s="0" t="n">
        <f aca="false">IF(Z1097&gt;360,Z1097-360,Z1097+0)</f>
        <v>93.1</v>
      </c>
      <c r="AC1097" s="1"/>
      <c r="AD1097" s="1"/>
      <c r="AE1097" s="1"/>
      <c r="AF1097" s="1"/>
    </row>
    <row r="1098" customFormat="false" ht="15.8" hidden="false" customHeight="false" outlineLevel="0" collapsed="false">
      <c r="A1098" s="1" t="n">
        <v>21</v>
      </c>
      <c r="B1098" s="1" t="n">
        <v>10</v>
      </c>
      <c r="C1098" s="1" t="n">
        <v>0.8</v>
      </c>
      <c r="D1098" s="1" t="n">
        <v>1.3438</v>
      </c>
      <c r="E1098" s="1" t="n">
        <v>0.0287974</v>
      </c>
      <c r="F1098" s="1" t="n">
        <v>7.83313E-005</v>
      </c>
      <c r="G1098" s="1" t="s">
        <v>52</v>
      </c>
      <c r="H1098" s="1" t="n">
        <v>56.1</v>
      </c>
      <c r="I1098" s="1" t="n">
        <v>25.5</v>
      </c>
      <c r="J1098" s="1" t="n">
        <v>36.2</v>
      </c>
      <c r="K1098" s="1" t="n">
        <v>72.1</v>
      </c>
      <c r="L1098" s="1" t="n">
        <v>0</v>
      </c>
      <c r="M1098" s="1" t="n">
        <v>0</v>
      </c>
      <c r="N1098" s="1" t="s">
        <v>624</v>
      </c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0" t="n">
        <f aca="false">I1098+0</f>
        <v>25.5</v>
      </c>
      <c r="AB1098" s="0" t="n">
        <f aca="false">IF(Z1098&gt;360,Z1098-360,Z1098+0)</f>
        <v>25.5</v>
      </c>
      <c r="AC1098" s="1"/>
      <c r="AD1098" s="1"/>
      <c r="AE1098" s="1"/>
      <c r="AF1098" s="1"/>
    </row>
    <row r="1099" customFormat="false" ht="15.8" hidden="false" customHeight="false" outlineLevel="0" collapsed="false">
      <c r="A1099" s="1" t="n">
        <v>21</v>
      </c>
      <c r="B1099" s="1" t="n">
        <v>9</v>
      </c>
      <c r="C1099" s="1" t="n">
        <v>3.7</v>
      </c>
      <c r="D1099" s="1" t="n">
        <v>1.2557</v>
      </c>
      <c r="E1099" s="1" t="n">
        <v>0.127232</v>
      </c>
      <c r="F1099" s="1" t="n">
        <v>0.000346081</v>
      </c>
      <c r="G1099" s="1" t="s">
        <v>52</v>
      </c>
      <c r="H1099" s="1" t="n">
        <v>116.6</v>
      </c>
      <c r="I1099" s="1" t="n">
        <v>109.4</v>
      </c>
      <c r="J1099" s="1" t="n">
        <v>60.9</v>
      </c>
      <c r="K1099" s="1" t="n">
        <v>56.1</v>
      </c>
      <c r="L1099" s="1" t="n">
        <v>0</v>
      </c>
      <c r="M1099" s="1" t="n">
        <v>0</v>
      </c>
      <c r="N1099" s="1" t="s">
        <v>622</v>
      </c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0" t="n">
        <f aca="false">I1099+0</f>
        <v>109.4</v>
      </c>
      <c r="AB1099" s="0" t="n">
        <f aca="false">IF(Z1099&gt;360,Z1099-360,Z1099+0)</f>
        <v>109.4</v>
      </c>
      <c r="AC1099" s="1"/>
      <c r="AD1099" s="1"/>
      <c r="AE1099" s="1"/>
      <c r="AF1099" s="1"/>
    </row>
    <row r="1100" customFormat="false" ht="15.8" hidden="false" customHeight="false" outlineLevel="0" collapsed="false">
      <c r="A1100" s="1" t="n">
        <v>21</v>
      </c>
      <c r="B1100" s="1" t="n">
        <v>8</v>
      </c>
      <c r="C1100" s="1" t="n">
        <v>0.8</v>
      </c>
      <c r="D1100" s="1" t="n">
        <v>1.2043</v>
      </c>
      <c r="E1100" s="1" t="n">
        <v>0.026293</v>
      </c>
      <c r="F1100" s="1" t="n">
        <v>7.15192E-005</v>
      </c>
      <c r="G1100" s="1" t="s">
        <v>52</v>
      </c>
      <c r="H1100" s="1" t="n">
        <v>56.1</v>
      </c>
      <c r="I1100" s="1" t="n">
        <v>190.8</v>
      </c>
      <c r="J1100" s="1" t="n">
        <v>-35.4</v>
      </c>
      <c r="K1100" s="1" t="n">
        <v>116.6</v>
      </c>
      <c r="L1100" s="1" t="n">
        <v>0</v>
      </c>
      <c r="M1100" s="1" t="n">
        <v>0</v>
      </c>
      <c r="N1100" s="1" t="s">
        <v>627</v>
      </c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0" t="n">
        <f aca="false">I1100+0</f>
        <v>190.8</v>
      </c>
      <c r="AB1100" s="0" t="n">
        <f aca="false">IF(Z1100&gt;360,Z1100-360,Z1100+0)</f>
        <v>190.8</v>
      </c>
      <c r="AC1100" s="1"/>
      <c r="AD1100" s="1"/>
      <c r="AE1100" s="1"/>
      <c r="AF1100" s="1"/>
    </row>
    <row r="1101" customFormat="false" ht="15.8" hidden="false" customHeight="false" outlineLevel="0" collapsed="false">
      <c r="A1101" s="1" t="n">
        <v>21</v>
      </c>
      <c r="B1101" s="1" t="n">
        <v>8</v>
      </c>
      <c r="C1101" s="1" t="n">
        <v>3.4</v>
      </c>
      <c r="D1101" s="1" t="n">
        <v>1.3864</v>
      </c>
      <c r="E1101" s="1" t="n">
        <v>0.116241</v>
      </c>
      <c r="F1101" s="1" t="n">
        <v>0.000316187</v>
      </c>
      <c r="G1101" s="1" t="s">
        <v>27</v>
      </c>
      <c r="H1101" s="1" t="n">
        <v>87.7</v>
      </c>
      <c r="I1101" s="1" t="n">
        <v>56.4</v>
      </c>
      <c r="J1101" s="1" t="n">
        <v>17.6</v>
      </c>
      <c r="K1101" s="1"/>
      <c r="L1101" s="1" t="n">
        <v>0</v>
      </c>
      <c r="M1101" s="1" t="n">
        <v>0</v>
      </c>
      <c r="N1101" s="1" t="s">
        <v>627</v>
      </c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0" t="n">
        <f aca="false">I1101+0</f>
        <v>56.4</v>
      </c>
      <c r="AB1101" s="0" t="n">
        <f aca="false">IF(Z1101&gt;360,Z1101-360,Z1101+0)</f>
        <v>56.4</v>
      </c>
      <c r="AC1101" s="1"/>
      <c r="AD1101" s="1"/>
      <c r="AE1101" s="1"/>
      <c r="AF1101" s="1"/>
    </row>
    <row r="1102" customFormat="false" ht="15.8" hidden="false" customHeight="false" outlineLevel="0" collapsed="false">
      <c r="A1102" s="1" t="n">
        <v>21</v>
      </c>
      <c r="B1102" s="1" t="n">
        <v>8</v>
      </c>
      <c r="C1102" s="1" t="n">
        <v>1.5</v>
      </c>
      <c r="D1102" s="1" t="n">
        <v>1.16</v>
      </c>
      <c r="E1102" s="1" t="n">
        <v>0.051483</v>
      </c>
      <c r="F1102" s="1" t="n">
        <v>0.000140038</v>
      </c>
      <c r="G1102" s="1" t="s">
        <v>27</v>
      </c>
      <c r="H1102" s="1" t="n">
        <v>76.6</v>
      </c>
      <c r="I1102" s="1" t="n">
        <v>67.9</v>
      </c>
      <c r="J1102" s="1" t="n">
        <v>16.6</v>
      </c>
      <c r="K1102" s="1"/>
      <c r="L1102" s="1" t="n">
        <v>0</v>
      </c>
      <c r="M1102" s="1" t="n">
        <v>0</v>
      </c>
      <c r="N1102" s="1" t="s">
        <v>627</v>
      </c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0" t="n">
        <f aca="false">I1102+0</f>
        <v>67.9</v>
      </c>
      <c r="AB1102" s="0" t="n">
        <f aca="false">IF(Z1102&gt;360,Z1102-360,Z1102+0)</f>
        <v>67.9</v>
      </c>
      <c r="AC1102" s="1"/>
      <c r="AD1102" s="1"/>
      <c r="AE1102" s="1"/>
      <c r="AF1102" s="1"/>
    </row>
    <row r="1103" customFormat="false" ht="15.8" hidden="false" customHeight="false" outlineLevel="0" collapsed="false">
      <c r="A1103" s="1" t="n">
        <v>21</v>
      </c>
      <c r="B1103" s="1" t="n">
        <v>7</v>
      </c>
      <c r="C1103" s="1" t="n">
        <v>1.9</v>
      </c>
      <c r="D1103" s="1" t="n">
        <v>1.0123</v>
      </c>
      <c r="E1103" s="1" t="n">
        <v>0.0665659</v>
      </c>
      <c r="F1103" s="1" t="n">
        <v>0.000181065</v>
      </c>
      <c r="G1103" s="1" t="s">
        <v>52</v>
      </c>
      <c r="H1103" s="1" t="n">
        <v>32.2</v>
      </c>
      <c r="I1103" s="1" t="n">
        <v>144</v>
      </c>
      <c r="J1103" s="1" t="n">
        <v>0</v>
      </c>
      <c r="K1103" s="1" t="n">
        <v>87.7</v>
      </c>
      <c r="L1103" s="1" t="n">
        <v>0</v>
      </c>
      <c r="M1103" s="1" t="n">
        <v>0</v>
      </c>
      <c r="N1103" s="1" t="s">
        <v>628</v>
      </c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0" t="n">
        <f aca="false">I1103+0</f>
        <v>144</v>
      </c>
      <c r="AB1103" s="0" t="n">
        <f aca="false">IF(Z1103&gt;360,Z1103-360,Z1103+0)</f>
        <v>144</v>
      </c>
      <c r="AC1103" s="1"/>
      <c r="AD1103" s="1"/>
      <c r="AE1103" s="1"/>
      <c r="AF1103" s="1"/>
    </row>
    <row r="1104" customFormat="false" ht="15.8" hidden="false" customHeight="false" outlineLevel="0" collapsed="false">
      <c r="A1104" s="1" t="n">
        <v>21</v>
      </c>
      <c r="B1104" s="1" t="n">
        <v>7</v>
      </c>
      <c r="C1104" s="1" t="n">
        <v>0.9</v>
      </c>
      <c r="D1104" s="1" t="n">
        <v>1.1359</v>
      </c>
      <c r="E1104" s="1" t="n">
        <v>0.0318181</v>
      </c>
      <c r="F1104" s="1" t="n">
        <v>8.65481E-005</v>
      </c>
      <c r="G1104" s="1" t="s">
        <v>27</v>
      </c>
      <c r="H1104" s="1" t="n">
        <v>69.4</v>
      </c>
      <c r="I1104" s="1" t="n">
        <v>43.2</v>
      </c>
      <c r="J1104" s="1" t="n">
        <v>26.8</v>
      </c>
      <c r="K1104" s="1"/>
      <c r="L1104" s="1" t="n">
        <v>0</v>
      </c>
      <c r="M1104" s="1" t="n">
        <v>0</v>
      </c>
      <c r="N1104" s="1" t="s">
        <v>628</v>
      </c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0" t="n">
        <f aca="false">I1104+0</f>
        <v>43.2</v>
      </c>
      <c r="AB1104" s="0" t="n">
        <f aca="false">IF(Z1104&gt;360,Z1104-360,Z1104+0)</f>
        <v>43.2</v>
      </c>
      <c r="AC1104" s="1"/>
      <c r="AD1104" s="1"/>
      <c r="AE1104" s="1"/>
      <c r="AF1104" s="1"/>
    </row>
    <row r="1105" customFormat="false" ht="15.8" hidden="false" customHeight="false" outlineLevel="0" collapsed="false">
      <c r="A1105" s="1" t="n">
        <v>21</v>
      </c>
      <c r="B1105" s="1" t="n">
        <v>6</v>
      </c>
      <c r="C1105" s="1" t="n">
        <v>2.3</v>
      </c>
      <c r="D1105" s="1" t="n">
        <v>1.2208</v>
      </c>
      <c r="E1105" s="1" t="n">
        <v>0.0787943</v>
      </c>
      <c r="F1105" s="1" t="n">
        <v>0.000214327</v>
      </c>
      <c r="G1105" s="1" t="s">
        <v>52</v>
      </c>
      <c r="H1105" s="1" t="n">
        <v>11</v>
      </c>
      <c r="I1105" s="1" t="n">
        <v>120.9</v>
      </c>
      <c r="J1105" s="1" t="n">
        <v>23.1</v>
      </c>
      <c r="K1105" s="1" t="n">
        <v>69.4</v>
      </c>
      <c r="L1105" s="1" t="n">
        <v>0</v>
      </c>
      <c r="M1105" s="1" t="n">
        <v>0</v>
      </c>
      <c r="N1105" s="1" t="s">
        <v>629</v>
      </c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0" t="n">
        <f aca="false">I1105+0</f>
        <v>120.9</v>
      </c>
      <c r="AB1105" s="0" t="n">
        <f aca="false">IF(Z1105&gt;360,Z1105-360,Z1105+0)</f>
        <v>120.9</v>
      </c>
      <c r="AC1105" s="1"/>
      <c r="AD1105" s="1"/>
      <c r="AE1105" s="1"/>
      <c r="AF1105" s="1"/>
    </row>
    <row r="1106" customFormat="false" ht="15.8" hidden="false" customHeight="false" outlineLevel="0" collapsed="false">
      <c r="A1106" s="1" t="n">
        <v>21</v>
      </c>
      <c r="B1106" s="1" t="n">
        <v>6</v>
      </c>
      <c r="C1106" s="1" t="n">
        <v>5.2</v>
      </c>
      <c r="D1106" s="1" t="n">
        <v>1.3128</v>
      </c>
      <c r="E1106" s="1" t="n">
        <v>0.177649</v>
      </c>
      <c r="F1106" s="1" t="n">
        <v>0.000483221</v>
      </c>
      <c r="G1106" s="1" t="s">
        <v>27</v>
      </c>
      <c r="H1106" s="1" t="n">
        <v>74.5</v>
      </c>
      <c r="I1106" s="1" t="n">
        <v>37.8</v>
      </c>
      <c r="J1106" s="1" t="n">
        <v>48.4</v>
      </c>
      <c r="K1106" s="1"/>
      <c r="L1106" s="1" t="n">
        <v>0</v>
      </c>
      <c r="M1106" s="1" t="n">
        <v>0</v>
      </c>
      <c r="N1106" s="1" t="s">
        <v>629</v>
      </c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0" t="n">
        <f aca="false">I1106+0</f>
        <v>37.8</v>
      </c>
      <c r="AB1106" s="0" t="n">
        <f aca="false">IF(Z1106&gt;360,Z1106-360,Z1106+0)</f>
        <v>37.8</v>
      </c>
      <c r="AC1106" s="1"/>
      <c r="AD1106" s="1"/>
      <c r="AE1106" s="1"/>
      <c r="AF1106" s="1"/>
    </row>
    <row r="1107" customFormat="false" ht="15.8" hidden="false" customHeight="false" outlineLevel="0" collapsed="false">
      <c r="A1107" s="1" t="n">
        <v>21</v>
      </c>
      <c r="B1107" s="1" t="n">
        <v>5</v>
      </c>
      <c r="C1107" s="1" t="n">
        <v>2.6</v>
      </c>
      <c r="D1107" s="1" t="n">
        <v>1.4888</v>
      </c>
      <c r="E1107" s="1" t="n">
        <v>0.0885119</v>
      </c>
      <c r="F1107" s="1" t="n">
        <v>0.00024076</v>
      </c>
      <c r="G1107" s="1" t="s">
        <v>52</v>
      </c>
      <c r="H1107" s="1" t="n">
        <v>22.2</v>
      </c>
      <c r="I1107" s="1" t="n">
        <v>132.7</v>
      </c>
      <c r="J1107" s="1" t="n">
        <v>25.2</v>
      </c>
      <c r="K1107" s="1" t="n">
        <v>74.5</v>
      </c>
      <c r="L1107" s="1" t="n">
        <v>0</v>
      </c>
      <c r="M1107" s="1" t="n">
        <v>0</v>
      </c>
      <c r="N1107" s="1" t="s">
        <v>568</v>
      </c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0" t="n">
        <f aca="false">I1107+0</f>
        <v>132.7</v>
      </c>
      <c r="AB1107" s="0" t="n">
        <f aca="false">IF(Z1107&gt;360,Z1107-360,Z1107+0)</f>
        <v>132.7</v>
      </c>
      <c r="AC1107" s="1"/>
      <c r="AD1107" s="1"/>
      <c r="AE1107" s="1"/>
      <c r="AF1107" s="1"/>
    </row>
    <row r="1108" customFormat="false" ht="15.8" hidden="false" customHeight="false" outlineLevel="0" collapsed="false">
      <c r="A1108" s="1" t="n">
        <v>21</v>
      </c>
      <c r="B1108" s="1" t="n">
        <v>9</v>
      </c>
      <c r="C1108" s="1" t="n">
        <v>0.9</v>
      </c>
      <c r="D1108" s="1" t="n">
        <v>1.214</v>
      </c>
      <c r="E1108" s="1" t="n">
        <v>0.0490757</v>
      </c>
      <c r="F1108" s="1" t="n">
        <v>0.000208632</v>
      </c>
      <c r="G1108" s="1" t="s">
        <v>27</v>
      </c>
      <c r="H1108" s="1" t="n">
        <v>53.5</v>
      </c>
      <c r="I1108" s="1" t="n">
        <v>145.1</v>
      </c>
      <c r="J1108" s="1" t="n">
        <v>28.9</v>
      </c>
      <c r="K1108" s="1"/>
      <c r="L1108" s="1" t="n">
        <v>0</v>
      </c>
      <c r="M1108" s="1" t="n">
        <v>0</v>
      </c>
      <c r="N1108" s="1" t="s">
        <v>630</v>
      </c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0" t="n">
        <f aca="false">I1108+0</f>
        <v>145.1</v>
      </c>
      <c r="AB1108" s="0" t="n">
        <f aca="false">IF(Z1108&gt;360,Z1108-360,Z1108+0)</f>
        <v>145.1</v>
      </c>
      <c r="AC1108" s="1"/>
      <c r="AD1108" s="1"/>
      <c r="AE1108" s="1"/>
      <c r="AF1108" s="1"/>
    </row>
    <row r="1109" customFormat="false" ht="15.8" hidden="false" customHeight="false" outlineLevel="0" collapsed="false">
      <c r="A1109" s="1" t="n">
        <v>21</v>
      </c>
      <c r="B1109" s="1" t="n">
        <v>9</v>
      </c>
      <c r="C1109" s="1" t="n">
        <v>0.4</v>
      </c>
      <c r="D1109" s="1" t="n">
        <v>1.0167</v>
      </c>
      <c r="E1109" s="1" t="n">
        <v>0.0102013</v>
      </c>
      <c r="F1109" s="1" t="n">
        <v>2.21988E-005</v>
      </c>
      <c r="G1109" s="1" t="s">
        <v>27</v>
      </c>
      <c r="H1109" s="1" t="n">
        <v>75.6</v>
      </c>
      <c r="I1109" s="1" t="n">
        <v>22.3</v>
      </c>
      <c r="J1109" s="1" t="n">
        <v>0</v>
      </c>
      <c r="K1109" s="1"/>
      <c r="L1109" s="1" t="n">
        <v>0</v>
      </c>
      <c r="M1109" s="1" t="n">
        <v>0</v>
      </c>
      <c r="N1109" s="1" t="s">
        <v>630</v>
      </c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0" t="n">
        <f aca="false">I1109+0</f>
        <v>22.3</v>
      </c>
      <c r="AB1109" s="0" t="n">
        <f aca="false">IF(Z1109&gt;360,Z1109-360,Z1109+0)</f>
        <v>22.3</v>
      </c>
      <c r="AC1109" s="1"/>
      <c r="AD1109" s="1"/>
      <c r="AE1109" s="1"/>
      <c r="AF1109" s="1"/>
    </row>
    <row r="1110" customFormat="false" ht="15.8" hidden="false" customHeight="false" outlineLevel="0" collapsed="false">
      <c r="A1110" s="1" t="n">
        <v>21</v>
      </c>
      <c r="B1110" s="1" t="n">
        <v>8</v>
      </c>
      <c r="C1110" s="1" t="n">
        <v>0.6</v>
      </c>
      <c r="D1110" s="1" t="n">
        <v>1.0286</v>
      </c>
      <c r="E1110" s="1" t="n">
        <v>0.0160656</v>
      </c>
      <c r="F1110" s="1" t="n">
        <v>3.49598E-005</v>
      </c>
      <c r="G1110" s="1" t="s">
        <v>52</v>
      </c>
      <c r="H1110" s="1" t="n">
        <v>43.6</v>
      </c>
      <c r="I1110" s="1" t="n">
        <v>97.9</v>
      </c>
      <c r="J1110" s="1" t="n">
        <v>0</v>
      </c>
      <c r="K1110" s="1" t="n">
        <v>75.6</v>
      </c>
      <c r="L1110" s="1" t="n">
        <v>0</v>
      </c>
      <c r="M1110" s="1" t="n">
        <v>0</v>
      </c>
      <c r="N1110" s="1" t="s">
        <v>631</v>
      </c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0" t="n">
        <f aca="false">I1110+0</f>
        <v>97.9</v>
      </c>
      <c r="AB1110" s="0" t="n">
        <f aca="false">IF(Z1110&gt;360,Z1110-360,Z1110+0)</f>
        <v>97.9</v>
      </c>
      <c r="AC1110" s="1"/>
      <c r="AD1110" s="1"/>
      <c r="AE1110" s="1"/>
      <c r="AF1110" s="1"/>
    </row>
    <row r="1111" customFormat="false" ht="15.8" hidden="false" customHeight="false" outlineLevel="0" collapsed="false">
      <c r="A1111" s="1" t="n">
        <v>21</v>
      </c>
      <c r="B1111" s="1" t="n">
        <v>8</v>
      </c>
      <c r="C1111" s="1" t="n">
        <v>1.4</v>
      </c>
      <c r="D1111" s="1" t="n">
        <v>1.1447</v>
      </c>
      <c r="E1111" s="1" t="n">
        <v>0.0391273</v>
      </c>
      <c r="F1111" s="1" t="n">
        <v>8.51437E-005</v>
      </c>
      <c r="G1111" s="1" t="s">
        <v>27</v>
      </c>
      <c r="H1111" s="1" t="n">
        <v>113</v>
      </c>
      <c r="I1111" s="1" t="n">
        <v>1.7</v>
      </c>
      <c r="J1111" s="1" t="n">
        <v>-62.6</v>
      </c>
      <c r="K1111" s="1"/>
      <c r="L1111" s="1" t="n">
        <v>0</v>
      </c>
      <c r="M1111" s="1" t="n">
        <v>0</v>
      </c>
      <c r="N1111" s="1" t="s">
        <v>631</v>
      </c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0" t="n">
        <f aca="false">I1111+0</f>
        <v>1.7</v>
      </c>
      <c r="AB1111" s="0" t="n">
        <f aca="false">IF(Z1111&gt;360,Z1111-360,Z1111+0)</f>
        <v>1.7</v>
      </c>
      <c r="AC1111" s="1"/>
      <c r="AD1111" s="1"/>
      <c r="AE1111" s="1"/>
      <c r="AF1111" s="1"/>
    </row>
    <row r="1112" customFormat="false" ht="15.8" hidden="false" customHeight="false" outlineLevel="0" collapsed="false">
      <c r="A1112" s="1" t="n">
        <v>21</v>
      </c>
      <c r="B1112" s="1" t="n">
        <v>7</v>
      </c>
      <c r="C1112" s="1" t="n">
        <v>5.4</v>
      </c>
      <c r="D1112" s="1" t="n">
        <v>1.2325</v>
      </c>
      <c r="E1112" s="1" t="n">
        <v>0.148801</v>
      </c>
      <c r="F1112" s="1" t="n">
        <v>0.000323802</v>
      </c>
      <c r="G1112" s="1" t="s">
        <v>52</v>
      </c>
      <c r="H1112" s="1" t="n">
        <v>32.8</v>
      </c>
      <c r="I1112" s="1" t="n">
        <v>71.3</v>
      </c>
      <c r="J1112" s="1" t="n">
        <v>35.9</v>
      </c>
      <c r="K1112" s="1" t="n">
        <v>113</v>
      </c>
      <c r="L1112" s="1" t="n">
        <v>0</v>
      </c>
      <c r="M1112" s="1" t="n">
        <v>0</v>
      </c>
      <c r="N1112" s="1" t="s">
        <v>632</v>
      </c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0" t="n">
        <f aca="false">I1112+0</f>
        <v>71.3</v>
      </c>
      <c r="AB1112" s="0" t="n">
        <f aca="false">IF(Z1112&gt;360,Z1112-360,Z1112+0)</f>
        <v>71.3</v>
      </c>
      <c r="AC1112" s="1"/>
      <c r="AD1112" s="1"/>
      <c r="AE1112" s="1"/>
      <c r="AF1112" s="1"/>
    </row>
    <row r="1113" customFormat="false" ht="15.8" hidden="false" customHeight="false" outlineLevel="0" collapsed="false">
      <c r="A1113" s="1" t="n">
        <v>21</v>
      </c>
      <c r="B1113" s="1" t="n">
        <v>8</v>
      </c>
      <c r="C1113" s="1" t="n">
        <v>2.3</v>
      </c>
      <c r="D1113" s="1" t="n">
        <v>1.1364</v>
      </c>
      <c r="E1113" s="1" t="n">
        <v>0.0629949</v>
      </c>
      <c r="F1113" s="1" t="n">
        <v>0.000137081</v>
      </c>
      <c r="G1113" s="1" t="s">
        <v>27</v>
      </c>
      <c r="H1113" s="1" t="n">
        <v>61.8</v>
      </c>
      <c r="I1113" s="1" t="n">
        <v>199.4</v>
      </c>
      <c r="J1113" s="1" t="n">
        <v>-10.5</v>
      </c>
      <c r="K1113" s="1"/>
      <c r="L1113" s="1" t="n">
        <v>0</v>
      </c>
      <c r="M1113" s="1" t="n">
        <v>0</v>
      </c>
      <c r="N1113" s="1" t="s">
        <v>633</v>
      </c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0" t="n">
        <f aca="false">I1113+0</f>
        <v>199.4</v>
      </c>
      <c r="AB1113" s="0" t="n">
        <f aca="false">IF(Z1113&gt;360,Z1113-360,Z1113+0)</f>
        <v>199.4</v>
      </c>
      <c r="AC1113" s="1"/>
      <c r="AD1113" s="1"/>
      <c r="AE1113" s="1"/>
      <c r="AF1113" s="1"/>
    </row>
    <row r="1114" customFormat="false" ht="15.8" hidden="false" customHeight="false" outlineLevel="0" collapsed="false">
      <c r="A1114" s="1" t="n">
        <v>21</v>
      </c>
      <c r="B1114" s="1" t="n">
        <v>8</v>
      </c>
      <c r="C1114" s="1" t="n">
        <v>1.8</v>
      </c>
      <c r="D1114" s="1" t="n">
        <v>1.0385</v>
      </c>
      <c r="E1114" s="1" t="n">
        <v>0.049964</v>
      </c>
      <c r="F1114" s="1" t="n">
        <v>0.000108725</v>
      </c>
      <c r="G1114" s="1" t="s">
        <v>27</v>
      </c>
      <c r="H1114" s="1" t="n">
        <v>98</v>
      </c>
      <c r="I1114" s="1" t="n">
        <v>340</v>
      </c>
      <c r="J1114" s="1" t="n">
        <v>0</v>
      </c>
      <c r="K1114" s="1"/>
      <c r="L1114" s="1" t="n">
        <v>0</v>
      </c>
      <c r="M1114" s="1" t="n">
        <v>0</v>
      </c>
      <c r="N1114" s="1" t="s">
        <v>633</v>
      </c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0" t="n">
        <f aca="false">I1114+0</f>
        <v>340</v>
      </c>
      <c r="AB1114" s="0" t="n">
        <f aca="false">IF(Z1114&gt;360,Z1114-360,Z1114+0)</f>
        <v>340</v>
      </c>
      <c r="AC1114" s="1"/>
      <c r="AD1114" s="1"/>
      <c r="AE1114" s="1"/>
      <c r="AF1114" s="1"/>
    </row>
    <row r="1115" customFormat="false" ht="15.8" hidden="false" customHeight="false" outlineLevel="0" collapsed="false">
      <c r="A1115" s="1" t="n">
        <v>21</v>
      </c>
      <c r="B1115" s="1" t="n">
        <v>7</v>
      </c>
      <c r="C1115" s="1" t="n">
        <v>8.9</v>
      </c>
      <c r="D1115" s="1" t="n">
        <v>1.6545</v>
      </c>
      <c r="E1115" s="1" t="n">
        <v>0.242115</v>
      </c>
      <c r="F1115" s="1" t="n">
        <v>0.00052686</v>
      </c>
      <c r="G1115" s="1" t="s">
        <v>52</v>
      </c>
      <c r="H1115" s="1" t="n">
        <v>76.7</v>
      </c>
      <c r="I1115" s="1" t="n">
        <v>239.8</v>
      </c>
      <c r="J1115" s="1" t="n">
        <v>38.5</v>
      </c>
      <c r="K1115" s="1" t="n">
        <v>98</v>
      </c>
      <c r="L1115" s="1" t="n">
        <v>0</v>
      </c>
      <c r="M1115" s="1" t="n">
        <v>0</v>
      </c>
      <c r="N1115" s="1" t="s">
        <v>632</v>
      </c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0" t="n">
        <f aca="false">I1115+0</f>
        <v>239.8</v>
      </c>
      <c r="AB1115" s="0" t="n">
        <f aca="false">IF(Z1115&gt;360,Z1115-360,Z1115+0)</f>
        <v>239.8</v>
      </c>
      <c r="AC1115" s="1"/>
      <c r="AD1115" s="1"/>
      <c r="AE1115" s="1"/>
      <c r="AF1115" s="1"/>
    </row>
    <row r="1116" customFormat="false" ht="15.8" hidden="false" customHeight="false" outlineLevel="0" collapsed="false">
      <c r="A1116" s="1" t="n">
        <v>21</v>
      </c>
      <c r="B1116" s="1" t="n">
        <v>6</v>
      </c>
      <c r="C1116" s="1" t="n">
        <v>1.6</v>
      </c>
      <c r="D1116" s="1" t="n">
        <v>1.1701</v>
      </c>
      <c r="E1116" s="1" t="n">
        <v>0.043043</v>
      </c>
      <c r="F1116" s="1" t="n">
        <v>9.36646E-005</v>
      </c>
      <c r="G1116" s="1" t="s">
        <v>52</v>
      </c>
      <c r="H1116" s="1" t="n">
        <v>22.7</v>
      </c>
      <c r="I1116" s="1" t="n">
        <v>110.1</v>
      </c>
      <c r="J1116" s="1" t="n">
        <v>55.6</v>
      </c>
      <c r="K1116" s="1" t="n">
        <v>76.7</v>
      </c>
      <c r="L1116" s="1" t="n">
        <v>0</v>
      </c>
      <c r="M1116" s="1" t="n">
        <v>0</v>
      </c>
      <c r="N1116" s="1" t="s">
        <v>634</v>
      </c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0" t="n">
        <f aca="false">I1116+0</f>
        <v>110.1</v>
      </c>
      <c r="AB1116" s="0" t="n">
        <f aca="false">IF(Z1116&gt;360,Z1116-360,Z1116+0)</f>
        <v>110.1</v>
      </c>
      <c r="AC1116" s="1"/>
      <c r="AD1116" s="1"/>
      <c r="AE1116" s="1"/>
      <c r="AF1116" s="1"/>
    </row>
    <row r="1117" customFormat="false" ht="15.8" hidden="false" customHeight="false" outlineLevel="0" collapsed="false">
      <c r="A1117" s="1" t="n">
        <v>21</v>
      </c>
      <c r="B1117" s="1" t="n">
        <v>6</v>
      </c>
      <c r="C1117" s="1" t="n">
        <v>1.8</v>
      </c>
      <c r="D1117" s="1" t="n">
        <v>1.2399</v>
      </c>
      <c r="E1117" s="1" t="n">
        <v>0.0500749</v>
      </c>
      <c r="F1117" s="1" t="n">
        <v>0.000108966</v>
      </c>
      <c r="G1117" s="1" t="s">
        <v>27</v>
      </c>
      <c r="H1117" s="1" t="n">
        <v>101</v>
      </c>
      <c r="I1117" s="1" t="n">
        <v>73.8</v>
      </c>
      <c r="J1117" s="1" t="n">
        <v>-30.1</v>
      </c>
      <c r="K1117" s="1"/>
      <c r="L1117" s="1" t="n">
        <v>0</v>
      </c>
      <c r="M1117" s="1" t="n">
        <v>0</v>
      </c>
      <c r="N1117" s="1" t="s">
        <v>634</v>
      </c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0" t="n">
        <f aca="false">I1117+0</f>
        <v>73.8</v>
      </c>
      <c r="AB1117" s="0" t="n">
        <f aca="false">IF(Z1117&gt;360,Z1117-360,Z1117+0)</f>
        <v>73.8</v>
      </c>
      <c r="AC1117" s="1"/>
      <c r="AD1117" s="1"/>
      <c r="AE1117" s="1"/>
      <c r="AF1117" s="1"/>
    </row>
    <row r="1118" customFormat="false" ht="15.8" hidden="false" customHeight="false" outlineLevel="0" collapsed="false">
      <c r="A1118" s="1" t="n">
        <v>21</v>
      </c>
      <c r="B1118" s="1" t="n">
        <v>5</v>
      </c>
      <c r="C1118" s="1" t="n">
        <v>3.1</v>
      </c>
      <c r="D1118" s="1" t="n">
        <v>1.1207</v>
      </c>
      <c r="E1118" s="1" t="n">
        <v>0.086546</v>
      </c>
      <c r="F1118" s="1" t="n">
        <v>0.000194808</v>
      </c>
      <c r="G1118" s="1" t="s">
        <v>52</v>
      </c>
      <c r="H1118" s="1" t="n">
        <v>60.3</v>
      </c>
      <c r="I1118" s="1" t="n">
        <v>70.6</v>
      </c>
      <c r="J1118" s="1" t="n">
        <v>70.9</v>
      </c>
      <c r="K1118" s="1" t="n">
        <v>101</v>
      </c>
      <c r="L1118" s="1" t="n">
        <v>0</v>
      </c>
      <c r="M1118" s="1" t="n">
        <v>0</v>
      </c>
      <c r="N1118" s="1" t="s">
        <v>568</v>
      </c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0" t="n">
        <f aca="false">I1118+0</f>
        <v>70.6</v>
      </c>
      <c r="AB1118" s="0" t="n">
        <f aca="false">IF(Z1118&gt;360,Z1118-360,Z1118+0)</f>
        <v>70.6</v>
      </c>
      <c r="AC1118" s="1"/>
      <c r="AD1118" s="1"/>
      <c r="AE1118" s="1"/>
      <c r="AF1118" s="1"/>
    </row>
    <row r="1119" customFormat="false" ht="15.8" hidden="false" customHeight="false" outlineLevel="0" collapsed="false">
      <c r="A1119" s="1" t="n">
        <v>21</v>
      </c>
      <c r="B1119" s="1" t="n">
        <v>4</v>
      </c>
      <c r="C1119" s="1" t="n">
        <v>0.9</v>
      </c>
      <c r="D1119" s="1" t="n">
        <v>1.1742</v>
      </c>
      <c r="E1119" s="1" t="n">
        <v>0.0293159</v>
      </c>
      <c r="F1119" s="1" t="n">
        <v>7.97418E-005</v>
      </c>
      <c r="G1119" s="1" t="s">
        <v>52</v>
      </c>
      <c r="H1119" s="1" t="n">
        <v>56.1</v>
      </c>
      <c r="I1119" s="1" t="n">
        <v>157.1</v>
      </c>
      <c r="J1119" s="1" t="n">
        <v>30.4</v>
      </c>
      <c r="K1119" s="1" t="n">
        <v>60.3</v>
      </c>
      <c r="L1119" s="1" t="n">
        <v>0</v>
      </c>
      <c r="M1119" s="1" t="n">
        <v>0</v>
      </c>
      <c r="N1119" s="1" t="s">
        <v>567</v>
      </c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0" t="n">
        <f aca="false">I1119+0</f>
        <v>157.1</v>
      </c>
      <c r="AB1119" s="0" t="n">
        <f aca="false">IF(Z1119&gt;360,Z1119-360,Z1119+0)</f>
        <v>157.1</v>
      </c>
      <c r="AC1119" s="1"/>
      <c r="AD1119" s="1"/>
      <c r="AE1119" s="1"/>
      <c r="AF1119" s="1"/>
    </row>
    <row r="1120" customFormat="false" ht="15.8" hidden="false" customHeight="false" outlineLevel="0" collapsed="false">
      <c r="A1120" s="1" t="n">
        <v>21</v>
      </c>
      <c r="B1120" s="1" t="n">
        <v>12</v>
      </c>
      <c r="C1120" s="1" t="n">
        <v>2.8</v>
      </c>
      <c r="D1120" s="1" t="n">
        <v>1.5377</v>
      </c>
      <c r="E1120" s="1" t="n">
        <v>0.0774313</v>
      </c>
      <c r="F1120" s="1" t="n">
        <v>0.000168496</v>
      </c>
      <c r="G1120" s="1" t="s">
        <v>27</v>
      </c>
      <c r="H1120" s="1" t="n">
        <v>37.6</v>
      </c>
      <c r="I1120" s="1" t="n">
        <v>357.2</v>
      </c>
      <c r="J1120" s="1" t="n">
        <v>-11.6</v>
      </c>
      <c r="K1120" s="1"/>
      <c r="L1120" s="1" t="n">
        <v>0</v>
      </c>
      <c r="M1120" s="1" t="n">
        <v>0</v>
      </c>
      <c r="N1120" s="1" t="s">
        <v>635</v>
      </c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0" t="n">
        <f aca="false">I1120+0</f>
        <v>357.2</v>
      </c>
      <c r="AB1120" s="0" t="n">
        <f aca="false">IF(Z1120&gt;360,Z1120-360,Z1120+0)</f>
        <v>357.2</v>
      </c>
      <c r="AC1120" s="1"/>
      <c r="AD1120" s="1"/>
      <c r="AE1120" s="1"/>
      <c r="AF1120" s="1"/>
    </row>
    <row r="1121" customFormat="false" ht="15.8" hidden="false" customHeight="false" outlineLevel="0" collapsed="false">
      <c r="A1121" s="1" t="n">
        <v>21</v>
      </c>
      <c r="B1121" s="1" t="n">
        <v>12</v>
      </c>
      <c r="C1121" s="1" t="n">
        <v>0.7</v>
      </c>
      <c r="D1121" s="1" t="n">
        <v>1.0229</v>
      </c>
      <c r="E1121" s="1" t="n">
        <v>0.0192939</v>
      </c>
      <c r="F1121" s="1" t="n">
        <v>4.1985E-005</v>
      </c>
      <c r="G1121" s="1" t="s">
        <v>27</v>
      </c>
      <c r="H1121" s="1" t="n">
        <v>67.8</v>
      </c>
      <c r="I1121" s="1" t="n">
        <v>100.2</v>
      </c>
      <c r="J1121" s="1" t="n">
        <v>0</v>
      </c>
      <c r="K1121" s="1"/>
      <c r="L1121" s="1" t="n">
        <v>0</v>
      </c>
      <c r="M1121" s="1" t="n">
        <v>0</v>
      </c>
      <c r="N1121" s="1" t="s">
        <v>635</v>
      </c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0" t="n">
        <f aca="false">I1121+0</f>
        <v>100.2</v>
      </c>
      <c r="AB1121" s="0" t="n">
        <f aca="false">IF(Z1121&gt;360,Z1121-360,Z1121+0)</f>
        <v>100.2</v>
      </c>
      <c r="AC1121" s="1"/>
      <c r="AD1121" s="1"/>
      <c r="AE1121" s="1"/>
      <c r="AF1121" s="1"/>
    </row>
    <row r="1122" customFormat="false" ht="15.8" hidden="false" customHeight="false" outlineLevel="0" collapsed="false">
      <c r="A1122" s="1" t="n">
        <v>21</v>
      </c>
      <c r="B1122" s="1" t="n">
        <v>11</v>
      </c>
      <c r="C1122" s="1" t="n">
        <v>2.2</v>
      </c>
      <c r="D1122" s="1" t="n">
        <v>1.2179</v>
      </c>
      <c r="E1122" s="1" t="n">
        <v>0.059906</v>
      </c>
      <c r="F1122" s="1" t="n">
        <v>0.00013036</v>
      </c>
      <c r="G1122" s="1" t="s">
        <v>52</v>
      </c>
      <c r="H1122" s="1" t="n">
        <v>20.3</v>
      </c>
      <c r="I1122" s="1" t="n">
        <v>34.6</v>
      </c>
      <c r="J1122" s="1" t="n">
        <v>-24.3</v>
      </c>
      <c r="K1122" s="1" t="n">
        <v>67.8</v>
      </c>
      <c r="L1122" s="1" t="n">
        <v>0</v>
      </c>
      <c r="M1122" s="1" t="n">
        <v>0</v>
      </c>
      <c r="N1122" s="1" t="s">
        <v>636</v>
      </c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0" t="n">
        <f aca="false">I1122+0</f>
        <v>34.6</v>
      </c>
      <c r="AB1122" s="0" t="n">
        <f aca="false">IF(Z1122&gt;360,Z1122-360,Z1122+0)</f>
        <v>34.6</v>
      </c>
      <c r="AC1122" s="1"/>
      <c r="AD1122" s="1"/>
      <c r="AE1122" s="1"/>
      <c r="AF1122" s="1"/>
    </row>
    <row r="1123" customFormat="false" ht="15.8" hidden="false" customHeight="false" outlineLevel="0" collapsed="false">
      <c r="A1123" s="1" t="n">
        <v>21</v>
      </c>
      <c r="B1123" s="1" t="n">
        <v>11</v>
      </c>
      <c r="C1123" s="1" t="n">
        <v>1</v>
      </c>
      <c r="D1123" s="1" t="n">
        <v>1.0028</v>
      </c>
      <c r="E1123" s="1" t="n">
        <v>0.0267709</v>
      </c>
      <c r="F1123" s="1" t="n">
        <v>5.82553E-005</v>
      </c>
      <c r="G1123" s="1" t="s">
        <v>27</v>
      </c>
      <c r="H1123" s="1" t="n">
        <v>71.1</v>
      </c>
      <c r="I1123" s="1" t="n">
        <v>121.1</v>
      </c>
      <c r="J1123" s="1" t="n">
        <v>0</v>
      </c>
      <c r="K1123" s="1"/>
      <c r="L1123" s="1" t="n">
        <v>0</v>
      </c>
      <c r="M1123" s="1" t="n">
        <v>0</v>
      </c>
      <c r="N1123" s="1" t="s">
        <v>636</v>
      </c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0" t="n">
        <f aca="false">I1123+0</f>
        <v>121.1</v>
      </c>
      <c r="AB1123" s="0" t="n">
        <f aca="false">IF(Z1123&gt;360,Z1123-360,Z1123+0)</f>
        <v>121.1</v>
      </c>
      <c r="AC1123" s="1"/>
      <c r="AD1123" s="1"/>
      <c r="AE1123" s="1"/>
      <c r="AF1123" s="1"/>
    </row>
    <row r="1124" customFormat="false" ht="15.8" hidden="false" customHeight="false" outlineLevel="0" collapsed="false">
      <c r="A1124" s="1" t="n">
        <v>21</v>
      </c>
      <c r="B1124" s="1" t="n">
        <v>10</v>
      </c>
      <c r="C1124" s="1" t="n">
        <v>1.6</v>
      </c>
      <c r="D1124" s="1" t="n">
        <v>1.2348</v>
      </c>
      <c r="E1124" s="1" t="n">
        <v>0.0433285</v>
      </c>
      <c r="F1124" s="1" t="n">
        <v>9.42858E-005</v>
      </c>
      <c r="G1124" s="1" t="s">
        <v>52</v>
      </c>
      <c r="H1124" s="1" t="n">
        <v>8.5</v>
      </c>
      <c r="I1124" s="1" t="n">
        <v>54.5</v>
      </c>
      <c r="J1124" s="1" t="n">
        <v>-35.2</v>
      </c>
      <c r="K1124" s="1" t="n">
        <v>71.1</v>
      </c>
      <c r="L1124" s="1" t="n">
        <v>0</v>
      </c>
      <c r="M1124" s="1" t="n">
        <v>0</v>
      </c>
      <c r="N1124" s="1" t="s">
        <v>637</v>
      </c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0" t="n">
        <f aca="false">I1124+0</f>
        <v>54.5</v>
      </c>
      <c r="AB1124" s="0" t="n">
        <f aca="false">IF(Z1124&gt;360,Z1124-360,Z1124+0)</f>
        <v>54.5</v>
      </c>
      <c r="AC1124" s="1"/>
      <c r="AD1124" s="1"/>
      <c r="AE1124" s="1"/>
      <c r="AF1124" s="1"/>
    </row>
    <row r="1125" customFormat="false" ht="15.8" hidden="false" customHeight="false" outlineLevel="0" collapsed="false">
      <c r="A1125" s="1" t="n">
        <v>21</v>
      </c>
      <c r="B1125" s="1" t="n">
        <v>10</v>
      </c>
      <c r="C1125" s="1" t="n">
        <v>6.3</v>
      </c>
      <c r="D1125" s="1" t="n">
        <v>1.4235</v>
      </c>
      <c r="E1125" s="1" t="n">
        <v>0.172652</v>
      </c>
      <c r="F1125" s="1" t="n">
        <v>0.000375703</v>
      </c>
      <c r="G1125" s="1" t="s">
        <v>27</v>
      </c>
      <c r="H1125" s="1" t="n">
        <v>61.3</v>
      </c>
      <c r="I1125" s="1" t="n">
        <v>84.4</v>
      </c>
      <c r="J1125" s="1" t="n">
        <v>14.5</v>
      </c>
      <c r="K1125" s="1"/>
      <c r="L1125" s="1" t="n">
        <v>0</v>
      </c>
      <c r="M1125" s="1" t="n">
        <v>0</v>
      </c>
      <c r="N1125" s="1" t="s">
        <v>637</v>
      </c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0" t="n">
        <f aca="false">I1125+0</f>
        <v>84.4</v>
      </c>
      <c r="AB1125" s="0" t="n">
        <f aca="false">IF(Z1125&gt;360,Z1125-360,Z1125+0)</f>
        <v>84.4</v>
      </c>
      <c r="AC1125" s="1"/>
      <c r="AD1125" s="1"/>
      <c r="AE1125" s="1"/>
      <c r="AF1125" s="1"/>
    </row>
    <row r="1126" customFormat="false" ht="15.8" hidden="false" customHeight="false" outlineLevel="0" collapsed="false">
      <c r="A1126" s="1" t="n">
        <v>21</v>
      </c>
      <c r="B1126" s="1" t="n">
        <v>10</v>
      </c>
      <c r="C1126" s="1" t="n">
        <v>1.2</v>
      </c>
      <c r="D1126" s="1" t="n">
        <v>1.1983</v>
      </c>
      <c r="E1126" s="1" t="n">
        <v>0.0341688</v>
      </c>
      <c r="F1126" s="1" t="n">
        <v>7.43537E-005</v>
      </c>
      <c r="G1126" s="1" t="s">
        <v>27</v>
      </c>
      <c r="H1126" s="1" t="n">
        <v>84.2</v>
      </c>
      <c r="I1126" s="1" t="n">
        <v>307.4</v>
      </c>
      <c r="J1126" s="1" t="n">
        <v>-20.8</v>
      </c>
      <c r="K1126" s="1"/>
      <c r="L1126" s="1" t="n">
        <v>0</v>
      </c>
      <c r="M1126" s="1" t="n">
        <v>0</v>
      </c>
      <c r="N1126" s="1" t="s">
        <v>637</v>
      </c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0" t="n">
        <f aca="false">I1126+0</f>
        <v>307.4</v>
      </c>
      <c r="AB1126" s="0" t="n">
        <f aca="false">IF(Z1126&gt;360,Z1126-360,Z1126+0)</f>
        <v>307.4</v>
      </c>
      <c r="AC1126" s="1"/>
      <c r="AD1126" s="1"/>
      <c r="AE1126" s="1"/>
      <c r="AF1126" s="1"/>
    </row>
    <row r="1127" customFormat="false" ht="15.8" hidden="false" customHeight="false" outlineLevel="0" collapsed="false">
      <c r="A1127" s="1" t="n">
        <v>21</v>
      </c>
      <c r="B1127" s="1" t="n">
        <v>9</v>
      </c>
      <c r="C1127" s="1" t="n">
        <v>0.8</v>
      </c>
      <c r="D1127" s="1" t="n">
        <v>1.1624</v>
      </c>
      <c r="E1127" s="1" t="n">
        <v>0.0213373</v>
      </c>
      <c r="F1127" s="1" t="n">
        <v>4.64315E-005</v>
      </c>
      <c r="G1127" s="1" t="s">
        <v>52</v>
      </c>
      <c r="H1127" s="1" t="n">
        <v>36.8</v>
      </c>
      <c r="I1127" s="1" t="n">
        <v>44.4</v>
      </c>
      <c r="J1127" s="1" t="n">
        <v>-33.4</v>
      </c>
      <c r="K1127" s="1" t="n">
        <v>84.2</v>
      </c>
      <c r="L1127" s="1" t="n">
        <v>0</v>
      </c>
      <c r="M1127" s="1" t="n">
        <v>0</v>
      </c>
      <c r="N1127" s="1" t="s">
        <v>638</v>
      </c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0" t="n">
        <f aca="false">I1127+0</f>
        <v>44.4</v>
      </c>
      <c r="AB1127" s="0" t="n">
        <f aca="false">IF(Z1127&gt;360,Z1127-360,Z1127+0)</f>
        <v>44.4</v>
      </c>
      <c r="AC1127" s="1"/>
      <c r="AD1127" s="1"/>
      <c r="AE1127" s="1"/>
      <c r="AF1127" s="1"/>
    </row>
    <row r="1128" customFormat="false" ht="15.8" hidden="false" customHeight="false" outlineLevel="0" collapsed="false">
      <c r="A1128" s="1" t="n">
        <v>21</v>
      </c>
      <c r="B1128" s="1" t="n">
        <v>9</v>
      </c>
      <c r="C1128" s="1" t="n">
        <v>1.5</v>
      </c>
      <c r="D1128" s="1" t="n">
        <v>1.1828</v>
      </c>
      <c r="E1128" s="1" t="n">
        <v>0.0398452</v>
      </c>
      <c r="F1128" s="1" t="n">
        <v>8.67059E-005</v>
      </c>
      <c r="G1128" s="1" t="s">
        <v>27</v>
      </c>
      <c r="H1128" s="1" t="n">
        <v>102</v>
      </c>
      <c r="I1128" s="1" t="n">
        <v>315.7</v>
      </c>
      <c r="J1128" s="1" t="n">
        <v>-36.9</v>
      </c>
      <c r="K1128" s="1"/>
      <c r="L1128" s="1" t="n">
        <v>0</v>
      </c>
      <c r="M1128" s="1" t="n">
        <v>0</v>
      </c>
      <c r="N1128" s="1" t="s">
        <v>638</v>
      </c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0" t="n">
        <f aca="false">I1128+0</f>
        <v>315.7</v>
      </c>
      <c r="AB1128" s="0" t="n">
        <f aca="false">IF(Z1128&gt;360,Z1128-360,Z1128+0)</f>
        <v>315.7</v>
      </c>
      <c r="AC1128" s="1"/>
      <c r="AD1128" s="1"/>
      <c r="AE1128" s="1"/>
      <c r="AF1128" s="1"/>
    </row>
    <row r="1129" customFormat="false" ht="15.8" hidden="false" customHeight="false" outlineLevel="0" collapsed="false">
      <c r="A1129" s="1" t="n">
        <v>21</v>
      </c>
      <c r="B1129" s="1" t="n">
        <v>9</v>
      </c>
      <c r="C1129" s="1" t="n">
        <v>0.6</v>
      </c>
      <c r="D1129" s="1" t="n">
        <v>1.037</v>
      </c>
      <c r="E1129" s="1" t="n">
        <v>0.0174271</v>
      </c>
      <c r="F1129" s="1" t="n">
        <v>3.79226E-005</v>
      </c>
      <c r="G1129" s="1" t="s">
        <v>27</v>
      </c>
      <c r="H1129" s="1" t="n">
        <v>103.6</v>
      </c>
      <c r="I1129" s="1" t="n">
        <v>164.4</v>
      </c>
      <c r="J1129" s="1" t="n">
        <v>0</v>
      </c>
      <c r="K1129" s="1"/>
      <c r="L1129" s="1" t="n">
        <v>0</v>
      </c>
      <c r="M1129" s="1" t="n">
        <v>0</v>
      </c>
      <c r="N1129" s="1" t="s">
        <v>638</v>
      </c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0" t="n">
        <f aca="false">I1129+0</f>
        <v>164.4</v>
      </c>
      <c r="AB1129" s="0" t="n">
        <f aca="false">IF(Z1129&gt;360,Z1129-360,Z1129+0)</f>
        <v>164.4</v>
      </c>
      <c r="AC1129" s="1"/>
      <c r="AD1129" s="1"/>
      <c r="AE1129" s="1"/>
      <c r="AF1129" s="1"/>
    </row>
    <row r="1130" customFormat="false" ht="15.8" hidden="false" customHeight="false" outlineLevel="0" collapsed="false">
      <c r="A1130" s="1" t="n">
        <v>21</v>
      </c>
      <c r="B1130" s="1" t="n">
        <v>8</v>
      </c>
      <c r="C1130" s="1" t="n">
        <v>1.2</v>
      </c>
      <c r="D1130" s="1" t="n">
        <v>1.0278</v>
      </c>
      <c r="E1130" s="1" t="n">
        <v>0.0330754</v>
      </c>
      <c r="F1130" s="1" t="n">
        <v>7.19744E-005</v>
      </c>
      <c r="G1130" s="1" t="s">
        <v>52</v>
      </c>
      <c r="H1130" s="1" t="n">
        <v>19.2</v>
      </c>
      <c r="I1130" s="1" t="n">
        <v>60.8</v>
      </c>
      <c r="J1130" s="1" t="n">
        <v>0</v>
      </c>
      <c r="K1130" s="1" t="n">
        <v>103.6</v>
      </c>
      <c r="L1130" s="1" t="n">
        <v>0</v>
      </c>
      <c r="M1130" s="1" t="n">
        <v>0</v>
      </c>
      <c r="N1130" s="1" t="s">
        <v>639</v>
      </c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0" t="n">
        <f aca="false">I1130+0</f>
        <v>60.8</v>
      </c>
      <c r="AB1130" s="0" t="n">
        <f aca="false">IF(Z1130&gt;360,Z1130-360,Z1130+0)</f>
        <v>60.8</v>
      </c>
      <c r="AC1130" s="1"/>
      <c r="AD1130" s="1"/>
      <c r="AE1130" s="1"/>
      <c r="AF1130" s="1"/>
    </row>
    <row r="1131" customFormat="false" ht="15.8" hidden="false" customHeight="false" outlineLevel="0" collapsed="false">
      <c r="A1131" s="1" t="n">
        <v>21</v>
      </c>
      <c r="B1131" s="1" t="n">
        <v>8</v>
      </c>
      <c r="C1131" s="1" t="n">
        <v>2.9</v>
      </c>
      <c r="D1131" s="1" t="n">
        <v>1.2508</v>
      </c>
      <c r="E1131" s="1" t="n">
        <v>0.0783772</v>
      </c>
      <c r="F1131" s="1" t="n">
        <v>0.000170554</v>
      </c>
      <c r="G1131" s="1" t="s">
        <v>27</v>
      </c>
      <c r="H1131" s="1" t="n">
        <v>68.3</v>
      </c>
      <c r="I1131" s="1" t="n">
        <v>334.6</v>
      </c>
      <c r="J1131" s="1" t="n">
        <v>-18.8</v>
      </c>
      <c r="K1131" s="1"/>
      <c r="L1131" s="1" t="n">
        <v>0</v>
      </c>
      <c r="M1131" s="1" t="n">
        <v>0</v>
      </c>
      <c r="N1131" s="1" t="s">
        <v>639</v>
      </c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0" t="n">
        <f aca="false">I1131+0</f>
        <v>334.6</v>
      </c>
      <c r="AB1131" s="0" t="n">
        <f aca="false">IF(Z1131&gt;360,Z1131-360,Z1131+0)</f>
        <v>334.6</v>
      </c>
      <c r="AC1131" s="1"/>
      <c r="AD1131" s="1"/>
      <c r="AE1131" s="1"/>
      <c r="AF1131" s="1"/>
    </row>
    <row r="1132" customFormat="false" ht="15.8" hidden="false" customHeight="false" outlineLevel="0" collapsed="false">
      <c r="A1132" s="1" t="n">
        <v>21</v>
      </c>
      <c r="B1132" s="1" t="n">
        <v>7</v>
      </c>
      <c r="C1132" s="1" t="n">
        <v>0.6</v>
      </c>
      <c r="D1132" s="1" t="n">
        <v>1.0541</v>
      </c>
      <c r="E1132" s="1" t="n">
        <v>0.0177734</v>
      </c>
      <c r="F1132" s="1" t="n">
        <v>3.86761E-005</v>
      </c>
      <c r="G1132" s="1" t="s">
        <v>52</v>
      </c>
      <c r="H1132" s="1" t="n">
        <v>33.6</v>
      </c>
      <c r="I1132" s="1" t="n">
        <v>41.6</v>
      </c>
      <c r="J1132" s="1" t="n">
        <v>0</v>
      </c>
      <c r="K1132" s="1" t="n">
        <v>68.3</v>
      </c>
      <c r="L1132" s="1" t="n">
        <v>0</v>
      </c>
      <c r="M1132" s="1" t="n">
        <v>0</v>
      </c>
      <c r="N1132" s="1" t="s">
        <v>640</v>
      </c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0" t="n">
        <f aca="false">I1132+0</f>
        <v>41.6</v>
      </c>
      <c r="AB1132" s="0" t="n">
        <f aca="false">IF(Z1132&gt;360,Z1132-360,Z1132+0)</f>
        <v>41.6</v>
      </c>
      <c r="AC1132" s="1"/>
      <c r="AD1132" s="1"/>
      <c r="AE1132" s="1"/>
      <c r="AF1132" s="1"/>
    </row>
    <row r="1133" customFormat="false" ht="15.8" hidden="false" customHeight="false" outlineLevel="0" collapsed="false">
      <c r="A1133" s="1" t="n">
        <v>21</v>
      </c>
      <c r="B1133" s="1" t="n">
        <v>8</v>
      </c>
      <c r="C1133" s="1" t="n">
        <v>0.4</v>
      </c>
      <c r="D1133" s="1" t="n">
        <v>1.001</v>
      </c>
      <c r="E1133" s="1" t="n">
        <v>0.0121422</v>
      </c>
      <c r="F1133" s="1" t="n">
        <v>2.64222E-005</v>
      </c>
      <c r="G1133" s="1" t="s">
        <v>27</v>
      </c>
      <c r="H1133" s="1" t="n">
        <v>83</v>
      </c>
      <c r="I1133" s="1" t="n">
        <v>74.1</v>
      </c>
      <c r="J1133" s="1" t="n">
        <v>0</v>
      </c>
      <c r="K1133" s="1"/>
      <c r="L1133" s="1" t="n">
        <v>0</v>
      </c>
      <c r="M1133" s="1" t="n">
        <v>0</v>
      </c>
      <c r="N1133" s="1" t="s">
        <v>641</v>
      </c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0" t="n">
        <f aca="false">I1133+0</f>
        <v>74.1</v>
      </c>
      <c r="AB1133" s="0" t="n">
        <f aca="false">IF(Z1133&gt;360,Z1133-360,Z1133+0)</f>
        <v>74.1</v>
      </c>
      <c r="AC1133" s="1"/>
      <c r="AD1133" s="1"/>
      <c r="AE1133" s="1"/>
      <c r="AF1133" s="1"/>
    </row>
    <row r="1134" customFormat="false" ht="15.8" hidden="false" customHeight="false" outlineLevel="0" collapsed="false">
      <c r="A1134" s="1" t="n">
        <v>21</v>
      </c>
      <c r="B1134" s="1" t="n">
        <v>8</v>
      </c>
      <c r="C1134" s="1" t="n">
        <v>0.8</v>
      </c>
      <c r="D1134" s="1" t="n">
        <v>1.2203</v>
      </c>
      <c r="E1134" s="1" t="n">
        <v>0.0209828</v>
      </c>
      <c r="F1134" s="1" t="n">
        <v>4.56601E-005</v>
      </c>
      <c r="G1134" s="1" t="s">
        <v>27</v>
      </c>
      <c r="H1134" s="1" t="n">
        <v>66.9</v>
      </c>
      <c r="I1134" s="1" t="n">
        <v>218</v>
      </c>
      <c r="J1134" s="1" t="n">
        <v>36</v>
      </c>
      <c r="K1134" s="1"/>
      <c r="L1134" s="1" t="n">
        <v>0</v>
      </c>
      <c r="M1134" s="1" t="n">
        <v>0</v>
      </c>
      <c r="N1134" s="1" t="s">
        <v>641</v>
      </c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0" t="n">
        <f aca="false">I1134+0</f>
        <v>218</v>
      </c>
      <c r="AB1134" s="0" t="n">
        <f aca="false">IF(Z1134&gt;360,Z1134-360,Z1134+0)</f>
        <v>218</v>
      </c>
      <c r="AC1134" s="1"/>
      <c r="AD1134" s="1"/>
      <c r="AE1134" s="1"/>
      <c r="AF1134" s="1"/>
    </row>
    <row r="1135" customFormat="false" ht="15.8" hidden="false" customHeight="false" outlineLevel="0" collapsed="false">
      <c r="A1135" s="1" t="n">
        <v>21</v>
      </c>
      <c r="B1135" s="1" t="n">
        <v>7</v>
      </c>
      <c r="C1135" s="1" t="n">
        <v>0.2</v>
      </c>
      <c r="D1135" s="1" t="n">
        <v>1</v>
      </c>
      <c r="E1135" s="1" t="n">
        <v>0.00671982</v>
      </c>
      <c r="F1135" s="1" t="n">
        <v>1.46228E-005</v>
      </c>
      <c r="G1135" s="1" t="s">
        <v>52</v>
      </c>
      <c r="H1135" s="1" t="n">
        <v>82.7</v>
      </c>
      <c r="I1135" s="1" t="n">
        <v>157.1</v>
      </c>
      <c r="J1135" s="1" t="n">
        <v>0</v>
      </c>
      <c r="K1135" s="1" t="n">
        <v>83</v>
      </c>
      <c r="L1135" s="1" t="n">
        <v>0</v>
      </c>
      <c r="M1135" s="1" t="n">
        <v>0</v>
      </c>
      <c r="N1135" s="1" t="s">
        <v>640</v>
      </c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0" t="n">
        <f aca="false">I1135+0</f>
        <v>157.1</v>
      </c>
      <c r="AB1135" s="0" t="n">
        <f aca="false">IF(Z1135&gt;360,Z1135-360,Z1135+0)</f>
        <v>157.1</v>
      </c>
      <c r="AC1135" s="1"/>
      <c r="AD1135" s="1"/>
      <c r="AE1135" s="1"/>
      <c r="AF1135" s="1"/>
    </row>
    <row r="1136" customFormat="false" ht="15.8" hidden="false" customHeight="false" outlineLevel="0" collapsed="false">
      <c r="A1136" s="1" t="n">
        <v>21</v>
      </c>
      <c r="B1136" s="1" t="n">
        <v>6</v>
      </c>
      <c r="C1136" s="1" t="n">
        <v>3.4</v>
      </c>
      <c r="D1136" s="1" t="n">
        <v>1.1502</v>
      </c>
      <c r="E1136" s="1" t="n">
        <v>0.0916704</v>
      </c>
      <c r="F1136" s="1" t="n">
        <v>0.000199481</v>
      </c>
      <c r="G1136" s="1" t="s">
        <v>52</v>
      </c>
      <c r="H1136" s="1" t="n">
        <v>32.6</v>
      </c>
      <c r="I1136" s="1" t="n">
        <v>74.5</v>
      </c>
      <c r="J1136" s="1" t="n">
        <v>-7.3</v>
      </c>
      <c r="K1136" s="1" t="n">
        <v>82.7</v>
      </c>
      <c r="L1136" s="1" t="n">
        <v>0</v>
      </c>
      <c r="M1136" s="1" t="n">
        <v>0</v>
      </c>
      <c r="N1136" s="1" t="s">
        <v>642</v>
      </c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0" t="n">
        <f aca="false">I1136+0</f>
        <v>74.5</v>
      </c>
      <c r="AB1136" s="0" t="n">
        <f aca="false">IF(Z1136&gt;360,Z1136-360,Z1136+0)</f>
        <v>74.5</v>
      </c>
      <c r="AC1136" s="1"/>
      <c r="AD1136" s="1"/>
      <c r="AE1136" s="1"/>
      <c r="AF1136" s="1"/>
    </row>
    <row r="1137" customFormat="false" ht="15.8" hidden="false" customHeight="false" outlineLevel="0" collapsed="false">
      <c r="A1137" s="1" t="n">
        <v>21</v>
      </c>
      <c r="B1137" s="1" t="n">
        <v>7</v>
      </c>
      <c r="C1137" s="1" t="n">
        <v>2.3</v>
      </c>
      <c r="D1137" s="1" t="n">
        <v>1.6962</v>
      </c>
      <c r="E1137" s="1" t="n">
        <v>0.0633053</v>
      </c>
      <c r="F1137" s="1" t="n">
        <v>0.000137757</v>
      </c>
      <c r="G1137" s="1" t="s">
        <v>27</v>
      </c>
      <c r="H1137" s="1" t="n">
        <v>65</v>
      </c>
      <c r="I1137" s="1" t="n">
        <v>186.1</v>
      </c>
      <c r="J1137" s="1" t="n">
        <v>32.8</v>
      </c>
      <c r="K1137" s="1"/>
      <c r="L1137" s="1" t="n">
        <v>0</v>
      </c>
      <c r="M1137" s="1" t="n">
        <v>0</v>
      </c>
      <c r="N1137" s="1" t="s">
        <v>643</v>
      </c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0" t="n">
        <f aca="false">I1137+0</f>
        <v>186.1</v>
      </c>
      <c r="AB1137" s="0" t="n">
        <f aca="false">IF(Z1137&gt;360,Z1137-360,Z1137+0)</f>
        <v>186.1</v>
      </c>
      <c r="AC1137" s="1"/>
      <c r="AD1137" s="1"/>
      <c r="AE1137" s="1"/>
      <c r="AF1137" s="1"/>
    </row>
    <row r="1138" customFormat="false" ht="15.8" hidden="false" customHeight="false" outlineLevel="0" collapsed="false">
      <c r="A1138" s="1" t="n">
        <v>21</v>
      </c>
      <c r="B1138" s="1" t="n">
        <v>7</v>
      </c>
      <c r="C1138" s="1" t="n">
        <v>2.7</v>
      </c>
      <c r="D1138" s="1" t="n">
        <v>1.8027</v>
      </c>
      <c r="E1138" s="1" t="n">
        <v>0.0729148</v>
      </c>
      <c r="F1138" s="1" t="n">
        <v>0.000158668</v>
      </c>
      <c r="G1138" s="1" t="s">
        <v>27</v>
      </c>
      <c r="H1138" s="1" t="n">
        <v>80.5</v>
      </c>
      <c r="I1138" s="1" t="n">
        <v>316.7</v>
      </c>
      <c r="J1138" s="1" t="n">
        <v>30</v>
      </c>
      <c r="K1138" s="1"/>
      <c r="L1138" s="1" t="n">
        <v>0</v>
      </c>
      <c r="M1138" s="1" t="n">
        <v>0</v>
      </c>
      <c r="N1138" s="1" t="s">
        <v>643</v>
      </c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0" t="n">
        <f aca="false">I1138+0</f>
        <v>316.7</v>
      </c>
      <c r="AB1138" s="0" t="n">
        <f aca="false">IF(Z1138&gt;360,Z1138-360,Z1138+0)</f>
        <v>316.7</v>
      </c>
      <c r="AC1138" s="1"/>
      <c r="AD1138" s="1"/>
      <c r="AE1138" s="1"/>
      <c r="AF1138" s="1"/>
    </row>
    <row r="1139" customFormat="false" ht="15.8" hidden="false" customHeight="false" outlineLevel="0" collapsed="false">
      <c r="A1139" s="1" t="n">
        <v>21</v>
      </c>
      <c r="B1139" s="1" t="n">
        <v>6</v>
      </c>
      <c r="C1139" s="1" t="n">
        <v>6</v>
      </c>
      <c r="D1139" s="1" t="n">
        <v>1.5848</v>
      </c>
      <c r="E1139" s="1" t="n">
        <v>0.164102</v>
      </c>
      <c r="F1139" s="1" t="n">
        <v>0.000357098</v>
      </c>
      <c r="G1139" s="1" t="s">
        <v>52</v>
      </c>
      <c r="H1139" s="1" t="n">
        <v>51.2</v>
      </c>
      <c r="I1139" s="1" t="n">
        <v>88.3</v>
      </c>
      <c r="J1139" s="1" t="n">
        <v>61.6</v>
      </c>
      <c r="K1139" s="1" t="n">
        <v>80.5</v>
      </c>
      <c r="L1139" s="1" t="n">
        <v>0</v>
      </c>
      <c r="M1139" s="1" t="n">
        <v>0</v>
      </c>
      <c r="N1139" s="1" t="s">
        <v>642</v>
      </c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0" t="n">
        <f aca="false">I1139+0</f>
        <v>88.3</v>
      </c>
      <c r="AB1139" s="0" t="n">
        <f aca="false">IF(Z1139&gt;360,Z1139-360,Z1139+0)</f>
        <v>88.3</v>
      </c>
      <c r="AC1139" s="1"/>
      <c r="AD1139" s="1"/>
      <c r="AE1139" s="1"/>
      <c r="AF1139" s="1"/>
    </row>
    <row r="1140" customFormat="false" ht="15.8" hidden="false" customHeight="false" outlineLevel="0" collapsed="false">
      <c r="A1140" s="1" t="n">
        <v>21</v>
      </c>
      <c r="B1140" s="1" t="n">
        <v>5</v>
      </c>
      <c r="C1140" s="1" t="n">
        <v>1.5</v>
      </c>
      <c r="D1140" s="1" t="n">
        <v>1.2119</v>
      </c>
      <c r="E1140" s="1" t="n">
        <v>0.0418743</v>
      </c>
      <c r="F1140" s="1" t="n">
        <v>9.11213E-005</v>
      </c>
      <c r="G1140" s="1" t="s">
        <v>52</v>
      </c>
      <c r="H1140" s="1" t="n">
        <v>45.2</v>
      </c>
      <c r="I1140" s="1" t="n">
        <v>52.6</v>
      </c>
      <c r="J1140" s="1" t="n">
        <v>17</v>
      </c>
      <c r="K1140" s="1" t="n">
        <v>51.2</v>
      </c>
      <c r="L1140" s="1" t="n">
        <v>0</v>
      </c>
      <c r="M1140" s="1" t="n">
        <v>0</v>
      </c>
      <c r="N1140" s="1" t="s">
        <v>644</v>
      </c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0" t="n">
        <f aca="false">I1140+0</f>
        <v>52.6</v>
      </c>
      <c r="AB1140" s="0" t="n">
        <f aca="false">IF(Z1140&gt;360,Z1140-360,Z1140+0)</f>
        <v>52.6</v>
      </c>
      <c r="AC1140" s="1"/>
      <c r="AD1140" s="1"/>
      <c r="AE1140" s="1"/>
      <c r="AF1140" s="1"/>
    </row>
    <row r="1141" customFormat="false" ht="15.8" hidden="false" customHeight="false" outlineLevel="0" collapsed="false">
      <c r="A1141" s="1" t="n">
        <v>21</v>
      </c>
      <c r="B1141" s="1" t="n">
        <v>9</v>
      </c>
      <c r="C1141" s="1" t="n">
        <v>1.8</v>
      </c>
      <c r="D1141" s="1" t="n">
        <v>1.0713</v>
      </c>
      <c r="E1141" s="1" t="n">
        <v>0.0479466</v>
      </c>
      <c r="F1141" s="1" t="n">
        <v>0.000104335</v>
      </c>
      <c r="G1141" s="1" t="s">
        <v>27</v>
      </c>
      <c r="H1141" s="1" t="n">
        <v>3.4</v>
      </c>
      <c r="I1141" s="1" t="n">
        <v>179.1</v>
      </c>
      <c r="J1141" s="1" t="n">
        <v>0</v>
      </c>
      <c r="K1141" s="1"/>
      <c r="L1141" s="1" t="n">
        <v>0</v>
      </c>
      <c r="M1141" s="1" t="n">
        <v>0</v>
      </c>
      <c r="N1141" s="1" t="s">
        <v>645</v>
      </c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0" t="n">
        <f aca="false">I1141+0</f>
        <v>179.1</v>
      </c>
      <c r="AB1141" s="0" t="n">
        <f aca="false">IF(Z1141&gt;360,Z1141-360,Z1141+0)</f>
        <v>179.1</v>
      </c>
      <c r="AC1141" s="1"/>
      <c r="AD1141" s="1"/>
      <c r="AE1141" s="1"/>
      <c r="AF1141" s="1"/>
    </row>
    <row r="1142" customFormat="false" ht="15.8" hidden="false" customHeight="false" outlineLevel="0" collapsed="false">
      <c r="A1142" s="1" t="n">
        <v>21</v>
      </c>
      <c r="B1142" s="1" t="n">
        <v>9</v>
      </c>
      <c r="C1142" s="1" t="n">
        <v>1</v>
      </c>
      <c r="D1142" s="1" t="n">
        <v>1.1424</v>
      </c>
      <c r="E1142" s="1" t="n">
        <v>0.027953</v>
      </c>
      <c r="F1142" s="1" t="n">
        <v>6.08277E-005</v>
      </c>
      <c r="G1142" s="1" t="s">
        <v>27</v>
      </c>
      <c r="H1142" s="1" t="n">
        <v>119.2</v>
      </c>
      <c r="I1142" s="1" t="n">
        <v>53.3</v>
      </c>
      <c r="J1142" s="1" t="n">
        <v>-24.4</v>
      </c>
      <c r="K1142" s="1"/>
      <c r="L1142" s="1" t="n">
        <v>0</v>
      </c>
      <c r="M1142" s="1" t="n">
        <v>0</v>
      </c>
      <c r="N1142" s="1" t="s">
        <v>645</v>
      </c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0" t="n">
        <f aca="false">I1142+0</f>
        <v>53.3</v>
      </c>
      <c r="AB1142" s="0" t="n">
        <f aca="false">IF(Z1142&gt;360,Z1142-360,Z1142+0)</f>
        <v>53.3</v>
      </c>
      <c r="AC1142" s="1"/>
      <c r="AD1142" s="1"/>
      <c r="AE1142" s="1"/>
      <c r="AF1142" s="1"/>
    </row>
    <row r="1143" customFormat="false" ht="15.8" hidden="false" customHeight="false" outlineLevel="0" collapsed="false">
      <c r="A1143" s="1" t="n">
        <v>21</v>
      </c>
      <c r="B1143" s="1" t="n">
        <v>8</v>
      </c>
      <c r="C1143" s="1" t="n">
        <v>2.4</v>
      </c>
      <c r="D1143" s="1" t="n">
        <v>1.0343</v>
      </c>
      <c r="E1143" s="1" t="n">
        <v>0.0654234</v>
      </c>
      <c r="F1143" s="1" t="n">
        <v>0.000142366</v>
      </c>
      <c r="G1143" s="1" t="s">
        <v>52</v>
      </c>
      <c r="H1143" s="1" t="n">
        <v>21.9</v>
      </c>
      <c r="I1143" s="1" t="n">
        <v>175.7</v>
      </c>
      <c r="J1143" s="1" t="n">
        <v>0</v>
      </c>
      <c r="K1143" s="1" t="n">
        <v>119.2</v>
      </c>
      <c r="L1143" s="1" t="n">
        <v>0</v>
      </c>
      <c r="M1143" s="1" t="n">
        <v>0</v>
      </c>
      <c r="N1143" s="1" t="s">
        <v>646</v>
      </c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0" t="n">
        <f aca="false">I1143+0</f>
        <v>175.7</v>
      </c>
      <c r="AB1143" s="0" t="n">
        <f aca="false">IF(Z1143&gt;360,Z1143-360,Z1143+0)</f>
        <v>175.7</v>
      </c>
      <c r="AC1143" s="1"/>
      <c r="AD1143" s="1"/>
      <c r="AE1143" s="1"/>
      <c r="AF1143" s="1"/>
    </row>
    <row r="1144" customFormat="false" ht="15.8" hidden="false" customHeight="false" outlineLevel="0" collapsed="false">
      <c r="A1144" s="1" t="n">
        <v>21</v>
      </c>
      <c r="B1144" s="1" t="n">
        <v>8</v>
      </c>
      <c r="C1144" s="1" t="n">
        <v>0.6</v>
      </c>
      <c r="D1144" s="1" t="n">
        <v>1.0001</v>
      </c>
      <c r="E1144" s="1" t="n">
        <v>0.0169609</v>
      </c>
      <c r="F1144" s="1" t="n">
        <v>3.69081E-005</v>
      </c>
      <c r="G1144" s="1" t="s">
        <v>27</v>
      </c>
      <c r="H1144" s="1" t="n">
        <v>83.8</v>
      </c>
      <c r="I1144" s="1" t="n">
        <v>274.8</v>
      </c>
      <c r="J1144" s="1" t="n">
        <v>0</v>
      </c>
      <c r="K1144" s="1"/>
      <c r="L1144" s="1" t="n">
        <v>0</v>
      </c>
      <c r="M1144" s="1" t="n">
        <v>0</v>
      </c>
      <c r="N1144" s="1" t="s">
        <v>646</v>
      </c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0" t="n">
        <f aca="false">I1144+0</f>
        <v>274.8</v>
      </c>
      <c r="AB1144" s="0" t="n">
        <f aca="false">IF(Z1144&gt;360,Z1144-360,Z1144+0)</f>
        <v>274.8</v>
      </c>
      <c r="AC1144" s="1"/>
      <c r="AD1144" s="1"/>
      <c r="AE1144" s="1"/>
      <c r="AF1144" s="1"/>
    </row>
    <row r="1145" customFormat="false" ht="15.8" hidden="false" customHeight="false" outlineLevel="0" collapsed="false">
      <c r="A1145" s="1" t="n">
        <v>21</v>
      </c>
      <c r="B1145" s="1" t="n">
        <v>7</v>
      </c>
      <c r="C1145" s="1" t="n">
        <v>1.5</v>
      </c>
      <c r="D1145" s="1" t="n">
        <v>1.1097</v>
      </c>
      <c r="E1145" s="1" t="n">
        <v>0.0419341</v>
      </c>
      <c r="F1145" s="1" t="n">
        <v>9.12514E-005</v>
      </c>
      <c r="G1145" s="1" t="s">
        <v>52</v>
      </c>
      <c r="H1145" s="1" t="n">
        <v>32.3</v>
      </c>
      <c r="I1145" s="1" t="n">
        <v>191.3</v>
      </c>
      <c r="J1145" s="1" t="n">
        <v>-15.5</v>
      </c>
      <c r="K1145" s="1" t="n">
        <v>83.8</v>
      </c>
      <c r="L1145" s="1" t="n">
        <v>0</v>
      </c>
      <c r="M1145" s="1" t="n">
        <v>0</v>
      </c>
      <c r="N1145" s="1" t="s">
        <v>647</v>
      </c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0" t="n">
        <f aca="false">I1145+0</f>
        <v>191.3</v>
      </c>
      <c r="AB1145" s="0" t="n">
        <f aca="false">IF(Z1145&gt;360,Z1145-360,Z1145+0)</f>
        <v>191.3</v>
      </c>
      <c r="AC1145" s="1"/>
      <c r="AD1145" s="1"/>
      <c r="AE1145" s="1"/>
      <c r="AF1145" s="1"/>
    </row>
    <row r="1146" customFormat="false" ht="15.8" hidden="false" customHeight="false" outlineLevel="0" collapsed="false">
      <c r="A1146" s="1" t="n">
        <v>21</v>
      </c>
      <c r="B1146" s="1" t="n">
        <v>7</v>
      </c>
      <c r="C1146" s="1" t="n">
        <v>0.8</v>
      </c>
      <c r="D1146" s="1" t="n">
        <v>1.0927</v>
      </c>
      <c r="E1146" s="1" t="n">
        <v>0.022046</v>
      </c>
      <c r="F1146" s="1" t="n">
        <v>4.79736E-005</v>
      </c>
      <c r="G1146" s="1" t="s">
        <v>27</v>
      </c>
      <c r="H1146" s="1" t="n">
        <v>107.6</v>
      </c>
      <c r="I1146" s="1" t="n">
        <v>275.5</v>
      </c>
      <c r="J1146" s="1" t="n">
        <v>-30.1</v>
      </c>
      <c r="K1146" s="1"/>
      <c r="L1146" s="1" t="n">
        <v>0</v>
      </c>
      <c r="M1146" s="1" t="n">
        <v>0</v>
      </c>
      <c r="N1146" s="1" t="s">
        <v>647</v>
      </c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0" t="n">
        <f aca="false">I1146+0</f>
        <v>275.5</v>
      </c>
      <c r="AB1146" s="0" t="n">
        <f aca="false">IF(Z1146&gt;360,Z1146-360,Z1146+0)</f>
        <v>275.5</v>
      </c>
      <c r="AC1146" s="1"/>
      <c r="AD1146" s="1"/>
      <c r="AE1146" s="1"/>
      <c r="AF1146" s="1"/>
    </row>
    <row r="1147" customFormat="false" ht="15.8" hidden="false" customHeight="false" outlineLevel="0" collapsed="false">
      <c r="A1147" s="1" t="n">
        <v>21</v>
      </c>
      <c r="B1147" s="1" t="n">
        <v>6</v>
      </c>
      <c r="C1147" s="1" t="n">
        <v>8.9</v>
      </c>
      <c r="D1147" s="1" t="n">
        <v>1.2996</v>
      </c>
      <c r="E1147" s="1" t="n">
        <v>0.24345</v>
      </c>
      <c r="F1147" s="1" t="n">
        <v>0.000529765</v>
      </c>
      <c r="G1147" s="1" t="s">
        <v>52</v>
      </c>
      <c r="H1147" s="1" t="n">
        <v>24.1</v>
      </c>
      <c r="I1147" s="1" t="n">
        <v>158.8</v>
      </c>
      <c r="J1147" s="1" t="n">
        <v>-9.3</v>
      </c>
      <c r="K1147" s="1" t="n">
        <v>107.6</v>
      </c>
      <c r="L1147" s="1" t="n">
        <v>0</v>
      </c>
      <c r="M1147" s="1" t="n">
        <v>0</v>
      </c>
      <c r="N1147" s="1" t="s">
        <v>648</v>
      </c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0" t="n">
        <f aca="false">I1147+0</f>
        <v>158.8</v>
      </c>
      <c r="AB1147" s="0" t="n">
        <f aca="false">IF(Z1147&gt;360,Z1147-360,Z1147+0)</f>
        <v>158.8</v>
      </c>
      <c r="AC1147" s="1"/>
      <c r="AD1147" s="1"/>
      <c r="AE1147" s="1"/>
      <c r="AF1147" s="1"/>
    </row>
    <row r="1148" customFormat="false" ht="15.8" hidden="false" customHeight="false" outlineLevel="0" collapsed="false">
      <c r="A1148" s="1" t="n">
        <v>21</v>
      </c>
      <c r="B1148" s="1" t="n">
        <v>6</v>
      </c>
      <c r="C1148" s="1" t="n">
        <v>1.1</v>
      </c>
      <c r="D1148" s="1" t="n">
        <v>1.1414</v>
      </c>
      <c r="E1148" s="1" t="n">
        <v>0.0300424</v>
      </c>
      <c r="F1148" s="1" t="n">
        <v>6.53744E-005</v>
      </c>
      <c r="G1148" s="1" t="s">
        <v>27</v>
      </c>
      <c r="H1148" s="1" t="n">
        <v>108.2</v>
      </c>
      <c r="I1148" s="1" t="n">
        <v>302.6</v>
      </c>
      <c r="J1148" s="1" t="n">
        <v>-22.6</v>
      </c>
      <c r="K1148" s="1"/>
      <c r="L1148" s="1" t="n">
        <v>0</v>
      </c>
      <c r="M1148" s="1" t="n">
        <v>0</v>
      </c>
      <c r="N1148" s="1" t="s">
        <v>648</v>
      </c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0" t="n">
        <f aca="false">I1148+0</f>
        <v>302.6</v>
      </c>
      <c r="AB1148" s="0" t="n">
        <f aca="false">IF(Z1148&gt;360,Z1148-360,Z1148+0)</f>
        <v>302.6</v>
      </c>
      <c r="AC1148" s="1"/>
      <c r="AD1148" s="1"/>
      <c r="AE1148" s="1"/>
      <c r="AF1148" s="1"/>
    </row>
    <row r="1149" customFormat="false" ht="15.8" hidden="false" customHeight="false" outlineLevel="0" collapsed="false">
      <c r="A1149" s="1" t="n">
        <v>21</v>
      </c>
      <c r="B1149" s="1" t="n">
        <v>5</v>
      </c>
      <c r="C1149" s="1" t="n">
        <v>2.2</v>
      </c>
      <c r="D1149" s="1" t="n">
        <v>1.3073</v>
      </c>
      <c r="E1149" s="1" t="n">
        <v>0.0608711</v>
      </c>
      <c r="F1149" s="1" t="n">
        <v>0.00013246</v>
      </c>
      <c r="G1149" s="1" t="s">
        <v>52</v>
      </c>
      <c r="H1149" s="1" t="n">
        <v>83.2</v>
      </c>
      <c r="I1149" s="1" t="n">
        <v>177.4</v>
      </c>
      <c r="J1149" s="1" t="n">
        <v>-25.8</v>
      </c>
      <c r="K1149" s="1" t="n">
        <v>108.2</v>
      </c>
      <c r="L1149" s="1" t="n">
        <v>0</v>
      </c>
      <c r="M1149" s="1" t="n">
        <v>0</v>
      </c>
      <c r="N1149" s="1" t="s">
        <v>644</v>
      </c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0" t="n">
        <f aca="false">I1149+0</f>
        <v>177.4</v>
      </c>
      <c r="AB1149" s="0" t="n">
        <f aca="false">IF(Z1149&gt;360,Z1149-360,Z1149+0)</f>
        <v>177.4</v>
      </c>
      <c r="AC1149" s="1"/>
      <c r="AD1149" s="1"/>
      <c r="AE1149" s="1"/>
      <c r="AF1149" s="1"/>
    </row>
    <row r="1150" customFormat="false" ht="15.8" hidden="false" customHeight="false" outlineLevel="0" collapsed="false">
      <c r="A1150" s="1" t="n">
        <v>21</v>
      </c>
      <c r="B1150" s="1" t="n">
        <v>4</v>
      </c>
      <c r="C1150" s="1" t="n">
        <v>5.3</v>
      </c>
      <c r="D1150" s="1" t="n">
        <v>1.1211</v>
      </c>
      <c r="E1150" s="1" t="n">
        <v>0.151912</v>
      </c>
      <c r="F1150" s="1" t="n">
        <v>0.000347723</v>
      </c>
      <c r="G1150" s="1" t="s">
        <v>52</v>
      </c>
      <c r="H1150" s="1" t="n">
        <v>68.4</v>
      </c>
      <c r="I1150" s="1" t="n">
        <v>92.8</v>
      </c>
      <c r="J1150" s="1" t="n">
        <v>-4.5</v>
      </c>
      <c r="K1150" s="1" t="n">
        <v>83.2</v>
      </c>
      <c r="L1150" s="1" t="n">
        <v>0</v>
      </c>
      <c r="M1150" s="1" t="n">
        <v>0</v>
      </c>
      <c r="N1150" s="1" t="s">
        <v>567</v>
      </c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0" t="n">
        <f aca="false">I1150+0</f>
        <v>92.8</v>
      </c>
      <c r="AB1150" s="0" t="n">
        <f aca="false">IF(Z1150&gt;360,Z1150-360,Z1150+0)</f>
        <v>92.8</v>
      </c>
      <c r="AC1150" s="1"/>
      <c r="AD1150" s="1"/>
      <c r="AE1150" s="1"/>
      <c r="AF1150" s="1"/>
    </row>
    <row r="1151" customFormat="false" ht="15.8" hidden="false" customHeight="false" outlineLevel="0" collapsed="false">
      <c r="A1151" s="1" t="n">
        <v>21</v>
      </c>
      <c r="B1151" s="1" t="n">
        <v>4</v>
      </c>
      <c r="C1151" s="1" t="n">
        <v>2.2</v>
      </c>
      <c r="D1151" s="1" t="n">
        <v>1.082</v>
      </c>
      <c r="E1151" s="1" t="n">
        <v>0.0736789</v>
      </c>
      <c r="F1151" s="1" t="n">
        <v>0.000200413</v>
      </c>
      <c r="G1151" s="1" t="s">
        <v>27</v>
      </c>
      <c r="H1151" s="1" t="n">
        <v>110.1</v>
      </c>
      <c r="I1151" s="1" t="n">
        <v>328.9</v>
      </c>
      <c r="J1151" s="1" t="n">
        <v>-10.7</v>
      </c>
      <c r="K1151" s="1"/>
      <c r="L1151" s="1" t="n">
        <v>0</v>
      </c>
      <c r="M1151" s="1" t="n">
        <v>0</v>
      </c>
      <c r="N1151" s="1" t="s">
        <v>567</v>
      </c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0" t="n">
        <f aca="false">I1151+0</f>
        <v>328.9</v>
      </c>
      <c r="AB1151" s="0" t="n">
        <f aca="false">IF(Z1151&gt;360,Z1151-360,Z1151+0)</f>
        <v>328.9</v>
      </c>
      <c r="AC1151" s="1"/>
      <c r="AD1151" s="1"/>
      <c r="AE1151" s="1"/>
      <c r="AF1151" s="1"/>
    </row>
    <row r="1152" customFormat="false" ht="15.8" hidden="false" customHeight="false" outlineLevel="0" collapsed="false">
      <c r="A1152" s="1" t="n">
        <v>21</v>
      </c>
      <c r="B1152" s="1" t="n">
        <v>3</v>
      </c>
      <c r="C1152" s="1" t="n">
        <v>4</v>
      </c>
      <c r="D1152" s="1" t="n">
        <v>1.2039</v>
      </c>
      <c r="E1152" s="1" t="n">
        <v>0.136061</v>
      </c>
      <c r="F1152" s="1" t="n">
        <v>0.000370098</v>
      </c>
      <c r="G1152" s="1" t="s">
        <v>52</v>
      </c>
      <c r="H1152" s="1" t="n">
        <v>66.5</v>
      </c>
      <c r="I1152" s="1" t="n">
        <v>82.9</v>
      </c>
      <c r="J1152" s="1" t="n">
        <v>63.5</v>
      </c>
      <c r="K1152" s="1" t="n">
        <v>110.1</v>
      </c>
      <c r="L1152" s="1" t="n">
        <v>0</v>
      </c>
      <c r="M1152" s="1" t="n">
        <v>0</v>
      </c>
      <c r="N1152" s="1" t="s">
        <v>520</v>
      </c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0" t="n">
        <f aca="false">I1152+0</f>
        <v>82.9</v>
      </c>
      <c r="AB1152" s="0" t="n">
        <f aca="false">IF(Z1152&gt;360,Z1152-360,Z1152+0)</f>
        <v>82.9</v>
      </c>
      <c r="AC1152" s="1"/>
      <c r="AD1152" s="1"/>
      <c r="AE1152" s="1"/>
      <c r="AF1152" s="1"/>
    </row>
    <row r="1153" customFormat="false" ht="15.8" hidden="false" customHeight="false" outlineLevel="0" collapsed="false">
      <c r="A1153" s="1" t="n">
        <v>21</v>
      </c>
      <c r="B1153" s="1" t="n">
        <v>2</v>
      </c>
      <c r="C1153" s="1" t="n">
        <v>0.8</v>
      </c>
      <c r="D1153" s="1" t="n">
        <v>1.0017</v>
      </c>
      <c r="E1153" s="1" t="n">
        <v>0.0282084</v>
      </c>
      <c r="F1153" s="1" t="n">
        <v>7.67293E-005</v>
      </c>
      <c r="G1153" s="1" t="s">
        <v>52</v>
      </c>
      <c r="H1153" s="1" t="n">
        <v>39.6</v>
      </c>
      <c r="I1153" s="1" t="n">
        <v>56.3</v>
      </c>
      <c r="J1153" s="1" t="n">
        <v>0</v>
      </c>
      <c r="K1153" s="1" t="n">
        <v>66.5</v>
      </c>
      <c r="L1153" s="1" t="n">
        <v>0</v>
      </c>
      <c r="M1153" s="1" t="n">
        <v>0</v>
      </c>
      <c r="N1153" s="1" t="s">
        <v>491</v>
      </c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0" t="n">
        <f aca="false">I1153+0</f>
        <v>56.3</v>
      </c>
      <c r="AB1153" s="0" t="n">
        <f aca="false">IF(Z1153&gt;360,Z1153-360,Z1153+0)</f>
        <v>56.3</v>
      </c>
      <c r="AC1153" s="1"/>
      <c r="AD1153" s="1"/>
      <c r="AE1153" s="1"/>
      <c r="AF1153" s="1"/>
    </row>
    <row r="1154" customFormat="false" ht="15.8" hidden="false" customHeight="false" outlineLevel="0" collapsed="false">
      <c r="A1154" s="1" t="n">
        <v>21</v>
      </c>
      <c r="B1154" s="1" t="n">
        <v>1</v>
      </c>
      <c r="C1154" s="1" t="n">
        <v>1.1</v>
      </c>
      <c r="D1154" s="1" t="n">
        <v>1.1504</v>
      </c>
      <c r="E1154" s="1" t="n">
        <v>0.0367423</v>
      </c>
      <c r="F1154" s="1" t="n">
        <v>9.99422E-005</v>
      </c>
      <c r="G1154" s="1" t="s">
        <v>52</v>
      </c>
      <c r="H1154" s="1"/>
      <c r="I1154" s="1" t="n">
        <v>89.2</v>
      </c>
      <c r="J1154" s="1" t="n">
        <v>23.3</v>
      </c>
      <c r="K1154" s="1" t="n">
        <v>102.4</v>
      </c>
      <c r="L1154" s="1" t="n">
        <v>0</v>
      </c>
      <c r="M1154" s="1" t="n">
        <v>0</v>
      </c>
      <c r="N1154" s="1" t="s">
        <v>649</v>
      </c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0" t="n">
        <f aca="false">I1154+0</f>
        <v>89.2</v>
      </c>
      <c r="AB1154" s="0" t="n">
        <f aca="false">IF(Z1154&gt;360,Z1154-360,Z1154+0)</f>
        <v>89.2</v>
      </c>
      <c r="AC1154" s="1"/>
      <c r="AD1154" s="1"/>
      <c r="AE1154" s="1"/>
      <c r="AF1154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187192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2017-05-29T00:16:18Z</dcterms:created>
  <dc:language>en-US</dc:language>
  <dcterms:modified xsi:type="dcterms:W3CDTF">2017-09-27T21:51:34Z</dcterms:modified>
  <cp:revision>5</cp:revision>
</cp:coreProperties>
</file>