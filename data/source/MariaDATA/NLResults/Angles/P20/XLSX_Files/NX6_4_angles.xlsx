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<sst xmlns="http://schemas.openxmlformats.org/spreadsheetml/2006/main" count="2540" uniqueCount="658">
  <si>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</si>
  <si>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</si>
  <si>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</si>
  <si>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</si>
  <si>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</si>
  <si>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</si>
  <si>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</si>
  <si>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</si>
  <si>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</si>
  <si>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</si>
  <si>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</si>
  <si>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</si>
  <si>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</si>
  <si>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</si>
  <si>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</si>
  <si>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</si>
  <si>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</si>
  <si>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</si>
  <si>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</si>
  <si>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</si>
  <si>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</si>
  <si>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</si>
  <si>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</si>
  <si>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</si>
  <si>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</si>
  <si>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</si>
  <si>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</si>
  <si>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</si>
  <si>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(37.65, -26.93, -10.53)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</si>
  <si>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</si>
  <si>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</si>
  <si>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</si>
  <si>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</si>
  <si>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</si>
  <si>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</si>
  <si>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</si>
  <si>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</si>
  <si>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</si>
  <si>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(37.74, -28.99, -9.36)</t>
  </si>
  <si>
    <t>[60:45]</t>
  </si>
  <si>
    <t>&gt;45 R</t>
  </si>
  <si>
    <t>-60,-45 R</t>
  </si>
  <si>
    <t>[30:45)</t>
  </si>
  <si>
    <t>(35.19, -30.50, -8.58)</t>
  </si>
  <si>
    <t>[45:30]</t>
  </si>
  <si>
    <t>&gt;30 R</t>
  </si>
  <si>
    <t>-45,-30 R</t>
  </si>
  <si>
    <t>[45:60)</t>
  </si>
  <si>
    <t>(34.77, -30.45, -8.58)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</si>
  <si>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</si>
  <si>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</si>
  <si>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</si>
  <si>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</si>
  <si>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</si>
  <si>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</si>
  <si>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</si>
  <si>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</si>
  <si>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[0]</t>
  </si>
  <si>
    <t>&gt;-15 R</t>
  </si>
  <si>
    <t>0,15 R</t>
  </si>
  <si>
    <t>(35.91, -30.04, -8.58)</t>
  </si>
  <si>
    <t>[0:15]</t>
  </si>
  <si>
    <t>&gt;-30 R</t>
  </si>
  <si>
    <t>15,30 R</t>
  </si>
  <si>
    <t>Sum</t>
  </si>
  <si>
    <t>(34.73, -32.86, -8.58)</t>
  </si>
  <si>
    <t>[15:30]</t>
  </si>
  <si>
    <t>&gt;-45 R</t>
  </si>
  <si>
    <t>30,45 R</t>
  </si>
  <si>
    <t>[30:45]</t>
  </si>
  <si>
    <t>&gt;-60 R</t>
  </si>
  <si>
    <t>45,60 R</t>
  </si>
  <si>
    <t>(34.99, -32.84, -8.58)</t>
  </si>
  <si>
    <t>[45:60]</t>
  </si>
  <si>
    <t>&gt;-75 R</t>
  </si>
  <si>
    <t>60,75 R</t>
  </si>
  <si>
    <t>(35.18, -34.56, -9.36)</t>
  </si>
  <si>
    <t>[60:75]</t>
  </si>
  <si>
    <t> &gt;-90 R</t>
  </si>
  <si>
    <t> 75,90 R</t>
  </si>
  <si>
    <t>[75:90]</t>
  </si>
  <si>
    <t>&gt;-90 L</t>
  </si>
  <si>
    <t>90,75 L</t>
  </si>
  <si>
    <t>&gt;-75 L</t>
  </si>
  <si>
    <t>75,60 L</t>
  </si>
  <si>
    <t>&gt;-60 L</t>
  </si>
  <si>
    <t>60,45 L</t>
  </si>
  <si>
    <t>&gt;-45 L</t>
  </si>
  <si>
    <t>45,30 L</t>
  </si>
  <si>
    <t>&gt;-30 L</t>
  </si>
  <si>
    <t>30,15 L</t>
  </si>
  <si>
    <t>(37.06, -29.25, -8.97)</t>
  </si>
  <si>
    <t>&gt;-15 L</t>
  </si>
  <si>
    <t>15,0 L</t>
  </si>
  <si>
    <t>(35.76, -28.47, -7.80)</t>
  </si>
  <si>
    <t>&gt;0 L</t>
  </si>
  <si>
    <t>0,-15 L</t>
  </si>
  <si>
    <t>&gt;15 L</t>
  </si>
  <si>
    <t>-15,-30 L</t>
  </si>
  <si>
    <t>(36.20, -28.40, -8.19)</t>
  </si>
  <si>
    <t>&gt;30 L</t>
  </si>
  <si>
    <t>-30,-45 L</t>
  </si>
  <si>
    <t>&gt;45 L</t>
  </si>
  <si>
    <t>-45,-60 L</t>
  </si>
  <si>
    <t>&gt;60 L</t>
  </si>
  <si>
    <t>-60,-75 L</t>
  </si>
  <si>
    <t>&gt;75 L</t>
  </si>
  <si>
    <t>-75,-90 L</t>
  </si>
  <si>
    <t>Total</t>
  </si>
  <si>
    <t>(41.06, -32.50, -11.31)</t>
  </si>
  <si>
    <t>Count</t>
  </si>
  <si>
    <t>Total L</t>
  </si>
  <si>
    <t>(38.29, -19.01, -3.12)</t>
  </si>
  <si>
    <t>(38.70, -25.34, -4.29)</t>
  </si>
  <si>
    <t>(39.13, -26.26, -6.24)</t>
  </si>
  <si>
    <t>(39.55, -26.52, -7.41)</t>
  </si>
  <si>
    <t>(41.56, -26.17, -7.02)</t>
  </si>
  <si>
    <t>(40.84, -26.22, -7.41)</t>
  </si>
  <si>
    <t>(40.24, -27.68, -8.58)</t>
  </si>
  <si>
    <t>(41.08, -27.20, -8.97)</t>
  </si>
  <si>
    <t>(41.29, -26.04, -8.97)</t>
  </si>
  <si>
    <t>(41.00, -33.81, -12.09)</t>
  </si>
  <si>
    <t>(41.59, -33.24, -12.09)</t>
  </si>
  <si>
    <t>(43.50, -36.53, -14.04)</t>
  </si>
  <si>
    <t>(43.94, -34.75, -12.87)</t>
  </si>
  <si>
    <t>(43.86, -34.11, -12.48)</t>
  </si>
  <si>
    <t>(44.19, -32.00, -11.31)</t>
  </si>
  <si>
    <t>(43.80, -31.77, -10.92)</t>
  </si>
  <si>
    <t>(44.57, -32.53, -11.70)</t>
  </si>
  <si>
    <t>(45.50, -33.74, -10.92)</t>
  </si>
  <si>
    <t>(46.08, -34.27, -10.92)</t>
  </si>
  <si>
    <t>(46.91, -35.57, -12.48)</t>
  </si>
  <si>
    <t>(45.37, -32.79, -11.31)</t>
  </si>
  <si>
    <t>(46.00, -31.73, -10.92)</t>
  </si>
  <si>
    <t>(46.38, -31.57, -11.70)</t>
  </si>
  <si>
    <t>(46.45, -33.11, -11.31)</t>
  </si>
  <si>
    <t>(48.05, -30.35, -12.87)</t>
  </si>
  <si>
    <t>(47.90, -31.38, -15.21)</t>
  </si>
  <si>
    <t>(48.70, -31.70, -15.60)</t>
  </si>
  <si>
    <t>(50.50, -31.99, -15.60)</t>
  </si>
  <si>
    <t>(45.98, -31.05, -10.14)</t>
  </si>
  <si>
    <t>(48.44, -29.80, -10.14)</t>
  </si>
  <si>
    <t>(48.69, -30.74, -10.53)</t>
  </si>
  <si>
    <t>(48.31, -32.36, -10.92)</t>
  </si>
  <si>
    <t>(48.60, -32.64, -10.53)</t>
  </si>
  <si>
    <t>(48.20, -29.43, -10.14)</t>
  </si>
  <si>
    <t>(47.80, -28.03, -9.36)</t>
  </si>
  <si>
    <t>(47.29, -27.31, -8.58)</t>
  </si>
  <si>
    <t>(46.81, -29.73, -10.53)</t>
  </si>
  <si>
    <t>(48.87, -25.09, -14.04)</t>
  </si>
  <si>
    <t>(49.72, -24.19, -14.43)</t>
  </si>
  <si>
    <t>(47.12, -27.49, -11.31)</t>
  </si>
  <si>
    <t>(41.24, -34.50, -12.09)</t>
  </si>
  <si>
    <t>(41.24, -34.72, -12.48)</t>
  </si>
  <si>
    <t>(41.27, -35.91, -13.26)</t>
  </si>
  <si>
    <t>(41.10, -36.74, -14.04)</t>
  </si>
  <si>
    <t>(44.61, -49.33, -22.23)</t>
  </si>
  <si>
    <t>(37.27, -50.79, -20.67)</t>
  </si>
  <si>
    <t>(39.68, -49.37, -22.23)</t>
  </si>
  <si>
    <t>(39.31, -50.95, -22.23)</t>
  </si>
  <si>
    <t>(40.19, -49.12, -22.23)</t>
  </si>
  <si>
    <t>(35.52, -48.74, -20.67)</t>
  </si>
  <si>
    <t>(33.28, -52.29, -20.67)</t>
  </si>
  <si>
    <t>(33.39, -53.99, -20.41)</t>
  </si>
  <si>
    <t>(37.45, -46.26, -20.67)</t>
  </si>
  <si>
    <t>(36.44, -43.92, -19.50)</t>
  </si>
  <si>
    <t>(38.25, -46.51, -20.67)</t>
  </si>
  <si>
    <t>(43.12, -50.11, -22.62)</t>
  </si>
  <si>
    <t>(38.19, -59.17, -27.30)</t>
  </si>
  <si>
    <t>(41.66, -54.58, -25.35)</t>
  </si>
  <si>
    <t>(42.46, -57.10, -25.74)</t>
  </si>
  <si>
    <t>(43.06, -57.39, -26.13)</t>
  </si>
  <si>
    <t>(42.14, -59.03, -25.74)</t>
  </si>
  <si>
    <t>(40.60, -56.90, -24.96)</t>
  </si>
  <si>
    <t>(42.86, -52.90, -24.57)</t>
  </si>
  <si>
    <t>(47.23, -55.47, -26.52)</t>
  </si>
  <si>
    <t>(44.06, -56.26, -26.13)</t>
  </si>
  <si>
    <t>(45.27, -58.27, -26.52)</t>
  </si>
  <si>
    <t>(43.24, -59.07, -26.91)</t>
  </si>
  <si>
    <t>(45.29, -47.81, -22.23)</t>
  </si>
  <si>
    <t>(40.98, -45.12, -22.62)</t>
  </si>
  <si>
    <t>(40.05, -44.39, -22.62)</t>
  </si>
  <si>
    <t>(41.15, -42.68, -20.28)</t>
  </si>
  <si>
    <t>(40.32, -43.83, -21.45)</t>
  </si>
  <si>
    <t>(33.08, -41.65, -22.23)</t>
  </si>
  <si>
    <t>(30.25, -38.02, -17.55)</t>
  </si>
  <si>
    <t>(30.82, -38.53, -18.33)</t>
  </si>
  <si>
    <t>(31.15, -39.46, -19.50)</t>
  </si>
  <si>
    <t>(32.15, -40.69, -20.67)</t>
  </si>
  <si>
    <t>(38.80, -42.71, -21.45)</t>
  </si>
  <si>
    <t>(37.34, -40.82, -22.23)</t>
  </si>
  <si>
    <t>(36.96, -41.53, -22.62)</t>
  </si>
  <si>
    <t>(38.90, -41.58, -21.45)</t>
  </si>
  <si>
    <t>(40.42, -40.71, -20.67)</t>
  </si>
  <si>
    <t>(40.02, -37.95, -19.89)</t>
  </si>
  <si>
    <t>(29.28, -22.98, -15.21)</t>
  </si>
  <si>
    <t>(27.64, -20.59, -15.21)</t>
  </si>
  <si>
    <t>(26.84, -14.33, -12.87)</t>
  </si>
  <si>
    <t>(28.29, -19.85, -14.43)</t>
  </si>
  <si>
    <t>(28.58, -20.08, -14.04)</t>
  </si>
  <si>
    <t>(27.46, -20.36, -14.82)</t>
  </si>
  <si>
    <t>(32.15, -23.82, -16.77)</t>
  </si>
  <si>
    <t>(31.87, -24.07, -16.38)</t>
  </si>
  <si>
    <t>(30.28, -26.11, -16.77)</t>
  </si>
  <si>
    <t>(24.11, -20.88, -17.55)</t>
  </si>
  <si>
    <t>(25.17, -21.05, -17.55)</t>
  </si>
  <si>
    <t>(24.17, -21.62, -16.38)</t>
  </si>
  <si>
    <t>(25.66, -24.12, -15.99)</t>
  </si>
  <si>
    <t>(28.42, -24.23, -16.77)</t>
  </si>
  <si>
    <t>(35.57, -32.04, -17.16)</t>
  </si>
  <si>
    <t>(35.79, -32.93, -17.16)</t>
  </si>
  <si>
    <t>(36.57, -34.32, -17.55)</t>
  </si>
  <si>
    <t>(35.78, -34.40, -17.16)</t>
  </si>
  <si>
    <t>(39.30, -37.90, -19.11)</t>
  </si>
  <si>
    <t>(41.42, -39.16, -20.67)</t>
  </si>
  <si>
    <t>(42.70, -39.05, -21.06)</t>
  </si>
  <si>
    <t>(42.45, -46.19, -22.23)</t>
  </si>
  <si>
    <t>(46.36, -46.37, -22.23)</t>
  </si>
  <si>
    <t>(54.99, -41.94, -26.91)</t>
  </si>
  <si>
    <t>(54.80, -42.61, -26.52)</t>
  </si>
  <si>
    <t>(53.75, -40.64, -26.52)</t>
  </si>
  <si>
    <t>(57.87, -33.92, -26.13)</t>
  </si>
  <si>
    <t>(56.66, -33.84, -26.13)</t>
  </si>
  <si>
    <t>(57.38, -31.89, -24.96)</t>
  </si>
  <si>
    <t>(57.09, -32.55, -25.35)</t>
  </si>
  <si>
    <t>(56.35, -32.11, -25.35)</t>
  </si>
  <si>
    <t>(51.28, -28.23, -25.35)</t>
  </si>
  <si>
    <t>(51.94, -28.87, -23.79)</t>
  </si>
  <si>
    <t>(53.05, -25.65, -24.96)</t>
  </si>
  <si>
    <t>(56.44, -25.67, -24.57)</t>
  </si>
  <si>
    <t>(53.05, -28.95, -23.79)</t>
  </si>
  <si>
    <t>(53.49, -29.12, -23.79)</t>
  </si>
  <si>
    <t>(54.73, -28.43, -24.96)</t>
  </si>
  <si>
    <t>(55.23, -30.57, -25.35)</t>
  </si>
  <si>
    <t>(51.95, -29.93, -26.91)</t>
  </si>
  <si>
    <t>(54.11, -30.10, -26.13)</t>
  </si>
  <si>
    <t>(55.01, -28.47, -27.30)</t>
  </si>
  <si>
    <t>(56.56, -26.69, -26.91)</t>
  </si>
  <si>
    <t>(63.56, -23.96, -27.30)</t>
  </si>
  <si>
    <t>(62.57, -25.19, -26.52)</t>
  </si>
  <si>
    <t>(59.04, -26.88, -27.30)</t>
  </si>
  <si>
    <t>(54.55, -30.08, -26.52)</t>
  </si>
  <si>
    <t>(54.48, -30.55, -25.35)</t>
  </si>
  <si>
    <t>(56.01, -32.40, -25.74)</t>
  </si>
  <si>
    <t>(57.52, -35.07, -26.13)</t>
  </si>
  <si>
    <t>(59.77, -35.98, -26.91)</t>
  </si>
  <si>
    <t>(58.66, -36.01, -26.13)</t>
  </si>
  <si>
    <t>(54.03, -38.23, -25.74)</t>
  </si>
  <si>
    <t>(53.08, -41.01, -25.35)</t>
  </si>
  <si>
    <t>(52.14, -40.89, -24.96)</t>
  </si>
  <si>
    <t>(51.87, -39.66, -24.96)</t>
  </si>
  <si>
    <t>(51.81, -41.64, -24.57)</t>
  </si>
  <si>
    <t>(51.56, -44.98, -24.18)</t>
  </si>
  <si>
    <t>(50.87, -43.36, -23.01)</t>
  </si>
  <si>
    <t>(49.18, -42.50, -21.45)</t>
  </si>
  <si>
    <t>(48.77, -41.73, -21.06)</t>
  </si>
  <si>
    <t>(37.11, -44.48, -26.13)</t>
  </si>
  <si>
    <t>(37.04, -43.47, -26.13)</t>
  </si>
  <si>
    <t>(34.53, -42.17, -25.35)</t>
  </si>
  <si>
    <t>(36.46, -42.79, -26.52)</t>
  </si>
  <si>
    <t>(36.34, -42.69, -26.52)</t>
  </si>
  <si>
    <t>(42.60, -45.99, -24.96)</t>
  </si>
  <si>
    <t>(41.47, -43.11, -23.79)</t>
  </si>
  <si>
    <t>(42.39, -46.79, -26.91)</t>
  </si>
  <si>
    <t>(36.04, -47.78, -28.08)</t>
  </si>
  <si>
    <t>(33.70, -48.28, -25.74)</t>
  </si>
  <si>
    <t>(34.55, -48.32, -24.96)</t>
  </si>
  <si>
    <t>(31.37, -47.79, -21.45)</t>
  </si>
  <si>
    <t>(31.69, -47.97, -22.23)</t>
  </si>
  <si>
    <t>(32.24, -47.57, -22.23)</t>
  </si>
  <si>
    <t>(32.61, -48.33, -22.23)</t>
  </si>
  <si>
    <t>(35.75, -48.12, -25.35)</t>
  </si>
  <si>
    <t>(38.02, -47.00, -27.69)</t>
  </si>
  <si>
    <t>(36.40, -45.65, -26.91)</t>
  </si>
  <si>
    <t>(46.17, -45.74, -23.01)</t>
  </si>
  <si>
    <t>(54.95, -46.23, -21.82)</t>
  </si>
  <si>
    <t>(54.87, -44.63, -18.70)</t>
  </si>
  <si>
    <t>(52.38, -44.61, -17.14)</t>
  </si>
  <si>
    <t>(52.59, -44.20, -18.31)</t>
  </si>
  <si>
    <t>(53.72, -46.61, -20.26)</t>
  </si>
  <si>
    <t>(53.40, -46.97, -20.65)</t>
  </si>
  <si>
    <t>(51.83, -43.13, -17.14)</t>
  </si>
  <si>
    <t>(51.40, -42.69, -16.75)</t>
  </si>
  <si>
    <t>(48.14, -39.89, -10.90)</t>
  </si>
  <si>
    <t>(50.22, -43.63, -14.80)</t>
  </si>
  <si>
    <t>(52.22, -44.26, -17.14)</t>
  </si>
  <si>
    <t>(51.11, -45.04, -15.97)</t>
  </si>
  <si>
    <t>(51.53, -46.65, -16.49)</t>
  </si>
  <si>
    <t>(51.91, -45.53, -16.49)</t>
  </si>
  <si>
    <t>(53.76, -44.77, -16.49)</t>
  </si>
  <si>
    <t>(54.58, -45.63, -21.04)</t>
  </si>
  <si>
    <t>(55.54, -47.46, -25.85)</t>
  </si>
  <si>
    <t>(55.37, -46.17, -25.07)</t>
  </si>
  <si>
    <t>(55.51, -46.21, -21.82)</t>
  </si>
  <si>
    <t>(58.72, -46.08, -21.04)</t>
  </si>
  <si>
    <t>(59.50, -45.83, -19.87)</t>
  </si>
  <si>
    <t>(61.28, -45.69, -19.48)</t>
  </si>
  <si>
    <t>(62.63, -46.53, -21.43)</t>
  </si>
  <si>
    <t>(63.67, -46.34, -21.82)</t>
  </si>
  <si>
    <t>(61.18, -46.19, -19.09)</t>
  </si>
  <si>
    <t>(60.82, -47.20, -17.53)</t>
  </si>
  <si>
    <t>(64.38, -48.07, -19.48)</t>
  </si>
  <si>
    <t>(65.93, -47.04, -19.87)</t>
  </si>
  <si>
    <t>(68.93, -48.14, -19.87)</t>
  </si>
  <si>
    <t>(68.90, -50.04, -21.43)</t>
  </si>
  <si>
    <t>(64.75, -47.76, -19.87)</t>
  </si>
  <si>
    <t>(62.63, -46.92, -18.70)</t>
  </si>
  <si>
    <t>(63.43, -47.13, -16.90)</t>
  </si>
  <si>
    <t>(65.41, -47.71, -16.90)</t>
  </si>
  <si>
    <t>(66.02, -48.54, -17.29)</t>
  </si>
  <si>
    <t>(67.79, -48.48, -18.07)</t>
  </si>
  <si>
    <t>(68.48, -48.56, -18.07)</t>
  </si>
  <si>
    <t>(71.12, -49.71, -18.85)</t>
  </si>
  <si>
    <t>(72.32, -50.43, -19.24)</t>
  </si>
  <si>
    <t>(69.45, -48.81, -18.85)</t>
  </si>
  <si>
    <t>(70.16, -50.49, -18.85)</t>
  </si>
  <si>
    <t>(72.41, -51.79, -18.85)</t>
  </si>
  <si>
    <t>(64.80, -46.10, -16.12)</t>
  </si>
  <si>
    <t>(66.68, -45.33, -15.73)</t>
  </si>
  <si>
    <t>(64.42, -45.54, -16.12)</t>
  </si>
  <si>
    <t>(65.35, -45.79, -13.00)</t>
  </si>
  <si>
    <t>(65.53, -46.58, -13.39)</t>
  </si>
  <si>
    <t>(65.92, -44.63, -13.39)</t>
  </si>
  <si>
    <t>(67.43, -41.37, -11.44)</t>
  </si>
  <si>
    <t>(65.57, -37.60, -10.66)</t>
  </si>
  <si>
    <t>(67.23, -38.71, -11.05)</t>
  </si>
  <si>
    <t>(68.14, -35.97, -10.66)</t>
  </si>
  <si>
    <t>(69.03, -35.69, -11.05)</t>
  </si>
  <si>
    <t>(70.88, -35.90, -11.83)</t>
  </si>
  <si>
    <t>(61.76, -46.39, -18.70)</t>
  </si>
  <si>
    <t>(59.21, -45.90, -20.65)</t>
  </si>
  <si>
    <t>(60.07, -46.75, -21.82)</t>
  </si>
  <si>
    <t>(61.48, -47.04, -22.99)</t>
  </si>
  <si>
    <t>(62.44, -46.30, -23.38)</t>
  </si>
  <si>
    <t>(62.30, -45.97, -23.38)</t>
  </si>
  <si>
    <t>(62.45, -44.94, -23.77)</t>
  </si>
  <si>
    <t>(57.53, -45.44, -20.65)</t>
  </si>
  <si>
    <t>(56.96, -46.55, -19.48)</t>
  </si>
  <si>
    <t>(58.71, -43.90, -21.04)</t>
  </si>
  <si>
    <t>(58.79, -43.05, -20.65)</t>
  </si>
  <si>
    <t>(56.66, -45.16, -21.43)</t>
  </si>
  <si>
    <t>(59.17, -41.91, -22.21)</t>
  </si>
  <si>
    <t>(58.68, -42.78, -22.21)</t>
  </si>
  <si>
    <t>(57.84, -45.56, -23.38)</t>
  </si>
  <si>
    <t>(56.30, -46.57, -23.77)</t>
  </si>
  <si>
    <t>(52.78, -49.73, -22.60)</t>
  </si>
  <si>
    <t>(55.58, -50.35, -23.40)</t>
  </si>
  <si>
    <t>(56.79, -51.90, -24.57)</t>
  </si>
  <si>
    <t>(57.07, -51.50, -24.57)</t>
  </si>
  <si>
    <t>(62.39, -53.11, -30.03)</t>
  </si>
  <si>
    <t>(64.08, -54.42, -29.64)</t>
  </si>
  <si>
    <t>(60.50, -49.66, -28.08)</t>
  </si>
  <si>
    <t>(59.22, -50.61, -26.52)</t>
  </si>
  <si>
    <t>(61.67, -49.20, -25.74)</t>
  </si>
  <si>
    <t>(63.89, -49.59, -26.52)</t>
  </si>
  <si>
    <t>(65.51, -47.73, -26.91)</t>
  </si>
  <si>
    <t>(73.61, -47.96, -26.13)</t>
  </si>
  <si>
    <t>(54.84, -50.37, -23.01)</t>
  </si>
  <si>
    <t>(47.39, -39.51, -17.55)</t>
  </si>
  <si>
    <t>(46.65, -38.54, -17.94)</t>
  </si>
  <si>
    <t>(46.37, -39.27, -19.11)</t>
  </si>
  <si>
    <t>(48.40, -41.68, -20.28)</t>
  </si>
  <si>
    <t>(59.33, -44.40, -27.82)</t>
  </si>
  <si>
    <t>(58.56, -43.68, -26.65)</t>
  </si>
  <si>
    <t>(55.82, -44.87, -26.26)</t>
  </si>
  <si>
    <t>(56.45, -45.94, -25.48)</t>
  </si>
  <si>
    <t>(54.57, -44.67, -25.87)</t>
  </si>
  <si>
    <t>(54.02, -45.01, -26.26)</t>
  </si>
  <si>
    <t>(53.79, -46.08, -26.65)</t>
  </si>
  <si>
    <t>(51.99, -47.55, -23.79)</t>
  </si>
  <si>
    <t>(52.48, -49.48, -24.18)</t>
  </si>
  <si>
    <t>(52.86, -50.76, -24.96)</t>
  </si>
  <si>
    <t>(51.58, -47.48, -23.01)</t>
  </si>
  <si>
    <t>(49.06, -42.92, -23.79)</t>
  </si>
  <si>
    <t>(49.29, -49.03, -27.28)</t>
  </si>
  <si>
    <t>(52.18, -52.08, -28.45)</t>
  </si>
  <si>
    <t>(52.98, -52.61, -28.45)</t>
  </si>
  <si>
    <t>(51.65, -50.63, -28.84)</t>
  </si>
  <si>
    <t>(50.38, -49.10, -28.06)</t>
  </si>
  <si>
    <t>(51.65, -43.35, -28.06)</t>
  </si>
  <si>
    <t>(51.98, -43.15, -28.84)</t>
  </si>
  <si>
    <t>(53.11, -43.62, -30.40)</t>
  </si>
  <si>
    <t>(52.72, -44.81, -31.18)</t>
  </si>
  <si>
    <t>(50.87, -43.19, -27.67)</t>
  </si>
  <si>
    <t>(49.77, -43.67, -26.50)</t>
  </si>
  <si>
    <t>(50.58, -48.65, -28.84)</t>
  </si>
  <si>
    <t>(52.74, -48.37, -28.45)</t>
  </si>
  <si>
    <t>(52.04, -49.37, -29.62)</t>
  </si>
  <si>
    <t>(50.69, -51.49, -32.35)</t>
  </si>
  <si>
    <t>(47.32, -52.94, -36.40)</t>
  </si>
  <si>
    <t>(44.71, -49.13, -37.18)</t>
  </si>
  <si>
    <t>(46.01, -50.03, -36.40)</t>
  </si>
  <si>
    <t>(49.09, -51.78, -34.84)</t>
  </si>
  <si>
    <t>(50.05, -52.78, -34.45)</t>
  </si>
  <si>
    <t>(53.04, -54.34, -34.84)</t>
  </si>
  <si>
    <t>(54.80, -63.02, -36.01)</t>
  </si>
  <si>
    <t>(53.91, -60.91, -35.23)</t>
  </si>
  <si>
    <t>(50.09, -51.57, -32.74)</t>
  </si>
  <si>
    <t>(47.42, -52.26, -29.62)</t>
  </si>
  <si>
    <t>(46.07, -52.87, -30.40)</t>
  </si>
  <si>
    <t>(46.88, -52.22, -30.01)</t>
  </si>
  <si>
    <t>(45.28, -51.24, -30.01)</t>
  </si>
  <si>
    <t>(43.79, -50.57, -29.62)</t>
  </si>
  <si>
    <t>(43.60, -51.26, -30.40)</t>
  </si>
  <si>
    <t>(48.80, -45.58, -24.55)</t>
  </si>
  <si>
    <t>(43.78, -39.61, -26.91)</t>
  </si>
  <si>
    <t>(45.00, -40.75, -27.69)</t>
  </si>
  <si>
    <t>(43.00, -39.18, -26.13)</t>
  </si>
  <si>
    <t>(40.61, -33.87, -25.35)</t>
  </si>
  <si>
    <t>(42.64, -37.72, -21.84)</t>
  </si>
  <si>
    <t>(41.20, -38.06, -22.23)</t>
  </si>
  <si>
    <t>(38.91, -40.37, -23.79)</t>
  </si>
  <si>
    <t>(39.57, -38.32, -22.62)</t>
  </si>
  <si>
    <t>(38.47, -37.33, -23.01)</t>
  </si>
  <si>
    <t>(37.73, -37.94, -23.40)</t>
  </si>
  <si>
    <t>(43.40, -37.26, -21.84)</t>
  </si>
  <si>
    <t>(42.26, -23.90, -19.89)</t>
  </si>
  <si>
    <t>(42.06, -30.26, -20.28)</t>
  </si>
  <si>
    <t>(41.36, -29.33, -19.89)</t>
  </si>
  <si>
    <t>(41.82, -31.98, -20.28)</t>
  </si>
  <si>
    <t>(39.90, -30.51, -18.33)</t>
  </si>
  <si>
    <t>(38.95, -30.06, -17.94)</t>
  </si>
  <si>
    <t>(36.55, -29.64, -16.77)</t>
  </si>
  <si>
    <t>(36.46, -28.27, -16.77)</t>
  </si>
  <si>
    <t>(36.61, -27.54, -16.77)</t>
  </si>
  <si>
    <t>(34.44, -25.74, -15.60)</t>
  </si>
  <si>
    <t>(46.16, -41.49, -21.84)</t>
  </si>
  <si>
    <t>(43.82, -33.86, -22.62)</t>
  </si>
  <si>
    <t>(45.08, -35.55, -22.62)</t>
  </si>
  <si>
    <t>(44.46, -34.30, -21.84)</t>
  </si>
  <si>
    <t>(45.12, -30.29, -20.67)</t>
  </si>
  <si>
    <t>(45.28, -28.87, -20.28)</t>
  </si>
  <si>
    <t>(48.81, -27.29, -20.67)</t>
  </si>
  <si>
    <t>(55.76, -26.96, -21.06)</t>
  </si>
  <si>
    <t>(56.80, -27.62, -21.06)</t>
  </si>
  <si>
    <t>(52.93, -27.95, -20.28)</t>
  </si>
  <si>
    <t>(53.83, -29.34, -17.55)</t>
  </si>
  <si>
    <t>(48.81, -27.11, -21.45)</t>
  </si>
  <si>
    <t>(48.04, -26.76, -21.84)</t>
  </si>
  <si>
    <t>(48.33, -25.57, -22.62)</t>
  </si>
  <si>
    <t>(47.48, -27.38, -20.28)</t>
  </si>
  <si>
    <t>(49.25, -21.44, -18.72)</t>
  </si>
  <si>
    <t>(46.84, -20.40, -17.94)</t>
  </si>
  <si>
    <t>(45.89, -38.89, -23.01)</t>
  </si>
  <si>
    <t>(55.30, -59.88, -23.79)</t>
  </si>
  <si>
    <t>(52.77, -54.86, -22.23)</t>
  </si>
  <si>
    <t>(52.88, -53.34, -21.06)</t>
  </si>
  <si>
    <t>(55.71, -68.36, -18.33)</t>
  </si>
  <si>
    <t>(56.42, -66.37, -18.33)</t>
  </si>
  <si>
    <t>(55.86, -65.64, -18.33)</t>
  </si>
  <si>
    <t>(55.68, -64.69, -18.33)</t>
  </si>
  <si>
    <t>(56.01, -63.68, -18.33)</t>
  </si>
  <si>
    <t>(53.33, -59.65, -20.28)</t>
  </si>
  <si>
    <t>(53.95, -59.63, -20.28)</t>
  </si>
  <si>
    <t>(52.47, -58.58, -19.89)</t>
  </si>
  <si>
    <t>(52.54, -56.25, -21.06)</t>
  </si>
  <si>
    <t>(52.21, -55.44, -21.84)</t>
  </si>
  <si>
    <t>(50.90, -51.46, -21.84)</t>
  </si>
  <si>
    <t>(49.32, -44.51, -17.16)</t>
  </si>
  <si>
    <t>(51.20, -47.11, -19.89)</t>
  </si>
  <si>
    <t>(52.01, -46.56, -19.89)</t>
  </si>
  <si>
    <t>(50.43, -46.35, -19.50)</t>
  </si>
  <si>
    <t>(49.58, -47.13, -19.50)</t>
  </si>
  <si>
    <t>(47.99, -43.88, -15.99)</t>
  </si>
  <si>
    <t>(47.85, -42.39, -14.82)</t>
  </si>
  <si>
    <t>(44.93, -42.59, -13.26)</t>
  </si>
  <si>
    <t>(43.64, -40.86, -10.92)</t>
  </si>
  <si>
    <t>(44.02, -40.54, -10.14)</t>
  </si>
  <si>
    <t>(45.14, -41.72, -12.09)</t>
  </si>
  <si>
    <t>(45.19, -40.77, -11.31)</t>
  </si>
  <si>
    <t>(44.66, -43.17, -11.70)</t>
  </si>
  <si>
    <t>(47.75, -42.03, -14.82)</t>
  </si>
  <si>
    <t>(47.20, -38.05, -13.65)</t>
  </si>
  <si>
    <t>(46.01, -45.73, -16.51)</t>
  </si>
  <si>
    <t>(55.58, -58.16, -17.55)</t>
  </si>
  <si>
    <t>(46.11, -50.87, -19.50)</t>
  </si>
  <si>
    <t>(46.66, -52.99, -19.50)</t>
  </si>
  <si>
    <t>(46.11, -54.70, -19.50)</t>
  </si>
  <si>
    <t>(45.52, -55.32, -18.72)</t>
  </si>
  <si>
    <t>(48.15, -54.45, -17.16)</t>
  </si>
  <si>
    <t>(46.03, -50.02, -14.43)</t>
  </si>
  <si>
    <t>(46.74, -49.22, -14.43)</t>
  </si>
  <si>
    <t>(46.58, -50.96, -14.82)</t>
  </si>
  <si>
    <t>(44.44, -52.93, -12.87)</t>
  </si>
  <si>
    <t>(45.41, -51.72, -13.65)</t>
  </si>
  <si>
    <t>(47.07, -50.46, -15.21)</t>
  </si>
  <si>
    <t>(48.22, -52.85, -16.77)</t>
  </si>
  <si>
    <t>(49.37, -55.49, -17.16)</t>
  </si>
  <si>
    <t>(53.03, -55.15, -17.55)</t>
  </si>
  <si>
    <t>(49.45, -60.12, -17.16)</t>
  </si>
  <si>
    <t>(51.40, -60.72, -19.11)</t>
  </si>
  <si>
    <t>(51.08, -61.79, -19.11)</t>
  </si>
  <si>
    <t>(53.26, -64.15, -19.11)</t>
  </si>
  <si>
    <t>(48.05, -66.79, -20.41)</t>
  </si>
  <si>
    <t>(47.41, -67.58, -20.41)</t>
  </si>
  <si>
    <t>(53.01, -64.66, -20.80)</t>
  </si>
  <si>
    <t>(52.58, -64.43, -19.11)</t>
  </si>
  <si>
    <t>(52.38, -64.53, -19.11)</t>
  </si>
  <si>
    <t>(51.90, -64.73, -18.72)</t>
  </si>
  <si>
    <t>(48.96, -65.29, -15.60)</t>
  </si>
  <si>
    <t>(48.77, -65.90, -15.99)</t>
  </si>
  <si>
    <t>(50.12, -67.33, -15.99)</t>
  </si>
  <si>
    <t>(49.09, -66.49, -15.60)</t>
  </si>
  <si>
    <t>(48.19, -66.88, -15.21)</t>
  </si>
  <si>
    <t>(50.08, -65.79, -17.94)</t>
  </si>
  <si>
    <t>(49.20, -62.87, -16.77)</t>
  </si>
  <si>
    <t>(51.25, -62.44, -19.11)</t>
  </si>
  <si>
    <t>(51.25, -62.61, -20.02)</t>
  </si>
  <si>
    <t>(52.32, -63.92, -21.58)</t>
  </si>
  <si>
    <t>(48.51, -60.10, -16.77)</t>
  </si>
  <si>
    <t>(47.89, -62.33, -16.77)</t>
  </si>
  <si>
    <t>(47.41, -59.02, -16.77)</t>
  </si>
  <si>
    <t>(50.85, -59.92, -16.77)</t>
  </si>
  <si>
    <t>(51.46, -59.67, -16.38)</t>
  </si>
  <si>
    <t>(53.19, -60.07, -16.77)</t>
  </si>
  <si>
    <t>(53.80, -60.21, -16.77)</t>
  </si>
  <si>
    <t>(54.26, -64.85, -17.16)</t>
  </si>
  <si>
    <t>(53.27, -63.99, -16.77)</t>
  </si>
  <si>
    <t>(56.34, -57.71, -18.46)</t>
  </si>
  <si>
    <t>(57.85, -58.37, -17.55)</t>
  </si>
  <si>
    <t>(58.65, -60.87, -15.60)</t>
  </si>
  <si>
    <t>(59.83, -62.55, -15.60)</t>
  </si>
  <si>
    <t>(60.53, -63.73, -17.16)</t>
  </si>
  <si>
    <t>(59.18, -62.29, -15.21)</t>
  </si>
  <si>
    <t>(58.85, -62.79, -14.04)</t>
  </si>
  <si>
    <t>(60.57, -63.48, -12.09)</t>
  </si>
  <si>
    <t>(59.45, -68.18, -8.19)</t>
  </si>
  <si>
    <t>(57.70, -67.47, -8.19)</t>
  </si>
  <si>
    <t>(57.51, -70.16, -7.41)</t>
  </si>
  <si>
    <t>(57.39, -65.29, -8.97)</t>
  </si>
  <si>
    <t>(56.02, -65.69, -7.02)</t>
  </si>
  <si>
    <t>(50.78, -65.86, -4.29)</t>
  </si>
  <si>
    <t>(52.46, -66.24, -5.07)</t>
  </si>
  <si>
    <t>(54.66, -66.41, -5.85)</t>
  </si>
  <si>
    <t>(54.83, -67.18, -6.63)</t>
  </si>
  <si>
    <t>(58.91, -64.28, -9.36)</t>
  </si>
  <si>
    <t>(59.45, -64.03, -9.36)</t>
  </si>
  <si>
    <t>(61.11, -62.83, -11.31)</t>
  </si>
  <si>
    <t>(62.02, -61.71, -10.92)</t>
  </si>
  <si>
    <t>(64.19, -62.21, -11.31)</t>
  </si>
  <si>
    <t>(62.14, -64.21, -12.87)</t>
  </si>
  <si>
    <t>(62.72, -63.86, -12.87)</t>
  </si>
  <si>
    <t>(63.60, -62.46, -13.26)</t>
  </si>
  <si>
    <t>(64.87, -61.33, -13.65)</t>
  </si>
  <si>
    <t>(68.11, -60.85, -17.16)</t>
  </si>
  <si>
    <t>(68.60, -59.31, -15.99)</t>
  </si>
  <si>
    <t>(63.32, -64.13, -13.26)</t>
  </si>
  <si>
    <t>(62.99, -69.13, -13.65)</t>
  </si>
  <si>
    <t>(60.31, -71.61, -14.04)</t>
  </si>
  <si>
    <t>(63.98, -66.01, -13.65)</t>
  </si>
  <si>
    <t>(66.50, -66.92, -12.48)</t>
  </si>
  <si>
    <t>(66.80, -66.71, -12.09)</t>
  </si>
  <si>
    <t>(64.91, -65.56, -13.65)</t>
  </si>
  <si>
    <t>(66.78, -64.72, -14.04)</t>
  </si>
  <si>
    <t>(66.33, -64.14, -14.04)</t>
  </si>
  <si>
    <t>(68.82, -64.15, -14.04)</t>
  </si>
  <si>
    <t>(66.71, -63.68, -13.65)</t>
  </si>
  <si>
    <t>(70.10, -57.69, -10.92)</t>
  </si>
  <si>
    <t>(58.30, -62.09, -12.48)</t>
  </si>
  <si>
    <t>(55.55, -62.25, -10.14)</t>
  </si>
  <si>
    <t>(56.33, -61.85, -10.92)</t>
  </si>
  <si>
    <t>(53.69, -61.63, -9.75)</t>
  </si>
  <si>
    <t>(55.42, -61.49, -10.92)</t>
  </si>
  <si>
    <t>(58.57, -60.23, -16.38)</t>
  </si>
  <si>
    <t>(60.44, -60.32, -15.21)</t>
  </si>
  <si>
    <t>(60.87, -59.99, -15.99)</t>
  </si>
  <si>
    <t>(62.63, -59.33, -16.38)</t>
  </si>
  <si>
    <t>(65.25, -57.17, -15.60)</t>
  </si>
  <si>
    <t>(57.87, -58.78, -17.55)</t>
  </si>
  <si>
    <t>(55.64, -61.79, -15.60)</t>
  </si>
  <si>
    <t>(54.32, -76.89, -15.99)</t>
  </si>
  <si>
    <t>(53.43, -76.38, -15.99)</t>
  </si>
  <si>
    <t>(54.38, -71.92, -15.21)</t>
  </si>
  <si>
    <t>(56.37, -75.14, -15.60)</t>
  </si>
  <si>
    <t>(56.81, -78.78, -15.99)</t>
  </si>
  <si>
    <t>(58.64, -79.84, -17.16)</t>
  </si>
  <si>
    <t>(57.17, -79.85, -15.60)</t>
  </si>
  <si>
    <t>(57.72, -84.81, -16.77)</t>
  </si>
  <si>
    <t>(57.77, -83.66, -16.77)</t>
  </si>
  <si>
    <t>(56.65, -89.05, -14.43)</t>
  </si>
  <si>
    <t>(55.81, -89.51, -14.04)</t>
  </si>
  <si>
    <t>(63.30, -89.68, -17.16)</t>
  </si>
  <si>
    <t>(63.69, -89.68, -16.77)</t>
  </si>
  <si>
    <t>(64.81, -54.37, -14.04)</t>
  </si>
  <si>
    <t>(61.82, -51.59, -13.65)</t>
  </si>
  <si>
    <t>(60.84, -50.58, -13.65)</t>
  </si>
  <si>
    <t>(59.65, -48.49, -14.04)</t>
  </si>
  <si>
    <t>(58.15, -44.64, -13.65)</t>
  </si>
  <si>
    <t>(57.76, -44.14, -13.65)</t>
  </si>
  <si>
    <t>(56.59, -44.65, -13.65)</t>
  </si>
  <si>
    <t>(55.96, -46.04, -13.65)</t>
  </si>
  <si>
    <t>(56.69, -46.00, -14.04)</t>
  </si>
  <si>
    <t>(54.91, -49.12, -13.65)</t>
  </si>
  <si>
    <t>(54.31, -46.18, -11.70)</t>
  </si>
  <si>
    <t>(54.35, -45.63, -10.92)</t>
  </si>
  <si>
    <t>(55.34, -52.42, -14.82)</t>
  </si>
  <si>
    <t>(54.85, -54.07, -14.82)</t>
  </si>
  <si>
    <t>(52.98, -52.29, -10.53)</t>
  </si>
  <si>
    <t>(53.06, -54.25, -11.70)</t>
  </si>
  <si>
    <t>(55.06, -54.11, -15.99)</t>
  </si>
  <si>
    <t>(54.93, -55.06, -16.77)</t>
  </si>
  <si>
    <t>(54.15, -56.63, -20.80)</t>
  </si>
  <si>
    <t>(57.87, -56.00, -24.18)</t>
  </si>
  <si>
    <t>(58.06, -56.43, -26.13)</t>
  </si>
  <si>
    <t>(57.50, -53.47, -30.81)</t>
  </si>
  <si>
    <t>(58.94, -52.91, -32.76)</t>
  </si>
  <si>
    <t>(57.48, -51.93, -32.37)</t>
  </si>
  <si>
    <t>(56.57, -51.01, -32.76)</t>
  </si>
  <si>
    <t>(57.23, -49.61, -33.54)</t>
  </si>
  <si>
    <t>(57.71, -48.91, -34.32)</t>
  </si>
  <si>
    <t>(57.72, -54.03, -29.64)</t>
  </si>
  <si>
    <t>(58.70, -56.91, -21.06)</t>
  </si>
  <si>
    <t>(60.14, -59.45, -20.67)</t>
  </si>
  <si>
    <t>(61.34, -60.59, -20.28)</t>
  </si>
  <si>
    <t>(63.49, -61.27, -20.67)</t>
  </si>
  <si>
    <t>(64.28, -62.21, -20.67)</t>
  </si>
  <si>
    <t>(59.70, -56.79, -21.45)</t>
  </si>
  <si>
    <t>(61.27, -55.38, -21.45)</t>
  </si>
  <si>
    <t>(69.35, -54.98, -25.74)</t>
  </si>
  <si>
    <t>(69.15, -53.35, -23.40)</t>
  </si>
  <si>
    <t>(69.43, -52.62, -22.62)</t>
  </si>
  <si>
    <t>(61.77, -53.42, -20.67)</t>
  </si>
  <si>
    <t>(60.23, -56.75, -21.06)</t>
  </si>
  <si>
    <t>(55.25, -57.67, -20.80)</t>
  </si>
  <si>
    <t>(55.36, -58.29, -20.80)</t>
  </si>
  <si>
    <t>(57.16, -61.21, -20.67)</t>
  </si>
  <si>
    <t>(56.17, -60.73, -20.67)</t>
  </si>
  <si>
    <t>(55.59, -60.42, -20.67)</t>
  </si>
  <si>
    <t>(45.76, -68.26, -24.57)</t>
  </si>
  <si>
    <t>(49.12, -77.33, -24.96)</t>
  </si>
  <si>
    <t>(48.04, -77.79, -25.74)</t>
  </si>
  <si>
    <t>(45.84, -75.70, -24.96)</t>
  </si>
  <si>
    <t>(43.25, -78.11, -25.35)</t>
  </si>
  <si>
    <t>(47.33, -67.68, -23.79)</t>
  </si>
  <si>
    <t>(48.37, -65.66, -23.79)</t>
  </si>
  <si>
    <t>(47.95, -63.90, -23.79)</t>
  </si>
  <si>
    <t>(48.40, -60.45, -25.35)</t>
  </si>
  <si>
    <t>(51.40, -67.44, -23.79)</t>
  </si>
  <si>
    <t>(53.86, -67.25, -23.40)</t>
  </si>
  <si>
    <t>(55.60, -55.14, -24.96)</t>
  </si>
  <si>
    <t>(57.38, -57.53, -24.96)</t>
  </si>
  <si>
    <t>(59.66, -58.22, -24.18)</t>
  </si>
  <si>
    <t>(54.95, -66.23, -23.40)</t>
  </si>
  <si>
    <t>(57.78, -72.72, -23.79)</t>
  </si>
  <si>
    <t>(53.88, -67.37, -22.62)</t>
  </si>
  <si>
    <t>(53.76, -74.55, -21.06)</t>
  </si>
  <si>
    <t>(54.00, -85.34, -22.23)</t>
  </si>
  <si>
    <t>(54.69, -82.77, -22.23)</t>
  </si>
  <si>
    <t>(55.32, -78.68, -22.62)</t>
  </si>
  <si>
    <t>(52.27, -71.41, -21.06)</t>
  </si>
  <si>
    <t>(54.62, -64.67, -21.45)</t>
  </si>
  <si>
    <t>(54.83, -62.33, -20.67)</t>
  </si>
  <si>
    <t>(53.43, -53.48, -21.19)</t>
  </si>
  <si>
    <t>(51.04, -55.39, -20.41)</t>
  </si>
  <si>
    <t>(50.89, -51.73, -21.58)</t>
  </si>
  <si>
    <t>(49.91, -50.91, -20.41)</t>
  </si>
  <si>
    <t>(51.03, -52.27, -19.63)</t>
  </si>
  <si>
    <t>(48.74, -49.29, -20.41)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</si>
</sst>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12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1.1581632653061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8</v>
      </c>
      <c r="C2" s="1" t="n">
        <v>4.1</v>
      </c>
      <c r="D2" s="1" t="n">
        <v>1.193</v>
      </c>
      <c r="E2" s="1" t="n">
        <v>0.147648</v>
      </c>
      <c r="F2" s="1" t="n">
        <v>0.00042439</v>
      </c>
      <c r="G2" s="1" t="s">
        <v>27</v>
      </c>
      <c r="H2" s="1" t="n">
        <v>60.9</v>
      </c>
      <c r="I2" s="1" t="n">
        <v>137.5</v>
      </c>
      <c r="J2" s="1" t="n">
        <v>13.2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47</v>
      </c>
      <c r="Q2" s="1" t="s">
        <v>29</v>
      </c>
      <c r="R2" s="1" t="n">
        <f aca="false">COUNTIF(J$2:J$1500,"&lt;-75")</f>
        <v>5</v>
      </c>
      <c r="S2" s="2" t="s">
        <v>30</v>
      </c>
      <c r="T2" s="1" t="n">
        <f aca="false">COUNTIFS(J$2:J$1500, "&gt;75",I$2:I$1500, "&lt;180")</f>
        <v>1</v>
      </c>
      <c r="U2" s="1" t="n">
        <v>0</v>
      </c>
      <c r="V2" s="0" t="n">
        <f aca="false">SUMIFS(C$2:C$1500,C$2:C$1500, "&gt;=0",I$2:I$1500, "&lt;15")</f>
        <v>106.4</v>
      </c>
      <c r="W2" s="2" t="s">
        <v>31</v>
      </c>
      <c r="X2" s="0" t="n">
        <f aca="false">SUMIFS(C$2:C$1500,C$2:C$1500, "&gt;=0",J$2:J$1500, "&lt;-75",I$2:I$1500,"&lt;180")</f>
        <v>5</v>
      </c>
      <c r="Z2" s="0" t="n">
        <f aca="false">I2+65</f>
        <v>202.5</v>
      </c>
      <c r="AB2" s="0" t="n">
        <f aca="false">IF(Z2&gt;360,Z2-360,Z2+0)</f>
        <v>202.5</v>
      </c>
      <c r="AD2" s="1" t="n">
        <v>0</v>
      </c>
      <c r="AE2" s="1" t="n">
        <f aca="false">COUNTIF(AB$2:AB$1500,"&lt;15")</f>
        <v>71</v>
      </c>
      <c r="AF2" s="1"/>
      <c r="AG2" s="1" t="n">
        <v>0</v>
      </c>
      <c r="AH2" s="0" t="n">
        <f aca="false">SUMIFS(C$2:C$1500,C$2:C$1500, "&gt;=0",AB$2:AB$1500, "&lt;15")</f>
        <v>202</v>
      </c>
      <c r="AJ2" s="1" t="s">
        <v>29</v>
      </c>
      <c r="AK2" s="0" t="n">
        <f aca="false">SUMIF($J$2:$J$2000,"&lt;-75",$C$2:$C$2000)</f>
        <v>8.5</v>
      </c>
      <c r="AM2" s="1" t="s">
        <v>32</v>
      </c>
      <c r="AN2" s="0" t="n">
        <f aca="false">AE2+AE13+AE14+AE25</f>
        <v>241</v>
      </c>
      <c r="AO2" s="1" t="s">
        <v>32</v>
      </c>
      <c r="AP2" s="0" t="n">
        <f aca="false">R7+R8+R9</f>
        <v>519</v>
      </c>
      <c r="AR2" s="1" t="s">
        <v>32</v>
      </c>
      <c r="AS2" s="0" t="n">
        <f aca="false">AH2+AH13+AH14+AH25</f>
        <v>678.6</v>
      </c>
      <c r="AU2" s="0" t="n">
        <f aca="false">AK7+AK8+AK9</f>
        <v>1298.1</v>
      </c>
    </row>
    <row r="3" customFormat="false" ht="15.8" hidden="false" customHeight="false" outlineLevel="0" collapsed="false">
      <c r="A3" s="1" t="n">
        <v>1</v>
      </c>
      <c r="B3" s="1" t="n">
        <v>8</v>
      </c>
      <c r="C3" s="1" t="n">
        <v>1.5</v>
      </c>
      <c r="D3" s="1" t="n">
        <v>1.1903</v>
      </c>
      <c r="E3" s="1" t="n">
        <v>0.055339</v>
      </c>
      <c r="F3" s="1" t="n">
        <v>0.000159063</v>
      </c>
      <c r="G3" s="1" t="s">
        <v>27</v>
      </c>
      <c r="H3" s="1" t="n">
        <v>108.7</v>
      </c>
      <c r="I3" s="1" t="n">
        <v>328</v>
      </c>
      <c r="J3" s="1" t="n">
        <v>-17.6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42</v>
      </c>
      <c r="Q3" s="1" t="s">
        <v>33</v>
      </c>
      <c r="R3" s="1" t="n">
        <f aca="false">COUNTIF(J$2:J$1500,"&lt;-60")-R2</f>
        <v>21</v>
      </c>
      <c r="S3" s="2" t="s">
        <v>34</v>
      </c>
      <c r="T3" s="1" t="n">
        <f aca="false">COUNTIFS(J$2:J$1500, "&gt;60",I$2:I$1500, "&lt;180")-T2</f>
        <v>15</v>
      </c>
      <c r="U3" s="1" t="n">
        <v>15</v>
      </c>
      <c r="V3" s="0" t="n">
        <f aca="false">SUMIFS(C$2:C$1500,C$2:C$1500, "&gt;=0",I$2:I$1500, "&lt;30",I$2:I$1500,"&gt;=15")</f>
        <v>79</v>
      </c>
      <c r="W3" s="2" t="s">
        <v>35</v>
      </c>
      <c r="X3" s="0" t="n">
        <f aca="false">SUMIFS(C$2:C$1500,C$2:C$1500, "&gt;=0",J$2:J$1500, "&lt;-60",J$2:J$1500,"&gt;=-75",I$2:I$1500,"&lt;180")</f>
        <v>14</v>
      </c>
      <c r="Z3" s="0" t="n">
        <f aca="false">I3+65</f>
        <v>393</v>
      </c>
      <c r="AB3" s="0" t="n">
        <f aca="false">IF(Z3&gt;360,Z3-360,Z3+0)</f>
        <v>33</v>
      </c>
      <c r="AD3" s="1" t="n">
        <v>15</v>
      </c>
      <c r="AE3" s="1" t="n">
        <f aca="false">COUNTIF(AB$2:AB$1500,"&lt;30")-AE2</f>
        <v>56</v>
      </c>
      <c r="AF3" s="1"/>
      <c r="AG3" s="1" t="n">
        <v>15</v>
      </c>
      <c r="AH3" s="0" t="n">
        <f aca="false">SUMIFS(C$2:C$1500,C$2:C$1500, "&gt;=0",AB$2:AB$1500, "&lt;30",AB$2:AB$1500,"&gt;=15")</f>
        <v>139.6</v>
      </c>
      <c r="AJ3" s="1" t="s">
        <v>33</v>
      </c>
      <c r="AK3" s="0" t="n">
        <f aca="false">SUMIF($J$2:$J$2000,"&lt;-60",$C$2:$C$2000)-$AK$2</f>
        <v>54.1</v>
      </c>
      <c r="AM3" s="1" t="s">
        <v>36</v>
      </c>
      <c r="AN3" s="0" t="n">
        <f aca="false">AE3+AE12+AE15+AE24</f>
        <v>241</v>
      </c>
      <c r="AO3" s="1" t="s">
        <v>36</v>
      </c>
      <c r="AP3" s="0" t="n">
        <f aca="false">R10+R6</f>
        <v>337</v>
      </c>
      <c r="AR3" s="1" t="s">
        <v>36</v>
      </c>
      <c r="AS3" s="0" t="n">
        <f aca="false">AH3+AH12+AH15+AH24</f>
        <v>625.1</v>
      </c>
      <c r="AU3" s="0" t="n">
        <f aca="false">AK10+AK6</f>
        <v>907.099999999999</v>
      </c>
    </row>
    <row r="4" customFormat="false" ht="15.8" hidden="false" customHeight="false" outlineLevel="0" collapsed="false">
      <c r="A4" s="1" t="n">
        <v>1</v>
      </c>
      <c r="B4" s="1" t="n">
        <v>7</v>
      </c>
      <c r="C4" s="1" t="n">
        <v>3.2</v>
      </c>
      <c r="D4" s="1" t="n">
        <v>1.3326</v>
      </c>
      <c r="E4" s="1" t="n">
        <v>0.114038</v>
      </c>
      <c r="F4" s="1" t="n">
        <v>0.000327784</v>
      </c>
      <c r="G4" s="1" t="s">
        <v>37</v>
      </c>
      <c r="H4" s="1" t="n">
        <v>64.9</v>
      </c>
      <c r="I4" s="1" t="n">
        <v>92.6</v>
      </c>
      <c r="J4" s="1" t="n">
        <v>-29.6</v>
      </c>
      <c r="K4" s="1" t="n">
        <v>108.7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48</v>
      </c>
      <c r="Q4" s="4" t="s">
        <v>39</v>
      </c>
      <c r="R4" s="1" t="n">
        <f aca="false">COUNTIF(J$2:J$1500,"&lt;-45")-SUM(R2:R3)</f>
        <v>49</v>
      </c>
      <c r="S4" s="2" t="s">
        <v>40</v>
      </c>
      <c r="T4" s="1" t="n">
        <f aca="false">COUNTIFS(J$2:J$1500, "&gt;45",I$2:I$1500, "&lt;180")-SUM(T2:T3)</f>
        <v>27</v>
      </c>
      <c r="U4" s="1" t="n">
        <v>30</v>
      </c>
      <c r="V4" s="0" t="n">
        <f aca="false">SUMIFS(C$2:C$1500,C$2:C$1500, "&gt;=0",I$2:I$1500, "&lt;45",I$2:I$1500,"&gt;=30")</f>
        <v>84.1</v>
      </c>
      <c r="W4" s="2" t="s">
        <v>41</v>
      </c>
      <c r="X4" s="0" t="n">
        <f aca="false">SUMIFS(C$2:C$1500,C$2:C$1500, "&gt;=0",J$2:J$1500, "&lt;-45",J$2:J$1500,"&gt;=-60",I$2:I$1500,"&lt;180")</f>
        <v>47.6</v>
      </c>
      <c r="Z4" s="0" t="n">
        <f aca="false">I4+65</f>
        <v>157.6</v>
      </c>
      <c r="AB4" s="0" t="n">
        <f aca="false">IF(Z4&gt;360,Z4-360,Z4+0)</f>
        <v>157.6</v>
      </c>
      <c r="AD4" s="1" t="n">
        <v>30</v>
      </c>
      <c r="AE4" s="1" t="n">
        <f aca="false">COUNTIF(AB$2:AB$1500,"&lt;45")-SUM(AE2:AE3)</f>
        <v>71</v>
      </c>
      <c r="AF4" s="1"/>
      <c r="AG4" s="1" t="n">
        <v>30</v>
      </c>
      <c r="AH4" s="0" t="n">
        <f aca="false">SUMIFS(C$2:C$1500,C$2:C$1500, "&gt;=0",AB$2:AB$1500, "&lt;45",AB$2:AB$1500,"&gt;=30")</f>
        <v>179.4</v>
      </c>
      <c r="AJ4" s="4" t="s">
        <v>39</v>
      </c>
      <c r="AK4" s="0" t="n">
        <f aca="false">SUMIF($J$2:$J$2000,"&lt;-45",$C$2:$C$2000)-SUM($AK$2:$AK$3)</f>
        <v>131.5</v>
      </c>
      <c r="AM4" s="1" t="s">
        <v>42</v>
      </c>
      <c r="AN4" s="0" t="n">
        <f aca="false">AE4+AE11+AE16+AE23</f>
        <v>223</v>
      </c>
      <c r="AO4" s="1" t="s">
        <v>42</v>
      </c>
      <c r="AP4" s="0" t="n">
        <f aca="false">R11+R5</f>
        <v>206</v>
      </c>
      <c r="AR4" s="1" t="s">
        <v>42</v>
      </c>
      <c r="AS4" s="0" t="n">
        <f aca="false">AH4+AH11+AH16+AH23</f>
        <v>566.9</v>
      </c>
      <c r="AU4" s="0" t="n">
        <f aca="false">AK11+AK5</f>
        <v>470.399999999999</v>
      </c>
    </row>
    <row r="5" customFormat="false" ht="15.8" hidden="false" customHeight="false" outlineLevel="0" collapsed="false">
      <c r="A5" s="1" t="n">
        <v>1</v>
      </c>
      <c r="B5" s="1" t="n">
        <v>10</v>
      </c>
      <c r="C5" s="1" t="n">
        <v>1.5</v>
      </c>
      <c r="D5" s="1" t="n">
        <v>1.2521</v>
      </c>
      <c r="E5" s="1" t="n">
        <v>0.0555694</v>
      </c>
      <c r="F5" s="1" t="n">
        <v>0.000159725</v>
      </c>
      <c r="G5" s="1" t="s">
        <v>27</v>
      </c>
      <c r="H5" s="1" t="n">
        <v>80.6</v>
      </c>
      <c r="I5" s="1" t="n">
        <v>290.2</v>
      </c>
      <c r="J5" s="1" t="n">
        <v>-39.4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49</v>
      </c>
      <c r="Q5" s="1" t="s">
        <v>44</v>
      </c>
      <c r="R5" s="1" t="n">
        <f aca="false">COUNTIF(J$2:J$1500,"&lt;-30")-SUM(R2:R4)</f>
        <v>99</v>
      </c>
      <c r="S5" s="2" t="s">
        <v>45</v>
      </c>
      <c r="T5" s="1" t="n">
        <f aca="false">COUNTIFS(J$2:J$1500, "&gt;30",I$2:I$1500, "&lt;180")-SUM(T2:T4)</f>
        <v>67</v>
      </c>
      <c r="U5" s="1" t="n">
        <v>45</v>
      </c>
      <c r="V5" s="0" t="n">
        <f aca="false">SUMIFS(C$2:C$1500,C$2:C$1500, "&gt;=0",I$2:I$1500, "&lt;60",I$2:I$1500,"&gt;=45")</f>
        <v>106.8</v>
      </c>
      <c r="W5" s="2" t="s">
        <v>46</v>
      </c>
      <c r="X5" s="0" t="n">
        <f aca="false">SUMIFS(C$2:C$1500,C$2:C$1500, "&gt;=0",J$2:J$1500, "&lt;-30",J$2:J$1500,"&gt;=-45",I$2:I$1500,"&lt;180")</f>
        <v>87.9</v>
      </c>
      <c r="Z5" s="0" t="n">
        <f aca="false">I5+65</f>
        <v>355.2</v>
      </c>
      <c r="AB5" s="0" t="n">
        <f aca="false">IF(Z5&gt;360,Z5-360,Z5+0)</f>
        <v>355.2</v>
      </c>
      <c r="AD5" s="1" t="n">
        <v>45</v>
      </c>
      <c r="AE5" s="1" t="n">
        <f aca="false">COUNTIF(AB$2:AB$1500,"&lt;60")-SUM(AE2:AE4)</f>
        <v>47</v>
      </c>
      <c r="AF5" s="1"/>
      <c r="AG5" s="1" t="n">
        <v>45</v>
      </c>
      <c r="AH5" s="0" t="n">
        <f aca="false">SUMIFS(C$2:C$1500,C$2:C$1500, "&gt;=0",AB$2:AB$1500, "&lt;60",AB$2:AB$1500,"&gt;=45")</f>
        <v>114.9</v>
      </c>
      <c r="AJ5" s="1" t="s">
        <v>44</v>
      </c>
      <c r="AK5" s="0" t="n">
        <f aca="false">SUMIF($J$2:$J$2000,"&lt;-30",$C$2:$C$2000)-SUM($AK$2:$AK$4)</f>
        <v>231.7</v>
      </c>
      <c r="AM5" s="1" t="s">
        <v>47</v>
      </c>
      <c r="AN5" s="0" t="n">
        <f aca="false">AE5+AE10+AE17+AE22</f>
        <v>172</v>
      </c>
      <c r="AO5" s="1" t="s">
        <v>47</v>
      </c>
      <c r="AP5" s="0" t="n">
        <f aca="false">R12+R4</f>
        <v>92</v>
      </c>
      <c r="AR5" s="1" t="s">
        <v>47</v>
      </c>
      <c r="AS5" s="0" t="n">
        <f aca="false">AH5+AH10+AH17+AH22</f>
        <v>438.6</v>
      </c>
      <c r="AU5" s="0" t="n">
        <f aca="false">AK12+AK4</f>
        <v>219.899999999999</v>
      </c>
    </row>
    <row r="6" customFormat="false" ht="15.8" hidden="false" customHeight="false" outlineLevel="0" collapsed="false">
      <c r="A6" s="1" t="n">
        <v>1</v>
      </c>
      <c r="B6" s="1" t="n">
        <v>11</v>
      </c>
      <c r="C6" s="1" t="n">
        <v>0.7</v>
      </c>
      <c r="D6" s="1" t="n">
        <v>1.0062</v>
      </c>
      <c r="E6" s="1" t="n">
        <v>0.025542</v>
      </c>
      <c r="F6" s="1" t="n">
        <v>7.34162E-005</v>
      </c>
      <c r="G6" s="1" t="s">
        <v>27</v>
      </c>
      <c r="H6" s="1" t="n">
        <v>72.7</v>
      </c>
      <c r="I6" s="1" t="n">
        <v>246.4</v>
      </c>
      <c r="J6" s="1" t="n">
        <v>0</v>
      </c>
      <c r="K6" s="1"/>
      <c r="L6" s="1" t="n">
        <v>0</v>
      </c>
      <c r="M6" s="1" t="n">
        <v>0</v>
      </c>
      <c r="N6" s="1" t="s">
        <v>48</v>
      </c>
      <c r="O6" s="1" t="n">
        <v>60</v>
      </c>
      <c r="P6" s="1" t="n">
        <f aca="false">COUNTIF(I$2:I$1500,"&lt;75")-SUM(P2:P5)</f>
        <v>54</v>
      </c>
      <c r="Q6" s="1" t="s">
        <v>49</v>
      </c>
      <c r="R6" s="1" t="n">
        <f aca="false">COUNTIF(J$2:J$1500,"&lt;-15")-SUM(R2:R5)</f>
        <v>170</v>
      </c>
      <c r="S6" s="2" t="s">
        <v>50</v>
      </c>
      <c r="T6" s="1" t="n">
        <f aca="false">COUNTIFS(J$2:J$1500, "&gt;15",I$2:I$1500, "&lt;180")-SUM(T2:T5)</f>
        <v>105</v>
      </c>
      <c r="U6" s="1" t="n">
        <v>60</v>
      </c>
      <c r="V6" s="0" t="n">
        <f aca="false">SUMIFS(C$2:C$1500,C$2:C$1500, "&gt;=0",I$2:I$1500, "&lt;75",I$2:I$1500,"&gt;=60")</f>
        <v>147.3</v>
      </c>
      <c r="W6" s="2" t="s">
        <v>51</v>
      </c>
      <c r="X6" s="0" t="n">
        <f aca="false">SUMIFS(C$2:C$1500,C$2:C$1500, "&gt;=0",J$2:J$1500, "&lt;-15",J$2:J$1500,"&gt;=-30",I$2:I$1500,"&lt;180")</f>
        <v>172.3</v>
      </c>
      <c r="Z6" s="0" t="n">
        <f aca="false">I6+65</f>
        <v>311.4</v>
      </c>
      <c r="AB6" s="0" t="n">
        <f aca="false">IF(Z6&gt;360,Z6-360,Z6+0)</f>
        <v>311.4</v>
      </c>
      <c r="AD6" s="1" t="n">
        <v>60</v>
      </c>
      <c r="AE6" s="1" t="n">
        <f aca="false">COUNTIF(AB$2:AB$1500,"&lt;75")-SUM(AE2:AE5)</f>
        <v>49</v>
      </c>
      <c r="AF6" s="1"/>
      <c r="AG6" s="1" t="n">
        <v>60</v>
      </c>
      <c r="AH6" s="0" t="n">
        <f aca="false">SUMIFS(C$2:C$1500,C$2:C$1500, "&gt;=0",AB$2:AB$1500, "&lt;75",AB$2:AB$1500,"&gt;=60")</f>
        <v>111</v>
      </c>
      <c r="AJ6" s="1" t="s">
        <v>49</v>
      </c>
      <c r="AK6" s="0" t="n">
        <f aca="false">SUMIF($J$2:$J$2000,"&lt;-15",$C$2:$C$2000)-SUM($AK$2:$AK$5)</f>
        <v>414.4</v>
      </c>
      <c r="AM6" s="1" t="s">
        <v>52</v>
      </c>
      <c r="AN6" s="0" t="n">
        <f aca="false">AE6+AE9+AE18+AE21</f>
        <v>180</v>
      </c>
      <c r="AO6" s="1" t="s">
        <v>52</v>
      </c>
      <c r="AP6" s="0" t="n">
        <f aca="false">R13+R3</f>
        <v>43</v>
      </c>
      <c r="AR6" s="1" t="s">
        <v>52</v>
      </c>
      <c r="AS6" s="0" t="n">
        <f aca="false">AH6+AH9+AH18+AH21</f>
        <v>395.7</v>
      </c>
      <c r="AU6" s="0" t="n">
        <f aca="false">AK13+AK3</f>
        <v>111.499999999999</v>
      </c>
    </row>
    <row r="7" customFormat="false" ht="15.8" hidden="false" customHeight="false" outlineLevel="0" collapsed="false">
      <c r="A7" s="1" t="n">
        <v>1</v>
      </c>
      <c r="B7" s="1" t="n">
        <v>11</v>
      </c>
      <c r="C7" s="1" t="n">
        <v>0.6</v>
      </c>
      <c r="D7" s="1" t="n">
        <v>1.019</v>
      </c>
      <c r="E7" s="1" t="n">
        <v>0.0207529</v>
      </c>
      <c r="F7" s="1" t="n">
        <v>5.96509E-005</v>
      </c>
      <c r="G7" s="1" t="s">
        <v>27</v>
      </c>
      <c r="H7" s="1" t="n">
        <v>44.5</v>
      </c>
      <c r="I7" s="1" t="n">
        <v>129.2</v>
      </c>
      <c r="J7" s="1" t="n">
        <v>0</v>
      </c>
      <c r="K7" s="1"/>
      <c r="L7" s="1" t="n">
        <v>0</v>
      </c>
      <c r="M7" s="1" t="n">
        <v>0</v>
      </c>
      <c r="N7" s="1" t="s">
        <v>48</v>
      </c>
      <c r="O7" s="1" t="n">
        <v>75</v>
      </c>
      <c r="P7" s="1" t="n">
        <f aca="false">COUNTIF(I$2:I$1500,"&lt;90")-SUM(P2:P6)</f>
        <v>53</v>
      </c>
      <c r="Q7" s="1" t="s">
        <v>53</v>
      </c>
      <c r="R7" s="1" t="n">
        <f aca="false">COUNTIF(J$2:J$1500,"&lt;0")-SUM(R2:R6)</f>
        <v>106</v>
      </c>
      <c r="S7" s="2" t="s">
        <v>54</v>
      </c>
      <c r="T7" s="1" t="n">
        <f aca="false">COUNTIFS(J$2:J$1500, "&gt;0",I$2:I$1500, "&lt;180")-SUM(T2:T6)</f>
        <v>45</v>
      </c>
      <c r="U7" s="1" t="n">
        <v>75</v>
      </c>
      <c r="V7" s="0" t="n">
        <f aca="false">SUMIFS(C$2:C$1500,C$2:C$1500, "&gt;=0",I$2:I$1500, "&lt;90",I$2:I$1500,"&gt;=75")</f>
        <v>108.5</v>
      </c>
      <c r="W7" s="2" t="s">
        <v>55</v>
      </c>
      <c r="X7" s="0" t="n">
        <f aca="false">SUMIFS(C$2:C$1500,C$2:C$1500, "&gt;=0",J$2:J$1500, "&lt;0",J$2:J$1500,"&gt;=-15",I$2:I$1500,"&lt;180")</f>
        <v>153.7</v>
      </c>
      <c r="Z7" s="0" t="n">
        <f aca="false">I7+65</f>
        <v>194.2</v>
      </c>
      <c r="AB7" s="0" t="n">
        <f aca="false">IF(Z7&gt;360,Z7-360,Z7+0)</f>
        <v>194.2</v>
      </c>
      <c r="AD7" s="1" t="n">
        <v>75</v>
      </c>
      <c r="AE7" s="1" t="n">
        <f aca="false">COUNTIF(AB$2:AB$1500,"&lt;90")-SUM(AE2:AE6)</f>
        <v>42</v>
      </c>
      <c r="AF7" s="1"/>
      <c r="AG7" s="1" t="n">
        <v>75</v>
      </c>
      <c r="AH7" s="0" t="n">
        <f aca="false">SUMIFS(C$2:C$1500,C$2:C$1500, "&gt;=0",AB$2:AB$1500, "&lt;90",AB$2:AB$1500,"&gt;=75")</f>
        <v>87.7</v>
      </c>
      <c r="AJ7" s="1" t="s">
        <v>53</v>
      </c>
      <c r="AK7" s="0" t="n">
        <f aca="false">SUMIF($J$2:$J$2000,"&lt;0",$C$2:$C$2000)-SUM($AK$2:$AK$6)</f>
        <v>434.3</v>
      </c>
      <c r="AM7" s="1" t="s">
        <v>56</v>
      </c>
      <c r="AN7" s="0" t="n">
        <f aca="false">AE7+AE8+AE19+AE20</f>
        <v>146</v>
      </c>
      <c r="AO7" s="1" t="s">
        <v>56</v>
      </c>
      <c r="AP7" s="0" t="n">
        <f aca="false">R14+R2</f>
        <v>6</v>
      </c>
      <c r="AR7" s="1" t="s">
        <v>56</v>
      </c>
      <c r="AS7" s="0" t="n">
        <f aca="false">AH7+AH8+AH19+AH20</f>
        <v>311.8</v>
      </c>
      <c r="AU7" s="0" t="n">
        <f aca="false">AK14+AK2</f>
        <v>9.69999999999982</v>
      </c>
    </row>
    <row r="8" customFormat="false" ht="15.8" hidden="false" customHeight="false" outlineLevel="0" collapsed="false">
      <c r="A8" s="1" t="n">
        <v>1</v>
      </c>
      <c r="B8" s="1" t="n">
        <v>10</v>
      </c>
      <c r="C8" s="1" t="n">
        <v>0.4</v>
      </c>
      <c r="D8" s="1" t="n">
        <v>1.0057</v>
      </c>
      <c r="E8" s="1" t="n">
        <v>0.0151287</v>
      </c>
      <c r="F8" s="1" t="n">
        <v>4.3485E-005</v>
      </c>
      <c r="G8" s="1" t="s">
        <v>37</v>
      </c>
      <c r="H8" s="1" t="n">
        <v>38.8</v>
      </c>
      <c r="I8" s="1" t="n">
        <v>173.7</v>
      </c>
      <c r="J8" s="1" t="n">
        <v>0</v>
      </c>
      <c r="K8" s="1" t="n">
        <v>72.7</v>
      </c>
      <c r="L8" s="1" t="n">
        <v>0</v>
      </c>
      <c r="M8" s="1" t="n">
        <v>0</v>
      </c>
      <c r="N8" s="1" t="s">
        <v>43</v>
      </c>
      <c r="O8" s="1" t="n">
        <v>90</v>
      </c>
      <c r="P8" s="1" t="n">
        <f aca="false">COUNTIF(I$2:I$1500,"&lt;105")-SUM(P2:P7)</f>
        <v>59</v>
      </c>
      <c r="Q8" s="0" t="s">
        <v>57</v>
      </c>
      <c r="R8" s="1" t="n">
        <f aca="false">COUNTIF(J$2:J$1500,"=0")</f>
        <v>323</v>
      </c>
      <c r="S8" s="2" t="s">
        <v>58</v>
      </c>
      <c r="T8" s="1" t="n">
        <f aca="false">COUNTIFS(J$2:J$1500, "&gt;-15",I$2:I$1500, "&lt;180")-SUM(T2:T7)</f>
        <v>189</v>
      </c>
      <c r="U8" s="1" t="n">
        <v>90</v>
      </c>
      <c r="V8" s="0" t="n">
        <f aca="false">SUMIFS(C$2:C$1500,C$2:C$1500, "&gt;=0",I$2:I$1500, "&lt;105",I$2:I$1500,"&gt;=90")</f>
        <v>159.6</v>
      </c>
      <c r="W8" s="2" t="s">
        <v>59</v>
      </c>
      <c r="X8" s="0" t="n">
        <f aca="false">SUMIFS(C$2:C$1500,C$2:C$1500, "&gt;=0",J$2:J$1500, "&lt;15",J$2:J$1500,"&gt;=0",I$2:I$1500,"&lt;180")</f>
        <v>413.2</v>
      </c>
      <c r="Z8" s="0" t="n">
        <f aca="false">I8+65</f>
        <v>238.7</v>
      </c>
      <c r="AB8" s="0" t="n">
        <f aca="false">IF(Z8&gt;360,Z8-360,Z8+0)</f>
        <v>238.7</v>
      </c>
      <c r="AD8" s="1" t="n">
        <v>90</v>
      </c>
      <c r="AE8" s="1" t="n">
        <f aca="false">COUNTIF(AB$2:AB$1500,"&lt;105")-SUM(AE2:AE7)</f>
        <v>47</v>
      </c>
      <c r="AF8" s="1"/>
      <c r="AG8" s="1" t="n">
        <v>90</v>
      </c>
      <c r="AH8" s="0" t="n">
        <f aca="false">SUMIFS(C$2:C$1500,C$2:C$1500, "&gt;=0",AB$2:AB$1500, "&lt;105",AB$2:AB$1500,"&gt;=90")</f>
        <v>93.1</v>
      </c>
      <c r="AJ8" s="0" t="s">
        <v>57</v>
      </c>
      <c r="AK8" s="0" t="n">
        <f aca="false">SUMIF($J$2:$J$2000,"=0",$C$2:$C$2000)</f>
        <v>487.1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9</v>
      </c>
      <c r="C9" s="1" t="n">
        <v>0.9</v>
      </c>
      <c r="D9" s="1" t="n">
        <v>1.0171</v>
      </c>
      <c r="E9" s="1" t="n">
        <v>0.0315202</v>
      </c>
      <c r="F9" s="1" t="n">
        <v>9.05995E-005</v>
      </c>
      <c r="G9" s="1" t="s">
        <v>37</v>
      </c>
      <c r="H9" s="1" t="n">
        <v>15.8</v>
      </c>
      <c r="I9" s="1" t="n">
        <v>212.4</v>
      </c>
      <c r="J9" s="1" t="n">
        <v>0</v>
      </c>
      <c r="K9" s="1" t="n">
        <v>80.6</v>
      </c>
      <c r="L9" s="1" t="n">
        <v>0</v>
      </c>
      <c r="M9" s="1" t="n">
        <v>0</v>
      </c>
      <c r="N9" s="1" t="s">
        <v>60</v>
      </c>
      <c r="O9" s="1" t="n">
        <v>105</v>
      </c>
      <c r="P9" s="1" t="n">
        <f aca="false">COUNTIF(I$2:I$1500,"&lt;120")-SUM(P2:P8)</f>
        <v>48</v>
      </c>
      <c r="Q9" s="1" t="s">
        <v>61</v>
      </c>
      <c r="R9" s="1" t="n">
        <f aca="false">COUNTIF(J$2:J$1500,"&lt;15")-SUM(R2:R8)</f>
        <v>90</v>
      </c>
      <c r="S9" s="2" t="s">
        <v>62</v>
      </c>
      <c r="T9" s="1" t="n">
        <f aca="false">COUNTIFS(J$2:J$1500, "&gt;-30",I$2:I$1500, "&lt;180")-SUM(T2:T8)</f>
        <v>72</v>
      </c>
      <c r="U9" s="1" t="n">
        <v>105</v>
      </c>
      <c r="V9" s="0" t="n">
        <f aca="false">SUMIFS(C$2:C$1500,C$2:C$1500, "&gt;=0",I$2:I$1500, "&lt;120",I$2:I$1500,"&gt;=105")</f>
        <v>137.7</v>
      </c>
      <c r="W9" s="2" t="s">
        <v>63</v>
      </c>
      <c r="X9" s="0" t="n">
        <f aca="false">SUMIFS(C$2:C$1500,C$2:C$1500, "&gt;=0",J$2:J$1500, "&lt;30",J$2:J$1500,"&gt;=15",I$2:I$1500,"&lt;180")</f>
        <v>314.4</v>
      </c>
      <c r="Z9" s="0" t="n">
        <f aca="false">I9+65</f>
        <v>277.4</v>
      </c>
      <c r="AB9" s="0" t="n">
        <f aca="false">IF(Z9&gt;360,Z9-360,Z9+0)</f>
        <v>277.4</v>
      </c>
      <c r="AD9" s="1" t="n">
        <v>105</v>
      </c>
      <c r="AE9" s="1" t="n">
        <f aca="false">COUNTIF(AB$2:AB$1500,"&lt;120")-SUM(AE2:AE8)</f>
        <v>50</v>
      </c>
      <c r="AF9" s="1"/>
      <c r="AG9" s="1" t="n">
        <v>105</v>
      </c>
      <c r="AH9" s="0" t="n">
        <f aca="false">SUMIFS(C$2:C$1500,C$2:C$1500, "&gt;=0",AB$2:AB$1500, "&lt;120",AB$2:AB$1500,"&gt;=105")</f>
        <v>93.8</v>
      </c>
      <c r="AJ9" s="1" t="s">
        <v>61</v>
      </c>
      <c r="AK9" s="0" t="n">
        <f aca="false">SUMIF($J$2:$J$2000,"&lt;15",$C$2:$C$2000)-SUM($AK$2:$AK$8)</f>
        <v>376.700000000001</v>
      </c>
      <c r="AM9" s="1" t="s">
        <v>64</v>
      </c>
      <c r="AN9" s="0" t="n">
        <f aca="false">SUM(AN2:AN7)</f>
        <v>1203</v>
      </c>
      <c r="AO9" s="1" t="s">
        <v>64</v>
      </c>
      <c r="AP9" s="0" t="n">
        <f aca="false">SUM(AP2:AP7)</f>
        <v>1203</v>
      </c>
      <c r="AR9" s="1" t="s">
        <v>64</v>
      </c>
      <c r="AS9" s="0" t="n">
        <f aca="false">SUM(AS2:AS7)</f>
        <v>3016.7</v>
      </c>
      <c r="AT9" s="1" t="s">
        <v>64</v>
      </c>
      <c r="AU9" s="0" t="n">
        <f aca="false">SUM(AU2:AU7)</f>
        <v>3016.7</v>
      </c>
    </row>
    <row r="10" customFormat="false" ht="15.8" hidden="false" customHeight="false" outlineLevel="0" collapsed="false">
      <c r="A10" s="1" t="n">
        <v>1</v>
      </c>
      <c r="B10" s="1" t="n">
        <v>11</v>
      </c>
      <c r="C10" s="1" t="n">
        <v>1.6</v>
      </c>
      <c r="D10" s="1" t="n">
        <v>1.2534</v>
      </c>
      <c r="E10" s="1" t="n">
        <v>0.0575582</v>
      </c>
      <c r="F10" s="1" t="n">
        <v>0.000165441</v>
      </c>
      <c r="G10" s="1" t="s">
        <v>27</v>
      </c>
      <c r="H10" s="1" t="n">
        <v>94.3</v>
      </c>
      <c r="I10" s="1" t="n">
        <v>277.4</v>
      </c>
      <c r="J10" s="1" t="n">
        <v>-17.9</v>
      </c>
      <c r="K10" s="1"/>
      <c r="L10" s="1" t="n">
        <v>0</v>
      </c>
      <c r="M10" s="1" t="n">
        <v>0</v>
      </c>
      <c r="N10" s="1" t="s">
        <v>65</v>
      </c>
      <c r="O10" s="1" t="n">
        <v>120</v>
      </c>
      <c r="P10" s="1" t="n">
        <f aca="false">COUNTIF(I$2:I$1500,"&lt;135")-SUM(P2:P9)</f>
        <v>63</v>
      </c>
      <c r="Q10" s="1" t="s">
        <v>66</v>
      </c>
      <c r="R10" s="1" t="n">
        <f aca="false">COUNTIF(J$2:J$1500,"&lt;30")-SUM(R2:R9)</f>
        <v>167</v>
      </c>
      <c r="S10" s="2" t="s">
        <v>67</v>
      </c>
      <c r="T10" s="1" t="n">
        <f aca="false">COUNTIFS(J$2:J$1500, "&gt;-45",I$2:I$1500, "&lt;180")-SUM(T2:T9)</f>
        <v>42</v>
      </c>
      <c r="U10" s="1" t="n">
        <v>120</v>
      </c>
      <c r="V10" s="0" t="n">
        <f aca="false">SUMIFS(C$2:C$1500,C$2:C$1500, "&gt;=0",I$2:I$1500, "&lt;135",I$2:I$1500,"&gt;=120")</f>
        <v>177.2</v>
      </c>
      <c r="W10" s="2" t="s">
        <v>68</v>
      </c>
      <c r="X10" s="0" t="n">
        <f aca="false">SUMIFS(C$2:C$1500,C$2:C$1500, "&gt;=0",J$2:J$1500, "&lt;45",J$2:J$1500,"&gt;=30",I$2:I$1500,"&lt;180")</f>
        <v>157</v>
      </c>
      <c r="Z10" s="0" t="n">
        <f aca="false">I10+65</f>
        <v>342.4</v>
      </c>
      <c r="AB10" s="0" t="n">
        <f aca="false">IF(Z10&gt;360,Z10-360,Z10+0)</f>
        <v>342.4</v>
      </c>
      <c r="AD10" s="1" t="n">
        <v>120</v>
      </c>
      <c r="AE10" s="1" t="n">
        <f aca="false">COUNTIF(AB$2:AB$1500,"&lt;135")-SUM(AE2:AE9)</f>
        <v>46</v>
      </c>
      <c r="AF10" s="1"/>
      <c r="AG10" s="1" t="n">
        <v>120</v>
      </c>
      <c r="AH10" s="0" t="n">
        <f aca="false">SUMIFS(C$2:C$1500,C$2:C$1500, "&gt;=0",AB$2:AB$1500, "&lt;135",AB$2:AB$1500,"&gt;=120")</f>
        <v>117.7</v>
      </c>
      <c r="AJ10" s="1" t="s">
        <v>66</v>
      </c>
      <c r="AK10" s="0" t="n">
        <f aca="false">SUMIF($J$2:$J$2000,"&lt;30",$C$2:$C$2000)-SUM($AK$2:$AK$9)</f>
        <v>492.699999999998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11</v>
      </c>
      <c r="C11" s="1" t="n">
        <v>1.5</v>
      </c>
      <c r="D11" s="1" t="n">
        <v>1.176</v>
      </c>
      <c r="E11" s="1" t="n">
        <v>0.034612</v>
      </c>
      <c r="F11" s="1" t="n">
        <v>6.67689E-005</v>
      </c>
      <c r="G11" s="1" t="s">
        <v>27</v>
      </c>
      <c r="H11" s="1" t="n">
        <v>75</v>
      </c>
      <c r="I11" s="1" t="n">
        <v>130</v>
      </c>
      <c r="J11" s="1" t="n">
        <v>64.6</v>
      </c>
      <c r="K11" s="1"/>
      <c r="L11" s="1" t="n">
        <v>0</v>
      </c>
      <c r="M11" s="1" t="n">
        <v>0</v>
      </c>
      <c r="N11" s="1" t="s">
        <v>65</v>
      </c>
      <c r="O11" s="1" t="n">
        <v>135</v>
      </c>
      <c r="P11" s="1" t="n">
        <f aca="false">COUNTIF(I$2:I$1500,"&lt;150")-SUM(P2:P10)</f>
        <v>48</v>
      </c>
      <c r="Q11" s="1" t="s">
        <v>69</v>
      </c>
      <c r="R11" s="1" t="n">
        <f aca="false">COUNTIF(J$2:J$1500,"&lt;45")-SUM(R2:R10)</f>
        <v>107</v>
      </c>
      <c r="S11" s="2" t="s">
        <v>70</v>
      </c>
      <c r="T11" s="1" t="n">
        <f aca="false">COUNTIFS(J$2:J$1500, "&gt;-60",I$2:I$1500, "&lt;180")-SUM(T2:T10)</f>
        <v>17</v>
      </c>
      <c r="U11" s="1" t="n">
        <v>135</v>
      </c>
      <c r="V11" s="0" t="n">
        <f aca="false">SUMIFS(C$2:C$1500,C$2:C$1500, "&gt;=0",I$2:I$1500, "&lt;150",I$2:I$1500,"&gt;=135")</f>
        <v>132.8</v>
      </c>
      <c r="W11" s="2" t="s">
        <v>71</v>
      </c>
      <c r="X11" s="0" t="n">
        <f aca="false">SUMIFS(C$2:C$1500,C$2:C$1500, "&gt;=0",J$2:J$1500, "&lt;60",J$2:J$1500,"&gt;=45",I$2:I$1500,"&lt;180")</f>
        <v>51.2</v>
      </c>
      <c r="Z11" s="0" t="n">
        <f aca="false">I11+65</f>
        <v>195</v>
      </c>
      <c r="AB11" s="0" t="n">
        <f aca="false">IF(Z11&gt;360,Z11-360,Z11+0)</f>
        <v>195</v>
      </c>
      <c r="AD11" s="1" t="n">
        <v>135</v>
      </c>
      <c r="AE11" s="1" t="n">
        <f aca="false">COUNTIF(AB$2:AB$1500,"&lt;150")-SUM(AE2:AE10)</f>
        <v>62</v>
      </c>
      <c r="AF11" s="1"/>
      <c r="AG11" s="1" t="n">
        <v>135</v>
      </c>
      <c r="AH11" s="0" t="n">
        <f aca="false">SUMIFS(C$2:C$1500,C$2:C$1500, "&gt;=0",AB$2:AB$1500, "&lt;150",AB$2:AB$1500,"&gt;=135")</f>
        <v>147</v>
      </c>
      <c r="AJ11" s="1" t="s">
        <v>69</v>
      </c>
      <c r="AK11" s="0" t="n">
        <f aca="false">SUMIF($J$2:$J$2000,"&lt;45",$C$2:$C$2000)-SUM($AK$2:$AK$10)</f>
        <v>238.699999999999</v>
      </c>
    </row>
    <row r="12" customFormat="false" ht="15.8" hidden="false" customHeight="false" outlineLevel="0" collapsed="false">
      <c r="A12" s="1" t="n">
        <v>1</v>
      </c>
      <c r="B12" s="1" t="n">
        <v>10</v>
      </c>
      <c r="C12" s="1" t="n">
        <v>0.3</v>
      </c>
      <c r="D12" s="1" t="n">
        <v>1.1782</v>
      </c>
      <c r="E12" s="1" t="n">
        <v>0.0110865</v>
      </c>
      <c r="F12" s="1" t="n">
        <v>3.18664E-005</v>
      </c>
      <c r="G12" s="1" t="s">
        <v>37</v>
      </c>
      <c r="H12" s="1" t="n">
        <v>69</v>
      </c>
      <c r="I12" s="1" t="n">
        <v>182.9</v>
      </c>
      <c r="J12" s="1" t="n">
        <v>0</v>
      </c>
      <c r="K12" s="1" t="n">
        <v>94.3</v>
      </c>
      <c r="L12" s="1" t="n">
        <v>0</v>
      </c>
      <c r="M12" s="1" t="n">
        <v>0</v>
      </c>
      <c r="N12" s="1" t="s">
        <v>72</v>
      </c>
      <c r="O12" s="1" t="n">
        <v>150</v>
      </c>
      <c r="P12" s="1" t="n">
        <f aca="false">COUNTIF(I$2:I$1500,"&lt;165")-SUM(P2:P11)</f>
        <v>40</v>
      </c>
      <c r="Q12" s="1" t="s">
        <v>73</v>
      </c>
      <c r="R12" s="1" t="n">
        <f aca="false">COUNTIF(J$2:J$1500,"&lt;60")-SUM(R2:R11)</f>
        <v>43</v>
      </c>
      <c r="S12" s="2" t="s">
        <v>74</v>
      </c>
      <c r="T12" s="1" t="n">
        <f aca="false">COUNTIFS(J$2:J$1500, "&gt;-75",I$2:I$1500, "&lt;180")-SUM(T2:T11)</f>
        <v>6</v>
      </c>
      <c r="U12" s="1" t="n">
        <v>150</v>
      </c>
      <c r="V12" s="0" t="n">
        <f aca="false">SUMIFS(C$2:C$1500,C$2:C$1500, "&gt;=0",I$2:I$1500, "&lt;165",I$2:I$1500,"&gt;=150")</f>
        <v>110.5</v>
      </c>
      <c r="W12" s="2" t="s">
        <v>75</v>
      </c>
      <c r="X12" s="0" t="n">
        <f aca="false">SUMIFS(C$2:C$1500,C$2:C$1500, "&gt;=0",J$2:J$1500, "&lt;75",J$2:J$1500,"&gt;=60",I$2:I$1500,"&lt;180")</f>
        <v>27.4</v>
      </c>
      <c r="Z12" s="0" t="n">
        <f aca="false">I12+65</f>
        <v>247.9</v>
      </c>
      <c r="AB12" s="0" t="n">
        <f aca="false">IF(Z12&gt;360,Z12-360,Z12+0)</f>
        <v>247.9</v>
      </c>
      <c r="AD12" s="1" t="n">
        <v>150</v>
      </c>
      <c r="AE12" s="1" t="n">
        <f aca="false">COUNTIF(AB$2:AB$1500,"&lt;165")-SUM(AE2:AE11)</f>
        <v>56</v>
      </c>
      <c r="AF12" s="1"/>
      <c r="AG12" s="1" t="n">
        <v>150</v>
      </c>
      <c r="AH12" s="0" t="n">
        <f aca="false">SUMIFS(C$2:C$1500,C$2:C$1500, "&gt;=0",AB$2:AB$1500, "&lt;165",AB$2:AB$1500,"&gt;=150")</f>
        <v>144.4</v>
      </c>
      <c r="AJ12" s="1" t="s">
        <v>73</v>
      </c>
      <c r="AK12" s="0" t="n">
        <f aca="false">SUMIF($J$2:$J$2000,"&lt;60",$C$2:$C$2000)-SUM($AK$2:$AK$11)</f>
        <v>88.3999999999992</v>
      </c>
    </row>
    <row r="13" customFormat="false" ht="15.8" hidden="false" customHeight="false" outlineLevel="0" collapsed="false">
      <c r="A13" s="1" t="n">
        <v>1</v>
      </c>
      <c r="B13" s="1" t="n">
        <v>11</v>
      </c>
      <c r="C13" s="1" t="n">
        <v>1.6</v>
      </c>
      <c r="D13" s="1" t="n">
        <v>1.0449</v>
      </c>
      <c r="E13" s="1" t="n">
        <v>0.0564504</v>
      </c>
      <c r="F13" s="1" t="n">
        <v>0.000162257</v>
      </c>
      <c r="G13" s="1" t="s">
        <v>27</v>
      </c>
      <c r="H13" s="1" t="n">
        <v>46.4</v>
      </c>
      <c r="I13" s="1" t="n">
        <v>235.3</v>
      </c>
      <c r="J13" s="1" t="n">
        <v>0</v>
      </c>
      <c r="K13" s="1"/>
      <c r="L13" s="1" t="n">
        <v>0</v>
      </c>
      <c r="M13" s="1" t="n">
        <v>0</v>
      </c>
      <c r="N13" s="1" t="s">
        <v>76</v>
      </c>
      <c r="O13" s="1" t="n">
        <v>165</v>
      </c>
      <c r="P13" s="1" t="n">
        <f aca="false">COUNTIF(I$2:I$1500,"&lt;180")-SUM(P2:P12)</f>
        <v>38</v>
      </c>
      <c r="Q13" s="1" t="s">
        <v>77</v>
      </c>
      <c r="R13" s="1" t="n">
        <f aca="false">COUNTIF(J$2:J$1500,"&lt;75")-SUM(R2:R12)</f>
        <v>22</v>
      </c>
      <c r="S13" s="2" t="s">
        <v>78</v>
      </c>
      <c r="T13" s="1" t="n">
        <f aca="false">COUNTIFS(J$2:J$1500, "&gt;-90",I$2:I$1500, "&lt;180")-SUM(T2:T12)</f>
        <v>3</v>
      </c>
      <c r="U13" s="1" t="n">
        <v>165</v>
      </c>
      <c r="V13" s="0" t="n">
        <f aca="false">SUMIFS(C$2:C$1500,C$2:C$1500, "&gt;=0",I$2:I$1500, "&lt;180",I$2:I$1500,"&gt;=165")</f>
        <v>95</v>
      </c>
      <c r="W13" s="2" t="s">
        <v>79</v>
      </c>
      <c r="X13" s="0" t="n">
        <f aca="false">SUMIFS(C$2:C$1500,C$2:C$1500, "&gt;=0",J$2:J$1500, "&lt;90",J$2:J$1500,"&gt;=75",I$2:I$1500,"&lt;180")</f>
        <v>1.2</v>
      </c>
      <c r="Z13" s="0" t="n">
        <f aca="false">I13+65</f>
        <v>300.3</v>
      </c>
      <c r="AB13" s="0" t="n">
        <f aca="false">IF(Z13&gt;360,Z13-360,Z13+0)</f>
        <v>300.3</v>
      </c>
      <c r="AD13" s="1" t="n">
        <v>165</v>
      </c>
      <c r="AE13" s="1" t="n">
        <f aca="false">COUNTIF(AB$2:AB$1500,"&lt;180")-SUM(AE2:AE12)</f>
        <v>53</v>
      </c>
      <c r="AF13" s="1"/>
      <c r="AG13" s="1" t="n">
        <v>165</v>
      </c>
      <c r="AH13" s="0" t="n">
        <f aca="false">SUMIFS(C$2:C$1500,C$2:C$1500, "&gt;=0",AB$2:AB$1500, "&lt;180",AB$2:AB$1500,"&gt;=165")</f>
        <v>139.2</v>
      </c>
      <c r="AJ13" s="1" t="s">
        <v>77</v>
      </c>
      <c r="AK13" s="0" t="n">
        <f aca="false">SUMIF($J$2:$J$2000,"&lt;75",$C$2:$C$2000)-SUM($AK$2:$AK$12)</f>
        <v>57.3999999999992</v>
      </c>
    </row>
    <row r="14" customFormat="false" ht="15.8" hidden="false" customHeight="false" outlineLevel="0" collapsed="false">
      <c r="A14" s="1" t="n">
        <v>1</v>
      </c>
      <c r="B14" s="1" t="n">
        <v>11</v>
      </c>
      <c r="C14" s="1" t="n">
        <v>2.6</v>
      </c>
      <c r="D14" s="1" t="n">
        <v>1.2886</v>
      </c>
      <c r="E14" s="1" t="n">
        <v>0.0927329</v>
      </c>
      <c r="F14" s="1" t="n">
        <v>0.000266545</v>
      </c>
      <c r="G14" s="1" t="s">
        <v>27</v>
      </c>
      <c r="H14" s="1" t="n">
        <v>2.1</v>
      </c>
      <c r="I14" s="1" t="n">
        <v>274.3</v>
      </c>
      <c r="J14" s="1" t="n">
        <v>-23</v>
      </c>
      <c r="K14" s="1"/>
      <c r="L14" s="1" t="n">
        <v>0</v>
      </c>
      <c r="M14" s="1" t="n">
        <v>0</v>
      </c>
      <c r="N14" s="1" t="s">
        <v>76</v>
      </c>
      <c r="O14" s="1" t="n">
        <v>180</v>
      </c>
      <c r="P14" s="1" t="n">
        <f aca="false">COUNTIF(I$2:I$1500,"&lt;195")-SUM(P2:P13)</f>
        <v>32</v>
      </c>
      <c r="Q14" s="1" t="s">
        <v>80</v>
      </c>
      <c r="R14" s="1" t="n">
        <f aca="false">COUNTIF(J$2:J$1500,"&lt;=90")-SUM(R2:R13)</f>
        <v>1</v>
      </c>
      <c r="S14" s="2" t="s">
        <v>81</v>
      </c>
      <c r="T14" s="1" t="n">
        <f aca="false">COUNTIFS(J$2:J$1500, "&gt;-90",I$2:I$1500, "&gt;=180")-SUM(T15:T25)</f>
        <v>2</v>
      </c>
      <c r="U14" s="1" t="n">
        <v>180</v>
      </c>
      <c r="V14" s="0" t="n">
        <f aca="false">SUMIFS(C$2:C$1500,C$2:C$1500, "&gt;=0",I$2:I$1500, "&lt;195",I$2:I$1500,"&gt;=180")</f>
        <v>80.9</v>
      </c>
      <c r="W14" s="2" t="s">
        <v>82</v>
      </c>
      <c r="X14" s="0" t="n">
        <f aca="false">SUMIFS(C$2:C$1500,C$2:C$1500, "&gt;=0",J$2:J$1500, "&lt;90",J$2:J$1500,"&gt;=75",I$2:I$1500,"&gt;=180")</f>
        <v>0</v>
      </c>
      <c r="Z14" s="0" t="n">
        <f aca="false">I14+65</f>
        <v>339.3</v>
      </c>
      <c r="AB14" s="0" t="n">
        <f aca="false">IF(Z14&gt;360,Z14-360,Z14+0)</f>
        <v>339.3</v>
      </c>
      <c r="AD14" s="1" t="n">
        <v>180</v>
      </c>
      <c r="AE14" s="1" t="n">
        <f aca="false">COUNTIF(AB$2:AB$1500,"&lt;195")-SUM(AE2:AE13)</f>
        <v>57</v>
      </c>
      <c r="AF14" s="1"/>
      <c r="AG14" s="1" t="n">
        <v>180</v>
      </c>
      <c r="AH14" s="0" t="n">
        <f aca="false">SUMIFS(C$2:C$1500,C$2:C$1500, "&gt;=0",AB$2:AB$1500, "&lt;195",AB$2:AB$1500,"&gt;=180")</f>
        <v>166.3</v>
      </c>
      <c r="AJ14" s="1" t="s">
        <v>80</v>
      </c>
      <c r="AK14" s="0" t="n">
        <f aca="false">SUMIF($J$2:$J$2000,"&lt;90",$C$2:$C$2000)-SUM($AK$2:$AK$13)</f>
        <v>1.19999999999982</v>
      </c>
    </row>
    <row r="15" customFormat="false" ht="15.8" hidden="false" customHeight="false" outlineLevel="0" collapsed="false">
      <c r="A15" s="1" t="n">
        <v>1</v>
      </c>
      <c r="B15" s="1" t="n">
        <v>10</v>
      </c>
      <c r="C15" s="1" t="n">
        <v>2.5</v>
      </c>
      <c r="D15" s="1" t="n">
        <v>1.3334</v>
      </c>
      <c r="E15" s="1" t="n">
        <v>0.0910869</v>
      </c>
      <c r="F15" s="1" t="n">
        <v>0.000261814</v>
      </c>
      <c r="G15" s="1" t="s">
        <v>37</v>
      </c>
      <c r="H15" s="1" t="n">
        <v>33.9</v>
      </c>
      <c r="I15" s="1" t="n">
        <v>276.1</v>
      </c>
      <c r="J15" s="1" t="n">
        <v>-24.4</v>
      </c>
      <c r="K15" s="1" t="n">
        <v>46.4</v>
      </c>
      <c r="L15" s="1" t="n">
        <v>0</v>
      </c>
      <c r="M15" s="1" t="n">
        <v>0</v>
      </c>
      <c r="N15" s="1" t="s">
        <v>72</v>
      </c>
      <c r="O15" s="1" t="n">
        <v>195</v>
      </c>
      <c r="P15" s="1" t="n">
        <f aca="false">COUNTIF(I$2:I$1500,"&lt;210")-SUM(P2:P14)</f>
        <v>22</v>
      </c>
      <c r="R15" s="1"/>
      <c r="S15" s="2" t="s">
        <v>83</v>
      </c>
      <c r="T15" s="1" t="n">
        <f aca="false">COUNTIFS(J$2:J$1500, "&gt;-75",I$2:I$1500, "&gt;=180")-SUM(T16:T25)</f>
        <v>16</v>
      </c>
      <c r="U15" s="1" t="n">
        <v>195</v>
      </c>
      <c r="V15" s="0" t="n">
        <f aca="false">SUMIFS(C$2:C$1500,C$2:C$1500, "&gt;=0",I$2:I$1500, "&lt;210",I$2:I$1500,"&gt;=195")</f>
        <v>43.4</v>
      </c>
      <c r="W15" s="2" t="s">
        <v>84</v>
      </c>
      <c r="X15" s="0" t="n">
        <f aca="false">SUMIFS(C$2:C$1500,C$2:C$1500, "&gt;=0",J$2:J$1500, "&lt;75",J$2:J$1500,"&gt;=60",I$2:I$1500,"&gt;=180")</f>
        <v>30</v>
      </c>
      <c r="Z15" s="0" t="n">
        <f aca="false">I15+65</f>
        <v>341.1</v>
      </c>
      <c r="AB15" s="0" t="n">
        <f aca="false">IF(Z15&gt;360,Z15-360,Z15+0)</f>
        <v>341.1</v>
      </c>
      <c r="AD15" s="1" t="n">
        <v>195</v>
      </c>
      <c r="AE15" s="1" t="n">
        <f aca="false">COUNTIF(AB$2:AB$1500,"&lt;210")-SUM(AE2:AE14)</f>
        <v>57</v>
      </c>
      <c r="AF15" s="1"/>
      <c r="AG15" s="1" t="n">
        <v>195</v>
      </c>
      <c r="AH15" s="0" t="n">
        <f aca="false">SUMIFS(C$2:C$1500,C$2:C$1500, "&gt;=0",AB$2:AB$1500, "&lt;210",AB$2:AB$1500,"&gt;=195")</f>
        <v>160.5</v>
      </c>
    </row>
    <row r="16" customFormat="false" ht="15.8" hidden="false" customHeight="false" outlineLevel="0" collapsed="false">
      <c r="A16" s="1" t="n">
        <v>1</v>
      </c>
      <c r="B16" s="1" t="n">
        <v>9</v>
      </c>
      <c r="C16" s="1" t="n">
        <v>3.6</v>
      </c>
      <c r="D16" s="1" t="n">
        <v>1.2279</v>
      </c>
      <c r="E16" s="1" t="n">
        <v>0.130938</v>
      </c>
      <c r="F16" s="1" t="n">
        <v>0.000376359</v>
      </c>
      <c r="G16" s="1" t="s">
        <v>37</v>
      </c>
      <c r="H16" s="1" t="n">
        <v>39.9</v>
      </c>
      <c r="I16" s="1" t="n">
        <v>251.8</v>
      </c>
      <c r="J16" s="1" t="n">
        <v>0</v>
      </c>
      <c r="K16" s="1" t="n">
        <v>69</v>
      </c>
      <c r="L16" s="1" t="n">
        <v>0</v>
      </c>
      <c r="M16" s="1" t="n">
        <v>0</v>
      </c>
      <c r="N16" s="1" t="s">
        <v>60</v>
      </c>
      <c r="O16" s="1" t="n">
        <v>210</v>
      </c>
      <c r="P16" s="1" t="n">
        <f aca="false">COUNTIF(I$2:I$1500,"&lt;225")-SUM(P2:P15)</f>
        <v>37</v>
      </c>
      <c r="S16" s="2" t="s">
        <v>85</v>
      </c>
      <c r="T16" s="1" t="n">
        <f aca="false">COUNTIFS(J$2:J$1500, "&gt;-60",I$2:I$1500, "&gt;=180")-SUM(T17:T25)</f>
        <v>32</v>
      </c>
      <c r="U16" s="1" t="n">
        <v>210</v>
      </c>
      <c r="V16" s="0" t="n">
        <f aca="false">SUMIFS(C$2:C$1500,C$2:C$1500, "&gt;=0",I$2:I$1500, "&lt;225",I$2:I$1500,"&gt;=210")</f>
        <v>90.5</v>
      </c>
      <c r="W16" s="2" t="s">
        <v>86</v>
      </c>
      <c r="X16" s="0" t="n">
        <f aca="false">SUMIFS(C$2:C$1500,C$2:C$1500, "&gt;=0",J$2:J$1500, "&lt;60",J$2:J$1500,"&gt;=45",I$2:I$1500,"&gt;=180")</f>
        <v>37.2</v>
      </c>
      <c r="Z16" s="0" t="n">
        <f aca="false">I16+65</f>
        <v>316.8</v>
      </c>
      <c r="AB16" s="0" t="n">
        <f aca="false">IF(Z16&gt;360,Z16-360,Z16+0)</f>
        <v>316.8</v>
      </c>
      <c r="AD16" s="1" t="n">
        <v>210</v>
      </c>
      <c r="AE16" s="1" t="n">
        <f aca="false">COUNTIF(AB$2:AB$1500,"&lt;225")-SUM(AE2:AE15)</f>
        <v>35</v>
      </c>
      <c r="AF16" s="1"/>
      <c r="AG16" s="1" t="n">
        <v>210</v>
      </c>
      <c r="AH16" s="0" t="n">
        <f aca="false">SUMIFS(C$2:C$1500,C$2:C$1500, "&gt;=0",AB$2:AB$1500, "&lt;225",AB$2:AB$1500,"&gt;=210")</f>
        <v>88.1</v>
      </c>
    </row>
    <row r="17" customFormat="false" ht="15.8" hidden="false" customHeight="false" outlineLevel="0" collapsed="false">
      <c r="A17" s="1" t="n">
        <v>1</v>
      </c>
      <c r="B17" s="1" t="n">
        <v>9</v>
      </c>
      <c r="C17" s="1" t="n">
        <v>1.5</v>
      </c>
      <c r="D17" s="1" t="n">
        <v>1.1844</v>
      </c>
      <c r="E17" s="1" t="n">
        <v>0.0280646</v>
      </c>
      <c r="F17" s="1" t="n">
        <v>4.30054E-005</v>
      </c>
      <c r="G17" s="1" t="s">
        <v>27</v>
      </c>
      <c r="H17" s="1" t="n">
        <v>119.8</v>
      </c>
      <c r="I17" s="1" t="n">
        <v>85.4</v>
      </c>
      <c r="J17" s="1" t="n">
        <v>18</v>
      </c>
      <c r="K17" s="1"/>
      <c r="L17" s="1" t="n">
        <v>0</v>
      </c>
      <c r="M17" s="1" t="n">
        <v>0</v>
      </c>
      <c r="N17" s="1" t="s">
        <v>60</v>
      </c>
      <c r="O17" s="1" t="n">
        <v>225</v>
      </c>
      <c r="P17" s="1" t="n">
        <f aca="false">COUNTIF(I$2:I$1500,"&lt;240")-SUM(P2:P16)</f>
        <v>41</v>
      </c>
      <c r="S17" s="2" t="s">
        <v>87</v>
      </c>
      <c r="T17" s="1" t="n">
        <f aca="false">COUNTIFS(J$2:J$1500, "&gt;-45",I$2:I$1500, "&gt;=180")-SUM(T18:T25)</f>
        <v>57</v>
      </c>
      <c r="U17" s="1" t="n">
        <v>225</v>
      </c>
      <c r="V17" s="0" t="n">
        <f aca="false">SUMIFS(C$2:C$1500,C$2:C$1500, "&gt;=0",I$2:I$1500, "&lt;240",I$2:I$1500,"&gt;=225")</f>
        <v>96.1</v>
      </c>
      <c r="W17" s="2" t="s">
        <v>88</v>
      </c>
      <c r="X17" s="0" t="n">
        <f aca="false">SUMIFS(C$2:C$1500,C$2:C$1500, "&gt;=0",J$2:J$1500, "&lt;45",J$2:J$1500,"&gt;=30",I$2:I$1500,"&gt;=180")</f>
        <v>81.7</v>
      </c>
      <c r="Z17" s="0" t="n">
        <f aca="false">I17+65</f>
        <v>150.4</v>
      </c>
      <c r="AB17" s="0" t="n">
        <f aca="false">IF(Z17&gt;360,Z17-360,Z17+0)</f>
        <v>150.4</v>
      </c>
      <c r="AD17" s="1" t="n">
        <v>225</v>
      </c>
      <c r="AE17" s="1" t="n">
        <f aca="false">COUNTIF(AB$2:AB$1500,"&lt;240")-SUM(AE2:AE16)</f>
        <v>38</v>
      </c>
      <c r="AF17" s="1"/>
      <c r="AG17" s="1" t="n">
        <v>225</v>
      </c>
      <c r="AH17" s="0" t="n">
        <f aca="false">SUMIFS(C$2:C$1500,C$2:C$1500, "&gt;=0",AB$2:AB$1500, "&lt;240",AB$2:AB$1500,"&gt;=225")</f>
        <v>111.8</v>
      </c>
    </row>
    <row r="18" customFormat="false" ht="15.8" hidden="false" customHeight="false" outlineLevel="0" collapsed="false">
      <c r="A18" s="1" t="n">
        <v>1</v>
      </c>
      <c r="B18" s="1" t="n">
        <v>9</v>
      </c>
      <c r="C18" s="1" t="n">
        <v>1.3</v>
      </c>
      <c r="D18" s="1" t="n">
        <v>1.0389</v>
      </c>
      <c r="E18" s="1" t="n">
        <v>0.0455935</v>
      </c>
      <c r="F18" s="1" t="n">
        <v>0.000126907</v>
      </c>
      <c r="G18" s="1" t="s">
        <v>27</v>
      </c>
      <c r="H18" s="1" t="n">
        <v>105.7</v>
      </c>
      <c r="I18" s="1" t="n">
        <v>108.4</v>
      </c>
      <c r="J18" s="1" t="n">
        <v>0</v>
      </c>
      <c r="K18" s="1"/>
      <c r="L18" s="1" t="n">
        <v>0</v>
      </c>
      <c r="M18" s="1" t="n">
        <v>0</v>
      </c>
      <c r="N18" s="1" t="s">
        <v>60</v>
      </c>
      <c r="O18" s="1" t="n">
        <v>240</v>
      </c>
      <c r="P18" s="1" t="n">
        <f aca="false">COUNTIF(I$2:I$1500,"&lt;255")-SUM(P2:P17)</f>
        <v>58</v>
      </c>
      <c r="S18" s="2" t="s">
        <v>89</v>
      </c>
      <c r="T18" s="1" t="n">
        <f aca="false">COUNTIFS(J$2:J$1500, "&gt;-30",I$2:I$1500, "&gt;=180")-SUM(T19:T25)</f>
        <v>99</v>
      </c>
      <c r="U18" s="1" t="n">
        <v>240</v>
      </c>
      <c r="V18" s="0" t="n">
        <f aca="false">SUMIFS(C$2:C$1500,C$2:C$1500, "&gt;=0",I$2:I$1500, "&lt;255",I$2:I$1500,"&gt;=240")</f>
        <v>133.9</v>
      </c>
      <c r="W18" s="2" t="s">
        <v>90</v>
      </c>
      <c r="X18" s="0" t="n">
        <f aca="false">SUMIFS(C$2:C$1500,C$2:C$1500, "&gt;=0",J$2:J$1500, "&lt;30",J$2:J$1500,"&gt;=15",I$2:I$1500,"&gt;=180")</f>
        <v>178.3</v>
      </c>
      <c r="Z18" s="0" t="n">
        <f aca="false">I18+65</f>
        <v>173.4</v>
      </c>
      <c r="AB18" s="0" t="n">
        <f aca="false">IF(Z18&gt;360,Z18-360,Z18+0)</f>
        <v>173.4</v>
      </c>
      <c r="AD18" s="1" t="n">
        <v>240</v>
      </c>
      <c r="AE18" s="1" t="n">
        <f aca="false">COUNTIF(AB$2:AB$1500,"&lt;255")-SUM(AE2:AE17)</f>
        <v>41</v>
      </c>
      <c r="AF18" s="1"/>
      <c r="AG18" s="1" t="n">
        <v>240</v>
      </c>
      <c r="AH18" s="0" t="n">
        <f aca="false">SUMIFS(C$2:C$1500,C$2:C$1500, "&gt;=0",AB$2:AB$1500, "&lt;255",AB$2:AB$1500,"&gt;=240")</f>
        <v>97.5</v>
      </c>
    </row>
    <row r="19" customFormat="false" ht="15.8" hidden="false" customHeight="false" outlineLevel="0" collapsed="false">
      <c r="A19" s="1" t="n">
        <v>1</v>
      </c>
      <c r="B19" s="1" t="n">
        <v>8</v>
      </c>
      <c r="C19" s="1" t="n">
        <v>1.7</v>
      </c>
      <c r="D19" s="1" t="n">
        <v>1.1504</v>
      </c>
      <c r="E19" s="1" t="n">
        <v>0.0599884</v>
      </c>
      <c r="F19" s="1" t="n">
        <v>0.000172427</v>
      </c>
      <c r="G19" s="1" t="s">
        <v>37</v>
      </c>
      <c r="H19" s="1" t="n">
        <v>18.2</v>
      </c>
      <c r="I19" s="1" t="n">
        <v>214.7</v>
      </c>
      <c r="J19" s="1" t="n">
        <v>15.7</v>
      </c>
      <c r="K19" s="1" t="n">
        <v>119.8</v>
      </c>
      <c r="L19" s="1" t="n">
        <v>0</v>
      </c>
      <c r="M19" s="1" t="n">
        <v>0</v>
      </c>
      <c r="N19" s="1" t="s">
        <v>91</v>
      </c>
      <c r="O19" s="1" t="n">
        <v>255</v>
      </c>
      <c r="P19" s="1" t="n">
        <f aca="false">COUNTIF(I$2:I$1500,"&lt;270")-SUM(P2:P18)</f>
        <v>45</v>
      </c>
      <c r="S19" s="2" t="s">
        <v>92</v>
      </c>
      <c r="T19" s="1" t="n">
        <f aca="false">COUNTIFS(J$2:J$1500, "&gt;-15",I$2:I$1500, "&gt;=180")-SUM(T20:T25)</f>
        <v>238</v>
      </c>
      <c r="U19" s="1" t="n">
        <v>255</v>
      </c>
      <c r="V19" s="0" t="n">
        <f aca="false">SUMIFS(C$2:C$1500,C$2:C$1500, "&gt;=0",I$2:I$1500, "&lt;270",I$2:I$1500,"&gt;=255")</f>
        <v>131.5</v>
      </c>
      <c r="W19" s="2" t="s">
        <v>93</v>
      </c>
      <c r="X19" s="0" t="n">
        <f aca="false">SUMIFS(C$2:C$1500,C$2:C$1500, "&gt;=0",J$2:J$1500, "&lt;15",J$2:J$1500,"&gt;=0",I$2:I$1500,"&gt;=180")</f>
        <v>450.6</v>
      </c>
      <c r="Z19" s="0" t="n">
        <f aca="false">I19+65</f>
        <v>279.7</v>
      </c>
      <c r="AB19" s="0" t="n">
        <f aca="false">IF(Z19&gt;360,Z19-360,Z19+0)</f>
        <v>279.7</v>
      </c>
      <c r="AD19" s="1" t="n">
        <v>255</v>
      </c>
      <c r="AE19" s="1" t="n">
        <f aca="false">COUNTIF(AB$2:AB$1500,"&lt;270")-SUM(AE2:AE18)</f>
        <v>20</v>
      </c>
      <c r="AF19" s="1"/>
      <c r="AG19" s="1" t="n">
        <v>255</v>
      </c>
      <c r="AH19" s="0" t="n">
        <f aca="false">SUMIFS(C$2:C$1500,C$2:C$1500, "&gt;=0",AB$2:AB$1500, "&lt;270",AB$2:AB$1500,"&gt;=255")</f>
        <v>48.3</v>
      </c>
    </row>
    <row r="20" customFormat="false" ht="15.8" hidden="false" customHeight="false" outlineLevel="0" collapsed="false">
      <c r="A20" s="1" t="n">
        <v>1</v>
      </c>
      <c r="B20" s="1" t="n">
        <v>10</v>
      </c>
      <c r="C20" s="1" t="n">
        <v>1.3</v>
      </c>
      <c r="D20" s="1" t="n">
        <v>1.0433</v>
      </c>
      <c r="E20" s="1" t="n">
        <v>0.0473213</v>
      </c>
      <c r="F20" s="1" t="n">
        <v>0.000136017</v>
      </c>
      <c r="G20" s="1" t="s">
        <v>27</v>
      </c>
      <c r="H20" s="1" t="n">
        <v>41</v>
      </c>
      <c r="I20" s="1" t="n">
        <v>187.9</v>
      </c>
      <c r="J20" s="1" t="n">
        <v>0</v>
      </c>
      <c r="K20" s="1"/>
      <c r="L20" s="1" t="n">
        <v>0</v>
      </c>
      <c r="M20" s="1" t="n">
        <v>0</v>
      </c>
      <c r="N20" s="1" t="s">
        <v>94</v>
      </c>
      <c r="O20" s="1" t="n">
        <v>270</v>
      </c>
      <c r="P20" s="1" t="n">
        <f aca="false">COUNTIF(I$2:I$1500,"&lt;285")-SUM(P2:P19)</f>
        <v>81</v>
      </c>
      <c r="S20" s="2" t="s">
        <v>95</v>
      </c>
      <c r="T20" s="1" t="n">
        <f aca="false">COUNTIFS(J$2:J$1500, "&gt;0",I$2:I$1500, "&gt;=180")-SUM(T21:T25)</f>
        <v>46</v>
      </c>
      <c r="U20" s="1" t="n">
        <v>270</v>
      </c>
      <c r="V20" s="0" t="n">
        <f aca="false">SUMIFS(C$2:C$1500,C$2:C$1500, "&gt;=0",I$2:I$1500, "&lt;285",I$2:I$1500,"&gt;=270")</f>
        <v>207.8</v>
      </c>
      <c r="W20" s="2" t="s">
        <v>96</v>
      </c>
      <c r="X20" s="0" t="n">
        <f aca="false">SUMIFS(C$2:C$1500,C$2:C$1500, "&gt;=0",J$2:J$1500, "&lt;0",J$2:J$1500,"&gt;=-15",I$2:I$1500,"&gt;=180")</f>
        <v>280.6</v>
      </c>
      <c r="Z20" s="0" t="n">
        <f aca="false">I20+65</f>
        <v>252.9</v>
      </c>
      <c r="AB20" s="0" t="n">
        <f aca="false">IF(Z20&gt;360,Z20-360,Z20+0)</f>
        <v>252.9</v>
      </c>
      <c r="AD20" s="1" t="n">
        <v>270</v>
      </c>
      <c r="AE20" s="1" t="n">
        <f aca="false">COUNTIF(AB$2:AB$1500,"&lt;285")-SUM(AE2:AE19)</f>
        <v>37</v>
      </c>
      <c r="AF20" s="1"/>
      <c r="AG20" s="1" t="n">
        <v>270</v>
      </c>
      <c r="AH20" s="0" t="n">
        <f aca="false">SUMIFS(C$2:C$1500,C$2:C$1500, "&gt;=0",AB$2:AB$1500, "&lt;285",AB$2:AB$1500,"&gt;=270")</f>
        <v>82.7</v>
      </c>
    </row>
    <row r="21" customFormat="false" ht="15.8" hidden="false" customHeight="false" outlineLevel="0" collapsed="false">
      <c r="A21" s="1" t="n">
        <v>1</v>
      </c>
      <c r="B21" s="1" t="n">
        <v>10</v>
      </c>
      <c r="C21" s="1" t="n">
        <v>0.9</v>
      </c>
      <c r="D21" s="1" t="n">
        <v>1.2604</v>
      </c>
      <c r="E21" s="1" t="n">
        <v>0.0336279</v>
      </c>
      <c r="F21" s="1" t="n">
        <v>9.66577E-005</v>
      </c>
      <c r="G21" s="1" t="s">
        <v>27</v>
      </c>
      <c r="H21" s="1" t="n">
        <v>133.6</v>
      </c>
      <c r="I21" s="1" t="n">
        <v>311.3</v>
      </c>
      <c r="J21" s="1" t="n">
        <v>-31.9</v>
      </c>
      <c r="K21" s="1"/>
      <c r="L21" s="1" t="n">
        <v>0</v>
      </c>
      <c r="M21" s="1" t="n">
        <v>0</v>
      </c>
      <c r="N21" s="1" t="s">
        <v>94</v>
      </c>
      <c r="O21" s="1" t="n">
        <v>285</v>
      </c>
      <c r="P21" s="1" t="n">
        <f aca="false">COUNTIF(I$2:I$1500,"&lt;300")-SUM(P2:P20)</f>
        <v>58</v>
      </c>
      <c r="S21" s="2" t="s">
        <v>97</v>
      </c>
      <c r="T21" s="1" t="n">
        <f aca="false">COUNTIFS(J$2:J$1500, "&gt;15",I$2:I$1500, "&gt;=180")-SUM(T22:T25)</f>
        <v>62</v>
      </c>
      <c r="U21" s="1" t="n">
        <v>285</v>
      </c>
      <c r="V21" s="0" t="n">
        <f aca="false">SUMIFS(C$2:C$1500,C$2:C$1500, "&gt;=0",I$2:I$1500, "&lt;300",I$2:I$1500,"&gt;=285")</f>
        <v>184.4</v>
      </c>
      <c r="W21" s="2" t="s">
        <v>98</v>
      </c>
      <c r="X21" s="0" t="n">
        <f aca="false">SUMIFS(C$2:C$1500,C$2:C$1500, "&gt;=0",J$2:J$1500, "&lt;-15",J$2:J$1500,"&gt;=-30",I$2:I$1500,"&gt;=180")</f>
        <v>242.1</v>
      </c>
      <c r="Z21" s="0" t="n">
        <f aca="false">I21+65</f>
        <v>376.3</v>
      </c>
      <c r="AB21" s="0" t="n">
        <f aca="false">IF(Z21&gt;360,Z21-360,Z21+0)</f>
        <v>16.3</v>
      </c>
      <c r="AD21" s="1" t="n">
        <v>285</v>
      </c>
      <c r="AE21" s="1" t="n">
        <f aca="false">COUNTIF(AB$2:AB$1500,"&lt;300")-SUM(AE2:AE20)</f>
        <v>40</v>
      </c>
      <c r="AF21" s="1"/>
      <c r="AG21" s="1" t="n">
        <v>285</v>
      </c>
      <c r="AH21" s="0" t="n">
        <f aca="false">SUMIFS(C$2:C$1500,C$2:C$1500, "&gt;=0",AB$2:AB$1500, "&lt;300",AB$2:AB$1500,"&gt;=285")</f>
        <v>93.4</v>
      </c>
    </row>
    <row r="22" customFormat="false" ht="15.8" hidden="false" customHeight="false" outlineLevel="0" collapsed="false">
      <c r="A22" s="1" t="n">
        <v>1</v>
      </c>
      <c r="B22" s="1" t="n">
        <v>9</v>
      </c>
      <c r="C22" s="1" t="n">
        <v>0.8</v>
      </c>
      <c r="D22" s="1" t="n">
        <v>1.3297</v>
      </c>
      <c r="E22" s="1" t="n">
        <v>0.0271933</v>
      </c>
      <c r="F22" s="1" t="n">
        <v>7.55545E-005</v>
      </c>
      <c r="G22" s="1" t="s">
        <v>37</v>
      </c>
      <c r="H22" s="1" t="n">
        <v>43</v>
      </c>
      <c r="I22" s="1" t="n">
        <v>188.9</v>
      </c>
      <c r="J22" s="1" t="n">
        <v>41</v>
      </c>
      <c r="K22" s="1" t="n">
        <v>133.6</v>
      </c>
      <c r="L22" s="1" t="n">
        <v>0</v>
      </c>
      <c r="M22" s="1" t="n">
        <v>0</v>
      </c>
      <c r="N22" s="1" t="s">
        <v>99</v>
      </c>
      <c r="O22" s="1" t="n">
        <v>300</v>
      </c>
      <c r="P22" s="1" t="n">
        <f aca="false">COUNTIF(I$2:I$1500,"&lt;315")-SUM(P2:P21)</f>
        <v>68</v>
      </c>
      <c r="S22" s="2" t="s">
        <v>100</v>
      </c>
      <c r="T22" s="1" t="n">
        <f aca="false">COUNTIFS(J$2:J$1500, "&gt;30",I$2:I$1500, "&gt;=180")-SUM(T23:T25)</f>
        <v>39</v>
      </c>
      <c r="U22" s="1" t="n">
        <v>300</v>
      </c>
      <c r="V22" s="0" t="n">
        <f aca="false">SUMIFS(C$2:C$1500,C$2:C$1500, "&gt;=0",I$2:I$1500, "&lt;315",I$2:I$1500,"&gt;=300")</f>
        <v>188.4</v>
      </c>
      <c r="W22" s="2" t="s">
        <v>101</v>
      </c>
      <c r="X22" s="0" t="n">
        <f aca="false">SUMIFS(C$2:C$1500,C$2:C$1500, "&gt;=0",J$2:J$1500, "&lt;-30",J$2:J$1500,"&gt;=-45",I$2:I$1500,"&gt;=180")</f>
        <v>143.8</v>
      </c>
      <c r="Z22" s="0" t="n">
        <f aca="false">I22+65</f>
        <v>253.9</v>
      </c>
      <c r="AB22" s="0" t="n">
        <f aca="false">IF(Z22&gt;360,Z22-360,Z22+0)</f>
        <v>253.9</v>
      </c>
      <c r="AD22" s="1" t="n">
        <v>300</v>
      </c>
      <c r="AE22" s="1" t="n">
        <f aca="false">COUNTIF(AB$2:AB$1500,"&lt;315")-SUM(AE2:AE21)</f>
        <v>41</v>
      </c>
      <c r="AF22" s="1"/>
      <c r="AG22" s="1" t="n">
        <v>300</v>
      </c>
      <c r="AH22" s="0" t="n">
        <f aca="false">SUMIFS(C$2:C$1500,C$2:C$1500, "&gt;=0",AB$2:AB$1500, "&lt;315",AB$2:AB$1500,"&gt;=300")</f>
        <v>94.2</v>
      </c>
    </row>
    <row r="23" customFormat="false" ht="15.8" hidden="false" customHeight="false" outlineLevel="0" collapsed="false">
      <c r="A23" s="1" t="n">
        <v>1</v>
      </c>
      <c r="B23" s="1" t="n">
        <v>9</v>
      </c>
      <c r="C23" s="1" t="n">
        <v>7.4</v>
      </c>
      <c r="D23" s="1" t="n">
        <v>1.3671</v>
      </c>
      <c r="E23" s="1" t="n">
        <v>0.221806</v>
      </c>
      <c r="F23" s="1" t="n">
        <v>0.000569009</v>
      </c>
      <c r="G23" s="1" t="s">
        <v>27</v>
      </c>
      <c r="H23" s="1" t="n">
        <v>12.5</v>
      </c>
      <c r="I23" s="1" t="n">
        <v>123.6</v>
      </c>
      <c r="J23" s="1" t="n">
        <v>25.6</v>
      </c>
      <c r="K23" s="1"/>
      <c r="L23" s="1" t="n">
        <v>0</v>
      </c>
      <c r="M23" s="1" t="n">
        <v>0</v>
      </c>
      <c r="N23" s="1" t="s">
        <v>99</v>
      </c>
      <c r="O23" s="1" t="n">
        <v>315</v>
      </c>
      <c r="P23" s="1" t="n">
        <f aca="false">COUNTIF(I$2:I$1500,"&lt;330")-SUM(P2:P22)</f>
        <v>57</v>
      </c>
      <c r="S23" s="2" t="s">
        <v>102</v>
      </c>
      <c r="T23" s="1" t="n">
        <f aca="false">COUNTIFS(J$2:J$1500, "&gt;45",I$2:I$1500, "&gt;=180")-SUM(T24:T25)</f>
        <v>17</v>
      </c>
      <c r="U23" s="1" t="n">
        <v>315</v>
      </c>
      <c r="V23" s="0" t="n">
        <f aca="false">SUMIFS(C$2:C$1500,C$2:C$1500, "&gt;=0",I$2:I$1500, "&lt;330",I$2:I$1500,"&gt;=315")</f>
        <v>128.1</v>
      </c>
      <c r="W23" s="2" t="s">
        <v>103</v>
      </c>
      <c r="X23" s="0" t="n">
        <f aca="false">SUMIFS(C$2:C$1500,C$2:C$1500, "&gt;=0",J$2:J$1500, "&lt;-45",J$2:J$1500,"&gt;=-60",I$2:I$1500,"&gt;=180")</f>
        <v>83.9</v>
      </c>
      <c r="Z23" s="0" t="n">
        <f aca="false">I23+65</f>
        <v>188.6</v>
      </c>
      <c r="AB23" s="0" t="n">
        <f aca="false">IF(Z23&gt;360,Z23-360,Z23+0)</f>
        <v>188.6</v>
      </c>
      <c r="AD23" s="1" t="n">
        <v>315</v>
      </c>
      <c r="AE23" s="1" t="n">
        <f aca="false">COUNTIF(AB$2:AB$1500,"&lt;330")-SUM(AE2:AE22)</f>
        <v>55</v>
      </c>
      <c r="AF23" s="1"/>
      <c r="AG23" s="1" t="n">
        <v>315</v>
      </c>
      <c r="AH23" s="0" t="n">
        <f aca="false">SUMIFS(C$2:C$1500,C$2:C$1500, "&gt;=0",AB$2:AB$1500, "&lt;330",AB$2:AB$1500,"&gt;=315")</f>
        <v>152.4</v>
      </c>
    </row>
    <row r="24" customFormat="false" ht="15.8" hidden="false" customHeight="false" outlineLevel="0" collapsed="false">
      <c r="A24" s="1" t="n">
        <v>1</v>
      </c>
      <c r="B24" s="1" t="n">
        <v>8</v>
      </c>
      <c r="C24" s="1" t="n">
        <v>1.8</v>
      </c>
      <c r="D24" s="1" t="n">
        <v>1.2215</v>
      </c>
      <c r="E24" s="1" t="n">
        <v>0.0328102</v>
      </c>
      <c r="F24" s="1" t="n">
        <v>4.97898E-005</v>
      </c>
      <c r="G24" s="1" t="s">
        <v>37</v>
      </c>
      <c r="H24" s="1" t="n">
        <v>55.5</v>
      </c>
      <c r="I24" s="1" t="n">
        <v>135.2</v>
      </c>
      <c r="J24" s="1" t="n">
        <v>32.9</v>
      </c>
      <c r="K24" s="1" t="n">
        <v>43</v>
      </c>
      <c r="L24" s="1" t="n">
        <v>0</v>
      </c>
      <c r="M24" s="1" t="n">
        <v>0</v>
      </c>
      <c r="N24" s="1" t="s">
        <v>91</v>
      </c>
      <c r="O24" s="1" t="n">
        <v>330</v>
      </c>
      <c r="P24" s="1" t="n">
        <f aca="false">COUNTIF(I$2:I$1500,"&lt;345")-SUM(P2:P23)</f>
        <v>59</v>
      </c>
      <c r="S24" s="2" t="s">
        <v>104</v>
      </c>
      <c r="T24" s="1" t="n">
        <f aca="false">COUNTIFS(J$2:J$1500, "&gt;60",I$2:I$1500, "&gt;=180")-T25</f>
        <v>6</v>
      </c>
      <c r="U24" s="1" t="n">
        <v>330</v>
      </c>
      <c r="V24" s="0" t="n">
        <f aca="false">SUMIFS(C$2:C$1500,C$2:C$1500, "&gt;=0",I$2:I$1500, "&lt;345",I$2:I$1500,"&gt;=330")</f>
        <v>144.9</v>
      </c>
      <c r="W24" s="2" t="s">
        <v>105</v>
      </c>
      <c r="X24" s="0" t="n">
        <f aca="false">SUMIFS(C$2:C$1500,C$2:C$1500, "&gt;=0",J$2:J$1500, "&lt;-60",J$2:J$1500,"&gt;=-75",I$2:I$1500,"&gt;=180")</f>
        <v>40.1</v>
      </c>
      <c r="Z24" s="0" t="n">
        <f aca="false">I24+65</f>
        <v>200.2</v>
      </c>
      <c r="AB24" s="0" t="n">
        <f aca="false">IF(Z24&gt;360,Z24-360,Z24+0)</f>
        <v>200.2</v>
      </c>
      <c r="AD24" s="1" t="n">
        <v>330</v>
      </c>
      <c r="AE24" s="1" t="n">
        <f aca="false">COUNTIF(AB$2:AB$1500,"&lt;345")-SUM(AE2:AE23)</f>
        <v>72</v>
      </c>
      <c r="AF24" s="1"/>
      <c r="AG24" s="1" t="n">
        <v>330</v>
      </c>
      <c r="AH24" s="0" t="n">
        <f aca="false">SUMIFS(C$2:C$1500,C$2:C$1500, "&gt;=0",AB$2:AB$1500, "&lt;345",AB$2:AB$1500,"&gt;=330")</f>
        <v>180.6</v>
      </c>
    </row>
    <row r="25" customFormat="false" ht="15.8" hidden="false" customHeight="false" outlineLevel="0" collapsed="false">
      <c r="A25" s="1" t="n">
        <v>1</v>
      </c>
      <c r="B25" s="1" t="n">
        <v>7</v>
      </c>
      <c r="C25" s="1" t="n">
        <v>1</v>
      </c>
      <c r="D25" s="1" t="n">
        <v>1.2039</v>
      </c>
      <c r="E25" s="1" t="n">
        <v>0.0360402</v>
      </c>
      <c r="F25" s="1" t="n">
        <v>0.000103591</v>
      </c>
      <c r="G25" s="1" t="s">
        <v>37</v>
      </c>
      <c r="H25" s="1" t="n">
        <v>60.2</v>
      </c>
      <c r="I25" s="1" t="n">
        <v>200.4</v>
      </c>
      <c r="J25" s="1" t="n">
        <v>28.1</v>
      </c>
      <c r="K25" s="1" t="n">
        <v>55.5</v>
      </c>
      <c r="L25" s="1" t="n">
        <v>0</v>
      </c>
      <c r="M25" s="1" t="n">
        <v>0</v>
      </c>
      <c r="N25" s="1" t="s">
        <v>38</v>
      </c>
      <c r="O25" s="1" t="n">
        <v>345</v>
      </c>
      <c r="P25" s="1" t="n">
        <f aca="false">COUNTIF(I$2:I$1500,"&lt;=360")-SUM(P2:P24)</f>
        <v>56</v>
      </c>
      <c r="S25" s="2" t="s">
        <v>106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141.9</v>
      </c>
      <c r="W25" s="2" t="s">
        <v>107</v>
      </c>
      <c r="X25" s="0" t="n">
        <f aca="false">SUMIFS(C$2:C$1500,C$2:C$1500, "&gt;=0",J$2:J$1500, "&lt;-75",J$2:J$1500,"&gt;=-90",I$2:I$1500,"&gt;=180")</f>
        <v>3.5</v>
      </c>
      <c r="Z25" s="0" t="n">
        <f aca="false">I25+65</f>
        <v>265.4</v>
      </c>
      <c r="AB25" s="0" t="n">
        <f aca="false">IF(Z25&gt;360,Z25-360,Z25+0)</f>
        <v>265.4</v>
      </c>
      <c r="AD25" s="1" t="n">
        <v>345</v>
      </c>
      <c r="AE25" s="1" t="n">
        <f aca="false">COUNTIF(AB$2:AB$1500,"&lt;=360")-SUM(AE2:AE24)</f>
        <v>60</v>
      </c>
      <c r="AF25" s="1"/>
      <c r="AG25" s="1" t="n">
        <v>345</v>
      </c>
      <c r="AH25" s="0" t="n">
        <f aca="false">SUMIFS(C$2:C$1500,C$2:C$1500, "&gt;=0",AB$2:AB$1500, "&lt;=360",AB$2:AB$1500,"&gt;=345")</f>
        <v>171.1</v>
      </c>
    </row>
    <row r="26" customFormat="false" ht="15.8" hidden="false" customHeight="false" outlineLevel="0" collapsed="false">
      <c r="A26" s="1" t="n">
        <v>1</v>
      </c>
      <c r="B26" s="1" t="n">
        <v>7</v>
      </c>
      <c r="C26" s="1" t="n">
        <v>0.9</v>
      </c>
      <c r="D26" s="1" t="n">
        <v>1.0092</v>
      </c>
      <c r="E26" s="1" t="n">
        <v>0.0319196</v>
      </c>
      <c r="F26" s="1" t="n">
        <v>9.17476E-005</v>
      </c>
      <c r="G26" s="1" t="s">
        <v>27</v>
      </c>
      <c r="H26" s="1" t="n">
        <v>143.6</v>
      </c>
      <c r="I26" s="1" t="n">
        <v>283.7</v>
      </c>
      <c r="J26" s="1" t="n">
        <v>0</v>
      </c>
      <c r="K26" s="1"/>
      <c r="L26" s="1" t="n">
        <v>0</v>
      </c>
      <c r="M26" s="1" t="n">
        <v>0</v>
      </c>
      <c r="N26" s="1" t="s">
        <v>38</v>
      </c>
      <c r="O26" s="1" t="s">
        <v>108</v>
      </c>
      <c r="P26" s="1" t="n">
        <f aca="false">SUM(P2:P25)</f>
        <v>1203</v>
      </c>
      <c r="R26" s="1" t="n">
        <f aca="false">SUM(R2:R14)</f>
        <v>1203</v>
      </c>
      <c r="S26" s="2"/>
      <c r="T26" s="1" t="n">
        <f aca="false">SUM(T2:T25)</f>
        <v>1203</v>
      </c>
      <c r="U26" s="1" t="s">
        <v>108</v>
      </c>
      <c r="V26" s="0" t="n">
        <f aca="false">SUM(V2:V25)</f>
        <v>3016.7</v>
      </c>
      <c r="X26" s="0" t="n">
        <f aca="false">SUM(X2:X25)</f>
        <v>3016.7</v>
      </c>
      <c r="Z26" s="0" t="n">
        <f aca="false">I26+65</f>
        <v>348.7</v>
      </c>
      <c r="AB26" s="0" t="n">
        <f aca="false">IF(Z26&gt;360,Z26-360,Z26+0)</f>
        <v>348.7</v>
      </c>
      <c r="AD26" s="1" t="s">
        <v>108</v>
      </c>
      <c r="AE26" s="1" t="n">
        <f aca="false">SUM(AE2:AE25)</f>
        <v>1203</v>
      </c>
      <c r="AF26" s="1"/>
      <c r="AG26" s="1" t="s">
        <v>108</v>
      </c>
      <c r="AH26" s="0" t="n">
        <f aca="false">SUM(AH2:AH25)</f>
        <v>3016.7</v>
      </c>
      <c r="AJ26" s="0" t="s">
        <v>64</v>
      </c>
      <c r="AK26" s="0" t="n">
        <f aca="false">SUM(AK2:AK14)</f>
        <v>3016.7</v>
      </c>
    </row>
    <row r="27" customFormat="false" ht="15.8" hidden="false" customHeight="false" outlineLevel="0" collapsed="false">
      <c r="A27" s="1" t="n">
        <v>1</v>
      </c>
      <c r="B27" s="1" t="n">
        <v>6</v>
      </c>
      <c r="C27" s="1" t="n">
        <v>6.4</v>
      </c>
      <c r="D27" s="1" t="n">
        <v>1.221</v>
      </c>
      <c r="E27" s="1" t="n">
        <v>0.229754</v>
      </c>
      <c r="F27" s="1" t="n">
        <v>0.00066039</v>
      </c>
      <c r="G27" s="1" t="s">
        <v>37</v>
      </c>
      <c r="H27" s="1" t="n">
        <v>42</v>
      </c>
      <c r="I27" s="1" t="n">
        <v>133.5</v>
      </c>
      <c r="J27" s="1" t="n">
        <v>22</v>
      </c>
      <c r="K27" s="1" t="n">
        <v>143.6</v>
      </c>
      <c r="L27" s="1" t="n">
        <v>0</v>
      </c>
      <c r="M27" s="1" t="n">
        <v>0</v>
      </c>
      <c r="N27" s="1" t="s">
        <v>109</v>
      </c>
      <c r="O27" s="1" t="s">
        <v>110</v>
      </c>
      <c r="P27" s="1" t="n">
        <f aca="false">COUNT(I2:I1500)</f>
        <v>1203</v>
      </c>
      <c r="R27" s="1" t="n">
        <f aca="false">COUNT(J2:J1500)</f>
        <v>1203</v>
      </c>
      <c r="S27" s="2"/>
      <c r="U27" s="1" t="s">
        <v>111</v>
      </c>
      <c r="V27" s="0" t="n">
        <f aca="false">SUM(C2:C1204)</f>
        <v>3016.7</v>
      </c>
      <c r="Z27" s="0" t="n">
        <f aca="false">I27+65</f>
        <v>198.5</v>
      </c>
      <c r="AB27" s="0" t="n">
        <f aca="false">IF(Z27&gt;360,Z27-360,Z27+0)</f>
        <v>198.5</v>
      </c>
      <c r="AD27" s="1" t="s">
        <v>110</v>
      </c>
      <c r="AE27" s="1" t="n">
        <f aca="false">COUNT(Z2:Z1500)</f>
        <v>1203</v>
      </c>
      <c r="AF27" s="1"/>
      <c r="AG27" s="1" t="s">
        <v>111</v>
      </c>
      <c r="AH27" s="0" t="n">
        <f aca="false">SUM(C2:C1500)</f>
        <v>3016.7</v>
      </c>
    </row>
    <row r="28" customFormat="false" ht="15.8" hidden="false" customHeight="false" outlineLevel="0" collapsed="false">
      <c r="A28" s="1" t="n">
        <v>1</v>
      </c>
      <c r="B28" s="1" t="n">
        <v>11</v>
      </c>
      <c r="C28" s="1" t="n">
        <v>1.2</v>
      </c>
      <c r="D28" s="1" t="n">
        <v>1.015</v>
      </c>
      <c r="E28" s="1" t="n">
        <v>0.0434487</v>
      </c>
      <c r="F28" s="1" t="n">
        <v>0.000124886</v>
      </c>
      <c r="G28" s="1" t="s">
        <v>27</v>
      </c>
      <c r="H28" s="1" t="n">
        <v>21.7</v>
      </c>
      <c r="I28" s="1" t="n">
        <v>112.8</v>
      </c>
      <c r="J28" s="1" t="n">
        <v>0</v>
      </c>
      <c r="K28" s="1"/>
      <c r="L28" s="1" t="n">
        <v>0</v>
      </c>
      <c r="M28" s="1" t="n">
        <v>0</v>
      </c>
      <c r="N28" s="1" t="s">
        <v>112</v>
      </c>
      <c r="O28" s="1"/>
      <c r="P28" s="1"/>
      <c r="Q28" s="1"/>
      <c r="R28" s="1"/>
      <c r="S28" s="1"/>
      <c r="T28" s="1"/>
      <c r="U28" s="1"/>
      <c r="V28" s="1"/>
      <c r="W28" s="1"/>
      <c r="X28" s="1"/>
      <c r="Z28" s="0" t="n">
        <f aca="false">I28+65</f>
        <v>177.8</v>
      </c>
      <c r="AB28" s="0" t="n">
        <f aca="false">IF(Z28&gt;360,Z28-360,Z28+0)</f>
        <v>177.8</v>
      </c>
    </row>
    <row r="29" customFormat="false" ht="15.8" hidden="false" customHeight="false" outlineLevel="0" collapsed="false">
      <c r="A29" s="1" t="n">
        <v>1</v>
      </c>
      <c r="B29" s="1" t="n">
        <v>11</v>
      </c>
      <c r="C29" s="1" t="n">
        <v>1.4</v>
      </c>
      <c r="D29" s="1" t="n">
        <v>1.2561</v>
      </c>
      <c r="E29" s="1" t="n">
        <v>0.0424066</v>
      </c>
      <c r="F29" s="1" t="n">
        <v>0.000101008</v>
      </c>
      <c r="G29" s="1" t="s">
        <v>27</v>
      </c>
      <c r="H29" s="1" t="n">
        <v>68</v>
      </c>
      <c r="I29" s="1" t="n">
        <v>163.2</v>
      </c>
      <c r="J29" s="1" t="n">
        <v>43.7</v>
      </c>
      <c r="K29" s="1"/>
      <c r="L29" s="1" t="n">
        <v>0</v>
      </c>
      <c r="M29" s="1" t="n">
        <v>0</v>
      </c>
      <c r="N29" s="1" t="s">
        <v>112</v>
      </c>
      <c r="O29" s="1"/>
      <c r="P29" s="1"/>
      <c r="Q29" s="1"/>
      <c r="R29" s="1"/>
      <c r="S29" s="1"/>
      <c r="T29" s="1"/>
      <c r="U29" s="1"/>
      <c r="V29" s="1"/>
      <c r="W29" s="1"/>
      <c r="X29" s="1"/>
      <c r="Z29" s="0" t="n">
        <f aca="false">I29+65</f>
        <v>228.2</v>
      </c>
      <c r="AB29" s="0" t="n">
        <f aca="false">IF(Z29&gt;360,Z29-360,Z29+0)</f>
        <v>228.2</v>
      </c>
    </row>
    <row r="30" customFormat="false" ht="15.8" hidden="false" customHeight="false" outlineLevel="0" collapsed="false">
      <c r="A30" s="1" t="n">
        <v>1</v>
      </c>
      <c r="B30" s="1" t="n">
        <v>11</v>
      </c>
      <c r="C30" s="1" t="n">
        <v>0.8</v>
      </c>
      <c r="D30" s="1" t="n">
        <v>1.0019</v>
      </c>
      <c r="E30" s="1" t="n">
        <v>0.0294753</v>
      </c>
      <c r="F30" s="1" t="n">
        <v>8.47218E-005</v>
      </c>
      <c r="G30" s="1" t="s">
        <v>27</v>
      </c>
      <c r="H30" s="1" t="n">
        <v>52.9</v>
      </c>
      <c r="I30" s="1" t="n">
        <v>41.6</v>
      </c>
      <c r="J30" s="1" t="n">
        <v>0</v>
      </c>
      <c r="K30" s="1"/>
      <c r="L30" s="1" t="n">
        <v>0</v>
      </c>
      <c r="M30" s="1" t="n">
        <v>0</v>
      </c>
      <c r="N30" s="1" t="s">
        <v>112</v>
      </c>
      <c r="O30" s="1"/>
      <c r="P30" s="1"/>
      <c r="Q30" s="1"/>
      <c r="R30" s="1"/>
      <c r="S30" s="1"/>
      <c r="T30" s="1"/>
      <c r="U30" s="1"/>
      <c r="V30" s="1"/>
      <c r="W30" s="1"/>
      <c r="X30" s="1"/>
      <c r="Z30" s="0" t="n">
        <f aca="false">I30+65</f>
        <v>106.6</v>
      </c>
      <c r="AB30" s="0" t="n">
        <f aca="false">IF(Z30&gt;360,Z30-360,Z30+0)</f>
        <v>106.6</v>
      </c>
    </row>
    <row r="31" customFormat="false" ht="15.8" hidden="false" customHeight="false" outlineLevel="0" collapsed="false">
      <c r="A31" s="1" t="n">
        <v>1</v>
      </c>
      <c r="B31" s="1" t="n">
        <v>10</v>
      </c>
      <c r="C31" s="1" t="n">
        <v>8</v>
      </c>
      <c r="D31" s="1" t="n">
        <v>1.2471</v>
      </c>
      <c r="E31" s="1" t="n">
        <v>0.290312</v>
      </c>
      <c r="F31" s="1" t="n">
        <v>0.000834453</v>
      </c>
      <c r="G31" s="1" t="s">
        <v>37</v>
      </c>
      <c r="H31" s="1" t="n">
        <v>54.3</v>
      </c>
      <c r="I31" s="1" t="n">
        <v>93.7</v>
      </c>
      <c r="J31" s="1" t="n">
        <v>10.5</v>
      </c>
      <c r="K31" s="1" t="n">
        <v>68</v>
      </c>
      <c r="L31" s="1" t="n">
        <v>0</v>
      </c>
      <c r="M31" s="1" t="n">
        <v>0</v>
      </c>
      <c r="N31" s="1" t="s">
        <v>113</v>
      </c>
      <c r="O31" s="1"/>
      <c r="P31" s="1"/>
      <c r="Q31" s="1"/>
      <c r="R31" s="1"/>
      <c r="S31" s="1"/>
      <c r="T31" s="1"/>
      <c r="U31" s="1"/>
      <c r="V31" s="1"/>
      <c r="W31" s="1"/>
      <c r="X31" s="1"/>
      <c r="Z31" s="0" t="n">
        <f aca="false">I31+65</f>
        <v>158.7</v>
      </c>
      <c r="AB31" s="0" t="n">
        <f aca="false">IF(Z31&gt;360,Z31-360,Z31+0)</f>
        <v>158.7</v>
      </c>
    </row>
    <row r="32" customFormat="false" ht="15.8" hidden="false" customHeight="false" outlineLevel="0" collapsed="false">
      <c r="A32" s="1" t="n">
        <v>1</v>
      </c>
      <c r="B32" s="1" t="n">
        <v>10</v>
      </c>
      <c r="C32" s="1" t="n">
        <v>0.8</v>
      </c>
      <c r="D32" s="1" t="n">
        <v>1.0892</v>
      </c>
      <c r="E32" s="1" t="n">
        <v>0.0291239</v>
      </c>
      <c r="F32" s="1" t="n">
        <v>8.37118E-005</v>
      </c>
      <c r="G32" s="1" t="s">
        <v>27</v>
      </c>
      <c r="H32" s="1" t="n">
        <v>115.3</v>
      </c>
      <c r="I32" s="1" t="n">
        <v>316.9</v>
      </c>
      <c r="J32" s="1" t="n">
        <v>0</v>
      </c>
      <c r="K32" s="1"/>
      <c r="L32" s="1" t="n">
        <v>0</v>
      </c>
      <c r="M32" s="1" t="n">
        <v>0</v>
      </c>
      <c r="N32" s="1" t="s">
        <v>113</v>
      </c>
      <c r="O32" s="1"/>
      <c r="P32" s="1"/>
      <c r="Q32" s="1"/>
      <c r="R32" s="1"/>
      <c r="S32" s="1"/>
      <c r="T32" s="1"/>
      <c r="U32" s="1"/>
      <c r="V32" s="1"/>
      <c r="W32" s="1"/>
      <c r="X32" s="1"/>
      <c r="Z32" s="0" t="n">
        <f aca="false">I32+65</f>
        <v>381.9</v>
      </c>
      <c r="AB32" s="0" t="n">
        <f aca="false">IF(Z32&gt;360,Z32-360,Z32+0)</f>
        <v>21.9</v>
      </c>
    </row>
    <row r="33" customFormat="false" ht="15.8" hidden="false" customHeight="false" outlineLevel="0" collapsed="false">
      <c r="A33" s="1" t="n">
        <v>1</v>
      </c>
      <c r="B33" s="1" t="n">
        <v>9</v>
      </c>
      <c r="C33" s="1" t="n">
        <v>3.3</v>
      </c>
      <c r="D33" s="1" t="n">
        <v>1.4931</v>
      </c>
      <c r="E33" s="1" t="n">
        <v>0.118517</v>
      </c>
      <c r="F33" s="1" t="n">
        <v>0.000340659</v>
      </c>
      <c r="G33" s="1" t="s">
        <v>37</v>
      </c>
      <c r="H33" s="1" t="n">
        <v>14.7</v>
      </c>
      <c r="I33" s="1" t="n">
        <v>114.8</v>
      </c>
      <c r="J33" s="1" t="n">
        <v>62.5</v>
      </c>
      <c r="K33" s="1" t="n">
        <v>115.3</v>
      </c>
      <c r="L33" s="1" t="n">
        <v>0</v>
      </c>
      <c r="M33" s="1" t="n">
        <v>0</v>
      </c>
      <c r="N33" s="1" t="s">
        <v>114</v>
      </c>
      <c r="O33" s="1"/>
      <c r="P33" s="1"/>
      <c r="Q33" s="1"/>
      <c r="R33" s="1"/>
      <c r="S33" s="1"/>
      <c r="T33" s="1"/>
      <c r="U33" s="1"/>
      <c r="V33" s="1"/>
      <c r="W33" s="1"/>
      <c r="X33" s="1"/>
      <c r="Z33" s="0" t="n">
        <f aca="false">I33+65</f>
        <v>179.8</v>
      </c>
      <c r="AB33" s="0" t="n">
        <f aca="false">IF(Z33&gt;360,Z33-360,Z33+0)</f>
        <v>179.8</v>
      </c>
    </row>
    <row r="34" customFormat="false" ht="15.8" hidden="false" customHeight="false" outlineLevel="0" collapsed="false">
      <c r="A34" s="1" t="n">
        <v>1</v>
      </c>
      <c r="B34" s="1" t="n">
        <v>9</v>
      </c>
      <c r="C34" s="1" t="n">
        <v>1.7</v>
      </c>
      <c r="D34" s="1" t="n">
        <v>1.0422</v>
      </c>
      <c r="E34" s="1" t="n">
        <v>0.062904</v>
      </c>
      <c r="F34" s="1" t="n">
        <v>0.000180807</v>
      </c>
      <c r="G34" s="1" t="s">
        <v>27</v>
      </c>
      <c r="H34" s="1" t="n">
        <v>96.3</v>
      </c>
      <c r="I34" s="1" t="n">
        <v>254.4</v>
      </c>
      <c r="J34" s="1" t="n">
        <v>0</v>
      </c>
      <c r="K34" s="1"/>
      <c r="L34" s="1" t="n">
        <v>0</v>
      </c>
      <c r="M34" s="1" t="n">
        <v>0</v>
      </c>
      <c r="N34" s="1" t="s">
        <v>114</v>
      </c>
      <c r="O34" s="1"/>
      <c r="P34" s="1"/>
      <c r="Q34" s="1"/>
      <c r="R34" s="1"/>
      <c r="S34" s="1"/>
      <c r="T34" s="1"/>
      <c r="U34" s="1"/>
      <c r="V34" s="1"/>
      <c r="W34" s="1"/>
      <c r="X34" s="1"/>
      <c r="Z34" s="0" t="n">
        <f aca="false">I34+65</f>
        <v>319.4</v>
      </c>
      <c r="AB34" s="0" t="n">
        <f aca="false">IF(Z34&gt;360,Z34-360,Z34+0)</f>
        <v>319.4</v>
      </c>
    </row>
    <row r="35" customFormat="false" ht="15.8" hidden="false" customHeight="false" outlineLevel="0" collapsed="false">
      <c r="A35" s="1" t="n">
        <v>1</v>
      </c>
      <c r="B35" s="1" t="n">
        <v>8</v>
      </c>
      <c r="C35" s="1" t="n">
        <v>1.6</v>
      </c>
      <c r="D35" s="1" t="n">
        <v>1.2355</v>
      </c>
      <c r="E35" s="1" t="n">
        <v>0.0567944</v>
      </c>
      <c r="F35" s="1" t="n">
        <v>0.000163246</v>
      </c>
      <c r="G35" s="1" t="s">
        <v>37</v>
      </c>
      <c r="H35" s="1" t="n">
        <v>30</v>
      </c>
      <c r="I35" s="1" t="n">
        <v>148.1</v>
      </c>
      <c r="J35" s="1" t="n">
        <v>66.8</v>
      </c>
      <c r="K35" s="1" t="n">
        <v>96.3</v>
      </c>
      <c r="L35" s="1" t="n">
        <v>0</v>
      </c>
      <c r="M35" s="1" t="n">
        <v>0</v>
      </c>
      <c r="N35" s="1" t="s">
        <v>115</v>
      </c>
      <c r="O35" s="1"/>
      <c r="P35" s="1"/>
      <c r="Q35" s="1"/>
      <c r="R35" s="1"/>
      <c r="S35" s="1"/>
      <c r="T35" s="1"/>
      <c r="U35" s="1"/>
      <c r="V35" s="1"/>
      <c r="W35" s="1"/>
      <c r="X35" s="1"/>
      <c r="Z35" s="0" t="n">
        <f aca="false">I35+65</f>
        <v>213.1</v>
      </c>
      <c r="AB35" s="0" t="n">
        <f aca="false">IF(Z35&gt;360,Z35-360,Z35+0)</f>
        <v>213.1</v>
      </c>
    </row>
    <row r="36" customFormat="false" ht="15.8" hidden="false" customHeight="false" outlineLevel="0" collapsed="false">
      <c r="A36" s="1" t="n">
        <v>1</v>
      </c>
      <c r="B36" s="1" t="n">
        <v>10</v>
      </c>
      <c r="C36" s="1" t="n">
        <v>1.4</v>
      </c>
      <c r="D36" s="1" t="n">
        <v>1.1854</v>
      </c>
      <c r="E36" s="1" t="n">
        <v>0.0509771</v>
      </c>
      <c r="F36" s="1" t="n">
        <v>0.000146525</v>
      </c>
      <c r="G36" s="1" t="s">
        <v>27</v>
      </c>
      <c r="H36" s="1" t="n">
        <v>42.7</v>
      </c>
      <c r="I36" s="1" t="n">
        <v>54.9</v>
      </c>
      <c r="J36" s="1" t="n">
        <v>40.9</v>
      </c>
      <c r="K36" s="1"/>
      <c r="L36" s="1" t="n">
        <v>0</v>
      </c>
      <c r="M36" s="1" t="n">
        <v>0</v>
      </c>
      <c r="N36" s="1" t="s">
        <v>116</v>
      </c>
      <c r="O36" s="1"/>
      <c r="P36" s="1"/>
      <c r="Q36" s="1"/>
      <c r="R36" s="1"/>
      <c r="S36" s="1"/>
      <c r="T36" s="1"/>
      <c r="U36" s="1"/>
      <c r="V36" s="1"/>
      <c r="W36" s="1"/>
      <c r="X36" s="1"/>
      <c r="Z36" s="0" t="n">
        <f aca="false">I36+65</f>
        <v>119.9</v>
      </c>
      <c r="AB36" s="0" t="n">
        <f aca="false">IF(Z36&gt;360,Z36-360,Z36+0)</f>
        <v>119.9</v>
      </c>
    </row>
    <row r="37" customFormat="false" ht="15.8" hidden="false" customHeight="false" outlineLevel="0" collapsed="false">
      <c r="A37" s="1" t="n">
        <v>1</v>
      </c>
      <c r="B37" s="1" t="n">
        <v>10</v>
      </c>
      <c r="C37" s="1" t="n">
        <v>2.5</v>
      </c>
      <c r="D37" s="1" t="n">
        <v>1.0261</v>
      </c>
      <c r="E37" s="1" t="n">
        <v>0.0889977</v>
      </c>
      <c r="F37" s="1" t="n">
        <v>0.000255809</v>
      </c>
      <c r="G37" s="1" t="s">
        <v>27</v>
      </c>
      <c r="H37" s="1" t="n">
        <v>64.3</v>
      </c>
      <c r="I37" s="1" t="n">
        <v>304.1</v>
      </c>
      <c r="J37" s="1" t="n">
        <v>0</v>
      </c>
      <c r="K37" s="1"/>
      <c r="L37" s="1" t="n">
        <v>0</v>
      </c>
      <c r="M37" s="1" t="n">
        <v>0</v>
      </c>
      <c r="N37" s="1" t="s">
        <v>116</v>
      </c>
      <c r="O37" s="1"/>
      <c r="P37" s="1"/>
      <c r="Q37" s="1"/>
      <c r="R37" s="1"/>
      <c r="S37" s="1"/>
      <c r="T37" s="1"/>
      <c r="U37" s="1"/>
      <c r="V37" s="1"/>
      <c r="W37" s="1"/>
      <c r="X37" s="1"/>
      <c r="Z37" s="0" t="n">
        <f aca="false">I37+65</f>
        <v>369.1</v>
      </c>
      <c r="AB37" s="0" t="n">
        <f aca="false">IF(Z37&gt;360,Z37-360,Z37+0)</f>
        <v>9.10000000000002</v>
      </c>
    </row>
    <row r="38" customFormat="false" ht="15.8" hidden="false" customHeight="false" outlineLevel="0" collapsed="false">
      <c r="A38" s="1" t="n">
        <v>1</v>
      </c>
      <c r="B38" s="1" t="n">
        <v>9</v>
      </c>
      <c r="C38" s="1" t="n">
        <v>1</v>
      </c>
      <c r="D38" s="1" t="n">
        <v>1.2072</v>
      </c>
      <c r="E38" s="1" t="n">
        <v>0.0359585</v>
      </c>
      <c r="F38" s="1" t="n">
        <v>0.000103357</v>
      </c>
      <c r="G38" s="1" t="s">
        <v>37</v>
      </c>
      <c r="H38" s="1" t="n">
        <v>29.4</v>
      </c>
      <c r="I38" s="1" t="n">
        <v>4.5</v>
      </c>
      <c r="J38" s="1" t="n">
        <v>28.2</v>
      </c>
      <c r="K38" s="1" t="n">
        <v>64.3</v>
      </c>
      <c r="L38" s="1" t="n">
        <v>0</v>
      </c>
      <c r="M38" s="1" t="n">
        <v>0</v>
      </c>
      <c r="N38" s="1" t="s">
        <v>117</v>
      </c>
      <c r="O38" s="1"/>
      <c r="P38" s="1"/>
      <c r="Q38" s="1"/>
      <c r="R38" s="1"/>
      <c r="S38" s="1"/>
      <c r="T38" s="1"/>
      <c r="U38" s="1"/>
      <c r="V38" s="1"/>
      <c r="W38" s="1"/>
      <c r="X38" s="1"/>
      <c r="Z38" s="0" t="n">
        <f aca="false">I38+65</f>
        <v>69.5</v>
      </c>
      <c r="AB38" s="0" t="n">
        <f aca="false">IF(Z38&gt;360,Z38-360,Z38+0)</f>
        <v>69.5</v>
      </c>
    </row>
    <row r="39" customFormat="false" ht="15.8" hidden="false" customHeight="false" outlineLevel="0" collapsed="false">
      <c r="A39" s="1" t="n">
        <v>1</v>
      </c>
      <c r="B39" s="1" t="n">
        <v>9</v>
      </c>
      <c r="C39" s="1" t="n">
        <v>2.4</v>
      </c>
      <c r="D39" s="1" t="n">
        <v>1.2128</v>
      </c>
      <c r="E39" s="1" t="n">
        <v>0.0879344</v>
      </c>
      <c r="F39" s="1" t="n">
        <v>0.000252753</v>
      </c>
      <c r="G39" s="1" t="s">
        <v>27</v>
      </c>
      <c r="H39" s="1" t="n">
        <v>105.8</v>
      </c>
      <c r="I39" s="1" t="n">
        <v>120.2</v>
      </c>
      <c r="J39" s="1" t="n">
        <v>22.9</v>
      </c>
      <c r="K39" s="1"/>
      <c r="L39" s="1" t="n">
        <v>0</v>
      </c>
      <c r="M39" s="1" t="n">
        <v>0</v>
      </c>
      <c r="N39" s="1" t="s">
        <v>117</v>
      </c>
      <c r="O39" s="1"/>
      <c r="P39" s="1"/>
      <c r="Q39" s="1"/>
      <c r="R39" s="1"/>
      <c r="S39" s="1"/>
      <c r="T39" s="1"/>
      <c r="U39" s="1"/>
      <c r="V39" s="1"/>
      <c r="W39" s="1"/>
      <c r="X39" s="1"/>
      <c r="Z39" s="0" t="n">
        <f aca="false">I39+65</f>
        <v>185.2</v>
      </c>
      <c r="AB39" s="0" t="n">
        <f aca="false">IF(Z39&gt;360,Z39-360,Z39+0)</f>
        <v>185.2</v>
      </c>
    </row>
    <row r="40" customFormat="false" ht="15.8" hidden="false" customHeight="false" outlineLevel="0" collapsed="false">
      <c r="A40" s="1" t="n">
        <v>1</v>
      </c>
      <c r="B40" s="1" t="n">
        <v>8</v>
      </c>
      <c r="C40" s="1" t="n">
        <v>1.3</v>
      </c>
      <c r="D40" s="1" t="n">
        <v>1.0042</v>
      </c>
      <c r="E40" s="1" t="n">
        <v>0.0479469</v>
      </c>
      <c r="F40" s="1" t="n">
        <v>0.000137815</v>
      </c>
      <c r="G40" s="1" t="s">
        <v>37</v>
      </c>
      <c r="H40" s="1" t="n">
        <v>103.2</v>
      </c>
      <c r="I40" s="1" t="n">
        <v>13.1</v>
      </c>
      <c r="J40" s="1" t="n">
        <v>0</v>
      </c>
      <c r="K40" s="1" t="n">
        <v>105.8</v>
      </c>
      <c r="L40" s="1" t="n">
        <v>0</v>
      </c>
      <c r="M40" s="1" t="n">
        <v>0</v>
      </c>
      <c r="N40" s="1" t="s">
        <v>115</v>
      </c>
      <c r="O40" s="1"/>
      <c r="P40" s="1"/>
      <c r="Q40" s="1"/>
      <c r="R40" s="1"/>
      <c r="S40" s="1"/>
      <c r="T40" s="1"/>
      <c r="U40" s="1"/>
      <c r="V40" s="1"/>
      <c r="W40" s="1"/>
      <c r="X40" s="1"/>
      <c r="Z40" s="0" t="n">
        <f aca="false">I40+65</f>
        <v>78.1</v>
      </c>
      <c r="AB40" s="0" t="n">
        <f aca="false">IF(Z40&gt;360,Z40-360,Z40+0)</f>
        <v>78.1</v>
      </c>
    </row>
    <row r="41" customFormat="false" ht="15.8" hidden="false" customHeight="false" outlineLevel="0" collapsed="false">
      <c r="A41" s="1" t="n">
        <v>1</v>
      </c>
      <c r="B41" s="1" t="n">
        <v>7</v>
      </c>
      <c r="C41" s="1" t="n">
        <v>2.2</v>
      </c>
      <c r="D41" s="1" t="n">
        <v>1.249</v>
      </c>
      <c r="E41" s="1" t="n">
        <v>0.0806131</v>
      </c>
      <c r="F41" s="1" t="n">
        <v>0.000231709</v>
      </c>
      <c r="G41" s="1" t="s">
        <v>37</v>
      </c>
      <c r="H41" s="1" t="n">
        <v>20.7</v>
      </c>
      <c r="I41" s="1" t="n">
        <v>120.7</v>
      </c>
      <c r="J41" s="1" t="n">
        <v>40.9</v>
      </c>
      <c r="K41" s="1" t="n">
        <v>103.2</v>
      </c>
      <c r="L41" s="1" t="n">
        <v>0</v>
      </c>
      <c r="M41" s="1" t="n">
        <v>0</v>
      </c>
      <c r="N41" s="1" t="s">
        <v>118</v>
      </c>
      <c r="O41" s="1"/>
      <c r="P41" s="1"/>
      <c r="Q41" s="1"/>
      <c r="R41" s="1"/>
      <c r="S41" s="1"/>
      <c r="T41" s="1"/>
      <c r="U41" s="1"/>
      <c r="V41" s="1"/>
      <c r="W41" s="1"/>
      <c r="X41" s="1"/>
      <c r="Z41" s="0" t="n">
        <f aca="false">I41+65</f>
        <v>185.7</v>
      </c>
      <c r="AB41" s="0" t="n">
        <f aca="false">IF(Z41&gt;360,Z41-360,Z41+0)</f>
        <v>185.7</v>
      </c>
    </row>
    <row r="42" customFormat="false" ht="15.8" hidden="false" customHeight="false" outlineLevel="0" collapsed="false">
      <c r="A42" s="1" t="n">
        <v>1</v>
      </c>
      <c r="B42" s="1" t="n">
        <v>7</v>
      </c>
      <c r="C42" s="1" t="n">
        <v>1.2</v>
      </c>
      <c r="D42" s="1" t="n">
        <v>1.0552</v>
      </c>
      <c r="E42" s="1" t="n">
        <v>0.0416336</v>
      </c>
      <c r="F42" s="1" t="n">
        <v>0.000119669</v>
      </c>
      <c r="G42" s="1" t="s">
        <v>27</v>
      </c>
      <c r="H42" s="1" t="n">
        <v>107.9</v>
      </c>
      <c r="I42" s="1" t="n">
        <v>210.3</v>
      </c>
      <c r="J42" s="1" t="n">
        <v>0</v>
      </c>
      <c r="K42" s="1"/>
      <c r="L42" s="1" t="n">
        <v>0</v>
      </c>
      <c r="M42" s="1" t="n">
        <v>0</v>
      </c>
      <c r="N42" s="1" t="s">
        <v>118</v>
      </c>
      <c r="O42" s="1"/>
      <c r="P42" s="1"/>
      <c r="Q42" s="1"/>
      <c r="R42" s="1"/>
      <c r="S42" s="1"/>
      <c r="T42" s="1"/>
      <c r="U42" s="1"/>
      <c r="V42" s="1"/>
      <c r="W42" s="1"/>
      <c r="X42" s="1"/>
      <c r="Z42" s="0" t="n">
        <f aca="false">I42+65</f>
        <v>275.3</v>
      </c>
      <c r="AB42" s="0" t="n">
        <f aca="false">IF(Z42&gt;360,Z42-360,Z42+0)</f>
        <v>275.3</v>
      </c>
    </row>
    <row r="43" customFormat="false" ht="15.8" hidden="false" customHeight="false" outlineLevel="0" collapsed="false">
      <c r="A43" s="1" t="n">
        <v>1</v>
      </c>
      <c r="B43" s="1" t="n">
        <v>8</v>
      </c>
      <c r="C43" s="1" t="n">
        <v>2.2</v>
      </c>
      <c r="D43" s="1" t="n">
        <v>1.3289</v>
      </c>
      <c r="E43" s="1" t="n">
        <v>0.0789427</v>
      </c>
      <c r="F43" s="1" t="n">
        <v>0.000226908</v>
      </c>
      <c r="G43" s="1" t="s">
        <v>27</v>
      </c>
      <c r="H43" s="1" t="n">
        <v>65.4</v>
      </c>
      <c r="I43" s="1" t="n">
        <v>316.9</v>
      </c>
      <c r="J43" s="1" t="n">
        <v>-28.3</v>
      </c>
      <c r="K43" s="1"/>
      <c r="L43" s="1" t="n">
        <v>0</v>
      </c>
      <c r="M43" s="1" t="n">
        <v>0</v>
      </c>
      <c r="N43" s="1" t="s">
        <v>119</v>
      </c>
      <c r="O43" s="1"/>
      <c r="P43" s="1"/>
      <c r="Q43" s="1"/>
      <c r="R43" s="1"/>
      <c r="S43" s="1"/>
      <c r="T43" s="1"/>
      <c r="U43" s="1"/>
      <c r="V43" s="1"/>
      <c r="W43" s="1"/>
      <c r="X43" s="1"/>
      <c r="Z43" s="0" t="n">
        <f aca="false">I43+65</f>
        <v>381.9</v>
      </c>
      <c r="AB43" s="0" t="n">
        <f aca="false">IF(Z43&gt;360,Z43-360,Z43+0)</f>
        <v>21.9</v>
      </c>
    </row>
    <row r="44" customFormat="false" ht="15.8" hidden="false" customHeight="false" outlineLevel="0" collapsed="false">
      <c r="A44" s="1" t="n">
        <v>1</v>
      </c>
      <c r="B44" s="1" t="n">
        <v>9</v>
      </c>
      <c r="C44" s="1" t="n">
        <v>4.9</v>
      </c>
      <c r="D44" s="1" t="n">
        <v>1.2266</v>
      </c>
      <c r="E44" s="1" t="n">
        <v>0.176138</v>
      </c>
      <c r="F44" s="1" t="n">
        <v>0.00050628</v>
      </c>
      <c r="G44" s="1" t="s">
        <v>27</v>
      </c>
      <c r="H44" s="1" t="n">
        <v>61.3</v>
      </c>
      <c r="I44" s="1" t="n">
        <v>138.4</v>
      </c>
      <c r="J44" s="1" t="n">
        <v>23.1</v>
      </c>
      <c r="K44" s="1"/>
      <c r="L44" s="1" t="n">
        <v>0</v>
      </c>
      <c r="M44" s="1" t="n">
        <v>0</v>
      </c>
      <c r="N44" s="1" t="s">
        <v>120</v>
      </c>
      <c r="O44" s="1"/>
      <c r="P44" s="1"/>
      <c r="Q44" s="1"/>
      <c r="R44" s="1"/>
      <c r="S44" s="1"/>
      <c r="T44" s="1"/>
      <c r="U44" s="1"/>
      <c r="V44" s="1"/>
      <c r="W44" s="1"/>
      <c r="X44" s="1"/>
      <c r="Z44" s="0" t="n">
        <f aca="false">I44+65</f>
        <v>203.4</v>
      </c>
      <c r="AB44" s="0" t="n">
        <f aca="false">IF(Z44&gt;360,Z44-360,Z44+0)</f>
        <v>203.4</v>
      </c>
    </row>
    <row r="45" customFormat="false" ht="15.8" hidden="false" customHeight="false" outlineLevel="0" collapsed="false">
      <c r="A45" s="1" t="n">
        <v>1</v>
      </c>
      <c r="B45" s="1" t="n">
        <v>9</v>
      </c>
      <c r="C45" s="1" t="n">
        <v>2.7</v>
      </c>
      <c r="D45" s="1" t="n">
        <v>1.2002</v>
      </c>
      <c r="E45" s="1" t="n">
        <v>0.0987001</v>
      </c>
      <c r="F45" s="1" t="n">
        <v>0.000283697</v>
      </c>
      <c r="G45" s="1" t="s">
        <v>27</v>
      </c>
      <c r="H45" s="1" t="n">
        <v>79.4</v>
      </c>
      <c r="I45" s="1" t="n">
        <v>1.2</v>
      </c>
      <c r="J45" s="1" t="n">
        <v>-20</v>
      </c>
      <c r="K45" s="1"/>
      <c r="L45" s="1" t="n">
        <v>0</v>
      </c>
      <c r="M45" s="1" t="n">
        <v>0</v>
      </c>
      <c r="N45" s="1" t="s">
        <v>120</v>
      </c>
      <c r="O45" s="1"/>
      <c r="P45" s="1"/>
      <c r="Q45" s="1"/>
      <c r="R45" s="1"/>
      <c r="S45" s="1"/>
      <c r="T45" s="1"/>
      <c r="U45" s="1"/>
      <c r="V45" s="1"/>
      <c r="W45" s="1"/>
      <c r="X45" s="1"/>
      <c r="Z45" s="0" t="n">
        <f aca="false">I45+65</f>
        <v>66.2</v>
      </c>
      <c r="AB45" s="0" t="n">
        <f aca="false">IF(Z45&gt;360,Z45-360,Z45+0)</f>
        <v>66.2</v>
      </c>
    </row>
    <row r="46" customFormat="false" ht="15.8" hidden="false" customHeight="false" outlineLevel="0" collapsed="false">
      <c r="A46" s="1" t="n">
        <v>1</v>
      </c>
      <c r="B46" s="1" t="n">
        <v>9</v>
      </c>
      <c r="C46" s="1" t="n">
        <v>0.8</v>
      </c>
      <c r="D46" s="1" t="n">
        <v>1.0112</v>
      </c>
      <c r="E46" s="1" t="n">
        <v>0.0289875</v>
      </c>
      <c r="F46" s="1" t="n">
        <v>8.33198E-005</v>
      </c>
      <c r="G46" s="1" t="s">
        <v>27</v>
      </c>
      <c r="H46" s="1" t="n">
        <v>11.8</v>
      </c>
      <c r="I46" s="1" t="n">
        <v>91.7</v>
      </c>
      <c r="J46" s="1" t="n">
        <v>0</v>
      </c>
      <c r="K46" s="1"/>
      <c r="L46" s="1" t="n">
        <v>0</v>
      </c>
      <c r="M46" s="1" t="n">
        <v>0</v>
      </c>
      <c r="N46" s="1" t="s">
        <v>120</v>
      </c>
      <c r="O46" s="1"/>
      <c r="P46" s="1"/>
      <c r="Q46" s="1"/>
      <c r="R46" s="1"/>
      <c r="S46" s="1"/>
      <c r="T46" s="1"/>
      <c r="U46" s="1"/>
      <c r="V46" s="1"/>
      <c r="W46" s="1"/>
      <c r="X46" s="1"/>
      <c r="Z46" s="0" t="n">
        <f aca="false">I46+65</f>
        <v>156.7</v>
      </c>
      <c r="AB46" s="0" t="n">
        <f aca="false">IF(Z46&gt;360,Z46-360,Z46+0)</f>
        <v>156.7</v>
      </c>
    </row>
    <row r="47" customFormat="false" ht="15.8" hidden="false" customHeight="false" outlineLevel="0" collapsed="false">
      <c r="A47" s="1" t="n">
        <v>1</v>
      </c>
      <c r="B47" s="1" t="n">
        <v>8</v>
      </c>
      <c r="C47" s="1" t="n">
        <v>1.3</v>
      </c>
      <c r="D47" s="1" t="n">
        <v>1.0736</v>
      </c>
      <c r="E47" s="1" t="n">
        <v>0.0457401</v>
      </c>
      <c r="F47" s="1" t="n">
        <v>0.000131472</v>
      </c>
      <c r="G47" s="1" t="s">
        <v>37</v>
      </c>
      <c r="H47" s="1" t="n">
        <v>53.4</v>
      </c>
      <c r="I47" s="1" t="n">
        <v>79.9</v>
      </c>
      <c r="J47" s="1" t="n">
        <v>0</v>
      </c>
      <c r="K47" s="1" t="n">
        <v>79.4</v>
      </c>
      <c r="L47" s="1" t="n">
        <v>0</v>
      </c>
      <c r="M47" s="1" t="n">
        <v>0</v>
      </c>
      <c r="N47" s="1" t="s">
        <v>119</v>
      </c>
      <c r="O47" s="1"/>
      <c r="P47" s="1"/>
      <c r="Q47" s="1"/>
      <c r="R47" s="1"/>
      <c r="S47" s="1"/>
      <c r="T47" s="1"/>
      <c r="U47" s="1"/>
      <c r="V47" s="1"/>
      <c r="W47" s="1"/>
      <c r="X47" s="1"/>
      <c r="Z47" s="0" t="n">
        <f aca="false">I47+65</f>
        <v>144.9</v>
      </c>
      <c r="AB47" s="0" t="n">
        <f aca="false">IF(Z47&gt;360,Z47-360,Z47+0)</f>
        <v>144.9</v>
      </c>
    </row>
    <row r="48" customFormat="false" ht="15.8" hidden="false" customHeight="false" outlineLevel="0" collapsed="false">
      <c r="A48" s="1" t="n">
        <v>1</v>
      </c>
      <c r="B48" s="1" t="n">
        <v>7</v>
      </c>
      <c r="C48" s="1" t="n">
        <v>1.2</v>
      </c>
      <c r="D48" s="1" t="n">
        <v>1.1612</v>
      </c>
      <c r="E48" s="1" t="n">
        <v>0.0437845</v>
      </c>
      <c r="F48" s="1" t="n">
        <v>0.000125851</v>
      </c>
      <c r="G48" s="1" t="s">
        <v>37</v>
      </c>
      <c r="H48" s="1" t="n">
        <v>84.4</v>
      </c>
      <c r="I48" s="1" t="n">
        <v>29.9</v>
      </c>
      <c r="J48" s="1" t="n">
        <v>-21.9</v>
      </c>
      <c r="K48" s="1" t="n">
        <v>65.4</v>
      </c>
      <c r="L48" s="1" t="n">
        <v>0</v>
      </c>
      <c r="M48" s="1" t="n">
        <v>0</v>
      </c>
      <c r="N48" s="1" t="s">
        <v>118</v>
      </c>
      <c r="O48" s="1"/>
      <c r="P48" s="1"/>
      <c r="Q48" s="1"/>
      <c r="R48" s="1"/>
      <c r="S48" s="1"/>
      <c r="T48" s="1"/>
      <c r="U48" s="1"/>
      <c r="V48" s="1"/>
      <c r="W48" s="1"/>
      <c r="X48" s="1"/>
      <c r="Z48" s="0" t="n">
        <f aca="false">I48+65</f>
        <v>94.9</v>
      </c>
      <c r="AB48" s="0" t="n">
        <f aca="false">IF(Z48&gt;360,Z48-360,Z48+0)</f>
        <v>94.9</v>
      </c>
    </row>
    <row r="49" customFormat="false" ht="15.8" hidden="false" customHeight="false" outlineLevel="0" collapsed="false">
      <c r="A49" s="1" t="n">
        <v>1</v>
      </c>
      <c r="B49" s="1" t="n">
        <v>6</v>
      </c>
      <c r="C49" s="1" t="n">
        <v>7.7</v>
      </c>
      <c r="D49" s="1" t="n">
        <v>1.3678</v>
      </c>
      <c r="E49" s="1" t="n">
        <v>0.276416</v>
      </c>
      <c r="F49" s="1" t="n">
        <v>0.000794511</v>
      </c>
      <c r="G49" s="1" t="s">
        <v>37</v>
      </c>
      <c r="H49" s="1" t="n">
        <v>10.9</v>
      </c>
      <c r="I49" s="1" t="n">
        <v>99.7</v>
      </c>
      <c r="J49" s="1" t="n">
        <v>29.2</v>
      </c>
      <c r="K49" s="1" t="n">
        <v>107.9</v>
      </c>
      <c r="L49" s="1" t="n">
        <v>0</v>
      </c>
      <c r="M49" s="1" t="n">
        <v>0</v>
      </c>
      <c r="N49" s="1" t="s">
        <v>109</v>
      </c>
      <c r="O49" s="1"/>
      <c r="P49" s="1"/>
      <c r="Q49" s="1"/>
      <c r="R49" s="1"/>
      <c r="S49" s="1"/>
      <c r="T49" s="1"/>
      <c r="U49" s="1"/>
      <c r="V49" s="1"/>
      <c r="W49" s="1"/>
      <c r="X49" s="1"/>
      <c r="Z49" s="0" t="n">
        <f aca="false">I49+65</f>
        <v>164.7</v>
      </c>
      <c r="AB49" s="0" t="n">
        <f aca="false">IF(Z49&gt;360,Z49-360,Z49+0)</f>
        <v>164.7</v>
      </c>
    </row>
    <row r="50" customFormat="false" ht="15.8" hidden="false" customHeight="false" outlineLevel="0" collapsed="false">
      <c r="A50" s="1" t="n">
        <v>1</v>
      </c>
      <c r="B50" s="1" t="n">
        <v>5</v>
      </c>
      <c r="C50" s="1" t="n">
        <v>1.8</v>
      </c>
      <c r="D50" s="1" t="n">
        <v>1.185</v>
      </c>
      <c r="E50" s="1" t="n">
        <v>0.036289</v>
      </c>
      <c r="F50" s="1" t="n">
        <v>6.08205E-005</v>
      </c>
      <c r="G50" s="1" t="s">
        <v>37</v>
      </c>
      <c r="H50" s="1" t="n">
        <v>37.2</v>
      </c>
      <c r="I50" s="1" t="n">
        <v>87.2</v>
      </c>
      <c r="J50" s="1" t="n">
        <v>30.7</v>
      </c>
      <c r="K50" s="1" t="n">
        <v>42</v>
      </c>
      <c r="L50" s="1" t="n">
        <v>0</v>
      </c>
      <c r="M50" s="1" t="n">
        <v>0</v>
      </c>
      <c r="N50" s="1" t="s">
        <v>121</v>
      </c>
      <c r="O50" s="1"/>
      <c r="P50" s="1"/>
      <c r="Q50" s="1"/>
      <c r="R50" s="1"/>
      <c r="S50" s="1"/>
      <c r="T50" s="1"/>
      <c r="U50" s="1"/>
      <c r="V50" s="1"/>
      <c r="W50" s="1"/>
      <c r="X50" s="1"/>
      <c r="Z50" s="0" t="n">
        <f aca="false">I50+65</f>
        <v>152.2</v>
      </c>
      <c r="AB50" s="0" t="n">
        <f aca="false">IF(Z50&gt;360,Z50-360,Z50+0)</f>
        <v>152.2</v>
      </c>
    </row>
    <row r="51" customFormat="false" ht="15.8" hidden="false" customHeight="false" outlineLevel="0" collapsed="false">
      <c r="A51" s="1" t="n">
        <v>1</v>
      </c>
      <c r="B51" s="1" t="n">
        <v>6</v>
      </c>
      <c r="C51" s="1" t="n">
        <v>0.4</v>
      </c>
      <c r="D51" s="1" t="n">
        <v>1.0031</v>
      </c>
      <c r="E51" s="1" t="n">
        <v>0.0152953</v>
      </c>
      <c r="F51" s="1" t="n">
        <v>4.39637E-005</v>
      </c>
      <c r="G51" s="1" t="s">
        <v>27</v>
      </c>
      <c r="H51" s="1" t="n">
        <v>29.2</v>
      </c>
      <c r="I51" s="1" t="n">
        <v>73.5</v>
      </c>
      <c r="J51" s="1" t="n">
        <v>0</v>
      </c>
      <c r="K51" s="1"/>
      <c r="L51" s="1" t="n">
        <v>0</v>
      </c>
      <c r="M51" s="1" t="n">
        <v>0</v>
      </c>
      <c r="N51" s="1" t="s">
        <v>122</v>
      </c>
      <c r="O51" s="1"/>
      <c r="P51" s="1"/>
      <c r="Q51" s="1"/>
      <c r="R51" s="1"/>
      <c r="S51" s="1"/>
      <c r="T51" s="1"/>
      <c r="U51" s="1"/>
      <c r="V51" s="1"/>
      <c r="W51" s="1"/>
      <c r="X51" s="1"/>
      <c r="Z51" s="0" t="n">
        <f aca="false">I51+65</f>
        <v>138.5</v>
      </c>
      <c r="AB51" s="0" t="n">
        <f aca="false">IF(Z51&gt;360,Z51-360,Z51+0)</f>
        <v>138.5</v>
      </c>
    </row>
    <row r="52" customFormat="false" ht="15.8" hidden="false" customHeight="false" outlineLevel="0" collapsed="false">
      <c r="A52" s="1" t="n">
        <v>1</v>
      </c>
      <c r="B52" s="1" t="n">
        <v>9</v>
      </c>
      <c r="C52" s="1" t="n">
        <v>2.1</v>
      </c>
      <c r="D52" s="1" t="n">
        <v>1.1949</v>
      </c>
      <c r="E52" s="1" t="n">
        <v>0.0372503</v>
      </c>
      <c r="F52" s="1" t="n">
        <v>5.35348E-005</v>
      </c>
      <c r="G52" s="1" t="s">
        <v>27</v>
      </c>
      <c r="H52" s="1" t="n">
        <v>51.5</v>
      </c>
      <c r="I52" s="1" t="n">
        <v>308.5</v>
      </c>
      <c r="J52" s="1" t="n">
        <v>-13.1</v>
      </c>
      <c r="K52" s="1"/>
      <c r="L52" s="1" t="n">
        <v>0</v>
      </c>
      <c r="M52" s="1" t="n">
        <v>0</v>
      </c>
      <c r="N52" s="1" t="s">
        <v>123</v>
      </c>
      <c r="O52" s="1"/>
      <c r="P52" s="1"/>
      <c r="Q52" s="1"/>
      <c r="R52" s="1"/>
      <c r="S52" s="1"/>
      <c r="T52" s="1"/>
      <c r="U52" s="1"/>
      <c r="V52" s="1"/>
      <c r="W52" s="1"/>
      <c r="X52" s="1"/>
      <c r="Z52" s="0" t="n">
        <f aca="false">I52+65</f>
        <v>373.5</v>
      </c>
      <c r="AB52" s="0" t="n">
        <f aca="false">IF(Z52&gt;360,Z52-360,Z52+0)</f>
        <v>13.5</v>
      </c>
    </row>
    <row r="53" customFormat="false" ht="15.8" hidden="false" customHeight="false" outlineLevel="0" collapsed="false">
      <c r="A53" s="1" t="n">
        <v>1</v>
      </c>
      <c r="B53" s="1" t="n">
        <v>9</v>
      </c>
      <c r="C53" s="1" t="n">
        <v>3.3</v>
      </c>
      <c r="D53" s="1" t="n">
        <v>1.3211</v>
      </c>
      <c r="E53" s="1" t="n">
        <v>0.0588429</v>
      </c>
      <c r="F53" s="1" t="n">
        <v>8.45671E-005</v>
      </c>
      <c r="G53" s="1" t="s">
        <v>27</v>
      </c>
      <c r="H53" s="1" t="n">
        <v>20.6</v>
      </c>
      <c r="I53" s="1" t="n">
        <v>280.2</v>
      </c>
      <c r="J53" s="1" t="n">
        <v>-39.2</v>
      </c>
      <c r="K53" s="1"/>
      <c r="L53" s="1" t="n">
        <v>0</v>
      </c>
      <c r="M53" s="1" t="n">
        <v>0</v>
      </c>
      <c r="N53" s="1" t="s">
        <v>123</v>
      </c>
      <c r="O53" s="1"/>
      <c r="P53" s="1"/>
      <c r="Q53" s="1"/>
      <c r="R53" s="1"/>
      <c r="S53" s="1"/>
      <c r="T53" s="1"/>
      <c r="U53" s="1"/>
      <c r="V53" s="1"/>
      <c r="W53" s="1"/>
      <c r="X53" s="1"/>
      <c r="Z53" s="0" t="n">
        <f aca="false">I53+65</f>
        <v>345.2</v>
      </c>
      <c r="AB53" s="0" t="n">
        <f aca="false">IF(Z53&gt;360,Z53-360,Z53+0)</f>
        <v>345.2</v>
      </c>
    </row>
    <row r="54" customFormat="false" ht="15.8" hidden="false" customHeight="false" outlineLevel="0" collapsed="false">
      <c r="A54" s="1" t="n">
        <v>1</v>
      </c>
      <c r="B54" s="1" t="n">
        <v>8</v>
      </c>
      <c r="C54" s="1" t="n">
        <v>3.4</v>
      </c>
      <c r="D54" s="1" t="n">
        <v>1.5612</v>
      </c>
      <c r="E54" s="1" t="n">
        <v>0.0613886</v>
      </c>
      <c r="F54" s="1" t="n">
        <v>8.82257E-005</v>
      </c>
      <c r="G54" s="1" t="s">
        <v>37</v>
      </c>
      <c r="H54" s="1" t="n">
        <v>18</v>
      </c>
      <c r="I54" s="1" t="n">
        <v>256.1</v>
      </c>
      <c r="J54" s="1" t="n">
        <v>-32.5</v>
      </c>
      <c r="K54" s="1" t="n">
        <v>51.5</v>
      </c>
      <c r="L54" s="1" t="n">
        <v>0</v>
      </c>
      <c r="M54" s="1" t="n">
        <v>0</v>
      </c>
      <c r="N54" s="1" t="s">
        <v>124</v>
      </c>
      <c r="O54" s="1"/>
      <c r="P54" s="1"/>
      <c r="Q54" s="1"/>
      <c r="R54" s="1"/>
      <c r="S54" s="1"/>
      <c r="T54" s="1"/>
      <c r="U54" s="1"/>
      <c r="V54" s="1"/>
      <c r="W54" s="1"/>
      <c r="X54" s="1"/>
      <c r="Z54" s="0" t="n">
        <f aca="false">I54+65</f>
        <v>321.1</v>
      </c>
      <c r="AB54" s="0" t="n">
        <f aca="false">IF(Z54&gt;360,Z54-360,Z54+0)</f>
        <v>321.1</v>
      </c>
    </row>
    <row r="55" customFormat="false" ht="15.8" hidden="false" customHeight="false" outlineLevel="0" collapsed="false">
      <c r="A55" s="1" t="n">
        <v>1</v>
      </c>
      <c r="B55" s="1" t="n">
        <v>8</v>
      </c>
      <c r="C55" s="1" t="n">
        <v>3.1</v>
      </c>
      <c r="D55" s="1" t="n">
        <v>1.2129</v>
      </c>
      <c r="E55" s="1" t="n">
        <v>0.0562097</v>
      </c>
      <c r="F55" s="1" t="n">
        <v>8.07827E-005</v>
      </c>
      <c r="G55" s="1" t="s">
        <v>27</v>
      </c>
      <c r="H55" s="1" t="n">
        <v>30.8</v>
      </c>
      <c r="I55" s="1" t="n">
        <v>299.8</v>
      </c>
      <c r="J55" s="1" t="n">
        <v>-8.7</v>
      </c>
      <c r="K55" s="1"/>
      <c r="L55" s="1" t="n">
        <v>0</v>
      </c>
      <c r="M55" s="1" t="n">
        <v>0</v>
      </c>
      <c r="N55" s="1" t="s">
        <v>124</v>
      </c>
      <c r="O55" s="1"/>
      <c r="P55" s="1"/>
      <c r="Q55" s="1"/>
      <c r="R55" s="1"/>
      <c r="S55" s="1"/>
      <c r="T55" s="1"/>
      <c r="U55" s="1"/>
      <c r="V55" s="1"/>
      <c r="W55" s="1"/>
      <c r="X55" s="1"/>
      <c r="Z55" s="0" t="n">
        <f aca="false">I55+65</f>
        <v>364.8</v>
      </c>
      <c r="AB55" s="0" t="n">
        <f aca="false">IF(Z55&gt;360,Z55-360,Z55+0)</f>
        <v>4.80000000000001</v>
      </c>
    </row>
    <row r="56" customFormat="false" ht="15.8" hidden="false" customHeight="false" outlineLevel="0" collapsed="false">
      <c r="A56" s="1" t="n">
        <v>1</v>
      </c>
      <c r="B56" s="1" t="n">
        <v>7</v>
      </c>
      <c r="C56" s="1" t="n">
        <v>0.9</v>
      </c>
      <c r="D56" s="1" t="n">
        <v>1.2189</v>
      </c>
      <c r="E56" s="1" t="n">
        <v>0.0165578</v>
      </c>
      <c r="F56" s="1" t="n">
        <v>2.37963E-005</v>
      </c>
      <c r="G56" s="1" t="s">
        <v>37</v>
      </c>
      <c r="H56" s="1" t="n">
        <v>61.2</v>
      </c>
      <c r="I56" s="1" t="n">
        <v>277.2</v>
      </c>
      <c r="J56" s="1" t="n">
        <v>-31.2</v>
      </c>
      <c r="K56" s="1" t="n">
        <v>30.8</v>
      </c>
      <c r="L56" s="1" t="n">
        <v>0</v>
      </c>
      <c r="M56" s="1" t="n">
        <v>0</v>
      </c>
      <c r="N56" s="1" t="s">
        <v>125</v>
      </c>
      <c r="O56" s="1"/>
      <c r="P56" s="1"/>
      <c r="Q56" s="1"/>
      <c r="R56" s="1"/>
      <c r="S56" s="1"/>
      <c r="T56" s="1"/>
      <c r="U56" s="1"/>
      <c r="V56" s="1"/>
      <c r="W56" s="1"/>
      <c r="X56" s="1"/>
      <c r="Z56" s="0" t="n">
        <f aca="false">I56+65</f>
        <v>342.2</v>
      </c>
      <c r="AB56" s="0" t="n">
        <f aca="false">IF(Z56&gt;360,Z56-360,Z56+0)</f>
        <v>342.2</v>
      </c>
    </row>
    <row r="57" customFormat="false" ht="15.8" hidden="false" customHeight="false" outlineLevel="0" collapsed="false">
      <c r="A57" s="1" t="n">
        <v>1</v>
      </c>
      <c r="B57" s="1" t="n">
        <v>9</v>
      </c>
      <c r="C57" s="1" t="n">
        <v>2.1</v>
      </c>
      <c r="D57" s="1" t="n">
        <v>1.3748</v>
      </c>
      <c r="E57" s="1" t="n">
        <v>0.074982</v>
      </c>
      <c r="F57" s="1" t="n">
        <v>0.000215523</v>
      </c>
      <c r="G57" s="1" t="s">
        <v>27</v>
      </c>
      <c r="H57" s="1" t="n">
        <v>141.2</v>
      </c>
      <c r="I57" s="1" t="n">
        <v>351</v>
      </c>
      <c r="J57" s="1" t="n">
        <v>-50.8</v>
      </c>
      <c r="K57" s="1"/>
      <c r="L57" s="1" t="n">
        <v>0</v>
      </c>
      <c r="M57" s="1" t="n">
        <v>0</v>
      </c>
      <c r="N57" s="1" t="s">
        <v>126</v>
      </c>
      <c r="O57" s="1"/>
      <c r="P57" s="1"/>
      <c r="Q57" s="1"/>
      <c r="R57" s="1"/>
      <c r="S57" s="1"/>
      <c r="T57" s="1"/>
      <c r="U57" s="1"/>
      <c r="V57" s="1"/>
      <c r="W57" s="1"/>
      <c r="X57" s="1"/>
      <c r="Z57" s="0" t="n">
        <f aca="false">I57+65</f>
        <v>416</v>
      </c>
      <c r="AB57" s="0" t="n">
        <f aca="false">IF(Z57&gt;360,Z57-360,Z57+0)</f>
        <v>56</v>
      </c>
    </row>
    <row r="58" customFormat="false" ht="15.8" hidden="false" customHeight="false" outlineLevel="0" collapsed="false">
      <c r="A58" s="1" t="n">
        <v>1</v>
      </c>
      <c r="B58" s="1" t="n">
        <v>10</v>
      </c>
      <c r="C58" s="1" t="n">
        <v>1</v>
      </c>
      <c r="D58" s="1" t="n">
        <v>1.0048</v>
      </c>
      <c r="E58" s="1" t="n">
        <v>0.0359235</v>
      </c>
      <c r="F58" s="1" t="n">
        <v>0.000103256</v>
      </c>
      <c r="G58" s="1" t="s">
        <v>27</v>
      </c>
      <c r="H58" s="1" t="n">
        <v>89.8</v>
      </c>
      <c r="I58" s="1" t="n">
        <v>239.3</v>
      </c>
      <c r="J58" s="1" t="n">
        <v>0</v>
      </c>
      <c r="K58" s="1"/>
      <c r="L58" s="1" t="n">
        <v>0</v>
      </c>
      <c r="M58" s="1" t="n">
        <v>0</v>
      </c>
      <c r="N58" s="1" t="s">
        <v>127</v>
      </c>
      <c r="O58" s="1"/>
      <c r="P58" s="1"/>
      <c r="Q58" s="1"/>
      <c r="R58" s="1"/>
      <c r="S58" s="1"/>
      <c r="T58" s="1"/>
      <c r="U58" s="1"/>
      <c r="V58" s="1"/>
      <c r="W58" s="1"/>
      <c r="X58" s="1"/>
      <c r="Z58" s="0" t="n">
        <f aca="false">I58+65</f>
        <v>304.3</v>
      </c>
      <c r="AB58" s="0" t="n">
        <f aca="false">IF(Z58&gt;360,Z58-360,Z58+0)</f>
        <v>304.3</v>
      </c>
    </row>
    <row r="59" customFormat="false" ht="15.8" hidden="false" customHeight="false" outlineLevel="0" collapsed="false">
      <c r="A59" s="1" t="n">
        <v>1</v>
      </c>
      <c r="B59" s="1" t="n">
        <v>10</v>
      </c>
      <c r="C59" s="1" t="n">
        <v>1.9</v>
      </c>
      <c r="D59" s="1" t="n">
        <v>1.0953</v>
      </c>
      <c r="E59" s="1" t="n">
        <v>0.0684415</v>
      </c>
      <c r="F59" s="1" t="n">
        <v>0.000196724</v>
      </c>
      <c r="G59" s="1" t="s">
        <v>27</v>
      </c>
      <c r="H59" s="1" t="n">
        <v>73.2</v>
      </c>
      <c r="I59" s="1" t="n">
        <v>82</v>
      </c>
      <c r="J59" s="1" t="n">
        <v>0</v>
      </c>
      <c r="K59" s="1"/>
      <c r="L59" s="1" t="n">
        <v>0</v>
      </c>
      <c r="M59" s="1" t="n">
        <v>0</v>
      </c>
      <c r="N59" s="1" t="s">
        <v>127</v>
      </c>
      <c r="O59" s="1"/>
      <c r="P59" s="1"/>
      <c r="Q59" s="1"/>
      <c r="R59" s="1"/>
      <c r="S59" s="1"/>
      <c r="T59" s="1"/>
      <c r="U59" s="1"/>
      <c r="V59" s="1"/>
      <c r="W59" s="1"/>
      <c r="X59" s="1"/>
      <c r="Z59" s="0" t="n">
        <f aca="false">I59+65</f>
        <v>147</v>
      </c>
      <c r="AB59" s="0" t="n">
        <f aca="false">IF(Z59&gt;360,Z59-360,Z59+0)</f>
        <v>147</v>
      </c>
    </row>
    <row r="60" customFormat="false" ht="15.8" hidden="false" customHeight="false" outlineLevel="0" collapsed="false">
      <c r="A60" s="1" t="n">
        <v>1</v>
      </c>
      <c r="B60" s="1" t="n">
        <v>9</v>
      </c>
      <c r="C60" s="1" t="n">
        <v>0.8</v>
      </c>
      <c r="D60" s="1" t="n">
        <v>1.2571</v>
      </c>
      <c r="E60" s="1" t="n">
        <v>0.0271593</v>
      </c>
      <c r="F60" s="1" t="n">
        <v>7.80648E-005</v>
      </c>
      <c r="G60" s="1" t="s">
        <v>37</v>
      </c>
      <c r="H60" s="1" t="n">
        <v>21.6</v>
      </c>
      <c r="I60" s="1" t="n">
        <v>149.5</v>
      </c>
      <c r="J60" s="1" t="n">
        <v>40.7</v>
      </c>
      <c r="K60" s="1" t="n">
        <v>89.8</v>
      </c>
      <c r="L60" s="1" t="n">
        <v>0</v>
      </c>
      <c r="M60" s="1" t="n">
        <v>0</v>
      </c>
      <c r="N60" s="1" t="s">
        <v>126</v>
      </c>
      <c r="O60" s="1"/>
      <c r="P60" s="1"/>
      <c r="Q60" s="1"/>
      <c r="R60" s="1"/>
      <c r="S60" s="1"/>
      <c r="T60" s="1"/>
      <c r="U60" s="1"/>
      <c r="V60" s="1"/>
      <c r="W60" s="1"/>
      <c r="X60" s="1"/>
      <c r="Z60" s="0" t="n">
        <f aca="false">I60+65</f>
        <v>214.5</v>
      </c>
      <c r="AB60" s="0" t="n">
        <f aca="false">IF(Z60&gt;360,Z60-360,Z60+0)</f>
        <v>214.5</v>
      </c>
    </row>
    <row r="61" customFormat="false" ht="15.8" hidden="false" customHeight="false" outlineLevel="0" collapsed="false">
      <c r="A61" s="1" t="n">
        <v>1</v>
      </c>
      <c r="B61" s="1" t="n">
        <v>8</v>
      </c>
      <c r="C61" s="1" t="n">
        <v>0.9</v>
      </c>
      <c r="D61" s="1" t="n">
        <v>1.2314</v>
      </c>
      <c r="E61" s="1" t="n">
        <v>0.0337476</v>
      </c>
      <c r="F61" s="1" t="n">
        <v>9.70018E-005</v>
      </c>
      <c r="G61" s="1" t="s">
        <v>37</v>
      </c>
      <c r="H61" s="1" t="n">
        <v>53</v>
      </c>
      <c r="I61" s="1" t="n">
        <v>125.7</v>
      </c>
      <c r="J61" s="1" t="n">
        <v>30.9</v>
      </c>
      <c r="K61" s="1" t="n">
        <v>141.2</v>
      </c>
      <c r="L61" s="1" t="n">
        <v>0</v>
      </c>
      <c r="M61" s="1" t="n">
        <v>0</v>
      </c>
      <c r="N61" s="1" t="s">
        <v>128</v>
      </c>
      <c r="O61" s="1"/>
      <c r="P61" s="1"/>
      <c r="Q61" s="1"/>
      <c r="R61" s="1"/>
      <c r="S61" s="1"/>
      <c r="T61" s="1"/>
      <c r="U61" s="1"/>
      <c r="V61" s="1"/>
      <c r="W61" s="1"/>
      <c r="X61" s="1"/>
      <c r="Z61" s="0" t="n">
        <f aca="false">I61+65</f>
        <v>190.7</v>
      </c>
      <c r="AB61" s="0" t="n">
        <f aca="false">IF(Z61&gt;360,Z61-360,Z61+0)</f>
        <v>190.7</v>
      </c>
    </row>
    <row r="62" customFormat="false" ht="15.8" hidden="false" customHeight="false" outlineLevel="0" collapsed="false">
      <c r="A62" s="1" t="n">
        <v>1</v>
      </c>
      <c r="B62" s="1" t="n">
        <v>10</v>
      </c>
      <c r="C62" s="1" t="n">
        <v>0.7</v>
      </c>
      <c r="D62" s="1" t="n">
        <v>1.2571</v>
      </c>
      <c r="E62" s="1" t="n">
        <v>0.0259177</v>
      </c>
      <c r="F62" s="1" t="n">
        <v>7.44961E-005</v>
      </c>
      <c r="G62" s="1" t="s">
        <v>27</v>
      </c>
      <c r="H62" s="1" t="n">
        <v>63.6</v>
      </c>
      <c r="I62" s="1" t="n">
        <v>204.4</v>
      </c>
      <c r="J62" s="1" t="n">
        <v>43.1</v>
      </c>
      <c r="K62" s="1"/>
      <c r="L62" s="1" t="n">
        <v>0</v>
      </c>
      <c r="M62" s="1" t="n">
        <v>0</v>
      </c>
      <c r="N62" s="1" t="s">
        <v>129</v>
      </c>
      <c r="O62" s="1"/>
      <c r="P62" s="1"/>
      <c r="Q62" s="1"/>
      <c r="R62" s="1"/>
      <c r="S62" s="1"/>
      <c r="T62" s="1"/>
      <c r="U62" s="1"/>
      <c r="V62" s="1"/>
      <c r="W62" s="1"/>
      <c r="X62" s="1"/>
      <c r="Z62" s="0" t="n">
        <f aca="false">I62+65</f>
        <v>269.4</v>
      </c>
      <c r="AB62" s="0" t="n">
        <f aca="false">IF(Z62&gt;360,Z62-360,Z62+0)</f>
        <v>269.4</v>
      </c>
    </row>
    <row r="63" customFormat="false" ht="15.8" hidden="false" customHeight="false" outlineLevel="0" collapsed="false">
      <c r="A63" s="1" t="n">
        <v>1</v>
      </c>
      <c r="B63" s="1" t="n">
        <v>11</v>
      </c>
      <c r="C63" s="1" t="n">
        <v>2.9</v>
      </c>
      <c r="D63" s="1" t="n">
        <v>1.1832</v>
      </c>
      <c r="E63" s="1" t="n">
        <v>0.103504</v>
      </c>
      <c r="F63" s="1" t="n">
        <v>0.000297506</v>
      </c>
      <c r="G63" s="1" t="s">
        <v>27</v>
      </c>
      <c r="H63" s="1" t="n">
        <v>9.7</v>
      </c>
      <c r="I63" s="1" t="n">
        <v>314.6</v>
      </c>
      <c r="J63" s="1" t="n">
        <v>9.3</v>
      </c>
      <c r="K63" s="1"/>
      <c r="L63" s="1" t="n">
        <v>0</v>
      </c>
      <c r="M63" s="1" t="n">
        <v>0</v>
      </c>
      <c r="N63" s="1" t="s">
        <v>130</v>
      </c>
      <c r="O63" s="1"/>
      <c r="P63" s="1"/>
      <c r="Q63" s="1"/>
      <c r="R63" s="1"/>
      <c r="S63" s="1"/>
      <c r="T63" s="1"/>
      <c r="U63" s="1"/>
      <c r="V63" s="1"/>
      <c r="W63" s="1"/>
      <c r="X63" s="1"/>
      <c r="Z63" s="0" t="n">
        <f aca="false">I63+65</f>
        <v>379.6</v>
      </c>
      <c r="AB63" s="0" t="n">
        <f aca="false">IF(Z63&gt;360,Z63-360,Z63+0)</f>
        <v>19.6</v>
      </c>
    </row>
    <row r="64" customFormat="false" ht="15.8" hidden="false" customHeight="false" outlineLevel="0" collapsed="false">
      <c r="A64" s="1" t="n">
        <v>1</v>
      </c>
      <c r="B64" s="1" t="n">
        <v>11</v>
      </c>
      <c r="C64" s="1" t="n">
        <v>2.9</v>
      </c>
      <c r="D64" s="1" t="n">
        <v>1.3992</v>
      </c>
      <c r="E64" s="1" t="n">
        <v>0.103592</v>
      </c>
      <c r="F64" s="1" t="n">
        <v>0.000297759</v>
      </c>
      <c r="G64" s="1" t="s">
        <v>27</v>
      </c>
      <c r="H64" s="1" t="n">
        <v>72.3</v>
      </c>
      <c r="I64" s="1" t="n">
        <v>326.9</v>
      </c>
      <c r="J64" s="1" t="n">
        <v>-72.1</v>
      </c>
      <c r="K64" s="1"/>
      <c r="L64" s="1" t="n">
        <v>0</v>
      </c>
      <c r="M64" s="1" t="n">
        <v>0</v>
      </c>
      <c r="N64" s="1" t="s">
        <v>130</v>
      </c>
      <c r="O64" s="1"/>
      <c r="P64" s="1"/>
      <c r="Q64" s="1"/>
      <c r="R64" s="1"/>
      <c r="S64" s="1"/>
      <c r="T64" s="1"/>
      <c r="U64" s="1"/>
      <c r="V64" s="1"/>
      <c r="W64" s="1"/>
      <c r="X64" s="1"/>
      <c r="Z64" s="0" t="n">
        <f aca="false">I64+65</f>
        <v>391.9</v>
      </c>
      <c r="AB64" s="0" t="n">
        <f aca="false">IF(Z64&gt;360,Z64-360,Z64+0)</f>
        <v>31.9</v>
      </c>
    </row>
    <row r="65" customFormat="false" ht="15.8" hidden="false" customHeight="false" outlineLevel="0" collapsed="false">
      <c r="A65" s="1" t="n">
        <v>1</v>
      </c>
      <c r="B65" s="1" t="n">
        <v>12</v>
      </c>
      <c r="C65" s="1" t="n">
        <v>0.7</v>
      </c>
      <c r="D65" s="1" t="n">
        <v>1.2286</v>
      </c>
      <c r="E65" s="1" t="n">
        <v>0.0250293</v>
      </c>
      <c r="F65" s="1" t="n">
        <v>7.19426E-005</v>
      </c>
      <c r="G65" s="1" t="s">
        <v>27</v>
      </c>
      <c r="H65" s="1" t="n">
        <v>50.7</v>
      </c>
      <c r="I65" s="1" t="n">
        <v>16.4</v>
      </c>
      <c r="J65" s="1" t="n">
        <v>-43.7</v>
      </c>
      <c r="K65" s="1"/>
      <c r="L65" s="1" t="n">
        <v>0</v>
      </c>
      <c r="M65" s="1" t="n">
        <v>0</v>
      </c>
      <c r="N65" s="1" t="s">
        <v>131</v>
      </c>
      <c r="O65" s="1"/>
      <c r="P65" s="1"/>
      <c r="Q65" s="1"/>
      <c r="R65" s="1"/>
      <c r="S65" s="1"/>
      <c r="T65" s="1"/>
      <c r="U65" s="1"/>
      <c r="V65" s="1"/>
      <c r="W65" s="1"/>
      <c r="X65" s="1"/>
      <c r="Z65" s="0" t="n">
        <f aca="false">I65+65</f>
        <v>81.4</v>
      </c>
      <c r="AB65" s="0" t="n">
        <f aca="false">IF(Z65&gt;360,Z65-360,Z65+0)</f>
        <v>81.4</v>
      </c>
    </row>
    <row r="66" customFormat="false" ht="15.8" hidden="false" customHeight="false" outlineLevel="0" collapsed="false">
      <c r="A66" s="1" t="n">
        <v>1</v>
      </c>
      <c r="B66" s="1" t="n">
        <v>12</v>
      </c>
      <c r="C66" s="1" t="n">
        <v>2.8</v>
      </c>
      <c r="D66" s="1" t="n">
        <v>1.499</v>
      </c>
      <c r="E66" s="1" t="n">
        <v>0.100277</v>
      </c>
      <c r="F66" s="1" t="n">
        <v>0.00028823</v>
      </c>
      <c r="G66" s="1" t="s">
        <v>27</v>
      </c>
      <c r="H66" s="1" t="n">
        <v>41.6</v>
      </c>
      <c r="I66" s="1" t="n">
        <v>332</v>
      </c>
      <c r="J66" s="1" t="n">
        <v>-12.2</v>
      </c>
      <c r="K66" s="1"/>
      <c r="L66" s="1" t="n">
        <v>0</v>
      </c>
      <c r="M66" s="1" t="n">
        <v>0</v>
      </c>
      <c r="N66" s="1" t="s">
        <v>131</v>
      </c>
      <c r="O66" s="1"/>
      <c r="P66" s="1"/>
      <c r="Q66" s="1"/>
      <c r="R66" s="1"/>
      <c r="S66" s="1"/>
      <c r="T66" s="1"/>
      <c r="U66" s="1"/>
      <c r="V66" s="1"/>
      <c r="W66" s="1"/>
      <c r="X66" s="1"/>
      <c r="Z66" s="0" t="n">
        <f aca="false">I66+65</f>
        <v>397</v>
      </c>
      <c r="AB66" s="0" t="n">
        <f aca="false">IF(Z66&gt;360,Z66-360,Z66+0)</f>
        <v>37</v>
      </c>
    </row>
    <row r="67" customFormat="false" ht="15.8" hidden="false" customHeight="false" outlineLevel="0" collapsed="false">
      <c r="A67" s="1" t="n">
        <v>1</v>
      </c>
      <c r="B67" s="1" t="n">
        <v>11</v>
      </c>
      <c r="C67" s="1" t="n">
        <v>2.8</v>
      </c>
      <c r="D67" s="1" t="n">
        <v>1.258</v>
      </c>
      <c r="E67" s="1" t="n">
        <v>0.0996197</v>
      </c>
      <c r="F67" s="1" t="n">
        <v>0.00028634</v>
      </c>
      <c r="G67" s="1" t="s">
        <v>37</v>
      </c>
      <c r="H67" s="1" t="n">
        <v>47.2</v>
      </c>
      <c r="I67" s="1" t="n">
        <v>302.5</v>
      </c>
      <c r="J67" s="1" t="n">
        <v>-45.4</v>
      </c>
      <c r="K67" s="1" t="n">
        <v>50.7</v>
      </c>
      <c r="L67" s="1" t="n">
        <v>0</v>
      </c>
      <c r="M67" s="1" t="n">
        <v>0</v>
      </c>
      <c r="N67" s="1" t="s">
        <v>130</v>
      </c>
      <c r="O67" s="1"/>
      <c r="P67" s="1"/>
      <c r="Q67" s="1"/>
      <c r="R67" s="1"/>
      <c r="S67" s="1"/>
      <c r="T67" s="1"/>
      <c r="U67" s="1"/>
      <c r="V67" s="1"/>
      <c r="W67" s="1"/>
      <c r="X67" s="1"/>
      <c r="Z67" s="0" t="n">
        <f aca="false">I67+65</f>
        <v>367.5</v>
      </c>
      <c r="AB67" s="0" t="n">
        <f aca="false">IF(Z67&gt;360,Z67-360,Z67+0)</f>
        <v>7.5</v>
      </c>
    </row>
    <row r="68" customFormat="false" ht="15.8" hidden="false" customHeight="false" outlineLevel="0" collapsed="false">
      <c r="A68" s="1" t="n">
        <v>1</v>
      </c>
      <c r="B68" s="1" t="n">
        <v>10</v>
      </c>
      <c r="C68" s="1" t="n">
        <v>0.8</v>
      </c>
      <c r="D68" s="1" t="n">
        <v>1.0041</v>
      </c>
      <c r="E68" s="1" t="n">
        <v>0.02833</v>
      </c>
      <c r="F68" s="1" t="n">
        <v>8.143E-005</v>
      </c>
      <c r="G68" s="1" t="s">
        <v>37</v>
      </c>
      <c r="H68" s="1" t="n">
        <v>44</v>
      </c>
      <c r="I68" s="1" t="n">
        <v>317.4</v>
      </c>
      <c r="J68" s="1" t="n">
        <v>0</v>
      </c>
      <c r="K68" s="1" t="n">
        <v>72.3</v>
      </c>
      <c r="L68" s="1" t="n">
        <v>0</v>
      </c>
      <c r="M68" s="1" t="n">
        <v>0</v>
      </c>
      <c r="N68" s="1" t="s">
        <v>129</v>
      </c>
      <c r="O68" s="1"/>
      <c r="P68" s="1"/>
      <c r="Q68" s="1"/>
      <c r="R68" s="1"/>
      <c r="S68" s="1"/>
      <c r="T68" s="1"/>
      <c r="U68" s="1"/>
      <c r="V68" s="1"/>
      <c r="W68" s="1"/>
      <c r="X68" s="1"/>
      <c r="Z68" s="0" t="n">
        <f aca="false">I68+65</f>
        <v>382.4</v>
      </c>
      <c r="AB68" s="0" t="n">
        <f aca="false">IF(Z68&gt;360,Z68-360,Z68+0)</f>
        <v>22.4</v>
      </c>
    </row>
    <row r="69" customFormat="false" ht="15.8" hidden="false" customHeight="false" outlineLevel="0" collapsed="false">
      <c r="A69" s="1" t="n">
        <v>1</v>
      </c>
      <c r="B69" s="1" t="n">
        <v>9</v>
      </c>
      <c r="C69" s="1" t="n">
        <v>1.2</v>
      </c>
      <c r="D69" s="1" t="n">
        <v>1.1793</v>
      </c>
      <c r="E69" s="1" t="n">
        <v>0.0443049</v>
      </c>
      <c r="F69" s="1" t="n">
        <v>0.000127347</v>
      </c>
      <c r="G69" s="1" t="s">
        <v>37</v>
      </c>
      <c r="H69" s="1" t="n">
        <v>58.3</v>
      </c>
      <c r="I69" s="1" t="n">
        <v>278.2</v>
      </c>
      <c r="J69" s="1" t="n">
        <v>22</v>
      </c>
      <c r="K69" s="1" t="n">
        <v>63.6</v>
      </c>
      <c r="L69" s="1" t="n">
        <v>0</v>
      </c>
      <c r="M69" s="1" t="n">
        <v>0</v>
      </c>
      <c r="N69" s="1" t="s">
        <v>132</v>
      </c>
      <c r="O69" s="1"/>
      <c r="P69" s="1"/>
      <c r="Q69" s="1"/>
      <c r="R69" s="1"/>
      <c r="S69" s="1"/>
      <c r="T69" s="1"/>
      <c r="U69" s="1"/>
      <c r="V69" s="1"/>
      <c r="W69" s="1"/>
      <c r="X69" s="1"/>
      <c r="Z69" s="0" t="n">
        <f aca="false">I69+65</f>
        <v>343.2</v>
      </c>
      <c r="AB69" s="0" t="n">
        <f aca="false">IF(Z69&gt;360,Z69-360,Z69+0)</f>
        <v>343.2</v>
      </c>
    </row>
    <row r="70" customFormat="false" ht="15.8" hidden="false" customHeight="false" outlineLevel="0" collapsed="false">
      <c r="A70" s="1" t="n">
        <v>1</v>
      </c>
      <c r="B70" s="1" t="n">
        <v>10</v>
      </c>
      <c r="C70" s="1" t="n">
        <v>1.5</v>
      </c>
      <c r="D70" s="1" t="n">
        <v>1.2606</v>
      </c>
      <c r="E70" s="1" t="n">
        <v>0.0527458</v>
      </c>
      <c r="F70" s="1" t="n">
        <v>0.000151609</v>
      </c>
      <c r="G70" s="1" t="s">
        <v>27</v>
      </c>
      <c r="H70" s="1" t="n">
        <v>87.6</v>
      </c>
      <c r="I70" s="1" t="n">
        <v>325.3</v>
      </c>
      <c r="J70" s="1" t="n">
        <v>19.7</v>
      </c>
      <c r="K70" s="1"/>
      <c r="L70" s="1" t="n">
        <v>0</v>
      </c>
      <c r="M70" s="1" t="n">
        <v>0</v>
      </c>
      <c r="N70" s="1" t="s">
        <v>133</v>
      </c>
      <c r="O70" s="1"/>
      <c r="P70" s="1"/>
      <c r="Q70" s="1"/>
      <c r="R70" s="1"/>
      <c r="S70" s="1"/>
      <c r="T70" s="1"/>
      <c r="U70" s="1"/>
      <c r="V70" s="1"/>
      <c r="W70" s="1"/>
      <c r="X70" s="1"/>
      <c r="Z70" s="0" t="n">
        <f aca="false">I70+65</f>
        <v>390.3</v>
      </c>
      <c r="AB70" s="0" t="n">
        <f aca="false">IF(Z70&gt;360,Z70-360,Z70+0)</f>
        <v>30.3</v>
      </c>
    </row>
    <row r="71" customFormat="false" ht="15.8" hidden="false" customHeight="false" outlineLevel="0" collapsed="false">
      <c r="A71" s="1" t="n">
        <v>1</v>
      </c>
      <c r="B71" s="1" t="n">
        <v>11</v>
      </c>
      <c r="C71" s="1" t="n">
        <v>0.9</v>
      </c>
      <c r="D71" s="1" t="n">
        <v>1.2101</v>
      </c>
      <c r="E71" s="1" t="n">
        <v>0.0327566</v>
      </c>
      <c r="F71" s="1" t="n">
        <v>9.41533E-005</v>
      </c>
      <c r="G71" s="1" t="s">
        <v>27</v>
      </c>
      <c r="H71" s="1" t="n">
        <v>60.2</v>
      </c>
      <c r="I71" s="1" t="n">
        <v>107.8</v>
      </c>
      <c r="J71" s="1" t="n">
        <v>-31.4</v>
      </c>
      <c r="K71" s="1"/>
      <c r="L71" s="1" t="n">
        <v>0</v>
      </c>
      <c r="M71" s="1" t="n">
        <v>0</v>
      </c>
      <c r="N71" s="1" t="s">
        <v>134</v>
      </c>
      <c r="O71" s="1"/>
      <c r="P71" s="1"/>
      <c r="Q71" s="1"/>
      <c r="R71" s="1"/>
      <c r="S71" s="1"/>
      <c r="T71" s="1"/>
      <c r="U71" s="1"/>
      <c r="V71" s="1"/>
      <c r="W71" s="1"/>
      <c r="X71" s="1"/>
      <c r="Z71" s="0" t="n">
        <f aca="false">I71+65</f>
        <v>172.8</v>
      </c>
      <c r="AB71" s="0" t="n">
        <f aca="false">IF(Z71&gt;360,Z71-360,Z71+0)</f>
        <v>172.8</v>
      </c>
    </row>
    <row r="72" customFormat="false" ht="15.8" hidden="false" customHeight="false" outlineLevel="0" collapsed="false">
      <c r="A72" s="1" t="n">
        <v>1</v>
      </c>
      <c r="B72" s="1" t="n">
        <v>12</v>
      </c>
      <c r="C72" s="1" t="n">
        <v>0.3</v>
      </c>
      <c r="D72" s="1" t="n">
        <v>1.0198</v>
      </c>
      <c r="E72" s="1" t="n">
        <v>0.0123109</v>
      </c>
      <c r="F72" s="1" t="n">
        <v>3.53858E-005</v>
      </c>
      <c r="G72" s="1" t="s">
        <v>27</v>
      </c>
      <c r="H72" s="1" t="n">
        <v>83.7</v>
      </c>
      <c r="I72" s="1" t="n">
        <v>356.1</v>
      </c>
      <c r="J72" s="1" t="n">
        <v>0</v>
      </c>
      <c r="K72" s="1"/>
      <c r="L72" s="1" t="n">
        <v>0</v>
      </c>
      <c r="M72" s="1" t="n">
        <v>0</v>
      </c>
      <c r="N72" s="1" t="s">
        <v>135</v>
      </c>
      <c r="O72" s="1"/>
      <c r="P72" s="1"/>
      <c r="Q72" s="1"/>
      <c r="R72" s="1"/>
      <c r="S72" s="1"/>
      <c r="T72" s="1"/>
      <c r="U72" s="1"/>
      <c r="V72" s="1"/>
      <c r="W72" s="1"/>
      <c r="X72" s="1"/>
      <c r="Z72" s="0" t="n">
        <f aca="false">I72+65</f>
        <v>421.1</v>
      </c>
      <c r="AB72" s="0" t="n">
        <f aca="false">IF(Z72&gt;360,Z72-360,Z72+0)</f>
        <v>61.1</v>
      </c>
    </row>
    <row r="73" customFormat="false" ht="15.8" hidden="false" customHeight="false" outlineLevel="0" collapsed="false">
      <c r="A73" s="1" t="n">
        <v>1</v>
      </c>
      <c r="B73" s="1" t="n">
        <v>12</v>
      </c>
      <c r="C73" s="1" t="n">
        <v>0.4</v>
      </c>
      <c r="D73" s="1" t="n">
        <v>1</v>
      </c>
      <c r="E73" s="1" t="n">
        <v>0.0130395</v>
      </c>
      <c r="F73" s="1" t="n">
        <v>3.74799E-005</v>
      </c>
      <c r="G73" s="1" t="s">
        <v>27</v>
      </c>
      <c r="H73" s="1" t="n">
        <v>18.3</v>
      </c>
      <c r="I73" s="1" t="n">
        <v>260.8</v>
      </c>
      <c r="J73" s="1" t="n">
        <v>0</v>
      </c>
      <c r="K73" s="1"/>
      <c r="L73" s="1" t="n">
        <v>0</v>
      </c>
      <c r="M73" s="1" t="n">
        <v>0</v>
      </c>
      <c r="N73" s="1" t="s">
        <v>135</v>
      </c>
      <c r="O73" s="1"/>
      <c r="P73" s="1"/>
      <c r="Q73" s="1"/>
      <c r="R73" s="1"/>
      <c r="S73" s="1"/>
      <c r="T73" s="1"/>
      <c r="U73" s="1"/>
      <c r="V73" s="1"/>
      <c r="W73" s="1"/>
      <c r="X73" s="1"/>
      <c r="Z73" s="0" t="n">
        <f aca="false">I73+65</f>
        <v>325.8</v>
      </c>
      <c r="AB73" s="0" t="n">
        <f aca="false">IF(Z73&gt;360,Z73-360,Z73+0)</f>
        <v>325.8</v>
      </c>
    </row>
    <row r="74" customFormat="false" ht="15.8" hidden="false" customHeight="false" outlineLevel="0" collapsed="false">
      <c r="A74" s="1" t="n">
        <v>1</v>
      </c>
      <c r="B74" s="1" t="n">
        <v>11</v>
      </c>
      <c r="C74" s="1" t="n">
        <v>2.7</v>
      </c>
      <c r="D74" s="1" t="n">
        <v>1.6737</v>
      </c>
      <c r="E74" s="1" t="n">
        <v>0.0961678</v>
      </c>
      <c r="F74" s="1" t="n">
        <v>0.000276419</v>
      </c>
      <c r="G74" s="1" t="s">
        <v>37</v>
      </c>
      <c r="H74" s="1" t="n">
        <v>112</v>
      </c>
      <c r="I74" s="1" t="n">
        <v>272.6</v>
      </c>
      <c r="J74" s="1" t="n">
        <v>14.2</v>
      </c>
      <c r="K74" s="1" t="n">
        <v>83.7</v>
      </c>
      <c r="L74" s="1" t="n">
        <v>0</v>
      </c>
      <c r="M74" s="1" t="n">
        <v>0</v>
      </c>
      <c r="N74" s="1" t="s">
        <v>134</v>
      </c>
      <c r="O74" s="1"/>
      <c r="P74" s="1"/>
      <c r="Q74" s="1"/>
      <c r="R74" s="1"/>
      <c r="S74" s="1"/>
      <c r="T74" s="1"/>
      <c r="U74" s="1"/>
      <c r="V74" s="1"/>
      <c r="W74" s="1"/>
      <c r="X74" s="1"/>
      <c r="Z74" s="0" t="n">
        <f aca="false">I74+65</f>
        <v>337.6</v>
      </c>
      <c r="AB74" s="0" t="n">
        <f aca="false">IF(Z74&gt;360,Z74-360,Z74+0)</f>
        <v>337.6</v>
      </c>
    </row>
    <row r="75" customFormat="false" ht="15.8" hidden="false" customHeight="false" outlineLevel="0" collapsed="false">
      <c r="A75" s="1" t="n">
        <v>1</v>
      </c>
      <c r="B75" s="1" t="n">
        <v>12</v>
      </c>
      <c r="C75" s="1" t="n">
        <v>0.7</v>
      </c>
      <c r="D75" s="1" t="n">
        <v>1.0235</v>
      </c>
      <c r="E75" s="1" t="n">
        <v>0.0252553</v>
      </c>
      <c r="F75" s="1" t="n">
        <v>7.25922E-005</v>
      </c>
      <c r="G75" s="1" t="s">
        <v>27</v>
      </c>
      <c r="H75" s="1" t="n">
        <v>31.1</v>
      </c>
      <c r="I75" s="1" t="n">
        <v>46.4</v>
      </c>
      <c r="J75" s="1" t="n">
        <v>0</v>
      </c>
      <c r="K75" s="1"/>
      <c r="L75" s="1" t="n">
        <v>0</v>
      </c>
      <c r="M75" s="1" t="n">
        <v>0</v>
      </c>
      <c r="N75" s="1" t="s">
        <v>136</v>
      </c>
      <c r="O75" s="1"/>
      <c r="P75" s="1"/>
      <c r="Q75" s="1"/>
      <c r="R75" s="1"/>
      <c r="S75" s="1"/>
      <c r="T75" s="1"/>
      <c r="U75" s="1"/>
      <c r="V75" s="1"/>
      <c r="W75" s="1"/>
      <c r="X75" s="1"/>
      <c r="Z75" s="0" t="n">
        <f aca="false">I75+65</f>
        <v>111.4</v>
      </c>
      <c r="AB75" s="0" t="n">
        <f aca="false">IF(Z75&gt;360,Z75-360,Z75+0)</f>
        <v>111.4</v>
      </c>
    </row>
    <row r="76" customFormat="false" ht="15.8" hidden="false" customHeight="false" outlineLevel="0" collapsed="false">
      <c r="A76" s="1" t="n">
        <v>1</v>
      </c>
      <c r="B76" s="1" t="n">
        <v>13</v>
      </c>
      <c r="C76" s="1" t="n">
        <v>3.9</v>
      </c>
      <c r="D76" s="1" t="n">
        <v>1.5747</v>
      </c>
      <c r="E76" s="1" t="n">
        <v>0.139649</v>
      </c>
      <c r="F76" s="1" t="n">
        <v>0.000401398</v>
      </c>
      <c r="G76" s="1" t="s">
        <v>27</v>
      </c>
      <c r="H76" s="1" t="n">
        <v>38.1</v>
      </c>
      <c r="I76" s="1" t="n">
        <v>129.4</v>
      </c>
      <c r="J76" s="1" t="n">
        <v>-72.4</v>
      </c>
      <c r="K76" s="1"/>
      <c r="L76" s="1" t="n">
        <v>0</v>
      </c>
      <c r="M76" s="1" t="n">
        <v>0</v>
      </c>
      <c r="N76" s="1" t="s">
        <v>137</v>
      </c>
      <c r="O76" s="1"/>
      <c r="P76" s="1"/>
      <c r="Q76" s="1"/>
      <c r="R76" s="1"/>
      <c r="S76" s="1"/>
      <c r="T76" s="1"/>
      <c r="U76" s="1"/>
      <c r="V76" s="1"/>
      <c r="W76" s="1"/>
      <c r="X76" s="1"/>
      <c r="Z76" s="0" t="n">
        <f aca="false">I76+65</f>
        <v>194.4</v>
      </c>
      <c r="AB76" s="0" t="n">
        <f aca="false">IF(Z76&gt;360,Z76-360,Z76+0)</f>
        <v>194.4</v>
      </c>
    </row>
    <row r="77" customFormat="false" ht="15.8" hidden="false" customHeight="false" outlineLevel="0" collapsed="false">
      <c r="A77" s="1" t="n">
        <v>1</v>
      </c>
      <c r="B77" s="1" t="n">
        <v>14</v>
      </c>
      <c r="C77" s="1" t="n">
        <v>1</v>
      </c>
      <c r="D77" s="1" t="n">
        <v>1.011</v>
      </c>
      <c r="E77" s="1" t="n">
        <v>0.0374109</v>
      </c>
      <c r="F77" s="1" t="n">
        <v>0.000107531</v>
      </c>
      <c r="G77" s="1" t="s">
        <v>27</v>
      </c>
      <c r="H77" s="1" t="n">
        <v>69.8</v>
      </c>
      <c r="I77" s="1" t="n">
        <v>45.9</v>
      </c>
      <c r="J77" s="1" t="n">
        <v>0</v>
      </c>
      <c r="K77" s="1"/>
      <c r="L77" s="1" t="n">
        <v>0</v>
      </c>
      <c r="M77" s="1" t="n">
        <v>0</v>
      </c>
      <c r="N77" s="1" t="s">
        <v>138</v>
      </c>
      <c r="O77" s="1"/>
      <c r="P77" s="1"/>
      <c r="Q77" s="1"/>
      <c r="R77" s="1"/>
      <c r="S77" s="1"/>
      <c r="T77" s="1"/>
      <c r="U77" s="1"/>
      <c r="V77" s="1"/>
      <c r="W77" s="1"/>
      <c r="X77" s="1"/>
      <c r="Z77" s="0" t="n">
        <f aca="false">I77+65</f>
        <v>110.9</v>
      </c>
      <c r="AB77" s="0" t="n">
        <f aca="false">IF(Z77&gt;360,Z77-360,Z77+0)</f>
        <v>110.9</v>
      </c>
    </row>
    <row r="78" customFormat="false" ht="15.8" hidden="false" customHeight="false" outlineLevel="0" collapsed="false">
      <c r="A78" s="1" t="n">
        <v>1</v>
      </c>
      <c r="B78" s="1" t="n">
        <v>14</v>
      </c>
      <c r="C78" s="1" t="n">
        <v>1.5</v>
      </c>
      <c r="D78" s="1" t="n">
        <v>1.305</v>
      </c>
      <c r="E78" s="1" t="n">
        <v>0.05466</v>
      </c>
      <c r="F78" s="1" t="n">
        <v>0.000157111</v>
      </c>
      <c r="G78" s="1" t="s">
        <v>27</v>
      </c>
      <c r="H78" s="1" t="n">
        <v>103.3</v>
      </c>
      <c r="I78" s="1" t="n">
        <v>252</v>
      </c>
      <c r="J78" s="1" t="n">
        <v>42.3</v>
      </c>
      <c r="K78" s="1"/>
      <c r="L78" s="1" t="n">
        <v>0</v>
      </c>
      <c r="M78" s="1" t="n">
        <v>0</v>
      </c>
      <c r="N78" s="1" t="s">
        <v>138</v>
      </c>
      <c r="O78" s="1"/>
      <c r="P78" s="1"/>
      <c r="Q78" s="1"/>
      <c r="R78" s="1"/>
      <c r="S78" s="1"/>
      <c r="T78" s="1"/>
      <c r="U78" s="1"/>
      <c r="V78" s="1"/>
      <c r="W78" s="1"/>
      <c r="X78" s="1"/>
      <c r="Z78" s="0" t="n">
        <f aca="false">I78+65</f>
        <v>317</v>
      </c>
      <c r="AB78" s="0" t="n">
        <f aca="false">IF(Z78&gt;360,Z78-360,Z78+0)</f>
        <v>317</v>
      </c>
    </row>
    <row r="79" customFormat="false" ht="15.8" hidden="false" customHeight="false" outlineLevel="0" collapsed="false">
      <c r="A79" s="1" t="n">
        <v>1</v>
      </c>
      <c r="B79" s="1" t="n">
        <v>15</v>
      </c>
      <c r="C79" s="1" t="n">
        <v>0.5</v>
      </c>
      <c r="D79" s="1" t="n">
        <v>1.0009</v>
      </c>
      <c r="E79" s="1" t="n">
        <v>0.018405</v>
      </c>
      <c r="F79" s="1" t="n">
        <v>5.29022E-005</v>
      </c>
      <c r="G79" s="1" t="s">
        <v>27</v>
      </c>
      <c r="H79" s="1" t="n">
        <v>15.6</v>
      </c>
      <c r="I79" s="1" t="n">
        <v>6.5</v>
      </c>
      <c r="J79" s="1" t="n">
        <v>0</v>
      </c>
      <c r="K79" s="1"/>
      <c r="L79" s="1" t="n">
        <v>0</v>
      </c>
      <c r="M79" s="1" t="n">
        <v>0</v>
      </c>
      <c r="N79" s="1" t="s">
        <v>139</v>
      </c>
      <c r="O79" s="1"/>
      <c r="P79" s="1"/>
      <c r="Q79" s="1"/>
      <c r="R79" s="1"/>
      <c r="S79" s="1"/>
      <c r="T79" s="1"/>
      <c r="U79" s="1"/>
      <c r="V79" s="1"/>
      <c r="W79" s="1"/>
      <c r="X79" s="1"/>
      <c r="Z79" s="0" t="n">
        <f aca="false">I79+65</f>
        <v>71.5</v>
      </c>
      <c r="AB79" s="0" t="n">
        <f aca="false">IF(Z79&gt;360,Z79-360,Z79+0)</f>
        <v>71.5</v>
      </c>
    </row>
    <row r="80" customFormat="false" ht="15.8" hidden="false" customHeight="false" outlineLevel="0" collapsed="false">
      <c r="A80" s="1" t="n">
        <v>1</v>
      </c>
      <c r="B80" s="1" t="n">
        <v>15</v>
      </c>
      <c r="C80" s="1" t="n">
        <v>0.7</v>
      </c>
      <c r="D80" s="1" t="n">
        <v>1.1807</v>
      </c>
      <c r="E80" s="1" t="n">
        <v>0.0260913</v>
      </c>
      <c r="F80" s="1" t="n">
        <v>7.49952E-005</v>
      </c>
      <c r="G80" s="1" t="s">
        <v>27</v>
      </c>
      <c r="H80" s="1" t="n">
        <v>83</v>
      </c>
      <c r="I80" s="1" t="n">
        <v>270</v>
      </c>
      <c r="J80" s="1" t="n">
        <v>39.6</v>
      </c>
      <c r="K80" s="1"/>
      <c r="L80" s="1" t="n">
        <v>0</v>
      </c>
      <c r="M80" s="1" t="n">
        <v>0</v>
      </c>
      <c r="N80" s="1" t="s">
        <v>139</v>
      </c>
      <c r="O80" s="1"/>
      <c r="P80" s="1"/>
      <c r="Q80" s="1"/>
      <c r="R80" s="1"/>
      <c r="S80" s="1"/>
      <c r="T80" s="1"/>
      <c r="U80" s="1"/>
      <c r="V80" s="1"/>
      <c r="W80" s="1"/>
      <c r="X80" s="1"/>
      <c r="Z80" s="0" t="n">
        <f aca="false">I80+65</f>
        <v>335</v>
      </c>
      <c r="AB80" s="0" t="n">
        <f aca="false">IF(Z80&gt;360,Z80-360,Z80+0)</f>
        <v>335</v>
      </c>
    </row>
    <row r="81" customFormat="false" ht="15.8" hidden="false" customHeight="false" outlineLevel="0" collapsed="false">
      <c r="A81" s="1" t="n">
        <v>1</v>
      </c>
      <c r="B81" s="1" t="n">
        <v>14</v>
      </c>
      <c r="C81" s="1" t="n">
        <v>1.9</v>
      </c>
      <c r="D81" s="1" t="n">
        <v>1.0542</v>
      </c>
      <c r="E81" s="1" t="n">
        <v>0.0693447</v>
      </c>
      <c r="F81" s="1" t="n">
        <v>0.00019932</v>
      </c>
      <c r="G81" s="1" t="s">
        <v>37</v>
      </c>
      <c r="H81" s="1" t="n">
        <v>27.2</v>
      </c>
      <c r="I81" s="1" t="n">
        <v>350.9</v>
      </c>
      <c r="J81" s="1" t="n">
        <v>0</v>
      </c>
      <c r="K81" s="1" t="n">
        <v>83</v>
      </c>
      <c r="L81" s="1" t="n">
        <v>0</v>
      </c>
      <c r="M81" s="1" t="n">
        <v>0</v>
      </c>
      <c r="N81" s="1" t="s">
        <v>138</v>
      </c>
      <c r="O81" s="1"/>
      <c r="P81" s="1"/>
      <c r="Q81" s="1"/>
      <c r="R81" s="1"/>
      <c r="S81" s="1"/>
      <c r="T81" s="1"/>
      <c r="U81" s="1"/>
      <c r="V81" s="1"/>
      <c r="W81" s="1"/>
      <c r="X81" s="1"/>
      <c r="Z81" s="0" t="n">
        <f aca="false">I81+65</f>
        <v>415.9</v>
      </c>
      <c r="AB81" s="0" t="n">
        <f aca="false">IF(Z81&gt;360,Z81-360,Z81+0)</f>
        <v>55.9</v>
      </c>
    </row>
    <row r="82" customFormat="false" ht="15.8" hidden="false" customHeight="false" outlineLevel="0" collapsed="false">
      <c r="A82" s="1" t="n">
        <v>1</v>
      </c>
      <c r="B82" s="1" t="n">
        <v>13</v>
      </c>
      <c r="C82" s="1" t="n">
        <v>1.2</v>
      </c>
      <c r="D82" s="1" t="n">
        <v>1.2273</v>
      </c>
      <c r="E82" s="1" t="n">
        <v>0.0421385</v>
      </c>
      <c r="F82" s="1" t="n">
        <v>0.00012112</v>
      </c>
      <c r="G82" s="1" t="s">
        <v>37</v>
      </c>
      <c r="H82" s="1" t="n">
        <v>62.5</v>
      </c>
      <c r="I82" s="1" t="n">
        <v>338.2</v>
      </c>
      <c r="J82" s="1" t="n">
        <v>-24.2</v>
      </c>
      <c r="K82" s="1" t="n">
        <v>103.3</v>
      </c>
      <c r="L82" s="1" t="n">
        <v>0</v>
      </c>
      <c r="M82" s="1" t="n">
        <v>0</v>
      </c>
      <c r="N82" s="1" t="s">
        <v>137</v>
      </c>
      <c r="O82" s="1"/>
      <c r="P82" s="1"/>
      <c r="Q82" s="1"/>
      <c r="R82" s="1"/>
      <c r="S82" s="1"/>
      <c r="T82" s="1"/>
      <c r="U82" s="1"/>
      <c r="V82" s="1"/>
      <c r="W82" s="1"/>
      <c r="X82" s="1"/>
      <c r="Z82" s="0" t="n">
        <f aca="false">I82+65</f>
        <v>403.2</v>
      </c>
      <c r="AB82" s="0" t="n">
        <f aca="false">IF(Z82&gt;360,Z82-360,Z82+0)</f>
        <v>43.2</v>
      </c>
    </row>
    <row r="83" customFormat="false" ht="15.8" hidden="false" customHeight="false" outlineLevel="0" collapsed="false">
      <c r="A83" s="1" t="n">
        <v>1</v>
      </c>
      <c r="B83" s="1" t="n">
        <v>12</v>
      </c>
      <c r="C83" s="1" t="n">
        <v>4.3</v>
      </c>
      <c r="D83" s="1" t="n">
        <v>1.663</v>
      </c>
      <c r="E83" s="1" t="n">
        <v>0.153947</v>
      </c>
      <c r="F83" s="1" t="n">
        <v>0.000442494</v>
      </c>
      <c r="G83" s="1" t="s">
        <v>37</v>
      </c>
      <c r="H83" s="1" t="n">
        <v>78.4</v>
      </c>
      <c r="I83" s="1" t="n">
        <v>261.8</v>
      </c>
      <c r="J83" s="1" t="n">
        <v>-65.9</v>
      </c>
      <c r="K83" s="1" t="n">
        <v>62.5</v>
      </c>
      <c r="L83" s="1" t="n">
        <v>0</v>
      </c>
      <c r="M83" s="1" t="n">
        <v>0</v>
      </c>
      <c r="N83" s="1" t="s">
        <v>136</v>
      </c>
      <c r="O83" s="1"/>
      <c r="P83" s="1"/>
      <c r="Q83" s="1"/>
      <c r="R83" s="1"/>
      <c r="S83" s="1"/>
      <c r="T83" s="1"/>
      <c r="U83" s="1"/>
      <c r="V83" s="1"/>
      <c r="W83" s="1"/>
      <c r="X83" s="1"/>
      <c r="Z83" s="0" t="n">
        <f aca="false">I83+65</f>
        <v>326.8</v>
      </c>
      <c r="AB83" s="0" t="n">
        <f aca="false">IF(Z83&gt;360,Z83-360,Z83+0)</f>
        <v>326.8</v>
      </c>
    </row>
    <row r="84" customFormat="false" ht="15.8" hidden="false" customHeight="false" outlineLevel="0" collapsed="false">
      <c r="A84" s="1" t="n">
        <v>1</v>
      </c>
      <c r="B84" s="1" t="n">
        <v>11</v>
      </c>
      <c r="C84" s="1" t="n">
        <v>3</v>
      </c>
      <c r="D84" s="1" t="n">
        <v>1.2594</v>
      </c>
      <c r="E84" s="1" t="n">
        <v>0.107971</v>
      </c>
      <c r="F84" s="1" t="n">
        <v>0.000310344</v>
      </c>
      <c r="G84" s="1" t="s">
        <v>37</v>
      </c>
      <c r="H84" s="1" t="n">
        <v>33.7</v>
      </c>
      <c r="I84" s="1" t="n">
        <v>36.2</v>
      </c>
      <c r="J84" s="1" t="n">
        <v>-29.5</v>
      </c>
      <c r="K84" s="1" t="n">
        <v>78.4</v>
      </c>
      <c r="L84" s="1" t="n">
        <v>0</v>
      </c>
      <c r="M84" s="1" t="n">
        <v>0</v>
      </c>
      <c r="N84" s="1" t="s">
        <v>134</v>
      </c>
      <c r="O84" s="1"/>
      <c r="P84" s="1"/>
      <c r="Q84" s="1"/>
      <c r="R84" s="1"/>
      <c r="S84" s="1"/>
      <c r="T84" s="1"/>
      <c r="U84" s="1"/>
      <c r="V84" s="1"/>
      <c r="W84" s="1"/>
      <c r="X84" s="1"/>
      <c r="Z84" s="0" t="n">
        <f aca="false">I84+65</f>
        <v>101.2</v>
      </c>
      <c r="AB84" s="0" t="n">
        <f aca="false">IF(Z84&gt;360,Z84-360,Z84+0)</f>
        <v>101.2</v>
      </c>
    </row>
    <row r="85" customFormat="false" ht="15.8" hidden="false" customHeight="false" outlineLevel="0" collapsed="false">
      <c r="A85" s="1" t="n">
        <v>1</v>
      </c>
      <c r="B85" s="1" t="n">
        <v>10</v>
      </c>
      <c r="C85" s="1" t="n">
        <v>1</v>
      </c>
      <c r="D85" s="1" t="n">
        <v>1.084</v>
      </c>
      <c r="E85" s="1" t="n">
        <v>0.0345441</v>
      </c>
      <c r="F85" s="1" t="n">
        <v>9.92913E-005</v>
      </c>
      <c r="G85" s="1" t="s">
        <v>37</v>
      </c>
      <c r="H85" s="1" t="n">
        <v>84.7</v>
      </c>
      <c r="I85" s="1" t="n">
        <v>23</v>
      </c>
      <c r="J85" s="1" t="n">
        <v>-62.1</v>
      </c>
      <c r="K85" s="1" t="n">
        <v>112</v>
      </c>
      <c r="L85" s="1" t="n">
        <v>0</v>
      </c>
      <c r="M85" s="1" t="n">
        <v>0</v>
      </c>
      <c r="N85" s="1" t="s">
        <v>133</v>
      </c>
      <c r="O85" s="1"/>
      <c r="P85" s="1"/>
      <c r="Q85" s="1"/>
      <c r="R85" s="1"/>
      <c r="S85" s="1"/>
      <c r="T85" s="1"/>
      <c r="U85" s="1"/>
      <c r="V85" s="1"/>
      <c r="W85" s="1"/>
      <c r="X85" s="1"/>
      <c r="Z85" s="0" t="n">
        <f aca="false">I85+65</f>
        <v>88</v>
      </c>
      <c r="AB85" s="0" t="n">
        <f aca="false">IF(Z85&gt;360,Z85-360,Z85+0)</f>
        <v>88</v>
      </c>
    </row>
    <row r="86" customFormat="false" ht="15.8" hidden="false" customHeight="false" outlineLevel="0" collapsed="false">
      <c r="A86" s="1" t="n">
        <v>1</v>
      </c>
      <c r="B86" s="1" t="n">
        <v>11</v>
      </c>
      <c r="C86" s="1" t="n">
        <v>2.9</v>
      </c>
      <c r="D86" s="1" t="n">
        <v>1.1097</v>
      </c>
      <c r="E86" s="1" t="n">
        <v>0.103928</v>
      </c>
      <c r="F86" s="1" t="n">
        <v>0.000298723</v>
      </c>
      <c r="G86" s="1" t="s">
        <v>27</v>
      </c>
      <c r="H86" s="1" t="n">
        <v>62.4</v>
      </c>
      <c r="I86" s="1" t="n">
        <v>148.9</v>
      </c>
      <c r="J86" s="1" t="n">
        <v>8.7</v>
      </c>
      <c r="K86" s="1"/>
      <c r="L86" s="1" t="n">
        <v>0</v>
      </c>
      <c r="M86" s="1" t="n">
        <v>0</v>
      </c>
      <c r="N86" s="1" t="s">
        <v>140</v>
      </c>
      <c r="O86" s="1"/>
      <c r="P86" s="1"/>
      <c r="Q86" s="1"/>
      <c r="R86" s="1"/>
      <c r="S86" s="1"/>
      <c r="T86" s="1"/>
      <c r="U86" s="1"/>
      <c r="V86" s="1"/>
      <c r="W86" s="1"/>
      <c r="X86" s="1"/>
      <c r="Z86" s="0" t="n">
        <f aca="false">I86+65</f>
        <v>213.9</v>
      </c>
      <c r="AB86" s="0" t="n">
        <f aca="false">IF(Z86&gt;360,Z86-360,Z86+0)</f>
        <v>213.9</v>
      </c>
    </row>
    <row r="87" customFormat="false" ht="15.8" hidden="false" customHeight="false" outlineLevel="0" collapsed="false">
      <c r="A87" s="1" t="n">
        <v>1</v>
      </c>
      <c r="B87" s="1" t="n">
        <v>14</v>
      </c>
      <c r="C87" s="1" t="n">
        <v>0.5</v>
      </c>
      <c r="D87" s="1" t="n">
        <v>1.0226</v>
      </c>
      <c r="E87" s="1" t="n">
        <v>0.0183398</v>
      </c>
      <c r="F87" s="1" t="n">
        <v>5.27148E-005</v>
      </c>
      <c r="G87" s="1" t="s">
        <v>27</v>
      </c>
      <c r="H87" s="1" t="n">
        <v>62</v>
      </c>
      <c r="I87" s="1" t="n">
        <v>5.3</v>
      </c>
      <c r="J87" s="1" t="n">
        <v>0</v>
      </c>
      <c r="K87" s="1"/>
      <c r="L87" s="1" t="n">
        <v>0</v>
      </c>
      <c r="M87" s="1" t="n">
        <v>0</v>
      </c>
      <c r="N87" s="1" t="s">
        <v>141</v>
      </c>
      <c r="O87" s="1"/>
      <c r="P87" s="1"/>
      <c r="Q87" s="1"/>
      <c r="R87" s="1"/>
      <c r="S87" s="1"/>
      <c r="T87" s="1"/>
      <c r="U87" s="1"/>
      <c r="V87" s="1"/>
      <c r="W87" s="1"/>
      <c r="X87" s="1"/>
      <c r="Z87" s="0" t="n">
        <f aca="false">I87+65</f>
        <v>70.3</v>
      </c>
      <c r="AB87" s="0" t="n">
        <f aca="false">IF(Z87&gt;360,Z87-360,Z87+0)</f>
        <v>70.3</v>
      </c>
    </row>
    <row r="88" customFormat="false" ht="15.8" hidden="false" customHeight="false" outlineLevel="0" collapsed="false">
      <c r="A88" s="1" t="n">
        <v>1</v>
      </c>
      <c r="B88" s="1" t="n">
        <v>15</v>
      </c>
      <c r="C88" s="1" t="n">
        <v>0.9</v>
      </c>
      <c r="D88" s="1" t="n">
        <v>1.1752</v>
      </c>
      <c r="E88" s="1" t="n">
        <v>0.0330736</v>
      </c>
      <c r="F88" s="1" t="n">
        <v>9.50644E-005</v>
      </c>
      <c r="G88" s="1" t="s">
        <v>27</v>
      </c>
      <c r="H88" s="1" t="n">
        <v>112.7</v>
      </c>
      <c r="I88" s="1" t="n">
        <v>60.4</v>
      </c>
      <c r="J88" s="1" t="n">
        <v>-30</v>
      </c>
      <c r="K88" s="1"/>
      <c r="L88" s="1" t="n">
        <v>0</v>
      </c>
      <c r="M88" s="1" t="n">
        <v>0</v>
      </c>
      <c r="N88" s="1" t="s">
        <v>142</v>
      </c>
      <c r="O88" s="1"/>
      <c r="P88" s="1"/>
      <c r="Q88" s="1"/>
      <c r="R88" s="1"/>
      <c r="S88" s="1"/>
      <c r="T88" s="1"/>
      <c r="U88" s="1"/>
      <c r="V88" s="1"/>
      <c r="W88" s="1"/>
      <c r="X88" s="1"/>
      <c r="Z88" s="0" t="n">
        <f aca="false">I88+65</f>
        <v>125.4</v>
      </c>
      <c r="AB88" s="0" t="n">
        <f aca="false">IF(Z88&gt;360,Z88-360,Z88+0)</f>
        <v>125.4</v>
      </c>
    </row>
    <row r="89" customFormat="false" ht="15.8" hidden="false" customHeight="false" outlineLevel="0" collapsed="false">
      <c r="A89" s="1" t="n">
        <v>1</v>
      </c>
      <c r="B89" s="1" t="n">
        <v>16</v>
      </c>
      <c r="C89" s="1" t="n">
        <v>0.6</v>
      </c>
      <c r="D89" s="1" t="n">
        <v>1.0015</v>
      </c>
      <c r="E89" s="1" t="n">
        <v>0.0229076</v>
      </c>
      <c r="F89" s="1" t="n">
        <v>6.58441E-005</v>
      </c>
      <c r="G89" s="1" t="s">
        <v>27</v>
      </c>
      <c r="H89" s="1" t="n">
        <v>80.2</v>
      </c>
      <c r="I89" s="1" t="n">
        <v>176.9</v>
      </c>
      <c r="J89" s="1" t="n">
        <v>0</v>
      </c>
      <c r="K89" s="1"/>
      <c r="L89" s="1" t="n">
        <v>0</v>
      </c>
      <c r="M89" s="1" t="n">
        <v>0</v>
      </c>
      <c r="N89" s="1" t="s">
        <v>143</v>
      </c>
      <c r="O89" s="1"/>
      <c r="P89" s="1"/>
      <c r="Q89" s="1"/>
      <c r="R89" s="1"/>
      <c r="S89" s="1"/>
      <c r="T89" s="1"/>
      <c r="U89" s="1"/>
      <c r="V89" s="1"/>
      <c r="W89" s="1"/>
      <c r="X89" s="1"/>
      <c r="Z89" s="0" t="n">
        <f aca="false">I89+65</f>
        <v>241.9</v>
      </c>
      <c r="AB89" s="0" t="n">
        <f aca="false">IF(Z89&gt;360,Z89-360,Z89+0)</f>
        <v>241.9</v>
      </c>
    </row>
    <row r="90" customFormat="false" ht="15.8" hidden="false" customHeight="false" outlineLevel="0" collapsed="false">
      <c r="A90" s="1" t="n">
        <v>1</v>
      </c>
      <c r="B90" s="1" t="n">
        <v>16</v>
      </c>
      <c r="C90" s="1" t="n">
        <v>1.4</v>
      </c>
      <c r="D90" s="1" t="n">
        <v>1.3216</v>
      </c>
      <c r="E90" s="1" t="n">
        <v>0.0500998</v>
      </c>
      <c r="F90" s="1" t="n">
        <v>0.000144003</v>
      </c>
      <c r="G90" s="1" t="s">
        <v>27</v>
      </c>
      <c r="H90" s="1" t="n">
        <v>37.3</v>
      </c>
      <c r="I90" s="1" t="n">
        <v>272.8</v>
      </c>
      <c r="J90" s="1" t="n">
        <v>-48</v>
      </c>
      <c r="K90" s="1"/>
      <c r="L90" s="1" t="n">
        <v>0</v>
      </c>
      <c r="M90" s="1" t="n">
        <v>0</v>
      </c>
      <c r="N90" s="1" t="s">
        <v>143</v>
      </c>
      <c r="O90" s="1"/>
      <c r="P90" s="1"/>
      <c r="Q90" s="1"/>
      <c r="R90" s="1"/>
      <c r="S90" s="1"/>
      <c r="T90" s="1"/>
      <c r="U90" s="1"/>
      <c r="V90" s="1"/>
      <c r="W90" s="1"/>
      <c r="X90" s="1"/>
      <c r="Z90" s="0" t="n">
        <f aca="false">I90+65</f>
        <v>337.8</v>
      </c>
      <c r="AB90" s="0" t="n">
        <f aca="false">IF(Z90&gt;360,Z90-360,Z90+0)</f>
        <v>337.8</v>
      </c>
    </row>
    <row r="91" customFormat="false" ht="15.8" hidden="false" customHeight="false" outlineLevel="0" collapsed="false">
      <c r="A91" s="1" t="n">
        <v>1</v>
      </c>
      <c r="B91" s="1" t="n">
        <v>17</v>
      </c>
      <c r="C91" s="1" t="n">
        <v>0.4</v>
      </c>
      <c r="D91" s="1" t="n">
        <v>1.0827</v>
      </c>
      <c r="E91" s="1" t="n">
        <v>0.0155307</v>
      </c>
      <c r="F91" s="1" t="n">
        <v>4.46403E-005</v>
      </c>
      <c r="G91" s="1" t="s">
        <v>27</v>
      </c>
      <c r="H91" s="1" t="n">
        <v>48.4</v>
      </c>
      <c r="I91" s="1" t="n">
        <v>337.9</v>
      </c>
      <c r="J91" s="1" t="n">
        <v>0</v>
      </c>
      <c r="K91" s="1"/>
      <c r="L91" s="1" t="n">
        <v>0</v>
      </c>
      <c r="M91" s="1" t="n">
        <v>0</v>
      </c>
      <c r="N91" s="1" t="s">
        <v>144</v>
      </c>
      <c r="O91" s="1"/>
      <c r="P91" s="1"/>
      <c r="Q91" s="1"/>
      <c r="R91" s="1"/>
      <c r="S91" s="1"/>
      <c r="T91" s="1"/>
      <c r="U91" s="1"/>
      <c r="V91" s="1"/>
      <c r="W91" s="1"/>
      <c r="X91" s="1"/>
      <c r="Z91" s="0" t="n">
        <f aca="false">I91+65</f>
        <v>402.9</v>
      </c>
      <c r="AB91" s="0" t="n">
        <f aca="false">IF(Z91&gt;360,Z91-360,Z91+0)</f>
        <v>42.9</v>
      </c>
    </row>
    <row r="92" customFormat="false" ht="15.8" hidden="false" customHeight="false" outlineLevel="0" collapsed="false">
      <c r="A92" s="1" t="n">
        <v>1</v>
      </c>
      <c r="B92" s="1" t="n">
        <v>17</v>
      </c>
      <c r="C92" s="1" t="n">
        <v>0.5</v>
      </c>
      <c r="D92" s="1" t="n">
        <v>1.0043</v>
      </c>
      <c r="E92" s="1" t="n">
        <v>0.0166882</v>
      </c>
      <c r="F92" s="1" t="n">
        <v>4.79674E-005</v>
      </c>
      <c r="G92" s="1" t="s">
        <v>27</v>
      </c>
      <c r="H92" s="1" t="n">
        <v>61.2</v>
      </c>
      <c r="I92" s="1" t="n">
        <v>268.6</v>
      </c>
      <c r="J92" s="1" t="n">
        <v>0</v>
      </c>
      <c r="K92" s="1"/>
      <c r="L92" s="1" t="n">
        <v>0</v>
      </c>
      <c r="M92" s="1" t="n">
        <v>0</v>
      </c>
      <c r="N92" s="1" t="s">
        <v>144</v>
      </c>
      <c r="O92" s="1"/>
      <c r="P92" s="1"/>
      <c r="Q92" s="1"/>
      <c r="R92" s="1"/>
      <c r="S92" s="1"/>
      <c r="T92" s="1"/>
      <c r="U92" s="1"/>
      <c r="V92" s="1"/>
      <c r="W92" s="1"/>
      <c r="X92" s="1"/>
      <c r="Z92" s="0" t="n">
        <f aca="false">I92+65</f>
        <v>333.6</v>
      </c>
      <c r="AB92" s="0" t="n">
        <f aca="false">IF(Z92&gt;360,Z92-360,Z92+0)</f>
        <v>333.6</v>
      </c>
    </row>
    <row r="93" customFormat="false" ht="15.8" hidden="false" customHeight="false" outlineLevel="0" collapsed="false">
      <c r="A93" s="1" t="n">
        <v>1</v>
      </c>
      <c r="B93" s="1" t="n">
        <v>16</v>
      </c>
      <c r="C93" s="1" t="n">
        <v>0.7</v>
      </c>
      <c r="D93" s="1" t="n">
        <v>1.2429</v>
      </c>
      <c r="E93" s="1" t="n">
        <v>0.02503</v>
      </c>
      <c r="F93" s="1" t="n">
        <v>7.19446E-005</v>
      </c>
      <c r="G93" s="1" t="s">
        <v>37</v>
      </c>
      <c r="H93" s="1" t="n">
        <v>78.7</v>
      </c>
      <c r="I93" s="1" t="n">
        <v>316.2</v>
      </c>
      <c r="J93" s="1" t="n">
        <v>44.4</v>
      </c>
      <c r="K93" s="1" t="n">
        <v>61.2</v>
      </c>
      <c r="L93" s="1" t="n">
        <v>0</v>
      </c>
      <c r="M93" s="1" t="n">
        <v>0</v>
      </c>
      <c r="N93" s="1" t="s">
        <v>143</v>
      </c>
      <c r="O93" s="1"/>
      <c r="P93" s="1"/>
      <c r="Q93" s="1"/>
      <c r="R93" s="1"/>
      <c r="S93" s="1"/>
      <c r="T93" s="1"/>
      <c r="U93" s="1"/>
      <c r="V93" s="1"/>
      <c r="W93" s="1"/>
      <c r="X93" s="1"/>
      <c r="Z93" s="0" t="n">
        <f aca="false">I93+65</f>
        <v>381.2</v>
      </c>
      <c r="AB93" s="0" t="n">
        <f aca="false">IF(Z93&gt;360,Z93-360,Z93+0)</f>
        <v>21.2</v>
      </c>
    </row>
    <row r="94" customFormat="false" ht="15.8" hidden="false" customHeight="false" outlineLevel="0" collapsed="false">
      <c r="A94" s="1" t="n">
        <v>1</v>
      </c>
      <c r="B94" s="1" t="n">
        <v>15</v>
      </c>
      <c r="C94" s="1" t="n">
        <v>1.9</v>
      </c>
      <c r="D94" s="1" t="n">
        <v>1.1108</v>
      </c>
      <c r="E94" s="1" t="n">
        <v>0.0686082</v>
      </c>
      <c r="F94" s="1" t="n">
        <v>0.000197203</v>
      </c>
      <c r="G94" s="1" t="s">
        <v>37</v>
      </c>
      <c r="H94" s="1" t="n">
        <v>28.2</v>
      </c>
      <c r="I94" s="1" t="n">
        <v>256.8</v>
      </c>
      <c r="J94" s="1" t="n">
        <v>-13.2</v>
      </c>
      <c r="K94" s="1" t="n">
        <v>80.2</v>
      </c>
      <c r="L94" s="1" t="n">
        <v>0</v>
      </c>
      <c r="M94" s="1" t="n">
        <v>0</v>
      </c>
      <c r="N94" s="1" t="s">
        <v>142</v>
      </c>
      <c r="O94" s="1"/>
      <c r="P94" s="1"/>
      <c r="Q94" s="1"/>
      <c r="R94" s="1"/>
      <c r="S94" s="1"/>
      <c r="T94" s="1"/>
      <c r="U94" s="1"/>
      <c r="V94" s="1"/>
      <c r="W94" s="1"/>
      <c r="X94" s="1"/>
      <c r="Z94" s="0" t="n">
        <f aca="false">I94+65</f>
        <v>321.8</v>
      </c>
      <c r="AB94" s="0" t="n">
        <f aca="false">IF(Z94&gt;360,Z94-360,Z94+0)</f>
        <v>321.8</v>
      </c>
    </row>
    <row r="95" customFormat="false" ht="15.8" hidden="false" customHeight="false" outlineLevel="0" collapsed="false">
      <c r="A95" s="1" t="n">
        <v>1</v>
      </c>
      <c r="B95" s="1" t="n">
        <v>14</v>
      </c>
      <c r="C95" s="1" t="n">
        <v>1.3</v>
      </c>
      <c r="D95" s="1" t="n">
        <v>1.2094</v>
      </c>
      <c r="E95" s="1" t="n">
        <v>0.0459168</v>
      </c>
      <c r="F95" s="1" t="n">
        <v>0.00013198</v>
      </c>
      <c r="G95" s="1" t="s">
        <v>37</v>
      </c>
      <c r="H95" s="1" t="n">
        <v>28.1</v>
      </c>
      <c r="I95" s="1" t="n">
        <v>285</v>
      </c>
      <c r="J95" s="1" t="n">
        <v>-21.8</v>
      </c>
      <c r="K95" s="1" t="n">
        <v>112.7</v>
      </c>
      <c r="L95" s="1" t="n">
        <v>0</v>
      </c>
      <c r="M95" s="1" t="n">
        <v>0</v>
      </c>
      <c r="N95" s="1" t="s">
        <v>141</v>
      </c>
      <c r="O95" s="1"/>
      <c r="P95" s="1"/>
      <c r="Q95" s="1"/>
      <c r="R95" s="1"/>
      <c r="S95" s="1"/>
      <c r="T95" s="1"/>
      <c r="U95" s="1"/>
      <c r="V95" s="1"/>
      <c r="W95" s="1"/>
      <c r="X95" s="1"/>
      <c r="Z95" s="0" t="n">
        <f aca="false">I95+65</f>
        <v>350</v>
      </c>
      <c r="AB95" s="0" t="n">
        <f aca="false">IF(Z95&gt;360,Z95-360,Z95+0)</f>
        <v>350</v>
      </c>
    </row>
    <row r="96" customFormat="false" ht="15.8" hidden="false" customHeight="false" outlineLevel="0" collapsed="false">
      <c r="A96" s="1" t="n">
        <v>1</v>
      </c>
      <c r="B96" s="1" t="n">
        <v>13</v>
      </c>
      <c r="C96" s="1" t="n">
        <v>0.4</v>
      </c>
      <c r="D96" s="1" t="n">
        <v>1.0197</v>
      </c>
      <c r="E96" s="1" t="n">
        <v>0.0162099</v>
      </c>
      <c r="F96" s="1" t="n">
        <v>4.65926E-005</v>
      </c>
      <c r="G96" s="1" t="s">
        <v>37</v>
      </c>
      <c r="H96" s="1" t="n">
        <v>69.6</v>
      </c>
      <c r="I96" s="1" t="n">
        <v>303.3</v>
      </c>
      <c r="J96" s="1" t="n">
        <v>0</v>
      </c>
      <c r="K96" s="1" t="n">
        <v>62</v>
      </c>
      <c r="L96" s="1" t="n">
        <v>0</v>
      </c>
      <c r="M96" s="1" t="n">
        <v>0</v>
      </c>
      <c r="N96" s="1" t="s">
        <v>145</v>
      </c>
      <c r="O96" s="1"/>
      <c r="P96" s="1"/>
      <c r="Q96" s="1"/>
      <c r="R96" s="1"/>
      <c r="S96" s="1"/>
      <c r="T96" s="1"/>
      <c r="U96" s="1"/>
      <c r="V96" s="1"/>
      <c r="W96" s="1"/>
      <c r="X96" s="1"/>
      <c r="Z96" s="0" t="n">
        <f aca="false">I96+65</f>
        <v>368.3</v>
      </c>
      <c r="AB96" s="0" t="n">
        <f aca="false">IF(Z96&gt;360,Z96-360,Z96+0)</f>
        <v>8.30000000000001</v>
      </c>
    </row>
    <row r="97" customFormat="false" ht="15.8" hidden="false" customHeight="false" outlineLevel="0" collapsed="false">
      <c r="A97" s="1" t="n">
        <v>1</v>
      </c>
      <c r="B97" s="1" t="n">
        <v>14</v>
      </c>
      <c r="C97" s="1" t="n">
        <v>2.1</v>
      </c>
      <c r="D97" s="1" t="n">
        <v>1.3507</v>
      </c>
      <c r="E97" s="1" t="n">
        <v>0.0752305</v>
      </c>
      <c r="F97" s="1" t="n">
        <v>0.000216238</v>
      </c>
      <c r="G97" s="1" t="s">
        <v>27</v>
      </c>
      <c r="H97" s="1" t="n">
        <v>33.4</v>
      </c>
      <c r="I97" s="1" t="n">
        <v>67.6</v>
      </c>
      <c r="J97" s="1" t="n">
        <v>30.4</v>
      </c>
      <c r="K97" s="1"/>
      <c r="L97" s="1" t="n">
        <v>0</v>
      </c>
      <c r="M97" s="1" t="n">
        <v>0</v>
      </c>
      <c r="N97" s="1" t="s">
        <v>146</v>
      </c>
      <c r="O97" s="1"/>
      <c r="P97" s="1"/>
      <c r="Q97" s="1"/>
      <c r="R97" s="1"/>
      <c r="S97" s="1"/>
      <c r="T97" s="1"/>
      <c r="U97" s="1"/>
      <c r="V97" s="1"/>
      <c r="W97" s="1"/>
      <c r="X97" s="1"/>
      <c r="Z97" s="0" t="n">
        <f aca="false">I97+65</f>
        <v>132.6</v>
      </c>
      <c r="AB97" s="0" t="n">
        <f aca="false">IF(Z97&gt;360,Z97-360,Z97+0)</f>
        <v>132.6</v>
      </c>
    </row>
    <row r="98" customFormat="false" ht="15.8" hidden="false" customHeight="false" outlineLevel="0" collapsed="false">
      <c r="A98" s="1" t="n">
        <v>1</v>
      </c>
      <c r="B98" s="1" t="n">
        <v>15</v>
      </c>
      <c r="C98" s="1" t="n">
        <v>2.2</v>
      </c>
      <c r="D98" s="1" t="n">
        <v>1.5421</v>
      </c>
      <c r="E98" s="1" t="n">
        <v>0.0781196</v>
      </c>
      <c r="F98" s="1" t="n">
        <v>0.000224542</v>
      </c>
      <c r="G98" s="1" t="s">
        <v>27</v>
      </c>
      <c r="H98" s="1" t="n">
        <v>72.7</v>
      </c>
      <c r="I98" s="1" t="n">
        <v>206.3</v>
      </c>
      <c r="J98" s="1" t="n">
        <v>16.1</v>
      </c>
      <c r="K98" s="1"/>
      <c r="L98" s="1" t="n">
        <v>0</v>
      </c>
      <c r="M98" s="1" t="n">
        <v>0</v>
      </c>
      <c r="N98" s="1" t="s">
        <v>147</v>
      </c>
      <c r="O98" s="1"/>
      <c r="P98" s="1"/>
      <c r="Q98" s="1"/>
      <c r="R98" s="1"/>
      <c r="S98" s="1"/>
      <c r="T98" s="1"/>
      <c r="U98" s="1"/>
      <c r="V98" s="1"/>
      <c r="W98" s="1"/>
      <c r="X98" s="1"/>
      <c r="Z98" s="0" t="n">
        <f aca="false">I98+65</f>
        <v>271.3</v>
      </c>
      <c r="AB98" s="0" t="n">
        <f aca="false">IF(Z98&gt;360,Z98-360,Z98+0)</f>
        <v>271.3</v>
      </c>
    </row>
    <row r="99" customFormat="false" ht="15.8" hidden="false" customHeight="false" outlineLevel="0" collapsed="false">
      <c r="A99" s="1" t="n">
        <v>1</v>
      </c>
      <c r="B99" s="1" t="n">
        <v>15</v>
      </c>
      <c r="C99" s="1" t="n">
        <v>3.7</v>
      </c>
      <c r="D99" s="1" t="n">
        <v>1.2787</v>
      </c>
      <c r="E99" s="1" t="n">
        <v>0.135049</v>
      </c>
      <c r="F99" s="1" t="n">
        <v>0.000388176</v>
      </c>
      <c r="G99" s="1" t="s">
        <v>27</v>
      </c>
      <c r="H99" s="1" t="n">
        <v>72.1</v>
      </c>
      <c r="I99" s="1" t="n">
        <v>92.4</v>
      </c>
      <c r="J99" s="1" t="n">
        <v>-23.6</v>
      </c>
      <c r="K99" s="1"/>
      <c r="L99" s="1" t="n">
        <v>0</v>
      </c>
      <c r="M99" s="1" t="n">
        <v>0</v>
      </c>
      <c r="N99" s="1" t="s">
        <v>147</v>
      </c>
      <c r="O99" s="1"/>
      <c r="P99" s="1"/>
      <c r="Q99" s="1"/>
      <c r="R99" s="1"/>
      <c r="S99" s="1"/>
      <c r="T99" s="1"/>
      <c r="U99" s="1"/>
      <c r="V99" s="1"/>
      <c r="W99" s="1"/>
      <c r="X99" s="1"/>
      <c r="Z99" s="0" t="n">
        <f aca="false">I99+65</f>
        <v>157.4</v>
      </c>
      <c r="AB99" s="0" t="n">
        <f aca="false">IF(Z99&gt;360,Z99-360,Z99+0)</f>
        <v>157.4</v>
      </c>
    </row>
    <row r="100" customFormat="false" ht="15.8" hidden="false" customHeight="false" outlineLevel="0" collapsed="false">
      <c r="A100" s="1" t="n">
        <v>1</v>
      </c>
      <c r="B100" s="1" t="n">
        <v>14</v>
      </c>
      <c r="C100" s="1" t="n">
        <v>1.3</v>
      </c>
      <c r="D100" s="1" t="n">
        <v>1.1283</v>
      </c>
      <c r="E100" s="1" t="n">
        <v>0.0477441</v>
      </c>
      <c r="F100" s="1" t="n">
        <v>0.000137233</v>
      </c>
      <c r="G100" s="1" t="s">
        <v>37</v>
      </c>
      <c r="H100" s="1" t="n">
        <v>20.8</v>
      </c>
      <c r="I100" s="1" t="n">
        <v>125.4</v>
      </c>
      <c r="J100" s="1" t="n">
        <v>41.7</v>
      </c>
      <c r="K100" s="1" t="n">
        <v>72.7</v>
      </c>
      <c r="L100" s="1" t="n">
        <v>0</v>
      </c>
      <c r="M100" s="1" t="n">
        <v>0</v>
      </c>
      <c r="N100" s="1" t="s">
        <v>146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Z100" s="0" t="n">
        <f aca="false">I100+65</f>
        <v>190.4</v>
      </c>
      <c r="AB100" s="0" t="n">
        <f aca="false">IF(Z100&gt;360,Z100-360,Z100+0)</f>
        <v>190.4</v>
      </c>
    </row>
    <row r="101" customFormat="false" ht="15.8" hidden="false" customHeight="false" outlineLevel="0" collapsed="false">
      <c r="A101" s="1" t="n">
        <v>1</v>
      </c>
      <c r="B101" s="1" t="n">
        <v>13</v>
      </c>
      <c r="C101" s="1" t="n">
        <v>2</v>
      </c>
      <c r="D101" s="1" t="n">
        <v>1.1941</v>
      </c>
      <c r="E101" s="1" t="n">
        <v>0.071363</v>
      </c>
      <c r="F101" s="1" t="n">
        <v>0.000205121</v>
      </c>
      <c r="G101" s="1" t="s">
        <v>37</v>
      </c>
      <c r="H101" s="1" t="n">
        <v>86.2</v>
      </c>
      <c r="I101" s="1" t="n">
        <v>106</v>
      </c>
      <c r="J101" s="1" t="n">
        <v>28.1</v>
      </c>
      <c r="K101" s="1" t="n">
        <v>33.4</v>
      </c>
      <c r="L101" s="1" t="n">
        <v>0</v>
      </c>
      <c r="M101" s="1" t="n">
        <v>0</v>
      </c>
      <c r="N101" s="1" t="s">
        <v>145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Z101" s="0" t="n">
        <f aca="false">I101+65</f>
        <v>171</v>
      </c>
      <c r="AB101" s="0" t="n">
        <f aca="false">IF(Z101&gt;360,Z101-360,Z101+0)</f>
        <v>171</v>
      </c>
    </row>
    <row r="102" customFormat="false" ht="15.8" hidden="false" customHeight="false" outlineLevel="0" collapsed="false">
      <c r="A102" s="1" t="n">
        <v>1</v>
      </c>
      <c r="B102" s="1" t="n">
        <v>12</v>
      </c>
      <c r="C102" s="1" t="n">
        <v>2</v>
      </c>
      <c r="D102" s="1" t="n">
        <v>1.3882</v>
      </c>
      <c r="E102" s="1" t="n">
        <v>0.0739766</v>
      </c>
      <c r="F102" s="1" t="n">
        <v>0.000212633</v>
      </c>
      <c r="G102" s="1" t="s">
        <v>37</v>
      </c>
      <c r="H102" s="1" t="n">
        <v>54</v>
      </c>
      <c r="I102" s="1" t="n">
        <v>12.1</v>
      </c>
      <c r="J102" s="1" t="n">
        <v>15.3</v>
      </c>
      <c r="K102" s="1" t="n">
        <v>86.2</v>
      </c>
      <c r="L102" s="1" t="n">
        <v>0</v>
      </c>
      <c r="M102" s="1" t="n">
        <v>0</v>
      </c>
      <c r="N102" s="1" t="s">
        <v>148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Z102" s="0" t="n">
        <f aca="false">I102+65</f>
        <v>77.1</v>
      </c>
      <c r="AB102" s="0" t="n">
        <f aca="false">IF(Z102&gt;360,Z102-360,Z102+0)</f>
        <v>77.1</v>
      </c>
    </row>
    <row r="103" customFormat="false" ht="15.8" hidden="false" customHeight="false" outlineLevel="0" collapsed="false">
      <c r="A103" s="1" t="n">
        <v>1</v>
      </c>
      <c r="B103" s="1" t="n">
        <v>14</v>
      </c>
      <c r="C103" s="1" t="n">
        <v>1.1</v>
      </c>
      <c r="D103" s="1" t="n">
        <v>1.2799</v>
      </c>
      <c r="E103" s="1" t="n">
        <v>0.0393197</v>
      </c>
      <c r="F103" s="1" t="n">
        <v>0.000113018</v>
      </c>
      <c r="G103" s="1" t="s">
        <v>27</v>
      </c>
      <c r="H103" s="1" t="n">
        <v>89.7</v>
      </c>
      <c r="I103" s="1" t="n">
        <v>296.2</v>
      </c>
      <c r="J103" s="1" t="n">
        <v>-27.3</v>
      </c>
      <c r="K103" s="1"/>
      <c r="L103" s="1" t="n">
        <v>0</v>
      </c>
      <c r="M103" s="1" t="n">
        <v>0</v>
      </c>
      <c r="N103" s="1" t="s">
        <v>149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Z103" s="0" t="n">
        <f aca="false">I103+65</f>
        <v>361.2</v>
      </c>
      <c r="AB103" s="0" t="n">
        <f aca="false">IF(Z103&gt;360,Z103-360,Z103+0)</f>
        <v>1.19999999999999</v>
      </c>
    </row>
    <row r="104" customFormat="false" ht="15.8" hidden="false" customHeight="false" outlineLevel="0" collapsed="false">
      <c r="A104" s="1" t="n">
        <v>1</v>
      </c>
      <c r="B104" s="1" t="n">
        <v>15</v>
      </c>
      <c r="C104" s="1" t="n">
        <v>3.7</v>
      </c>
      <c r="D104" s="1" t="n">
        <v>1.2481</v>
      </c>
      <c r="E104" s="1" t="n">
        <v>0.132038</v>
      </c>
      <c r="F104" s="1" t="n">
        <v>0.000379521</v>
      </c>
      <c r="G104" s="1" t="s">
        <v>27</v>
      </c>
      <c r="H104" s="1" t="n">
        <v>62.1</v>
      </c>
      <c r="I104" s="1" t="n">
        <v>343.4</v>
      </c>
      <c r="J104" s="1" t="n">
        <v>-7.7</v>
      </c>
      <c r="K104" s="1"/>
      <c r="L104" s="1" t="n">
        <v>0</v>
      </c>
      <c r="M104" s="1" t="n">
        <v>0</v>
      </c>
      <c r="N104" s="1" t="s">
        <v>150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Z104" s="0" t="n">
        <f aca="false">I104+65</f>
        <v>408.4</v>
      </c>
      <c r="AB104" s="0" t="n">
        <f aca="false">IF(Z104&gt;360,Z104-360,Z104+0)</f>
        <v>48.4</v>
      </c>
    </row>
    <row r="105" customFormat="false" ht="15.8" hidden="false" customHeight="false" outlineLevel="0" collapsed="false">
      <c r="A105" s="1" t="n">
        <v>1</v>
      </c>
      <c r="B105" s="1" t="n">
        <v>15</v>
      </c>
      <c r="C105" s="1" t="n">
        <v>4.4</v>
      </c>
      <c r="D105" s="1" t="n">
        <v>1.3219</v>
      </c>
      <c r="E105" s="1" t="n">
        <v>0.157498</v>
      </c>
      <c r="F105" s="1" t="n">
        <v>0.000452701</v>
      </c>
      <c r="G105" s="1" t="s">
        <v>27</v>
      </c>
      <c r="H105" s="1" t="n">
        <v>54.8</v>
      </c>
      <c r="I105" s="1" t="n">
        <v>57.9</v>
      </c>
      <c r="J105" s="1" t="n">
        <v>36.2</v>
      </c>
      <c r="K105" s="1"/>
      <c r="L105" s="1" t="n">
        <v>0</v>
      </c>
      <c r="M105" s="1" t="n">
        <v>0</v>
      </c>
      <c r="N105" s="1" t="s">
        <v>150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Z105" s="0" t="n">
        <f aca="false">I105+65</f>
        <v>122.9</v>
      </c>
      <c r="AB105" s="0" t="n">
        <f aca="false">IF(Z105&gt;360,Z105-360,Z105+0)</f>
        <v>122.9</v>
      </c>
    </row>
    <row r="106" customFormat="false" ht="15.8" hidden="false" customHeight="false" outlineLevel="0" collapsed="false">
      <c r="A106" s="1" t="n">
        <v>1</v>
      </c>
      <c r="B106" s="1" t="n">
        <v>14</v>
      </c>
      <c r="C106" s="1" t="n">
        <v>1.5</v>
      </c>
      <c r="D106" s="1" t="n">
        <v>1.1765</v>
      </c>
      <c r="E106" s="1" t="n">
        <v>0.0550829</v>
      </c>
      <c r="F106" s="1" t="n">
        <v>0.000158327</v>
      </c>
      <c r="G106" s="1" t="s">
        <v>37</v>
      </c>
      <c r="H106" s="1" t="n">
        <v>25.9</v>
      </c>
      <c r="I106" s="1" t="n">
        <v>46.5</v>
      </c>
      <c r="J106" s="1" t="n">
        <v>-17.5</v>
      </c>
      <c r="K106" s="1" t="n">
        <v>62.1</v>
      </c>
      <c r="L106" s="1" t="n">
        <v>0</v>
      </c>
      <c r="M106" s="1" t="n">
        <v>0</v>
      </c>
      <c r="N106" s="1" t="s">
        <v>149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Z106" s="0" t="n">
        <f aca="false">I106+65</f>
        <v>111.5</v>
      </c>
      <c r="AB106" s="0" t="n">
        <f aca="false">IF(Z106&gt;360,Z106-360,Z106+0)</f>
        <v>111.5</v>
      </c>
    </row>
    <row r="107" customFormat="false" ht="15.8" hidden="false" customHeight="false" outlineLevel="0" collapsed="false">
      <c r="A107" s="1" t="n">
        <v>1</v>
      </c>
      <c r="B107" s="1" t="n">
        <v>13</v>
      </c>
      <c r="C107" s="1" t="n">
        <v>5.1</v>
      </c>
      <c r="D107" s="1" t="n">
        <v>1.2552</v>
      </c>
      <c r="E107" s="1" t="n">
        <v>0.182996</v>
      </c>
      <c r="F107" s="1" t="n">
        <v>0.000525991</v>
      </c>
      <c r="G107" s="1" t="s">
        <v>37</v>
      </c>
      <c r="H107" s="1" t="n">
        <v>33.3</v>
      </c>
      <c r="I107" s="1" t="n">
        <v>54</v>
      </c>
      <c r="J107" s="1" t="n">
        <v>-42.6</v>
      </c>
      <c r="K107" s="1" t="n">
        <v>89.7</v>
      </c>
      <c r="L107" s="1" t="n">
        <v>0</v>
      </c>
      <c r="M107" s="1" t="n">
        <v>0</v>
      </c>
      <c r="N107" s="1" t="s">
        <v>151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Z107" s="0" t="n">
        <f aca="false">I107+65</f>
        <v>119</v>
      </c>
      <c r="AB107" s="0" t="n">
        <f aca="false">IF(Z107&gt;360,Z107-360,Z107+0)</f>
        <v>119</v>
      </c>
    </row>
    <row r="108" customFormat="false" ht="15.8" hidden="false" customHeight="false" outlineLevel="0" collapsed="false">
      <c r="A108" s="1" t="n">
        <v>1</v>
      </c>
      <c r="B108" s="1" t="n">
        <v>13</v>
      </c>
      <c r="C108" s="1" t="n">
        <v>3.7</v>
      </c>
      <c r="D108" s="1" t="n">
        <v>2.0114</v>
      </c>
      <c r="E108" s="1" t="n">
        <v>0.132056</v>
      </c>
      <c r="F108" s="1" t="n">
        <v>0.000379573</v>
      </c>
      <c r="G108" s="1" t="s">
        <v>27</v>
      </c>
      <c r="H108" s="1" t="n">
        <v>14.9</v>
      </c>
      <c r="I108" s="1" t="n">
        <v>81.6</v>
      </c>
      <c r="J108" s="1" t="n">
        <v>-4.1</v>
      </c>
      <c r="K108" s="1"/>
      <c r="L108" s="1" t="n">
        <v>0</v>
      </c>
      <c r="M108" s="1" t="n">
        <v>0</v>
      </c>
      <c r="N108" s="1" t="s">
        <v>151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Z108" s="0" t="n">
        <f aca="false">I108+65</f>
        <v>146.6</v>
      </c>
      <c r="AB108" s="0" t="n">
        <f aca="false">IF(Z108&gt;360,Z108-360,Z108+0)</f>
        <v>146.6</v>
      </c>
    </row>
    <row r="109" customFormat="false" ht="15.8" hidden="false" customHeight="false" outlineLevel="0" collapsed="false">
      <c r="A109" s="1" t="n">
        <v>1</v>
      </c>
      <c r="B109" s="1" t="n">
        <v>12</v>
      </c>
      <c r="C109" s="1" t="n">
        <v>3.1</v>
      </c>
      <c r="D109" s="1" t="n">
        <v>1.2925</v>
      </c>
      <c r="E109" s="1" t="n">
        <v>0.111613</v>
      </c>
      <c r="F109" s="1" t="n">
        <v>0.000320814</v>
      </c>
      <c r="G109" s="1" t="s">
        <v>37</v>
      </c>
      <c r="H109" s="1" t="n">
        <v>23.5</v>
      </c>
      <c r="I109" s="1" t="n">
        <v>82</v>
      </c>
      <c r="J109" s="1" t="n">
        <v>-19</v>
      </c>
      <c r="K109" s="1" t="n">
        <v>33.3</v>
      </c>
      <c r="L109" s="1" t="n">
        <v>0</v>
      </c>
      <c r="M109" s="1" t="n">
        <v>0</v>
      </c>
      <c r="N109" s="1" t="s">
        <v>148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Z109" s="0" t="n">
        <f aca="false">I109+65</f>
        <v>147</v>
      </c>
      <c r="AB109" s="0" t="n">
        <f aca="false">IF(Z109&gt;360,Z109-360,Z109+0)</f>
        <v>147</v>
      </c>
    </row>
    <row r="110" customFormat="false" ht="15.8" hidden="false" customHeight="false" outlineLevel="0" collapsed="false">
      <c r="A110" s="1" t="n">
        <v>1</v>
      </c>
      <c r="B110" s="1" t="n">
        <v>11</v>
      </c>
      <c r="C110" s="1" t="n">
        <v>2.4</v>
      </c>
      <c r="D110" s="1" t="n">
        <v>1.5126</v>
      </c>
      <c r="E110" s="1" t="n">
        <v>0.0878545</v>
      </c>
      <c r="F110" s="1" t="n">
        <v>0.000252523</v>
      </c>
      <c r="G110" s="1" t="s">
        <v>37</v>
      </c>
      <c r="H110" s="1" t="n">
        <v>69.7</v>
      </c>
      <c r="I110" s="1" t="n">
        <v>57.9</v>
      </c>
      <c r="J110" s="1" t="n">
        <v>-14</v>
      </c>
      <c r="K110" s="1" t="n">
        <v>54</v>
      </c>
      <c r="L110" s="1" t="n">
        <v>0</v>
      </c>
      <c r="M110" s="1" t="n">
        <v>0</v>
      </c>
      <c r="N110" s="1" t="s">
        <v>140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Z110" s="0" t="n">
        <f aca="false">I110+65</f>
        <v>122.9</v>
      </c>
      <c r="AB110" s="0" t="n">
        <f aca="false">IF(Z110&gt;360,Z110-360,Z110+0)</f>
        <v>122.9</v>
      </c>
    </row>
    <row r="111" customFormat="false" ht="15.8" hidden="false" customHeight="false" outlineLevel="0" collapsed="false">
      <c r="A111" s="1" t="n">
        <v>1</v>
      </c>
      <c r="B111" s="1" t="n">
        <v>10</v>
      </c>
      <c r="C111" s="1" t="n">
        <v>1.2</v>
      </c>
      <c r="D111" s="1" t="n">
        <v>1.1803</v>
      </c>
      <c r="E111" s="1" t="n">
        <v>0.0440387</v>
      </c>
      <c r="F111" s="1" t="n">
        <v>0.000126582</v>
      </c>
      <c r="G111" s="1" t="s">
        <v>37</v>
      </c>
      <c r="H111" s="1" t="n">
        <v>40.9</v>
      </c>
      <c r="I111" s="1" t="n">
        <v>91.6</v>
      </c>
      <c r="J111" s="1" t="n">
        <v>49</v>
      </c>
      <c r="K111" s="1" t="n">
        <v>69.7</v>
      </c>
      <c r="L111" s="1" t="n">
        <v>0</v>
      </c>
      <c r="M111" s="1" t="n">
        <v>0</v>
      </c>
      <c r="N111" s="1" t="s">
        <v>133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Z111" s="0" t="n">
        <f aca="false">I111+65</f>
        <v>156.6</v>
      </c>
      <c r="AB111" s="0" t="n">
        <f aca="false">IF(Z111&gt;360,Z111-360,Z111+0)</f>
        <v>156.6</v>
      </c>
    </row>
    <row r="112" customFormat="false" ht="15.8" hidden="false" customHeight="false" outlineLevel="0" collapsed="false">
      <c r="A112" s="1" t="n">
        <v>1</v>
      </c>
      <c r="B112" s="1" t="n">
        <v>9</v>
      </c>
      <c r="C112" s="1" t="n">
        <v>1.5</v>
      </c>
      <c r="D112" s="1" t="n">
        <v>1.1636</v>
      </c>
      <c r="E112" s="1" t="n">
        <v>0.0543269</v>
      </c>
      <c r="F112" s="1" t="n">
        <v>0.000156154</v>
      </c>
      <c r="G112" s="1" t="s">
        <v>37</v>
      </c>
      <c r="H112" s="1" t="n">
        <v>71</v>
      </c>
      <c r="I112" s="1" t="n">
        <v>59.1</v>
      </c>
      <c r="J112" s="1" t="n">
        <v>17.6</v>
      </c>
      <c r="K112" s="1" t="n">
        <v>87.6</v>
      </c>
      <c r="L112" s="1" t="n">
        <v>0</v>
      </c>
      <c r="M112" s="1" t="n">
        <v>0</v>
      </c>
      <c r="N112" s="1" t="s">
        <v>132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Z112" s="0" t="n">
        <f aca="false">I112+65</f>
        <v>124.1</v>
      </c>
      <c r="AB112" s="0" t="n">
        <f aca="false">IF(Z112&gt;360,Z112-360,Z112+0)</f>
        <v>124.1</v>
      </c>
    </row>
    <row r="113" customFormat="false" ht="15.8" hidden="false" customHeight="false" outlineLevel="0" collapsed="false">
      <c r="A113" s="1" t="n">
        <v>1</v>
      </c>
      <c r="B113" s="1" t="n">
        <v>8</v>
      </c>
      <c r="C113" s="1" t="n">
        <v>1.1</v>
      </c>
      <c r="D113" s="1" t="n">
        <v>1.2215</v>
      </c>
      <c r="E113" s="1" t="n">
        <v>0.0405691</v>
      </c>
      <c r="F113" s="1" t="n">
        <v>0.000116609</v>
      </c>
      <c r="G113" s="1" t="s">
        <v>37</v>
      </c>
      <c r="H113" s="1" t="n">
        <v>74.3</v>
      </c>
      <c r="I113" s="1" t="n">
        <v>342.3</v>
      </c>
      <c r="J113" s="1" t="n">
        <v>25.1</v>
      </c>
      <c r="K113" s="1" t="n">
        <v>71</v>
      </c>
      <c r="L113" s="1" t="n">
        <v>0</v>
      </c>
      <c r="M113" s="1" t="n">
        <v>0</v>
      </c>
      <c r="N113" s="1" t="s">
        <v>128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Z113" s="0" t="n">
        <f aca="false">I113+65</f>
        <v>407.3</v>
      </c>
      <c r="AB113" s="0" t="n">
        <f aca="false">IF(Z113&gt;360,Z113-360,Z113+0)</f>
        <v>47.3</v>
      </c>
    </row>
    <row r="114" customFormat="false" ht="15.8" hidden="false" customHeight="false" outlineLevel="0" collapsed="false">
      <c r="A114" s="1" t="n">
        <v>1</v>
      </c>
      <c r="B114" s="1" t="n">
        <v>7</v>
      </c>
      <c r="C114" s="1" t="n">
        <v>2.9</v>
      </c>
      <c r="D114" s="1" t="n">
        <v>1.5423</v>
      </c>
      <c r="E114" s="1" t="n">
        <v>0.0890775</v>
      </c>
      <c r="F114" s="1" t="n">
        <v>0.000226589</v>
      </c>
      <c r="G114" s="1" t="s">
        <v>37</v>
      </c>
      <c r="H114" s="1" t="n">
        <v>90.7</v>
      </c>
      <c r="I114" s="1" t="n">
        <v>65.6</v>
      </c>
      <c r="J114" s="1" t="n">
        <v>24.2</v>
      </c>
      <c r="K114" s="1" t="n">
        <v>74.3</v>
      </c>
      <c r="L114" s="1" t="n">
        <v>0</v>
      </c>
      <c r="M114" s="1" t="n">
        <v>0</v>
      </c>
      <c r="N114" s="1" t="s">
        <v>125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Z114" s="0" t="n">
        <f aca="false">I114+65</f>
        <v>130.6</v>
      </c>
      <c r="AB114" s="0" t="n">
        <f aca="false">IF(Z114&gt;360,Z114-360,Z114+0)</f>
        <v>130.6</v>
      </c>
    </row>
    <row r="115" customFormat="false" ht="15.8" hidden="false" customHeight="false" outlineLevel="0" collapsed="false">
      <c r="A115" s="1" t="n">
        <v>1</v>
      </c>
      <c r="B115" s="1" t="n">
        <v>6</v>
      </c>
      <c r="C115" s="1" t="n">
        <v>4.3</v>
      </c>
      <c r="D115" s="1" t="n">
        <v>1.761</v>
      </c>
      <c r="E115" s="1" t="n">
        <v>0.0854597</v>
      </c>
      <c r="F115" s="1" t="n">
        <v>0.000139811</v>
      </c>
      <c r="G115" s="1" t="s">
        <v>37</v>
      </c>
      <c r="H115" s="1" t="n">
        <v>65.7</v>
      </c>
      <c r="I115" s="1" t="n">
        <v>339</v>
      </c>
      <c r="J115" s="1" t="n">
        <v>-9.1</v>
      </c>
      <c r="K115" s="1" t="n">
        <v>90.7</v>
      </c>
      <c r="L115" s="1" t="n">
        <v>0</v>
      </c>
      <c r="M115" s="1" t="n">
        <v>0</v>
      </c>
      <c r="N115" s="1" t="s">
        <v>122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Z115" s="0" t="n">
        <f aca="false">I115+65</f>
        <v>404</v>
      </c>
      <c r="AB115" s="0" t="n">
        <f aca="false">IF(Z115&gt;360,Z115-360,Z115+0)</f>
        <v>44</v>
      </c>
    </row>
    <row r="116" customFormat="false" ht="15.8" hidden="false" customHeight="false" outlineLevel="0" collapsed="false">
      <c r="A116" s="1" t="n">
        <v>1</v>
      </c>
      <c r="B116" s="1" t="n">
        <v>5</v>
      </c>
      <c r="C116" s="1" t="n">
        <v>0.9</v>
      </c>
      <c r="D116" s="1" t="n">
        <v>1.1354</v>
      </c>
      <c r="E116" s="1" t="n">
        <v>0.0336317</v>
      </c>
      <c r="F116" s="1" t="n">
        <v>9.66689E-005</v>
      </c>
      <c r="G116" s="1" t="s">
        <v>37</v>
      </c>
      <c r="H116" s="1" t="n">
        <v>65</v>
      </c>
      <c r="I116" s="1" t="n">
        <v>44.3</v>
      </c>
      <c r="J116" s="1" t="n">
        <v>0</v>
      </c>
      <c r="K116" s="1" t="n">
        <v>65.7</v>
      </c>
      <c r="L116" s="1" t="n">
        <v>0</v>
      </c>
      <c r="M116" s="1" t="n">
        <v>0</v>
      </c>
      <c r="N116" s="1" t="s">
        <v>121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Z116" s="0" t="n">
        <f aca="false">I116+65</f>
        <v>109.3</v>
      </c>
      <c r="AB116" s="0" t="n">
        <f aca="false">IF(Z116&gt;360,Z116-360,Z116+0)</f>
        <v>109.3</v>
      </c>
    </row>
    <row r="117" customFormat="false" ht="15.8" hidden="false" customHeight="false" outlineLevel="0" collapsed="false">
      <c r="A117" s="1" t="n">
        <v>1</v>
      </c>
      <c r="B117" s="1" t="n">
        <v>4</v>
      </c>
      <c r="C117" s="1" t="n">
        <v>0.8</v>
      </c>
      <c r="D117" s="1" t="n">
        <v>1.1534</v>
      </c>
      <c r="E117" s="1" t="n">
        <v>0.0304491</v>
      </c>
      <c r="F117" s="1" t="n">
        <v>8.75209E-005</v>
      </c>
      <c r="G117" s="1" t="s">
        <v>37</v>
      </c>
      <c r="H117" s="1" t="n">
        <v>62.8</v>
      </c>
      <c r="I117" s="1" t="n">
        <v>109.3</v>
      </c>
      <c r="J117" s="1" t="n">
        <v>0</v>
      </c>
      <c r="K117" s="1" t="n">
        <v>65</v>
      </c>
      <c r="L117" s="1" t="n">
        <v>0</v>
      </c>
      <c r="M117" s="1" t="n">
        <v>0</v>
      </c>
      <c r="N117" s="1" t="s">
        <v>152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Z117" s="0" t="n">
        <f aca="false">I117+65</f>
        <v>174.3</v>
      </c>
      <c r="AB117" s="0" t="n">
        <f aca="false">IF(Z117&gt;360,Z117-360,Z117+0)</f>
        <v>174.3</v>
      </c>
    </row>
    <row r="118" customFormat="false" ht="15.8" hidden="false" customHeight="false" outlineLevel="0" collapsed="false">
      <c r="A118" s="1" t="n">
        <v>1</v>
      </c>
      <c r="B118" s="1" t="n">
        <v>4</v>
      </c>
      <c r="C118" s="1" t="n">
        <v>1.2</v>
      </c>
      <c r="D118" s="1" t="n">
        <v>1.1963</v>
      </c>
      <c r="E118" s="1" t="n">
        <v>0.044655</v>
      </c>
      <c r="F118" s="1" t="n">
        <v>0.000128353</v>
      </c>
      <c r="G118" s="1" t="s">
        <v>27</v>
      </c>
      <c r="H118" s="1" t="n">
        <v>43</v>
      </c>
      <c r="I118" s="1" t="n">
        <v>61.3</v>
      </c>
      <c r="J118" s="1" t="n">
        <v>22.2</v>
      </c>
      <c r="K118" s="1"/>
      <c r="L118" s="1" t="n">
        <v>0</v>
      </c>
      <c r="M118" s="1" t="n">
        <v>0</v>
      </c>
      <c r="N118" s="1" t="s">
        <v>152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Z118" s="0" t="n">
        <f aca="false">I118+65</f>
        <v>126.3</v>
      </c>
      <c r="AB118" s="0" t="n">
        <f aca="false">IF(Z118&gt;360,Z118-360,Z118+0)</f>
        <v>126.3</v>
      </c>
    </row>
    <row r="119" customFormat="false" ht="15.8" hidden="false" customHeight="false" outlineLevel="0" collapsed="false">
      <c r="A119" s="1" t="n">
        <v>1</v>
      </c>
      <c r="B119" s="1" t="n">
        <v>3</v>
      </c>
      <c r="C119" s="1" t="n">
        <v>0.4</v>
      </c>
      <c r="D119" s="1" t="n">
        <v>1</v>
      </c>
      <c r="E119" s="1" t="n">
        <v>0.0161476</v>
      </c>
      <c r="F119" s="1" t="n">
        <v>4.64136E-005</v>
      </c>
      <c r="G119" s="1" t="s">
        <v>37</v>
      </c>
      <c r="H119" s="1" t="n">
        <v>27.7</v>
      </c>
      <c r="I119" s="1" t="n">
        <v>88.5</v>
      </c>
      <c r="J119" s="1" t="n">
        <v>60.7</v>
      </c>
      <c r="K119" s="1" t="n">
        <v>62.8</v>
      </c>
      <c r="L119" s="1" t="n">
        <v>0</v>
      </c>
      <c r="M119" s="1" t="n">
        <v>0</v>
      </c>
      <c r="N119" s="1" t="s">
        <v>153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Z119" s="0" t="n">
        <f aca="false">I119+65</f>
        <v>153.5</v>
      </c>
      <c r="AB119" s="0" t="n">
        <f aca="false">IF(Z119&gt;360,Z119-360,Z119+0)</f>
        <v>153.5</v>
      </c>
    </row>
    <row r="120" customFormat="false" ht="15.8" hidden="false" customHeight="false" outlineLevel="0" collapsed="false">
      <c r="A120" s="1" t="n">
        <v>1</v>
      </c>
      <c r="B120" s="1" t="n">
        <v>3</v>
      </c>
      <c r="C120" s="1" t="n">
        <v>9.9</v>
      </c>
      <c r="D120" s="1" t="n">
        <v>1.6136</v>
      </c>
      <c r="E120" s="1" t="n">
        <v>0.283715</v>
      </c>
      <c r="F120" s="1" t="n">
        <v>0.00070423</v>
      </c>
      <c r="G120" s="1" t="s">
        <v>27</v>
      </c>
      <c r="H120" s="1" t="n">
        <v>74.5</v>
      </c>
      <c r="I120" s="1" t="n">
        <v>257.6</v>
      </c>
      <c r="J120" s="1" t="n">
        <v>71.9</v>
      </c>
      <c r="K120" s="1"/>
      <c r="L120" s="1" t="n">
        <v>0</v>
      </c>
      <c r="M120" s="1" t="n">
        <v>0</v>
      </c>
      <c r="N120" s="1" t="s">
        <v>153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Z120" s="0" t="n">
        <f aca="false">I120+65</f>
        <v>322.6</v>
      </c>
      <c r="AB120" s="0" t="n">
        <f aca="false">IF(Z120&gt;360,Z120-360,Z120+0)</f>
        <v>322.6</v>
      </c>
    </row>
    <row r="121" customFormat="false" ht="15.8" hidden="false" customHeight="false" outlineLevel="0" collapsed="false">
      <c r="A121" s="1" t="n">
        <v>1</v>
      </c>
      <c r="B121" s="1" t="n">
        <v>2</v>
      </c>
      <c r="C121" s="1" t="n">
        <v>1.7</v>
      </c>
      <c r="D121" s="1" t="n">
        <v>1.2236</v>
      </c>
      <c r="E121" s="1" t="n">
        <v>0.0631131</v>
      </c>
      <c r="F121" s="1" t="n">
        <v>0.000181408</v>
      </c>
      <c r="G121" s="1" t="s">
        <v>37</v>
      </c>
      <c r="H121" s="1" t="n">
        <v>14.2</v>
      </c>
      <c r="I121" s="1" t="n">
        <v>91.7</v>
      </c>
      <c r="J121" s="1" t="n">
        <v>33.1</v>
      </c>
      <c r="K121" s="1" t="n">
        <v>74.5</v>
      </c>
      <c r="L121" s="1" t="n">
        <v>0</v>
      </c>
      <c r="M121" s="1" t="n">
        <v>0</v>
      </c>
      <c r="N121" s="1" t="s">
        <v>154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Z121" s="0" t="n">
        <f aca="false">I121+65</f>
        <v>156.7</v>
      </c>
      <c r="AB121" s="0" t="n">
        <f aca="false">IF(Z121&gt;360,Z121-360,Z121+0)</f>
        <v>156.7</v>
      </c>
    </row>
    <row r="122" customFormat="false" ht="15.8" hidden="false" customHeight="false" outlineLevel="0" collapsed="false">
      <c r="A122" s="1" t="n">
        <v>1</v>
      </c>
      <c r="B122" s="1" t="n">
        <v>2</v>
      </c>
      <c r="C122" s="1" t="n">
        <v>0.8</v>
      </c>
      <c r="D122" s="1" t="n">
        <v>1.0554</v>
      </c>
      <c r="E122" s="1" t="n">
        <v>0.0275977</v>
      </c>
      <c r="F122" s="1" t="n">
        <v>7.9325E-005</v>
      </c>
      <c r="G122" s="1" t="s">
        <v>27</v>
      </c>
      <c r="H122" s="1" t="n">
        <v>96.4</v>
      </c>
      <c r="I122" s="1" t="n">
        <v>339.5</v>
      </c>
      <c r="J122" s="1" t="n">
        <v>0</v>
      </c>
      <c r="K122" s="1"/>
      <c r="L122" s="1" t="n">
        <v>0</v>
      </c>
      <c r="M122" s="1" t="n">
        <v>0</v>
      </c>
      <c r="N122" s="1" t="s">
        <v>154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Z122" s="0" t="n">
        <f aca="false">I122+65</f>
        <v>404.5</v>
      </c>
      <c r="AB122" s="0" t="n">
        <f aca="false">IF(Z122&gt;360,Z122-360,Z122+0)</f>
        <v>44.5</v>
      </c>
    </row>
    <row r="123" customFormat="false" ht="15.8" hidden="false" customHeight="false" outlineLevel="0" collapsed="false">
      <c r="A123" s="1" t="n">
        <v>1</v>
      </c>
      <c r="B123" s="1" t="n">
        <v>1</v>
      </c>
      <c r="C123" s="1" t="n">
        <v>1.5</v>
      </c>
      <c r="D123" s="1" t="n">
        <v>1.3409</v>
      </c>
      <c r="E123" s="1" t="n">
        <v>0.0557161</v>
      </c>
      <c r="F123" s="1" t="n">
        <v>0.000160147</v>
      </c>
      <c r="G123" s="1" t="s">
        <v>37</v>
      </c>
      <c r="H123" s="1"/>
      <c r="I123" s="1" t="n">
        <v>78.2</v>
      </c>
      <c r="J123" s="1" t="n">
        <v>42.7</v>
      </c>
      <c r="K123" s="1" t="n">
        <v>96.4</v>
      </c>
      <c r="L123" s="1" t="n">
        <v>0</v>
      </c>
      <c r="M123" s="1" t="n">
        <v>0</v>
      </c>
      <c r="N123" s="1" t="s">
        <v>155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Z123" s="0" t="n">
        <f aca="false">I123+65</f>
        <v>143.2</v>
      </c>
      <c r="AB123" s="0" t="n">
        <f aca="false">IF(Z123&gt;360,Z123-360,Z123+0)</f>
        <v>143.2</v>
      </c>
    </row>
    <row r="124" customFormat="false" ht="15.8" hidden="false" customHeight="false" outlineLevel="0" collapsed="false">
      <c r="A124" s="1" t="n">
        <v>2</v>
      </c>
      <c r="B124" s="1" t="n">
        <v>3</v>
      </c>
      <c r="C124" s="1" t="n">
        <v>0.8</v>
      </c>
      <c r="D124" s="1" t="n">
        <v>1.1357</v>
      </c>
      <c r="E124" s="1" t="n">
        <v>0.0303761</v>
      </c>
      <c r="F124" s="1" t="n">
        <v>8.73109E-005</v>
      </c>
      <c r="G124" s="1" t="s">
        <v>27</v>
      </c>
      <c r="H124" s="1" t="n">
        <v>60.2</v>
      </c>
      <c r="I124" s="1" t="n">
        <v>306.2</v>
      </c>
      <c r="J124" s="1" t="n">
        <v>0</v>
      </c>
      <c r="K124" s="1"/>
      <c r="L124" s="1" t="n">
        <v>0</v>
      </c>
      <c r="M124" s="1" t="n">
        <v>0</v>
      </c>
      <c r="N124" s="1" t="s">
        <v>156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Z124" s="0" t="n">
        <f aca="false">I124+65</f>
        <v>371.2</v>
      </c>
      <c r="AB124" s="0" t="n">
        <f aca="false">IF(Z124&gt;360,Z124-360,Z124+0)</f>
        <v>11.2</v>
      </c>
    </row>
    <row r="125" customFormat="false" ht="15.8" hidden="false" customHeight="false" outlineLevel="0" collapsed="false">
      <c r="A125" s="1" t="n">
        <v>2</v>
      </c>
      <c r="B125" s="1" t="n">
        <v>7</v>
      </c>
      <c r="C125" s="1" t="n">
        <v>3.5</v>
      </c>
      <c r="D125" s="1" t="n">
        <v>1.2025</v>
      </c>
      <c r="E125" s="1" t="n">
        <v>0.126331</v>
      </c>
      <c r="F125" s="1" t="n">
        <v>0.000363116</v>
      </c>
      <c r="G125" s="1" t="s">
        <v>27</v>
      </c>
      <c r="H125" s="1" t="n">
        <v>47.9</v>
      </c>
      <c r="I125" s="1" t="n">
        <v>153.1</v>
      </c>
      <c r="J125" s="1" t="n">
        <v>53.6</v>
      </c>
      <c r="K125" s="1"/>
      <c r="L125" s="1" t="n">
        <v>0</v>
      </c>
      <c r="M125" s="1" t="n">
        <v>0</v>
      </c>
      <c r="N125" s="1" t="s">
        <v>157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Z125" s="0" t="n">
        <f aca="false">I125+65</f>
        <v>218.1</v>
      </c>
      <c r="AB125" s="0" t="n">
        <f aca="false">IF(Z125&gt;360,Z125-360,Z125+0)</f>
        <v>218.1</v>
      </c>
    </row>
    <row r="126" customFormat="false" ht="15.8" hidden="false" customHeight="false" outlineLevel="0" collapsed="false">
      <c r="A126" s="1" t="n">
        <v>2</v>
      </c>
      <c r="B126" s="1" t="n">
        <v>7</v>
      </c>
      <c r="C126" s="1" t="n">
        <v>5</v>
      </c>
      <c r="D126" s="1" t="n">
        <v>1.4394</v>
      </c>
      <c r="E126" s="1" t="n">
        <v>0.181229</v>
      </c>
      <c r="F126" s="1" t="n">
        <v>0.000520912</v>
      </c>
      <c r="G126" s="1" t="s">
        <v>27</v>
      </c>
      <c r="H126" s="1" t="n">
        <v>38.6</v>
      </c>
      <c r="I126" s="1" t="n">
        <v>226.1</v>
      </c>
      <c r="J126" s="1" t="n">
        <v>-6.4</v>
      </c>
      <c r="K126" s="1"/>
      <c r="L126" s="1" t="n">
        <v>0</v>
      </c>
      <c r="M126" s="1" t="n">
        <v>0</v>
      </c>
      <c r="N126" s="1" t="s">
        <v>157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Z126" s="0" t="n">
        <f aca="false">I126+65</f>
        <v>291.1</v>
      </c>
      <c r="AB126" s="0" t="n">
        <f aca="false">IF(Z126&gt;360,Z126-360,Z126+0)</f>
        <v>291.1</v>
      </c>
    </row>
    <row r="127" customFormat="false" ht="15.8" hidden="false" customHeight="false" outlineLevel="0" collapsed="false">
      <c r="A127" s="1" t="n">
        <v>2</v>
      </c>
      <c r="B127" s="1" t="n">
        <v>6</v>
      </c>
      <c r="C127" s="1" t="n">
        <v>4.2</v>
      </c>
      <c r="D127" s="1" t="n">
        <v>1.3196</v>
      </c>
      <c r="E127" s="1" t="n">
        <v>0.152533</v>
      </c>
      <c r="F127" s="1" t="n">
        <v>0.000438431</v>
      </c>
      <c r="G127" s="1" t="s">
        <v>37</v>
      </c>
      <c r="H127" s="1" t="n">
        <v>29.6</v>
      </c>
      <c r="I127" s="1" t="n">
        <v>210.7</v>
      </c>
      <c r="J127" s="1" t="n">
        <v>29.2</v>
      </c>
      <c r="K127" s="1" t="n">
        <v>47.9</v>
      </c>
      <c r="L127" s="1" t="n">
        <v>0</v>
      </c>
      <c r="M127" s="1" t="n">
        <v>0</v>
      </c>
      <c r="N127" s="1" t="s">
        <v>158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Z127" s="0" t="n">
        <f aca="false">I127+65</f>
        <v>275.7</v>
      </c>
      <c r="AB127" s="0" t="n">
        <f aca="false">IF(Z127&gt;360,Z127-360,Z127+0)</f>
        <v>275.7</v>
      </c>
    </row>
    <row r="128" customFormat="false" ht="15.8" hidden="false" customHeight="false" outlineLevel="0" collapsed="false">
      <c r="A128" s="1" t="n">
        <v>2</v>
      </c>
      <c r="B128" s="1" t="n">
        <v>7</v>
      </c>
      <c r="C128" s="1" t="n">
        <v>3.2</v>
      </c>
      <c r="D128" s="1" t="n">
        <v>1.244</v>
      </c>
      <c r="E128" s="1" t="n">
        <v>0.115759</v>
      </c>
      <c r="F128" s="1" t="n">
        <v>0.000332729</v>
      </c>
      <c r="G128" s="1" t="s">
        <v>27</v>
      </c>
      <c r="H128" s="1" t="n">
        <v>29.1</v>
      </c>
      <c r="I128" s="1" t="n">
        <v>245.7</v>
      </c>
      <c r="J128" s="1" t="n">
        <v>27</v>
      </c>
      <c r="K128" s="1"/>
      <c r="L128" s="1" t="n">
        <v>0</v>
      </c>
      <c r="M128" s="1" t="n">
        <v>0</v>
      </c>
      <c r="N128" s="1" t="s">
        <v>159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Z128" s="0" t="n">
        <f aca="false">I128+65</f>
        <v>310.7</v>
      </c>
      <c r="AB128" s="0" t="n">
        <f aca="false">IF(Z128&gt;360,Z128-360,Z128+0)</f>
        <v>310.7</v>
      </c>
    </row>
    <row r="129" customFormat="false" ht="15.8" hidden="false" customHeight="false" outlineLevel="0" collapsed="false">
      <c r="A129" s="1" t="n">
        <v>2</v>
      </c>
      <c r="B129" s="1" t="n">
        <v>7</v>
      </c>
      <c r="C129" s="1" t="n">
        <v>4.6</v>
      </c>
      <c r="D129" s="1" t="n">
        <v>1.3699</v>
      </c>
      <c r="E129" s="1" t="n">
        <v>0.165353</v>
      </c>
      <c r="F129" s="1" t="n">
        <v>0.00047528</v>
      </c>
      <c r="G129" s="1" t="s">
        <v>27</v>
      </c>
      <c r="H129" s="1" t="n">
        <v>53.4</v>
      </c>
      <c r="I129" s="1" t="n">
        <v>299.7</v>
      </c>
      <c r="J129" s="1" t="n">
        <v>-35.7</v>
      </c>
      <c r="K129" s="1"/>
      <c r="L129" s="1" t="n">
        <v>0</v>
      </c>
      <c r="M129" s="1" t="n">
        <v>0</v>
      </c>
      <c r="N129" s="1" t="s">
        <v>159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Z129" s="0" t="n">
        <f aca="false">I129+65</f>
        <v>364.7</v>
      </c>
      <c r="AB129" s="0" t="n">
        <f aca="false">IF(Z129&gt;360,Z129-360,Z129+0)</f>
        <v>4.69999999999999</v>
      </c>
    </row>
    <row r="130" customFormat="false" ht="15.8" hidden="false" customHeight="false" outlineLevel="0" collapsed="false">
      <c r="A130" s="1" t="n">
        <v>2</v>
      </c>
      <c r="B130" s="1" t="n">
        <v>6</v>
      </c>
      <c r="C130" s="1" t="n">
        <v>2.4</v>
      </c>
      <c r="D130" s="1" t="n">
        <v>1.4506</v>
      </c>
      <c r="E130" s="1" t="n">
        <v>0.0853386</v>
      </c>
      <c r="F130" s="1" t="n">
        <v>0.000245292</v>
      </c>
      <c r="G130" s="1" t="s">
        <v>37</v>
      </c>
      <c r="H130" s="1" t="n">
        <v>51.6</v>
      </c>
      <c r="I130" s="1" t="n">
        <v>256.9</v>
      </c>
      <c r="J130" s="1" t="n">
        <v>0</v>
      </c>
      <c r="K130" s="1" t="n">
        <v>53.4</v>
      </c>
      <c r="L130" s="1" t="n">
        <v>0</v>
      </c>
      <c r="M130" s="1" t="n">
        <v>0</v>
      </c>
      <c r="N130" s="1" t="s">
        <v>158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Z130" s="0" t="n">
        <f aca="false">I130+65</f>
        <v>321.9</v>
      </c>
      <c r="AB130" s="0" t="n">
        <f aca="false">IF(Z130&gt;360,Z130-360,Z130+0)</f>
        <v>321.9</v>
      </c>
    </row>
    <row r="131" customFormat="false" ht="15.8" hidden="false" customHeight="false" outlineLevel="0" collapsed="false">
      <c r="A131" s="1" t="n">
        <v>2</v>
      </c>
      <c r="B131" s="1" t="n">
        <v>5</v>
      </c>
      <c r="C131" s="1" t="n">
        <v>0.6</v>
      </c>
      <c r="D131" s="1" t="n">
        <v>1.0192</v>
      </c>
      <c r="E131" s="1" t="n">
        <v>0.020891</v>
      </c>
      <c r="F131" s="1" t="n">
        <v>6.00478E-005</v>
      </c>
      <c r="G131" s="1" t="s">
        <v>37</v>
      </c>
      <c r="H131" s="1" t="n">
        <v>44.4</v>
      </c>
      <c r="I131" s="1" t="n">
        <v>205.3</v>
      </c>
      <c r="J131" s="1" t="n">
        <v>0</v>
      </c>
      <c r="K131" s="1" t="n">
        <v>51.6</v>
      </c>
      <c r="L131" s="1" t="n">
        <v>0</v>
      </c>
      <c r="M131" s="1" t="n">
        <v>0</v>
      </c>
      <c r="N131" s="1" t="s">
        <v>160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Z131" s="0" t="n">
        <f aca="false">I131+65</f>
        <v>270.3</v>
      </c>
      <c r="AB131" s="0" t="n">
        <f aca="false">IF(Z131&gt;360,Z131-360,Z131+0)</f>
        <v>270.3</v>
      </c>
    </row>
    <row r="132" customFormat="false" ht="15.8" hidden="false" customHeight="false" outlineLevel="0" collapsed="false">
      <c r="A132" s="1" t="n">
        <v>2</v>
      </c>
      <c r="B132" s="1" t="n">
        <v>8</v>
      </c>
      <c r="C132" s="1" t="n">
        <v>2.9</v>
      </c>
      <c r="D132" s="1" t="n">
        <v>1.3884</v>
      </c>
      <c r="E132" s="1" t="n">
        <v>0.105825</v>
      </c>
      <c r="F132" s="1" t="n">
        <v>0.000304176</v>
      </c>
      <c r="G132" s="1" t="s">
        <v>27</v>
      </c>
      <c r="H132" s="1" t="n">
        <v>107.1</v>
      </c>
      <c r="I132" s="1" t="n">
        <v>116.2</v>
      </c>
      <c r="J132" s="1" t="n">
        <v>47.7</v>
      </c>
      <c r="K132" s="1"/>
      <c r="L132" s="1" t="n">
        <v>0</v>
      </c>
      <c r="M132" s="1" t="n">
        <v>0</v>
      </c>
      <c r="N132" s="1" t="s">
        <v>161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Z132" s="0" t="n">
        <f aca="false">I132+65</f>
        <v>181.2</v>
      </c>
      <c r="AB132" s="0" t="n">
        <f aca="false">IF(Z132&gt;360,Z132-360,Z132+0)</f>
        <v>181.2</v>
      </c>
    </row>
    <row r="133" customFormat="false" ht="15.8" hidden="false" customHeight="false" outlineLevel="0" collapsed="false">
      <c r="A133" s="1" t="n">
        <v>2</v>
      </c>
      <c r="B133" s="1" t="n">
        <v>9</v>
      </c>
      <c r="C133" s="1" t="n">
        <v>4</v>
      </c>
      <c r="D133" s="1" t="n">
        <v>1.5728</v>
      </c>
      <c r="E133" s="1" t="n">
        <v>0.146197</v>
      </c>
      <c r="F133" s="1" t="n">
        <v>0.000420218</v>
      </c>
      <c r="G133" s="1" t="s">
        <v>27</v>
      </c>
      <c r="H133" s="1" t="n">
        <v>81.3</v>
      </c>
      <c r="I133" s="1" t="n">
        <v>158.5</v>
      </c>
      <c r="J133" s="1" t="n">
        <v>37.3</v>
      </c>
      <c r="K133" s="1"/>
      <c r="L133" s="1" t="n">
        <v>0</v>
      </c>
      <c r="M133" s="1" t="n">
        <v>0</v>
      </c>
      <c r="N133" s="1" t="s">
        <v>162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Z133" s="0" t="n">
        <f aca="false">I133+65</f>
        <v>223.5</v>
      </c>
      <c r="AB133" s="0" t="n">
        <f aca="false">IF(Z133&gt;360,Z133-360,Z133+0)</f>
        <v>223.5</v>
      </c>
    </row>
    <row r="134" customFormat="false" ht="15.8" hidden="false" customHeight="false" outlineLevel="0" collapsed="false">
      <c r="A134" s="1" t="n">
        <v>2</v>
      </c>
      <c r="B134" s="1" t="n">
        <v>10</v>
      </c>
      <c r="C134" s="1" t="n">
        <v>2.2</v>
      </c>
      <c r="D134" s="1" t="n">
        <v>1.222</v>
      </c>
      <c r="E134" s="1" t="n">
        <v>0.0845674</v>
      </c>
      <c r="F134" s="1" t="n">
        <v>0.000267438</v>
      </c>
      <c r="G134" s="1" t="s">
        <v>27</v>
      </c>
      <c r="H134" s="1" t="n">
        <v>59</v>
      </c>
      <c r="I134" s="1" t="n">
        <v>329.3</v>
      </c>
      <c r="J134" s="1" t="n">
        <v>-12.5</v>
      </c>
      <c r="K134" s="1"/>
      <c r="L134" s="1" t="n">
        <v>0</v>
      </c>
      <c r="M134" s="1" t="n">
        <v>0</v>
      </c>
      <c r="N134" s="1" t="s">
        <v>163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Z134" s="0" t="n">
        <f aca="false">I134+65</f>
        <v>394.3</v>
      </c>
      <c r="AB134" s="0" t="n">
        <f aca="false">IF(Z134&gt;360,Z134-360,Z134+0)</f>
        <v>34.3</v>
      </c>
    </row>
    <row r="135" customFormat="false" ht="15.8" hidden="false" customHeight="false" outlineLevel="0" collapsed="false">
      <c r="A135" s="1" t="n">
        <v>2</v>
      </c>
      <c r="B135" s="1" t="n">
        <v>10</v>
      </c>
      <c r="C135" s="1" t="n">
        <v>1.4</v>
      </c>
      <c r="D135" s="1" t="n">
        <v>1.2039</v>
      </c>
      <c r="E135" s="1" t="n">
        <v>0.0531161</v>
      </c>
      <c r="F135" s="1" t="n">
        <v>0.000169548</v>
      </c>
      <c r="G135" s="1" t="s">
        <v>27</v>
      </c>
      <c r="H135" s="1" t="n">
        <v>75.5</v>
      </c>
      <c r="I135" s="1" t="n">
        <v>196.2</v>
      </c>
      <c r="J135" s="1" t="n">
        <v>20</v>
      </c>
      <c r="K135" s="1"/>
      <c r="L135" s="1" t="n">
        <v>0</v>
      </c>
      <c r="M135" s="1" t="n">
        <v>0</v>
      </c>
      <c r="N135" s="1" t="s">
        <v>163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Z135" s="0" t="n">
        <f aca="false">I135+65</f>
        <v>261.2</v>
      </c>
      <c r="AB135" s="0" t="n">
        <f aca="false">IF(Z135&gt;360,Z135-360,Z135+0)</f>
        <v>261.2</v>
      </c>
    </row>
    <row r="136" customFormat="false" ht="15.8" hidden="false" customHeight="false" outlineLevel="0" collapsed="false">
      <c r="A136" s="1" t="n">
        <v>2</v>
      </c>
      <c r="B136" s="1" t="n">
        <v>10</v>
      </c>
      <c r="C136" s="1" t="n">
        <v>3.5</v>
      </c>
      <c r="D136" s="1" t="n">
        <v>1.2695</v>
      </c>
      <c r="E136" s="1" t="n">
        <v>0.128746</v>
      </c>
      <c r="F136" s="1" t="n">
        <v>0.000386577</v>
      </c>
      <c r="G136" s="1" t="s">
        <v>27</v>
      </c>
      <c r="H136" s="1" t="n">
        <v>24.2</v>
      </c>
      <c r="I136" s="1" t="n">
        <v>251.2</v>
      </c>
      <c r="J136" s="1" t="n">
        <v>0</v>
      </c>
      <c r="K136" s="1"/>
      <c r="L136" s="1" t="n">
        <v>0</v>
      </c>
      <c r="M136" s="1" t="n">
        <v>0</v>
      </c>
      <c r="N136" s="1" t="s">
        <v>163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Z136" s="0" t="n">
        <f aca="false">I136+65</f>
        <v>316.2</v>
      </c>
      <c r="AB136" s="0" t="n">
        <f aca="false">IF(Z136&gt;360,Z136-360,Z136+0)</f>
        <v>316.2</v>
      </c>
    </row>
    <row r="137" customFormat="false" ht="15.8" hidden="false" customHeight="false" outlineLevel="0" collapsed="false">
      <c r="A137" s="1" t="n">
        <v>2</v>
      </c>
      <c r="B137" s="1" t="n">
        <v>9</v>
      </c>
      <c r="C137" s="1" t="n">
        <v>1.9</v>
      </c>
      <c r="D137" s="1" t="n">
        <v>1.1191</v>
      </c>
      <c r="E137" s="1" t="n">
        <v>0.132014</v>
      </c>
      <c r="F137" s="1" t="n">
        <v>0.000730332</v>
      </c>
      <c r="G137" s="1" t="s">
        <v>37</v>
      </c>
      <c r="H137" s="1" t="n">
        <v>37.1</v>
      </c>
      <c r="I137" s="1" t="n">
        <v>273.9</v>
      </c>
      <c r="J137" s="1" t="n">
        <v>8.7</v>
      </c>
      <c r="K137" s="1" t="n">
        <v>75.5</v>
      </c>
      <c r="L137" s="1" t="n">
        <v>0</v>
      </c>
      <c r="M137" s="1" t="n">
        <v>0</v>
      </c>
      <c r="N137" s="1" t="s">
        <v>162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Z137" s="0" t="n">
        <f aca="false">I137+65</f>
        <v>338.9</v>
      </c>
      <c r="AB137" s="0" t="n">
        <f aca="false">IF(Z137&gt;360,Z137-360,Z137+0)</f>
        <v>338.9</v>
      </c>
    </row>
    <row r="138" customFormat="false" ht="15.8" hidden="false" customHeight="false" outlineLevel="0" collapsed="false">
      <c r="A138" s="1" t="n">
        <v>2</v>
      </c>
      <c r="B138" s="1" t="n">
        <v>8</v>
      </c>
      <c r="C138" s="1" t="n">
        <v>5.5</v>
      </c>
      <c r="D138" s="1" t="n">
        <v>1.3008</v>
      </c>
      <c r="E138" s="1" t="n">
        <v>0.197065</v>
      </c>
      <c r="F138" s="1" t="n">
        <v>0.000566431</v>
      </c>
      <c r="G138" s="1" t="s">
        <v>37</v>
      </c>
      <c r="H138" s="1" t="n">
        <v>5.5</v>
      </c>
      <c r="I138" s="1" t="n">
        <v>237.6</v>
      </c>
      <c r="J138" s="1" t="n">
        <v>0</v>
      </c>
      <c r="K138" s="1" t="n">
        <v>81.3</v>
      </c>
      <c r="L138" s="1" t="n">
        <v>0</v>
      </c>
      <c r="M138" s="1" t="n">
        <v>0</v>
      </c>
      <c r="N138" s="1" t="s">
        <v>161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Z138" s="0" t="n">
        <f aca="false">I138+65</f>
        <v>302.6</v>
      </c>
      <c r="AB138" s="0" t="n">
        <f aca="false">IF(Z138&gt;360,Z138-360,Z138+0)</f>
        <v>302.6</v>
      </c>
    </row>
    <row r="139" customFormat="false" ht="15.8" hidden="false" customHeight="false" outlineLevel="0" collapsed="false">
      <c r="A139" s="1" t="n">
        <v>2</v>
      </c>
      <c r="B139" s="1" t="n">
        <v>8</v>
      </c>
      <c r="C139" s="1" t="n">
        <v>0.6</v>
      </c>
      <c r="D139" s="1" t="n">
        <v>1.0059</v>
      </c>
      <c r="E139" s="1" t="n">
        <v>0.0210914</v>
      </c>
      <c r="F139" s="1" t="n">
        <v>6.06238E-005</v>
      </c>
      <c r="G139" s="1" t="s">
        <v>27</v>
      </c>
      <c r="H139" s="1" t="n">
        <v>45.8</v>
      </c>
      <c r="I139" s="1" t="n">
        <v>278</v>
      </c>
      <c r="J139" s="1" t="n">
        <v>0</v>
      </c>
      <c r="K139" s="1"/>
      <c r="L139" s="1" t="n">
        <v>0</v>
      </c>
      <c r="M139" s="1" t="n">
        <v>0</v>
      </c>
      <c r="N139" s="1" t="s">
        <v>161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Z139" s="0" t="n">
        <f aca="false">I139+65</f>
        <v>343</v>
      </c>
      <c r="AB139" s="0" t="n">
        <f aca="false">IF(Z139&gt;360,Z139-360,Z139+0)</f>
        <v>343</v>
      </c>
    </row>
    <row r="140" customFormat="false" ht="15.8" hidden="false" customHeight="false" outlineLevel="0" collapsed="false">
      <c r="A140" s="1" t="n">
        <v>2</v>
      </c>
      <c r="B140" s="1" t="n">
        <v>7</v>
      </c>
      <c r="C140" s="1" t="n">
        <v>4</v>
      </c>
      <c r="D140" s="1" t="n">
        <v>1.2563</v>
      </c>
      <c r="E140" s="1" t="n">
        <v>0.142768</v>
      </c>
      <c r="F140" s="1" t="n">
        <v>0.000410362</v>
      </c>
      <c r="G140" s="1" t="s">
        <v>37</v>
      </c>
      <c r="H140" s="1" t="n">
        <v>69.8</v>
      </c>
      <c r="I140" s="1" t="n">
        <v>232.1</v>
      </c>
      <c r="J140" s="1" t="n">
        <v>0</v>
      </c>
      <c r="K140" s="1" t="n">
        <v>107.1</v>
      </c>
      <c r="L140" s="1" t="n">
        <v>0</v>
      </c>
      <c r="M140" s="1" t="n">
        <v>0</v>
      </c>
      <c r="N140" s="1" t="s">
        <v>164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Z140" s="0" t="n">
        <f aca="false">I140+65</f>
        <v>297.1</v>
      </c>
      <c r="AB140" s="0" t="n">
        <f aca="false">IF(Z140&gt;360,Z140-360,Z140+0)</f>
        <v>297.1</v>
      </c>
    </row>
    <row r="141" customFormat="false" ht="15.8" hidden="false" customHeight="false" outlineLevel="0" collapsed="false">
      <c r="A141" s="1" t="n">
        <v>2</v>
      </c>
      <c r="B141" s="1" t="n">
        <v>8</v>
      </c>
      <c r="C141" s="1" t="n">
        <v>3.6</v>
      </c>
      <c r="D141" s="1" t="n">
        <v>1.3374</v>
      </c>
      <c r="E141" s="1" t="n">
        <v>0.130593</v>
      </c>
      <c r="F141" s="1" t="n">
        <v>0.000375369</v>
      </c>
      <c r="G141" s="1" t="s">
        <v>27</v>
      </c>
      <c r="H141" s="1" t="n">
        <v>21.8</v>
      </c>
      <c r="I141" s="1" t="n">
        <v>109</v>
      </c>
      <c r="J141" s="1" t="n">
        <v>46.2</v>
      </c>
      <c r="K141" s="1"/>
      <c r="L141" s="1" t="n">
        <v>0</v>
      </c>
      <c r="M141" s="1" t="n">
        <v>0</v>
      </c>
      <c r="N141" s="1" t="s">
        <v>165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Z141" s="0" t="n">
        <f aca="false">I141+65</f>
        <v>174</v>
      </c>
      <c r="AB141" s="0" t="n">
        <f aca="false">IF(Z141&gt;360,Z141-360,Z141+0)</f>
        <v>174</v>
      </c>
    </row>
    <row r="142" customFormat="false" ht="15.8" hidden="false" customHeight="false" outlineLevel="0" collapsed="false">
      <c r="A142" s="1" t="n">
        <v>2</v>
      </c>
      <c r="B142" s="1" t="n">
        <v>8</v>
      </c>
      <c r="C142" s="1" t="n">
        <v>0.7</v>
      </c>
      <c r="D142" s="1" t="n">
        <v>1.0514</v>
      </c>
      <c r="E142" s="1" t="n">
        <v>0.0259532</v>
      </c>
      <c r="F142" s="1" t="n">
        <v>7.4598E-005</v>
      </c>
      <c r="G142" s="1" t="s">
        <v>27</v>
      </c>
      <c r="H142" s="1" t="n">
        <v>26.7</v>
      </c>
      <c r="I142" s="1" t="n">
        <v>102.6</v>
      </c>
      <c r="J142" s="1" t="n">
        <v>0</v>
      </c>
      <c r="K142" s="1"/>
      <c r="L142" s="1" t="n">
        <v>0</v>
      </c>
      <c r="M142" s="1" t="n">
        <v>0</v>
      </c>
      <c r="N142" s="1" t="s">
        <v>165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Z142" s="0" t="n">
        <f aca="false">I142+65</f>
        <v>167.6</v>
      </c>
      <c r="AB142" s="0" t="n">
        <f aca="false">IF(Z142&gt;360,Z142-360,Z142+0)</f>
        <v>167.6</v>
      </c>
    </row>
    <row r="143" customFormat="false" ht="15.8" hidden="false" customHeight="false" outlineLevel="0" collapsed="false">
      <c r="A143" s="1" t="n">
        <v>2</v>
      </c>
      <c r="B143" s="1" t="n">
        <v>7</v>
      </c>
      <c r="C143" s="1" t="n">
        <v>3.4</v>
      </c>
      <c r="D143" s="1" t="n">
        <v>1.1971</v>
      </c>
      <c r="E143" s="1" t="n">
        <v>0.121487</v>
      </c>
      <c r="F143" s="1" t="n">
        <v>0.000349193</v>
      </c>
      <c r="G143" s="1" t="s">
        <v>37</v>
      </c>
      <c r="H143" s="1" t="n">
        <v>53.4</v>
      </c>
      <c r="I143" s="1" t="n">
        <v>113.3</v>
      </c>
      <c r="J143" s="1" t="n">
        <v>24.6</v>
      </c>
      <c r="K143" s="1" t="n">
        <v>26.7</v>
      </c>
      <c r="L143" s="1" t="n">
        <v>0</v>
      </c>
      <c r="M143" s="1" t="n">
        <v>0</v>
      </c>
      <c r="N143" s="1" t="s">
        <v>164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Z143" s="0" t="n">
        <f aca="false">I143+65</f>
        <v>178.3</v>
      </c>
      <c r="AB143" s="0" t="n">
        <f aca="false">IF(Z143&gt;360,Z143-360,Z143+0)</f>
        <v>178.3</v>
      </c>
    </row>
    <row r="144" customFormat="false" ht="15.8" hidden="false" customHeight="false" outlineLevel="0" collapsed="false">
      <c r="A144" s="1" t="n">
        <v>2</v>
      </c>
      <c r="B144" s="1" t="n">
        <v>6</v>
      </c>
      <c r="C144" s="1" t="n">
        <v>0.9</v>
      </c>
      <c r="D144" s="1" t="n">
        <v>1.1152</v>
      </c>
      <c r="E144" s="1" t="n">
        <v>0.0335411</v>
      </c>
      <c r="F144" s="1" t="n">
        <v>9.64082E-005</v>
      </c>
      <c r="G144" s="1" t="s">
        <v>37</v>
      </c>
      <c r="H144" s="1" t="n">
        <v>42.9</v>
      </c>
      <c r="I144" s="1" t="n">
        <v>162.3</v>
      </c>
      <c r="J144" s="1" t="n">
        <v>0</v>
      </c>
      <c r="K144" s="1" t="n">
        <v>69.8</v>
      </c>
      <c r="L144" s="1" t="n">
        <v>0</v>
      </c>
      <c r="M144" s="1" t="n">
        <v>0</v>
      </c>
      <c r="N144" s="1" t="s">
        <v>166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Z144" s="0" t="n">
        <f aca="false">I144+65</f>
        <v>227.3</v>
      </c>
      <c r="AB144" s="0" t="n">
        <f aca="false">IF(Z144&gt;360,Z144-360,Z144+0)</f>
        <v>227.3</v>
      </c>
    </row>
    <row r="145" customFormat="false" ht="15.8" hidden="false" customHeight="false" outlineLevel="0" collapsed="false">
      <c r="A145" s="1" t="n">
        <v>2</v>
      </c>
      <c r="B145" s="1" t="n">
        <v>6</v>
      </c>
      <c r="C145" s="1" t="n">
        <v>1.2</v>
      </c>
      <c r="D145" s="1" t="n">
        <v>1.0502</v>
      </c>
      <c r="E145" s="1" t="n">
        <v>0.0445399</v>
      </c>
      <c r="F145" s="1" t="n">
        <v>0.000128023</v>
      </c>
      <c r="G145" s="1" t="s">
        <v>27</v>
      </c>
      <c r="H145" s="1" t="n">
        <v>45.9</v>
      </c>
      <c r="I145" s="1" t="n">
        <v>87.2</v>
      </c>
      <c r="J145" s="1" t="n">
        <v>0</v>
      </c>
      <c r="K145" s="1"/>
      <c r="L145" s="1" t="n">
        <v>0</v>
      </c>
      <c r="M145" s="1" t="n">
        <v>0</v>
      </c>
      <c r="N145" s="1" t="s">
        <v>166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Z145" s="0" t="n">
        <f aca="false">I145+65</f>
        <v>152.2</v>
      </c>
      <c r="AB145" s="0" t="n">
        <f aca="false">IF(Z145&gt;360,Z145-360,Z145+0)</f>
        <v>152.2</v>
      </c>
    </row>
    <row r="146" customFormat="false" ht="15.8" hidden="false" customHeight="false" outlineLevel="0" collapsed="false">
      <c r="A146" s="1" t="n">
        <v>2</v>
      </c>
      <c r="B146" s="1" t="n">
        <v>5</v>
      </c>
      <c r="C146" s="1" t="n">
        <v>4.4</v>
      </c>
      <c r="D146" s="1" t="n">
        <v>1.2182</v>
      </c>
      <c r="E146" s="1" t="n">
        <v>0.158777</v>
      </c>
      <c r="F146" s="1" t="n">
        <v>0.00045638</v>
      </c>
      <c r="G146" s="1" t="s">
        <v>37</v>
      </c>
      <c r="H146" s="1" t="n">
        <v>37.9</v>
      </c>
      <c r="I146" s="1" t="n">
        <v>126.7</v>
      </c>
      <c r="J146" s="1" t="n">
        <v>25.6</v>
      </c>
      <c r="K146" s="1" t="n">
        <v>45.9</v>
      </c>
      <c r="L146" s="1" t="n">
        <v>0</v>
      </c>
      <c r="M146" s="1" t="n">
        <v>0</v>
      </c>
      <c r="N146" s="1" t="s">
        <v>160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Z146" s="0" t="n">
        <f aca="false">I146+65</f>
        <v>191.7</v>
      </c>
      <c r="AB146" s="0" t="n">
        <f aca="false">IF(Z146&gt;360,Z146-360,Z146+0)</f>
        <v>191.7</v>
      </c>
    </row>
    <row r="147" customFormat="false" ht="15.8" hidden="false" customHeight="false" outlineLevel="0" collapsed="false">
      <c r="A147" s="1" t="n">
        <v>2</v>
      </c>
      <c r="B147" s="1" t="n">
        <v>4</v>
      </c>
      <c r="C147" s="1" t="n">
        <v>3.8</v>
      </c>
      <c r="D147" s="1" t="n">
        <v>1.2219</v>
      </c>
      <c r="E147" s="1" t="n">
        <v>0.137325</v>
      </c>
      <c r="F147" s="1" t="n">
        <v>0.000394718</v>
      </c>
      <c r="G147" s="1" t="s">
        <v>37</v>
      </c>
      <c r="H147" s="1" t="n">
        <v>50.2</v>
      </c>
      <c r="I147" s="1" t="n">
        <v>161.4</v>
      </c>
      <c r="J147" s="1" t="n">
        <v>7.2</v>
      </c>
      <c r="K147" s="1" t="n">
        <v>44.4</v>
      </c>
      <c r="L147" s="1" t="n">
        <v>0</v>
      </c>
      <c r="M147" s="1" t="n">
        <v>0</v>
      </c>
      <c r="N147" s="1" t="s">
        <v>167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Z147" s="0" t="n">
        <f aca="false">I147+65</f>
        <v>226.4</v>
      </c>
      <c r="AB147" s="0" t="n">
        <f aca="false">IF(Z147&gt;360,Z147-360,Z147+0)</f>
        <v>226.4</v>
      </c>
    </row>
    <row r="148" customFormat="false" ht="15.8" hidden="false" customHeight="false" outlineLevel="0" collapsed="false">
      <c r="A148" s="1" t="n">
        <v>2</v>
      </c>
      <c r="B148" s="1" t="n">
        <v>4</v>
      </c>
      <c r="C148" s="1" t="n">
        <v>15.7</v>
      </c>
      <c r="D148" s="1" t="n">
        <v>1.256</v>
      </c>
      <c r="E148" s="1" t="n">
        <v>0.565909</v>
      </c>
      <c r="F148" s="1" t="n">
        <v>0.00162661</v>
      </c>
      <c r="G148" s="1" t="s">
        <v>27</v>
      </c>
      <c r="H148" s="1" t="n">
        <v>90.8</v>
      </c>
      <c r="I148" s="1" t="n">
        <v>123.2</v>
      </c>
      <c r="J148" s="1" t="n">
        <v>26</v>
      </c>
      <c r="K148" s="1"/>
      <c r="L148" s="1" t="n">
        <v>0</v>
      </c>
      <c r="M148" s="1" t="n">
        <v>0</v>
      </c>
      <c r="N148" s="1" t="s">
        <v>167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Z148" s="0" t="n">
        <f aca="false">I148+65</f>
        <v>188.2</v>
      </c>
      <c r="AB148" s="0" t="n">
        <f aca="false">IF(Z148&gt;360,Z148-360,Z148+0)</f>
        <v>188.2</v>
      </c>
    </row>
    <row r="149" customFormat="false" ht="15.8" hidden="false" customHeight="false" outlineLevel="0" collapsed="false">
      <c r="A149" s="1" t="n">
        <v>2</v>
      </c>
      <c r="B149" s="1" t="n">
        <v>7</v>
      </c>
      <c r="C149" s="1" t="n">
        <v>2.3</v>
      </c>
      <c r="D149" s="1" t="n">
        <v>1.0181</v>
      </c>
      <c r="E149" s="1" t="n">
        <v>0.0839982</v>
      </c>
      <c r="F149" s="1" t="n">
        <v>0.000241439</v>
      </c>
      <c r="G149" s="1" t="s">
        <v>27</v>
      </c>
      <c r="H149" s="1" t="n">
        <v>31.7</v>
      </c>
      <c r="I149" s="1" t="n">
        <v>259</v>
      </c>
      <c r="J149" s="1" t="n">
        <v>0</v>
      </c>
      <c r="K149" s="1"/>
      <c r="L149" s="1" t="n">
        <v>0</v>
      </c>
      <c r="M149" s="1" t="n">
        <v>0</v>
      </c>
      <c r="N149" s="1" t="s">
        <v>168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Z149" s="0" t="n">
        <f aca="false">I149+65</f>
        <v>324</v>
      </c>
      <c r="AB149" s="0" t="n">
        <f aca="false">IF(Z149&gt;360,Z149-360,Z149+0)</f>
        <v>324</v>
      </c>
    </row>
    <row r="150" customFormat="false" ht="15.8" hidden="false" customHeight="false" outlineLevel="0" collapsed="false">
      <c r="A150" s="1" t="n">
        <v>2</v>
      </c>
      <c r="B150" s="1" t="n">
        <v>7</v>
      </c>
      <c r="C150" s="1" t="n">
        <v>1.1</v>
      </c>
      <c r="D150" s="1" t="n">
        <v>1.1796</v>
      </c>
      <c r="E150" s="1" t="n">
        <v>0.0394351</v>
      </c>
      <c r="F150" s="1" t="n">
        <v>0.00011335</v>
      </c>
      <c r="G150" s="1" t="s">
        <v>27</v>
      </c>
      <c r="H150" s="1" t="n">
        <v>144.5</v>
      </c>
      <c r="I150" s="1" t="n">
        <v>90.8</v>
      </c>
      <c r="J150" s="1" t="n">
        <v>24.9</v>
      </c>
      <c r="K150" s="1"/>
      <c r="L150" s="1" t="n">
        <v>0</v>
      </c>
      <c r="M150" s="1" t="n">
        <v>0</v>
      </c>
      <c r="N150" s="1" t="s">
        <v>168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Z150" s="0" t="n">
        <f aca="false">I150+65</f>
        <v>155.8</v>
      </c>
      <c r="AB150" s="0" t="n">
        <f aca="false">IF(Z150&gt;360,Z150-360,Z150+0)</f>
        <v>155.8</v>
      </c>
    </row>
    <row r="151" customFormat="false" ht="15.8" hidden="false" customHeight="false" outlineLevel="0" collapsed="false">
      <c r="A151" s="1" t="n">
        <v>2</v>
      </c>
      <c r="B151" s="1" t="n">
        <v>6</v>
      </c>
      <c r="C151" s="1" t="n">
        <v>7.5</v>
      </c>
      <c r="D151" s="1" t="n">
        <v>1.2358</v>
      </c>
      <c r="E151" s="1" t="n">
        <v>0.270868</v>
      </c>
      <c r="F151" s="1" t="n">
        <v>0.000778567</v>
      </c>
      <c r="G151" s="1" t="s">
        <v>37</v>
      </c>
      <c r="H151" s="1" t="n">
        <v>2.3</v>
      </c>
      <c r="I151" s="1" t="n">
        <v>233</v>
      </c>
      <c r="J151" s="1" t="n">
        <v>-18.7</v>
      </c>
      <c r="K151" s="1" t="n">
        <v>144.5</v>
      </c>
      <c r="L151" s="1" t="n">
        <v>0</v>
      </c>
      <c r="M151" s="1" t="n">
        <v>0</v>
      </c>
      <c r="N151" s="1" t="s">
        <v>169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Z151" s="0" t="n">
        <f aca="false">I151+65</f>
        <v>298</v>
      </c>
      <c r="AB151" s="0" t="n">
        <f aca="false">IF(Z151&gt;360,Z151-360,Z151+0)</f>
        <v>298</v>
      </c>
    </row>
    <row r="152" customFormat="false" ht="15.8" hidden="false" customHeight="false" outlineLevel="0" collapsed="false">
      <c r="A152" s="1" t="n">
        <v>2</v>
      </c>
      <c r="B152" s="1" t="n">
        <v>8</v>
      </c>
      <c r="C152" s="1" t="n">
        <v>0.9</v>
      </c>
      <c r="D152" s="1" t="n">
        <v>1.2837</v>
      </c>
      <c r="E152" s="1" t="n">
        <v>0.0330383</v>
      </c>
      <c r="F152" s="1" t="n">
        <v>9.49631E-005</v>
      </c>
      <c r="G152" s="1" t="s">
        <v>27</v>
      </c>
      <c r="H152" s="1" t="n">
        <v>135</v>
      </c>
      <c r="I152" s="1" t="n">
        <v>124</v>
      </c>
      <c r="J152" s="1" t="n">
        <v>33.2</v>
      </c>
      <c r="K152" s="1"/>
      <c r="L152" s="1" t="n">
        <v>0</v>
      </c>
      <c r="M152" s="1" t="n">
        <v>0</v>
      </c>
      <c r="N152" s="1" t="s">
        <v>170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Z152" s="0" t="n">
        <f aca="false">I152+65</f>
        <v>189</v>
      </c>
      <c r="AB152" s="0" t="n">
        <f aca="false">IF(Z152&gt;360,Z152-360,Z152+0)</f>
        <v>189</v>
      </c>
    </row>
    <row r="153" customFormat="false" ht="15.8" hidden="false" customHeight="false" outlineLevel="0" collapsed="false">
      <c r="A153" s="1" t="n">
        <v>2</v>
      </c>
      <c r="B153" s="1" t="n">
        <v>9</v>
      </c>
      <c r="C153" s="1" t="n">
        <v>0.9</v>
      </c>
      <c r="D153" s="1" t="n">
        <v>1.0209</v>
      </c>
      <c r="E153" s="1" t="n">
        <v>0.0326749</v>
      </c>
      <c r="F153" s="1" t="n">
        <v>9.39185E-005</v>
      </c>
      <c r="G153" s="1" t="s">
        <v>27</v>
      </c>
      <c r="H153" s="1" t="n">
        <v>73.9</v>
      </c>
      <c r="I153" s="1" t="n">
        <v>45.5</v>
      </c>
      <c r="J153" s="1" t="n">
        <v>0</v>
      </c>
      <c r="K153" s="1"/>
      <c r="L153" s="1" t="n">
        <v>0</v>
      </c>
      <c r="M153" s="1" t="n">
        <v>0</v>
      </c>
      <c r="N153" s="1" t="s">
        <v>171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Z153" s="0" t="n">
        <f aca="false">I153+65</f>
        <v>110.5</v>
      </c>
      <c r="AB153" s="0" t="n">
        <f aca="false">IF(Z153&gt;360,Z153-360,Z153+0)</f>
        <v>110.5</v>
      </c>
    </row>
    <row r="154" customFormat="false" ht="15.8" hidden="false" customHeight="false" outlineLevel="0" collapsed="false">
      <c r="A154" s="1" t="n">
        <v>2</v>
      </c>
      <c r="B154" s="1" t="n">
        <v>10</v>
      </c>
      <c r="C154" s="1" t="n">
        <v>0.6</v>
      </c>
      <c r="D154" s="1" t="n">
        <v>1.0364</v>
      </c>
      <c r="E154" s="1" t="n">
        <v>0.0200259</v>
      </c>
      <c r="F154" s="1" t="n">
        <v>5.75612E-005</v>
      </c>
      <c r="G154" s="1" t="s">
        <v>27</v>
      </c>
      <c r="H154" s="1" t="n">
        <v>23.5</v>
      </c>
      <c r="I154" s="1" t="n">
        <v>261.3</v>
      </c>
      <c r="J154" s="1" t="n">
        <v>0</v>
      </c>
      <c r="K154" s="1"/>
      <c r="L154" s="1" t="n">
        <v>0</v>
      </c>
      <c r="M154" s="1" t="n">
        <v>0</v>
      </c>
      <c r="N154" s="1" t="s">
        <v>172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Z154" s="0" t="n">
        <f aca="false">I154+65</f>
        <v>326.3</v>
      </c>
      <c r="AB154" s="0" t="n">
        <f aca="false">IF(Z154&gt;360,Z154-360,Z154+0)</f>
        <v>326.3</v>
      </c>
    </row>
    <row r="155" customFormat="false" ht="15.8" hidden="false" customHeight="false" outlineLevel="0" collapsed="false">
      <c r="A155" s="1" t="n">
        <v>2</v>
      </c>
      <c r="B155" s="1" t="n">
        <v>10</v>
      </c>
      <c r="C155" s="1" t="n">
        <v>2.4</v>
      </c>
      <c r="D155" s="1" t="n">
        <v>1.1296</v>
      </c>
      <c r="E155" s="1" t="n">
        <v>0.0852525</v>
      </c>
      <c r="F155" s="1" t="n">
        <v>0.000245044</v>
      </c>
      <c r="G155" s="1" t="s">
        <v>27</v>
      </c>
      <c r="H155" s="1" t="n">
        <v>50.1</v>
      </c>
      <c r="I155" s="1" t="n">
        <v>189.7</v>
      </c>
      <c r="J155" s="1" t="n">
        <v>10.8</v>
      </c>
      <c r="K155" s="1"/>
      <c r="L155" s="1" t="n">
        <v>0</v>
      </c>
      <c r="M155" s="1" t="n">
        <v>0</v>
      </c>
      <c r="N155" s="1" t="s">
        <v>172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Z155" s="0" t="n">
        <f aca="false">I155+65</f>
        <v>254.7</v>
      </c>
      <c r="AB155" s="0" t="n">
        <f aca="false">IF(Z155&gt;360,Z155-360,Z155+0)</f>
        <v>254.7</v>
      </c>
    </row>
    <row r="156" customFormat="false" ht="15.8" hidden="false" customHeight="false" outlineLevel="0" collapsed="false">
      <c r="A156" s="1" t="n">
        <v>2</v>
      </c>
      <c r="B156" s="1" t="n">
        <v>9</v>
      </c>
      <c r="C156" s="1" t="n">
        <v>2.2</v>
      </c>
      <c r="D156" s="1" t="n">
        <v>1.1569</v>
      </c>
      <c r="E156" s="1" t="n">
        <v>0.08039</v>
      </c>
      <c r="F156" s="1" t="n">
        <v>0.000231068</v>
      </c>
      <c r="G156" s="1" t="s">
        <v>37</v>
      </c>
      <c r="H156" s="1" t="n">
        <v>98.9</v>
      </c>
      <c r="I156" s="1" t="n">
        <v>240.8</v>
      </c>
      <c r="J156" s="1" t="n">
        <v>11.7</v>
      </c>
      <c r="K156" s="1" t="n">
        <v>50.1</v>
      </c>
      <c r="L156" s="1" t="n">
        <v>0</v>
      </c>
      <c r="M156" s="1" t="n">
        <v>0</v>
      </c>
      <c r="N156" s="1" t="s">
        <v>171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Z156" s="0" t="n">
        <f aca="false">I156+65</f>
        <v>305.8</v>
      </c>
      <c r="AB156" s="0" t="n">
        <f aca="false">IF(Z156&gt;360,Z156-360,Z156+0)</f>
        <v>305.8</v>
      </c>
    </row>
    <row r="157" customFormat="false" ht="15.8" hidden="false" customHeight="false" outlineLevel="0" collapsed="false">
      <c r="A157" s="1" t="n">
        <v>2</v>
      </c>
      <c r="B157" s="1" t="n">
        <v>8</v>
      </c>
      <c r="C157" s="1" t="n">
        <v>1</v>
      </c>
      <c r="D157" s="1" t="n">
        <v>1.2562</v>
      </c>
      <c r="E157" s="1" t="n">
        <v>0.0349158</v>
      </c>
      <c r="F157" s="1" t="n">
        <v>0.00010036</v>
      </c>
      <c r="G157" s="1" t="s">
        <v>37</v>
      </c>
      <c r="H157" s="1" t="n">
        <v>19.2</v>
      </c>
      <c r="I157" s="1" t="n">
        <v>334.3</v>
      </c>
      <c r="J157" s="1" t="n">
        <v>-30.5</v>
      </c>
      <c r="K157" s="1" t="n">
        <v>98.9</v>
      </c>
      <c r="L157" s="1" t="n">
        <v>0</v>
      </c>
      <c r="M157" s="1" t="n">
        <v>0</v>
      </c>
      <c r="N157" s="1" t="s">
        <v>170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Z157" s="0" t="n">
        <f aca="false">I157+65</f>
        <v>399.3</v>
      </c>
      <c r="AB157" s="0" t="n">
        <f aca="false">IF(Z157&gt;360,Z157-360,Z157+0)</f>
        <v>39.3</v>
      </c>
    </row>
    <row r="158" customFormat="false" ht="15.8" hidden="false" customHeight="false" outlineLevel="0" collapsed="false">
      <c r="A158" s="1" t="n">
        <v>2</v>
      </c>
      <c r="B158" s="1" t="n">
        <v>7</v>
      </c>
      <c r="C158" s="1" t="n">
        <v>2.5</v>
      </c>
      <c r="D158" s="1" t="n">
        <v>1.2395</v>
      </c>
      <c r="E158" s="1" t="n">
        <v>0.090828</v>
      </c>
      <c r="F158" s="1" t="n">
        <v>0.00026107</v>
      </c>
      <c r="G158" s="1" t="s">
        <v>37</v>
      </c>
      <c r="H158" s="1" t="n">
        <v>110.3</v>
      </c>
      <c r="I158" s="1" t="n">
        <v>354</v>
      </c>
      <c r="J158" s="1" t="n">
        <v>-22.6</v>
      </c>
      <c r="K158" s="1" t="n">
        <v>135</v>
      </c>
      <c r="L158" s="1" t="n">
        <v>0</v>
      </c>
      <c r="M158" s="1" t="n">
        <v>0</v>
      </c>
      <c r="N158" s="1" t="s">
        <v>173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Z158" s="0" t="n">
        <f aca="false">I158+65</f>
        <v>419</v>
      </c>
      <c r="AB158" s="0" t="n">
        <f aca="false">IF(Z158&gt;360,Z158-360,Z158+0)</f>
        <v>59</v>
      </c>
    </row>
    <row r="159" customFormat="false" ht="15.8" hidden="false" customHeight="false" outlineLevel="0" collapsed="false">
      <c r="A159" s="1" t="n">
        <v>2</v>
      </c>
      <c r="B159" s="1" t="n">
        <v>7</v>
      </c>
      <c r="C159" s="1" t="n">
        <v>5.8</v>
      </c>
      <c r="D159" s="1" t="n">
        <v>1.1931</v>
      </c>
      <c r="E159" s="1" t="n">
        <v>0.209306</v>
      </c>
      <c r="F159" s="1" t="n">
        <v>0.000601616</v>
      </c>
      <c r="G159" s="1" t="s">
        <v>27</v>
      </c>
      <c r="H159" s="1" t="n">
        <v>20.4</v>
      </c>
      <c r="I159" s="1" t="n">
        <v>266.1</v>
      </c>
      <c r="J159" s="1" t="n">
        <v>9.2</v>
      </c>
      <c r="K159" s="1"/>
      <c r="L159" s="1" t="n">
        <v>0</v>
      </c>
      <c r="M159" s="1" t="n">
        <v>0</v>
      </c>
      <c r="N159" s="1" t="s">
        <v>173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Z159" s="0" t="n">
        <f aca="false">I159+65</f>
        <v>331.1</v>
      </c>
      <c r="AB159" s="0" t="n">
        <f aca="false">IF(Z159&gt;360,Z159-360,Z159+0)</f>
        <v>331.1</v>
      </c>
    </row>
    <row r="160" customFormat="false" ht="15.8" hidden="false" customHeight="false" outlineLevel="0" collapsed="false">
      <c r="A160" s="1" t="n">
        <v>2</v>
      </c>
      <c r="B160" s="1" t="n">
        <v>6</v>
      </c>
      <c r="C160" s="1" t="n">
        <v>3</v>
      </c>
      <c r="D160" s="1" t="n">
        <v>1.1653</v>
      </c>
      <c r="E160" s="1" t="n">
        <v>0.108658</v>
      </c>
      <c r="F160" s="1" t="n">
        <v>0.000312319</v>
      </c>
      <c r="G160" s="1" t="s">
        <v>37</v>
      </c>
      <c r="H160" s="1" t="n">
        <v>31.4</v>
      </c>
      <c r="I160" s="1" t="n">
        <v>245.5</v>
      </c>
      <c r="J160" s="1" t="n">
        <v>8.7</v>
      </c>
      <c r="K160" s="1" t="n">
        <v>110.3</v>
      </c>
      <c r="L160" s="1" t="n">
        <v>0</v>
      </c>
      <c r="M160" s="1" t="n">
        <v>0</v>
      </c>
      <c r="N160" s="1" t="s">
        <v>169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Z160" s="0" t="n">
        <f aca="false">I160+65</f>
        <v>310.5</v>
      </c>
      <c r="AB160" s="0" t="n">
        <f aca="false">IF(Z160&gt;360,Z160-360,Z160+0)</f>
        <v>310.5</v>
      </c>
    </row>
    <row r="161" customFormat="false" ht="15.8" hidden="false" customHeight="false" outlineLevel="0" collapsed="false">
      <c r="A161" s="1" t="n">
        <v>2</v>
      </c>
      <c r="B161" s="1" t="n">
        <v>5</v>
      </c>
      <c r="C161" s="1" t="n">
        <v>2.8</v>
      </c>
      <c r="D161" s="1" t="n">
        <v>1.2524</v>
      </c>
      <c r="E161" s="1" t="n">
        <v>0.0999622</v>
      </c>
      <c r="F161" s="1" t="n">
        <v>0.000287325</v>
      </c>
      <c r="G161" s="1" t="s">
        <v>37</v>
      </c>
      <c r="H161" s="1" t="n">
        <v>30.3</v>
      </c>
      <c r="I161" s="1" t="n">
        <v>234.3</v>
      </c>
      <c r="J161" s="1" t="n">
        <v>-20.7</v>
      </c>
      <c r="K161" s="1" t="n">
        <v>31.4</v>
      </c>
      <c r="L161" s="1" t="n">
        <v>0</v>
      </c>
      <c r="M161" s="1" t="n">
        <v>0</v>
      </c>
      <c r="N161" s="1" t="s">
        <v>174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Z161" s="0" t="n">
        <f aca="false">I161+65</f>
        <v>299.3</v>
      </c>
      <c r="AB161" s="0" t="n">
        <f aca="false">IF(Z161&gt;360,Z161-360,Z161+0)</f>
        <v>299.3</v>
      </c>
    </row>
    <row r="162" customFormat="false" ht="15.8" hidden="false" customHeight="false" outlineLevel="0" collapsed="false">
      <c r="A162" s="1" t="n">
        <v>2</v>
      </c>
      <c r="B162" s="1" t="n">
        <v>6</v>
      </c>
      <c r="C162" s="1" t="n">
        <v>1.1</v>
      </c>
      <c r="D162" s="1" t="n">
        <v>1.0119</v>
      </c>
      <c r="E162" s="1" t="n">
        <v>0.0398491</v>
      </c>
      <c r="F162" s="1" t="n">
        <v>0.00011454</v>
      </c>
      <c r="G162" s="1" t="s">
        <v>27</v>
      </c>
      <c r="H162" s="1" t="n">
        <v>48.2</v>
      </c>
      <c r="I162" s="1" t="n">
        <v>14</v>
      </c>
      <c r="J162" s="1" t="n">
        <v>0</v>
      </c>
      <c r="K162" s="1"/>
      <c r="L162" s="1" t="n">
        <v>0</v>
      </c>
      <c r="M162" s="1" t="n">
        <v>0</v>
      </c>
      <c r="N162" s="1" t="s">
        <v>175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Z162" s="0" t="n">
        <f aca="false">I162+65</f>
        <v>79</v>
      </c>
      <c r="AB162" s="0" t="n">
        <f aca="false">IF(Z162&gt;360,Z162-360,Z162+0)</f>
        <v>79</v>
      </c>
    </row>
    <row r="163" customFormat="false" ht="15.8" hidden="false" customHeight="false" outlineLevel="0" collapsed="false">
      <c r="A163" s="1" t="n">
        <v>2</v>
      </c>
      <c r="B163" s="1" t="n">
        <v>6</v>
      </c>
      <c r="C163" s="1" t="n">
        <v>8.9</v>
      </c>
      <c r="D163" s="1" t="n">
        <v>1.2175</v>
      </c>
      <c r="E163" s="1" t="n">
        <v>0.320417</v>
      </c>
      <c r="F163" s="1" t="n">
        <v>0.000920986</v>
      </c>
      <c r="G163" s="1" t="s">
        <v>27</v>
      </c>
      <c r="H163" s="1" t="n">
        <v>49.4</v>
      </c>
      <c r="I163" s="1" t="n">
        <v>278.6</v>
      </c>
      <c r="J163" s="1" t="n">
        <v>-12.4</v>
      </c>
      <c r="K163" s="1"/>
      <c r="L163" s="1" t="n">
        <v>0</v>
      </c>
      <c r="M163" s="1" t="n">
        <v>0</v>
      </c>
      <c r="N163" s="1" t="s">
        <v>175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Z163" s="0" t="n">
        <f aca="false">I163+65</f>
        <v>343.6</v>
      </c>
      <c r="AB163" s="0" t="n">
        <f aca="false">IF(Z163&gt;360,Z163-360,Z163+0)</f>
        <v>343.6</v>
      </c>
    </row>
    <row r="164" customFormat="false" ht="15.8" hidden="false" customHeight="false" outlineLevel="0" collapsed="false">
      <c r="A164" s="1" t="n">
        <v>2</v>
      </c>
      <c r="B164" s="1" t="n">
        <v>5</v>
      </c>
      <c r="C164" s="1" t="n">
        <v>7.1</v>
      </c>
      <c r="D164" s="1" t="n">
        <v>1.304</v>
      </c>
      <c r="E164" s="1" t="n">
        <v>0.25567</v>
      </c>
      <c r="F164" s="1" t="n">
        <v>0.00073488</v>
      </c>
      <c r="G164" s="1" t="s">
        <v>37</v>
      </c>
      <c r="H164" s="1" t="n">
        <v>57.9</v>
      </c>
      <c r="I164" s="1" t="n">
        <v>329.6</v>
      </c>
      <c r="J164" s="1" t="n">
        <v>-21.1</v>
      </c>
      <c r="K164" s="1" t="n">
        <v>49.4</v>
      </c>
      <c r="L164" s="1" t="n">
        <v>0</v>
      </c>
      <c r="M164" s="1" t="n">
        <v>0</v>
      </c>
      <c r="N164" s="1" t="s">
        <v>174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Z164" s="0" t="n">
        <f aca="false">I164+65</f>
        <v>394.6</v>
      </c>
      <c r="AB164" s="0" t="n">
        <f aca="false">IF(Z164&gt;360,Z164-360,Z164+0)</f>
        <v>34.6</v>
      </c>
    </row>
    <row r="165" customFormat="false" ht="15.8" hidden="false" customHeight="false" outlineLevel="0" collapsed="false">
      <c r="A165" s="1" t="n">
        <v>2</v>
      </c>
      <c r="B165" s="1" t="n">
        <v>6</v>
      </c>
      <c r="C165" s="1" t="n">
        <v>0.6</v>
      </c>
      <c r="D165" s="1" t="n">
        <v>1.0221</v>
      </c>
      <c r="E165" s="1" t="n">
        <v>0.0202347</v>
      </c>
      <c r="F165" s="1" t="n">
        <v>5.81613E-005</v>
      </c>
      <c r="G165" s="1" t="s">
        <v>27</v>
      </c>
      <c r="H165" s="1" t="n">
        <v>99.2</v>
      </c>
      <c r="I165" s="1" t="n">
        <v>189.7</v>
      </c>
      <c r="J165" s="1" t="n">
        <v>0</v>
      </c>
      <c r="K165" s="1"/>
      <c r="L165" s="1" t="n">
        <v>0</v>
      </c>
      <c r="M165" s="1" t="n">
        <v>0</v>
      </c>
      <c r="N165" s="1" t="s">
        <v>176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Z165" s="0" t="n">
        <f aca="false">I165+65</f>
        <v>254.7</v>
      </c>
      <c r="AB165" s="0" t="n">
        <f aca="false">IF(Z165&gt;360,Z165-360,Z165+0)</f>
        <v>254.7</v>
      </c>
    </row>
    <row r="166" customFormat="false" ht="15.8" hidden="false" customHeight="false" outlineLevel="0" collapsed="false">
      <c r="A166" s="1" t="n">
        <v>2</v>
      </c>
      <c r="B166" s="1" t="n">
        <v>7</v>
      </c>
      <c r="C166" s="1" t="n">
        <v>1.2</v>
      </c>
      <c r="D166" s="1" t="n">
        <v>1.1824</v>
      </c>
      <c r="E166" s="1" t="n">
        <v>0.0432672</v>
      </c>
      <c r="F166" s="1" t="n">
        <v>0.000124365</v>
      </c>
      <c r="G166" s="1" t="s">
        <v>27</v>
      </c>
      <c r="H166" s="1" t="n">
        <v>98.6</v>
      </c>
      <c r="I166" s="1" t="n">
        <v>44.5</v>
      </c>
      <c r="J166" s="1" t="n">
        <v>-22.6</v>
      </c>
      <c r="K166" s="1"/>
      <c r="L166" s="1" t="n">
        <v>0</v>
      </c>
      <c r="M166" s="1" t="n">
        <v>0</v>
      </c>
      <c r="N166" s="1" t="s">
        <v>177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Z166" s="0" t="n">
        <f aca="false">I166+65</f>
        <v>109.5</v>
      </c>
      <c r="AB166" s="0" t="n">
        <f aca="false">IF(Z166&gt;360,Z166-360,Z166+0)</f>
        <v>109.5</v>
      </c>
    </row>
    <row r="167" customFormat="false" ht="15.8" hidden="false" customHeight="false" outlineLevel="0" collapsed="false">
      <c r="A167" s="1" t="n">
        <v>2</v>
      </c>
      <c r="B167" s="1" t="n">
        <v>7</v>
      </c>
      <c r="C167" s="1" t="n">
        <v>2.6</v>
      </c>
      <c r="D167" s="1" t="n">
        <v>1.2939</v>
      </c>
      <c r="E167" s="1" t="n">
        <v>0.0945515</v>
      </c>
      <c r="F167" s="1" t="n">
        <v>0.000271773</v>
      </c>
      <c r="G167" s="1" t="s">
        <v>27</v>
      </c>
      <c r="H167" s="1" t="n">
        <v>13.6</v>
      </c>
      <c r="I167" s="1" t="n">
        <v>297.5</v>
      </c>
      <c r="J167" s="1" t="n">
        <v>-22.7</v>
      </c>
      <c r="K167" s="1"/>
      <c r="L167" s="1" t="n">
        <v>0</v>
      </c>
      <c r="M167" s="1" t="n">
        <v>0</v>
      </c>
      <c r="N167" s="1" t="s">
        <v>177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Z167" s="0" t="n">
        <f aca="false">I167+65</f>
        <v>362.5</v>
      </c>
      <c r="AB167" s="0" t="n">
        <f aca="false">IF(Z167&gt;360,Z167-360,Z167+0)</f>
        <v>2.5</v>
      </c>
    </row>
    <row r="168" customFormat="false" ht="15.8" hidden="false" customHeight="false" outlineLevel="0" collapsed="false">
      <c r="A168" s="1" t="n">
        <v>2</v>
      </c>
      <c r="B168" s="1" t="n">
        <v>8</v>
      </c>
      <c r="C168" s="1" t="n">
        <v>0.7</v>
      </c>
      <c r="D168" s="1" t="n">
        <v>1.0236</v>
      </c>
      <c r="E168" s="1" t="n">
        <v>0.0247319</v>
      </c>
      <c r="F168" s="1" t="n">
        <v>7.10879E-005</v>
      </c>
      <c r="G168" s="1" t="s">
        <v>27</v>
      </c>
      <c r="H168" s="1" t="n">
        <v>41</v>
      </c>
      <c r="I168" s="1" t="n">
        <v>241.2</v>
      </c>
      <c r="J168" s="1" t="n">
        <v>0</v>
      </c>
      <c r="K168" s="1"/>
      <c r="L168" s="1" t="n">
        <v>0</v>
      </c>
      <c r="M168" s="1" t="n">
        <v>0</v>
      </c>
      <c r="N168" s="1" t="s">
        <v>178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Z168" s="0" t="n">
        <f aca="false">I168+65</f>
        <v>306.2</v>
      </c>
      <c r="AB168" s="0" t="n">
        <f aca="false">IF(Z168&gt;360,Z168-360,Z168+0)</f>
        <v>306.2</v>
      </c>
    </row>
    <row r="169" customFormat="false" ht="15.8" hidden="false" customHeight="false" outlineLevel="0" collapsed="false">
      <c r="A169" s="1" t="n">
        <v>2</v>
      </c>
      <c r="B169" s="1" t="n">
        <v>8</v>
      </c>
      <c r="C169" s="1" t="n">
        <v>1.4</v>
      </c>
      <c r="D169" s="1" t="n">
        <v>1.189</v>
      </c>
      <c r="E169" s="1" t="n">
        <v>0.0495128</v>
      </c>
      <c r="F169" s="1" t="n">
        <v>0.000142316</v>
      </c>
      <c r="G169" s="1" t="s">
        <v>27</v>
      </c>
      <c r="H169" s="1" t="n">
        <v>42.8</v>
      </c>
      <c r="I169" s="1" t="n">
        <v>170.2</v>
      </c>
      <c r="J169" s="1" t="n">
        <v>19.8</v>
      </c>
      <c r="K169" s="1"/>
      <c r="L169" s="1" t="n">
        <v>0</v>
      </c>
      <c r="M169" s="1" t="n">
        <v>0</v>
      </c>
      <c r="N169" s="1" t="s">
        <v>178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Z169" s="0" t="n">
        <f aca="false">I169+65</f>
        <v>235.2</v>
      </c>
      <c r="AB169" s="0" t="n">
        <f aca="false">IF(Z169&gt;360,Z169-360,Z169+0)</f>
        <v>235.2</v>
      </c>
    </row>
    <row r="170" customFormat="false" ht="15.8" hidden="false" customHeight="false" outlineLevel="0" collapsed="false">
      <c r="A170" s="1" t="n">
        <v>2</v>
      </c>
      <c r="B170" s="1" t="n">
        <v>7</v>
      </c>
      <c r="C170" s="1" t="n">
        <v>3.1</v>
      </c>
      <c r="D170" s="1" t="n">
        <v>1.3954</v>
      </c>
      <c r="E170" s="1" t="n">
        <v>0.111829</v>
      </c>
      <c r="F170" s="1" t="n">
        <v>0.000321435</v>
      </c>
      <c r="G170" s="1" t="s">
        <v>37</v>
      </c>
      <c r="H170" s="1" t="n">
        <v>97.7</v>
      </c>
      <c r="I170" s="1" t="n">
        <v>201.3</v>
      </c>
      <c r="J170" s="1" t="n">
        <v>-10.1</v>
      </c>
      <c r="K170" s="1" t="n">
        <v>42.8</v>
      </c>
      <c r="L170" s="1" t="n">
        <v>0</v>
      </c>
      <c r="M170" s="1" t="n">
        <v>0</v>
      </c>
      <c r="N170" s="1" t="s">
        <v>177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Z170" s="0" t="n">
        <f aca="false">I170+65</f>
        <v>266.3</v>
      </c>
      <c r="AB170" s="0" t="n">
        <f aca="false">IF(Z170&gt;360,Z170-360,Z170+0)</f>
        <v>266.3</v>
      </c>
    </row>
    <row r="171" customFormat="false" ht="15.8" hidden="false" customHeight="false" outlineLevel="0" collapsed="false">
      <c r="A171" s="1" t="n">
        <v>2</v>
      </c>
      <c r="B171" s="1" t="n">
        <v>6</v>
      </c>
      <c r="C171" s="1" t="n">
        <v>2.6</v>
      </c>
      <c r="D171" s="1" t="n">
        <v>1.1033</v>
      </c>
      <c r="E171" s="1" t="n">
        <v>0.0947927</v>
      </c>
      <c r="F171" s="1" t="n">
        <v>0.000272466</v>
      </c>
      <c r="G171" s="1" t="s">
        <v>37</v>
      </c>
      <c r="H171" s="1" t="n">
        <v>17.8</v>
      </c>
      <c r="I171" s="1" t="n">
        <v>301</v>
      </c>
      <c r="J171" s="1" t="n">
        <v>-9.4</v>
      </c>
      <c r="K171" s="1" t="n">
        <v>98.6</v>
      </c>
      <c r="L171" s="1" t="n">
        <v>0</v>
      </c>
      <c r="M171" s="1" t="n">
        <v>0</v>
      </c>
      <c r="N171" s="1" t="s">
        <v>176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Z171" s="0" t="n">
        <f aca="false">I171+65</f>
        <v>366</v>
      </c>
      <c r="AB171" s="0" t="n">
        <f aca="false">IF(Z171&gt;360,Z171-360,Z171+0)</f>
        <v>6</v>
      </c>
    </row>
    <row r="172" customFormat="false" ht="15.8" hidden="false" customHeight="false" outlineLevel="0" collapsed="false">
      <c r="A172" s="1" t="n">
        <v>2</v>
      </c>
      <c r="B172" s="1" t="n">
        <v>5</v>
      </c>
      <c r="C172" s="1" t="n">
        <v>5.8</v>
      </c>
      <c r="D172" s="1" t="n">
        <v>1.4781</v>
      </c>
      <c r="E172" s="1" t="n">
        <v>0.207829</v>
      </c>
      <c r="F172" s="1" t="n">
        <v>0.000597369</v>
      </c>
      <c r="G172" s="1" t="s">
        <v>37</v>
      </c>
      <c r="H172" s="1" t="n">
        <v>24.3</v>
      </c>
      <c r="I172" s="1" t="n">
        <v>289.7</v>
      </c>
      <c r="J172" s="1" t="n">
        <v>-23.6</v>
      </c>
      <c r="K172" s="1" t="n">
        <v>99.2</v>
      </c>
      <c r="L172" s="1" t="n">
        <v>0</v>
      </c>
      <c r="M172" s="1" t="n">
        <v>0</v>
      </c>
      <c r="N172" s="1" t="s">
        <v>174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Z172" s="0" t="n">
        <f aca="false">I172+65</f>
        <v>354.7</v>
      </c>
      <c r="AB172" s="0" t="n">
        <f aca="false">IF(Z172&gt;360,Z172-360,Z172+0)</f>
        <v>354.7</v>
      </c>
    </row>
    <row r="173" customFormat="false" ht="15.8" hidden="false" customHeight="false" outlineLevel="0" collapsed="false">
      <c r="A173" s="1" t="n">
        <v>2</v>
      </c>
      <c r="B173" s="1" t="n">
        <v>4</v>
      </c>
      <c r="C173" s="1" t="n">
        <v>4.6</v>
      </c>
      <c r="D173" s="1" t="n">
        <v>1.3429</v>
      </c>
      <c r="E173" s="1" t="n">
        <v>0.165722</v>
      </c>
      <c r="F173" s="1" t="n">
        <v>0.000476341</v>
      </c>
      <c r="G173" s="1" t="s">
        <v>37</v>
      </c>
      <c r="H173" s="1" t="n">
        <v>55.8</v>
      </c>
      <c r="I173" s="1" t="n">
        <v>264.8</v>
      </c>
      <c r="J173" s="1" t="n">
        <v>-34.8</v>
      </c>
      <c r="K173" s="1" t="n">
        <v>57.9</v>
      </c>
      <c r="L173" s="1" t="n">
        <v>0</v>
      </c>
      <c r="M173" s="1" t="n">
        <v>0</v>
      </c>
      <c r="N173" s="1" t="s">
        <v>167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Z173" s="0" t="n">
        <f aca="false">I173+65</f>
        <v>329.8</v>
      </c>
      <c r="AB173" s="0" t="n">
        <f aca="false">IF(Z173&gt;360,Z173-360,Z173+0)</f>
        <v>329.8</v>
      </c>
    </row>
    <row r="174" customFormat="false" ht="15.8" hidden="false" customHeight="false" outlineLevel="0" collapsed="false">
      <c r="A174" s="1" t="n">
        <v>2</v>
      </c>
      <c r="B174" s="1" t="n">
        <v>3</v>
      </c>
      <c r="C174" s="1" t="n">
        <v>2.1</v>
      </c>
      <c r="D174" s="1" t="n">
        <v>1.1876</v>
      </c>
      <c r="E174" s="1" t="n">
        <v>0.0742653</v>
      </c>
      <c r="F174" s="1" t="n">
        <v>0.000213463</v>
      </c>
      <c r="G174" s="1" t="s">
        <v>37</v>
      </c>
      <c r="H174" s="1" t="n">
        <v>40.1</v>
      </c>
      <c r="I174" s="1" t="n">
        <v>207.6</v>
      </c>
      <c r="J174" s="1" t="n">
        <v>-13</v>
      </c>
      <c r="K174" s="1" t="n">
        <v>90.8</v>
      </c>
      <c r="L174" s="1" t="n">
        <v>0</v>
      </c>
      <c r="M174" s="1" t="n">
        <v>0</v>
      </c>
      <c r="N174" s="1" t="s">
        <v>156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Z174" s="0" t="n">
        <f aca="false">I174+65</f>
        <v>272.6</v>
      </c>
      <c r="AB174" s="0" t="n">
        <f aca="false">IF(Z174&gt;360,Z174-360,Z174+0)</f>
        <v>272.6</v>
      </c>
    </row>
    <row r="175" customFormat="false" ht="15.8" hidden="false" customHeight="false" outlineLevel="0" collapsed="false">
      <c r="A175" s="1" t="n">
        <v>2</v>
      </c>
      <c r="B175" s="1" t="n">
        <v>2</v>
      </c>
      <c r="C175" s="1" t="n">
        <v>2.2</v>
      </c>
      <c r="D175" s="1" t="n">
        <v>1.3452</v>
      </c>
      <c r="E175" s="1" t="n">
        <v>0.0807704</v>
      </c>
      <c r="F175" s="1" t="n">
        <v>0.000232161</v>
      </c>
      <c r="G175" s="1" t="s">
        <v>37</v>
      </c>
      <c r="H175" s="1" t="n">
        <v>12.6</v>
      </c>
      <c r="I175" s="1" t="n">
        <v>245.9</v>
      </c>
      <c r="J175" s="1" t="n">
        <v>0</v>
      </c>
      <c r="K175" s="1" t="n">
        <v>60.2</v>
      </c>
      <c r="L175" s="1" t="n">
        <v>0</v>
      </c>
      <c r="M175" s="1" t="n">
        <v>0</v>
      </c>
      <c r="N175" s="1" t="s">
        <v>179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Z175" s="0" t="n">
        <f aca="false">I175+65</f>
        <v>310.9</v>
      </c>
      <c r="AB175" s="0" t="n">
        <f aca="false">IF(Z175&gt;360,Z175-360,Z175+0)</f>
        <v>310.9</v>
      </c>
    </row>
    <row r="176" customFormat="false" ht="15.8" hidden="false" customHeight="false" outlineLevel="0" collapsed="false">
      <c r="A176" s="1" t="n">
        <v>2</v>
      </c>
      <c r="B176" s="1" t="n">
        <v>4</v>
      </c>
      <c r="C176" s="1" t="n">
        <v>0.6</v>
      </c>
      <c r="D176" s="1" t="n">
        <v>1.0153</v>
      </c>
      <c r="E176" s="1" t="n">
        <v>0.0214994</v>
      </c>
      <c r="F176" s="1" t="n">
        <v>6.17965E-005</v>
      </c>
      <c r="G176" s="1" t="s">
        <v>27</v>
      </c>
      <c r="H176" s="1" t="n">
        <v>84.3</v>
      </c>
      <c r="I176" s="1" t="n">
        <v>228.2</v>
      </c>
      <c r="J176" s="1" t="n">
        <v>0</v>
      </c>
      <c r="K176" s="1"/>
      <c r="L176" s="1" t="n">
        <v>0</v>
      </c>
      <c r="M176" s="1" t="n">
        <v>0</v>
      </c>
      <c r="N176" s="1" t="s">
        <v>180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Z176" s="0" t="n">
        <f aca="false">I176+65</f>
        <v>293.2</v>
      </c>
      <c r="AB176" s="0" t="n">
        <f aca="false">IF(Z176&gt;360,Z176-360,Z176+0)</f>
        <v>293.2</v>
      </c>
    </row>
    <row r="177" customFormat="false" ht="15.8" hidden="false" customHeight="false" outlineLevel="0" collapsed="false">
      <c r="A177" s="1" t="n">
        <v>2</v>
      </c>
      <c r="B177" s="1" t="n">
        <v>5</v>
      </c>
      <c r="C177" s="1" t="n">
        <v>0.9</v>
      </c>
      <c r="D177" s="1" t="n">
        <v>1.009</v>
      </c>
      <c r="E177" s="1" t="n">
        <v>0.032349</v>
      </c>
      <c r="F177" s="1" t="n">
        <v>9.29819E-005</v>
      </c>
      <c r="G177" s="1" t="s">
        <v>27</v>
      </c>
      <c r="H177" s="1" t="n">
        <v>111.2</v>
      </c>
      <c r="I177" s="1" t="n">
        <v>253.4</v>
      </c>
      <c r="J177" s="1" t="n">
        <v>0</v>
      </c>
      <c r="K177" s="1"/>
      <c r="L177" s="1" t="n">
        <v>0</v>
      </c>
      <c r="M177" s="1" t="n">
        <v>0</v>
      </c>
      <c r="N177" s="1" t="s">
        <v>181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Z177" s="0" t="n">
        <f aca="false">I177+65</f>
        <v>318.4</v>
      </c>
      <c r="AB177" s="0" t="n">
        <f aca="false">IF(Z177&gt;360,Z177-360,Z177+0)</f>
        <v>318.4</v>
      </c>
    </row>
    <row r="178" customFormat="false" ht="15.8" hidden="false" customHeight="false" outlineLevel="0" collapsed="false">
      <c r="A178" s="1" t="n">
        <v>2</v>
      </c>
      <c r="B178" s="1" t="n">
        <v>7</v>
      </c>
      <c r="C178" s="1" t="n">
        <v>1.4</v>
      </c>
      <c r="D178" s="1" t="n">
        <v>1.155</v>
      </c>
      <c r="E178" s="1" t="n">
        <v>0.0513409</v>
      </c>
      <c r="F178" s="1" t="n">
        <v>0.000147571</v>
      </c>
      <c r="G178" s="1" t="s">
        <v>27</v>
      </c>
      <c r="H178" s="1" t="n">
        <v>123</v>
      </c>
      <c r="I178" s="1" t="n">
        <v>296.3</v>
      </c>
      <c r="J178" s="1" t="n">
        <v>-18.5</v>
      </c>
      <c r="K178" s="1"/>
      <c r="L178" s="1" t="n">
        <v>0</v>
      </c>
      <c r="M178" s="1" t="n">
        <v>0</v>
      </c>
      <c r="N178" s="1" t="s">
        <v>182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Z178" s="0" t="n">
        <f aca="false">I178+65</f>
        <v>361.3</v>
      </c>
      <c r="AB178" s="0" t="n">
        <f aca="false">IF(Z178&gt;360,Z178-360,Z178+0)</f>
        <v>1.30000000000001</v>
      </c>
    </row>
    <row r="179" customFormat="false" ht="15.8" hidden="false" customHeight="false" outlineLevel="0" collapsed="false">
      <c r="A179" s="1" t="n">
        <v>2</v>
      </c>
      <c r="B179" s="1" t="n">
        <v>7</v>
      </c>
      <c r="C179" s="1" t="n">
        <v>2.3</v>
      </c>
      <c r="D179" s="1" t="n">
        <v>1.6201</v>
      </c>
      <c r="E179" s="1" t="n">
        <v>0.0815776</v>
      </c>
      <c r="F179" s="1" t="n">
        <v>0.000234481</v>
      </c>
      <c r="G179" s="1" t="s">
        <v>27</v>
      </c>
      <c r="H179" s="1" t="n">
        <v>10.8</v>
      </c>
      <c r="I179" s="1" t="n">
        <v>42.6</v>
      </c>
      <c r="J179" s="1" t="n">
        <v>34</v>
      </c>
      <c r="K179" s="1"/>
      <c r="L179" s="1" t="n">
        <v>0</v>
      </c>
      <c r="M179" s="1" t="n">
        <v>0</v>
      </c>
      <c r="N179" s="1" t="s">
        <v>182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Z179" s="0" t="n">
        <f aca="false">I179+65</f>
        <v>107.6</v>
      </c>
      <c r="AB179" s="0" t="n">
        <f aca="false">IF(Z179&gt;360,Z179-360,Z179+0)</f>
        <v>107.6</v>
      </c>
    </row>
    <row r="180" customFormat="false" ht="15.8" hidden="false" customHeight="false" outlineLevel="0" collapsed="false">
      <c r="A180" s="1" t="n">
        <v>2</v>
      </c>
      <c r="B180" s="1" t="n">
        <v>6</v>
      </c>
      <c r="C180" s="1" t="n">
        <v>2.5</v>
      </c>
      <c r="D180" s="1" t="n">
        <v>1.3453</v>
      </c>
      <c r="E180" s="1" t="n">
        <v>0.0892834</v>
      </c>
      <c r="F180" s="1" t="n">
        <v>0.00025663</v>
      </c>
      <c r="G180" s="1" t="s">
        <v>37</v>
      </c>
      <c r="H180" s="1" t="n">
        <v>23</v>
      </c>
      <c r="I180" s="1" t="n">
        <v>54.2</v>
      </c>
      <c r="J180" s="1" t="n">
        <v>39.6</v>
      </c>
      <c r="K180" s="1" t="n">
        <v>123</v>
      </c>
      <c r="L180" s="1" t="n">
        <v>0</v>
      </c>
      <c r="M180" s="1" t="n">
        <v>0</v>
      </c>
      <c r="N180" s="1" t="s">
        <v>183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Z180" s="0" t="n">
        <f aca="false">I180+65</f>
        <v>119.2</v>
      </c>
      <c r="AB180" s="0" t="n">
        <f aca="false">IF(Z180&gt;360,Z180-360,Z180+0)</f>
        <v>119.2</v>
      </c>
    </row>
    <row r="181" customFormat="false" ht="15.8" hidden="false" customHeight="false" outlineLevel="0" collapsed="false">
      <c r="A181" s="1" t="n">
        <v>2</v>
      </c>
      <c r="B181" s="1" t="n">
        <v>6</v>
      </c>
      <c r="C181" s="1" t="n">
        <v>1.2</v>
      </c>
      <c r="D181" s="1" t="n">
        <v>1.2115</v>
      </c>
      <c r="E181" s="1" t="n">
        <v>0.0444295</v>
      </c>
      <c r="F181" s="1" t="n">
        <v>0.000127705</v>
      </c>
      <c r="G181" s="1" t="s">
        <v>27</v>
      </c>
      <c r="H181" s="1" t="n">
        <v>68.8</v>
      </c>
      <c r="I181" s="1" t="n">
        <v>336.9</v>
      </c>
      <c r="J181" s="1" t="n">
        <v>22.6</v>
      </c>
      <c r="K181" s="1"/>
      <c r="L181" s="1" t="n">
        <v>0</v>
      </c>
      <c r="M181" s="1" t="n">
        <v>0</v>
      </c>
      <c r="N181" s="1" t="s">
        <v>183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Z181" s="0" t="n">
        <f aca="false">I181+65</f>
        <v>401.9</v>
      </c>
      <c r="AB181" s="0" t="n">
        <f aca="false">IF(Z181&gt;360,Z181-360,Z181+0)</f>
        <v>41.9</v>
      </c>
    </row>
    <row r="182" customFormat="false" ht="15.8" hidden="false" customHeight="false" outlineLevel="0" collapsed="false">
      <c r="A182" s="1" t="n">
        <v>2</v>
      </c>
      <c r="B182" s="1" t="n">
        <v>5</v>
      </c>
      <c r="C182" s="1" t="n">
        <v>1.5</v>
      </c>
      <c r="D182" s="1" t="n">
        <v>1.1399</v>
      </c>
      <c r="E182" s="1" t="n">
        <v>0.0546602</v>
      </c>
      <c r="F182" s="1" t="n">
        <v>0.000157112</v>
      </c>
      <c r="G182" s="1" t="s">
        <v>37</v>
      </c>
      <c r="H182" s="1" t="n">
        <v>84.5</v>
      </c>
      <c r="I182" s="1" t="n">
        <v>63.9</v>
      </c>
      <c r="J182" s="1" t="n">
        <v>61.8</v>
      </c>
      <c r="K182" s="1" t="n">
        <v>68.8</v>
      </c>
      <c r="L182" s="1" t="n">
        <v>0</v>
      </c>
      <c r="M182" s="1" t="n">
        <v>0</v>
      </c>
      <c r="N182" s="1" t="s">
        <v>181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Z182" s="0" t="n">
        <f aca="false">I182+65</f>
        <v>128.9</v>
      </c>
      <c r="AB182" s="0" t="n">
        <f aca="false">IF(Z182&gt;360,Z182-360,Z182+0)</f>
        <v>128.9</v>
      </c>
    </row>
    <row r="183" customFormat="false" ht="15.8" hidden="false" customHeight="false" outlineLevel="0" collapsed="false">
      <c r="A183" s="1" t="n">
        <v>2</v>
      </c>
      <c r="B183" s="1" t="n">
        <v>7</v>
      </c>
      <c r="C183" s="1" t="n">
        <v>1</v>
      </c>
      <c r="D183" s="1" t="n">
        <v>1.0327</v>
      </c>
      <c r="E183" s="1" t="n">
        <v>0.0372118</v>
      </c>
      <c r="F183" s="1" t="n">
        <v>0.000106959</v>
      </c>
      <c r="G183" s="1" t="s">
        <v>27</v>
      </c>
      <c r="H183" s="1" t="n">
        <v>73.2</v>
      </c>
      <c r="I183" s="1" t="n">
        <v>242.5</v>
      </c>
      <c r="J183" s="1" t="n">
        <v>0</v>
      </c>
      <c r="K183" s="1"/>
      <c r="L183" s="1" t="n">
        <v>0</v>
      </c>
      <c r="M183" s="1" t="n">
        <v>0</v>
      </c>
      <c r="N183" s="1" t="s">
        <v>184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Z183" s="0" t="n">
        <f aca="false">I183+65</f>
        <v>307.5</v>
      </c>
      <c r="AB183" s="0" t="n">
        <f aca="false">IF(Z183&gt;360,Z183-360,Z183+0)</f>
        <v>307.5</v>
      </c>
    </row>
    <row r="184" customFormat="false" ht="15.8" hidden="false" customHeight="false" outlineLevel="0" collapsed="false">
      <c r="A184" s="1" t="n">
        <v>2</v>
      </c>
      <c r="B184" s="1" t="n">
        <v>11</v>
      </c>
      <c r="C184" s="1" t="n">
        <v>1</v>
      </c>
      <c r="D184" s="1" t="n">
        <v>1.3741</v>
      </c>
      <c r="E184" s="1" t="n">
        <v>0.0357381</v>
      </c>
      <c r="F184" s="1" t="n">
        <v>0.000102723</v>
      </c>
      <c r="G184" s="1" t="s">
        <v>27</v>
      </c>
      <c r="H184" s="1" t="n">
        <v>50</v>
      </c>
      <c r="I184" s="1" t="n">
        <v>160.4</v>
      </c>
      <c r="J184" s="1" t="n">
        <v>0</v>
      </c>
      <c r="K184" s="1"/>
      <c r="L184" s="1" t="n">
        <v>0</v>
      </c>
      <c r="M184" s="1" t="n">
        <v>0</v>
      </c>
      <c r="N184" s="1" t="s">
        <v>185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Z184" s="0" t="n">
        <f aca="false">I184+65</f>
        <v>225.4</v>
      </c>
      <c r="AB184" s="0" t="n">
        <f aca="false">IF(Z184&gt;360,Z184-360,Z184+0)</f>
        <v>225.4</v>
      </c>
    </row>
    <row r="185" customFormat="false" ht="15.8" hidden="false" customHeight="false" outlineLevel="0" collapsed="false">
      <c r="A185" s="1" t="n">
        <v>2</v>
      </c>
      <c r="B185" s="1" t="n">
        <v>11</v>
      </c>
      <c r="C185" s="1" t="n">
        <v>5.2</v>
      </c>
      <c r="D185" s="1" t="n">
        <v>1.4949</v>
      </c>
      <c r="E185" s="1" t="n">
        <v>0.187482</v>
      </c>
      <c r="F185" s="1" t="n">
        <v>0.000538885</v>
      </c>
      <c r="G185" s="1" t="s">
        <v>27</v>
      </c>
      <c r="H185" s="1" t="n">
        <v>26.1</v>
      </c>
      <c r="I185" s="1" t="n">
        <v>133.6</v>
      </c>
      <c r="J185" s="1" t="n">
        <v>19.7</v>
      </c>
      <c r="K185" s="1"/>
      <c r="L185" s="1" t="n">
        <v>0</v>
      </c>
      <c r="M185" s="1" t="n">
        <v>0</v>
      </c>
      <c r="N185" s="1" t="s">
        <v>185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Z185" s="0" t="n">
        <f aca="false">I185+65</f>
        <v>198.6</v>
      </c>
      <c r="AB185" s="0" t="n">
        <f aca="false">IF(Z185&gt;360,Z185-360,Z185+0)</f>
        <v>198.6</v>
      </c>
    </row>
    <row r="186" customFormat="false" ht="15.8" hidden="false" customHeight="false" outlineLevel="0" collapsed="false">
      <c r="A186" s="1" t="n">
        <v>2</v>
      </c>
      <c r="B186" s="1" t="n">
        <v>10</v>
      </c>
      <c r="C186" s="1" t="n">
        <v>1.3</v>
      </c>
      <c r="D186" s="1" t="n">
        <v>1.2063</v>
      </c>
      <c r="E186" s="1" t="n">
        <v>0.0475314</v>
      </c>
      <c r="F186" s="1" t="n">
        <v>0.000136621</v>
      </c>
      <c r="G186" s="1" t="s">
        <v>37</v>
      </c>
      <c r="H186" s="1" t="n">
        <v>18.9</v>
      </c>
      <c r="I186" s="1" t="n">
        <v>137.4</v>
      </c>
      <c r="J186" s="1" t="n">
        <v>45.6</v>
      </c>
      <c r="K186" s="1" t="n">
        <v>50</v>
      </c>
      <c r="L186" s="1" t="n">
        <v>0</v>
      </c>
      <c r="M186" s="1" t="n">
        <v>0</v>
      </c>
      <c r="N186" s="1" t="s">
        <v>186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Z186" s="0" t="n">
        <f aca="false">I186+65</f>
        <v>202.4</v>
      </c>
      <c r="AB186" s="0" t="n">
        <f aca="false">IF(Z186&gt;360,Z186-360,Z186+0)</f>
        <v>202.4</v>
      </c>
    </row>
    <row r="187" customFormat="false" ht="15.8" hidden="false" customHeight="false" outlineLevel="0" collapsed="false">
      <c r="A187" s="1" t="n">
        <v>2</v>
      </c>
      <c r="B187" s="1" t="n">
        <v>10</v>
      </c>
      <c r="C187" s="1" t="n">
        <v>0.9</v>
      </c>
      <c r="D187" s="1" t="n">
        <v>1.0254</v>
      </c>
      <c r="E187" s="1" t="n">
        <v>0.0328587</v>
      </c>
      <c r="F187" s="1" t="n">
        <v>9.4447E-005</v>
      </c>
      <c r="G187" s="1" t="s">
        <v>27</v>
      </c>
      <c r="H187" s="1" t="n">
        <v>59.7</v>
      </c>
      <c r="I187" s="1" t="n">
        <v>71.1</v>
      </c>
      <c r="J187" s="1" t="n">
        <v>0</v>
      </c>
      <c r="K187" s="1"/>
      <c r="L187" s="1" t="n">
        <v>0</v>
      </c>
      <c r="M187" s="1" t="n">
        <v>0</v>
      </c>
      <c r="N187" s="1" t="s">
        <v>186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Z187" s="0" t="n">
        <f aca="false">I187+65</f>
        <v>136.1</v>
      </c>
      <c r="AB187" s="0" t="n">
        <f aca="false">IF(Z187&gt;360,Z187-360,Z187+0)</f>
        <v>136.1</v>
      </c>
    </row>
    <row r="188" customFormat="false" ht="15.8" hidden="false" customHeight="false" outlineLevel="0" collapsed="false">
      <c r="A188" s="1" t="n">
        <v>2</v>
      </c>
      <c r="B188" s="1" t="n">
        <v>9</v>
      </c>
      <c r="C188" s="1" t="n">
        <v>2.1</v>
      </c>
      <c r="D188" s="1" t="n">
        <v>1.3924</v>
      </c>
      <c r="E188" s="1" t="n">
        <v>0.0771072</v>
      </c>
      <c r="F188" s="1" t="n">
        <v>0.000221632</v>
      </c>
      <c r="G188" s="1" t="s">
        <v>37</v>
      </c>
      <c r="H188" s="1" t="n">
        <v>19.2</v>
      </c>
      <c r="I188" s="1" t="n">
        <v>109.8</v>
      </c>
      <c r="J188" s="1" t="n">
        <v>49.7</v>
      </c>
      <c r="K188" s="1" t="n">
        <v>59.7</v>
      </c>
      <c r="L188" s="1" t="n">
        <v>0</v>
      </c>
      <c r="M188" s="1" t="n">
        <v>0</v>
      </c>
      <c r="N188" s="1" t="s">
        <v>187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Z188" s="0" t="n">
        <f aca="false">I188+65</f>
        <v>174.8</v>
      </c>
      <c r="AB188" s="0" t="n">
        <f aca="false">IF(Z188&gt;360,Z188-360,Z188+0)</f>
        <v>174.8</v>
      </c>
    </row>
    <row r="189" customFormat="false" ht="15.8" hidden="false" customHeight="false" outlineLevel="0" collapsed="false">
      <c r="A189" s="1" t="n">
        <v>2</v>
      </c>
      <c r="B189" s="1" t="n">
        <v>9</v>
      </c>
      <c r="C189" s="1" t="n">
        <v>1.8</v>
      </c>
      <c r="D189" s="1" t="n">
        <v>1.1967</v>
      </c>
      <c r="E189" s="1" t="n">
        <v>0.0633434</v>
      </c>
      <c r="F189" s="1" t="n">
        <v>0.00018207</v>
      </c>
      <c r="G189" s="1" t="s">
        <v>27</v>
      </c>
      <c r="H189" s="1" t="n">
        <v>59.4</v>
      </c>
      <c r="I189" s="1" t="n">
        <v>55.6</v>
      </c>
      <c r="J189" s="1" t="n">
        <v>32.2</v>
      </c>
      <c r="K189" s="1"/>
      <c r="L189" s="1" t="n">
        <v>0</v>
      </c>
      <c r="M189" s="1" t="n">
        <v>0</v>
      </c>
      <c r="N189" s="1" t="s">
        <v>187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Z189" s="0" t="n">
        <f aca="false">I189+65</f>
        <v>120.6</v>
      </c>
      <c r="AB189" s="0" t="n">
        <f aca="false">IF(Z189&gt;360,Z189-360,Z189+0)</f>
        <v>120.6</v>
      </c>
    </row>
    <row r="190" customFormat="false" ht="15.8" hidden="false" customHeight="false" outlineLevel="0" collapsed="false">
      <c r="A190" s="1" t="n">
        <v>2</v>
      </c>
      <c r="B190" s="1" t="n">
        <v>8</v>
      </c>
      <c r="C190" s="1" t="n">
        <v>2.4</v>
      </c>
      <c r="D190" s="1" t="n">
        <v>1.2056</v>
      </c>
      <c r="E190" s="1" t="n">
        <v>0.0857328</v>
      </c>
      <c r="F190" s="1" t="n">
        <v>0.000246425</v>
      </c>
      <c r="G190" s="1" t="s">
        <v>37</v>
      </c>
      <c r="H190" s="1" t="n">
        <v>13.5</v>
      </c>
      <c r="I190" s="1" t="n">
        <v>129.1</v>
      </c>
      <c r="J190" s="1" t="n">
        <v>36.5</v>
      </c>
      <c r="K190" s="1" t="n">
        <v>59.4</v>
      </c>
      <c r="L190" s="1" t="n">
        <v>0</v>
      </c>
      <c r="M190" s="1" t="n">
        <v>0</v>
      </c>
      <c r="N190" s="1" t="s">
        <v>188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Z190" s="0" t="n">
        <f aca="false">I190+65</f>
        <v>194.1</v>
      </c>
      <c r="AB190" s="0" t="n">
        <f aca="false">IF(Z190&gt;360,Z190-360,Z190+0)</f>
        <v>194.1</v>
      </c>
    </row>
    <row r="191" customFormat="false" ht="15.8" hidden="false" customHeight="false" outlineLevel="0" collapsed="false">
      <c r="A191" s="1" t="n">
        <v>2</v>
      </c>
      <c r="B191" s="1" t="n">
        <v>8</v>
      </c>
      <c r="C191" s="1" t="n">
        <v>4.8</v>
      </c>
      <c r="D191" s="1" t="n">
        <v>1.3351</v>
      </c>
      <c r="E191" s="1" t="n">
        <v>0.173054</v>
      </c>
      <c r="F191" s="1" t="n">
        <v>0.000497414</v>
      </c>
      <c r="G191" s="1" t="s">
        <v>27</v>
      </c>
      <c r="H191" s="1" t="n">
        <v>107.6</v>
      </c>
      <c r="I191" s="1" t="n">
        <v>287.8</v>
      </c>
      <c r="J191" s="1" t="n">
        <v>19</v>
      </c>
      <c r="K191" s="1"/>
      <c r="L191" s="1" t="n">
        <v>0</v>
      </c>
      <c r="M191" s="1" t="n">
        <v>0</v>
      </c>
      <c r="N191" s="1" t="s">
        <v>188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Z191" s="0" t="n">
        <f aca="false">I191+65</f>
        <v>352.8</v>
      </c>
      <c r="AB191" s="0" t="n">
        <f aca="false">IF(Z191&gt;360,Z191-360,Z191+0)</f>
        <v>352.8</v>
      </c>
    </row>
    <row r="192" customFormat="false" ht="15.8" hidden="false" customHeight="false" outlineLevel="0" collapsed="false">
      <c r="A192" s="1" t="n">
        <v>2</v>
      </c>
      <c r="B192" s="1" t="n">
        <v>7</v>
      </c>
      <c r="C192" s="1" t="n">
        <v>2.6</v>
      </c>
      <c r="D192" s="1" t="n">
        <v>1.2497</v>
      </c>
      <c r="E192" s="1" t="n">
        <v>0.0926996</v>
      </c>
      <c r="F192" s="1" t="n">
        <v>0.000266449</v>
      </c>
      <c r="G192" s="1" t="s">
        <v>37</v>
      </c>
      <c r="H192" s="1" t="n">
        <v>64.8</v>
      </c>
      <c r="I192" s="1" t="n">
        <v>134.3</v>
      </c>
      <c r="J192" s="1" t="n">
        <v>49.4</v>
      </c>
      <c r="K192" s="1" t="n">
        <v>107.6</v>
      </c>
      <c r="L192" s="1" t="n">
        <v>0</v>
      </c>
      <c r="M192" s="1" t="n">
        <v>0</v>
      </c>
      <c r="N192" s="1" t="s">
        <v>184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Z192" s="0" t="n">
        <f aca="false">I192+65</f>
        <v>199.3</v>
      </c>
      <c r="AB192" s="0" t="n">
        <f aca="false">IF(Z192&gt;360,Z192-360,Z192+0)</f>
        <v>199.3</v>
      </c>
    </row>
    <row r="193" customFormat="false" ht="15.8" hidden="false" customHeight="false" outlineLevel="0" collapsed="false">
      <c r="A193" s="1" t="n">
        <v>2</v>
      </c>
      <c r="B193" s="1" t="n">
        <v>6</v>
      </c>
      <c r="C193" s="1" t="n">
        <v>6.6</v>
      </c>
      <c r="D193" s="1" t="n">
        <v>1.1177</v>
      </c>
      <c r="E193" s="1" t="n">
        <v>0.236722</v>
      </c>
      <c r="F193" s="1" t="n">
        <v>0.000680419</v>
      </c>
      <c r="G193" s="1" t="s">
        <v>37</v>
      </c>
      <c r="H193" s="1" t="n">
        <v>55.4</v>
      </c>
      <c r="I193" s="1" t="n">
        <v>169.5</v>
      </c>
      <c r="J193" s="1" t="n">
        <v>-7.6</v>
      </c>
      <c r="K193" s="1" t="n">
        <v>73.2</v>
      </c>
      <c r="L193" s="1" t="n">
        <v>0</v>
      </c>
      <c r="M193" s="1" t="n">
        <v>0</v>
      </c>
      <c r="N193" s="1" t="s">
        <v>189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Z193" s="0" t="n">
        <f aca="false">I193+65</f>
        <v>234.5</v>
      </c>
      <c r="AB193" s="0" t="n">
        <f aca="false">IF(Z193&gt;360,Z193-360,Z193+0)</f>
        <v>234.5</v>
      </c>
    </row>
    <row r="194" customFormat="false" ht="15.8" hidden="false" customHeight="false" outlineLevel="0" collapsed="false">
      <c r="A194" s="1" t="n">
        <v>2</v>
      </c>
      <c r="B194" s="1" t="n">
        <v>8</v>
      </c>
      <c r="C194" s="1" t="n">
        <v>3</v>
      </c>
      <c r="D194" s="1" t="n">
        <v>1.1602</v>
      </c>
      <c r="E194" s="1" t="n">
        <v>0.10937</v>
      </c>
      <c r="F194" s="1" t="n">
        <v>0.000314365</v>
      </c>
      <c r="G194" s="1" t="s">
        <v>27</v>
      </c>
      <c r="H194" s="1" t="n">
        <v>50.7</v>
      </c>
      <c r="I194" s="1" t="n">
        <v>124.3</v>
      </c>
      <c r="J194" s="1" t="n">
        <v>17.4</v>
      </c>
      <c r="K194" s="1"/>
      <c r="L194" s="1" t="n">
        <v>0</v>
      </c>
      <c r="M194" s="1" t="n">
        <v>0</v>
      </c>
      <c r="N194" s="1" t="s">
        <v>190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Z194" s="0" t="n">
        <f aca="false">I194+65</f>
        <v>189.3</v>
      </c>
      <c r="AB194" s="0" t="n">
        <f aca="false">IF(Z194&gt;360,Z194-360,Z194+0)</f>
        <v>189.3</v>
      </c>
    </row>
    <row r="195" customFormat="false" ht="15.8" hidden="false" customHeight="false" outlineLevel="0" collapsed="false">
      <c r="A195" s="1" t="n">
        <v>2</v>
      </c>
      <c r="B195" s="1" t="n">
        <v>9</v>
      </c>
      <c r="C195" s="1" t="n">
        <v>5.2</v>
      </c>
      <c r="D195" s="1" t="n">
        <v>1.9203</v>
      </c>
      <c r="E195" s="1" t="n">
        <v>0.189228</v>
      </c>
      <c r="F195" s="1" t="n">
        <v>0.000543904</v>
      </c>
      <c r="G195" s="1" t="s">
        <v>27</v>
      </c>
      <c r="H195" s="1" t="n">
        <v>65.4</v>
      </c>
      <c r="I195" s="1" t="n">
        <v>168.4</v>
      </c>
      <c r="J195" s="1" t="n">
        <v>-25.4</v>
      </c>
      <c r="K195" s="1"/>
      <c r="L195" s="1" t="n">
        <v>0</v>
      </c>
      <c r="M195" s="1" t="n">
        <v>0</v>
      </c>
      <c r="N195" s="1" t="s">
        <v>191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Z195" s="0" t="n">
        <f aca="false">I195+65</f>
        <v>233.4</v>
      </c>
      <c r="AB195" s="0" t="n">
        <f aca="false">IF(Z195&gt;360,Z195-360,Z195+0)</f>
        <v>233.4</v>
      </c>
    </row>
    <row r="196" customFormat="false" ht="15.8" hidden="false" customHeight="false" outlineLevel="0" collapsed="false">
      <c r="A196" s="1" t="n">
        <v>2</v>
      </c>
      <c r="B196" s="1" t="n">
        <v>9</v>
      </c>
      <c r="C196" s="1" t="n">
        <v>0.6</v>
      </c>
      <c r="D196" s="1" t="n">
        <v>1.0064</v>
      </c>
      <c r="E196" s="1" t="n">
        <v>0.0222176</v>
      </c>
      <c r="F196" s="1" t="n">
        <v>6.38608E-005</v>
      </c>
      <c r="G196" s="1" t="s">
        <v>27</v>
      </c>
      <c r="H196" s="1" t="n">
        <v>79.5</v>
      </c>
      <c r="I196" s="1" t="n">
        <v>163.6</v>
      </c>
      <c r="J196" s="1" t="n">
        <v>0</v>
      </c>
      <c r="K196" s="1"/>
      <c r="L196" s="1" t="n">
        <v>0</v>
      </c>
      <c r="M196" s="1" t="n">
        <v>0</v>
      </c>
      <c r="N196" s="1" t="s">
        <v>191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Z196" s="0" t="n">
        <f aca="false">I196+65</f>
        <v>228.6</v>
      </c>
      <c r="AB196" s="0" t="n">
        <f aca="false">IF(Z196&gt;360,Z196-360,Z196+0)</f>
        <v>228.6</v>
      </c>
    </row>
    <row r="197" customFormat="false" ht="15.8" hidden="false" customHeight="false" outlineLevel="0" collapsed="false">
      <c r="A197" s="1" t="n">
        <v>2</v>
      </c>
      <c r="B197" s="1" t="n">
        <v>8</v>
      </c>
      <c r="C197" s="1" t="n">
        <v>1.2</v>
      </c>
      <c r="D197" s="1" t="n">
        <v>1.3745</v>
      </c>
      <c r="E197" s="1" t="n">
        <v>0.0445228</v>
      </c>
      <c r="F197" s="1" t="n">
        <v>0.000127973</v>
      </c>
      <c r="G197" s="1" t="s">
        <v>37</v>
      </c>
      <c r="H197" s="1" t="n">
        <v>78.1</v>
      </c>
      <c r="I197" s="1" t="n">
        <v>242</v>
      </c>
      <c r="J197" s="1" t="n">
        <v>-25.8</v>
      </c>
      <c r="K197" s="1" t="n">
        <v>79.5</v>
      </c>
      <c r="L197" s="1" t="n">
        <v>0</v>
      </c>
      <c r="M197" s="1" t="n">
        <v>0</v>
      </c>
      <c r="N197" s="1" t="s">
        <v>190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Z197" s="0" t="n">
        <f aca="false">I197+65</f>
        <v>307</v>
      </c>
      <c r="AB197" s="0" t="n">
        <f aca="false">IF(Z197&gt;360,Z197-360,Z197+0)</f>
        <v>307</v>
      </c>
    </row>
    <row r="198" customFormat="false" ht="15.8" hidden="false" customHeight="false" outlineLevel="0" collapsed="false">
      <c r="A198" s="1" t="n">
        <v>2</v>
      </c>
      <c r="B198" s="1" t="n">
        <v>7</v>
      </c>
      <c r="C198" s="1" t="n">
        <v>2.4</v>
      </c>
      <c r="D198" s="1" t="n">
        <v>1.2403</v>
      </c>
      <c r="E198" s="1" t="n">
        <v>0.0851105</v>
      </c>
      <c r="F198" s="1" t="n">
        <v>0.000244636</v>
      </c>
      <c r="G198" s="1" t="s">
        <v>37</v>
      </c>
      <c r="H198" s="1" t="n">
        <v>71.1</v>
      </c>
      <c r="I198" s="1" t="n">
        <v>154</v>
      </c>
      <c r="J198" s="1" t="n">
        <v>-24.2</v>
      </c>
      <c r="K198" s="1" t="n">
        <v>78.1</v>
      </c>
      <c r="L198" s="1" t="n">
        <v>0</v>
      </c>
      <c r="M198" s="1" t="n">
        <v>0</v>
      </c>
      <c r="N198" s="1" t="s">
        <v>192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Z198" s="0" t="n">
        <f aca="false">I198+65</f>
        <v>219</v>
      </c>
      <c r="AB198" s="0" t="n">
        <f aca="false">IF(Z198&gt;360,Z198-360,Z198+0)</f>
        <v>219</v>
      </c>
    </row>
    <row r="199" customFormat="false" ht="15.8" hidden="false" customHeight="false" outlineLevel="0" collapsed="false">
      <c r="A199" s="1" t="n">
        <v>2</v>
      </c>
      <c r="B199" s="1" t="n">
        <v>8</v>
      </c>
      <c r="C199" s="1" t="n">
        <v>0.6</v>
      </c>
      <c r="D199" s="1" t="n">
        <v>1.0027</v>
      </c>
      <c r="E199" s="1" t="n">
        <v>0.0233071</v>
      </c>
      <c r="F199" s="1" t="n">
        <v>6.69924E-005</v>
      </c>
      <c r="G199" s="1" t="s">
        <v>27</v>
      </c>
      <c r="H199" s="1" t="n">
        <v>79.6</v>
      </c>
      <c r="I199" s="1" t="n">
        <v>311.4</v>
      </c>
      <c r="J199" s="1" t="n">
        <v>0</v>
      </c>
      <c r="K199" s="1"/>
      <c r="L199" s="1" t="n">
        <v>0</v>
      </c>
      <c r="M199" s="1" t="n">
        <v>0</v>
      </c>
      <c r="N199" s="1" t="s">
        <v>193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Z199" s="0" t="n">
        <f aca="false">I199+65</f>
        <v>376.4</v>
      </c>
      <c r="AB199" s="0" t="n">
        <f aca="false">IF(Z199&gt;360,Z199-360,Z199+0)</f>
        <v>16.4</v>
      </c>
    </row>
    <row r="200" customFormat="false" ht="15.8" hidden="false" customHeight="false" outlineLevel="0" collapsed="false">
      <c r="A200" s="1" t="n">
        <v>2</v>
      </c>
      <c r="B200" s="1" t="n">
        <v>10</v>
      </c>
      <c r="C200" s="1" t="n">
        <v>0.7</v>
      </c>
      <c r="D200" s="1" t="n">
        <v>1.0036</v>
      </c>
      <c r="E200" s="1" t="n">
        <v>0.0263737</v>
      </c>
      <c r="F200" s="1" t="n">
        <v>7.58068E-005</v>
      </c>
      <c r="G200" s="1" t="s">
        <v>27</v>
      </c>
      <c r="H200" s="1" t="n">
        <v>48.1</v>
      </c>
      <c r="I200" s="1" t="n">
        <v>95.4</v>
      </c>
      <c r="J200" s="1" t="n">
        <v>0</v>
      </c>
      <c r="K200" s="1"/>
      <c r="L200" s="1" t="n">
        <v>0</v>
      </c>
      <c r="M200" s="1" t="n">
        <v>0</v>
      </c>
      <c r="N200" s="1" t="s">
        <v>194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Z200" s="0" t="n">
        <f aca="false">I200+65</f>
        <v>160.4</v>
      </c>
      <c r="AB200" s="0" t="n">
        <f aca="false">IF(Z200&gt;360,Z200-360,Z200+0)</f>
        <v>160.4</v>
      </c>
    </row>
    <row r="201" customFormat="false" ht="15.8" hidden="false" customHeight="false" outlineLevel="0" collapsed="false">
      <c r="A201" s="1" t="n">
        <v>2</v>
      </c>
      <c r="B201" s="1" t="n">
        <v>18</v>
      </c>
      <c r="C201" s="1" t="n">
        <v>3.9</v>
      </c>
      <c r="D201" s="1" t="n">
        <v>1.2304</v>
      </c>
      <c r="E201" s="1" t="n">
        <v>0.111365</v>
      </c>
      <c r="F201" s="1" t="n">
        <v>0.00025608</v>
      </c>
      <c r="G201" s="1" t="s">
        <v>27</v>
      </c>
      <c r="H201" s="1" t="n">
        <v>46.7</v>
      </c>
      <c r="I201" s="1" t="n">
        <v>115.4</v>
      </c>
      <c r="J201" s="1" t="n">
        <v>14.4</v>
      </c>
      <c r="K201" s="1"/>
      <c r="L201" s="1" t="n">
        <v>0</v>
      </c>
      <c r="M201" s="1" t="n">
        <v>0</v>
      </c>
      <c r="N201" s="1" t="s">
        <v>195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Z201" s="0" t="n">
        <f aca="false">I201+65</f>
        <v>180.4</v>
      </c>
      <c r="AB201" s="0" t="n">
        <f aca="false">IF(Z201&gt;360,Z201-360,Z201+0)</f>
        <v>180.4</v>
      </c>
    </row>
    <row r="202" customFormat="false" ht="15.8" hidden="false" customHeight="false" outlineLevel="0" collapsed="false">
      <c r="A202" s="1" t="n">
        <v>2</v>
      </c>
      <c r="B202" s="1" t="n">
        <v>19</v>
      </c>
      <c r="C202" s="1" t="n">
        <v>1.3</v>
      </c>
      <c r="D202" s="1" t="n">
        <v>1.106</v>
      </c>
      <c r="E202" s="1" t="n">
        <v>0.0378753</v>
      </c>
      <c r="F202" s="1" t="n">
        <v>8.70931E-005</v>
      </c>
      <c r="G202" s="1" t="s">
        <v>27</v>
      </c>
      <c r="H202" s="1" t="n">
        <v>107.2</v>
      </c>
      <c r="I202" s="1" t="n">
        <v>231.6</v>
      </c>
      <c r="J202" s="1" t="n">
        <v>0</v>
      </c>
      <c r="K202" s="1"/>
      <c r="L202" s="1" t="n">
        <v>0</v>
      </c>
      <c r="M202" s="1" t="n">
        <v>0</v>
      </c>
      <c r="N202" s="1" t="s">
        <v>196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Z202" s="0" t="n">
        <f aca="false">I202+65</f>
        <v>296.6</v>
      </c>
      <c r="AB202" s="0" t="n">
        <f aca="false">IF(Z202&gt;360,Z202-360,Z202+0)</f>
        <v>296.6</v>
      </c>
    </row>
    <row r="203" customFormat="false" ht="15.8" hidden="false" customHeight="false" outlineLevel="0" collapsed="false">
      <c r="A203" s="1" t="n">
        <v>2</v>
      </c>
      <c r="B203" s="1" t="n">
        <v>22</v>
      </c>
      <c r="C203" s="1" t="n">
        <v>2</v>
      </c>
      <c r="D203" s="1" t="n">
        <v>1.6455</v>
      </c>
      <c r="E203" s="1" t="n">
        <v>0.0569218</v>
      </c>
      <c r="F203" s="1" t="n">
        <v>0.00013089</v>
      </c>
      <c r="G203" s="1" t="s">
        <v>27</v>
      </c>
      <c r="H203" s="1" t="n">
        <v>7.8</v>
      </c>
      <c r="I203" s="1" t="n">
        <v>97.5</v>
      </c>
      <c r="J203" s="1" t="n">
        <v>19</v>
      </c>
      <c r="K203" s="1"/>
      <c r="L203" s="1" t="n">
        <v>0</v>
      </c>
      <c r="M203" s="1" t="n">
        <v>0</v>
      </c>
      <c r="N203" s="1" t="s">
        <v>197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Z203" s="0" t="n">
        <f aca="false">I203+65</f>
        <v>162.5</v>
      </c>
      <c r="AB203" s="0" t="n">
        <f aca="false">IF(Z203&gt;360,Z203-360,Z203+0)</f>
        <v>162.5</v>
      </c>
    </row>
    <row r="204" customFormat="false" ht="15.8" hidden="false" customHeight="false" outlineLevel="0" collapsed="false">
      <c r="A204" s="1" t="n">
        <v>2</v>
      </c>
      <c r="B204" s="1" t="n">
        <v>22</v>
      </c>
      <c r="C204" s="1" t="n">
        <v>1.6</v>
      </c>
      <c r="D204" s="1" t="n">
        <v>1.0409</v>
      </c>
      <c r="E204" s="1" t="n">
        <v>0.0474199</v>
      </c>
      <c r="F204" s="1" t="n">
        <v>0.00010904</v>
      </c>
      <c r="G204" s="1" t="s">
        <v>27</v>
      </c>
      <c r="H204" s="1" t="n">
        <v>40.9</v>
      </c>
      <c r="I204" s="1" t="n">
        <v>143.1</v>
      </c>
      <c r="J204" s="1" t="n">
        <v>0</v>
      </c>
      <c r="K204" s="1"/>
      <c r="L204" s="1" t="n">
        <v>0</v>
      </c>
      <c r="M204" s="1" t="n">
        <v>0</v>
      </c>
      <c r="N204" s="1" t="s">
        <v>197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Z204" s="0" t="n">
        <f aca="false">I204+65</f>
        <v>208.1</v>
      </c>
      <c r="AB204" s="0" t="n">
        <f aca="false">IF(Z204&gt;360,Z204-360,Z204+0)</f>
        <v>208.1</v>
      </c>
    </row>
    <row r="205" customFormat="false" ht="15.8" hidden="false" customHeight="false" outlineLevel="0" collapsed="false">
      <c r="A205" s="1" t="n">
        <v>2</v>
      </c>
      <c r="B205" s="1" t="n">
        <v>21</v>
      </c>
      <c r="C205" s="1" t="n">
        <v>7.1</v>
      </c>
      <c r="D205" s="1" t="n">
        <v>1.2058</v>
      </c>
      <c r="E205" s="1" t="n">
        <v>0.206055</v>
      </c>
      <c r="F205" s="1" t="n">
        <v>0.000473816</v>
      </c>
      <c r="G205" s="1" t="s">
        <v>37</v>
      </c>
      <c r="H205" s="1" t="n">
        <v>68.7</v>
      </c>
      <c r="I205" s="1" t="n">
        <v>104.7</v>
      </c>
      <c r="J205" s="1" t="n">
        <v>15.3</v>
      </c>
      <c r="K205" s="1" t="n">
        <v>40.9</v>
      </c>
      <c r="L205" s="1" t="n">
        <v>0</v>
      </c>
      <c r="M205" s="1" t="n">
        <v>0</v>
      </c>
      <c r="N205" s="1" t="s">
        <v>198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Z205" s="0" t="n">
        <f aca="false">I205+65</f>
        <v>169.7</v>
      </c>
      <c r="AB205" s="0" t="n">
        <f aca="false">IF(Z205&gt;360,Z205-360,Z205+0)</f>
        <v>169.7</v>
      </c>
    </row>
    <row r="206" customFormat="false" ht="15.8" hidden="false" customHeight="false" outlineLevel="0" collapsed="false">
      <c r="A206" s="1" t="n">
        <v>2</v>
      </c>
      <c r="B206" s="1" t="n">
        <v>22</v>
      </c>
      <c r="C206" s="1" t="n">
        <v>3.2</v>
      </c>
      <c r="D206" s="1" t="n">
        <v>1.019</v>
      </c>
      <c r="E206" s="1" t="n">
        <v>0.0920745</v>
      </c>
      <c r="F206" s="1" t="n">
        <v>0.000211722</v>
      </c>
      <c r="G206" s="1" t="s">
        <v>27</v>
      </c>
      <c r="H206" s="1" t="n">
        <v>47.1</v>
      </c>
      <c r="I206" s="1" t="n">
        <v>311.7</v>
      </c>
      <c r="J206" s="1" t="n">
        <v>0</v>
      </c>
      <c r="K206" s="1"/>
      <c r="L206" s="1" t="n">
        <v>0</v>
      </c>
      <c r="M206" s="1" t="n">
        <v>0</v>
      </c>
      <c r="N206" s="1" t="s">
        <v>199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Z206" s="0" t="n">
        <f aca="false">I206+65</f>
        <v>376.7</v>
      </c>
      <c r="AB206" s="0" t="n">
        <f aca="false">IF(Z206&gt;360,Z206-360,Z206+0)</f>
        <v>16.7</v>
      </c>
    </row>
    <row r="207" customFormat="false" ht="15.8" hidden="false" customHeight="false" outlineLevel="0" collapsed="false">
      <c r="A207" s="1" t="n">
        <v>2</v>
      </c>
      <c r="B207" s="1" t="n">
        <v>22</v>
      </c>
      <c r="C207" s="1" t="n">
        <v>1.1</v>
      </c>
      <c r="D207" s="1" t="n">
        <v>1.1628</v>
      </c>
      <c r="E207" s="1" t="n">
        <v>0.0327179</v>
      </c>
      <c r="F207" s="1" t="n">
        <v>7.52338E-005</v>
      </c>
      <c r="G207" s="1" t="s">
        <v>27</v>
      </c>
      <c r="H207" s="1" t="n">
        <v>66.5</v>
      </c>
      <c r="I207" s="1" t="n">
        <v>42.1</v>
      </c>
      <c r="J207" s="1" t="n">
        <v>23.6</v>
      </c>
      <c r="K207" s="1"/>
      <c r="L207" s="1" t="n">
        <v>0</v>
      </c>
      <c r="M207" s="1" t="n">
        <v>0</v>
      </c>
      <c r="N207" s="1" t="s">
        <v>199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Z207" s="0" t="n">
        <f aca="false">I207+65</f>
        <v>107.1</v>
      </c>
      <c r="AB207" s="0" t="n">
        <f aca="false">IF(Z207&gt;360,Z207-360,Z207+0)</f>
        <v>107.1</v>
      </c>
    </row>
    <row r="208" customFormat="false" ht="15.8" hidden="false" customHeight="false" outlineLevel="0" collapsed="false">
      <c r="A208" s="1" t="n">
        <v>2</v>
      </c>
      <c r="B208" s="1" t="n">
        <v>21</v>
      </c>
      <c r="C208" s="1" t="n">
        <v>0.6</v>
      </c>
      <c r="D208" s="1" t="n">
        <v>1.1785</v>
      </c>
      <c r="E208" s="1" t="n">
        <v>0.0183897</v>
      </c>
      <c r="F208" s="1" t="n">
        <v>4.22865E-005</v>
      </c>
      <c r="G208" s="1" t="s">
        <v>37</v>
      </c>
      <c r="H208" s="1" t="n">
        <v>60.7</v>
      </c>
      <c r="I208" s="1" t="n">
        <v>322</v>
      </c>
      <c r="J208" s="1" t="n">
        <v>46.2</v>
      </c>
      <c r="K208" s="1" t="n">
        <v>66.5</v>
      </c>
      <c r="L208" s="1" t="n">
        <v>0</v>
      </c>
      <c r="M208" s="1" t="n">
        <v>0</v>
      </c>
      <c r="N208" s="1" t="s">
        <v>198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Z208" s="0" t="n">
        <f aca="false">I208+65</f>
        <v>387</v>
      </c>
      <c r="AB208" s="0" t="n">
        <f aca="false">IF(Z208&gt;360,Z208-360,Z208+0)</f>
        <v>27</v>
      </c>
    </row>
    <row r="209" customFormat="false" ht="15.8" hidden="false" customHeight="false" outlineLevel="0" collapsed="false">
      <c r="A209" s="1" t="n">
        <v>2</v>
      </c>
      <c r="B209" s="1" t="n">
        <v>20</v>
      </c>
      <c r="C209" s="1" t="n">
        <v>1.2</v>
      </c>
      <c r="D209" s="1" t="n">
        <v>1.1285</v>
      </c>
      <c r="E209" s="1" t="n">
        <v>0.0342427</v>
      </c>
      <c r="F209" s="1" t="n">
        <v>7.874E-005</v>
      </c>
      <c r="G209" s="1" t="s">
        <v>37</v>
      </c>
      <c r="H209" s="1" t="n">
        <v>76.4</v>
      </c>
      <c r="I209" s="1" t="n">
        <v>31.9</v>
      </c>
      <c r="J209" s="1" t="n">
        <v>21.8</v>
      </c>
      <c r="K209" s="1" t="n">
        <v>68.7</v>
      </c>
      <c r="L209" s="1" t="n">
        <v>0</v>
      </c>
      <c r="M209" s="1" t="n">
        <v>0</v>
      </c>
      <c r="N209" s="1" t="s">
        <v>200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Z209" s="0" t="n">
        <f aca="false">I209+65</f>
        <v>96.9</v>
      </c>
      <c r="AB209" s="0" t="n">
        <f aca="false">IF(Z209&gt;360,Z209-360,Z209+0)</f>
        <v>96.9</v>
      </c>
    </row>
    <row r="210" customFormat="false" ht="15.8" hidden="false" customHeight="false" outlineLevel="0" collapsed="false">
      <c r="A210" s="1" t="n">
        <v>2</v>
      </c>
      <c r="B210" s="1" t="n">
        <v>20</v>
      </c>
      <c r="C210" s="1" t="n">
        <v>6.5</v>
      </c>
      <c r="D210" s="1" t="n">
        <v>1.1251</v>
      </c>
      <c r="E210" s="1" t="n">
        <v>0.18863</v>
      </c>
      <c r="F210" s="1" t="n">
        <v>0.000433748</v>
      </c>
      <c r="G210" s="1" t="s">
        <v>27</v>
      </c>
      <c r="H210" s="1" t="n">
        <v>49.4</v>
      </c>
      <c r="I210" s="1" t="n">
        <v>122.8</v>
      </c>
      <c r="J210" s="1" t="n">
        <v>3.9</v>
      </c>
      <c r="K210" s="1"/>
      <c r="L210" s="1" t="n">
        <v>0</v>
      </c>
      <c r="M210" s="1" t="n">
        <v>0</v>
      </c>
      <c r="N210" s="1" t="s">
        <v>200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Z210" s="0" t="n">
        <f aca="false">I210+65</f>
        <v>187.8</v>
      </c>
      <c r="AB210" s="0" t="n">
        <f aca="false">IF(Z210&gt;360,Z210-360,Z210+0)</f>
        <v>187.8</v>
      </c>
    </row>
    <row r="211" customFormat="false" ht="15.8" hidden="false" customHeight="false" outlineLevel="0" collapsed="false">
      <c r="A211" s="1" t="n">
        <v>2</v>
      </c>
      <c r="B211" s="1" t="n">
        <v>19</v>
      </c>
      <c r="C211" s="1" t="n">
        <v>0.6</v>
      </c>
      <c r="D211" s="1" t="n">
        <v>1.1766</v>
      </c>
      <c r="E211" s="1" t="n">
        <v>0.0165965</v>
      </c>
      <c r="F211" s="1" t="n">
        <v>3.8163E-005</v>
      </c>
      <c r="G211" s="1" t="s">
        <v>37</v>
      </c>
      <c r="H211" s="1" t="n">
        <v>53.1</v>
      </c>
      <c r="I211" s="1" t="n">
        <v>128.3</v>
      </c>
      <c r="J211" s="1" t="n">
        <v>53</v>
      </c>
      <c r="K211" s="1" t="n">
        <v>76.4</v>
      </c>
      <c r="L211" s="1" t="n">
        <v>0</v>
      </c>
      <c r="M211" s="1" t="n">
        <v>0</v>
      </c>
      <c r="N211" s="1" t="s">
        <v>196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Z211" s="0" t="n">
        <f aca="false">I211+65</f>
        <v>193.3</v>
      </c>
      <c r="AB211" s="0" t="n">
        <f aca="false">IF(Z211&gt;360,Z211-360,Z211+0)</f>
        <v>193.3</v>
      </c>
    </row>
    <row r="212" customFormat="false" ht="15.8" hidden="false" customHeight="false" outlineLevel="0" collapsed="false">
      <c r="A212" s="1" t="n">
        <v>2</v>
      </c>
      <c r="B212" s="1" t="n">
        <v>18</v>
      </c>
      <c r="C212" s="1" t="n">
        <v>4.7</v>
      </c>
      <c r="D212" s="1" t="n">
        <v>1.6281</v>
      </c>
      <c r="E212" s="1" t="n">
        <v>0.136383</v>
      </c>
      <c r="F212" s="1" t="n">
        <v>0.000313609</v>
      </c>
      <c r="G212" s="1" t="s">
        <v>37</v>
      </c>
      <c r="H212" s="1" t="n">
        <v>46.7</v>
      </c>
      <c r="I212" s="1" t="n">
        <v>124.4</v>
      </c>
      <c r="J212" s="1" t="n">
        <v>0</v>
      </c>
      <c r="K212" s="1" t="n">
        <v>107.2</v>
      </c>
      <c r="L212" s="1" t="n">
        <v>0</v>
      </c>
      <c r="M212" s="1" t="n">
        <v>0</v>
      </c>
      <c r="N212" s="1" t="s">
        <v>195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Z212" s="0" t="n">
        <f aca="false">I212+65</f>
        <v>189.4</v>
      </c>
      <c r="AB212" s="0" t="n">
        <f aca="false">IF(Z212&gt;360,Z212-360,Z212+0)</f>
        <v>189.4</v>
      </c>
    </row>
    <row r="213" customFormat="false" ht="15.8" hidden="false" customHeight="false" outlineLevel="0" collapsed="false">
      <c r="A213" s="1" t="n">
        <v>2</v>
      </c>
      <c r="B213" s="1" t="n">
        <v>18</v>
      </c>
      <c r="C213" s="1" t="n">
        <v>1.7</v>
      </c>
      <c r="D213" s="1" t="n">
        <v>1.4767</v>
      </c>
      <c r="E213" s="1" t="n">
        <v>0.048098</v>
      </c>
      <c r="F213" s="1" t="n">
        <v>0.0001106</v>
      </c>
      <c r="G213" s="1" t="s">
        <v>27</v>
      </c>
      <c r="H213" s="1" t="n">
        <v>96.5</v>
      </c>
      <c r="I213" s="1" t="n">
        <v>76.9</v>
      </c>
      <c r="J213" s="1" t="n">
        <v>-20.2</v>
      </c>
      <c r="K213" s="1"/>
      <c r="L213" s="1" t="n">
        <v>0</v>
      </c>
      <c r="M213" s="1" t="n">
        <v>0</v>
      </c>
      <c r="N213" s="1" t="s">
        <v>195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Z213" s="0" t="n">
        <f aca="false">I213+65</f>
        <v>141.9</v>
      </c>
      <c r="AB213" s="0" t="n">
        <f aca="false">IF(Z213&gt;360,Z213-360,Z213+0)</f>
        <v>141.9</v>
      </c>
    </row>
    <row r="214" customFormat="false" ht="15.8" hidden="false" customHeight="false" outlineLevel="0" collapsed="false">
      <c r="A214" s="1" t="n">
        <v>2</v>
      </c>
      <c r="B214" s="1" t="n">
        <v>17</v>
      </c>
      <c r="C214" s="1" t="n">
        <v>4.2</v>
      </c>
      <c r="D214" s="1" t="n">
        <v>1.2603</v>
      </c>
      <c r="E214" s="1" t="n">
        <v>0.122794</v>
      </c>
      <c r="F214" s="1" t="n">
        <v>0.00028236</v>
      </c>
      <c r="G214" s="1" t="s">
        <v>37</v>
      </c>
      <c r="H214" s="1" t="n">
        <v>131.7</v>
      </c>
      <c r="I214" s="1" t="n">
        <v>163.7</v>
      </c>
      <c r="J214" s="1" t="n">
        <v>27.6</v>
      </c>
      <c r="K214" s="1" t="n">
        <v>96.5</v>
      </c>
      <c r="L214" s="1" t="n">
        <v>0</v>
      </c>
      <c r="M214" s="1" t="n">
        <v>0</v>
      </c>
      <c r="N214" s="1" t="s">
        <v>201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Z214" s="0" t="n">
        <f aca="false">I214+65</f>
        <v>228.7</v>
      </c>
      <c r="AB214" s="0" t="n">
        <f aca="false">IF(Z214&gt;360,Z214-360,Z214+0)</f>
        <v>228.7</v>
      </c>
    </row>
    <row r="215" customFormat="false" ht="15.8" hidden="false" customHeight="false" outlineLevel="0" collapsed="false">
      <c r="A215" s="1" t="n">
        <v>2</v>
      </c>
      <c r="B215" s="1" t="n">
        <v>17</v>
      </c>
      <c r="C215" s="1" t="n">
        <v>3.8</v>
      </c>
      <c r="D215" s="1" t="n">
        <v>1.2189</v>
      </c>
      <c r="E215" s="1" t="n">
        <v>0.10899</v>
      </c>
      <c r="F215" s="1" t="n">
        <v>0.000250618</v>
      </c>
      <c r="G215" s="1" t="s">
        <v>27</v>
      </c>
      <c r="H215" s="1" t="n">
        <v>50.8</v>
      </c>
      <c r="I215" s="1" t="n">
        <v>345.1</v>
      </c>
      <c r="J215" s="1" t="n">
        <v>-22.2</v>
      </c>
      <c r="K215" s="1"/>
      <c r="L215" s="1" t="n">
        <v>0</v>
      </c>
      <c r="M215" s="1" t="n">
        <v>0</v>
      </c>
      <c r="N215" s="1" t="s">
        <v>201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Z215" s="0" t="n">
        <f aca="false">I215+65</f>
        <v>410.1</v>
      </c>
      <c r="AB215" s="0" t="n">
        <f aca="false">IF(Z215&gt;360,Z215-360,Z215+0)</f>
        <v>50.1</v>
      </c>
    </row>
    <row r="216" customFormat="false" ht="15.8" hidden="false" customHeight="false" outlineLevel="0" collapsed="false">
      <c r="A216" s="1" t="n">
        <v>2</v>
      </c>
      <c r="B216" s="1" t="n">
        <v>16</v>
      </c>
      <c r="C216" s="1" t="n">
        <v>0.7</v>
      </c>
      <c r="D216" s="1" t="n">
        <v>1.2053</v>
      </c>
      <c r="E216" s="1" t="n">
        <v>0.0189184</v>
      </c>
      <c r="F216" s="1" t="n">
        <v>4.35022E-005</v>
      </c>
      <c r="G216" s="1" t="s">
        <v>37</v>
      </c>
      <c r="H216" s="1" t="n">
        <v>55.4</v>
      </c>
      <c r="I216" s="1" t="n">
        <v>41.1</v>
      </c>
      <c r="J216" s="1" t="n">
        <v>-45.9</v>
      </c>
      <c r="K216" s="1" t="n">
        <v>131.7</v>
      </c>
      <c r="L216" s="1" t="n">
        <v>0</v>
      </c>
      <c r="M216" s="1" t="n">
        <v>0</v>
      </c>
      <c r="N216" s="1" t="s">
        <v>202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Z216" s="0" t="n">
        <f aca="false">I216+65</f>
        <v>106.1</v>
      </c>
      <c r="AB216" s="0" t="n">
        <f aca="false">IF(Z216&gt;360,Z216-360,Z216+0)</f>
        <v>106.1</v>
      </c>
    </row>
    <row r="217" customFormat="false" ht="15.8" hidden="false" customHeight="false" outlineLevel="0" collapsed="false">
      <c r="A217" s="1" t="n">
        <v>2</v>
      </c>
      <c r="B217" s="1" t="n">
        <v>16</v>
      </c>
      <c r="C217" s="1" t="n">
        <v>3.4</v>
      </c>
      <c r="D217" s="1" t="n">
        <v>1.3789</v>
      </c>
      <c r="E217" s="1" t="n">
        <v>0.0993333</v>
      </c>
      <c r="F217" s="1" t="n">
        <v>0.000228414</v>
      </c>
      <c r="G217" s="1" t="s">
        <v>27</v>
      </c>
      <c r="H217" s="1" t="n">
        <v>69.1</v>
      </c>
      <c r="I217" s="1" t="n">
        <v>12.3</v>
      </c>
      <c r="J217" s="1" t="n">
        <v>-51.5</v>
      </c>
      <c r="K217" s="1"/>
      <c r="L217" s="1" t="n">
        <v>0</v>
      </c>
      <c r="M217" s="1" t="n">
        <v>0</v>
      </c>
      <c r="N217" s="1" t="s">
        <v>202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Z217" s="0" t="n">
        <f aca="false">I217+65</f>
        <v>77.3</v>
      </c>
      <c r="AB217" s="0" t="n">
        <f aca="false">IF(Z217&gt;360,Z217-360,Z217+0)</f>
        <v>77.3</v>
      </c>
    </row>
    <row r="218" customFormat="false" ht="15.8" hidden="false" customHeight="false" outlineLevel="0" collapsed="false">
      <c r="A218" s="1" t="n">
        <v>2</v>
      </c>
      <c r="B218" s="1" t="n">
        <v>15</v>
      </c>
      <c r="C218" s="1" t="n">
        <v>3</v>
      </c>
      <c r="D218" s="1" t="n">
        <v>1.1511</v>
      </c>
      <c r="E218" s="1" t="n">
        <v>0.0847117</v>
      </c>
      <c r="F218" s="1" t="n">
        <v>0.000190954</v>
      </c>
      <c r="G218" s="1" t="s">
        <v>37</v>
      </c>
      <c r="H218" s="1" t="n">
        <v>79.3</v>
      </c>
      <c r="I218" s="1" t="n">
        <v>52.2</v>
      </c>
      <c r="J218" s="1" t="n">
        <v>8.6</v>
      </c>
      <c r="K218" s="1" t="n">
        <v>69.1</v>
      </c>
      <c r="L218" s="1" t="n">
        <v>0</v>
      </c>
      <c r="M218" s="1" t="n">
        <v>0</v>
      </c>
      <c r="N218" s="1" t="s">
        <v>203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Z218" s="0" t="n">
        <f aca="false">I218+65</f>
        <v>117.2</v>
      </c>
      <c r="AB218" s="0" t="n">
        <f aca="false">IF(Z218&gt;360,Z218-360,Z218+0)</f>
        <v>117.2</v>
      </c>
    </row>
    <row r="219" customFormat="false" ht="15.8" hidden="false" customHeight="false" outlineLevel="0" collapsed="false">
      <c r="A219" s="1" t="n">
        <v>2</v>
      </c>
      <c r="B219" s="1" t="n">
        <v>19</v>
      </c>
      <c r="C219" s="1" t="n">
        <v>3</v>
      </c>
      <c r="D219" s="1" t="n">
        <v>1.1098</v>
      </c>
      <c r="E219" s="1" t="n">
        <v>0.0961356</v>
      </c>
      <c r="F219" s="1" t="n">
        <v>0.000266085</v>
      </c>
      <c r="G219" s="1" t="s">
        <v>27</v>
      </c>
      <c r="H219" s="1" t="n">
        <v>64.1</v>
      </c>
      <c r="I219" s="1" t="n">
        <v>154.2</v>
      </c>
      <c r="J219" s="1" t="n">
        <v>-11.3</v>
      </c>
      <c r="K219" s="1"/>
      <c r="L219" s="1" t="n">
        <v>0</v>
      </c>
      <c r="M219" s="1" t="n">
        <v>0</v>
      </c>
      <c r="N219" s="1" t="s">
        <v>204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Z219" s="0" t="n">
        <f aca="false">I219+65</f>
        <v>219.2</v>
      </c>
      <c r="AB219" s="0" t="n">
        <f aca="false">IF(Z219&gt;360,Z219-360,Z219+0)</f>
        <v>219.2</v>
      </c>
    </row>
    <row r="220" customFormat="false" ht="15.8" hidden="false" customHeight="false" outlineLevel="0" collapsed="false">
      <c r="A220" s="1" t="n">
        <v>2</v>
      </c>
      <c r="B220" s="1" t="n">
        <v>20</v>
      </c>
      <c r="C220" s="1" t="n">
        <v>1.3</v>
      </c>
      <c r="D220" s="1" t="n">
        <v>1.3688</v>
      </c>
      <c r="E220" s="1" t="n">
        <v>0.0397988</v>
      </c>
      <c r="F220" s="1" t="n">
        <v>9.63326E-005</v>
      </c>
      <c r="G220" s="1" t="s">
        <v>27</v>
      </c>
      <c r="H220" s="1" t="n">
        <v>97.6</v>
      </c>
      <c r="I220" s="1" t="n">
        <v>252.6</v>
      </c>
      <c r="J220" s="1" t="n">
        <v>-24.1</v>
      </c>
      <c r="K220" s="1"/>
      <c r="L220" s="1" t="n">
        <v>0</v>
      </c>
      <c r="M220" s="1" t="n">
        <v>0</v>
      </c>
      <c r="N220" s="1" t="s">
        <v>205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Z220" s="0" t="n">
        <f aca="false">I220+65</f>
        <v>317.6</v>
      </c>
      <c r="AB220" s="0" t="n">
        <f aca="false">IF(Z220&gt;360,Z220-360,Z220+0)</f>
        <v>317.6</v>
      </c>
    </row>
    <row r="221" customFormat="false" ht="15.8" hidden="false" customHeight="false" outlineLevel="0" collapsed="false">
      <c r="A221" s="1" t="n">
        <v>2</v>
      </c>
      <c r="B221" s="1" t="n">
        <v>20</v>
      </c>
      <c r="C221" s="1" t="n">
        <v>1.2</v>
      </c>
      <c r="D221" s="1" t="n">
        <v>1.0083</v>
      </c>
      <c r="E221" s="1" t="n">
        <v>0.0362987</v>
      </c>
      <c r="F221" s="1" t="n">
        <v>8.78606E-005</v>
      </c>
      <c r="G221" s="1" t="s">
        <v>27</v>
      </c>
      <c r="H221" s="1" t="n">
        <v>22.3</v>
      </c>
      <c r="I221" s="1" t="n">
        <v>13.2</v>
      </c>
      <c r="J221" s="1" t="n">
        <v>0</v>
      </c>
      <c r="K221" s="1"/>
      <c r="L221" s="1" t="n">
        <v>0</v>
      </c>
      <c r="M221" s="1" t="n">
        <v>0</v>
      </c>
      <c r="N221" s="1" t="s">
        <v>205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Z221" s="0" t="n">
        <f aca="false">I221+65</f>
        <v>78.2</v>
      </c>
      <c r="AB221" s="0" t="n">
        <f aca="false">IF(Z221&gt;360,Z221-360,Z221+0)</f>
        <v>78.2</v>
      </c>
    </row>
    <row r="222" customFormat="false" ht="15.8" hidden="false" customHeight="false" outlineLevel="0" collapsed="false">
      <c r="A222" s="1" t="n">
        <v>2</v>
      </c>
      <c r="B222" s="1" t="n">
        <v>19</v>
      </c>
      <c r="C222" s="1" t="n">
        <v>1.1</v>
      </c>
      <c r="D222" s="1" t="n">
        <v>1.0518</v>
      </c>
      <c r="E222" s="1" t="n">
        <v>0.0202201</v>
      </c>
      <c r="F222" s="1" t="n">
        <v>3.12993E-005</v>
      </c>
      <c r="G222" s="1" t="s">
        <v>37</v>
      </c>
      <c r="H222" s="1" t="n">
        <v>97.6</v>
      </c>
      <c r="I222" s="1" t="n">
        <v>350.9</v>
      </c>
      <c r="J222" s="1" t="n">
        <v>0</v>
      </c>
      <c r="K222" s="1" t="n">
        <v>97.6</v>
      </c>
      <c r="L222" s="1" t="n">
        <v>0</v>
      </c>
      <c r="M222" s="1" t="n">
        <v>0</v>
      </c>
      <c r="N222" s="1" t="s">
        <v>204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Z222" s="0" t="n">
        <f aca="false">I222+65</f>
        <v>415.9</v>
      </c>
      <c r="AB222" s="0" t="n">
        <f aca="false">IF(Z222&gt;360,Z222-360,Z222+0)</f>
        <v>55.9</v>
      </c>
    </row>
    <row r="223" customFormat="false" ht="15.8" hidden="false" customHeight="false" outlineLevel="0" collapsed="false">
      <c r="A223" s="1" t="n">
        <v>2</v>
      </c>
      <c r="B223" s="1" t="n">
        <v>18</v>
      </c>
      <c r="C223" s="1" t="n">
        <v>1.7</v>
      </c>
      <c r="D223" s="1" t="n">
        <v>1.1888</v>
      </c>
      <c r="E223" s="1" t="n">
        <v>0.0251118</v>
      </c>
      <c r="F223" s="1" t="n">
        <v>3.03915E-005</v>
      </c>
      <c r="G223" s="1" t="s">
        <v>37</v>
      </c>
      <c r="H223" s="1" t="n">
        <v>53.6</v>
      </c>
      <c r="I223" s="1" t="n">
        <v>95.2</v>
      </c>
      <c r="J223" s="1" t="n">
        <v>-57.4</v>
      </c>
      <c r="K223" s="1" t="n">
        <v>97.6</v>
      </c>
      <c r="L223" s="1" t="n">
        <v>0</v>
      </c>
      <c r="M223" s="1" t="n">
        <v>0</v>
      </c>
      <c r="N223" s="1" t="s">
        <v>206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Z223" s="0" t="n">
        <f aca="false">I223+65</f>
        <v>160.2</v>
      </c>
      <c r="AB223" s="0" t="n">
        <f aca="false">IF(Z223&gt;360,Z223-360,Z223+0)</f>
        <v>160.2</v>
      </c>
    </row>
    <row r="224" customFormat="false" ht="15.8" hidden="false" customHeight="false" outlineLevel="0" collapsed="false">
      <c r="A224" s="1" t="n">
        <v>2</v>
      </c>
      <c r="B224" s="1" t="n">
        <v>18</v>
      </c>
      <c r="C224" s="1" t="n">
        <v>2.5</v>
      </c>
      <c r="D224" s="1" t="n">
        <v>1.3686</v>
      </c>
      <c r="E224" s="1" t="n">
        <v>0.0385162</v>
      </c>
      <c r="F224" s="1" t="n">
        <v>4.66141E-005</v>
      </c>
      <c r="G224" s="1" t="s">
        <v>27</v>
      </c>
      <c r="H224" s="1" t="n">
        <v>115.9</v>
      </c>
      <c r="I224" s="1" t="n">
        <v>253.5</v>
      </c>
      <c r="J224" s="1" t="n">
        <v>-39.2</v>
      </c>
      <c r="K224" s="1"/>
      <c r="L224" s="1" t="n">
        <v>0</v>
      </c>
      <c r="M224" s="1" t="n">
        <v>0</v>
      </c>
      <c r="N224" s="1" t="s">
        <v>206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Z224" s="0" t="n">
        <f aca="false">I224+65</f>
        <v>318.5</v>
      </c>
      <c r="AB224" s="0" t="n">
        <f aca="false">IF(Z224&gt;360,Z224-360,Z224+0)</f>
        <v>318.5</v>
      </c>
    </row>
    <row r="225" customFormat="false" ht="15.8" hidden="false" customHeight="false" outlineLevel="0" collapsed="false">
      <c r="A225" s="1" t="n">
        <v>2</v>
      </c>
      <c r="B225" s="1" t="n">
        <v>17</v>
      </c>
      <c r="C225" s="1" t="n">
        <v>4</v>
      </c>
      <c r="D225" s="1" t="n">
        <v>1.3582</v>
      </c>
      <c r="E225" s="1" t="n">
        <v>0.0606977</v>
      </c>
      <c r="F225" s="1" t="n">
        <v>7.36054E-005</v>
      </c>
      <c r="G225" s="1" t="s">
        <v>37</v>
      </c>
      <c r="H225" s="1" t="n">
        <v>61</v>
      </c>
      <c r="I225" s="1" t="n">
        <v>120.8</v>
      </c>
      <c r="J225" s="1" t="n">
        <v>-7.6</v>
      </c>
      <c r="K225" s="1" t="n">
        <v>115.9</v>
      </c>
      <c r="L225" s="1" t="n">
        <v>0</v>
      </c>
      <c r="M225" s="1" t="n">
        <v>0</v>
      </c>
      <c r="N225" s="1" t="s">
        <v>207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Z225" s="0" t="n">
        <f aca="false">I225+65</f>
        <v>185.8</v>
      </c>
      <c r="AB225" s="0" t="n">
        <f aca="false">IF(Z225&gt;360,Z225-360,Z225+0)</f>
        <v>185.8</v>
      </c>
    </row>
    <row r="226" customFormat="false" ht="15.8" hidden="false" customHeight="false" outlineLevel="0" collapsed="false">
      <c r="A226" s="1" t="n">
        <v>2</v>
      </c>
      <c r="B226" s="1" t="n">
        <v>17</v>
      </c>
      <c r="C226" s="1" t="n">
        <v>2.6</v>
      </c>
      <c r="D226" s="1" t="n">
        <v>1.2178</v>
      </c>
      <c r="E226" s="1" t="n">
        <v>0.0474139</v>
      </c>
      <c r="F226" s="1" t="n">
        <v>6.81417E-005</v>
      </c>
      <c r="G226" s="1" t="s">
        <v>27</v>
      </c>
      <c r="H226" s="1" t="n">
        <v>81.3</v>
      </c>
      <c r="I226" s="1" t="n">
        <v>74.4</v>
      </c>
      <c r="J226" s="1" t="n">
        <v>64.8</v>
      </c>
      <c r="K226" s="1"/>
      <c r="L226" s="1" t="n">
        <v>0</v>
      </c>
      <c r="M226" s="1" t="n">
        <v>0</v>
      </c>
      <c r="N226" s="1" t="s">
        <v>207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Z226" s="0" t="n">
        <f aca="false">I226+65</f>
        <v>139.4</v>
      </c>
      <c r="AB226" s="0" t="n">
        <f aca="false">IF(Z226&gt;360,Z226-360,Z226+0)</f>
        <v>139.4</v>
      </c>
    </row>
    <row r="227" customFormat="false" ht="15.8" hidden="false" customHeight="false" outlineLevel="0" collapsed="false">
      <c r="A227" s="1" t="n">
        <v>2</v>
      </c>
      <c r="B227" s="1" t="n">
        <v>16</v>
      </c>
      <c r="C227" s="1" t="n">
        <v>3.8</v>
      </c>
      <c r="D227" s="1" t="n">
        <v>1.325</v>
      </c>
      <c r="E227" s="1" t="n">
        <v>0.0686665</v>
      </c>
      <c r="F227" s="1" t="n">
        <v>9.86852E-005</v>
      </c>
      <c r="G227" s="1" t="s">
        <v>37</v>
      </c>
      <c r="H227" s="1" t="n">
        <v>45.3</v>
      </c>
      <c r="I227" s="1" t="n">
        <v>177.7</v>
      </c>
      <c r="J227" s="1" t="n">
        <v>15.8</v>
      </c>
      <c r="K227" s="1" t="n">
        <v>81.3</v>
      </c>
      <c r="L227" s="1" t="n">
        <v>0</v>
      </c>
      <c r="M227" s="1" t="n">
        <v>0</v>
      </c>
      <c r="N227" s="1" t="s">
        <v>208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Z227" s="0" t="n">
        <f aca="false">I227+65</f>
        <v>242.7</v>
      </c>
      <c r="AB227" s="0" t="n">
        <f aca="false">IF(Z227&gt;360,Z227-360,Z227+0)</f>
        <v>242.7</v>
      </c>
    </row>
    <row r="228" customFormat="false" ht="15.8" hidden="false" customHeight="false" outlineLevel="0" collapsed="false">
      <c r="A228" s="1" t="n">
        <v>2</v>
      </c>
      <c r="B228" s="1" t="n">
        <v>16</v>
      </c>
      <c r="C228" s="1" t="n">
        <v>1.8</v>
      </c>
      <c r="D228" s="1" t="n">
        <v>1.0424</v>
      </c>
      <c r="E228" s="1" t="n">
        <v>0.0324675</v>
      </c>
      <c r="F228" s="1" t="n">
        <v>4.66612E-005</v>
      </c>
      <c r="G228" s="1" t="s">
        <v>27</v>
      </c>
      <c r="H228" s="1" t="n">
        <v>60.9</v>
      </c>
      <c r="I228" s="1" t="n">
        <v>73.7</v>
      </c>
      <c r="J228" s="1" t="n">
        <v>0</v>
      </c>
      <c r="K228" s="1"/>
      <c r="L228" s="1" t="n">
        <v>0</v>
      </c>
      <c r="M228" s="1" t="n">
        <v>0</v>
      </c>
      <c r="N228" s="1" t="s">
        <v>208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Z228" s="0" t="n">
        <f aca="false">I228+65</f>
        <v>138.7</v>
      </c>
      <c r="AB228" s="0" t="n">
        <f aca="false">IF(Z228&gt;360,Z228-360,Z228+0)</f>
        <v>138.7</v>
      </c>
    </row>
    <row r="229" customFormat="false" ht="15.8" hidden="false" customHeight="false" outlineLevel="0" collapsed="false">
      <c r="A229" s="1" t="n">
        <v>2</v>
      </c>
      <c r="B229" s="1" t="n">
        <v>15</v>
      </c>
      <c r="C229" s="1" t="n">
        <v>2.9</v>
      </c>
      <c r="D229" s="1" t="n">
        <v>1.0923</v>
      </c>
      <c r="E229" s="1" t="n">
        <v>0.0521215</v>
      </c>
      <c r="F229" s="1" t="n">
        <v>7.49073E-005</v>
      </c>
      <c r="G229" s="1" t="s">
        <v>37</v>
      </c>
      <c r="H229" s="1" t="n">
        <v>4</v>
      </c>
      <c r="I229" s="1" t="n">
        <v>134.6</v>
      </c>
      <c r="J229" s="1" t="n">
        <v>0</v>
      </c>
      <c r="K229" s="1" t="n">
        <v>60.9</v>
      </c>
      <c r="L229" s="1" t="n">
        <v>0</v>
      </c>
      <c r="M229" s="1" t="n">
        <v>0</v>
      </c>
      <c r="N229" s="1" t="s">
        <v>203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Z229" s="0" t="n">
        <f aca="false">I229+65</f>
        <v>199.6</v>
      </c>
      <c r="AB229" s="0" t="n">
        <f aca="false">IF(Z229&gt;360,Z229-360,Z229+0)</f>
        <v>199.6</v>
      </c>
    </row>
    <row r="230" customFormat="false" ht="15.8" hidden="false" customHeight="false" outlineLevel="0" collapsed="false">
      <c r="A230" s="1" t="n">
        <v>2</v>
      </c>
      <c r="B230" s="1" t="n">
        <v>14</v>
      </c>
      <c r="C230" s="1" t="n">
        <v>8.5</v>
      </c>
      <c r="D230" s="1" t="n">
        <v>1.0641</v>
      </c>
      <c r="E230" s="1" t="n">
        <v>0.154591</v>
      </c>
      <c r="F230" s="1" t="n">
        <v>0.000226099</v>
      </c>
      <c r="G230" s="1" t="s">
        <v>37</v>
      </c>
      <c r="H230" s="1" t="n">
        <v>28</v>
      </c>
      <c r="I230" s="1" t="n">
        <v>131.7</v>
      </c>
      <c r="J230" s="1" t="n">
        <v>2.8</v>
      </c>
      <c r="K230" s="1" t="n">
        <v>79.3</v>
      </c>
      <c r="L230" s="1" t="n">
        <v>0</v>
      </c>
      <c r="M230" s="1" t="n">
        <v>0</v>
      </c>
      <c r="N230" s="1" t="s">
        <v>209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Z230" s="0" t="n">
        <f aca="false">I230+65</f>
        <v>196.7</v>
      </c>
      <c r="AB230" s="0" t="n">
        <f aca="false">IF(Z230&gt;360,Z230-360,Z230+0)</f>
        <v>196.7</v>
      </c>
    </row>
    <row r="231" customFormat="false" ht="15.8" hidden="false" customHeight="false" outlineLevel="0" collapsed="false">
      <c r="A231" s="1" t="n">
        <v>2</v>
      </c>
      <c r="B231" s="1" t="n">
        <v>14</v>
      </c>
      <c r="C231" s="1" t="n">
        <v>0.8</v>
      </c>
      <c r="D231" s="1" t="n">
        <v>1.1233</v>
      </c>
      <c r="E231" s="1" t="n">
        <v>0.029446</v>
      </c>
      <c r="F231" s="1" t="n">
        <v>8.46375E-005</v>
      </c>
      <c r="G231" s="1" t="s">
        <v>27</v>
      </c>
      <c r="H231" s="1" t="n">
        <v>144.4</v>
      </c>
      <c r="I231" s="1" t="n">
        <v>319.5</v>
      </c>
      <c r="J231" s="1" t="n">
        <v>0</v>
      </c>
      <c r="K231" s="1"/>
      <c r="L231" s="1" t="n">
        <v>0</v>
      </c>
      <c r="M231" s="1" t="n">
        <v>0</v>
      </c>
      <c r="N231" s="1" t="s">
        <v>209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Z231" s="0" t="n">
        <f aca="false">I231+65</f>
        <v>384.5</v>
      </c>
      <c r="AB231" s="0" t="n">
        <f aca="false">IF(Z231&gt;360,Z231-360,Z231+0)</f>
        <v>24.5</v>
      </c>
    </row>
    <row r="232" customFormat="false" ht="15.8" hidden="false" customHeight="false" outlineLevel="0" collapsed="false">
      <c r="A232" s="1" t="n">
        <v>2</v>
      </c>
      <c r="B232" s="1" t="n">
        <v>13</v>
      </c>
      <c r="C232" s="1" t="n">
        <v>1</v>
      </c>
      <c r="D232" s="1" t="n">
        <v>1.0421</v>
      </c>
      <c r="E232" s="1" t="n">
        <v>0.034321</v>
      </c>
      <c r="F232" s="1" t="n">
        <v>9.86501E-005</v>
      </c>
      <c r="G232" s="1" t="s">
        <v>37</v>
      </c>
      <c r="H232" s="1" t="n">
        <v>20.5</v>
      </c>
      <c r="I232" s="1" t="n">
        <v>103.9</v>
      </c>
      <c r="J232" s="1" t="n">
        <v>0</v>
      </c>
      <c r="K232" s="1" t="n">
        <v>144.4</v>
      </c>
      <c r="L232" s="1" t="n">
        <v>0</v>
      </c>
      <c r="M232" s="1" t="n">
        <v>0</v>
      </c>
      <c r="N232" s="1" t="s">
        <v>210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Z232" s="0" t="n">
        <f aca="false">I232+65</f>
        <v>168.9</v>
      </c>
      <c r="AB232" s="0" t="n">
        <f aca="false">IF(Z232&gt;360,Z232-360,Z232+0)</f>
        <v>168.9</v>
      </c>
    </row>
    <row r="233" customFormat="false" ht="15.8" hidden="false" customHeight="false" outlineLevel="0" collapsed="false">
      <c r="A233" s="1" t="n">
        <v>2</v>
      </c>
      <c r="B233" s="1" t="n">
        <v>13</v>
      </c>
      <c r="C233" s="1" t="n">
        <v>1.4</v>
      </c>
      <c r="D233" s="1" t="n">
        <v>1.3199</v>
      </c>
      <c r="E233" s="1" t="n">
        <v>0.0521376</v>
      </c>
      <c r="F233" s="1" t="n">
        <v>0.000149861</v>
      </c>
      <c r="G233" s="1" t="s">
        <v>27</v>
      </c>
      <c r="H233" s="1" t="n">
        <v>133.5</v>
      </c>
      <c r="I233" s="1" t="n">
        <v>251</v>
      </c>
      <c r="J233" s="1" t="n">
        <v>-20.9</v>
      </c>
      <c r="K233" s="1"/>
      <c r="L233" s="1" t="n">
        <v>0</v>
      </c>
      <c r="M233" s="1" t="n">
        <v>0</v>
      </c>
      <c r="N233" s="1" t="s">
        <v>210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Z233" s="0" t="n">
        <f aca="false">I233+65</f>
        <v>316</v>
      </c>
      <c r="AB233" s="0" t="n">
        <f aca="false">IF(Z233&gt;360,Z233-360,Z233+0)</f>
        <v>316</v>
      </c>
    </row>
    <row r="234" customFormat="false" ht="15.8" hidden="false" customHeight="false" outlineLevel="0" collapsed="false">
      <c r="A234" s="1" t="n">
        <v>2</v>
      </c>
      <c r="B234" s="1" t="n">
        <v>13</v>
      </c>
      <c r="C234" s="1" t="n">
        <v>1.4</v>
      </c>
      <c r="D234" s="1" t="n">
        <v>1.2633</v>
      </c>
      <c r="E234" s="1" t="n">
        <v>0.0514892</v>
      </c>
      <c r="F234" s="1" t="n">
        <v>0.000147997</v>
      </c>
      <c r="G234" s="1" t="s">
        <v>27</v>
      </c>
      <c r="H234" s="1" t="n">
        <v>160.5</v>
      </c>
      <c r="I234" s="1" t="n">
        <v>318.5</v>
      </c>
      <c r="J234" s="1" t="n">
        <v>-20.2</v>
      </c>
      <c r="K234" s="1"/>
      <c r="L234" s="1" t="n">
        <v>0</v>
      </c>
      <c r="M234" s="1" t="n">
        <v>0</v>
      </c>
      <c r="N234" s="1" t="s">
        <v>210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Z234" s="0" t="n">
        <f aca="false">I234+65</f>
        <v>383.5</v>
      </c>
      <c r="AB234" s="0" t="n">
        <f aca="false">IF(Z234&gt;360,Z234-360,Z234+0)</f>
        <v>23.5</v>
      </c>
    </row>
    <row r="235" customFormat="false" ht="15.8" hidden="false" customHeight="false" outlineLevel="0" collapsed="false">
      <c r="A235" s="1" t="n">
        <v>2</v>
      </c>
      <c r="B235" s="1" t="n">
        <v>12</v>
      </c>
      <c r="C235" s="1" t="n">
        <v>2.1</v>
      </c>
      <c r="D235" s="1" t="n">
        <v>1.2689</v>
      </c>
      <c r="E235" s="1" t="n">
        <v>0.0719109</v>
      </c>
      <c r="F235" s="1" t="n">
        <v>0.000199651</v>
      </c>
      <c r="G235" s="1" t="s">
        <v>37</v>
      </c>
      <c r="H235" s="1" t="n">
        <v>9.4</v>
      </c>
      <c r="I235" s="1" t="n">
        <v>119.3</v>
      </c>
      <c r="J235" s="1" t="n">
        <v>13.7</v>
      </c>
      <c r="K235" s="1" t="n">
        <v>160.5</v>
      </c>
      <c r="L235" s="1" t="n">
        <v>0</v>
      </c>
      <c r="M235" s="1" t="n">
        <v>0</v>
      </c>
      <c r="N235" s="1" t="s">
        <v>211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Z235" s="0" t="n">
        <f aca="false">I235+65</f>
        <v>184.3</v>
      </c>
      <c r="AB235" s="0" t="n">
        <f aca="false">IF(Z235&gt;360,Z235-360,Z235+0)</f>
        <v>184.3</v>
      </c>
    </row>
    <row r="236" customFormat="false" ht="15.8" hidden="false" customHeight="false" outlineLevel="0" collapsed="false">
      <c r="A236" s="1" t="n">
        <v>2</v>
      </c>
      <c r="B236" s="1" t="n">
        <v>13</v>
      </c>
      <c r="C236" s="1" t="n">
        <v>3.5</v>
      </c>
      <c r="D236" s="1" t="n">
        <v>1.2421</v>
      </c>
      <c r="E236" s="1" t="n">
        <v>0.0626612</v>
      </c>
      <c r="F236" s="1" t="n">
        <v>9.00545E-005</v>
      </c>
      <c r="G236" s="1" t="s">
        <v>27</v>
      </c>
      <c r="H236" s="1" t="n">
        <v>45.4</v>
      </c>
      <c r="I236" s="1" t="n">
        <v>134.6</v>
      </c>
      <c r="J236" s="1" t="n">
        <v>24.8</v>
      </c>
      <c r="K236" s="1"/>
      <c r="L236" s="1" t="n">
        <v>0</v>
      </c>
      <c r="M236" s="1" t="n">
        <v>0</v>
      </c>
      <c r="N236" s="1" t="s">
        <v>212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Z236" s="0" t="n">
        <f aca="false">I236+65</f>
        <v>199.6</v>
      </c>
      <c r="AB236" s="0" t="n">
        <f aca="false">IF(Z236&gt;360,Z236-360,Z236+0)</f>
        <v>199.6</v>
      </c>
    </row>
    <row r="237" customFormat="false" ht="15.8" hidden="false" customHeight="false" outlineLevel="0" collapsed="false">
      <c r="A237" s="1" t="n">
        <v>2</v>
      </c>
      <c r="B237" s="1" t="n">
        <v>13</v>
      </c>
      <c r="C237" s="1" t="n">
        <v>3</v>
      </c>
      <c r="D237" s="1" t="n">
        <v>1.2007</v>
      </c>
      <c r="E237" s="1" t="n">
        <v>0.0545332</v>
      </c>
      <c r="F237" s="1" t="n">
        <v>7.83734E-005</v>
      </c>
      <c r="G237" s="1" t="s">
        <v>27</v>
      </c>
      <c r="H237" s="1" t="n">
        <v>88.5</v>
      </c>
      <c r="I237" s="1" t="n">
        <v>278</v>
      </c>
      <c r="J237" s="1" t="n">
        <v>8.9</v>
      </c>
      <c r="K237" s="1"/>
      <c r="L237" s="1" t="n">
        <v>0</v>
      </c>
      <c r="M237" s="1" t="n">
        <v>0</v>
      </c>
      <c r="N237" s="1" t="s">
        <v>212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Z237" s="0" t="n">
        <f aca="false">I237+65</f>
        <v>343</v>
      </c>
      <c r="AB237" s="0" t="n">
        <f aca="false">IF(Z237&gt;360,Z237-360,Z237+0)</f>
        <v>343</v>
      </c>
    </row>
    <row r="238" customFormat="false" ht="15.8" hidden="false" customHeight="false" outlineLevel="0" collapsed="false">
      <c r="A238" s="1" t="n">
        <v>2</v>
      </c>
      <c r="B238" s="1" t="n">
        <v>12</v>
      </c>
      <c r="C238" s="1" t="n">
        <v>1.1</v>
      </c>
      <c r="D238" s="1" t="n">
        <v>1.259</v>
      </c>
      <c r="E238" s="1" t="n">
        <v>0.0201804</v>
      </c>
      <c r="F238" s="1" t="n">
        <v>2.90026E-005</v>
      </c>
      <c r="G238" s="1" t="s">
        <v>37</v>
      </c>
      <c r="H238" s="1" t="n">
        <v>53.6</v>
      </c>
      <c r="I238" s="1" t="n">
        <v>185.2</v>
      </c>
      <c r="J238" s="1" t="n">
        <v>26.1</v>
      </c>
      <c r="K238" s="1" t="n">
        <v>88.5</v>
      </c>
      <c r="L238" s="1" t="n">
        <v>0</v>
      </c>
      <c r="M238" s="1" t="n">
        <v>0</v>
      </c>
      <c r="N238" s="1" t="s">
        <v>211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Z238" s="0" t="n">
        <f aca="false">I238+65</f>
        <v>250.2</v>
      </c>
      <c r="AB238" s="0" t="n">
        <f aca="false">IF(Z238&gt;360,Z238-360,Z238+0)</f>
        <v>250.2</v>
      </c>
    </row>
    <row r="239" customFormat="false" ht="15.8" hidden="false" customHeight="false" outlineLevel="0" collapsed="false">
      <c r="A239" s="1" t="n">
        <v>2</v>
      </c>
      <c r="B239" s="1" t="n">
        <v>11</v>
      </c>
      <c r="C239" s="1" t="n">
        <v>6.2</v>
      </c>
      <c r="D239" s="1" t="n">
        <v>1.3096</v>
      </c>
      <c r="E239" s="1" t="n">
        <v>0.112603</v>
      </c>
      <c r="F239" s="1" t="n">
        <v>0.00016183</v>
      </c>
      <c r="G239" s="1" t="s">
        <v>37</v>
      </c>
      <c r="H239" s="1" t="n">
        <v>48.9</v>
      </c>
      <c r="I239" s="1" t="n">
        <v>127.3</v>
      </c>
      <c r="J239" s="1" t="n">
        <v>19.1</v>
      </c>
      <c r="K239" s="1" t="n">
        <v>53.6</v>
      </c>
      <c r="L239" s="1" t="n">
        <v>0</v>
      </c>
      <c r="M239" s="1" t="n">
        <v>0</v>
      </c>
      <c r="N239" s="1" t="s">
        <v>213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Z239" s="0" t="n">
        <f aca="false">I239+65</f>
        <v>192.3</v>
      </c>
      <c r="AB239" s="0" t="n">
        <f aca="false">IF(Z239&gt;360,Z239-360,Z239+0)</f>
        <v>192.3</v>
      </c>
    </row>
    <row r="240" customFormat="false" ht="15.8" hidden="false" customHeight="false" outlineLevel="0" collapsed="false">
      <c r="A240" s="1" t="n">
        <v>2</v>
      </c>
      <c r="B240" s="1" t="n">
        <v>11</v>
      </c>
      <c r="C240" s="1" t="n">
        <v>3.7</v>
      </c>
      <c r="D240" s="1" t="n">
        <v>1.1878</v>
      </c>
      <c r="E240" s="1" t="n">
        <v>0.0665069</v>
      </c>
      <c r="F240" s="1" t="n">
        <v>9.55815E-005</v>
      </c>
      <c r="G240" s="1" t="s">
        <v>27</v>
      </c>
      <c r="H240" s="1" t="n">
        <v>102.4</v>
      </c>
      <c r="I240" s="1" t="n">
        <v>304.1</v>
      </c>
      <c r="J240" s="1" t="n">
        <v>14.6</v>
      </c>
      <c r="K240" s="1"/>
      <c r="L240" s="1" t="n">
        <v>0</v>
      </c>
      <c r="M240" s="1" t="n">
        <v>0</v>
      </c>
      <c r="N240" s="1" t="s">
        <v>213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Z240" s="0" t="n">
        <f aca="false">I240+65</f>
        <v>369.1</v>
      </c>
      <c r="AB240" s="0" t="n">
        <f aca="false">IF(Z240&gt;360,Z240-360,Z240+0)</f>
        <v>9.10000000000002</v>
      </c>
    </row>
    <row r="241" customFormat="false" ht="15.8" hidden="false" customHeight="false" outlineLevel="0" collapsed="false">
      <c r="A241" s="1" t="n">
        <v>2</v>
      </c>
      <c r="B241" s="1" t="n">
        <v>10</v>
      </c>
      <c r="C241" s="1" t="n">
        <v>1.4</v>
      </c>
      <c r="D241" s="1" t="n">
        <v>1.2824</v>
      </c>
      <c r="E241" s="1" t="n">
        <v>0.0419609</v>
      </c>
      <c r="F241" s="1" t="n">
        <v>0.000106818</v>
      </c>
      <c r="G241" s="1" t="s">
        <v>37</v>
      </c>
      <c r="H241" s="1" t="n">
        <v>38.8</v>
      </c>
      <c r="I241" s="1" t="n">
        <v>176.7</v>
      </c>
      <c r="J241" s="1" t="n">
        <v>47.3</v>
      </c>
      <c r="K241" s="1" t="n">
        <v>102.4</v>
      </c>
      <c r="L241" s="1" t="n">
        <v>0</v>
      </c>
      <c r="M241" s="1" t="n">
        <v>0</v>
      </c>
      <c r="N241" s="1" t="s">
        <v>194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Z241" s="0" t="n">
        <f aca="false">I241+65</f>
        <v>241.7</v>
      </c>
      <c r="AB241" s="0" t="n">
        <f aca="false">IF(Z241&gt;360,Z241-360,Z241+0)</f>
        <v>241.7</v>
      </c>
    </row>
    <row r="242" customFormat="false" ht="15.8" hidden="false" customHeight="false" outlineLevel="0" collapsed="false">
      <c r="A242" s="1" t="n">
        <v>2</v>
      </c>
      <c r="B242" s="1" t="n">
        <v>9</v>
      </c>
      <c r="C242" s="1" t="n">
        <v>2.5</v>
      </c>
      <c r="D242" s="1" t="n">
        <v>1.2563</v>
      </c>
      <c r="E242" s="1" t="n">
        <v>0.0914486</v>
      </c>
      <c r="F242" s="1" t="n">
        <v>0.000262854</v>
      </c>
      <c r="G242" s="1" t="s">
        <v>37</v>
      </c>
      <c r="H242" s="1" t="n">
        <v>82.6</v>
      </c>
      <c r="I242" s="1" t="n">
        <v>139</v>
      </c>
      <c r="J242" s="1" t="n">
        <v>22.8</v>
      </c>
      <c r="K242" s="1" t="n">
        <v>48.1</v>
      </c>
      <c r="L242" s="1" t="n">
        <v>0</v>
      </c>
      <c r="M242" s="1" t="n">
        <v>0</v>
      </c>
      <c r="N242" s="1" t="s">
        <v>214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Z242" s="0" t="n">
        <f aca="false">I242+65</f>
        <v>204</v>
      </c>
      <c r="AB242" s="0" t="n">
        <f aca="false">IF(Z242&gt;360,Z242-360,Z242+0)</f>
        <v>204</v>
      </c>
    </row>
    <row r="243" customFormat="false" ht="15.8" hidden="false" customHeight="false" outlineLevel="0" collapsed="false">
      <c r="A243" s="1" t="n">
        <v>2</v>
      </c>
      <c r="B243" s="1" t="n">
        <v>10</v>
      </c>
      <c r="C243" s="1" t="n">
        <v>1</v>
      </c>
      <c r="D243" s="1" t="n">
        <v>1.2269</v>
      </c>
      <c r="E243" s="1" t="n">
        <v>0.0367715</v>
      </c>
      <c r="F243" s="1" t="n">
        <v>0.000105694</v>
      </c>
      <c r="G243" s="1" t="s">
        <v>27</v>
      </c>
      <c r="H243" s="1" t="n">
        <v>49.6</v>
      </c>
      <c r="I243" s="1" t="n">
        <v>312.5</v>
      </c>
      <c r="J243" s="1" t="n">
        <v>-28</v>
      </c>
      <c r="K243" s="1"/>
      <c r="L243" s="1" t="n">
        <v>0</v>
      </c>
      <c r="M243" s="1" t="n">
        <v>0</v>
      </c>
      <c r="N243" s="1" t="s">
        <v>215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Z243" s="0" t="n">
        <f aca="false">I243+65</f>
        <v>377.5</v>
      </c>
      <c r="AB243" s="0" t="n">
        <f aca="false">IF(Z243&gt;360,Z243-360,Z243+0)</f>
        <v>17.5</v>
      </c>
    </row>
    <row r="244" customFormat="false" ht="15.8" hidden="false" customHeight="false" outlineLevel="0" collapsed="false">
      <c r="A244" s="1" t="n">
        <v>2</v>
      </c>
      <c r="B244" s="1" t="n">
        <v>10</v>
      </c>
      <c r="C244" s="1" t="n">
        <v>1.1</v>
      </c>
      <c r="D244" s="1" t="n">
        <v>1.2101</v>
      </c>
      <c r="E244" s="1" t="n">
        <v>0.0386149</v>
      </c>
      <c r="F244" s="1" t="n">
        <v>0.000110992</v>
      </c>
      <c r="G244" s="1" t="s">
        <v>27</v>
      </c>
      <c r="H244" s="1" t="n">
        <v>16.3</v>
      </c>
      <c r="I244" s="1" t="n">
        <v>19.5</v>
      </c>
      <c r="J244" s="1" t="n">
        <v>-26.2</v>
      </c>
      <c r="K244" s="1"/>
      <c r="L244" s="1" t="n">
        <v>0</v>
      </c>
      <c r="M244" s="1" t="n">
        <v>0</v>
      </c>
      <c r="N244" s="1" t="s">
        <v>215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Z244" s="0" t="n">
        <f aca="false">I244+65</f>
        <v>84.5</v>
      </c>
      <c r="AB244" s="0" t="n">
        <f aca="false">IF(Z244&gt;360,Z244-360,Z244+0)</f>
        <v>84.5</v>
      </c>
    </row>
    <row r="245" customFormat="false" ht="15.8" hidden="false" customHeight="false" outlineLevel="0" collapsed="false">
      <c r="A245" s="1" t="n">
        <v>2</v>
      </c>
      <c r="B245" s="1" t="n">
        <v>9</v>
      </c>
      <c r="C245" s="1" t="n">
        <v>1.6</v>
      </c>
      <c r="D245" s="1" t="n">
        <v>1.1815</v>
      </c>
      <c r="E245" s="1" t="n">
        <v>0.0575424</v>
      </c>
      <c r="F245" s="1" t="n">
        <v>0.000165396</v>
      </c>
      <c r="G245" s="1" t="s">
        <v>37</v>
      </c>
      <c r="H245" s="1" t="n">
        <v>53.8</v>
      </c>
      <c r="I245" s="1" t="n">
        <v>5.2</v>
      </c>
      <c r="J245" s="1" t="n">
        <v>-16.8</v>
      </c>
      <c r="K245" s="1" t="n">
        <v>49.6</v>
      </c>
      <c r="L245" s="1" t="n">
        <v>0</v>
      </c>
      <c r="M245" s="1" t="n">
        <v>0</v>
      </c>
      <c r="N245" s="1" t="s">
        <v>214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Z245" s="0" t="n">
        <f aca="false">I245+65</f>
        <v>70.2</v>
      </c>
      <c r="AB245" s="0" t="n">
        <f aca="false">IF(Z245&gt;360,Z245-360,Z245+0)</f>
        <v>70.2</v>
      </c>
    </row>
    <row r="246" customFormat="false" ht="15.8" hidden="false" customHeight="false" outlineLevel="0" collapsed="false">
      <c r="A246" s="1" t="n">
        <v>2</v>
      </c>
      <c r="B246" s="1" t="n">
        <v>8</v>
      </c>
      <c r="C246" s="1" t="n">
        <v>1.9</v>
      </c>
      <c r="D246" s="1" t="n">
        <v>1.0076</v>
      </c>
      <c r="E246" s="1" t="n">
        <v>0.0668512</v>
      </c>
      <c r="F246" s="1" t="n">
        <v>0.000192153</v>
      </c>
      <c r="G246" s="1" t="s">
        <v>37</v>
      </c>
      <c r="H246" s="1" t="n">
        <v>35.6</v>
      </c>
      <c r="I246" s="1" t="n">
        <v>57</v>
      </c>
      <c r="J246" s="1" t="n">
        <v>0</v>
      </c>
      <c r="K246" s="1" t="n">
        <v>82.6</v>
      </c>
      <c r="L246" s="1" t="n">
        <v>0</v>
      </c>
      <c r="M246" s="1" t="n">
        <v>0</v>
      </c>
      <c r="N246" s="1" t="s">
        <v>193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Z246" s="0" t="n">
        <f aca="false">I246+65</f>
        <v>122</v>
      </c>
      <c r="AB246" s="0" t="n">
        <f aca="false">IF(Z246&gt;360,Z246-360,Z246+0)</f>
        <v>122</v>
      </c>
    </row>
    <row r="247" customFormat="false" ht="15.8" hidden="false" customHeight="false" outlineLevel="0" collapsed="false">
      <c r="A247" s="1" t="n">
        <v>2</v>
      </c>
      <c r="B247" s="1" t="n">
        <v>7</v>
      </c>
      <c r="C247" s="1" t="n">
        <v>2.4</v>
      </c>
      <c r="D247" s="1" t="n">
        <v>1.2297</v>
      </c>
      <c r="E247" s="1" t="n">
        <v>0.0851495</v>
      </c>
      <c r="F247" s="1" t="n">
        <v>0.000244748</v>
      </c>
      <c r="G247" s="1" t="s">
        <v>37</v>
      </c>
      <c r="H247" s="1" t="n">
        <v>58.2</v>
      </c>
      <c r="I247" s="1" t="n">
        <v>29.9</v>
      </c>
      <c r="J247" s="1" t="n">
        <v>24</v>
      </c>
      <c r="K247" s="1" t="n">
        <v>79.6</v>
      </c>
      <c r="L247" s="1" t="n">
        <v>0</v>
      </c>
      <c r="M247" s="1" t="n">
        <v>0</v>
      </c>
      <c r="N247" s="1" t="s">
        <v>192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Z247" s="0" t="n">
        <f aca="false">I247+65</f>
        <v>94.9</v>
      </c>
      <c r="AB247" s="0" t="n">
        <f aca="false">IF(Z247&gt;360,Z247-360,Z247+0)</f>
        <v>94.9</v>
      </c>
    </row>
    <row r="248" customFormat="false" ht="15.8" hidden="false" customHeight="false" outlineLevel="0" collapsed="false">
      <c r="A248" s="1" t="n">
        <v>2</v>
      </c>
      <c r="B248" s="1" t="n">
        <v>7</v>
      </c>
      <c r="C248" s="1" t="n">
        <v>5.4</v>
      </c>
      <c r="D248" s="1" t="n">
        <v>1.2764</v>
      </c>
      <c r="E248" s="1" t="n">
        <v>0.183875</v>
      </c>
      <c r="F248" s="1" t="n">
        <v>0.000511475</v>
      </c>
      <c r="G248" s="1" t="s">
        <v>27</v>
      </c>
      <c r="H248" s="1" t="n">
        <v>39.5</v>
      </c>
      <c r="I248" s="1" t="n">
        <v>118.6</v>
      </c>
      <c r="J248" s="1" t="n">
        <v>21.6</v>
      </c>
      <c r="K248" s="1"/>
      <c r="L248" s="1" t="n">
        <v>0</v>
      </c>
      <c r="M248" s="1" t="n">
        <v>0</v>
      </c>
      <c r="N248" s="1" t="s">
        <v>192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Z248" s="0" t="n">
        <f aca="false">I248+65</f>
        <v>183.6</v>
      </c>
      <c r="AB248" s="0" t="n">
        <f aca="false">IF(Z248&gt;360,Z248-360,Z248+0)</f>
        <v>183.6</v>
      </c>
    </row>
    <row r="249" customFormat="false" ht="15.8" hidden="false" customHeight="false" outlineLevel="0" collapsed="false">
      <c r="A249" s="1" t="n">
        <v>2</v>
      </c>
      <c r="B249" s="1" t="n">
        <v>6</v>
      </c>
      <c r="C249" s="1" t="n">
        <v>1.2</v>
      </c>
      <c r="D249" s="1" t="n">
        <v>1.0594</v>
      </c>
      <c r="E249" s="1" t="n">
        <v>0.0432977</v>
      </c>
      <c r="F249" s="1" t="n">
        <v>0.000124452</v>
      </c>
      <c r="G249" s="1" t="s">
        <v>37</v>
      </c>
      <c r="H249" s="1" t="n">
        <v>49.3</v>
      </c>
      <c r="I249" s="1" t="n">
        <v>84.8</v>
      </c>
      <c r="J249" s="1" t="n">
        <v>0</v>
      </c>
      <c r="K249" s="1" t="n">
        <v>71.1</v>
      </c>
      <c r="L249" s="1" t="n">
        <v>0</v>
      </c>
      <c r="M249" s="1" t="n">
        <v>0</v>
      </c>
      <c r="N249" s="1" t="s">
        <v>189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Z249" s="0" t="n">
        <f aca="false">I249+65</f>
        <v>149.8</v>
      </c>
      <c r="AB249" s="0" t="n">
        <f aca="false">IF(Z249&gt;360,Z249-360,Z249+0)</f>
        <v>149.8</v>
      </c>
    </row>
    <row r="250" customFormat="false" ht="15.8" hidden="false" customHeight="false" outlineLevel="0" collapsed="false">
      <c r="A250" s="1" t="n">
        <v>2</v>
      </c>
      <c r="B250" s="1" t="n">
        <v>5</v>
      </c>
      <c r="C250" s="1" t="n">
        <v>3.1</v>
      </c>
      <c r="D250" s="1" t="n">
        <v>1.2766</v>
      </c>
      <c r="E250" s="1" t="n">
        <v>0.110854</v>
      </c>
      <c r="F250" s="1" t="n">
        <v>0.00031863</v>
      </c>
      <c r="G250" s="1" t="s">
        <v>37</v>
      </c>
      <c r="H250" s="1" t="n">
        <v>32.8</v>
      </c>
      <c r="I250" s="1" t="n">
        <v>126.5</v>
      </c>
      <c r="J250" s="1" t="n">
        <v>29.1</v>
      </c>
      <c r="K250" s="1" t="n">
        <v>55.4</v>
      </c>
      <c r="L250" s="1" t="n">
        <v>0</v>
      </c>
      <c r="M250" s="1" t="n">
        <v>0</v>
      </c>
      <c r="N250" s="1" t="s">
        <v>181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Z250" s="0" t="n">
        <f aca="false">I250+65</f>
        <v>191.5</v>
      </c>
      <c r="AB250" s="0" t="n">
        <f aca="false">IF(Z250&gt;360,Z250-360,Z250+0)</f>
        <v>191.5</v>
      </c>
    </row>
    <row r="251" customFormat="false" ht="15.8" hidden="false" customHeight="false" outlineLevel="0" collapsed="false">
      <c r="A251" s="1" t="n">
        <v>2</v>
      </c>
      <c r="B251" s="1" t="n">
        <v>4</v>
      </c>
      <c r="C251" s="1" t="n">
        <v>1.3</v>
      </c>
      <c r="D251" s="1" t="n">
        <v>1.0955</v>
      </c>
      <c r="E251" s="1" t="n">
        <v>0.0467019</v>
      </c>
      <c r="F251" s="1" t="n">
        <v>0.000134237</v>
      </c>
      <c r="G251" s="1" t="s">
        <v>37</v>
      </c>
      <c r="H251" s="1" t="n">
        <v>12.2</v>
      </c>
      <c r="I251" s="1" t="n">
        <v>142.2</v>
      </c>
      <c r="J251" s="1" t="n">
        <v>0</v>
      </c>
      <c r="K251" s="1" t="n">
        <v>111.2</v>
      </c>
      <c r="L251" s="1" t="n">
        <v>0</v>
      </c>
      <c r="M251" s="1" t="n">
        <v>0</v>
      </c>
      <c r="N251" s="1" t="s">
        <v>180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Z251" s="0" t="n">
        <f aca="false">I251+65</f>
        <v>207.2</v>
      </c>
      <c r="AB251" s="0" t="n">
        <f aca="false">IF(Z251&gt;360,Z251-360,Z251+0)</f>
        <v>207.2</v>
      </c>
    </row>
    <row r="252" customFormat="false" ht="15.8" hidden="false" customHeight="false" outlineLevel="0" collapsed="false">
      <c r="A252" s="1" t="n">
        <v>2</v>
      </c>
      <c r="B252" s="1" t="n">
        <v>3</v>
      </c>
      <c r="C252" s="1" t="n">
        <v>2.7</v>
      </c>
      <c r="D252" s="1" t="n">
        <v>1.4406</v>
      </c>
      <c r="E252" s="1" t="n">
        <v>0.0968014</v>
      </c>
      <c r="F252" s="1" t="n">
        <v>0.00027824</v>
      </c>
      <c r="G252" s="1" t="s">
        <v>37</v>
      </c>
      <c r="H252" s="1" t="n">
        <v>13.6</v>
      </c>
      <c r="I252" s="1" t="n">
        <v>144</v>
      </c>
      <c r="J252" s="1" t="n">
        <v>-12.1</v>
      </c>
      <c r="K252" s="1" t="n">
        <v>84.3</v>
      </c>
      <c r="L252" s="1" t="n">
        <v>0</v>
      </c>
      <c r="M252" s="1" t="n">
        <v>0</v>
      </c>
      <c r="N252" s="1" t="s">
        <v>216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Z252" s="0" t="n">
        <f aca="false">I252+65</f>
        <v>209</v>
      </c>
      <c r="AB252" s="0" t="n">
        <f aca="false">IF(Z252&gt;360,Z252-360,Z252+0)</f>
        <v>209</v>
      </c>
    </row>
    <row r="253" customFormat="false" ht="15.8" hidden="false" customHeight="false" outlineLevel="0" collapsed="false">
      <c r="A253" s="1" t="n">
        <v>2</v>
      </c>
      <c r="B253" s="1" t="n">
        <v>3</v>
      </c>
      <c r="C253" s="1" t="n">
        <v>1.6</v>
      </c>
      <c r="D253" s="1" t="n">
        <v>1.1946</v>
      </c>
      <c r="E253" s="1" t="n">
        <v>0.0586321</v>
      </c>
      <c r="F253" s="1" t="n">
        <v>0.000168528</v>
      </c>
      <c r="G253" s="1" t="s">
        <v>27</v>
      </c>
      <c r="H253" s="1" t="n">
        <v>119.5</v>
      </c>
      <c r="I253" s="1" t="n">
        <v>315.7</v>
      </c>
      <c r="J253" s="1" t="n">
        <v>-59.4</v>
      </c>
      <c r="K253" s="1"/>
      <c r="L253" s="1" t="n">
        <v>0</v>
      </c>
      <c r="M253" s="1" t="n">
        <v>0</v>
      </c>
      <c r="N253" s="1" t="s">
        <v>216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Z253" s="0" t="n">
        <f aca="false">I253+65</f>
        <v>380.7</v>
      </c>
      <c r="AB253" s="0" t="n">
        <f aca="false">IF(Z253&gt;360,Z253-360,Z253+0)</f>
        <v>20.7</v>
      </c>
    </row>
    <row r="254" customFormat="false" ht="15.8" hidden="false" customHeight="false" outlineLevel="0" collapsed="false">
      <c r="A254" s="1" t="n">
        <v>2</v>
      </c>
      <c r="B254" s="1" t="n">
        <v>2</v>
      </c>
      <c r="C254" s="1" t="n">
        <v>3.3</v>
      </c>
      <c r="D254" s="1" t="n">
        <v>1.0146</v>
      </c>
      <c r="E254" s="1" t="n">
        <v>0.1198</v>
      </c>
      <c r="F254" s="1" t="n">
        <v>0.000344345</v>
      </c>
      <c r="G254" s="1" t="s">
        <v>37</v>
      </c>
      <c r="H254" s="1" t="n">
        <v>83.1</v>
      </c>
      <c r="I254" s="1" t="n">
        <v>150.2</v>
      </c>
      <c r="J254" s="1" t="n">
        <v>0</v>
      </c>
      <c r="K254" s="1" t="n">
        <v>119.5</v>
      </c>
      <c r="L254" s="1" t="n">
        <v>0</v>
      </c>
      <c r="M254" s="1" t="n">
        <v>0</v>
      </c>
      <c r="N254" s="1" t="s">
        <v>179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Z254" s="0" t="n">
        <f aca="false">I254+65</f>
        <v>215.2</v>
      </c>
      <c r="AB254" s="0" t="n">
        <f aca="false">IF(Z254&gt;360,Z254-360,Z254+0)</f>
        <v>215.2</v>
      </c>
    </row>
    <row r="255" customFormat="false" ht="15.8" hidden="false" customHeight="false" outlineLevel="0" collapsed="false">
      <c r="A255" s="1" t="n">
        <v>2</v>
      </c>
      <c r="B255" s="1" t="n">
        <v>1</v>
      </c>
      <c r="C255" s="1" t="n">
        <v>1.8</v>
      </c>
      <c r="D255" s="1" t="n">
        <v>1.0112</v>
      </c>
      <c r="E255" s="1" t="n">
        <v>0.0654283</v>
      </c>
      <c r="F255" s="1" t="n">
        <v>0.000188063</v>
      </c>
      <c r="G255" s="1" t="s">
        <v>37</v>
      </c>
      <c r="H255" s="1"/>
      <c r="I255" s="1" t="n">
        <v>233.4</v>
      </c>
      <c r="J255" s="1" t="n">
        <v>0</v>
      </c>
      <c r="K255" s="1" t="n">
        <v>83.1</v>
      </c>
      <c r="L255" s="1" t="n">
        <v>0</v>
      </c>
      <c r="M255" s="1" t="n">
        <v>0</v>
      </c>
      <c r="N255" s="1" t="s">
        <v>217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Z255" s="0" t="n">
        <f aca="false">I255+65</f>
        <v>298.4</v>
      </c>
      <c r="AB255" s="0" t="n">
        <f aca="false">IF(Z255&gt;360,Z255-360,Z255+0)</f>
        <v>298.4</v>
      </c>
    </row>
    <row r="256" customFormat="false" ht="15.8" hidden="false" customHeight="false" outlineLevel="0" collapsed="false">
      <c r="A256" s="1" t="n">
        <v>3</v>
      </c>
      <c r="B256" s="1" t="n">
        <v>6</v>
      </c>
      <c r="C256" s="1" t="n">
        <v>1.5</v>
      </c>
      <c r="D256" s="1" t="n">
        <v>1.0964</v>
      </c>
      <c r="E256" s="1" t="n">
        <v>0.0524172</v>
      </c>
      <c r="F256" s="1" t="n">
        <v>0.000150665</v>
      </c>
      <c r="G256" s="1" t="s">
        <v>27</v>
      </c>
      <c r="H256" s="1" t="n">
        <v>45.3</v>
      </c>
      <c r="I256" s="1" t="n">
        <v>357.5</v>
      </c>
      <c r="J256" s="1" t="n">
        <v>0</v>
      </c>
      <c r="K256" s="1"/>
      <c r="L256" s="1" t="n">
        <v>0</v>
      </c>
      <c r="M256" s="1" t="n">
        <v>0</v>
      </c>
      <c r="N256" s="1" t="s">
        <v>218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Z256" s="0" t="n">
        <f aca="false">I256+65</f>
        <v>422.5</v>
      </c>
      <c r="AB256" s="0" t="n">
        <f aca="false">IF(Z256&gt;360,Z256-360,Z256+0)</f>
        <v>62.5</v>
      </c>
    </row>
    <row r="257" customFormat="false" ht="15.8" hidden="false" customHeight="false" outlineLevel="0" collapsed="false">
      <c r="A257" s="1" t="n">
        <v>3</v>
      </c>
      <c r="B257" s="1" t="n">
        <v>6</v>
      </c>
      <c r="C257" s="1" t="n">
        <v>3.7</v>
      </c>
      <c r="D257" s="1" t="n">
        <v>1.2887</v>
      </c>
      <c r="E257" s="1" t="n">
        <v>0.134563</v>
      </c>
      <c r="F257" s="1" t="n">
        <v>0.00038678</v>
      </c>
      <c r="G257" s="1" t="s">
        <v>27</v>
      </c>
      <c r="H257" s="1" t="n">
        <v>24.2</v>
      </c>
      <c r="I257" s="1" t="n">
        <v>327.7</v>
      </c>
      <c r="J257" s="1" t="n">
        <v>-32.7</v>
      </c>
      <c r="K257" s="1"/>
      <c r="L257" s="1" t="n">
        <v>0</v>
      </c>
      <c r="M257" s="1" t="n">
        <v>0</v>
      </c>
      <c r="N257" s="1" t="s">
        <v>218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Z257" s="0" t="n">
        <f aca="false">I257+65</f>
        <v>392.7</v>
      </c>
      <c r="AB257" s="0" t="n">
        <f aca="false">IF(Z257&gt;360,Z257-360,Z257+0)</f>
        <v>32.7</v>
      </c>
    </row>
    <row r="258" customFormat="false" ht="15.8" hidden="false" customHeight="false" outlineLevel="0" collapsed="false">
      <c r="A258" s="1" t="n">
        <v>3</v>
      </c>
      <c r="B258" s="1" t="n">
        <v>7</v>
      </c>
      <c r="C258" s="1" t="n">
        <v>2.4</v>
      </c>
      <c r="D258" s="1" t="n">
        <v>1.3</v>
      </c>
      <c r="E258" s="1" t="n">
        <v>0.0862173</v>
      </c>
      <c r="F258" s="1" t="n">
        <v>0.000247817</v>
      </c>
      <c r="G258" s="1" t="s">
        <v>27</v>
      </c>
      <c r="H258" s="1" t="n">
        <v>80</v>
      </c>
      <c r="I258" s="1" t="n">
        <v>132.6</v>
      </c>
      <c r="J258" s="1" t="n">
        <v>58.2</v>
      </c>
      <c r="K258" s="1"/>
      <c r="L258" s="1" t="n">
        <v>0</v>
      </c>
      <c r="M258" s="1" t="n">
        <v>0</v>
      </c>
      <c r="N258" s="1" t="s">
        <v>219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Z258" s="0" t="n">
        <f aca="false">I258+65</f>
        <v>197.6</v>
      </c>
      <c r="AB258" s="0" t="n">
        <f aca="false">IF(Z258&gt;360,Z258-360,Z258+0)</f>
        <v>197.6</v>
      </c>
    </row>
    <row r="259" customFormat="false" ht="15.8" hidden="false" customHeight="false" outlineLevel="0" collapsed="false">
      <c r="A259" s="1" t="n">
        <v>3</v>
      </c>
      <c r="B259" s="1" t="n">
        <v>7</v>
      </c>
      <c r="C259" s="1" t="n">
        <v>1</v>
      </c>
      <c r="D259" s="1" t="n">
        <v>1.1234</v>
      </c>
      <c r="E259" s="1" t="n">
        <v>0.0368584</v>
      </c>
      <c r="F259" s="1" t="n">
        <v>0.000105943</v>
      </c>
      <c r="G259" s="1" t="s">
        <v>27</v>
      </c>
      <c r="H259" s="1" t="n">
        <v>33.2</v>
      </c>
      <c r="I259" s="1" t="n">
        <v>270.7</v>
      </c>
      <c r="J259" s="1" t="n">
        <v>0</v>
      </c>
      <c r="K259" s="1"/>
      <c r="L259" s="1" t="n">
        <v>0</v>
      </c>
      <c r="M259" s="1" t="n">
        <v>0</v>
      </c>
      <c r="N259" s="1" t="s">
        <v>219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Z259" s="0" t="n">
        <f aca="false">I259+65</f>
        <v>335.7</v>
      </c>
      <c r="AB259" s="0" t="n">
        <f aca="false">IF(Z259&gt;360,Z259-360,Z259+0)</f>
        <v>335.7</v>
      </c>
    </row>
    <row r="260" customFormat="false" ht="15.8" hidden="false" customHeight="false" outlineLevel="0" collapsed="false">
      <c r="A260" s="1" t="n">
        <v>3</v>
      </c>
      <c r="B260" s="1" t="n">
        <v>6</v>
      </c>
      <c r="C260" s="1" t="n">
        <v>1</v>
      </c>
      <c r="D260" s="1" t="n">
        <v>1.2364</v>
      </c>
      <c r="E260" s="1" t="n">
        <v>0.0354628</v>
      </c>
      <c r="F260" s="1" t="n">
        <v>0.000101932</v>
      </c>
      <c r="G260" s="1" t="s">
        <v>37</v>
      </c>
      <c r="H260" s="1" t="n">
        <v>70.4</v>
      </c>
      <c r="I260" s="1" t="n">
        <v>254.6</v>
      </c>
      <c r="J260" s="1" t="n">
        <v>29.4</v>
      </c>
      <c r="K260" s="1" t="n">
        <v>80</v>
      </c>
      <c r="L260" s="1" t="n">
        <v>0</v>
      </c>
      <c r="M260" s="1" t="n">
        <v>0</v>
      </c>
      <c r="N260" s="1" t="s">
        <v>218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Z260" s="0" t="n">
        <f aca="false">I260+65</f>
        <v>319.6</v>
      </c>
      <c r="AB260" s="0" t="n">
        <f aca="false">IF(Z260&gt;360,Z260-360,Z260+0)</f>
        <v>319.6</v>
      </c>
    </row>
    <row r="261" customFormat="false" ht="15.8" hidden="false" customHeight="false" outlineLevel="0" collapsed="false">
      <c r="A261" s="1" t="n">
        <v>3</v>
      </c>
      <c r="B261" s="1" t="n">
        <v>5</v>
      </c>
      <c r="C261" s="1" t="n">
        <v>2.1</v>
      </c>
      <c r="D261" s="1" t="n">
        <v>1.1414</v>
      </c>
      <c r="E261" s="1" t="n">
        <v>0.0756675</v>
      </c>
      <c r="F261" s="1" t="n">
        <v>0.000217494</v>
      </c>
      <c r="G261" s="1" t="s">
        <v>37</v>
      </c>
      <c r="H261" s="1" t="n">
        <v>71.6</v>
      </c>
      <c r="I261" s="1" t="n">
        <v>313.5</v>
      </c>
      <c r="J261" s="1" t="n">
        <v>-12.3</v>
      </c>
      <c r="K261" s="1" t="n">
        <v>70.4</v>
      </c>
      <c r="L261" s="1" t="n">
        <v>0</v>
      </c>
      <c r="M261" s="1" t="n">
        <v>0</v>
      </c>
      <c r="N261" s="1" t="s">
        <v>220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Z261" s="0" t="n">
        <f aca="false">I261+65</f>
        <v>378.5</v>
      </c>
      <c r="AB261" s="0" t="n">
        <f aca="false">IF(Z261&gt;360,Z261-360,Z261+0)</f>
        <v>18.5</v>
      </c>
    </row>
    <row r="262" customFormat="false" ht="15.8" hidden="false" customHeight="false" outlineLevel="0" collapsed="false">
      <c r="A262" s="1" t="n">
        <v>3</v>
      </c>
      <c r="B262" s="1" t="n">
        <v>8</v>
      </c>
      <c r="C262" s="1" t="n">
        <v>2.5</v>
      </c>
      <c r="D262" s="1" t="n">
        <v>1.7894</v>
      </c>
      <c r="E262" s="1" t="n">
        <v>0.0899388</v>
      </c>
      <c r="F262" s="1" t="n">
        <v>0.000258514</v>
      </c>
      <c r="G262" s="1" t="s">
        <v>27</v>
      </c>
      <c r="H262" s="1" t="n">
        <v>54.1</v>
      </c>
      <c r="I262" s="1" t="n">
        <v>48.5</v>
      </c>
      <c r="J262" s="1" t="n">
        <v>-16.3</v>
      </c>
      <c r="K262" s="1"/>
      <c r="L262" s="1" t="n">
        <v>0</v>
      </c>
      <c r="M262" s="1" t="n">
        <v>0</v>
      </c>
      <c r="N262" s="1" t="s">
        <v>221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Z262" s="0" t="n">
        <f aca="false">I262+65</f>
        <v>113.5</v>
      </c>
      <c r="AB262" s="0" t="n">
        <f aca="false">IF(Z262&gt;360,Z262-360,Z262+0)</f>
        <v>113.5</v>
      </c>
    </row>
    <row r="263" customFormat="false" ht="15.8" hidden="false" customHeight="false" outlineLevel="0" collapsed="false">
      <c r="A263" s="1" t="n">
        <v>3</v>
      </c>
      <c r="B263" s="1" t="n">
        <v>8</v>
      </c>
      <c r="C263" s="1" t="n">
        <v>4.7</v>
      </c>
      <c r="D263" s="1" t="n">
        <v>1.2035</v>
      </c>
      <c r="E263" s="1" t="n">
        <v>0.16898</v>
      </c>
      <c r="F263" s="1" t="n">
        <v>0.000485706</v>
      </c>
      <c r="G263" s="1" t="s">
        <v>27</v>
      </c>
      <c r="H263" s="1" t="n">
        <v>8.6</v>
      </c>
      <c r="I263" s="1" t="n">
        <v>349.7</v>
      </c>
      <c r="J263" s="1" t="n">
        <v>5.8</v>
      </c>
      <c r="K263" s="1"/>
      <c r="L263" s="1" t="n">
        <v>0</v>
      </c>
      <c r="M263" s="1" t="n">
        <v>0</v>
      </c>
      <c r="N263" s="1" t="s">
        <v>221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Z263" s="0" t="n">
        <f aca="false">I263+65</f>
        <v>414.7</v>
      </c>
      <c r="AB263" s="0" t="n">
        <f aca="false">IF(Z263&gt;360,Z263-360,Z263+0)</f>
        <v>54.7</v>
      </c>
    </row>
    <row r="264" customFormat="false" ht="15.8" hidden="false" customHeight="false" outlineLevel="0" collapsed="false">
      <c r="A264" s="1" t="n">
        <v>3</v>
      </c>
      <c r="B264" s="1" t="n">
        <v>7</v>
      </c>
      <c r="C264" s="1" t="n">
        <v>1.7</v>
      </c>
      <c r="D264" s="1" t="n">
        <v>1.37</v>
      </c>
      <c r="E264" s="1" t="n">
        <v>0.0600993</v>
      </c>
      <c r="F264" s="1" t="n">
        <v>0.000172746</v>
      </c>
      <c r="G264" s="1" t="s">
        <v>37</v>
      </c>
      <c r="H264" s="1" t="n">
        <v>63</v>
      </c>
      <c r="I264" s="1" t="n">
        <v>356.1</v>
      </c>
      <c r="J264" s="1" t="n">
        <v>0</v>
      </c>
      <c r="K264" s="1" t="n">
        <v>54.1</v>
      </c>
      <c r="L264" s="1" t="n">
        <v>0</v>
      </c>
      <c r="M264" s="1" t="n">
        <v>0</v>
      </c>
      <c r="N264" s="1" t="s">
        <v>222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Z264" s="0" t="n">
        <f aca="false">I264+65</f>
        <v>421.1</v>
      </c>
      <c r="AB264" s="0" t="n">
        <f aca="false">IF(Z264&gt;360,Z264-360,Z264+0)</f>
        <v>61.1</v>
      </c>
    </row>
    <row r="265" customFormat="false" ht="15.8" hidden="false" customHeight="false" outlineLevel="0" collapsed="false">
      <c r="A265" s="1" t="n">
        <v>3</v>
      </c>
      <c r="B265" s="1" t="n">
        <v>11</v>
      </c>
      <c r="C265" s="1" t="n">
        <v>4.2</v>
      </c>
      <c r="D265" s="1" t="n">
        <v>1.1424</v>
      </c>
      <c r="E265" s="1" t="n">
        <v>0.151783</v>
      </c>
      <c r="F265" s="1" t="n">
        <v>0.000436275</v>
      </c>
      <c r="G265" s="1" t="s">
        <v>27</v>
      </c>
      <c r="H265" s="1" t="n">
        <v>34.7</v>
      </c>
      <c r="I265" s="1" t="n">
        <v>64.8</v>
      </c>
      <c r="J265" s="1" t="n">
        <v>-6.1</v>
      </c>
      <c r="K265" s="1"/>
      <c r="L265" s="1" t="n">
        <v>0</v>
      </c>
      <c r="M265" s="1" t="n">
        <v>0</v>
      </c>
      <c r="N265" s="1" t="s">
        <v>223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Z265" s="0" t="n">
        <f aca="false">I265+65</f>
        <v>129.8</v>
      </c>
      <c r="AB265" s="0" t="n">
        <f aca="false">IF(Z265&gt;360,Z265-360,Z265+0)</f>
        <v>129.8</v>
      </c>
    </row>
    <row r="266" customFormat="false" ht="15.8" hidden="false" customHeight="false" outlineLevel="0" collapsed="false">
      <c r="A266" s="1" t="n">
        <v>3</v>
      </c>
      <c r="B266" s="1" t="n">
        <v>11</v>
      </c>
      <c r="C266" s="1" t="n">
        <v>0.9</v>
      </c>
      <c r="D266" s="1" t="n">
        <v>1.2938</v>
      </c>
      <c r="E266" s="1" t="n">
        <v>0.0335115</v>
      </c>
      <c r="F266" s="1" t="n">
        <v>9.63233E-005</v>
      </c>
      <c r="G266" s="1" t="s">
        <v>27</v>
      </c>
      <c r="H266" s="1" t="n">
        <v>120.6</v>
      </c>
      <c r="I266" s="1" t="n">
        <v>316.5</v>
      </c>
      <c r="J266" s="1" t="n">
        <v>-32.9</v>
      </c>
      <c r="K266" s="1"/>
      <c r="L266" s="1" t="n">
        <v>0</v>
      </c>
      <c r="M266" s="1" t="n">
        <v>0</v>
      </c>
      <c r="N266" s="1" t="s">
        <v>223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Z266" s="0" t="n">
        <f aca="false">I266+65</f>
        <v>381.5</v>
      </c>
      <c r="AB266" s="0" t="n">
        <f aca="false">IF(Z266&gt;360,Z266-360,Z266+0)</f>
        <v>21.5</v>
      </c>
    </row>
    <row r="267" customFormat="false" ht="15.8" hidden="false" customHeight="false" outlineLevel="0" collapsed="false">
      <c r="A267" s="1" t="n">
        <v>3</v>
      </c>
      <c r="B267" s="1" t="n">
        <v>10</v>
      </c>
      <c r="C267" s="1" t="n">
        <v>1</v>
      </c>
      <c r="D267" s="1" t="n">
        <v>1.1891</v>
      </c>
      <c r="E267" s="1" t="n">
        <v>0.0350046</v>
      </c>
      <c r="F267" s="1" t="n">
        <v>0.000100615</v>
      </c>
      <c r="G267" s="1" t="s">
        <v>37</v>
      </c>
      <c r="H267" s="1" t="n">
        <v>96.2</v>
      </c>
      <c r="I267" s="1" t="n">
        <v>66.3</v>
      </c>
      <c r="J267" s="1" t="n">
        <v>28.6</v>
      </c>
      <c r="K267" s="1" t="n">
        <v>120.6</v>
      </c>
      <c r="L267" s="1" t="n">
        <v>0</v>
      </c>
      <c r="M267" s="1" t="n">
        <v>0</v>
      </c>
      <c r="N267" s="1" t="s">
        <v>224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Z267" s="0" t="n">
        <f aca="false">I267+65</f>
        <v>131.3</v>
      </c>
      <c r="AB267" s="0" t="n">
        <f aca="false">IF(Z267&gt;360,Z267-360,Z267+0)</f>
        <v>131.3</v>
      </c>
    </row>
    <row r="268" customFormat="false" ht="15.8" hidden="false" customHeight="false" outlineLevel="0" collapsed="false">
      <c r="A268" s="1" t="n">
        <v>3</v>
      </c>
      <c r="B268" s="1" t="n">
        <v>10</v>
      </c>
      <c r="C268" s="1" t="n">
        <v>0.5</v>
      </c>
      <c r="D268" s="1" t="n">
        <v>1.0148</v>
      </c>
      <c r="E268" s="1" t="n">
        <v>0.0177268</v>
      </c>
      <c r="F268" s="1" t="n">
        <v>5.09527E-005</v>
      </c>
      <c r="G268" s="1" t="s">
        <v>27</v>
      </c>
      <c r="H268" s="1" t="n">
        <v>87.7</v>
      </c>
      <c r="I268" s="1" t="n">
        <v>241.6</v>
      </c>
      <c r="J268" s="1" t="n">
        <v>0</v>
      </c>
      <c r="K268" s="1"/>
      <c r="L268" s="1" t="n">
        <v>0</v>
      </c>
      <c r="M268" s="1" t="n">
        <v>0</v>
      </c>
      <c r="N268" s="1" t="s">
        <v>224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Z268" s="0" t="n">
        <f aca="false">I268+65</f>
        <v>306.6</v>
      </c>
      <c r="AB268" s="0" t="n">
        <f aca="false">IF(Z268&gt;360,Z268-360,Z268+0)</f>
        <v>306.6</v>
      </c>
    </row>
    <row r="269" customFormat="false" ht="15.8" hidden="false" customHeight="false" outlineLevel="0" collapsed="false">
      <c r="A269" s="1" t="n">
        <v>3</v>
      </c>
      <c r="B269" s="1" t="n">
        <v>9</v>
      </c>
      <c r="C269" s="1" t="n">
        <v>0.9</v>
      </c>
      <c r="D269" s="1" t="n">
        <v>1.0097</v>
      </c>
      <c r="E269" s="1" t="n">
        <v>0.0312079</v>
      </c>
      <c r="F269" s="1" t="n">
        <v>8.97018E-005</v>
      </c>
      <c r="G269" s="1" t="s">
        <v>37</v>
      </c>
      <c r="H269" s="1" t="n">
        <v>75.4</v>
      </c>
      <c r="I269" s="1" t="n">
        <v>329.3</v>
      </c>
      <c r="J269" s="1" t="n">
        <v>0</v>
      </c>
      <c r="K269" s="1" t="n">
        <v>96.2</v>
      </c>
      <c r="L269" s="1" t="n">
        <v>0</v>
      </c>
      <c r="M269" s="1" t="n">
        <v>0</v>
      </c>
      <c r="N269" s="1" t="s">
        <v>225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Z269" s="0" t="n">
        <f aca="false">I269+65</f>
        <v>394.3</v>
      </c>
      <c r="AB269" s="0" t="n">
        <f aca="false">IF(Z269&gt;360,Z269-360,Z269+0)</f>
        <v>34.3</v>
      </c>
    </row>
    <row r="270" customFormat="false" ht="15.8" hidden="false" customHeight="false" outlineLevel="0" collapsed="false">
      <c r="A270" s="1" t="n">
        <v>3</v>
      </c>
      <c r="B270" s="1" t="n">
        <v>15</v>
      </c>
      <c r="C270" s="1" t="n">
        <v>0.8</v>
      </c>
      <c r="D270" s="1" t="n">
        <v>1.2996</v>
      </c>
      <c r="E270" s="1" t="n">
        <v>0.0279157</v>
      </c>
      <c r="F270" s="1" t="n">
        <v>8.02389E-005</v>
      </c>
      <c r="G270" s="1" t="s">
        <v>27</v>
      </c>
      <c r="H270" s="1" t="n">
        <v>31.5</v>
      </c>
      <c r="I270" s="1" t="n">
        <v>177.1</v>
      </c>
      <c r="J270" s="1" t="n">
        <v>-41</v>
      </c>
      <c r="K270" s="1"/>
      <c r="L270" s="1" t="n">
        <v>0</v>
      </c>
      <c r="M270" s="1" t="n">
        <v>0</v>
      </c>
      <c r="N270" s="1" t="s">
        <v>226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Z270" s="0" t="n">
        <f aca="false">I270+65</f>
        <v>242.1</v>
      </c>
      <c r="AB270" s="0" t="n">
        <f aca="false">IF(Z270&gt;360,Z270-360,Z270+0)</f>
        <v>242.1</v>
      </c>
    </row>
    <row r="271" customFormat="false" ht="15.8" hidden="false" customHeight="false" outlineLevel="0" collapsed="false">
      <c r="A271" s="1" t="n">
        <v>3</v>
      </c>
      <c r="B271" s="1" t="n">
        <v>15</v>
      </c>
      <c r="C271" s="1" t="n">
        <v>0.4</v>
      </c>
      <c r="D271" s="1" t="n">
        <v>1.0034</v>
      </c>
      <c r="E271" s="1" t="n">
        <v>0.0142223</v>
      </c>
      <c r="F271" s="1" t="n">
        <v>4.08798E-005</v>
      </c>
      <c r="G271" s="1" t="s">
        <v>27</v>
      </c>
      <c r="H271" s="1" t="n">
        <v>67.4</v>
      </c>
      <c r="I271" s="1" t="n">
        <v>95</v>
      </c>
      <c r="J271" s="1" t="n">
        <v>0</v>
      </c>
      <c r="K271" s="1"/>
      <c r="L271" s="1" t="n">
        <v>0</v>
      </c>
      <c r="M271" s="1" t="n">
        <v>0</v>
      </c>
      <c r="N271" s="1" t="s">
        <v>226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Z271" s="0" t="n">
        <f aca="false">I271+65</f>
        <v>160</v>
      </c>
      <c r="AB271" s="0" t="n">
        <f aca="false">IF(Z271&gt;360,Z271-360,Z271+0)</f>
        <v>160</v>
      </c>
    </row>
    <row r="272" customFormat="false" ht="15.8" hidden="false" customHeight="false" outlineLevel="0" collapsed="false">
      <c r="A272" s="1" t="n">
        <v>3</v>
      </c>
      <c r="B272" s="1" t="n">
        <v>14</v>
      </c>
      <c r="C272" s="1" t="n">
        <v>2.2</v>
      </c>
      <c r="D272" s="1" t="n">
        <v>1.2369</v>
      </c>
      <c r="E272" s="1" t="n">
        <v>0.0808779</v>
      </c>
      <c r="F272" s="1" t="n">
        <v>0.00023247</v>
      </c>
      <c r="G272" s="1" t="s">
        <v>37</v>
      </c>
      <c r="H272" s="1" t="n">
        <v>67.2</v>
      </c>
      <c r="I272" s="1" t="n">
        <v>135.7</v>
      </c>
      <c r="J272" s="1" t="n">
        <v>-59.5</v>
      </c>
      <c r="K272" s="1" t="n">
        <v>67.4</v>
      </c>
      <c r="L272" s="1" t="n">
        <v>0</v>
      </c>
      <c r="M272" s="1" t="n">
        <v>0</v>
      </c>
      <c r="N272" s="1" t="s">
        <v>227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Z272" s="0" t="n">
        <f aca="false">I272+65</f>
        <v>200.7</v>
      </c>
      <c r="AB272" s="0" t="n">
        <f aca="false">IF(Z272&gt;360,Z272-360,Z272+0)</f>
        <v>200.7</v>
      </c>
    </row>
    <row r="273" customFormat="false" ht="15.8" hidden="false" customHeight="false" outlineLevel="0" collapsed="false">
      <c r="A273" s="1" t="n">
        <v>3</v>
      </c>
      <c r="B273" s="1" t="n">
        <v>14</v>
      </c>
      <c r="C273" s="1" t="n">
        <v>3</v>
      </c>
      <c r="D273" s="1" t="n">
        <v>1.1806</v>
      </c>
      <c r="E273" s="1" t="n">
        <v>0.107384</v>
      </c>
      <c r="F273" s="1" t="n">
        <v>0.000308657</v>
      </c>
      <c r="G273" s="1" t="s">
        <v>27</v>
      </c>
      <c r="H273" s="1" t="n">
        <v>15.6</v>
      </c>
      <c r="I273" s="1" t="n">
        <v>163.1</v>
      </c>
      <c r="J273" s="1" t="n">
        <v>-8.9</v>
      </c>
      <c r="K273" s="1"/>
      <c r="L273" s="1" t="n">
        <v>0</v>
      </c>
      <c r="M273" s="1" t="n">
        <v>0</v>
      </c>
      <c r="N273" s="1" t="s">
        <v>227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Z273" s="0" t="n">
        <f aca="false">I273+65</f>
        <v>228.1</v>
      </c>
      <c r="AB273" s="0" t="n">
        <f aca="false">IF(Z273&gt;360,Z273-360,Z273+0)</f>
        <v>228.1</v>
      </c>
    </row>
    <row r="274" customFormat="false" ht="15.8" hidden="false" customHeight="false" outlineLevel="0" collapsed="false">
      <c r="A274" s="1" t="n">
        <v>3</v>
      </c>
      <c r="B274" s="1" t="n">
        <v>14</v>
      </c>
      <c r="C274" s="1" t="n">
        <v>1.9</v>
      </c>
      <c r="D274" s="1" t="n">
        <v>1.266</v>
      </c>
      <c r="E274" s="1" t="n">
        <v>0.0683434</v>
      </c>
      <c r="F274" s="1" t="n">
        <v>0.000196442</v>
      </c>
      <c r="G274" s="1" t="s">
        <v>27</v>
      </c>
      <c r="H274" s="1" t="n">
        <v>97.4</v>
      </c>
      <c r="I274" s="1" t="n">
        <v>273.6</v>
      </c>
      <c r="J274" s="1" t="n">
        <v>-15.1</v>
      </c>
      <c r="K274" s="1"/>
      <c r="L274" s="1" t="n">
        <v>0</v>
      </c>
      <c r="M274" s="1" t="n">
        <v>0</v>
      </c>
      <c r="N274" s="1" t="s">
        <v>227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Z274" s="0" t="n">
        <f aca="false">I274+65</f>
        <v>338.6</v>
      </c>
      <c r="AB274" s="0" t="n">
        <f aca="false">IF(Z274&gt;360,Z274-360,Z274+0)</f>
        <v>338.6</v>
      </c>
    </row>
    <row r="275" customFormat="false" ht="15.8" hidden="false" customHeight="false" outlineLevel="0" collapsed="false">
      <c r="A275" s="1" t="n">
        <v>3</v>
      </c>
      <c r="B275" s="1" t="n">
        <v>15</v>
      </c>
      <c r="C275" s="1" t="n">
        <v>3</v>
      </c>
      <c r="D275" s="1" t="n">
        <v>1.3451</v>
      </c>
      <c r="E275" s="1" t="n">
        <v>0.106825</v>
      </c>
      <c r="F275" s="1" t="n">
        <v>0.00030705</v>
      </c>
      <c r="G275" s="1" t="s">
        <v>27</v>
      </c>
      <c r="H275" s="1" t="n">
        <v>20.2</v>
      </c>
      <c r="I275" s="1" t="n">
        <v>77.9</v>
      </c>
      <c r="J275" s="1" t="n">
        <v>0</v>
      </c>
      <c r="K275" s="1"/>
      <c r="L275" s="1" t="n">
        <v>0</v>
      </c>
      <c r="M275" s="1" t="n">
        <v>0</v>
      </c>
      <c r="N275" s="1" t="s">
        <v>228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Z275" s="0" t="n">
        <f aca="false">I275+65</f>
        <v>142.9</v>
      </c>
      <c r="AB275" s="0" t="n">
        <f aca="false">IF(Z275&gt;360,Z275-360,Z275+0)</f>
        <v>142.9</v>
      </c>
    </row>
    <row r="276" customFormat="false" ht="15.8" hidden="false" customHeight="false" outlineLevel="0" collapsed="false">
      <c r="A276" s="1" t="n">
        <v>3</v>
      </c>
      <c r="B276" s="1" t="n">
        <v>16</v>
      </c>
      <c r="C276" s="1" t="n">
        <v>4</v>
      </c>
      <c r="D276" s="1" t="n">
        <v>1.1283</v>
      </c>
      <c r="E276" s="1" t="n">
        <v>0.144203</v>
      </c>
      <c r="F276" s="1" t="n">
        <v>0.000414488</v>
      </c>
      <c r="G276" s="1" t="s">
        <v>27</v>
      </c>
      <c r="H276" s="1" t="n">
        <v>13.1</v>
      </c>
      <c r="I276" s="1" t="n">
        <v>13</v>
      </c>
      <c r="J276" s="1" t="n">
        <v>6.3</v>
      </c>
      <c r="K276" s="1"/>
      <c r="L276" s="1" t="n">
        <v>0</v>
      </c>
      <c r="M276" s="1" t="n">
        <v>0</v>
      </c>
      <c r="N276" s="1" t="s">
        <v>229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Z276" s="0" t="n">
        <f aca="false">I276+65</f>
        <v>78</v>
      </c>
      <c r="AB276" s="0" t="n">
        <f aca="false">IF(Z276&gt;360,Z276-360,Z276+0)</f>
        <v>78</v>
      </c>
    </row>
    <row r="277" customFormat="false" ht="15.8" hidden="false" customHeight="false" outlineLevel="0" collapsed="false">
      <c r="A277" s="1" t="n">
        <v>3</v>
      </c>
      <c r="B277" s="1" t="n">
        <v>16</v>
      </c>
      <c r="C277" s="1" t="n">
        <v>2.7</v>
      </c>
      <c r="D277" s="1" t="n">
        <v>1.3838</v>
      </c>
      <c r="E277" s="1" t="n">
        <v>0.0958842</v>
      </c>
      <c r="F277" s="1" t="n">
        <v>0.000275603</v>
      </c>
      <c r="G277" s="1" t="s">
        <v>27</v>
      </c>
      <c r="H277" s="1" t="n">
        <v>21.8</v>
      </c>
      <c r="I277" s="1" t="n">
        <v>11.7</v>
      </c>
      <c r="J277" s="1" t="n">
        <v>-11.7</v>
      </c>
      <c r="K277" s="1"/>
      <c r="L277" s="1" t="n">
        <v>0</v>
      </c>
      <c r="M277" s="1" t="n">
        <v>0</v>
      </c>
      <c r="N277" s="1" t="s">
        <v>229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Z277" s="0" t="n">
        <f aca="false">I277+65</f>
        <v>76.7</v>
      </c>
      <c r="AB277" s="0" t="n">
        <f aca="false">IF(Z277&gt;360,Z277-360,Z277+0)</f>
        <v>76.7</v>
      </c>
    </row>
    <row r="278" customFormat="false" ht="15.8" hidden="false" customHeight="false" outlineLevel="0" collapsed="false">
      <c r="A278" s="1" t="n">
        <v>3</v>
      </c>
      <c r="B278" s="1" t="n">
        <v>15</v>
      </c>
      <c r="C278" s="1" t="n">
        <v>4.1</v>
      </c>
      <c r="D278" s="1" t="n">
        <v>1.2067</v>
      </c>
      <c r="E278" s="1" t="n">
        <v>0.148809</v>
      </c>
      <c r="F278" s="1" t="n">
        <v>0.000427728</v>
      </c>
      <c r="G278" s="1" t="s">
        <v>37</v>
      </c>
      <c r="H278" s="1" t="n">
        <v>74.5</v>
      </c>
      <c r="I278" s="1" t="n">
        <v>359.8</v>
      </c>
      <c r="J278" s="1" t="n">
        <v>6.6</v>
      </c>
      <c r="K278" s="1" t="n">
        <v>21.8</v>
      </c>
      <c r="L278" s="1" t="n">
        <v>0</v>
      </c>
      <c r="M278" s="1" t="n">
        <v>0</v>
      </c>
      <c r="N278" s="1" t="s">
        <v>228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Z278" s="0" t="n">
        <f aca="false">I278+65</f>
        <v>424.8</v>
      </c>
      <c r="AB278" s="0" t="n">
        <f aca="false">IF(Z278&gt;360,Z278-360,Z278+0)</f>
        <v>64.8</v>
      </c>
    </row>
    <row r="279" customFormat="false" ht="15.8" hidden="false" customHeight="false" outlineLevel="0" collapsed="false">
      <c r="A279" s="1" t="n">
        <v>3</v>
      </c>
      <c r="B279" s="1" t="n">
        <v>14</v>
      </c>
      <c r="C279" s="1" t="n">
        <v>4.6</v>
      </c>
      <c r="D279" s="1" t="n">
        <v>1.2694</v>
      </c>
      <c r="E279" s="1" t="n">
        <v>0.165002</v>
      </c>
      <c r="F279" s="1" t="n">
        <v>0.00047427</v>
      </c>
      <c r="G279" s="1" t="s">
        <v>37</v>
      </c>
      <c r="H279" s="1" t="n">
        <v>104.1</v>
      </c>
      <c r="I279" s="1" t="n">
        <v>70.9</v>
      </c>
      <c r="J279" s="1" t="n">
        <v>-19</v>
      </c>
      <c r="K279" s="1" t="n">
        <v>74.5</v>
      </c>
      <c r="L279" s="1" t="n">
        <v>0</v>
      </c>
      <c r="M279" s="1" t="n">
        <v>0</v>
      </c>
      <c r="N279" s="1" t="s">
        <v>227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Z279" s="0" t="n">
        <f aca="false">I279+65</f>
        <v>135.9</v>
      </c>
      <c r="AB279" s="0" t="n">
        <f aca="false">IF(Z279&gt;360,Z279-360,Z279+0)</f>
        <v>135.9</v>
      </c>
    </row>
    <row r="280" customFormat="false" ht="15.8" hidden="false" customHeight="false" outlineLevel="0" collapsed="false">
      <c r="A280" s="1" t="n">
        <v>3</v>
      </c>
      <c r="B280" s="1" t="n">
        <v>13</v>
      </c>
      <c r="C280" s="1" t="n">
        <v>1.1</v>
      </c>
      <c r="D280" s="1" t="n">
        <v>1.0014</v>
      </c>
      <c r="E280" s="1" t="n">
        <v>0.0404474</v>
      </c>
      <c r="F280" s="1" t="n">
        <v>0.000116259</v>
      </c>
      <c r="G280" s="1" t="s">
        <v>37</v>
      </c>
      <c r="H280" s="1" t="n">
        <v>17.4</v>
      </c>
      <c r="I280" s="1" t="n">
        <v>175.9</v>
      </c>
      <c r="J280" s="1" t="n">
        <v>0</v>
      </c>
      <c r="K280" s="1" t="n">
        <v>104.1</v>
      </c>
      <c r="L280" s="1" t="n">
        <v>0</v>
      </c>
      <c r="M280" s="1" t="n">
        <v>0</v>
      </c>
      <c r="N280" s="1" t="s">
        <v>230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Z280" s="0" t="n">
        <f aca="false">I280+65</f>
        <v>240.9</v>
      </c>
      <c r="AB280" s="0" t="n">
        <f aca="false">IF(Z280&gt;360,Z280-360,Z280+0)</f>
        <v>240.9</v>
      </c>
    </row>
    <row r="281" customFormat="false" ht="15.8" hidden="false" customHeight="false" outlineLevel="0" collapsed="false">
      <c r="A281" s="1" t="n">
        <v>3</v>
      </c>
      <c r="B281" s="1" t="n">
        <v>13</v>
      </c>
      <c r="C281" s="1" t="n">
        <v>1</v>
      </c>
      <c r="D281" s="1" t="n">
        <v>1.2393</v>
      </c>
      <c r="E281" s="1" t="n">
        <v>0.0354328</v>
      </c>
      <c r="F281" s="1" t="n">
        <v>0.000101846</v>
      </c>
      <c r="G281" s="1" t="s">
        <v>27</v>
      </c>
      <c r="H281" s="1" t="n">
        <v>100.3</v>
      </c>
      <c r="I281" s="1" t="n">
        <v>56.6</v>
      </c>
      <c r="J281" s="1" t="n">
        <v>-29.5</v>
      </c>
      <c r="K281" s="1"/>
      <c r="L281" s="1" t="n">
        <v>0</v>
      </c>
      <c r="M281" s="1" t="n">
        <v>0</v>
      </c>
      <c r="N281" s="1" t="s">
        <v>230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Z281" s="0" t="n">
        <f aca="false">I281+65</f>
        <v>121.6</v>
      </c>
      <c r="AB281" s="0" t="n">
        <f aca="false">IF(Z281&gt;360,Z281-360,Z281+0)</f>
        <v>121.6</v>
      </c>
    </row>
    <row r="282" customFormat="false" ht="15.8" hidden="false" customHeight="false" outlineLevel="0" collapsed="false">
      <c r="A282" s="1" t="n">
        <v>3</v>
      </c>
      <c r="B282" s="1" t="n">
        <v>12</v>
      </c>
      <c r="C282" s="1" t="n">
        <v>0.5</v>
      </c>
      <c r="D282" s="1" t="n">
        <v>1.0005</v>
      </c>
      <c r="E282" s="1" t="n">
        <v>0.0169745</v>
      </c>
      <c r="F282" s="1" t="n">
        <v>4.87904E-005</v>
      </c>
      <c r="G282" s="1" t="s">
        <v>37</v>
      </c>
      <c r="H282" s="1" t="n">
        <v>60.7</v>
      </c>
      <c r="I282" s="1" t="n">
        <v>158.5</v>
      </c>
      <c r="J282" s="1" t="n">
        <v>0</v>
      </c>
      <c r="K282" s="1" t="n">
        <v>100.3</v>
      </c>
      <c r="L282" s="1" t="n">
        <v>0</v>
      </c>
      <c r="M282" s="1" t="n">
        <v>0</v>
      </c>
      <c r="N282" s="1" t="s">
        <v>231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Z282" s="0" t="n">
        <f aca="false">I282+65</f>
        <v>223.5</v>
      </c>
      <c r="AB282" s="0" t="n">
        <f aca="false">IF(Z282&gt;360,Z282-360,Z282+0)</f>
        <v>223.5</v>
      </c>
    </row>
    <row r="283" customFormat="false" ht="15.8" hidden="false" customHeight="false" outlineLevel="0" collapsed="false">
      <c r="A283" s="1" t="n">
        <v>3</v>
      </c>
      <c r="B283" s="1" t="n">
        <v>12</v>
      </c>
      <c r="C283" s="1" t="n">
        <v>0.5</v>
      </c>
      <c r="D283" s="1" t="n">
        <v>1.0277</v>
      </c>
      <c r="E283" s="1" t="n">
        <v>0.0185295</v>
      </c>
      <c r="F283" s="1" t="n">
        <v>5.32599E-005</v>
      </c>
      <c r="G283" s="1" t="s">
        <v>27</v>
      </c>
      <c r="H283" s="1" t="n">
        <v>79</v>
      </c>
      <c r="I283" s="1" t="n">
        <v>284.7</v>
      </c>
      <c r="J283" s="1" t="n">
        <v>0</v>
      </c>
      <c r="K283" s="1"/>
      <c r="L283" s="1" t="n">
        <v>0</v>
      </c>
      <c r="M283" s="1" t="n">
        <v>0</v>
      </c>
      <c r="N283" s="1" t="s">
        <v>231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Z283" s="0" t="n">
        <f aca="false">I283+65</f>
        <v>349.7</v>
      </c>
      <c r="AB283" s="0" t="n">
        <f aca="false">IF(Z283&gt;360,Z283-360,Z283+0)</f>
        <v>349.7</v>
      </c>
    </row>
    <row r="284" customFormat="false" ht="15.8" hidden="false" customHeight="false" outlineLevel="0" collapsed="false">
      <c r="A284" s="1" t="n">
        <v>3</v>
      </c>
      <c r="B284" s="1" t="n">
        <v>11</v>
      </c>
      <c r="C284" s="1" t="n">
        <v>2.4</v>
      </c>
      <c r="D284" s="1" t="n">
        <v>1.2897</v>
      </c>
      <c r="E284" s="1" t="n">
        <v>0.0857299</v>
      </c>
      <c r="F284" s="1" t="n">
        <v>0.000246416</v>
      </c>
      <c r="G284" s="1" t="s">
        <v>37</v>
      </c>
      <c r="H284" s="1" t="n">
        <v>95.7</v>
      </c>
      <c r="I284" s="1" t="n">
        <v>209.1</v>
      </c>
      <c r="J284" s="1" t="n">
        <v>39.5</v>
      </c>
      <c r="K284" s="1" t="n">
        <v>79</v>
      </c>
      <c r="L284" s="1" t="n">
        <v>0</v>
      </c>
      <c r="M284" s="1" t="n">
        <v>0</v>
      </c>
      <c r="N284" s="1" t="s">
        <v>232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Z284" s="0" t="n">
        <f aca="false">I284+65</f>
        <v>274.1</v>
      </c>
      <c r="AB284" s="0" t="n">
        <f aca="false">IF(Z284&gt;360,Z284-360,Z284+0)</f>
        <v>274.1</v>
      </c>
    </row>
    <row r="285" customFormat="false" ht="15.8" hidden="false" customHeight="false" outlineLevel="0" collapsed="false">
      <c r="A285" s="1" t="n">
        <v>3</v>
      </c>
      <c r="B285" s="1" t="n">
        <v>11</v>
      </c>
      <c r="C285" s="1" t="n">
        <v>2.3</v>
      </c>
      <c r="D285" s="1" t="n">
        <v>1.1321</v>
      </c>
      <c r="E285" s="1" t="n">
        <v>0.0843278</v>
      </c>
      <c r="F285" s="1" t="n">
        <v>0.000242386</v>
      </c>
      <c r="G285" s="1" t="s">
        <v>27</v>
      </c>
      <c r="H285" s="1" t="n">
        <v>28.6</v>
      </c>
      <c r="I285" s="1" t="n">
        <v>83.5</v>
      </c>
      <c r="J285" s="1" t="n">
        <v>-10.9</v>
      </c>
      <c r="K285" s="1"/>
      <c r="L285" s="1" t="n">
        <v>0</v>
      </c>
      <c r="M285" s="1" t="n">
        <v>0</v>
      </c>
      <c r="N285" s="1" t="s">
        <v>232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Z285" s="0" t="n">
        <f aca="false">I285+65</f>
        <v>148.5</v>
      </c>
      <c r="AB285" s="0" t="n">
        <f aca="false">IF(Z285&gt;360,Z285-360,Z285+0)</f>
        <v>148.5</v>
      </c>
    </row>
    <row r="286" customFormat="false" ht="15.8" hidden="false" customHeight="false" outlineLevel="0" collapsed="false">
      <c r="A286" s="1" t="n">
        <v>3</v>
      </c>
      <c r="B286" s="1" t="n">
        <v>10</v>
      </c>
      <c r="C286" s="1" t="n">
        <v>2.5</v>
      </c>
      <c r="D286" s="1" t="n">
        <v>1.1258</v>
      </c>
      <c r="E286" s="1" t="n">
        <v>0.0906504</v>
      </c>
      <c r="F286" s="1" t="n">
        <v>0.00026056</v>
      </c>
      <c r="G286" s="1" t="s">
        <v>37</v>
      </c>
      <c r="H286" s="1" t="n">
        <v>25.1</v>
      </c>
      <c r="I286" s="1" t="n">
        <v>103</v>
      </c>
      <c r="J286" s="1" t="n">
        <v>10.1</v>
      </c>
      <c r="K286" s="1" t="n">
        <v>95.7</v>
      </c>
      <c r="L286" s="1" t="n">
        <v>0</v>
      </c>
      <c r="M286" s="1" t="n">
        <v>0</v>
      </c>
      <c r="N286" s="1" t="s">
        <v>233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Z286" s="0" t="n">
        <f aca="false">I286+65</f>
        <v>168</v>
      </c>
      <c r="AB286" s="0" t="n">
        <f aca="false">IF(Z286&gt;360,Z286-360,Z286+0)</f>
        <v>168</v>
      </c>
    </row>
    <row r="287" customFormat="false" ht="15.8" hidden="false" customHeight="false" outlineLevel="0" collapsed="false">
      <c r="A287" s="1" t="n">
        <v>3</v>
      </c>
      <c r="B287" s="1" t="n">
        <v>13</v>
      </c>
      <c r="C287" s="1" t="n">
        <v>3.8</v>
      </c>
      <c r="D287" s="1" t="n">
        <v>1.2475</v>
      </c>
      <c r="E287" s="1" t="n">
        <v>0.138488</v>
      </c>
      <c r="F287" s="1" t="n">
        <v>0.000398061</v>
      </c>
      <c r="G287" s="1" t="s">
        <v>27</v>
      </c>
      <c r="H287" s="1" t="n">
        <v>102.4</v>
      </c>
      <c r="I287" s="1" t="n">
        <v>284.8</v>
      </c>
      <c r="J287" s="1" t="n">
        <v>-14.7</v>
      </c>
      <c r="K287" s="1"/>
      <c r="L287" s="1" t="n">
        <v>0</v>
      </c>
      <c r="M287" s="1" t="n">
        <v>0</v>
      </c>
      <c r="N287" s="1" t="s">
        <v>234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Z287" s="0" t="n">
        <f aca="false">I287+65</f>
        <v>349.8</v>
      </c>
      <c r="AB287" s="0" t="n">
        <f aca="false">IF(Z287&gt;360,Z287-360,Z287+0)</f>
        <v>349.8</v>
      </c>
    </row>
    <row r="288" customFormat="false" ht="15.8" hidden="false" customHeight="false" outlineLevel="0" collapsed="false">
      <c r="A288" s="1" t="n">
        <v>3</v>
      </c>
      <c r="B288" s="1" t="n">
        <v>13</v>
      </c>
      <c r="C288" s="1" t="n">
        <v>1.4</v>
      </c>
      <c r="D288" s="1" t="n">
        <v>1.0211</v>
      </c>
      <c r="E288" s="1" t="n">
        <v>0.0505553</v>
      </c>
      <c r="F288" s="1" t="n">
        <v>0.000145313</v>
      </c>
      <c r="G288" s="1" t="s">
        <v>27</v>
      </c>
      <c r="H288" s="1" t="n">
        <v>24.1</v>
      </c>
      <c r="I288" s="1" t="n">
        <v>161.4</v>
      </c>
      <c r="J288" s="1" t="n">
        <v>0</v>
      </c>
      <c r="K288" s="1"/>
      <c r="L288" s="1" t="n">
        <v>0</v>
      </c>
      <c r="M288" s="1" t="n">
        <v>0</v>
      </c>
      <c r="N288" s="1" t="s">
        <v>234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Z288" s="0" t="n">
        <f aca="false">I288+65</f>
        <v>226.4</v>
      </c>
      <c r="AB288" s="0" t="n">
        <f aca="false">IF(Z288&gt;360,Z288-360,Z288+0)</f>
        <v>226.4</v>
      </c>
    </row>
    <row r="289" customFormat="false" ht="15.8" hidden="false" customHeight="false" outlineLevel="0" collapsed="false">
      <c r="A289" s="1" t="n">
        <v>3</v>
      </c>
      <c r="B289" s="1" t="n">
        <v>12</v>
      </c>
      <c r="C289" s="1" t="n">
        <v>3.3</v>
      </c>
      <c r="D289" s="1" t="n">
        <v>1.4433</v>
      </c>
      <c r="E289" s="1" t="n">
        <v>0.12047</v>
      </c>
      <c r="F289" s="1" t="n">
        <v>0.00034627</v>
      </c>
      <c r="G289" s="1" t="s">
        <v>37</v>
      </c>
      <c r="H289" s="1" t="n">
        <v>48.9</v>
      </c>
      <c r="I289" s="1" t="n">
        <v>175.5</v>
      </c>
      <c r="J289" s="1" t="n">
        <v>-19.7</v>
      </c>
      <c r="K289" s="1" t="n">
        <v>102.4</v>
      </c>
      <c r="L289" s="1" t="n">
        <v>0</v>
      </c>
      <c r="M289" s="1" t="n">
        <v>0</v>
      </c>
      <c r="N289" s="1" t="s">
        <v>235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Z289" s="0" t="n">
        <f aca="false">I289+65</f>
        <v>240.5</v>
      </c>
      <c r="AB289" s="0" t="n">
        <f aca="false">IF(Z289&gt;360,Z289-360,Z289+0)</f>
        <v>240.5</v>
      </c>
    </row>
    <row r="290" customFormat="false" ht="15.8" hidden="false" customHeight="false" outlineLevel="0" collapsed="false">
      <c r="A290" s="1" t="n">
        <v>3</v>
      </c>
      <c r="B290" s="1" t="n">
        <v>14</v>
      </c>
      <c r="C290" s="1" t="n">
        <v>4.3</v>
      </c>
      <c r="D290" s="1" t="n">
        <v>1.2523</v>
      </c>
      <c r="E290" s="1" t="n">
        <v>0.155121</v>
      </c>
      <c r="F290" s="1" t="n">
        <v>0.000445868</v>
      </c>
      <c r="G290" s="1" t="s">
        <v>27</v>
      </c>
      <c r="H290" s="1" t="n">
        <v>78.3</v>
      </c>
      <c r="I290" s="1" t="n">
        <v>157.1</v>
      </c>
      <c r="J290" s="1" t="n">
        <v>-13.1</v>
      </c>
      <c r="K290" s="1"/>
      <c r="L290" s="1" t="n">
        <v>0</v>
      </c>
      <c r="M290" s="1" t="n">
        <v>0</v>
      </c>
      <c r="N290" s="1" t="s">
        <v>236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Z290" s="0" t="n">
        <f aca="false">I290+65</f>
        <v>222.1</v>
      </c>
      <c r="AB290" s="0" t="n">
        <f aca="false">IF(Z290&gt;360,Z290-360,Z290+0)</f>
        <v>222.1</v>
      </c>
    </row>
    <row r="291" customFormat="false" ht="15.8" hidden="false" customHeight="false" outlineLevel="0" collapsed="false">
      <c r="A291" s="1" t="n">
        <v>3</v>
      </c>
      <c r="B291" s="1" t="n">
        <v>15</v>
      </c>
      <c r="C291" s="1" t="n">
        <v>0.8</v>
      </c>
      <c r="D291" s="1" t="n">
        <v>1.2005</v>
      </c>
      <c r="E291" s="1" t="n">
        <v>0.0294208</v>
      </c>
      <c r="F291" s="1" t="n">
        <v>8.45651E-005</v>
      </c>
      <c r="G291" s="1" t="s">
        <v>27</v>
      </c>
      <c r="H291" s="1" t="n">
        <v>56.1</v>
      </c>
      <c r="I291" s="1" t="n">
        <v>103.9</v>
      </c>
      <c r="J291" s="1" t="n">
        <v>35.1</v>
      </c>
      <c r="K291" s="1"/>
      <c r="L291" s="1" t="n">
        <v>0</v>
      </c>
      <c r="M291" s="1" t="n">
        <v>0</v>
      </c>
      <c r="N291" s="1" t="s">
        <v>237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Z291" s="0" t="n">
        <f aca="false">I291+65</f>
        <v>168.9</v>
      </c>
      <c r="AB291" s="0" t="n">
        <f aca="false">IF(Z291&gt;360,Z291-360,Z291+0)</f>
        <v>168.9</v>
      </c>
    </row>
    <row r="292" customFormat="false" ht="15.8" hidden="false" customHeight="false" outlineLevel="0" collapsed="false">
      <c r="A292" s="1" t="n">
        <v>3</v>
      </c>
      <c r="B292" s="1" t="n">
        <v>18</v>
      </c>
      <c r="C292" s="1" t="n">
        <v>2.6</v>
      </c>
      <c r="D292" s="1" t="n">
        <v>1.1087</v>
      </c>
      <c r="E292" s="1" t="n">
        <v>0.0947014</v>
      </c>
      <c r="F292" s="1" t="n">
        <v>0.000272204</v>
      </c>
      <c r="G292" s="1" t="s">
        <v>27</v>
      </c>
      <c r="H292" s="1" t="n">
        <v>45.6</v>
      </c>
      <c r="I292" s="1" t="n">
        <v>80.4</v>
      </c>
      <c r="J292" s="1" t="n">
        <v>9.5</v>
      </c>
      <c r="K292" s="1"/>
      <c r="L292" s="1" t="n">
        <v>0</v>
      </c>
      <c r="M292" s="1" t="n">
        <v>0</v>
      </c>
      <c r="N292" s="1" t="s">
        <v>238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Z292" s="0" t="n">
        <f aca="false">I292+65</f>
        <v>145.4</v>
      </c>
      <c r="AB292" s="0" t="n">
        <f aca="false">IF(Z292&gt;360,Z292-360,Z292+0)</f>
        <v>145.4</v>
      </c>
    </row>
    <row r="293" customFormat="false" ht="15.8" hidden="false" customHeight="false" outlineLevel="0" collapsed="false">
      <c r="A293" s="1" t="n">
        <v>3</v>
      </c>
      <c r="B293" s="1" t="n">
        <v>18</v>
      </c>
      <c r="C293" s="1" t="n">
        <v>0.9</v>
      </c>
      <c r="D293" s="1" t="n">
        <v>1.0212</v>
      </c>
      <c r="E293" s="1" t="n">
        <v>0.0319123</v>
      </c>
      <c r="F293" s="1" t="n">
        <v>9.17267E-005</v>
      </c>
      <c r="G293" s="1" t="s">
        <v>27</v>
      </c>
      <c r="H293" s="1" t="n">
        <v>76.3</v>
      </c>
      <c r="I293" s="1" t="n">
        <v>336.5</v>
      </c>
      <c r="J293" s="1" t="n">
        <v>0</v>
      </c>
      <c r="K293" s="1"/>
      <c r="L293" s="1" t="n">
        <v>0</v>
      </c>
      <c r="M293" s="1" t="n">
        <v>0</v>
      </c>
      <c r="N293" s="1" t="s">
        <v>238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Z293" s="0" t="n">
        <f aca="false">I293+65</f>
        <v>401.5</v>
      </c>
      <c r="AB293" s="0" t="n">
        <f aca="false">IF(Z293&gt;360,Z293-360,Z293+0)</f>
        <v>41.5</v>
      </c>
    </row>
    <row r="294" customFormat="false" ht="15.8" hidden="false" customHeight="false" outlineLevel="0" collapsed="false">
      <c r="A294" s="1" t="n">
        <v>3</v>
      </c>
      <c r="B294" s="1" t="n">
        <v>17</v>
      </c>
      <c r="C294" s="1" t="n">
        <v>2.3</v>
      </c>
      <c r="D294" s="1" t="n">
        <v>1.3173</v>
      </c>
      <c r="E294" s="1" t="n">
        <v>0.0837662</v>
      </c>
      <c r="F294" s="1" t="n">
        <v>0.000240772</v>
      </c>
      <c r="G294" s="1" t="s">
        <v>37</v>
      </c>
      <c r="H294" s="1" t="n">
        <v>45.1</v>
      </c>
      <c r="I294" s="1" t="n">
        <v>51.2</v>
      </c>
      <c r="J294" s="1" t="n">
        <v>-26.3</v>
      </c>
      <c r="K294" s="1" t="n">
        <v>76.3</v>
      </c>
      <c r="L294" s="1" t="n">
        <v>0</v>
      </c>
      <c r="M294" s="1" t="n">
        <v>0</v>
      </c>
      <c r="N294" s="1" t="s">
        <v>239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Z294" s="0" t="n">
        <f aca="false">I294+65</f>
        <v>116.2</v>
      </c>
      <c r="AB294" s="0" t="n">
        <f aca="false">IF(Z294&gt;360,Z294-360,Z294+0)</f>
        <v>116.2</v>
      </c>
    </row>
    <row r="295" customFormat="false" ht="15.8" hidden="false" customHeight="false" outlineLevel="0" collapsed="false">
      <c r="A295" s="1" t="n">
        <v>3</v>
      </c>
      <c r="B295" s="1" t="n">
        <v>17</v>
      </c>
      <c r="C295" s="1" t="n">
        <v>6.7</v>
      </c>
      <c r="D295" s="1" t="n">
        <v>1.2728</v>
      </c>
      <c r="E295" s="1" t="n">
        <v>0.242035</v>
      </c>
      <c r="F295" s="1" t="n">
        <v>0.000695689</v>
      </c>
      <c r="G295" s="1" t="s">
        <v>27</v>
      </c>
      <c r="H295" s="1" t="n">
        <v>97.2</v>
      </c>
      <c r="I295" s="1" t="n">
        <v>288.2</v>
      </c>
      <c r="J295" s="1" t="n">
        <v>0</v>
      </c>
      <c r="K295" s="1"/>
      <c r="L295" s="1" t="n">
        <v>0</v>
      </c>
      <c r="M295" s="1" t="n">
        <v>0</v>
      </c>
      <c r="N295" s="1" t="s">
        <v>239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Z295" s="0" t="n">
        <f aca="false">I295+65</f>
        <v>353.2</v>
      </c>
      <c r="AB295" s="0" t="n">
        <f aca="false">IF(Z295&gt;360,Z295-360,Z295+0)</f>
        <v>353.2</v>
      </c>
    </row>
    <row r="296" customFormat="false" ht="15.8" hidden="false" customHeight="false" outlineLevel="0" collapsed="false">
      <c r="A296" s="1" t="n">
        <v>3</v>
      </c>
      <c r="B296" s="1" t="n">
        <v>17</v>
      </c>
      <c r="C296" s="1" t="n">
        <v>2.5</v>
      </c>
      <c r="D296" s="1" t="n">
        <v>1.2354</v>
      </c>
      <c r="E296" s="1" t="n">
        <v>0.0903373</v>
      </c>
      <c r="F296" s="1" t="n">
        <v>0.00025966</v>
      </c>
      <c r="G296" s="1" t="s">
        <v>27</v>
      </c>
      <c r="H296" s="1" t="n">
        <v>107.8</v>
      </c>
      <c r="I296" s="1" t="n">
        <v>130.3</v>
      </c>
      <c r="J296" s="1" t="n">
        <v>-22.7</v>
      </c>
      <c r="K296" s="1"/>
      <c r="L296" s="1" t="n">
        <v>0</v>
      </c>
      <c r="M296" s="1" t="n">
        <v>0</v>
      </c>
      <c r="N296" s="1" t="s">
        <v>239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Z296" s="0" t="n">
        <f aca="false">I296+65</f>
        <v>195.3</v>
      </c>
      <c r="AB296" s="0" t="n">
        <f aca="false">IF(Z296&gt;360,Z296-360,Z296+0)</f>
        <v>195.3</v>
      </c>
    </row>
    <row r="297" customFormat="false" ht="15.8" hidden="false" customHeight="false" outlineLevel="0" collapsed="false">
      <c r="A297" s="1" t="n">
        <v>3</v>
      </c>
      <c r="B297" s="1" t="n">
        <v>16</v>
      </c>
      <c r="C297" s="1" t="n">
        <v>4.5</v>
      </c>
      <c r="D297" s="1" t="n">
        <v>1.1243</v>
      </c>
      <c r="E297" s="1" t="n">
        <v>0.162182</v>
      </c>
      <c r="F297" s="1" t="n">
        <v>0.000466166</v>
      </c>
      <c r="G297" s="1" t="s">
        <v>37</v>
      </c>
      <c r="H297" s="1" t="n">
        <v>36.1</v>
      </c>
      <c r="I297" s="1" t="n">
        <v>25.5</v>
      </c>
      <c r="J297" s="1" t="n">
        <v>11.3</v>
      </c>
      <c r="K297" s="1" t="n">
        <v>107.8</v>
      </c>
      <c r="L297" s="1" t="n">
        <v>0</v>
      </c>
      <c r="M297" s="1" t="n">
        <v>0</v>
      </c>
      <c r="N297" s="1" t="s">
        <v>240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Z297" s="0" t="n">
        <f aca="false">I297+65</f>
        <v>90.5</v>
      </c>
      <c r="AB297" s="0" t="n">
        <f aca="false">IF(Z297&gt;360,Z297-360,Z297+0)</f>
        <v>90.5</v>
      </c>
    </row>
    <row r="298" customFormat="false" ht="15.8" hidden="false" customHeight="false" outlineLevel="0" collapsed="false">
      <c r="A298" s="1" t="n">
        <v>3</v>
      </c>
      <c r="B298" s="1" t="n">
        <v>16</v>
      </c>
      <c r="C298" s="1" t="n">
        <v>2.9</v>
      </c>
      <c r="D298" s="1" t="n">
        <v>1.044</v>
      </c>
      <c r="E298" s="1" t="n">
        <v>0.103365</v>
      </c>
      <c r="F298" s="1" t="n">
        <v>0.000297106</v>
      </c>
      <c r="G298" s="1" t="s">
        <v>27</v>
      </c>
      <c r="H298" s="1" t="n">
        <v>71.4</v>
      </c>
      <c r="I298" s="1" t="n">
        <v>284.3</v>
      </c>
      <c r="J298" s="1" t="n">
        <v>0</v>
      </c>
      <c r="K298" s="1"/>
      <c r="L298" s="1" t="n">
        <v>0</v>
      </c>
      <c r="M298" s="1" t="n">
        <v>0</v>
      </c>
      <c r="N298" s="1" t="s">
        <v>240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Z298" s="0" t="n">
        <f aca="false">I298+65</f>
        <v>349.3</v>
      </c>
      <c r="AB298" s="0" t="n">
        <f aca="false">IF(Z298&gt;360,Z298-360,Z298+0)</f>
        <v>349.3</v>
      </c>
    </row>
    <row r="299" customFormat="false" ht="15.8" hidden="false" customHeight="false" outlineLevel="0" collapsed="false">
      <c r="A299" s="1" t="n">
        <v>3</v>
      </c>
      <c r="B299" s="1" t="n">
        <v>15</v>
      </c>
      <c r="C299" s="1" t="n">
        <v>2.8</v>
      </c>
      <c r="D299" s="1" t="n">
        <v>1.1154</v>
      </c>
      <c r="E299" s="1" t="n">
        <v>0.101125</v>
      </c>
      <c r="F299" s="1" t="n">
        <v>0.000290668</v>
      </c>
      <c r="G299" s="1" t="s">
        <v>37</v>
      </c>
      <c r="H299" s="1" t="n">
        <v>56.3</v>
      </c>
      <c r="I299" s="1" t="n">
        <v>355.5</v>
      </c>
      <c r="J299" s="1" t="n">
        <v>-8.9</v>
      </c>
      <c r="K299" s="1" t="n">
        <v>71.4</v>
      </c>
      <c r="L299" s="1" t="n">
        <v>0</v>
      </c>
      <c r="M299" s="1" t="n">
        <v>0</v>
      </c>
      <c r="N299" s="1" t="s">
        <v>237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Z299" s="0" t="n">
        <f aca="false">I299+65</f>
        <v>420.5</v>
      </c>
      <c r="AB299" s="0" t="n">
        <f aca="false">IF(Z299&gt;360,Z299-360,Z299+0)</f>
        <v>60.5</v>
      </c>
    </row>
    <row r="300" customFormat="false" ht="15.8" hidden="false" customHeight="false" outlineLevel="0" collapsed="false">
      <c r="A300" s="1" t="n">
        <v>3</v>
      </c>
      <c r="B300" s="1" t="n">
        <v>14</v>
      </c>
      <c r="C300" s="1" t="n">
        <v>3.2</v>
      </c>
      <c r="D300" s="1" t="n">
        <v>1.3183</v>
      </c>
      <c r="E300" s="1" t="n">
        <v>0.114059</v>
      </c>
      <c r="F300" s="1" t="n">
        <v>0.000327844</v>
      </c>
      <c r="G300" s="1" t="s">
        <v>37</v>
      </c>
      <c r="H300" s="1" t="n">
        <v>42.2</v>
      </c>
      <c r="I300" s="1" t="n">
        <v>48.9</v>
      </c>
      <c r="J300" s="1" t="n">
        <v>9.4</v>
      </c>
      <c r="K300" s="1" t="n">
        <v>56.3</v>
      </c>
      <c r="L300" s="1" t="n">
        <v>0</v>
      </c>
      <c r="M300" s="1" t="n">
        <v>0</v>
      </c>
      <c r="N300" s="1" t="s">
        <v>236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Z300" s="0" t="n">
        <f aca="false">I300+65</f>
        <v>113.9</v>
      </c>
      <c r="AB300" s="0" t="n">
        <f aca="false">IF(Z300&gt;360,Z300-360,Z300+0)</f>
        <v>113.9</v>
      </c>
    </row>
    <row r="301" customFormat="false" ht="15.8" hidden="false" customHeight="false" outlineLevel="0" collapsed="false">
      <c r="A301" s="1" t="n">
        <v>3</v>
      </c>
      <c r="B301" s="1" t="n">
        <v>14</v>
      </c>
      <c r="C301" s="1" t="n">
        <v>3.8</v>
      </c>
      <c r="D301" s="1" t="n">
        <v>1.2714</v>
      </c>
      <c r="E301" s="1" t="n">
        <v>0.137122</v>
      </c>
      <c r="F301" s="1" t="n">
        <v>0.000394134</v>
      </c>
      <c r="G301" s="1" t="s">
        <v>27</v>
      </c>
      <c r="H301" s="1" t="n">
        <v>136</v>
      </c>
      <c r="I301" s="1" t="n">
        <v>300</v>
      </c>
      <c r="J301" s="1" t="n">
        <v>15.1</v>
      </c>
      <c r="K301" s="1"/>
      <c r="L301" s="1" t="n">
        <v>0</v>
      </c>
      <c r="M301" s="1" t="n">
        <v>0</v>
      </c>
      <c r="N301" s="1" t="s">
        <v>236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Z301" s="0" t="n">
        <f aca="false">I301+65</f>
        <v>365</v>
      </c>
      <c r="AB301" s="0" t="n">
        <f aca="false">IF(Z301&gt;360,Z301-360,Z301+0)</f>
        <v>5</v>
      </c>
    </row>
    <row r="302" customFormat="false" ht="15.8" hidden="false" customHeight="false" outlineLevel="0" collapsed="false">
      <c r="A302" s="1" t="n">
        <v>3</v>
      </c>
      <c r="B302" s="1" t="n">
        <v>13</v>
      </c>
      <c r="C302" s="1" t="n">
        <v>2.3</v>
      </c>
      <c r="D302" s="1" t="n">
        <v>1.2197</v>
      </c>
      <c r="E302" s="1" t="n">
        <v>0.0813655</v>
      </c>
      <c r="F302" s="1" t="n">
        <v>0.000233872</v>
      </c>
      <c r="G302" s="1" t="s">
        <v>37</v>
      </c>
      <c r="H302" s="1" t="n">
        <v>59.9</v>
      </c>
      <c r="I302" s="1" t="n">
        <v>74.1</v>
      </c>
      <c r="J302" s="1" t="n">
        <v>-25</v>
      </c>
      <c r="K302" s="1" t="n">
        <v>136</v>
      </c>
      <c r="L302" s="1" t="n">
        <v>0</v>
      </c>
      <c r="M302" s="1" t="n">
        <v>0</v>
      </c>
      <c r="N302" s="1" t="s">
        <v>241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Z302" s="0" t="n">
        <f aca="false">I302+65</f>
        <v>139.1</v>
      </c>
      <c r="AB302" s="0" t="n">
        <f aca="false">IF(Z302&gt;360,Z302-360,Z302+0)</f>
        <v>139.1</v>
      </c>
    </row>
    <row r="303" customFormat="false" ht="15.8" hidden="false" customHeight="false" outlineLevel="0" collapsed="false">
      <c r="A303" s="1" t="n">
        <v>3</v>
      </c>
      <c r="B303" s="1" t="n">
        <v>13</v>
      </c>
      <c r="C303" s="1" t="n">
        <v>2.2</v>
      </c>
      <c r="D303" s="1" t="n">
        <v>1.0135</v>
      </c>
      <c r="E303" s="1" t="n">
        <v>0.0777814</v>
      </c>
      <c r="F303" s="1" t="n">
        <v>0.00022357</v>
      </c>
      <c r="G303" s="1" t="s">
        <v>27</v>
      </c>
      <c r="H303" s="1" t="n">
        <v>43.3</v>
      </c>
      <c r="I303" s="1" t="n">
        <v>350</v>
      </c>
      <c r="J303" s="1" t="n">
        <v>0</v>
      </c>
      <c r="K303" s="1"/>
      <c r="L303" s="1" t="n">
        <v>0</v>
      </c>
      <c r="M303" s="1" t="n">
        <v>0</v>
      </c>
      <c r="N303" s="1" t="s">
        <v>241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Z303" s="0" t="n">
        <f aca="false">I303+65</f>
        <v>415</v>
      </c>
      <c r="AB303" s="0" t="n">
        <f aca="false">IF(Z303&gt;360,Z303-360,Z303+0)</f>
        <v>55</v>
      </c>
    </row>
    <row r="304" customFormat="false" ht="15.8" hidden="false" customHeight="false" outlineLevel="0" collapsed="false">
      <c r="A304" s="1" t="n">
        <v>3</v>
      </c>
      <c r="B304" s="1" t="n">
        <v>12</v>
      </c>
      <c r="C304" s="1" t="n">
        <v>0.7</v>
      </c>
      <c r="D304" s="1" t="n">
        <v>1.1917</v>
      </c>
      <c r="E304" s="1" t="n">
        <v>0.0252289</v>
      </c>
      <c r="F304" s="1" t="n">
        <v>7.25162E-005</v>
      </c>
      <c r="G304" s="1" t="s">
        <v>37</v>
      </c>
      <c r="H304" s="1" t="n">
        <v>74.1</v>
      </c>
      <c r="I304" s="1" t="n">
        <v>3</v>
      </c>
      <c r="J304" s="1" t="n">
        <v>-41.7</v>
      </c>
      <c r="K304" s="1" t="n">
        <v>59.9</v>
      </c>
      <c r="L304" s="1" t="n">
        <v>0</v>
      </c>
      <c r="M304" s="1" t="n">
        <v>0</v>
      </c>
      <c r="N304" s="1" t="s">
        <v>235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Z304" s="0" t="n">
        <f aca="false">I304+65</f>
        <v>68</v>
      </c>
      <c r="AB304" s="0" t="n">
        <f aca="false">IF(Z304&gt;360,Z304-360,Z304+0)</f>
        <v>68</v>
      </c>
    </row>
    <row r="305" customFormat="false" ht="15.8" hidden="false" customHeight="false" outlineLevel="0" collapsed="false">
      <c r="A305" s="1" t="n">
        <v>3</v>
      </c>
      <c r="B305" s="1" t="n">
        <v>11</v>
      </c>
      <c r="C305" s="1" t="n">
        <v>1.1</v>
      </c>
      <c r="D305" s="1" t="n">
        <v>1.1474</v>
      </c>
      <c r="E305" s="1" t="n">
        <v>0.0401863</v>
      </c>
      <c r="F305" s="1" t="n">
        <v>0.000115509</v>
      </c>
      <c r="G305" s="1" t="s">
        <v>37</v>
      </c>
      <c r="H305" s="1" t="n">
        <v>67.1</v>
      </c>
      <c r="I305" s="1" t="n">
        <v>129.1</v>
      </c>
      <c r="J305" s="1" t="n">
        <v>-53.6</v>
      </c>
      <c r="K305" s="1" t="n">
        <v>74.1</v>
      </c>
      <c r="L305" s="1" t="n">
        <v>0</v>
      </c>
      <c r="M305" s="1" t="n">
        <v>0</v>
      </c>
      <c r="N305" s="1" t="s">
        <v>242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Z305" s="0" t="n">
        <f aca="false">I305+65</f>
        <v>194.1</v>
      </c>
      <c r="AB305" s="0" t="n">
        <f aca="false">IF(Z305&gt;360,Z305-360,Z305+0)</f>
        <v>194.1</v>
      </c>
    </row>
    <row r="306" customFormat="false" ht="15.8" hidden="false" customHeight="false" outlineLevel="0" collapsed="false">
      <c r="A306" s="1" t="n">
        <v>3</v>
      </c>
      <c r="B306" s="1" t="n">
        <v>11</v>
      </c>
      <c r="C306" s="1" t="n">
        <v>0.7</v>
      </c>
      <c r="D306" s="1" t="n">
        <v>1.0545</v>
      </c>
      <c r="E306" s="1" t="n">
        <v>0.0242903</v>
      </c>
      <c r="F306" s="1" t="n">
        <v>6.98186E-005</v>
      </c>
      <c r="G306" s="1" t="s">
        <v>27</v>
      </c>
      <c r="H306" s="1" t="n">
        <v>57.8</v>
      </c>
      <c r="I306" s="1" t="n">
        <v>236</v>
      </c>
      <c r="J306" s="1" t="n">
        <v>0</v>
      </c>
      <c r="K306" s="1"/>
      <c r="L306" s="1" t="n">
        <v>0</v>
      </c>
      <c r="M306" s="1" t="n">
        <v>0</v>
      </c>
      <c r="N306" s="1" t="s">
        <v>242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Z306" s="0" t="n">
        <f aca="false">I306+65</f>
        <v>301</v>
      </c>
      <c r="AB306" s="0" t="n">
        <f aca="false">IF(Z306&gt;360,Z306-360,Z306+0)</f>
        <v>301</v>
      </c>
    </row>
    <row r="307" customFormat="false" ht="15.8" hidden="false" customHeight="false" outlineLevel="0" collapsed="false">
      <c r="A307" s="1" t="n">
        <v>3</v>
      </c>
      <c r="B307" s="1" t="n">
        <v>11</v>
      </c>
      <c r="C307" s="1" t="n">
        <v>1.6</v>
      </c>
      <c r="D307" s="1" t="n">
        <v>1.1811</v>
      </c>
      <c r="E307" s="1" t="n">
        <v>0.0560285</v>
      </c>
      <c r="F307" s="1" t="n">
        <v>0.000161045</v>
      </c>
      <c r="G307" s="1" t="s">
        <v>27</v>
      </c>
      <c r="H307" s="1" t="n">
        <v>17.7</v>
      </c>
      <c r="I307" s="1" t="n">
        <v>182.1</v>
      </c>
      <c r="J307" s="1" t="n">
        <v>-17.3</v>
      </c>
      <c r="K307" s="1"/>
      <c r="L307" s="1" t="n">
        <v>0</v>
      </c>
      <c r="M307" s="1" t="n">
        <v>0</v>
      </c>
      <c r="N307" s="1" t="s">
        <v>242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Z307" s="0" t="n">
        <f aca="false">I307+65</f>
        <v>247.1</v>
      </c>
      <c r="AB307" s="0" t="n">
        <f aca="false">IF(Z307&gt;360,Z307-360,Z307+0)</f>
        <v>247.1</v>
      </c>
    </row>
    <row r="308" customFormat="false" ht="15.8" hidden="false" customHeight="false" outlineLevel="0" collapsed="false">
      <c r="A308" s="1" t="n">
        <v>3</v>
      </c>
      <c r="B308" s="1" t="n">
        <v>10</v>
      </c>
      <c r="C308" s="1" t="n">
        <v>0.8</v>
      </c>
      <c r="D308" s="1" t="n">
        <v>1.0178</v>
      </c>
      <c r="E308" s="1" t="n">
        <v>0.0274881</v>
      </c>
      <c r="F308" s="1" t="n">
        <v>7.90099E-005</v>
      </c>
      <c r="G308" s="1" t="s">
        <v>37</v>
      </c>
      <c r="H308" s="1" t="n">
        <v>52.1</v>
      </c>
      <c r="I308" s="1" t="n">
        <v>178.2</v>
      </c>
      <c r="J308" s="1" t="n">
        <v>0</v>
      </c>
      <c r="K308" s="1" t="n">
        <v>67.1</v>
      </c>
      <c r="L308" s="1" t="n">
        <v>0</v>
      </c>
      <c r="M308" s="1" t="n">
        <v>0</v>
      </c>
      <c r="N308" s="1" t="s">
        <v>233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Z308" s="0" t="n">
        <f aca="false">I308+65</f>
        <v>243.2</v>
      </c>
      <c r="AB308" s="0" t="n">
        <f aca="false">IF(Z308&gt;360,Z308-360,Z308+0)</f>
        <v>243.2</v>
      </c>
    </row>
    <row r="309" customFormat="false" ht="15.8" hidden="false" customHeight="false" outlineLevel="0" collapsed="false">
      <c r="A309" s="1" t="n">
        <v>3</v>
      </c>
      <c r="B309" s="1" t="n">
        <v>9</v>
      </c>
      <c r="C309" s="1" t="n">
        <v>2</v>
      </c>
      <c r="D309" s="1" t="n">
        <v>1.0257</v>
      </c>
      <c r="E309" s="1" t="n">
        <v>0.0707182</v>
      </c>
      <c r="F309" s="1" t="n">
        <v>0.000203268</v>
      </c>
      <c r="G309" s="1" t="s">
        <v>37</v>
      </c>
      <c r="H309" s="1" t="n">
        <v>87.3</v>
      </c>
      <c r="I309" s="1" t="n">
        <v>126.2</v>
      </c>
      <c r="J309" s="1" t="n">
        <v>0</v>
      </c>
      <c r="K309" s="1" t="n">
        <v>52.1</v>
      </c>
      <c r="L309" s="1" t="n">
        <v>0</v>
      </c>
      <c r="M309" s="1" t="n">
        <v>0</v>
      </c>
      <c r="N309" s="1" t="s">
        <v>225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Z309" s="0" t="n">
        <f aca="false">I309+65</f>
        <v>191.2</v>
      </c>
      <c r="AB309" s="0" t="n">
        <f aca="false">IF(Z309&gt;360,Z309-360,Z309+0)</f>
        <v>191.2</v>
      </c>
    </row>
    <row r="310" customFormat="false" ht="15.8" hidden="false" customHeight="false" outlineLevel="0" collapsed="false">
      <c r="A310" s="1" t="n">
        <v>3</v>
      </c>
      <c r="B310" s="1" t="n">
        <v>8</v>
      </c>
      <c r="C310" s="1" t="n">
        <v>0.7</v>
      </c>
      <c r="D310" s="1" t="n">
        <v>1.2344</v>
      </c>
      <c r="E310" s="1" t="n">
        <v>0.0265164</v>
      </c>
      <c r="F310" s="1" t="n">
        <v>7.62171E-005</v>
      </c>
      <c r="G310" s="1" t="s">
        <v>37</v>
      </c>
      <c r="H310" s="1" t="n">
        <v>69.5</v>
      </c>
      <c r="I310" s="1" t="n">
        <v>39.8</v>
      </c>
      <c r="J310" s="1" t="n">
        <v>41</v>
      </c>
      <c r="K310" s="1" t="n">
        <v>87.3</v>
      </c>
      <c r="L310" s="1" t="n">
        <v>0</v>
      </c>
      <c r="M310" s="1" t="n">
        <v>0</v>
      </c>
      <c r="N310" s="1" t="s">
        <v>243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Z310" s="0" t="n">
        <f aca="false">I310+65</f>
        <v>104.8</v>
      </c>
      <c r="AB310" s="0" t="n">
        <f aca="false">IF(Z310&gt;360,Z310-360,Z310+0)</f>
        <v>104.8</v>
      </c>
    </row>
    <row r="311" customFormat="false" ht="15.8" hidden="false" customHeight="false" outlineLevel="0" collapsed="false">
      <c r="A311" s="1" t="n">
        <v>3</v>
      </c>
      <c r="B311" s="1" t="n">
        <v>8</v>
      </c>
      <c r="C311" s="1" t="n">
        <v>5.3</v>
      </c>
      <c r="D311" s="1" t="n">
        <v>1.472</v>
      </c>
      <c r="E311" s="1" t="n">
        <v>0.192916</v>
      </c>
      <c r="F311" s="1" t="n">
        <v>0.000554504</v>
      </c>
      <c r="G311" s="1" t="s">
        <v>27</v>
      </c>
      <c r="H311" s="1" t="n">
        <v>37.3</v>
      </c>
      <c r="I311" s="1" t="n">
        <v>149.5</v>
      </c>
      <c r="J311" s="1" t="n">
        <v>0</v>
      </c>
      <c r="K311" s="1"/>
      <c r="L311" s="1" t="n">
        <v>0</v>
      </c>
      <c r="M311" s="1" t="n">
        <v>0</v>
      </c>
      <c r="N311" s="1" t="s">
        <v>243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Z311" s="0" t="n">
        <f aca="false">I311+65</f>
        <v>214.5</v>
      </c>
      <c r="AB311" s="0" t="n">
        <f aca="false">IF(Z311&gt;360,Z311-360,Z311+0)</f>
        <v>214.5</v>
      </c>
    </row>
    <row r="312" customFormat="false" ht="15.8" hidden="false" customHeight="false" outlineLevel="0" collapsed="false">
      <c r="A312" s="1" t="n">
        <v>3</v>
      </c>
      <c r="B312" s="1" t="n">
        <v>7</v>
      </c>
      <c r="C312" s="1" t="n">
        <v>1.9</v>
      </c>
      <c r="D312" s="1" t="n">
        <v>1.1637</v>
      </c>
      <c r="E312" s="1" t="n">
        <v>0.0683865</v>
      </c>
      <c r="F312" s="1" t="n">
        <v>0.000196566</v>
      </c>
      <c r="G312" s="1" t="s">
        <v>37</v>
      </c>
      <c r="H312" s="1" t="n">
        <v>57.9</v>
      </c>
      <c r="I312" s="1" t="n">
        <v>114.5</v>
      </c>
      <c r="J312" s="1" t="n">
        <v>13.9</v>
      </c>
      <c r="K312" s="1" t="n">
        <v>69.5</v>
      </c>
      <c r="L312" s="1" t="n">
        <v>0</v>
      </c>
      <c r="M312" s="1" t="n">
        <v>0</v>
      </c>
      <c r="N312" s="1" t="s">
        <v>222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Z312" s="0" t="n">
        <f aca="false">I312+65</f>
        <v>179.5</v>
      </c>
      <c r="AB312" s="0" t="n">
        <f aca="false">IF(Z312&gt;360,Z312-360,Z312+0)</f>
        <v>179.5</v>
      </c>
    </row>
    <row r="313" customFormat="false" ht="15.8" hidden="false" customHeight="false" outlineLevel="0" collapsed="false">
      <c r="A313" s="1" t="n">
        <v>3</v>
      </c>
      <c r="B313" s="1" t="n">
        <v>8</v>
      </c>
      <c r="C313" s="1" t="n">
        <v>2</v>
      </c>
      <c r="D313" s="1" t="n">
        <v>1.1241</v>
      </c>
      <c r="E313" s="1" t="n">
        <v>0.0710804</v>
      </c>
      <c r="F313" s="1" t="n">
        <v>0.000204309</v>
      </c>
      <c r="G313" s="1" t="s">
        <v>27</v>
      </c>
      <c r="H313" s="1" t="n">
        <v>110.2</v>
      </c>
      <c r="I313" s="1" t="n">
        <v>194</v>
      </c>
      <c r="J313" s="1" t="n">
        <v>-12.9</v>
      </c>
      <c r="K313" s="1"/>
      <c r="L313" s="1" t="n">
        <v>0</v>
      </c>
      <c r="M313" s="1" t="n">
        <v>0</v>
      </c>
      <c r="N313" s="1" t="s">
        <v>244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Z313" s="0" t="n">
        <f aca="false">I313+65</f>
        <v>259</v>
      </c>
      <c r="AB313" s="0" t="n">
        <f aca="false">IF(Z313&gt;360,Z313-360,Z313+0)</f>
        <v>259</v>
      </c>
    </row>
    <row r="314" customFormat="false" ht="15.8" hidden="false" customHeight="false" outlineLevel="0" collapsed="false">
      <c r="A314" s="1" t="n">
        <v>3</v>
      </c>
      <c r="B314" s="1" t="n">
        <v>10</v>
      </c>
      <c r="C314" s="1" t="n">
        <v>1.1</v>
      </c>
      <c r="D314" s="1" t="n">
        <v>1.0385</v>
      </c>
      <c r="E314" s="1" t="n">
        <v>0.0412757</v>
      </c>
      <c r="F314" s="1" t="n">
        <v>0.00011864</v>
      </c>
      <c r="G314" s="1" t="s">
        <v>27</v>
      </c>
      <c r="H314" s="1" t="n">
        <v>41.9</v>
      </c>
      <c r="I314" s="1" t="n">
        <v>26</v>
      </c>
      <c r="J314" s="1" t="n">
        <v>0</v>
      </c>
      <c r="K314" s="1"/>
      <c r="L314" s="1" t="n">
        <v>0</v>
      </c>
      <c r="M314" s="1" t="n">
        <v>0</v>
      </c>
      <c r="N314" s="1" t="s">
        <v>245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Z314" s="0" t="n">
        <f aca="false">I314+65</f>
        <v>91</v>
      </c>
      <c r="AB314" s="0" t="n">
        <f aca="false">IF(Z314&gt;360,Z314-360,Z314+0)</f>
        <v>91</v>
      </c>
    </row>
    <row r="315" customFormat="false" ht="15.8" hidden="false" customHeight="false" outlineLevel="0" collapsed="false">
      <c r="A315" s="1" t="n">
        <v>3</v>
      </c>
      <c r="B315" s="1" t="n">
        <v>10</v>
      </c>
      <c r="C315" s="1" t="n">
        <v>0.7</v>
      </c>
      <c r="D315" s="1" t="n">
        <v>1.0104</v>
      </c>
      <c r="E315" s="1" t="n">
        <v>0.0239748</v>
      </c>
      <c r="F315" s="1" t="n">
        <v>6.89116E-005</v>
      </c>
      <c r="G315" s="1" t="s">
        <v>27</v>
      </c>
      <c r="H315" s="1" t="n">
        <v>88.2</v>
      </c>
      <c r="I315" s="1" t="n">
        <v>274</v>
      </c>
      <c r="J315" s="1" t="n">
        <v>0</v>
      </c>
      <c r="K315" s="1"/>
      <c r="L315" s="1" t="n">
        <v>0</v>
      </c>
      <c r="M315" s="1" t="n">
        <v>0</v>
      </c>
      <c r="N315" s="1" t="s">
        <v>245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Z315" s="0" t="n">
        <f aca="false">I315+65</f>
        <v>339</v>
      </c>
      <c r="AB315" s="0" t="n">
        <f aca="false">IF(Z315&gt;360,Z315-360,Z315+0)</f>
        <v>339</v>
      </c>
    </row>
    <row r="316" customFormat="false" ht="15.8" hidden="false" customHeight="false" outlineLevel="0" collapsed="false">
      <c r="A316" s="1" t="n">
        <v>3</v>
      </c>
      <c r="B316" s="1" t="n">
        <v>9</v>
      </c>
      <c r="C316" s="1" t="n">
        <v>1.7</v>
      </c>
      <c r="D316" s="1" t="n">
        <v>1.2554</v>
      </c>
      <c r="E316" s="1" t="n">
        <v>0.0613022</v>
      </c>
      <c r="F316" s="1" t="n">
        <v>0.000176203</v>
      </c>
      <c r="G316" s="1" t="s">
        <v>37</v>
      </c>
      <c r="H316" s="1" t="n">
        <v>52.1</v>
      </c>
      <c r="I316" s="1" t="n">
        <v>1.8</v>
      </c>
      <c r="J316" s="1" t="n">
        <v>-35.2</v>
      </c>
      <c r="K316" s="1" t="n">
        <v>88.2</v>
      </c>
      <c r="L316" s="1" t="n">
        <v>0</v>
      </c>
      <c r="M316" s="1" t="n">
        <v>0</v>
      </c>
      <c r="N316" s="1" t="s">
        <v>246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Z316" s="0" t="n">
        <f aca="false">I316+65</f>
        <v>66.8</v>
      </c>
      <c r="AB316" s="0" t="n">
        <f aca="false">IF(Z316&gt;360,Z316-360,Z316+0)</f>
        <v>66.8</v>
      </c>
    </row>
    <row r="317" customFormat="false" ht="15.8" hidden="false" customHeight="false" outlineLevel="0" collapsed="false">
      <c r="A317" s="1" t="n">
        <v>3</v>
      </c>
      <c r="B317" s="1" t="n">
        <v>9</v>
      </c>
      <c r="C317" s="1" t="n">
        <v>2.3</v>
      </c>
      <c r="D317" s="1" t="n">
        <v>1.3502</v>
      </c>
      <c r="E317" s="1" t="n">
        <v>0.0831459</v>
      </c>
      <c r="F317" s="1" t="n">
        <v>0.000238989</v>
      </c>
      <c r="G317" s="1" t="s">
        <v>27</v>
      </c>
      <c r="H317" s="1" t="n">
        <v>74.1</v>
      </c>
      <c r="I317" s="1" t="n">
        <v>252.7</v>
      </c>
      <c r="J317" s="1" t="n">
        <v>-43.3</v>
      </c>
      <c r="K317" s="1"/>
      <c r="L317" s="1" t="n">
        <v>0</v>
      </c>
      <c r="M317" s="1" t="n">
        <v>0</v>
      </c>
      <c r="N317" s="1" t="s">
        <v>246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Z317" s="0" t="n">
        <f aca="false">I317+65</f>
        <v>317.7</v>
      </c>
      <c r="AB317" s="0" t="n">
        <f aca="false">IF(Z317&gt;360,Z317-360,Z317+0)</f>
        <v>317.7</v>
      </c>
    </row>
    <row r="318" customFormat="false" ht="15.8" hidden="false" customHeight="false" outlineLevel="0" collapsed="false">
      <c r="A318" s="1" t="n">
        <v>3</v>
      </c>
      <c r="B318" s="1" t="n">
        <v>9</v>
      </c>
      <c r="C318" s="1" t="n">
        <v>2.7</v>
      </c>
      <c r="D318" s="1" t="n">
        <v>1.2737</v>
      </c>
      <c r="E318" s="1" t="n">
        <v>0.0958417</v>
      </c>
      <c r="F318" s="1" t="n">
        <v>0.000275481</v>
      </c>
      <c r="G318" s="1" t="s">
        <v>27</v>
      </c>
      <c r="H318" s="1" t="n">
        <v>46.1</v>
      </c>
      <c r="I318" s="1" t="n">
        <v>287.5</v>
      </c>
      <c r="J318" s="1" t="n">
        <v>-34.2</v>
      </c>
      <c r="K318" s="1"/>
      <c r="L318" s="1" t="n">
        <v>0</v>
      </c>
      <c r="M318" s="1" t="n">
        <v>0</v>
      </c>
      <c r="N318" s="1" t="s">
        <v>246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Z318" s="0" t="n">
        <f aca="false">I318+65</f>
        <v>352.5</v>
      </c>
      <c r="AB318" s="0" t="n">
        <f aca="false">IF(Z318&gt;360,Z318-360,Z318+0)</f>
        <v>352.5</v>
      </c>
    </row>
    <row r="319" customFormat="false" ht="15.8" hidden="false" customHeight="false" outlineLevel="0" collapsed="false">
      <c r="A319" s="1" t="n">
        <v>3</v>
      </c>
      <c r="B319" s="1" t="n">
        <v>8</v>
      </c>
      <c r="C319" s="1" t="n">
        <v>1.5</v>
      </c>
      <c r="D319" s="1" t="n">
        <v>1.0132</v>
      </c>
      <c r="E319" s="1" t="n">
        <v>0.0542495</v>
      </c>
      <c r="F319" s="1" t="n">
        <v>0.000155931</v>
      </c>
      <c r="G319" s="1" t="s">
        <v>37</v>
      </c>
      <c r="H319" s="1" t="n">
        <v>15.8</v>
      </c>
      <c r="I319" s="1" t="n">
        <v>320.6</v>
      </c>
      <c r="J319" s="1" t="n">
        <v>0</v>
      </c>
      <c r="K319" s="1" t="n">
        <v>74.1</v>
      </c>
      <c r="L319" s="1" t="n">
        <v>0</v>
      </c>
      <c r="M319" s="1" t="n">
        <v>0</v>
      </c>
      <c r="N319" s="1" t="s">
        <v>244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Z319" s="0" t="n">
        <f aca="false">I319+65</f>
        <v>385.6</v>
      </c>
      <c r="AB319" s="0" t="n">
        <f aca="false">IF(Z319&gt;360,Z319-360,Z319+0)</f>
        <v>25.6</v>
      </c>
    </row>
    <row r="320" customFormat="false" ht="15.8" hidden="false" customHeight="false" outlineLevel="0" collapsed="false">
      <c r="A320" s="1" t="n">
        <v>3</v>
      </c>
      <c r="B320" s="1" t="n">
        <v>7</v>
      </c>
      <c r="C320" s="1" t="n">
        <v>1.5</v>
      </c>
      <c r="D320" s="1" t="n">
        <v>1.0332</v>
      </c>
      <c r="E320" s="1" t="n">
        <v>0.0559635</v>
      </c>
      <c r="F320" s="1" t="n">
        <v>0.000160858</v>
      </c>
      <c r="G320" s="1" t="s">
        <v>37</v>
      </c>
      <c r="H320" s="1" t="n">
        <v>114.2</v>
      </c>
      <c r="I320" s="1" t="n">
        <v>304.8</v>
      </c>
      <c r="J320" s="1" t="n">
        <v>0</v>
      </c>
      <c r="K320" s="1" t="n">
        <v>110.2</v>
      </c>
      <c r="L320" s="1" t="n">
        <v>0</v>
      </c>
      <c r="M320" s="1" t="n">
        <v>0</v>
      </c>
      <c r="N320" s="1" t="s">
        <v>222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Z320" s="0" t="n">
        <f aca="false">I320+65</f>
        <v>369.8</v>
      </c>
      <c r="AB320" s="0" t="n">
        <f aca="false">IF(Z320&gt;360,Z320-360,Z320+0)</f>
        <v>9.80000000000001</v>
      </c>
    </row>
    <row r="321" customFormat="false" ht="15.8" hidden="false" customHeight="false" outlineLevel="0" collapsed="false">
      <c r="A321" s="1" t="n">
        <v>3</v>
      </c>
      <c r="B321" s="1" t="n">
        <v>6</v>
      </c>
      <c r="C321" s="1" t="n">
        <v>6</v>
      </c>
      <c r="D321" s="1" t="n">
        <v>1.1669</v>
      </c>
      <c r="E321" s="1" t="n">
        <v>0.216459</v>
      </c>
      <c r="F321" s="1" t="n">
        <v>0.000622176</v>
      </c>
      <c r="G321" s="1" t="s">
        <v>37</v>
      </c>
      <c r="H321" s="1" t="n">
        <v>32.7</v>
      </c>
      <c r="I321" s="1" t="n">
        <v>59.1</v>
      </c>
      <c r="J321" s="1" t="n">
        <v>-4.4</v>
      </c>
      <c r="K321" s="1" t="n">
        <v>114.2</v>
      </c>
      <c r="L321" s="1" t="n">
        <v>0</v>
      </c>
      <c r="M321" s="1" t="n">
        <v>0</v>
      </c>
      <c r="N321" s="1" t="s">
        <v>247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Z321" s="0" t="n">
        <f aca="false">I321+65</f>
        <v>124.1</v>
      </c>
      <c r="AB321" s="0" t="n">
        <f aca="false">IF(Z321&gt;360,Z321-360,Z321+0)</f>
        <v>124.1</v>
      </c>
    </row>
    <row r="322" customFormat="false" ht="15.8" hidden="false" customHeight="false" outlineLevel="0" collapsed="false">
      <c r="A322" s="1" t="n">
        <v>3</v>
      </c>
      <c r="B322" s="1" t="n">
        <v>6</v>
      </c>
      <c r="C322" s="1" t="n">
        <v>2.7</v>
      </c>
      <c r="D322" s="1" t="n">
        <v>1.3355</v>
      </c>
      <c r="E322" s="1" t="n">
        <v>0.0962356</v>
      </c>
      <c r="F322" s="1" t="n">
        <v>0.000276613</v>
      </c>
      <c r="G322" s="1" t="s">
        <v>27</v>
      </c>
      <c r="H322" s="1" t="n">
        <v>84.1</v>
      </c>
      <c r="I322" s="1" t="n">
        <v>174.6</v>
      </c>
      <c r="J322" s="1" t="n">
        <v>23</v>
      </c>
      <c r="K322" s="1"/>
      <c r="L322" s="1" t="n">
        <v>0</v>
      </c>
      <c r="M322" s="1" t="n">
        <v>0</v>
      </c>
      <c r="N322" s="1" t="s">
        <v>247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Z322" s="0" t="n">
        <f aca="false">I322+65</f>
        <v>239.6</v>
      </c>
      <c r="AB322" s="0" t="n">
        <f aca="false">IF(Z322&gt;360,Z322-360,Z322+0)</f>
        <v>239.6</v>
      </c>
    </row>
    <row r="323" customFormat="false" ht="15.8" hidden="false" customHeight="false" outlineLevel="0" collapsed="false">
      <c r="A323" s="1" t="n">
        <v>3</v>
      </c>
      <c r="B323" s="1" t="n">
        <v>6</v>
      </c>
      <c r="C323" s="1" t="n">
        <v>1</v>
      </c>
      <c r="D323" s="1" t="n">
        <v>1.0259</v>
      </c>
      <c r="E323" s="1" t="n">
        <v>0.0350004</v>
      </c>
      <c r="F323" s="1" t="n">
        <v>0.000100603</v>
      </c>
      <c r="G323" s="1" t="s">
        <v>27</v>
      </c>
      <c r="H323" s="1" t="n">
        <v>87.1</v>
      </c>
      <c r="I323" s="1" t="n">
        <v>356.5</v>
      </c>
      <c r="J323" s="1" t="n">
        <v>0</v>
      </c>
      <c r="K323" s="1"/>
      <c r="L323" s="1" t="n">
        <v>0</v>
      </c>
      <c r="M323" s="1" t="n">
        <v>0</v>
      </c>
      <c r="N323" s="1" t="s">
        <v>247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Z323" s="0" t="n">
        <f aca="false">I323+65</f>
        <v>421.5</v>
      </c>
      <c r="AB323" s="0" t="n">
        <f aca="false">IF(Z323&gt;360,Z323-360,Z323+0)</f>
        <v>61.5</v>
      </c>
    </row>
    <row r="324" customFormat="false" ht="15.8" hidden="false" customHeight="false" outlineLevel="0" collapsed="false">
      <c r="A324" s="1" t="n">
        <v>3</v>
      </c>
      <c r="B324" s="1" t="n">
        <v>5</v>
      </c>
      <c r="C324" s="1" t="n">
        <v>3.1</v>
      </c>
      <c r="D324" s="1" t="n">
        <v>1.2284</v>
      </c>
      <c r="E324" s="1" t="n">
        <v>0.113242</v>
      </c>
      <c r="F324" s="1" t="n">
        <v>0.000325495</v>
      </c>
      <c r="G324" s="1" t="s">
        <v>37</v>
      </c>
      <c r="H324" s="1" t="n">
        <v>87.4</v>
      </c>
      <c r="I324" s="1" t="n">
        <v>83.5</v>
      </c>
      <c r="J324" s="1" t="n">
        <v>17.8</v>
      </c>
      <c r="K324" s="1" t="n">
        <v>87.1</v>
      </c>
      <c r="L324" s="1" t="n">
        <v>0</v>
      </c>
      <c r="M324" s="1" t="n">
        <v>0</v>
      </c>
      <c r="N324" s="1" t="s">
        <v>220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Z324" s="0" t="n">
        <f aca="false">I324+65</f>
        <v>148.5</v>
      </c>
      <c r="AB324" s="0" t="n">
        <f aca="false">IF(Z324&gt;360,Z324-360,Z324+0)</f>
        <v>148.5</v>
      </c>
    </row>
    <row r="325" customFormat="false" ht="15.8" hidden="false" customHeight="false" outlineLevel="0" collapsed="false">
      <c r="A325" s="1" t="n">
        <v>3</v>
      </c>
      <c r="B325" s="1" t="n">
        <v>4</v>
      </c>
      <c r="C325" s="1" t="n">
        <v>1.6</v>
      </c>
      <c r="D325" s="1" t="n">
        <v>1.1557</v>
      </c>
      <c r="E325" s="1" t="n">
        <v>0.0366687</v>
      </c>
      <c r="F325" s="1" t="n">
        <v>7.05941E-005</v>
      </c>
      <c r="G325" s="1" t="s">
        <v>37</v>
      </c>
      <c r="H325" s="1" t="n">
        <v>43.4</v>
      </c>
      <c r="I325" s="1" t="n">
        <v>28.7</v>
      </c>
      <c r="J325" s="1" t="n">
        <v>-56.8</v>
      </c>
      <c r="K325" s="1" t="n">
        <v>87.4</v>
      </c>
      <c r="L325" s="1" t="n">
        <v>0</v>
      </c>
      <c r="M325" s="1" t="n">
        <v>0</v>
      </c>
      <c r="N325" s="1" t="s">
        <v>248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Z325" s="0" t="n">
        <f aca="false">I325+65</f>
        <v>93.7</v>
      </c>
      <c r="AB325" s="0" t="n">
        <f aca="false">IF(Z325&gt;360,Z325-360,Z325+0)</f>
        <v>93.7</v>
      </c>
    </row>
    <row r="326" customFormat="false" ht="15.8" hidden="false" customHeight="false" outlineLevel="0" collapsed="false">
      <c r="A326" s="1" t="n">
        <v>3</v>
      </c>
      <c r="B326" s="1" t="n">
        <v>4</v>
      </c>
      <c r="C326" s="1" t="n">
        <v>0.7</v>
      </c>
      <c r="D326" s="1" t="n">
        <v>1.023</v>
      </c>
      <c r="E326" s="1" t="n">
        <v>0.0246337</v>
      </c>
      <c r="F326" s="1" t="n">
        <v>7.08056E-005</v>
      </c>
      <c r="G326" s="1" t="s">
        <v>27</v>
      </c>
      <c r="H326" s="1" t="n">
        <v>42.7</v>
      </c>
      <c r="I326" s="1" t="n">
        <v>315</v>
      </c>
      <c r="J326" s="1" t="n">
        <v>0</v>
      </c>
      <c r="K326" s="1"/>
      <c r="L326" s="1" t="n">
        <v>0</v>
      </c>
      <c r="M326" s="1" t="n">
        <v>0</v>
      </c>
      <c r="N326" s="1" t="s">
        <v>248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Z326" s="0" t="n">
        <f aca="false">I326+65</f>
        <v>380</v>
      </c>
      <c r="AB326" s="0" t="n">
        <f aca="false">IF(Z326&gt;360,Z326-360,Z326+0)</f>
        <v>20</v>
      </c>
    </row>
    <row r="327" customFormat="false" ht="15.8" hidden="false" customHeight="false" outlineLevel="0" collapsed="false">
      <c r="A327" s="1" t="n">
        <v>3</v>
      </c>
      <c r="B327" s="1" t="n">
        <v>3</v>
      </c>
      <c r="C327" s="1" t="n">
        <v>1.3</v>
      </c>
      <c r="D327" s="1" t="n">
        <v>1.2417</v>
      </c>
      <c r="E327" s="1" t="n">
        <v>0.0458723</v>
      </c>
      <c r="F327" s="1" t="n">
        <v>0.000131852</v>
      </c>
      <c r="G327" s="1" t="s">
        <v>37</v>
      </c>
      <c r="H327" s="1" t="n">
        <v>66.5</v>
      </c>
      <c r="I327" s="1" t="n">
        <v>352.3</v>
      </c>
      <c r="J327" s="1" t="n">
        <v>-22.4</v>
      </c>
      <c r="K327" s="1" t="n">
        <v>43.4</v>
      </c>
      <c r="L327" s="1" t="n">
        <v>0</v>
      </c>
      <c r="M327" s="1" t="n">
        <v>0</v>
      </c>
      <c r="N327" s="1" t="s">
        <v>249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Z327" s="0" t="n">
        <f aca="false">I327+65</f>
        <v>417.3</v>
      </c>
      <c r="AB327" s="0" t="n">
        <f aca="false">IF(Z327&gt;360,Z327-360,Z327+0)</f>
        <v>57.3</v>
      </c>
    </row>
    <row r="328" customFormat="false" ht="15.8" hidden="false" customHeight="false" outlineLevel="0" collapsed="false">
      <c r="A328" s="1" t="n">
        <v>3</v>
      </c>
      <c r="B328" s="1" t="n">
        <v>4</v>
      </c>
      <c r="C328" s="1" t="n">
        <v>0.7</v>
      </c>
      <c r="D328" s="1" t="n">
        <v>1.0024</v>
      </c>
      <c r="E328" s="1" t="n">
        <v>0.0148338</v>
      </c>
      <c r="F328" s="1" t="n">
        <v>2.47663E-005</v>
      </c>
      <c r="G328" s="1" t="s">
        <v>27</v>
      </c>
      <c r="H328" s="1" t="n">
        <v>21.1</v>
      </c>
      <c r="I328" s="1" t="n">
        <v>123.8</v>
      </c>
      <c r="J328" s="1" t="n">
        <v>0</v>
      </c>
      <c r="K328" s="1"/>
      <c r="L328" s="1" t="n">
        <v>0</v>
      </c>
      <c r="M328" s="1" t="n">
        <v>0</v>
      </c>
      <c r="N328" s="1" t="s">
        <v>250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Z328" s="0" t="n">
        <f aca="false">I328+65</f>
        <v>188.8</v>
      </c>
      <c r="AB328" s="0" t="n">
        <f aca="false">IF(Z328&gt;360,Z328-360,Z328+0)</f>
        <v>188.8</v>
      </c>
    </row>
    <row r="329" customFormat="false" ht="15.8" hidden="false" customHeight="false" outlineLevel="0" collapsed="false">
      <c r="A329" s="1" t="n">
        <v>3</v>
      </c>
      <c r="B329" s="1" t="n">
        <v>4</v>
      </c>
      <c r="C329" s="1" t="n">
        <v>1</v>
      </c>
      <c r="D329" s="1" t="n">
        <v>1.0444</v>
      </c>
      <c r="E329" s="1" t="n">
        <v>0.0198757</v>
      </c>
      <c r="F329" s="1" t="n">
        <v>3.1605E-005</v>
      </c>
      <c r="G329" s="1" t="s">
        <v>27</v>
      </c>
      <c r="H329" s="1" t="n">
        <v>139</v>
      </c>
      <c r="I329" s="1" t="n">
        <v>241.6</v>
      </c>
      <c r="J329" s="1" t="n">
        <v>0</v>
      </c>
      <c r="K329" s="1"/>
      <c r="L329" s="1" t="n">
        <v>0</v>
      </c>
      <c r="M329" s="1" t="n">
        <v>0</v>
      </c>
      <c r="N329" s="1" t="s">
        <v>250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Z329" s="0" t="n">
        <f aca="false">I329+65</f>
        <v>306.6</v>
      </c>
      <c r="AB329" s="0" t="n">
        <f aca="false">IF(Z329&gt;360,Z329-360,Z329+0)</f>
        <v>306.6</v>
      </c>
    </row>
    <row r="330" customFormat="false" ht="15.8" hidden="false" customHeight="false" outlineLevel="0" collapsed="false">
      <c r="A330" s="1" t="n">
        <v>3</v>
      </c>
      <c r="B330" s="1" t="n">
        <v>3</v>
      </c>
      <c r="C330" s="1" t="n">
        <v>1.4</v>
      </c>
      <c r="D330" s="1" t="n">
        <v>1.0765</v>
      </c>
      <c r="E330" s="1" t="n">
        <v>0.049023</v>
      </c>
      <c r="F330" s="1" t="n">
        <v>0.000140909</v>
      </c>
      <c r="G330" s="1" t="s">
        <v>37</v>
      </c>
      <c r="H330" s="1" t="n">
        <v>43.5</v>
      </c>
      <c r="I330" s="1" t="n">
        <v>102.6</v>
      </c>
      <c r="J330" s="1" t="n">
        <v>0</v>
      </c>
      <c r="K330" s="1" t="n">
        <v>139</v>
      </c>
      <c r="L330" s="1" t="n">
        <v>0</v>
      </c>
      <c r="M330" s="1" t="n">
        <v>0</v>
      </c>
      <c r="N330" s="1" t="s">
        <v>249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Z330" s="0" t="n">
        <f aca="false">I330+65</f>
        <v>167.6</v>
      </c>
      <c r="AB330" s="0" t="n">
        <f aca="false">IF(Z330&gt;360,Z330-360,Z330+0)</f>
        <v>167.6</v>
      </c>
    </row>
    <row r="331" customFormat="false" ht="15.8" hidden="false" customHeight="false" outlineLevel="0" collapsed="false">
      <c r="A331" s="1" t="n">
        <v>3</v>
      </c>
      <c r="B331" s="1" t="n">
        <v>2</v>
      </c>
      <c r="C331" s="1" t="n">
        <v>1.1</v>
      </c>
      <c r="D331" s="1" t="n">
        <v>1.2373</v>
      </c>
      <c r="E331" s="1" t="n">
        <v>0.0245226</v>
      </c>
      <c r="F331" s="1" t="n">
        <v>4.48228E-005</v>
      </c>
      <c r="G331" s="1" t="s">
        <v>37</v>
      </c>
      <c r="H331" s="1" t="n">
        <v>26.6</v>
      </c>
      <c r="I331" s="1" t="n">
        <v>65.9</v>
      </c>
      <c r="J331" s="1" t="n">
        <v>-25.1</v>
      </c>
      <c r="K331" s="1" t="n">
        <v>66.5</v>
      </c>
      <c r="L331" s="1" t="n">
        <v>0</v>
      </c>
      <c r="M331" s="1" t="n">
        <v>0</v>
      </c>
      <c r="N331" s="1" t="s">
        <v>251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Z331" s="0" t="n">
        <f aca="false">I331+65</f>
        <v>130.9</v>
      </c>
      <c r="AB331" s="0" t="n">
        <f aca="false">IF(Z331&gt;360,Z331-360,Z331+0)</f>
        <v>130.9</v>
      </c>
    </row>
    <row r="332" customFormat="false" ht="15.8" hidden="false" customHeight="false" outlineLevel="0" collapsed="false">
      <c r="A332" s="1" t="n">
        <v>3</v>
      </c>
      <c r="B332" s="1" t="n">
        <v>2</v>
      </c>
      <c r="C332" s="1" t="n">
        <v>0.7</v>
      </c>
      <c r="D332" s="1" t="n">
        <v>1.0132</v>
      </c>
      <c r="E332" s="1" t="n">
        <v>0.0261901</v>
      </c>
      <c r="F332" s="1" t="n">
        <v>7.52791E-005</v>
      </c>
      <c r="G332" s="1" t="s">
        <v>27</v>
      </c>
      <c r="H332" s="1" t="n">
        <v>109.4</v>
      </c>
      <c r="I332" s="1" t="n">
        <v>336.3</v>
      </c>
      <c r="J332" s="1" t="n">
        <v>0</v>
      </c>
      <c r="K332" s="1"/>
      <c r="L332" s="1" t="n">
        <v>0</v>
      </c>
      <c r="M332" s="1" t="n">
        <v>0</v>
      </c>
      <c r="N332" s="1" t="s">
        <v>251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Z332" s="0" t="n">
        <f aca="false">I332+65</f>
        <v>401.3</v>
      </c>
      <c r="AB332" s="0" t="n">
        <f aca="false">IF(Z332&gt;360,Z332-360,Z332+0)</f>
        <v>41.3</v>
      </c>
    </row>
    <row r="333" customFormat="false" ht="15.8" hidden="false" customHeight="false" outlineLevel="0" collapsed="false">
      <c r="A333" s="1" t="n">
        <v>3</v>
      </c>
      <c r="B333" s="1" t="n">
        <v>1</v>
      </c>
      <c r="C333" s="1" t="n">
        <v>3.7</v>
      </c>
      <c r="D333" s="1" t="n">
        <v>1.1014</v>
      </c>
      <c r="E333" s="1" t="n">
        <v>0.13389</v>
      </c>
      <c r="F333" s="1" t="n">
        <v>0.000384845</v>
      </c>
      <c r="G333" s="1" t="s">
        <v>37</v>
      </c>
      <c r="H333" s="1"/>
      <c r="I333" s="1" t="n">
        <v>85.9</v>
      </c>
      <c r="J333" s="1" t="n">
        <v>-6.7</v>
      </c>
      <c r="K333" s="1" t="n">
        <v>109.4</v>
      </c>
      <c r="L333" s="1" t="n">
        <v>0</v>
      </c>
      <c r="M333" s="1" t="n">
        <v>0</v>
      </c>
      <c r="N333" s="1" t="s">
        <v>252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Z333" s="0" t="n">
        <f aca="false">I333+65</f>
        <v>150.9</v>
      </c>
      <c r="AB333" s="0" t="n">
        <f aca="false">IF(Z333&gt;360,Z333-360,Z333+0)</f>
        <v>150.9</v>
      </c>
    </row>
    <row r="334" customFormat="false" ht="15.8" hidden="false" customHeight="false" outlineLevel="0" collapsed="false">
      <c r="A334" s="1" t="n">
        <v>4</v>
      </c>
      <c r="B334" s="1" t="n">
        <v>2</v>
      </c>
      <c r="C334" s="1" t="n">
        <v>1</v>
      </c>
      <c r="D334" s="1" t="n">
        <v>1.1314</v>
      </c>
      <c r="E334" s="1" t="n">
        <v>0.0356551</v>
      </c>
      <c r="F334" s="1" t="n">
        <v>0.000102485</v>
      </c>
      <c r="G334" s="1" t="s">
        <v>27</v>
      </c>
      <c r="H334" s="1" t="n">
        <v>31.7</v>
      </c>
      <c r="I334" s="1" t="n">
        <v>298.1</v>
      </c>
      <c r="J334" s="1" t="n">
        <v>-63.4</v>
      </c>
      <c r="K334" s="1"/>
      <c r="L334" s="1" t="n">
        <v>0</v>
      </c>
      <c r="M334" s="1" t="n">
        <v>0</v>
      </c>
      <c r="N334" s="1" t="s">
        <v>253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Z334" s="0" t="n">
        <f aca="false">I334+65</f>
        <v>363.1</v>
      </c>
      <c r="AB334" s="0" t="n">
        <f aca="false">IF(Z334&gt;360,Z334-360,Z334+0)</f>
        <v>3.10000000000002</v>
      </c>
    </row>
    <row r="335" customFormat="false" ht="15.8" hidden="false" customHeight="false" outlineLevel="0" collapsed="false">
      <c r="A335" s="1" t="n">
        <v>4</v>
      </c>
      <c r="B335" s="1" t="n">
        <v>2</v>
      </c>
      <c r="C335" s="1" t="n">
        <v>0.4</v>
      </c>
      <c r="D335" s="1" t="n">
        <v>1.0268</v>
      </c>
      <c r="E335" s="1" t="n">
        <v>0.0135508</v>
      </c>
      <c r="F335" s="1" t="n">
        <v>3.89496E-005</v>
      </c>
      <c r="G335" s="1" t="s">
        <v>27</v>
      </c>
      <c r="H335" s="1" t="n">
        <v>60.9</v>
      </c>
      <c r="I335" s="1" t="n">
        <v>24.1</v>
      </c>
      <c r="J335" s="1" t="n">
        <v>0</v>
      </c>
      <c r="K335" s="1"/>
      <c r="L335" s="1" t="n">
        <v>0</v>
      </c>
      <c r="M335" s="1" t="n">
        <v>0</v>
      </c>
      <c r="N335" s="1" t="s">
        <v>253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Z335" s="0" t="n">
        <f aca="false">I335+65</f>
        <v>89.1</v>
      </c>
      <c r="AB335" s="0" t="n">
        <f aca="false">IF(Z335&gt;360,Z335-360,Z335+0)</f>
        <v>89.1</v>
      </c>
    </row>
    <row r="336" customFormat="false" ht="15.8" hidden="false" customHeight="false" outlineLevel="0" collapsed="false">
      <c r="A336" s="1" t="n">
        <v>4</v>
      </c>
      <c r="B336" s="1" t="n">
        <v>1</v>
      </c>
      <c r="C336" s="1" t="n">
        <v>3.3</v>
      </c>
      <c r="D336" s="1" t="n">
        <v>1.3241</v>
      </c>
      <c r="E336" s="1" t="n">
        <v>0.117577</v>
      </c>
      <c r="F336" s="1" t="n">
        <v>0.000337956</v>
      </c>
      <c r="G336" s="1" t="s">
        <v>37</v>
      </c>
      <c r="H336" s="1"/>
      <c r="I336" s="1" t="n">
        <v>333.2</v>
      </c>
      <c r="J336" s="1" t="n">
        <v>-39.4</v>
      </c>
      <c r="K336" s="1" t="n">
        <v>60.9</v>
      </c>
      <c r="L336" s="1" t="n">
        <v>0</v>
      </c>
      <c r="M336" s="1" t="n">
        <v>0</v>
      </c>
      <c r="N336" s="1" t="s">
        <v>254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Z336" s="0" t="n">
        <f aca="false">I336+65</f>
        <v>398.2</v>
      </c>
      <c r="AB336" s="0" t="n">
        <f aca="false">IF(Z336&gt;360,Z336-360,Z336+0)</f>
        <v>38.2</v>
      </c>
    </row>
    <row r="337" customFormat="false" ht="15.8" hidden="false" customHeight="false" outlineLevel="0" collapsed="false">
      <c r="A337" s="1" t="n">
        <v>5</v>
      </c>
      <c r="B337" s="1" t="n">
        <v>1</v>
      </c>
      <c r="C337" s="1" t="n">
        <v>2.3</v>
      </c>
      <c r="D337" s="1" t="n">
        <v>1.3244</v>
      </c>
      <c r="E337" s="1" t="n">
        <v>0.0844832</v>
      </c>
      <c r="F337" s="1" t="n">
        <v>0.000242833</v>
      </c>
      <c r="G337" s="1" t="s">
        <v>27</v>
      </c>
      <c r="H337" s="1"/>
      <c r="I337" s="1" t="n">
        <v>359.2</v>
      </c>
      <c r="J337" s="1" t="n">
        <v>-62</v>
      </c>
      <c r="K337" s="1"/>
      <c r="L337" s="1" t="n">
        <v>0</v>
      </c>
      <c r="M337" s="1" t="n">
        <v>0</v>
      </c>
      <c r="N337" s="1" t="s">
        <v>255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Z337" s="0" t="n">
        <f aca="false">I337+65</f>
        <v>424.2</v>
      </c>
      <c r="AB337" s="0" t="n">
        <f aca="false">IF(Z337&gt;360,Z337-360,Z337+0)</f>
        <v>64.2</v>
      </c>
    </row>
    <row r="338" customFormat="false" ht="15.8" hidden="false" customHeight="false" outlineLevel="0" collapsed="false">
      <c r="A338" s="1" t="n">
        <v>6</v>
      </c>
      <c r="B338" s="1" t="n">
        <v>3</v>
      </c>
      <c r="C338" s="1" t="n">
        <v>2.3</v>
      </c>
      <c r="D338" s="1" t="n">
        <v>1.0631</v>
      </c>
      <c r="E338" s="1" t="n">
        <v>0.0813432</v>
      </c>
      <c r="F338" s="1" t="n">
        <v>0.000233807</v>
      </c>
      <c r="G338" s="1" t="s">
        <v>27</v>
      </c>
      <c r="H338" s="1" t="n">
        <v>96.9</v>
      </c>
      <c r="I338" s="1" t="n">
        <v>307.7</v>
      </c>
      <c r="J338" s="1" t="n">
        <v>-67</v>
      </c>
      <c r="K338" s="1"/>
      <c r="L338" s="1" t="n">
        <v>0</v>
      </c>
      <c r="M338" s="1" t="n">
        <v>0</v>
      </c>
      <c r="N338" s="1" t="s">
        <v>256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Z338" s="0" t="n">
        <f aca="false">I338+65</f>
        <v>372.7</v>
      </c>
      <c r="AB338" s="0" t="n">
        <f aca="false">IF(Z338&gt;360,Z338-360,Z338+0)</f>
        <v>12.7</v>
      </c>
    </row>
    <row r="339" customFormat="false" ht="15.8" hidden="false" customHeight="false" outlineLevel="0" collapsed="false">
      <c r="A339" s="1" t="n">
        <v>6</v>
      </c>
      <c r="B339" s="1" t="n">
        <v>3</v>
      </c>
      <c r="C339" s="1" t="n">
        <v>3.3</v>
      </c>
      <c r="D339" s="1" t="n">
        <v>1.166</v>
      </c>
      <c r="E339" s="1" t="n">
        <v>0.1198</v>
      </c>
      <c r="F339" s="1" t="n">
        <v>0.000344344</v>
      </c>
      <c r="G339" s="1" t="s">
        <v>27</v>
      </c>
      <c r="H339" s="1" t="n">
        <v>92</v>
      </c>
      <c r="I339" s="1" t="n">
        <v>253.4</v>
      </c>
      <c r="J339" s="1" t="n">
        <v>15.9</v>
      </c>
      <c r="K339" s="1"/>
      <c r="L339" s="1" t="n">
        <v>0</v>
      </c>
      <c r="M339" s="1" t="n">
        <v>0</v>
      </c>
      <c r="N339" s="1" t="s">
        <v>256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Z339" s="0" t="n">
        <f aca="false">I339+65</f>
        <v>318.4</v>
      </c>
      <c r="AB339" s="0" t="n">
        <f aca="false">IF(Z339&gt;360,Z339-360,Z339+0)</f>
        <v>318.4</v>
      </c>
    </row>
    <row r="340" customFormat="false" ht="15.8" hidden="false" customHeight="false" outlineLevel="0" collapsed="false">
      <c r="A340" s="1" t="n">
        <v>6</v>
      </c>
      <c r="B340" s="1" t="n">
        <v>4</v>
      </c>
      <c r="C340" s="1" t="n">
        <v>1.6</v>
      </c>
      <c r="D340" s="1" t="n">
        <v>1.1269</v>
      </c>
      <c r="E340" s="1" t="n">
        <v>0.0585858</v>
      </c>
      <c r="F340" s="1" t="n">
        <v>0.000168395</v>
      </c>
      <c r="G340" s="1" t="s">
        <v>27</v>
      </c>
      <c r="H340" s="1" t="n">
        <v>20.3</v>
      </c>
      <c r="I340" s="1" t="n">
        <v>80.9</v>
      </c>
      <c r="J340" s="1" t="n">
        <v>15.7</v>
      </c>
      <c r="K340" s="1"/>
      <c r="L340" s="1" t="n">
        <v>0</v>
      </c>
      <c r="M340" s="1" t="n">
        <v>0</v>
      </c>
      <c r="N340" s="1" t="s">
        <v>257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Z340" s="0" t="n">
        <f aca="false">I340+65</f>
        <v>145.9</v>
      </c>
      <c r="AB340" s="0" t="n">
        <f aca="false">IF(Z340&gt;360,Z340-360,Z340+0)</f>
        <v>145.9</v>
      </c>
    </row>
    <row r="341" customFormat="false" ht="15.8" hidden="false" customHeight="false" outlineLevel="0" collapsed="false">
      <c r="A341" s="1" t="n">
        <v>6</v>
      </c>
      <c r="B341" s="1" t="n">
        <v>6</v>
      </c>
      <c r="C341" s="1" t="n">
        <v>1.1</v>
      </c>
      <c r="D341" s="1" t="n">
        <v>1.1666</v>
      </c>
      <c r="E341" s="1" t="n">
        <v>0.0405556</v>
      </c>
      <c r="F341" s="1" t="n">
        <v>0.00011657</v>
      </c>
      <c r="G341" s="1" t="s">
        <v>27</v>
      </c>
      <c r="H341" s="1" t="n">
        <v>92.9</v>
      </c>
      <c r="I341" s="1" t="n">
        <v>83.2</v>
      </c>
      <c r="J341" s="1" t="n">
        <v>-23.9</v>
      </c>
      <c r="K341" s="1"/>
      <c r="L341" s="1" t="n">
        <v>0</v>
      </c>
      <c r="M341" s="1" t="n">
        <v>0</v>
      </c>
      <c r="N341" s="1" t="s">
        <v>258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Z341" s="0" t="n">
        <f aca="false">I341+65</f>
        <v>148.2</v>
      </c>
      <c r="AB341" s="0" t="n">
        <f aca="false">IF(Z341&gt;360,Z341-360,Z341+0)</f>
        <v>148.2</v>
      </c>
    </row>
    <row r="342" customFormat="false" ht="15.8" hidden="false" customHeight="false" outlineLevel="0" collapsed="false">
      <c r="A342" s="1" t="n">
        <v>6</v>
      </c>
      <c r="B342" s="1" t="n">
        <v>6</v>
      </c>
      <c r="C342" s="1" t="n">
        <v>3.7</v>
      </c>
      <c r="D342" s="1" t="n">
        <v>1.9628</v>
      </c>
      <c r="E342" s="1" t="n">
        <v>0.132953</v>
      </c>
      <c r="F342" s="1" t="n">
        <v>0.000382152</v>
      </c>
      <c r="G342" s="1" t="s">
        <v>27</v>
      </c>
      <c r="H342" s="1" t="n">
        <v>101.7</v>
      </c>
      <c r="I342" s="1" t="n">
        <v>225.9</v>
      </c>
      <c r="J342" s="1" t="n">
        <v>-56.3</v>
      </c>
      <c r="K342" s="1"/>
      <c r="L342" s="1" t="n">
        <v>0</v>
      </c>
      <c r="M342" s="1" t="n">
        <v>0</v>
      </c>
      <c r="N342" s="1" t="s">
        <v>258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Z342" s="0" t="n">
        <f aca="false">I342+65</f>
        <v>290.9</v>
      </c>
      <c r="AB342" s="0" t="n">
        <f aca="false">IF(Z342&gt;360,Z342-360,Z342+0)</f>
        <v>290.9</v>
      </c>
    </row>
    <row r="343" customFormat="false" ht="15.8" hidden="false" customHeight="false" outlineLevel="0" collapsed="false">
      <c r="A343" s="1" t="n">
        <v>6</v>
      </c>
      <c r="B343" s="1" t="n">
        <v>5</v>
      </c>
      <c r="C343" s="1" t="n">
        <v>3.4</v>
      </c>
      <c r="D343" s="1" t="n">
        <v>1.4366</v>
      </c>
      <c r="E343" s="1" t="n">
        <v>0.121527</v>
      </c>
      <c r="F343" s="1" t="n">
        <v>0.000349309</v>
      </c>
      <c r="G343" s="1" t="s">
        <v>37</v>
      </c>
      <c r="H343" s="1" t="n">
        <v>61.4</v>
      </c>
      <c r="I343" s="1" t="n">
        <v>162.2</v>
      </c>
      <c r="J343" s="1" t="n">
        <v>30</v>
      </c>
      <c r="K343" s="1" t="n">
        <v>101.7</v>
      </c>
      <c r="L343" s="1" t="n">
        <v>0</v>
      </c>
      <c r="M343" s="1" t="n">
        <v>0</v>
      </c>
      <c r="N343" s="1" t="s">
        <v>259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Z343" s="0" t="n">
        <f aca="false">I343+65</f>
        <v>227.2</v>
      </c>
      <c r="AB343" s="0" t="n">
        <f aca="false">IF(Z343&gt;360,Z343-360,Z343+0)</f>
        <v>227.2</v>
      </c>
    </row>
    <row r="344" customFormat="false" ht="15.8" hidden="false" customHeight="false" outlineLevel="0" collapsed="false">
      <c r="A344" s="1" t="n">
        <v>6</v>
      </c>
      <c r="B344" s="1" t="n">
        <v>6</v>
      </c>
      <c r="C344" s="1" t="n">
        <v>4.9</v>
      </c>
      <c r="D344" s="1" t="n">
        <v>1.5337</v>
      </c>
      <c r="E344" s="1" t="n">
        <v>0.176306</v>
      </c>
      <c r="F344" s="1" t="n">
        <v>0.000506761</v>
      </c>
      <c r="G344" s="1" t="s">
        <v>27</v>
      </c>
      <c r="H344" s="1" t="n">
        <v>5.7</v>
      </c>
      <c r="I344" s="1" t="n">
        <v>143.7</v>
      </c>
      <c r="J344" s="1" t="n">
        <v>0</v>
      </c>
      <c r="K344" s="1"/>
      <c r="L344" s="1" t="n">
        <v>0</v>
      </c>
      <c r="M344" s="1" t="n">
        <v>0</v>
      </c>
      <c r="N344" s="1" t="s">
        <v>260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Z344" s="0" t="n">
        <f aca="false">I344+65</f>
        <v>208.7</v>
      </c>
      <c r="AB344" s="0" t="n">
        <f aca="false">IF(Z344&gt;360,Z344-360,Z344+0)</f>
        <v>208.7</v>
      </c>
    </row>
    <row r="345" customFormat="false" ht="15.8" hidden="false" customHeight="false" outlineLevel="0" collapsed="false">
      <c r="A345" s="1" t="n">
        <v>6</v>
      </c>
      <c r="B345" s="1" t="n">
        <v>6</v>
      </c>
      <c r="C345" s="1" t="n">
        <v>7.2</v>
      </c>
      <c r="D345" s="1" t="n">
        <v>1.4372</v>
      </c>
      <c r="E345" s="1" t="n">
        <v>0.261102</v>
      </c>
      <c r="F345" s="1" t="n">
        <v>0.000750495</v>
      </c>
      <c r="G345" s="1" t="s">
        <v>27</v>
      </c>
      <c r="H345" s="1" t="n">
        <v>131.1</v>
      </c>
      <c r="I345" s="1" t="n">
        <v>351.1</v>
      </c>
      <c r="J345" s="1" t="n">
        <v>-38.3</v>
      </c>
      <c r="K345" s="1"/>
      <c r="L345" s="1" t="n">
        <v>0</v>
      </c>
      <c r="M345" s="1" t="n">
        <v>0</v>
      </c>
      <c r="N345" s="1" t="s">
        <v>260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Z345" s="0" t="n">
        <f aca="false">I345+65</f>
        <v>416.1</v>
      </c>
      <c r="AB345" s="0" t="n">
        <f aca="false">IF(Z345&gt;360,Z345-360,Z345+0)</f>
        <v>56.1</v>
      </c>
    </row>
    <row r="346" customFormat="false" ht="15.8" hidden="false" customHeight="false" outlineLevel="0" collapsed="false">
      <c r="A346" s="1" t="n">
        <v>6</v>
      </c>
      <c r="B346" s="1" t="n">
        <v>5</v>
      </c>
      <c r="C346" s="1" t="n">
        <v>0.2</v>
      </c>
      <c r="D346" s="1" t="n">
        <v>1</v>
      </c>
      <c r="E346" s="1" t="n">
        <v>0.00558774</v>
      </c>
      <c r="F346" s="1" t="n">
        <v>1.6061E-005</v>
      </c>
      <c r="G346" s="1" t="s">
        <v>37</v>
      </c>
      <c r="H346" s="1" t="n">
        <v>24.5</v>
      </c>
      <c r="I346" s="1" t="n">
        <v>138</v>
      </c>
      <c r="J346" s="1" t="n">
        <v>0</v>
      </c>
      <c r="K346" s="1" t="n">
        <v>131.1</v>
      </c>
      <c r="L346" s="1" t="n">
        <v>0</v>
      </c>
      <c r="M346" s="1" t="n">
        <v>0</v>
      </c>
      <c r="N346" s="1" t="s">
        <v>259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Z346" s="0" t="n">
        <f aca="false">I346+65</f>
        <v>203</v>
      </c>
      <c r="AB346" s="0" t="n">
        <f aca="false">IF(Z346&gt;360,Z346-360,Z346+0)</f>
        <v>203</v>
      </c>
    </row>
    <row r="347" customFormat="false" ht="15.8" hidden="false" customHeight="false" outlineLevel="0" collapsed="false">
      <c r="A347" s="1" t="n">
        <v>6</v>
      </c>
      <c r="B347" s="1" t="n">
        <v>4</v>
      </c>
      <c r="C347" s="1" t="n">
        <v>1.1</v>
      </c>
      <c r="D347" s="1" t="n">
        <v>1.1543</v>
      </c>
      <c r="E347" s="1" t="n">
        <v>0.0407676</v>
      </c>
      <c r="F347" s="1" t="n">
        <v>0.00011718</v>
      </c>
      <c r="G347" s="1" t="s">
        <v>37</v>
      </c>
      <c r="H347" s="1" t="n">
        <v>42.9</v>
      </c>
      <c r="I347" s="1" t="n">
        <v>130.8</v>
      </c>
      <c r="J347" s="1" t="n">
        <v>-23.5</v>
      </c>
      <c r="K347" s="1" t="n">
        <v>61.4</v>
      </c>
      <c r="L347" s="1" t="n">
        <v>0</v>
      </c>
      <c r="M347" s="1" t="n">
        <v>0</v>
      </c>
      <c r="N347" s="1" t="s">
        <v>257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Z347" s="0" t="n">
        <f aca="false">I347+65</f>
        <v>195.8</v>
      </c>
      <c r="AB347" s="0" t="n">
        <f aca="false">IF(Z347&gt;360,Z347-360,Z347+0)</f>
        <v>195.8</v>
      </c>
    </row>
    <row r="348" customFormat="false" ht="15.8" hidden="false" customHeight="false" outlineLevel="0" collapsed="false">
      <c r="A348" s="1" t="n">
        <v>6</v>
      </c>
      <c r="B348" s="1" t="n">
        <v>3</v>
      </c>
      <c r="C348" s="1" t="n">
        <v>1</v>
      </c>
      <c r="D348" s="1" t="n">
        <v>1.0024</v>
      </c>
      <c r="E348" s="1" t="n">
        <v>0.036716</v>
      </c>
      <c r="F348" s="1" t="n">
        <v>0.000105534</v>
      </c>
      <c r="G348" s="1" t="s">
        <v>37</v>
      </c>
      <c r="H348" s="1" t="n">
        <v>71.1</v>
      </c>
      <c r="I348" s="1" t="n">
        <v>93.9</v>
      </c>
      <c r="J348" s="1" t="n">
        <v>0</v>
      </c>
      <c r="K348" s="1" t="n">
        <v>42.9</v>
      </c>
      <c r="L348" s="1" t="n">
        <v>0</v>
      </c>
      <c r="M348" s="1" t="n">
        <v>0</v>
      </c>
      <c r="N348" s="1" t="s">
        <v>256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Z348" s="0" t="n">
        <f aca="false">I348+65</f>
        <v>158.9</v>
      </c>
      <c r="AB348" s="0" t="n">
        <f aca="false">IF(Z348&gt;360,Z348-360,Z348+0)</f>
        <v>158.9</v>
      </c>
    </row>
    <row r="349" customFormat="false" ht="15.8" hidden="false" customHeight="false" outlineLevel="0" collapsed="false">
      <c r="A349" s="1" t="n">
        <v>6</v>
      </c>
      <c r="B349" s="1" t="n">
        <v>2</v>
      </c>
      <c r="C349" s="1" t="n">
        <v>8.4</v>
      </c>
      <c r="D349" s="1" t="n">
        <v>1.4537</v>
      </c>
      <c r="E349" s="1" t="n">
        <v>0.304918</v>
      </c>
      <c r="F349" s="1" t="n">
        <v>0.000876436</v>
      </c>
      <c r="G349" s="1" t="s">
        <v>37</v>
      </c>
      <c r="H349" s="1" t="n">
        <v>24.8</v>
      </c>
      <c r="I349" s="1" t="n">
        <v>164.6</v>
      </c>
      <c r="J349" s="1" t="n">
        <v>-11.6</v>
      </c>
      <c r="K349" s="1" t="n">
        <v>96.9</v>
      </c>
      <c r="L349" s="1" t="n">
        <v>0</v>
      </c>
      <c r="M349" s="1" t="n">
        <v>0</v>
      </c>
      <c r="N349" s="1" t="s">
        <v>261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Z349" s="0" t="n">
        <f aca="false">I349+65</f>
        <v>229.6</v>
      </c>
      <c r="AB349" s="0" t="n">
        <f aca="false">IF(Z349&gt;360,Z349-360,Z349+0)</f>
        <v>229.6</v>
      </c>
    </row>
    <row r="350" customFormat="false" ht="15.8" hidden="false" customHeight="false" outlineLevel="0" collapsed="false">
      <c r="A350" s="1" t="n">
        <v>6</v>
      </c>
      <c r="B350" s="1" t="n">
        <v>3</v>
      </c>
      <c r="C350" s="1" t="n">
        <v>0.6</v>
      </c>
      <c r="D350" s="1" t="n">
        <v>1.0003</v>
      </c>
      <c r="E350" s="1" t="n">
        <v>0.0207748</v>
      </c>
      <c r="F350" s="1" t="n">
        <v>5.97138E-005</v>
      </c>
      <c r="G350" s="1" t="s">
        <v>27</v>
      </c>
      <c r="H350" s="1" t="n">
        <v>108.8</v>
      </c>
      <c r="I350" s="1" t="n">
        <v>1.1</v>
      </c>
      <c r="J350" s="1" t="n">
        <v>0</v>
      </c>
      <c r="K350" s="1"/>
      <c r="L350" s="1" t="n">
        <v>0</v>
      </c>
      <c r="M350" s="1" t="n">
        <v>0</v>
      </c>
      <c r="N350" s="1" t="s">
        <v>262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Z350" s="0" t="n">
        <f aca="false">I350+65</f>
        <v>66.1</v>
      </c>
      <c r="AB350" s="0" t="n">
        <f aca="false">IF(Z350&gt;360,Z350-360,Z350+0)</f>
        <v>66.1</v>
      </c>
    </row>
    <row r="351" customFormat="false" ht="15.8" hidden="false" customHeight="false" outlineLevel="0" collapsed="false">
      <c r="A351" s="1" t="n">
        <v>6</v>
      </c>
      <c r="B351" s="1" t="n">
        <v>3</v>
      </c>
      <c r="C351" s="1" t="n">
        <v>2</v>
      </c>
      <c r="D351" s="1" t="n">
        <v>1.1362</v>
      </c>
      <c r="E351" s="1" t="n">
        <v>0.0705352</v>
      </c>
      <c r="F351" s="1" t="n">
        <v>0.000202742</v>
      </c>
      <c r="G351" s="1" t="s">
        <v>27</v>
      </c>
      <c r="H351" s="1" t="n">
        <v>20.7</v>
      </c>
      <c r="I351" s="1" t="n">
        <v>111.6</v>
      </c>
      <c r="J351" s="1" t="n">
        <v>0</v>
      </c>
      <c r="K351" s="1"/>
      <c r="L351" s="1" t="n">
        <v>0</v>
      </c>
      <c r="M351" s="1" t="n">
        <v>0</v>
      </c>
      <c r="N351" s="1" t="s">
        <v>262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Z351" s="0" t="n">
        <f aca="false">I351+65</f>
        <v>176.6</v>
      </c>
      <c r="AB351" s="0" t="n">
        <f aca="false">IF(Z351&gt;360,Z351-360,Z351+0)</f>
        <v>176.6</v>
      </c>
    </row>
    <row r="352" customFormat="false" ht="15.8" hidden="false" customHeight="false" outlineLevel="0" collapsed="false">
      <c r="A352" s="1" t="n">
        <v>6</v>
      </c>
      <c r="B352" s="1" t="n">
        <v>2</v>
      </c>
      <c r="C352" s="1" t="n">
        <v>4.1</v>
      </c>
      <c r="D352" s="1" t="n">
        <v>1.2373</v>
      </c>
      <c r="E352" s="1" t="n">
        <v>0.147996</v>
      </c>
      <c r="F352" s="1" t="n">
        <v>0.000425391</v>
      </c>
      <c r="G352" s="1" t="s">
        <v>37</v>
      </c>
      <c r="H352" s="1" t="n">
        <v>85.7</v>
      </c>
      <c r="I352" s="1" t="n">
        <v>111.3</v>
      </c>
      <c r="J352" s="1" t="n">
        <v>20.7</v>
      </c>
      <c r="K352" s="1" t="n">
        <v>108.8</v>
      </c>
      <c r="L352" s="1" t="n">
        <v>0</v>
      </c>
      <c r="M352" s="1" t="n">
        <v>0</v>
      </c>
      <c r="N352" s="1" t="s">
        <v>261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Z352" s="0" t="n">
        <f aca="false">I352+65</f>
        <v>176.3</v>
      </c>
      <c r="AB352" s="0" t="n">
        <f aca="false">IF(Z352&gt;360,Z352-360,Z352+0)</f>
        <v>176.3</v>
      </c>
    </row>
    <row r="353" customFormat="false" ht="15.8" hidden="false" customHeight="false" outlineLevel="0" collapsed="false">
      <c r="A353" s="1" t="n">
        <v>6</v>
      </c>
      <c r="B353" s="1" t="n">
        <v>3</v>
      </c>
      <c r="C353" s="1" t="n">
        <v>3.3</v>
      </c>
      <c r="D353" s="1" t="n">
        <v>1.3811</v>
      </c>
      <c r="E353" s="1" t="n">
        <v>0.118391</v>
      </c>
      <c r="F353" s="1" t="n">
        <v>0.000340295</v>
      </c>
      <c r="G353" s="1" t="s">
        <v>27</v>
      </c>
      <c r="H353" s="1" t="n">
        <v>61.7</v>
      </c>
      <c r="I353" s="1" t="n">
        <v>12.1</v>
      </c>
      <c r="J353" s="1" t="n">
        <v>-41.1</v>
      </c>
      <c r="K353" s="1"/>
      <c r="L353" s="1" t="n">
        <v>0</v>
      </c>
      <c r="M353" s="1" t="n">
        <v>0</v>
      </c>
      <c r="N353" s="1" t="s">
        <v>263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Z353" s="0" t="n">
        <f aca="false">I353+65</f>
        <v>77.1</v>
      </c>
      <c r="AB353" s="0" t="n">
        <f aca="false">IF(Z353&gt;360,Z353-360,Z353+0)</f>
        <v>77.1</v>
      </c>
    </row>
    <row r="354" customFormat="false" ht="15.8" hidden="false" customHeight="false" outlineLevel="0" collapsed="false">
      <c r="A354" s="1" t="n">
        <v>6</v>
      </c>
      <c r="B354" s="1" t="n">
        <v>5</v>
      </c>
      <c r="C354" s="1" t="n">
        <v>0.6</v>
      </c>
      <c r="D354" s="1" t="n">
        <v>1.0035</v>
      </c>
      <c r="E354" s="1" t="n">
        <v>0.0202781</v>
      </c>
      <c r="F354" s="1" t="n">
        <v>5.8286E-005</v>
      </c>
      <c r="G354" s="1" t="s">
        <v>27</v>
      </c>
      <c r="H354" s="1" t="n">
        <v>59.8</v>
      </c>
      <c r="I354" s="1" t="n">
        <v>260.5</v>
      </c>
      <c r="J354" s="1" t="n">
        <v>0</v>
      </c>
      <c r="K354" s="1"/>
      <c r="L354" s="1" t="n">
        <v>0</v>
      </c>
      <c r="M354" s="1" t="n">
        <v>0</v>
      </c>
      <c r="N354" s="1" t="s">
        <v>264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Z354" s="0" t="n">
        <f aca="false">I354+65</f>
        <v>325.5</v>
      </c>
      <c r="AB354" s="0" t="n">
        <f aca="false">IF(Z354&gt;360,Z354-360,Z354+0)</f>
        <v>325.5</v>
      </c>
    </row>
    <row r="355" customFormat="false" ht="15.8" hidden="false" customHeight="false" outlineLevel="0" collapsed="false">
      <c r="A355" s="1" t="n">
        <v>6</v>
      </c>
      <c r="B355" s="1" t="n">
        <v>6</v>
      </c>
      <c r="C355" s="1" t="n">
        <v>1.3</v>
      </c>
      <c r="D355" s="1" t="n">
        <v>1.7843</v>
      </c>
      <c r="E355" s="1" t="n">
        <v>0.0452725</v>
      </c>
      <c r="F355" s="1" t="n">
        <v>0.000130128</v>
      </c>
      <c r="G355" s="1" t="s">
        <v>27</v>
      </c>
      <c r="H355" s="1" t="n">
        <v>66.9</v>
      </c>
      <c r="I355" s="1" t="n">
        <v>248.9</v>
      </c>
      <c r="J355" s="1" t="n">
        <v>0</v>
      </c>
      <c r="K355" s="1"/>
      <c r="L355" s="1" t="n">
        <v>0</v>
      </c>
      <c r="M355" s="1" t="n">
        <v>0</v>
      </c>
      <c r="N355" s="1" t="s">
        <v>265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Z355" s="0" t="n">
        <f aca="false">I355+65</f>
        <v>313.9</v>
      </c>
      <c r="AB355" s="0" t="n">
        <f aca="false">IF(Z355&gt;360,Z355-360,Z355+0)</f>
        <v>313.9</v>
      </c>
    </row>
    <row r="356" customFormat="false" ht="15.8" hidden="false" customHeight="false" outlineLevel="0" collapsed="false">
      <c r="A356" s="1" t="n">
        <v>6</v>
      </c>
      <c r="B356" s="1" t="n">
        <v>7</v>
      </c>
      <c r="C356" s="1" t="n">
        <v>0.9</v>
      </c>
      <c r="D356" s="1" t="n">
        <v>1.2112</v>
      </c>
      <c r="E356" s="1" t="n">
        <v>0.0321636</v>
      </c>
      <c r="F356" s="1" t="n">
        <v>9.24488E-005</v>
      </c>
      <c r="G356" s="1" t="s">
        <v>27</v>
      </c>
      <c r="H356" s="1" t="n">
        <v>44.1</v>
      </c>
      <c r="I356" s="1" t="n">
        <v>52.5</v>
      </c>
      <c r="J356" s="1" t="n">
        <v>32</v>
      </c>
      <c r="K356" s="1"/>
      <c r="L356" s="1" t="n">
        <v>0</v>
      </c>
      <c r="M356" s="1" t="n">
        <v>0</v>
      </c>
      <c r="N356" s="1" t="s">
        <v>266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Z356" s="0" t="n">
        <f aca="false">I356+65</f>
        <v>117.5</v>
      </c>
      <c r="AB356" s="0" t="n">
        <f aca="false">IF(Z356&gt;360,Z356-360,Z356+0)</f>
        <v>117.5</v>
      </c>
    </row>
    <row r="357" customFormat="false" ht="15.8" hidden="false" customHeight="false" outlineLevel="0" collapsed="false">
      <c r="A357" s="1" t="n">
        <v>6</v>
      </c>
      <c r="B357" s="1" t="n">
        <v>12</v>
      </c>
      <c r="C357" s="1" t="n">
        <v>1.4</v>
      </c>
      <c r="D357" s="1" t="n">
        <v>1.1517</v>
      </c>
      <c r="E357" s="1" t="n">
        <v>0.0508042</v>
      </c>
      <c r="F357" s="1" t="n">
        <v>0.000146028</v>
      </c>
      <c r="G357" s="1" t="s">
        <v>27</v>
      </c>
      <c r="H357" s="1" t="n">
        <v>46.3</v>
      </c>
      <c r="I357" s="1" t="n">
        <v>159</v>
      </c>
      <c r="J357" s="1" t="n">
        <v>18.6</v>
      </c>
      <c r="K357" s="1"/>
      <c r="L357" s="1" t="n">
        <v>0</v>
      </c>
      <c r="M357" s="1" t="n">
        <v>0</v>
      </c>
      <c r="N357" s="1" t="s">
        <v>267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Z357" s="0" t="n">
        <f aca="false">I357+65</f>
        <v>224</v>
      </c>
      <c r="AB357" s="0" t="n">
        <f aca="false">IF(Z357&gt;360,Z357-360,Z357+0)</f>
        <v>224</v>
      </c>
    </row>
    <row r="358" customFormat="false" ht="15.8" hidden="false" customHeight="false" outlineLevel="0" collapsed="false">
      <c r="A358" s="1" t="n">
        <v>6</v>
      </c>
      <c r="B358" s="1" t="n">
        <v>12</v>
      </c>
      <c r="C358" s="1" t="n">
        <v>0.8</v>
      </c>
      <c r="D358" s="1" t="n">
        <v>1.1665</v>
      </c>
      <c r="E358" s="1" t="n">
        <v>0.0305782</v>
      </c>
      <c r="F358" s="1" t="n">
        <v>8.78919E-005</v>
      </c>
      <c r="G358" s="1" t="s">
        <v>27</v>
      </c>
      <c r="H358" s="1" t="n">
        <v>47.3</v>
      </c>
      <c r="I358" s="1" t="n">
        <v>208</v>
      </c>
      <c r="J358" s="1" t="n">
        <v>32.5</v>
      </c>
      <c r="K358" s="1"/>
      <c r="L358" s="1" t="n">
        <v>0</v>
      </c>
      <c r="M358" s="1" t="n">
        <v>0</v>
      </c>
      <c r="N358" s="1" t="s">
        <v>267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Z358" s="0" t="n">
        <f aca="false">I358+65</f>
        <v>273</v>
      </c>
      <c r="AB358" s="0" t="n">
        <f aca="false">IF(Z358&gt;360,Z358-360,Z358+0)</f>
        <v>273</v>
      </c>
    </row>
    <row r="359" customFormat="false" ht="15.8" hidden="false" customHeight="false" outlineLevel="0" collapsed="false">
      <c r="A359" s="1" t="n">
        <v>6</v>
      </c>
      <c r="B359" s="1" t="n">
        <v>11</v>
      </c>
      <c r="C359" s="1" t="n">
        <v>0.9</v>
      </c>
      <c r="D359" s="1" t="n">
        <v>1.0896</v>
      </c>
      <c r="E359" s="1" t="n">
        <v>0.0339916</v>
      </c>
      <c r="F359" s="1" t="n">
        <v>9.77032E-005</v>
      </c>
      <c r="G359" s="1" t="s">
        <v>37</v>
      </c>
      <c r="H359" s="1" t="n">
        <v>79.9</v>
      </c>
      <c r="I359" s="1" t="n">
        <v>150.3</v>
      </c>
      <c r="J359" s="1" t="n">
        <v>64.6</v>
      </c>
      <c r="K359" s="1" t="n">
        <v>47.3</v>
      </c>
      <c r="L359" s="1" t="n">
        <v>0</v>
      </c>
      <c r="M359" s="1" t="n">
        <v>0</v>
      </c>
      <c r="N359" s="1" t="s">
        <v>268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Z359" s="0" t="n">
        <f aca="false">I359+65</f>
        <v>215.3</v>
      </c>
      <c r="AB359" s="0" t="n">
        <f aca="false">IF(Z359&gt;360,Z359-360,Z359+0)</f>
        <v>215.3</v>
      </c>
    </row>
    <row r="360" customFormat="false" ht="15.8" hidden="false" customHeight="false" outlineLevel="0" collapsed="false">
      <c r="A360" s="1" t="n">
        <v>6</v>
      </c>
      <c r="B360" s="1" t="n">
        <v>11</v>
      </c>
      <c r="C360" s="1" t="n">
        <v>2.3</v>
      </c>
      <c r="D360" s="1" t="n">
        <v>1.1769</v>
      </c>
      <c r="E360" s="1" t="n">
        <v>0.0829494</v>
      </c>
      <c r="F360" s="1" t="n">
        <v>0.000238424</v>
      </c>
      <c r="G360" s="1" t="s">
        <v>27</v>
      </c>
      <c r="H360" s="1" t="n">
        <v>84.4</v>
      </c>
      <c r="I360" s="1" t="n">
        <v>296.8</v>
      </c>
      <c r="J360" s="1" t="n">
        <v>-53.1</v>
      </c>
      <c r="K360" s="1"/>
      <c r="L360" s="1" t="n">
        <v>0</v>
      </c>
      <c r="M360" s="1" t="n">
        <v>0</v>
      </c>
      <c r="N360" s="1" t="s">
        <v>268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Z360" s="0" t="n">
        <f aca="false">I360+65</f>
        <v>361.8</v>
      </c>
      <c r="AB360" s="0" t="n">
        <f aca="false">IF(Z360&gt;360,Z360-360,Z360+0)</f>
        <v>1.80000000000001</v>
      </c>
    </row>
    <row r="361" customFormat="false" ht="15.8" hidden="false" customHeight="false" outlineLevel="0" collapsed="false">
      <c r="A361" s="1" t="n">
        <v>6</v>
      </c>
      <c r="B361" s="1" t="n">
        <v>11</v>
      </c>
      <c r="C361" s="1" t="n">
        <v>1.3</v>
      </c>
      <c r="D361" s="1" t="n">
        <v>1.1633</v>
      </c>
      <c r="E361" s="1" t="n">
        <v>0.0455982</v>
      </c>
      <c r="F361" s="1" t="n">
        <v>0.000131064</v>
      </c>
      <c r="G361" s="1" t="s">
        <v>27</v>
      </c>
      <c r="H361" s="1" t="n">
        <v>61.1</v>
      </c>
      <c r="I361" s="1" t="n">
        <v>262.1</v>
      </c>
      <c r="J361" s="1" t="n">
        <v>-46</v>
      </c>
      <c r="K361" s="1"/>
      <c r="L361" s="1" t="n">
        <v>0</v>
      </c>
      <c r="M361" s="1" t="n">
        <v>0</v>
      </c>
      <c r="N361" s="1" t="s">
        <v>268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Z361" s="0" t="n">
        <f aca="false">I361+65</f>
        <v>327.1</v>
      </c>
      <c r="AB361" s="0" t="n">
        <f aca="false">IF(Z361&gt;360,Z361-360,Z361+0)</f>
        <v>327.1</v>
      </c>
    </row>
    <row r="362" customFormat="false" ht="15.8" hidden="false" customHeight="false" outlineLevel="0" collapsed="false">
      <c r="A362" s="1" t="n">
        <v>6</v>
      </c>
      <c r="B362" s="1" t="n">
        <v>10</v>
      </c>
      <c r="C362" s="1" t="n">
        <v>0.7</v>
      </c>
      <c r="D362" s="1" t="n">
        <v>1.0821</v>
      </c>
      <c r="E362" s="1" t="n">
        <v>0.0266929</v>
      </c>
      <c r="F362" s="1" t="n">
        <v>7.67244E-005</v>
      </c>
      <c r="G362" s="1" t="s">
        <v>37</v>
      </c>
      <c r="H362" s="1" t="n">
        <v>100.2</v>
      </c>
      <c r="I362" s="1" t="n">
        <v>216.1</v>
      </c>
      <c r="J362" s="1" t="n">
        <v>0</v>
      </c>
      <c r="K362" s="1" t="n">
        <v>84.4</v>
      </c>
      <c r="L362" s="1" t="n">
        <v>0</v>
      </c>
      <c r="M362" s="1" t="n">
        <v>0</v>
      </c>
      <c r="N362" s="1" t="s">
        <v>269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Z362" s="0" t="n">
        <f aca="false">I362+65</f>
        <v>281.1</v>
      </c>
      <c r="AB362" s="0" t="n">
        <f aca="false">IF(Z362&gt;360,Z362-360,Z362+0)</f>
        <v>281.1</v>
      </c>
    </row>
    <row r="363" customFormat="false" ht="15.8" hidden="false" customHeight="false" outlineLevel="0" collapsed="false">
      <c r="A363" s="1" t="n">
        <v>6</v>
      </c>
      <c r="B363" s="1" t="n">
        <v>10</v>
      </c>
      <c r="C363" s="1" t="n">
        <v>1.8</v>
      </c>
      <c r="D363" s="1" t="n">
        <v>1.2466</v>
      </c>
      <c r="E363" s="1" t="n">
        <v>0.0648656</v>
      </c>
      <c r="F363" s="1" t="n">
        <v>0.000186445</v>
      </c>
      <c r="G363" s="1" t="s">
        <v>27</v>
      </c>
      <c r="H363" s="1" t="n">
        <v>57.8</v>
      </c>
      <c r="I363" s="1" t="n">
        <v>140</v>
      </c>
      <c r="J363" s="1" t="n">
        <v>-54.3</v>
      </c>
      <c r="K363" s="1"/>
      <c r="L363" s="1" t="n">
        <v>0</v>
      </c>
      <c r="M363" s="1" t="n">
        <v>0</v>
      </c>
      <c r="N363" s="1" t="s">
        <v>269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Z363" s="0" t="n">
        <f aca="false">I363+65</f>
        <v>205</v>
      </c>
      <c r="AB363" s="0" t="n">
        <f aca="false">IF(Z363&gt;360,Z363-360,Z363+0)</f>
        <v>205</v>
      </c>
    </row>
    <row r="364" customFormat="false" ht="15.8" hidden="false" customHeight="false" outlineLevel="0" collapsed="false">
      <c r="A364" s="1" t="n">
        <v>6</v>
      </c>
      <c r="B364" s="1" t="n">
        <v>9</v>
      </c>
      <c r="C364" s="1" t="n">
        <v>0.9</v>
      </c>
      <c r="D364" s="1" t="n">
        <v>1.0316</v>
      </c>
      <c r="E364" s="1" t="n">
        <v>0.0314233</v>
      </c>
      <c r="F364" s="1" t="n">
        <v>9.0321E-005</v>
      </c>
      <c r="G364" s="1" t="s">
        <v>37</v>
      </c>
      <c r="H364" s="1" t="n">
        <v>74.6</v>
      </c>
      <c r="I364" s="1" t="n">
        <v>115.9</v>
      </c>
      <c r="J364" s="1" t="n">
        <v>0</v>
      </c>
      <c r="K364" s="1" t="n">
        <v>100.2</v>
      </c>
      <c r="L364" s="1" t="n">
        <v>0</v>
      </c>
      <c r="M364" s="1" t="n">
        <v>0</v>
      </c>
      <c r="N364" s="1" t="s">
        <v>270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Z364" s="0" t="n">
        <f aca="false">I364+65</f>
        <v>180.9</v>
      </c>
      <c r="AB364" s="0" t="n">
        <f aca="false">IF(Z364&gt;360,Z364-360,Z364+0)</f>
        <v>180.9</v>
      </c>
    </row>
    <row r="365" customFormat="false" ht="15.8" hidden="false" customHeight="false" outlineLevel="0" collapsed="false">
      <c r="A365" s="1" t="n">
        <v>6</v>
      </c>
      <c r="B365" s="1" t="n">
        <v>9</v>
      </c>
      <c r="C365" s="1" t="n">
        <v>1.6</v>
      </c>
      <c r="D365" s="1" t="n">
        <v>1.1556</v>
      </c>
      <c r="E365" s="1" t="n">
        <v>0.0570762</v>
      </c>
      <c r="F365" s="1" t="n">
        <v>0.000164056</v>
      </c>
      <c r="G365" s="1" t="s">
        <v>27</v>
      </c>
      <c r="H365" s="1" t="n">
        <v>104.2</v>
      </c>
      <c r="I365" s="1" t="n">
        <v>277.6</v>
      </c>
      <c r="J365" s="1" t="n">
        <v>-16.6</v>
      </c>
      <c r="K365" s="1"/>
      <c r="L365" s="1" t="n">
        <v>0</v>
      </c>
      <c r="M365" s="1" t="n">
        <v>0</v>
      </c>
      <c r="N365" s="1" t="s">
        <v>270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Z365" s="0" t="n">
        <f aca="false">I365+65</f>
        <v>342.6</v>
      </c>
      <c r="AB365" s="0" t="n">
        <f aca="false">IF(Z365&gt;360,Z365-360,Z365+0)</f>
        <v>342.6</v>
      </c>
    </row>
    <row r="366" customFormat="false" ht="15.8" hidden="false" customHeight="false" outlineLevel="0" collapsed="false">
      <c r="A366" s="1" t="n">
        <v>6</v>
      </c>
      <c r="B366" s="1" t="n">
        <v>8</v>
      </c>
      <c r="C366" s="1" t="n">
        <v>7</v>
      </c>
      <c r="D366" s="1" t="n">
        <v>1.5888</v>
      </c>
      <c r="E366" s="1" t="n">
        <v>0.254216</v>
      </c>
      <c r="F366" s="1" t="n">
        <v>0.000730703</v>
      </c>
      <c r="G366" s="1" t="s">
        <v>37</v>
      </c>
      <c r="H366" s="1" t="n">
        <v>152.7</v>
      </c>
      <c r="I366" s="1" t="n">
        <v>183.8</v>
      </c>
      <c r="J366" s="1" t="n">
        <v>44.8</v>
      </c>
      <c r="K366" s="1" t="n">
        <v>104.2</v>
      </c>
      <c r="L366" s="1" t="n">
        <v>0</v>
      </c>
      <c r="M366" s="1" t="n">
        <v>0</v>
      </c>
      <c r="N366" s="1" t="s">
        <v>271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Z366" s="0" t="n">
        <f aca="false">I366+65</f>
        <v>248.8</v>
      </c>
      <c r="AB366" s="0" t="n">
        <f aca="false">IF(Z366&gt;360,Z366-360,Z366+0)</f>
        <v>248.8</v>
      </c>
    </row>
    <row r="367" customFormat="false" ht="15.8" hidden="false" customHeight="false" outlineLevel="0" collapsed="false">
      <c r="A367" s="1" t="n">
        <v>6</v>
      </c>
      <c r="B367" s="1" t="n">
        <v>8</v>
      </c>
      <c r="C367" s="1" t="n">
        <v>1</v>
      </c>
      <c r="D367" s="1" t="n">
        <v>1.2146</v>
      </c>
      <c r="E367" s="1" t="n">
        <v>0.0368816</v>
      </c>
      <c r="F367" s="1" t="n">
        <v>0.00010601</v>
      </c>
      <c r="G367" s="1" t="s">
        <v>27</v>
      </c>
      <c r="H367" s="1" t="n">
        <v>66.1</v>
      </c>
      <c r="I367" s="1" t="n">
        <v>81.1</v>
      </c>
      <c r="J367" s="1" t="n">
        <v>-27.6</v>
      </c>
      <c r="K367" s="1"/>
      <c r="L367" s="1" t="n">
        <v>0</v>
      </c>
      <c r="M367" s="1" t="n">
        <v>0</v>
      </c>
      <c r="N367" s="1" t="s">
        <v>271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Z367" s="0" t="n">
        <f aca="false">I367+65</f>
        <v>146.1</v>
      </c>
      <c r="AB367" s="0" t="n">
        <f aca="false">IF(Z367&gt;360,Z367-360,Z367+0)</f>
        <v>146.1</v>
      </c>
    </row>
    <row r="368" customFormat="false" ht="15.8" hidden="false" customHeight="false" outlineLevel="0" collapsed="false">
      <c r="A368" s="1" t="n">
        <v>6</v>
      </c>
      <c r="B368" s="1" t="n">
        <v>8</v>
      </c>
      <c r="C368" s="1" t="n">
        <v>2.5</v>
      </c>
      <c r="D368" s="1" t="n">
        <v>1.6256</v>
      </c>
      <c r="E368" s="1" t="n">
        <v>0.0906223</v>
      </c>
      <c r="F368" s="1" t="n">
        <v>0.000260479</v>
      </c>
      <c r="G368" s="1" t="s">
        <v>27</v>
      </c>
      <c r="H368" s="1" t="n">
        <v>49.9</v>
      </c>
      <c r="I368" s="1" t="n">
        <v>62.8</v>
      </c>
      <c r="J368" s="1" t="n">
        <v>-30.4</v>
      </c>
      <c r="K368" s="1"/>
      <c r="L368" s="1" t="n">
        <v>0</v>
      </c>
      <c r="M368" s="1" t="n">
        <v>0</v>
      </c>
      <c r="N368" s="1" t="s">
        <v>271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Z368" s="0" t="n">
        <f aca="false">I368+65</f>
        <v>127.8</v>
      </c>
      <c r="AB368" s="0" t="n">
        <f aca="false">IF(Z368&gt;360,Z368-360,Z368+0)</f>
        <v>127.8</v>
      </c>
    </row>
    <row r="369" customFormat="false" ht="15.8" hidden="false" customHeight="false" outlineLevel="0" collapsed="false">
      <c r="A369" s="1" t="n">
        <v>6</v>
      </c>
      <c r="B369" s="1" t="n">
        <v>7</v>
      </c>
      <c r="C369" s="1" t="n">
        <v>1.6</v>
      </c>
      <c r="D369" s="1" t="n">
        <v>1.2712</v>
      </c>
      <c r="E369" s="1" t="n">
        <v>0.0584438</v>
      </c>
      <c r="F369" s="1" t="n">
        <v>0.000167987</v>
      </c>
      <c r="G369" s="1" t="s">
        <v>37</v>
      </c>
      <c r="H369" s="1" t="n">
        <v>61.3</v>
      </c>
      <c r="I369" s="1" t="n">
        <v>9.3</v>
      </c>
      <c r="J369" s="1" t="n">
        <v>-17.8</v>
      </c>
      <c r="K369" s="1" t="n">
        <v>152.7</v>
      </c>
      <c r="L369" s="1" t="n">
        <v>0</v>
      </c>
      <c r="M369" s="1" t="n">
        <v>0</v>
      </c>
      <c r="N369" s="1" t="s">
        <v>266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Z369" s="0" t="n">
        <f aca="false">I369+65</f>
        <v>74.3</v>
      </c>
      <c r="AB369" s="0" t="n">
        <f aca="false">IF(Z369&gt;360,Z369-360,Z369+0)</f>
        <v>74.3</v>
      </c>
    </row>
    <row r="370" customFormat="false" ht="15.8" hidden="false" customHeight="false" outlineLevel="0" collapsed="false">
      <c r="A370" s="1" t="n">
        <v>6</v>
      </c>
      <c r="B370" s="1" t="n">
        <v>6</v>
      </c>
      <c r="C370" s="1" t="n">
        <v>1.5</v>
      </c>
      <c r="D370" s="1" t="n">
        <v>1.3322</v>
      </c>
      <c r="E370" s="1" t="n">
        <v>0.0555647</v>
      </c>
      <c r="F370" s="1" t="n">
        <v>0.000159711</v>
      </c>
      <c r="G370" s="1" t="s">
        <v>37</v>
      </c>
      <c r="H370" s="1" t="n">
        <v>92.3</v>
      </c>
      <c r="I370" s="1" t="n">
        <v>357.7</v>
      </c>
      <c r="J370" s="1" t="n">
        <v>42.5</v>
      </c>
      <c r="K370" s="1" t="n">
        <v>61.3</v>
      </c>
      <c r="L370" s="1" t="n">
        <v>0</v>
      </c>
      <c r="M370" s="1" t="n">
        <v>0</v>
      </c>
      <c r="N370" s="1" t="s">
        <v>265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Z370" s="0" t="n">
        <f aca="false">I370+65</f>
        <v>422.7</v>
      </c>
      <c r="AB370" s="0" t="n">
        <f aca="false">IF(Z370&gt;360,Z370-360,Z370+0)</f>
        <v>62.7</v>
      </c>
    </row>
    <row r="371" customFormat="false" ht="15.8" hidden="false" customHeight="false" outlineLevel="0" collapsed="false">
      <c r="A371" s="1" t="n">
        <v>6</v>
      </c>
      <c r="B371" s="1" t="n">
        <v>5</v>
      </c>
      <c r="C371" s="1" t="n">
        <v>5.8</v>
      </c>
      <c r="D371" s="1" t="n">
        <v>1.7272</v>
      </c>
      <c r="E371" s="1" t="n">
        <v>0.209087</v>
      </c>
      <c r="F371" s="1" t="n">
        <v>0.000600986</v>
      </c>
      <c r="G371" s="1" t="s">
        <v>37</v>
      </c>
      <c r="H371" s="1" t="n">
        <v>55.3</v>
      </c>
      <c r="I371" s="1" t="n">
        <v>192.2</v>
      </c>
      <c r="J371" s="1" t="n">
        <v>44.3</v>
      </c>
      <c r="K371" s="1" t="n">
        <v>92.3</v>
      </c>
      <c r="L371" s="1" t="n">
        <v>0</v>
      </c>
      <c r="M371" s="1" t="n">
        <v>0</v>
      </c>
      <c r="N371" s="1" t="s">
        <v>264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Z371" s="0" t="n">
        <f aca="false">I371+65</f>
        <v>257.2</v>
      </c>
      <c r="AB371" s="0" t="n">
        <f aca="false">IF(Z371&gt;360,Z371-360,Z371+0)</f>
        <v>257.2</v>
      </c>
    </row>
    <row r="372" customFormat="false" ht="15.8" hidden="false" customHeight="false" outlineLevel="0" collapsed="false">
      <c r="A372" s="1" t="n">
        <v>6</v>
      </c>
      <c r="B372" s="1" t="n">
        <v>4</v>
      </c>
      <c r="C372" s="1" t="n">
        <v>3.1</v>
      </c>
      <c r="D372" s="1" t="n">
        <v>1.4285</v>
      </c>
      <c r="E372" s="1" t="n">
        <v>0.111335</v>
      </c>
      <c r="F372" s="1" t="n">
        <v>0.000320014</v>
      </c>
      <c r="G372" s="1" t="s">
        <v>37</v>
      </c>
      <c r="H372" s="1" t="n">
        <v>18.1</v>
      </c>
      <c r="I372" s="1" t="n">
        <v>201.3</v>
      </c>
      <c r="J372" s="1" t="n">
        <v>-10.4</v>
      </c>
      <c r="K372" s="1" t="n">
        <v>59.8</v>
      </c>
      <c r="L372" s="1" t="n">
        <v>0</v>
      </c>
      <c r="M372" s="1" t="n">
        <v>0</v>
      </c>
      <c r="N372" s="1" t="s">
        <v>272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Z372" s="0" t="n">
        <f aca="false">I372+65</f>
        <v>266.3</v>
      </c>
      <c r="AB372" s="0" t="n">
        <f aca="false">IF(Z372&gt;360,Z372-360,Z372+0)</f>
        <v>266.3</v>
      </c>
    </row>
    <row r="373" customFormat="false" ht="15.8" hidden="false" customHeight="false" outlineLevel="0" collapsed="false">
      <c r="A373" s="1" t="n">
        <v>6</v>
      </c>
      <c r="B373" s="1" t="n">
        <v>5</v>
      </c>
      <c r="C373" s="1" t="n">
        <v>2.9</v>
      </c>
      <c r="D373" s="1" t="n">
        <v>1.4399</v>
      </c>
      <c r="E373" s="1" t="n">
        <v>0.103018</v>
      </c>
      <c r="F373" s="1" t="n">
        <v>0.000296109</v>
      </c>
      <c r="G373" s="1" t="s">
        <v>27</v>
      </c>
      <c r="H373" s="1" t="n">
        <v>31.7</v>
      </c>
      <c r="I373" s="1" t="n">
        <v>143</v>
      </c>
      <c r="J373" s="1" t="n">
        <v>-11.4</v>
      </c>
      <c r="K373" s="1"/>
      <c r="L373" s="1" t="n">
        <v>0</v>
      </c>
      <c r="M373" s="1" t="n">
        <v>0</v>
      </c>
      <c r="N373" s="1" t="s">
        <v>273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Z373" s="0" t="n">
        <f aca="false">I373+65</f>
        <v>208</v>
      </c>
      <c r="AB373" s="0" t="n">
        <f aca="false">IF(Z373&gt;360,Z373-360,Z373+0)</f>
        <v>208</v>
      </c>
    </row>
    <row r="374" customFormat="false" ht="15.8" hidden="false" customHeight="false" outlineLevel="0" collapsed="false">
      <c r="A374" s="1" t="n">
        <v>6</v>
      </c>
      <c r="B374" s="1" t="n">
        <v>5</v>
      </c>
      <c r="C374" s="1" t="n">
        <v>1.9</v>
      </c>
      <c r="D374" s="1" t="n">
        <v>1.1085</v>
      </c>
      <c r="E374" s="1" t="n">
        <v>0.0684893</v>
      </c>
      <c r="F374" s="1" t="n">
        <v>0.000196861</v>
      </c>
      <c r="G374" s="1" t="s">
        <v>27</v>
      </c>
      <c r="H374" s="1" t="n">
        <v>88.4</v>
      </c>
      <c r="I374" s="1" t="n">
        <v>278.6</v>
      </c>
      <c r="J374" s="1" t="n">
        <v>65.8</v>
      </c>
      <c r="K374" s="1"/>
      <c r="L374" s="1" t="n">
        <v>0</v>
      </c>
      <c r="M374" s="1" t="n">
        <v>0</v>
      </c>
      <c r="N374" s="1" t="s">
        <v>273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Z374" s="0" t="n">
        <f aca="false">I374+65</f>
        <v>343.6</v>
      </c>
      <c r="AB374" s="0" t="n">
        <f aca="false">IF(Z374&gt;360,Z374-360,Z374+0)</f>
        <v>343.6</v>
      </c>
    </row>
    <row r="375" customFormat="false" ht="15.8" hidden="false" customHeight="false" outlineLevel="0" collapsed="false">
      <c r="A375" s="1" t="n">
        <v>6</v>
      </c>
      <c r="B375" s="1" t="n">
        <v>4</v>
      </c>
      <c r="C375" s="1" t="n">
        <v>3.3</v>
      </c>
      <c r="D375" s="1" t="n">
        <v>1.47</v>
      </c>
      <c r="E375" s="1" t="n">
        <v>0.119636</v>
      </c>
      <c r="F375" s="1" t="n">
        <v>0.000343875</v>
      </c>
      <c r="G375" s="1" t="s">
        <v>37</v>
      </c>
      <c r="H375" s="1" t="n">
        <v>51.9</v>
      </c>
      <c r="I375" s="1" t="n">
        <v>140.1</v>
      </c>
      <c r="J375" s="1" t="n">
        <v>20.3</v>
      </c>
      <c r="K375" s="1" t="n">
        <v>88.4</v>
      </c>
      <c r="L375" s="1" t="n">
        <v>0</v>
      </c>
      <c r="M375" s="1" t="n">
        <v>0</v>
      </c>
      <c r="N375" s="1" t="s">
        <v>272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Z375" s="0" t="n">
        <f aca="false">I375+65</f>
        <v>205.1</v>
      </c>
      <c r="AB375" s="0" t="n">
        <f aca="false">IF(Z375&gt;360,Z375-360,Z375+0)</f>
        <v>205.1</v>
      </c>
    </row>
    <row r="376" customFormat="false" ht="15.8" hidden="false" customHeight="false" outlineLevel="0" collapsed="false">
      <c r="A376" s="1" t="n">
        <v>6</v>
      </c>
      <c r="B376" s="1" t="n">
        <v>3</v>
      </c>
      <c r="C376" s="1" t="n">
        <v>5.7</v>
      </c>
      <c r="D376" s="1" t="n">
        <v>1.2775</v>
      </c>
      <c r="E376" s="1" t="n">
        <v>0.205036</v>
      </c>
      <c r="F376" s="1" t="n">
        <v>0.000589341</v>
      </c>
      <c r="G376" s="1" t="s">
        <v>37</v>
      </c>
      <c r="H376" s="1" t="n">
        <v>74</v>
      </c>
      <c r="I376" s="1" t="n">
        <v>182.9</v>
      </c>
      <c r="J376" s="1" t="n">
        <v>-10.1</v>
      </c>
      <c r="K376" s="1" t="n">
        <v>51.9</v>
      </c>
      <c r="L376" s="1" t="n">
        <v>0</v>
      </c>
      <c r="M376" s="1" t="n">
        <v>0</v>
      </c>
      <c r="N376" s="1" t="s">
        <v>263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Z376" s="0" t="n">
        <f aca="false">I376+65</f>
        <v>247.9</v>
      </c>
      <c r="AB376" s="0" t="n">
        <f aca="false">IF(Z376&gt;360,Z376-360,Z376+0)</f>
        <v>247.9</v>
      </c>
    </row>
    <row r="377" customFormat="false" ht="15.8" hidden="false" customHeight="false" outlineLevel="0" collapsed="false">
      <c r="A377" s="1" t="n">
        <v>6</v>
      </c>
      <c r="B377" s="1" t="n">
        <v>2</v>
      </c>
      <c r="C377" s="1" t="n">
        <v>2.1</v>
      </c>
      <c r="D377" s="1" t="n">
        <v>1.0127</v>
      </c>
      <c r="E377" s="1" t="n">
        <v>0.0773743</v>
      </c>
      <c r="F377" s="1" t="n">
        <v>0.0002224</v>
      </c>
      <c r="G377" s="1" t="s">
        <v>37</v>
      </c>
      <c r="H377" s="1" t="n">
        <v>56.7</v>
      </c>
      <c r="I377" s="1" t="n">
        <v>255.4</v>
      </c>
      <c r="J377" s="1" t="n">
        <v>-67.2</v>
      </c>
      <c r="K377" s="1" t="n">
        <v>74</v>
      </c>
      <c r="L377" s="1" t="n">
        <v>0</v>
      </c>
      <c r="M377" s="1" t="n">
        <v>0</v>
      </c>
      <c r="N377" s="1" t="s">
        <v>261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Z377" s="0" t="n">
        <f aca="false">I377+65</f>
        <v>320.4</v>
      </c>
      <c r="AB377" s="0" t="n">
        <f aca="false">IF(Z377&gt;360,Z377-360,Z377+0)</f>
        <v>320.4</v>
      </c>
    </row>
    <row r="378" customFormat="false" ht="15.8" hidden="false" customHeight="false" outlineLevel="0" collapsed="false">
      <c r="A378" s="1" t="n">
        <v>6</v>
      </c>
      <c r="B378" s="1" t="n">
        <v>1</v>
      </c>
      <c r="C378" s="1" t="n">
        <v>5.6</v>
      </c>
      <c r="D378" s="1" t="n">
        <v>1.3693</v>
      </c>
      <c r="E378" s="1" t="n">
        <v>0.235899</v>
      </c>
      <c r="F378" s="1" t="n">
        <v>0.00086091</v>
      </c>
      <c r="G378" s="1" t="s">
        <v>37</v>
      </c>
      <c r="H378" s="1"/>
      <c r="I378" s="1" t="n">
        <v>184</v>
      </c>
      <c r="J378" s="1" t="n">
        <v>-28.5</v>
      </c>
      <c r="K378" s="1" t="n">
        <v>85.7</v>
      </c>
      <c r="L378" s="1" t="n">
        <v>0</v>
      </c>
      <c r="M378" s="1" t="n">
        <v>0</v>
      </c>
      <c r="N378" s="1" t="s">
        <v>274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Z378" s="0" t="n">
        <f aca="false">I378+65</f>
        <v>249</v>
      </c>
      <c r="AB378" s="0" t="n">
        <f aca="false">IF(Z378&gt;360,Z378-360,Z378+0)</f>
        <v>249</v>
      </c>
    </row>
    <row r="379" customFormat="false" ht="15.8" hidden="false" customHeight="false" outlineLevel="0" collapsed="false">
      <c r="A379" s="1" t="n">
        <v>7</v>
      </c>
      <c r="B379" s="1" t="n">
        <v>2</v>
      </c>
      <c r="C379" s="1" t="n">
        <v>3</v>
      </c>
      <c r="D379" s="1" t="n">
        <v>1.3014</v>
      </c>
      <c r="E379" s="1" t="n">
        <v>0.109238</v>
      </c>
      <c r="F379" s="1" t="n">
        <v>0.000313986</v>
      </c>
      <c r="G379" s="1" t="s">
        <v>27</v>
      </c>
      <c r="H379" s="1" t="n">
        <v>97.2</v>
      </c>
      <c r="I379" s="1" t="n">
        <v>150.5</v>
      </c>
      <c r="J379" s="1" t="n">
        <v>-30.2</v>
      </c>
      <c r="K379" s="1"/>
      <c r="L379" s="1" t="n">
        <v>0</v>
      </c>
      <c r="M379" s="1" t="n">
        <v>0</v>
      </c>
      <c r="N379" s="1" t="s">
        <v>275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Z379" s="0" t="n">
        <f aca="false">I379+65</f>
        <v>215.5</v>
      </c>
      <c r="AB379" s="0" t="n">
        <f aca="false">IF(Z379&gt;360,Z379-360,Z379+0)</f>
        <v>215.5</v>
      </c>
    </row>
    <row r="380" customFormat="false" ht="15.8" hidden="false" customHeight="false" outlineLevel="0" collapsed="false">
      <c r="A380" s="1" t="n">
        <v>7</v>
      </c>
      <c r="B380" s="1" t="n">
        <v>4</v>
      </c>
      <c r="C380" s="1" t="n">
        <v>4.1</v>
      </c>
      <c r="D380" s="1" t="n">
        <v>1.3582</v>
      </c>
      <c r="E380" s="1" t="n">
        <v>0.148614</v>
      </c>
      <c r="F380" s="1" t="n">
        <v>0.000427165</v>
      </c>
      <c r="G380" s="1" t="s">
        <v>27</v>
      </c>
      <c r="H380" s="1" t="n">
        <v>77.7</v>
      </c>
      <c r="I380" s="1" t="n">
        <v>322.2</v>
      </c>
      <c r="J380" s="1" t="n">
        <v>22.7</v>
      </c>
      <c r="K380" s="1"/>
      <c r="L380" s="1" t="n">
        <v>0</v>
      </c>
      <c r="M380" s="1" t="n">
        <v>0</v>
      </c>
      <c r="N380" s="1" t="s">
        <v>276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Z380" s="0" t="n">
        <f aca="false">I380+65</f>
        <v>387.2</v>
      </c>
      <c r="AB380" s="0" t="n">
        <f aca="false">IF(Z380&gt;360,Z380-360,Z380+0)</f>
        <v>27.2</v>
      </c>
    </row>
    <row r="381" customFormat="false" ht="15.8" hidden="false" customHeight="false" outlineLevel="0" collapsed="false">
      <c r="A381" s="1" t="n">
        <v>7</v>
      </c>
      <c r="B381" s="1" t="n">
        <v>5</v>
      </c>
      <c r="C381" s="1" t="n">
        <v>0.7</v>
      </c>
      <c r="D381" s="1" t="n">
        <v>1.002</v>
      </c>
      <c r="E381" s="1" t="n">
        <v>0.0264494</v>
      </c>
      <c r="F381" s="1" t="n">
        <v>7.60244E-005</v>
      </c>
      <c r="G381" s="1" t="s">
        <v>27</v>
      </c>
      <c r="H381" s="1" t="n">
        <v>101.2</v>
      </c>
      <c r="I381" s="1" t="n">
        <v>282.7</v>
      </c>
      <c r="J381" s="1" t="n">
        <v>0</v>
      </c>
      <c r="K381" s="1"/>
      <c r="L381" s="1" t="n">
        <v>0</v>
      </c>
      <c r="M381" s="1" t="n">
        <v>0</v>
      </c>
      <c r="N381" s="1" t="s">
        <v>277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Z381" s="0" t="n">
        <f aca="false">I381+65</f>
        <v>347.7</v>
      </c>
      <c r="AB381" s="0" t="n">
        <f aca="false">IF(Z381&gt;360,Z381-360,Z381+0)</f>
        <v>347.7</v>
      </c>
    </row>
    <row r="382" customFormat="false" ht="15.8" hidden="false" customHeight="false" outlineLevel="0" collapsed="false">
      <c r="A382" s="1" t="n">
        <v>7</v>
      </c>
      <c r="B382" s="1" t="n">
        <v>8</v>
      </c>
      <c r="C382" s="1" t="n">
        <v>5.3</v>
      </c>
      <c r="D382" s="1" t="n">
        <v>1.5492</v>
      </c>
      <c r="E382" s="1" t="n">
        <v>0.192209</v>
      </c>
      <c r="F382" s="1" t="n">
        <v>0.000552472</v>
      </c>
      <c r="G382" s="1" t="s">
        <v>27</v>
      </c>
      <c r="H382" s="1" t="n">
        <v>51</v>
      </c>
      <c r="I382" s="1" t="n">
        <v>219.8</v>
      </c>
      <c r="J382" s="1" t="n">
        <v>-65.3</v>
      </c>
      <c r="K382" s="1"/>
      <c r="L382" s="1" t="n">
        <v>0</v>
      </c>
      <c r="M382" s="1" t="n">
        <v>0</v>
      </c>
      <c r="N382" s="1" t="s">
        <v>278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Z382" s="0" t="n">
        <f aca="false">I382+65</f>
        <v>284.8</v>
      </c>
      <c r="AB382" s="0" t="n">
        <f aca="false">IF(Z382&gt;360,Z382-360,Z382+0)</f>
        <v>284.8</v>
      </c>
    </row>
    <row r="383" customFormat="false" ht="15.8" hidden="false" customHeight="false" outlineLevel="0" collapsed="false">
      <c r="A383" s="1" t="n">
        <v>7</v>
      </c>
      <c r="B383" s="1" t="n">
        <v>9</v>
      </c>
      <c r="C383" s="1" t="n">
        <v>2.4</v>
      </c>
      <c r="D383" s="1" t="n">
        <v>1.4729</v>
      </c>
      <c r="E383" s="1" t="n">
        <v>0.0856952</v>
      </c>
      <c r="F383" s="1" t="n">
        <v>0.000246317</v>
      </c>
      <c r="G383" s="1" t="s">
        <v>27</v>
      </c>
      <c r="H383" s="1" t="n">
        <v>97.1</v>
      </c>
      <c r="I383" s="1" t="n">
        <v>11.8</v>
      </c>
      <c r="J383" s="1" t="n">
        <v>29</v>
      </c>
      <c r="K383" s="1"/>
      <c r="L383" s="1" t="n">
        <v>0</v>
      </c>
      <c r="M383" s="1" t="n">
        <v>0</v>
      </c>
      <c r="N383" s="1" t="s">
        <v>279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Z383" s="0" t="n">
        <f aca="false">I383+65</f>
        <v>76.8</v>
      </c>
      <c r="AB383" s="0" t="n">
        <f aca="false">IF(Z383&gt;360,Z383-360,Z383+0)</f>
        <v>76.8</v>
      </c>
    </row>
    <row r="384" customFormat="false" ht="15.8" hidden="false" customHeight="false" outlineLevel="0" collapsed="false">
      <c r="A384" s="1" t="n">
        <v>7</v>
      </c>
      <c r="B384" s="1" t="n">
        <v>10</v>
      </c>
      <c r="C384" s="1" t="n">
        <v>1.4</v>
      </c>
      <c r="D384" s="1" t="n">
        <v>1.1783</v>
      </c>
      <c r="E384" s="1" t="n">
        <v>0.0507096</v>
      </c>
      <c r="F384" s="1" t="n">
        <v>0.000145756</v>
      </c>
      <c r="G384" s="1" t="s">
        <v>27</v>
      </c>
      <c r="H384" s="1" t="n">
        <v>19.8</v>
      </c>
      <c r="I384" s="1" t="n">
        <v>231.8</v>
      </c>
      <c r="J384" s="1" t="n">
        <v>-19.1</v>
      </c>
      <c r="K384" s="1"/>
      <c r="L384" s="1" t="n">
        <v>0</v>
      </c>
      <c r="M384" s="1" t="n">
        <v>0</v>
      </c>
      <c r="N384" s="1" t="s">
        <v>280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Z384" s="0" t="n">
        <f aca="false">I384+65</f>
        <v>296.8</v>
      </c>
      <c r="AB384" s="0" t="n">
        <f aca="false">IF(Z384&gt;360,Z384-360,Z384+0)</f>
        <v>296.8</v>
      </c>
    </row>
    <row r="385" customFormat="false" ht="15.8" hidden="false" customHeight="false" outlineLevel="0" collapsed="false">
      <c r="A385" s="1" t="n">
        <v>7</v>
      </c>
      <c r="B385" s="1" t="n">
        <v>10</v>
      </c>
      <c r="C385" s="1" t="n">
        <v>1</v>
      </c>
      <c r="D385" s="1" t="n">
        <v>1.2041</v>
      </c>
      <c r="E385" s="1" t="n">
        <v>0.0367466</v>
      </c>
      <c r="F385" s="1" t="n">
        <v>0.000105622</v>
      </c>
      <c r="G385" s="1" t="s">
        <v>27</v>
      </c>
      <c r="H385" s="1" t="n">
        <v>73.6</v>
      </c>
      <c r="I385" s="1" t="n">
        <v>138.7</v>
      </c>
      <c r="J385" s="1" t="n">
        <v>-27.5</v>
      </c>
      <c r="K385" s="1"/>
      <c r="L385" s="1" t="n">
        <v>0</v>
      </c>
      <c r="M385" s="1" t="n">
        <v>0</v>
      </c>
      <c r="N385" s="1" t="s">
        <v>280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Z385" s="0" t="n">
        <f aca="false">I385+65</f>
        <v>203.7</v>
      </c>
      <c r="AB385" s="0" t="n">
        <f aca="false">IF(Z385&gt;360,Z385-360,Z385+0)</f>
        <v>203.7</v>
      </c>
    </row>
    <row r="386" customFormat="false" ht="15.8" hidden="false" customHeight="false" outlineLevel="0" collapsed="false">
      <c r="A386" s="1" t="n">
        <v>7</v>
      </c>
      <c r="B386" s="1" t="n">
        <v>9</v>
      </c>
      <c r="C386" s="1" t="n">
        <v>0.7</v>
      </c>
      <c r="D386" s="1" t="n">
        <v>1.1593</v>
      </c>
      <c r="E386" s="1" t="n">
        <v>0.0260629</v>
      </c>
      <c r="F386" s="1" t="n">
        <v>7.49135E-005</v>
      </c>
      <c r="G386" s="1" t="s">
        <v>37</v>
      </c>
      <c r="H386" s="1" t="n">
        <v>51.1</v>
      </c>
      <c r="I386" s="1" t="n">
        <v>229.3</v>
      </c>
      <c r="J386" s="1" t="n">
        <v>-38.8</v>
      </c>
      <c r="K386" s="1" t="n">
        <v>73.6</v>
      </c>
      <c r="L386" s="1" t="n">
        <v>0</v>
      </c>
      <c r="M386" s="1" t="n">
        <v>0</v>
      </c>
      <c r="N386" s="1" t="s">
        <v>279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Z386" s="0" t="n">
        <f aca="false">I386+65</f>
        <v>294.3</v>
      </c>
      <c r="AB386" s="0" t="n">
        <f aca="false">IF(Z386&gt;360,Z386-360,Z386+0)</f>
        <v>294.3</v>
      </c>
    </row>
    <row r="387" customFormat="false" ht="15.8" hidden="false" customHeight="false" outlineLevel="0" collapsed="false">
      <c r="A387" s="1" t="n">
        <v>7</v>
      </c>
      <c r="B387" s="1" t="n">
        <v>8</v>
      </c>
      <c r="C387" s="1" t="n">
        <v>4.1</v>
      </c>
      <c r="D387" s="1" t="n">
        <v>1.2391</v>
      </c>
      <c r="E387" s="1" t="n">
        <v>0.147402</v>
      </c>
      <c r="F387" s="1" t="n">
        <v>0.000423683</v>
      </c>
      <c r="G387" s="1" t="s">
        <v>37</v>
      </c>
      <c r="H387" s="1" t="n">
        <v>9.6</v>
      </c>
      <c r="I387" s="1" t="n">
        <v>295.1</v>
      </c>
      <c r="J387" s="1" t="n">
        <v>-36.3</v>
      </c>
      <c r="K387" s="1" t="n">
        <v>97.1</v>
      </c>
      <c r="L387" s="1" t="n">
        <v>0</v>
      </c>
      <c r="M387" s="1" t="n">
        <v>0</v>
      </c>
      <c r="N387" s="1" t="s">
        <v>278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Z387" s="0" t="n">
        <f aca="false">I387+65</f>
        <v>360.1</v>
      </c>
      <c r="AB387" s="0" t="n">
        <f aca="false">IF(Z387&gt;360,Z387-360,Z387+0)</f>
        <v>0.100000000000023</v>
      </c>
    </row>
    <row r="388" customFormat="false" ht="15.8" hidden="false" customHeight="false" outlineLevel="0" collapsed="false">
      <c r="A388" s="1" t="n">
        <v>7</v>
      </c>
      <c r="B388" s="1" t="n">
        <v>7</v>
      </c>
      <c r="C388" s="1" t="n">
        <v>2.8</v>
      </c>
      <c r="D388" s="1" t="n">
        <v>1.5778</v>
      </c>
      <c r="E388" s="1" t="n">
        <v>0.100149</v>
      </c>
      <c r="F388" s="1" t="n">
        <v>0.000287862</v>
      </c>
      <c r="G388" s="1" t="s">
        <v>37</v>
      </c>
      <c r="H388" s="1" t="n">
        <v>135.8</v>
      </c>
      <c r="I388" s="1" t="n">
        <v>305.4</v>
      </c>
      <c r="J388" s="1" t="n">
        <v>-41.7</v>
      </c>
      <c r="K388" s="1" t="n">
        <v>51</v>
      </c>
      <c r="L388" s="1" t="n">
        <v>0</v>
      </c>
      <c r="M388" s="1" t="n">
        <v>0</v>
      </c>
      <c r="N388" s="1" t="s">
        <v>281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Z388" s="0" t="n">
        <f aca="false">I388+65</f>
        <v>370.4</v>
      </c>
      <c r="AB388" s="0" t="n">
        <f aca="false">IF(Z388&gt;360,Z388-360,Z388+0)</f>
        <v>10.4</v>
      </c>
    </row>
    <row r="389" customFormat="false" ht="15.8" hidden="false" customHeight="false" outlineLevel="0" collapsed="false">
      <c r="A389" s="1" t="n">
        <v>7</v>
      </c>
      <c r="B389" s="1" t="n">
        <v>8</v>
      </c>
      <c r="C389" s="1" t="n">
        <v>1.3</v>
      </c>
      <c r="D389" s="1" t="n">
        <v>1.1713</v>
      </c>
      <c r="E389" s="1" t="n">
        <v>0.0451526</v>
      </c>
      <c r="F389" s="1" t="n">
        <v>0.000129784</v>
      </c>
      <c r="G389" s="1" t="s">
        <v>27</v>
      </c>
      <c r="H389" s="1" t="n">
        <v>117.3</v>
      </c>
      <c r="I389" s="1" t="n">
        <v>23.9</v>
      </c>
      <c r="J389" s="1" t="n">
        <v>-21.4</v>
      </c>
      <c r="K389" s="1"/>
      <c r="L389" s="1" t="n">
        <v>0</v>
      </c>
      <c r="M389" s="1" t="n">
        <v>0</v>
      </c>
      <c r="N389" s="1" t="s">
        <v>282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Z389" s="0" t="n">
        <f aca="false">I389+65</f>
        <v>88.9</v>
      </c>
      <c r="AB389" s="0" t="n">
        <f aca="false">IF(Z389&gt;360,Z389-360,Z389+0)</f>
        <v>88.9</v>
      </c>
    </row>
    <row r="390" customFormat="false" ht="15.8" hidden="false" customHeight="false" outlineLevel="0" collapsed="false">
      <c r="A390" s="1" t="n">
        <v>7</v>
      </c>
      <c r="B390" s="1" t="n">
        <v>10</v>
      </c>
      <c r="C390" s="1" t="n">
        <v>1.5</v>
      </c>
      <c r="D390" s="1" t="n">
        <v>1.1668</v>
      </c>
      <c r="E390" s="1" t="n">
        <v>0.052859</v>
      </c>
      <c r="F390" s="1" t="n">
        <v>0.000151934</v>
      </c>
      <c r="G390" s="1" t="s">
        <v>27</v>
      </c>
      <c r="H390" s="1" t="n">
        <v>71</v>
      </c>
      <c r="I390" s="1" t="n">
        <v>218.3</v>
      </c>
      <c r="J390" s="1" t="n">
        <v>38.5</v>
      </c>
      <c r="K390" s="1"/>
      <c r="L390" s="1" t="n">
        <v>0</v>
      </c>
      <c r="M390" s="1" t="n">
        <v>0</v>
      </c>
      <c r="N390" s="1" t="s">
        <v>283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Z390" s="0" t="n">
        <f aca="false">I390+65</f>
        <v>283.3</v>
      </c>
      <c r="AB390" s="0" t="n">
        <f aca="false">IF(Z390&gt;360,Z390-360,Z390+0)</f>
        <v>283.3</v>
      </c>
    </row>
    <row r="391" customFormat="false" ht="15.8" hidden="false" customHeight="false" outlineLevel="0" collapsed="false">
      <c r="A391" s="1" t="n">
        <v>7</v>
      </c>
      <c r="B391" s="1" t="n">
        <v>10</v>
      </c>
      <c r="C391" s="1" t="n">
        <v>3.6</v>
      </c>
      <c r="D391" s="1" t="n">
        <v>1.1286</v>
      </c>
      <c r="E391" s="1" t="n">
        <v>0.12961</v>
      </c>
      <c r="F391" s="1" t="n">
        <v>0.000372542</v>
      </c>
      <c r="G391" s="1" t="s">
        <v>27</v>
      </c>
      <c r="H391" s="1" t="n">
        <v>32.1</v>
      </c>
      <c r="I391" s="1" t="n">
        <v>101.2</v>
      </c>
      <c r="J391" s="1" t="n">
        <v>14.2</v>
      </c>
      <c r="K391" s="1"/>
      <c r="L391" s="1" t="n">
        <v>0</v>
      </c>
      <c r="M391" s="1" t="n">
        <v>0</v>
      </c>
      <c r="N391" s="1" t="s">
        <v>283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Z391" s="0" t="n">
        <f aca="false">I391+65</f>
        <v>166.2</v>
      </c>
      <c r="AB391" s="0" t="n">
        <f aca="false">IF(Z391&gt;360,Z391-360,Z391+0)</f>
        <v>166.2</v>
      </c>
    </row>
    <row r="392" customFormat="false" ht="15.8" hidden="false" customHeight="false" outlineLevel="0" collapsed="false">
      <c r="A392" s="1" t="n">
        <v>7</v>
      </c>
      <c r="B392" s="1" t="n">
        <v>9</v>
      </c>
      <c r="C392" s="1" t="n">
        <v>7</v>
      </c>
      <c r="D392" s="1" t="n">
        <v>1.2059</v>
      </c>
      <c r="E392" s="1" t="n">
        <v>0.252114</v>
      </c>
      <c r="F392" s="1" t="n">
        <v>0.000724661</v>
      </c>
      <c r="G392" s="1" t="s">
        <v>37</v>
      </c>
      <c r="H392" s="1" t="n">
        <v>62.7</v>
      </c>
      <c r="I392" s="1" t="n">
        <v>119.1</v>
      </c>
      <c r="J392" s="1" t="n">
        <v>42.4</v>
      </c>
      <c r="K392" s="1" t="n">
        <v>71</v>
      </c>
      <c r="L392" s="1" t="n">
        <v>0</v>
      </c>
      <c r="M392" s="1" t="n">
        <v>0</v>
      </c>
      <c r="N392" s="1" t="s">
        <v>284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Z392" s="0" t="n">
        <f aca="false">I392+65</f>
        <v>184.1</v>
      </c>
      <c r="AB392" s="0" t="n">
        <f aca="false">IF(Z392&gt;360,Z392-360,Z392+0)</f>
        <v>184.1</v>
      </c>
    </row>
    <row r="393" customFormat="false" ht="15.8" hidden="false" customHeight="false" outlineLevel="0" collapsed="false">
      <c r="A393" s="1" t="n">
        <v>7</v>
      </c>
      <c r="B393" s="1" t="n">
        <v>9</v>
      </c>
      <c r="C393" s="1" t="n">
        <v>2.8</v>
      </c>
      <c r="D393" s="1" t="n">
        <v>1.364</v>
      </c>
      <c r="E393" s="1" t="n">
        <v>0.102057</v>
      </c>
      <c r="F393" s="1" t="n">
        <v>0.000293345</v>
      </c>
      <c r="G393" s="1" t="s">
        <v>27</v>
      </c>
      <c r="H393" s="1" t="n">
        <v>30</v>
      </c>
      <c r="I393" s="1" t="n">
        <v>170.8</v>
      </c>
      <c r="J393" s="1" t="n">
        <v>48.9</v>
      </c>
      <c r="K393" s="1"/>
      <c r="L393" s="1" t="n">
        <v>0</v>
      </c>
      <c r="M393" s="1" t="n">
        <v>0</v>
      </c>
      <c r="N393" s="1" t="s">
        <v>284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Z393" s="0" t="n">
        <f aca="false">I393+65</f>
        <v>235.8</v>
      </c>
      <c r="AB393" s="0" t="n">
        <f aca="false">IF(Z393&gt;360,Z393-360,Z393+0)</f>
        <v>235.8</v>
      </c>
    </row>
    <row r="394" customFormat="false" ht="15.8" hidden="false" customHeight="false" outlineLevel="0" collapsed="false">
      <c r="A394" s="1" t="n">
        <v>7</v>
      </c>
      <c r="B394" s="1" t="n">
        <v>8</v>
      </c>
      <c r="C394" s="1" t="n">
        <v>3.3</v>
      </c>
      <c r="D394" s="1" t="n">
        <v>1.3308</v>
      </c>
      <c r="E394" s="1" t="n">
        <v>0.118658</v>
      </c>
      <c r="F394" s="1" t="n">
        <v>0.000341064</v>
      </c>
      <c r="G394" s="1" t="s">
        <v>37</v>
      </c>
      <c r="H394" s="1" t="n">
        <v>62.2</v>
      </c>
      <c r="I394" s="1" t="n">
        <v>218.5</v>
      </c>
      <c r="J394" s="1" t="n">
        <v>52.2</v>
      </c>
      <c r="K394" s="1" t="n">
        <v>62.7</v>
      </c>
      <c r="L394" s="1" t="n">
        <v>0</v>
      </c>
      <c r="M394" s="1" t="n">
        <v>0</v>
      </c>
      <c r="N394" s="1" t="s">
        <v>282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Z394" s="0" t="n">
        <f aca="false">I394+65</f>
        <v>283.5</v>
      </c>
      <c r="AB394" s="0" t="n">
        <f aca="false">IF(Z394&gt;360,Z394-360,Z394+0)</f>
        <v>283.5</v>
      </c>
    </row>
    <row r="395" customFormat="false" ht="15.8" hidden="false" customHeight="false" outlineLevel="0" collapsed="false">
      <c r="A395" s="1" t="n">
        <v>7</v>
      </c>
      <c r="B395" s="1" t="n">
        <v>8</v>
      </c>
      <c r="C395" s="1" t="n">
        <v>1.9</v>
      </c>
      <c r="D395" s="1" t="n">
        <v>1.1807</v>
      </c>
      <c r="E395" s="1" t="n">
        <v>0.0699933</v>
      </c>
      <c r="F395" s="1" t="n">
        <v>0.000201184</v>
      </c>
      <c r="G395" s="1" t="s">
        <v>27</v>
      </c>
      <c r="H395" s="1" t="n">
        <v>25.4</v>
      </c>
      <c r="I395" s="1" t="n">
        <v>152.5</v>
      </c>
      <c r="J395" s="1" t="n">
        <v>13.7</v>
      </c>
      <c r="K395" s="1"/>
      <c r="L395" s="1" t="n">
        <v>0</v>
      </c>
      <c r="M395" s="1" t="n">
        <v>0</v>
      </c>
      <c r="N395" s="1" t="s">
        <v>282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Z395" s="0" t="n">
        <f aca="false">I395+65</f>
        <v>217.5</v>
      </c>
      <c r="AB395" s="0" t="n">
        <f aca="false">IF(Z395&gt;360,Z395-360,Z395+0)</f>
        <v>217.5</v>
      </c>
    </row>
    <row r="396" customFormat="false" ht="15.8" hidden="false" customHeight="false" outlineLevel="0" collapsed="false">
      <c r="A396" s="1" t="n">
        <v>7</v>
      </c>
      <c r="B396" s="1" t="n">
        <v>7</v>
      </c>
      <c r="C396" s="1" t="n">
        <v>0.9</v>
      </c>
      <c r="D396" s="1" t="n">
        <v>1.196</v>
      </c>
      <c r="E396" s="1" t="n">
        <v>0.0315717</v>
      </c>
      <c r="F396" s="1" t="n">
        <v>9.07476E-005</v>
      </c>
      <c r="G396" s="1" t="s">
        <v>37</v>
      </c>
      <c r="H396" s="1" t="n">
        <v>39.6</v>
      </c>
      <c r="I396" s="1" t="n">
        <v>133.5</v>
      </c>
      <c r="J396" s="1" t="n">
        <v>32.3</v>
      </c>
      <c r="K396" s="1" t="n">
        <v>117.3</v>
      </c>
      <c r="L396" s="1" t="n">
        <v>0</v>
      </c>
      <c r="M396" s="1" t="n">
        <v>0</v>
      </c>
      <c r="N396" s="1" t="s">
        <v>281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Z396" s="0" t="n">
        <f aca="false">I396+65</f>
        <v>198.5</v>
      </c>
      <c r="AB396" s="0" t="n">
        <f aca="false">IF(Z396&gt;360,Z396-360,Z396+0)</f>
        <v>198.5</v>
      </c>
    </row>
    <row r="397" customFormat="false" ht="15.8" hidden="false" customHeight="false" outlineLevel="0" collapsed="false">
      <c r="A397" s="1" t="n">
        <v>7</v>
      </c>
      <c r="B397" s="1" t="n">
        <v>6</v>
      </c>
      <c r="C397" s="1" t="n">
        <v>1.2</v>
      </c>
      <c r="D397" s="1" t="n">
        <v>1.042</v>
      </c>
      <c r="E397" s="1" t="n">
        <v>0.0448872</v>
      </c>
      <c r="F397" s="1" t="n">
        <v>0.000129021</v>
      </c>
      <c r="G397" s="1" t="s">
        <v>37</v>
      </c>
      <c r="H397" s="1" t="n">
        <v>5.9</v>
      </c>
      <c r="I397" s="1" t="n">
        <v>109.1</v>
      </c>
      <c r="J397" s="1" t="n">
        <v>0</v>
      </c>
      <c r="K397" s="1" t="n">
        <v>135.8</v>
      </c>
      <c r="L397" s="1" t="n">
        <v>0</v>
      </c>
      <c r="M397" s="1" t="n">
        <v>0</v>
      </c>
      <c r="N397" s="1" t="s">
        <v>285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Z397" s="0" t="n">
        <f aca="false">I397+65</f>
        <v>174.1</v>
      </c>
      <c r="AB397" s="0" t="n">
        <f aca="false">IF(Z397&gt;360,Z397-360,Z397+0)</f>
        <v>174.1</v>
      </c>
    </row>
    <row r="398" customFormat="false" ht="15.8" hidden="false" customHeight="false" outlineLevel="0" collapsed="false">
      <c r="A398" s="1" t="n">
        <v>7</v>
      </c>
      <c r="B398" s="1" t="n">
        <v>7</v>
      </c>
      <c r="C398" s="1" t="n">
        <v>2.1</v>
      </c>
      <c r="D398" s="1" t="n">
        <v>1.1666</v>
      </c>
      <c r="E398" s="1" t="n">
        <v>0.0769262</v>
      </c>
      <c r="F398" s="1" t="n">
        <v>0.000221112</v>
      </c>
      <c r="G398" s="1" t="s">
        <v>27</v>
      </c>
      <c r="H398" s="1" t="n">
        <v>84.7</v>
      </c>
      <c r="I398" s="1" t="n">
        <v>121.3</v>
      </c>
      <c r="J398" s="1" t="n">
        <v>12.3</v>
      </c>
      <c r="K398" s="1"/>
      <c r="L398" s="1" t="n">
        <v>0</v>
      </c>
      <c r="M398" s="1" t="n">
        <v>0</v>
      </c>
      <c r="N398" s="1" t="s">
        <v>286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Z398" s="0" t="n">
        <f aca="false">I398+65</f>
        <v>186.3</v>
      </c>
      <c r="AB398" s="0" t="n">
        <f aca="false">IF(Z398&gt;360,Z398-360,Z398+0)</f>
        <v>186.3</v>
      </c>
    </row>
    <row r="399" customFormat="false" ht="15.8" hidden="false" customHeight="false" outlineLevel="0" collapsed="false">
      <c r="A399" s="1" t="n">
        <v>7</v>
      </c>
      <c r="B399" s="1" t="n">
        <v>9</v>
      </c>
      <c r="C399" s="1" t="n">
        <v>1.5</v>
      </c>
      <c r="D399" s="1" t="n">
        <v>1.1304</v>
      </c>
      <c r="E399" s="1" t="n">
        <v>0.053338</v>
      </c>
      <c r="F399" s="1" t="n">
        <v>0.000153311</v>
      </c>
      <c r="G399" s="1" t="s">
        <v>27</v>
      </c>
      <c r="H399" s="1" t="n">
        <v>86.3</v>
      </c>
      <c r="I399" s="1" t="n">
        <v>332.9</v>
      </c>
      <c r="J399" s="1" t="n">
        <v>-63.6</v>
      </c>
      <c r="K399" s="1"/>
      <c r="L399" s="1" t="n">
        <v>0</v>
      </c>
      <c r="M399" s="1" t="n">
        <v>0</v>
      </c>
      <c r="N399" s="1" t="s">
        <v>287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Z399" s="0" t="n">
        <f aca="false">I399+65</f>
        <v>397.9</v>
      </c>
      <c r="AB399" s="0" t="n">
        <f aca="false">IF(Z399&gt;360,Z399-360,Z399+0)</f>
        <v>37.9</v>
      </c>
    </row>
    <row r="400" customFormat="false" ht="15.8" hidden="false" customHeight="false" outlineLevel="0" collapsed="false">
      <c r="A400" s="1" t="n">
        <v>7</v>
      </c>
      <c r="B400" s="1" t="n">
        <v>9</v>
      </c>
      <c r="C400" s="1" t="n">
        <v>3.1</v>
      </c>
      <c r="D400" s="1" t="n">
        <v>1.4877</v>
      </c>
      <c r="E400" s="1" t="n">
        <v>0.110962</v>
      </c>
      <c r="F400" s="1" t="n">
        <v>0.000318941</v>
      </c>
      <c r="G400" s="1" t="s">
        <v>27</v>
      </c>
      <c r="H400" s="1" t="n">
        <v>78.6</v>
      </c>
      <c r="I400" s="1" t="n">
        <v>172.8</v>
      </c>
      <c r="J400" s="1" t="n">
        <v>-10.9</v>
      </c>
      <c r="K400" s="1"/>
      <c r="L400" s="1" t="n">
        <v>0</v>
      </c>
      <c r="M400" s="1" t="n">
        <v>0</v>
      </c>
      <c r="N400" s="1" t="s">
        <v>287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Z400" s="0" t="n">
        <f aca="false">I400+65</f>
        <v>237.8</v>
      </c>
      <c r="AB400" s="0" t="n">
        <f aca="false">IF(Z400&gt;360,Z400-360,Z400+0)</f>
        <v>237.8</v>
      </c>
    </row>
    <row r="401" customFormat="false" ht="15.8" hidden="false" customHeight="false" outlineLevel="0" collapsed="false">
      <c r="A401" s="1" t="n">
        <v>7</v>
      </c>
      <c r="B401" s="1" t="n">
        <v>8</v>
      </c>
      <c r="C401" s="1" t="n">
        <v>1.2</v>
      </c>
      <c r="D401" s="1" t="n">
        <v>1.0174</v>
      </c>
      <c r="E401" s="1" t="n">
        <v>0.04329</v>
      </c>
      <c r="F401" s="1" t="n">
        <v>0.00012443</v>
      </c>
      <c r="G401" s="1" t="s">
        <v>37</v>
      </c>
      <c r="H401" s="1" t="n">
        <v>78.5</v>
      </c>
      <c r="I401" s="1" t="n">
        <v>251.2</v>
      </c>
      <c r="J401" s="1" t="n">
        <v>0</v>
      </c>
      <c r="K401" s="1" t="n">
        <v>86.3</v>
      </c>
      <c r="L401" s="1" t="n">
        <v>0</v>
      </c>
      <c r="M401" s="1" t="n">
        <v>0</v>
      </c>
      <c r="N401" s="1" t="s">
        <v>288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Z401" s="0" t="n">
        <f aca="false">I401+65</f>
        <v>316.2</v>
      </c>
      <c r="AB401" s="0" t="n">
        <f aca="false">IF(Z401&gt;360,Z401-360,Z401+0)</f>
        <v>316.2</v>
      </c>
    </row>
    <row r="402" customFormat="false" ht="15.8" hidden="false" customHeight="false" outlineLevel="0" collapsed="false">
      <c r="A402" s="1" t="n">
        <v>7</v>
      </c>
      <c r="B402" s="1" t="n">
        <v>9</v>
      </c>
      <c r="C402" s="1" t="n">
        <v>1.1</v>
      </c>
      <c r="D402" s="1" t="n">
        <v>1.0501</v>
      </c>
      <c r="E402" s="1" t="n">
        <v>0.0393071</v>
      </c>
      <c r="F402" s="1" t="n">
        <v>0.000112982</v>
      </c>
      <c r="G402" s="1" t="s">
        <v>27</v>
      </c>
      <c r="H402" s="1" t="n">
        <v>64.5</v>
      </c>
      <c r="I402" s="1" t="n">
        <v>86.8</v>
      </c>
      <c r="J402" s="1" t="n">
        <v>0</v>
      </c>
      <c r="K402" s="1"/>
      <c r="L402" s="1" t="n">
        <v>0</v>
      </c>
      <c r="M402" s="1" t="n">
        <v>0</v>
      </c>
      <c r="N402" s="1" t="s">
        <v>289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Z402" s="0" t="n">
        <f aca="false">I402+65</f>
        <v>151.8</v>
      </c>
      <c r="AB402" s="0" t="n">
        <f aca="false">IF(Z402&gt;360,Z402-360,Z402+0)</f>
        <v>151.8</v>
      </c>
    </row>
    <row r="403" customFormat="false" ht="15.8" hidden="false" customHeight="false" outlineLevel="0" collapsed="false">
      <c r="A403" s="1" t="n">
        <v>7</v>
      </c>
      <c r="B403" s="1" t="n">
        <v>9</v>
      </c>
      <c r="C403" s="1" t="n">
        <v>1.1</v>
      </c>
      <c r="D403" s="1" t="n">
        <v>1.0222</v>
      </c>
      <c r="E403" s="1" t="n">
        <v>0.0393317</v>
      </c>
      <c r="F403" s="1" t="n">
        <v>0.000113052</v>
      </c>
      <c r="G403" s="1" t="s">
        <v>27</v>
      </c>
      <c r="H403" s="1" t="n">
        <v>119.1</v>
      </c>
      <c r="I403" s="1" t="n">
        <v>263.2</v>
      </c>
      <c r="J403" s="1" t="n">
        <v>0</v>
      </c>
      <c r="K403" s="1"/>
      <c r="L403" s="1" t="n">
        <v>0</v>
      </c>
      <c r="M403" s="1" t="n">
        <v>0</v>
      </c>
      <c r="N403" s="1" t="s">
        <v>289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Z403" s="0" t="n">
        <f aca="false">I403+65</f>
        <v>328.2</v>
      </c>
      <c r="AB403" s="0" t="n">
        <f aca="false">IF(Z403&gt;360,Z403-360,Z403+0)</f>
        <v>328.2</v>
      </c>
    </row>
    <row r="404" customFormat="false" ht="15.8" hidden="false" customHeight="false" outlineLevel="0" collapsed="false">
      <c r="A404" s="1" t="n">
        <v>7</v>
      </c>
      <c r="B404" s="1" t="n">
        <v>9</v>
      </c>
      <c r="C404" s="1" t="n">
        <v>1.2</v>
      </c>
      <c r="D404" s="1" t="n">
        <v>1.1529</v>
      </c>
      <c r="E404" s="1" t="n">
        <v>0.043425</v>
      </c>
      <c r="F404" s="1" t="n">
        <v>0.000124818</v>
      </c>
      <c r="G404" s="1" t="s">
        <v>27</v>
      </c>
      <c r="H404" s="1" t="n">
        <v>22.8</v>
      </c>
      <c r="I404" s="1" t="n">
        <v>28.4</v>
      </c>
      <c r="J404" s="1" t="n">
        <v>-22</v>
      </c>
      <c r="K404" s="1"/>
      <c r="L404" s="1" t="n">
        <v>0</v>
      </c>
      <c r="M404" s="1" t="n">
        <v>0</v>
      </c>
      <c r="N404" s="1" t="s">
        <v>289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Z404" s="0" t="n">
        <f aca="false">I404+65</f>
        <v>93.4</v>
      </c>
      <c r="AB404" s="0" t="n">
        <f aca="false">IF(Z404&gt;360,Z404-360,Z404+0)</f>
        <v>93.4</v>
      </c>
    </row>
    <row r="405" customFormat="false" ht="15.8" hidden="false" customHeight="false" outlineLevel="0" collapsed="false">
      <c r="A405" s="1" t="n">
        <v>7</v>
      </c>
      <c r="B405" s="1" t="n">
        <v>8</v>
      </c>
      <c r="C405" s="1" t="n">
        <v>2.7</v>
      </c>
      <c r="D405" s="1" t="n">
        <v>1.333</v>
      </c>
      <c r="E405" s="1" t="n">
        <v>0.0963206</v>
      </c>
      <c r="F405" s="1" t="n">
        <v>0.000276858</v>
      </c>
      <c r="G405" s="1" t="s">
        <v>37</v>
      </c>
      <c r="H405" s="1" t="n">
        <v>59.3</v>
      </c>
      <c r="I405" s="1" t="n">
        <v>22.3</v>
      </c>
      <c r="J405" s="1" t="n">
        <v>0</v>
      </c>
      <c r="K405" s="1" t="n">
        <v>119.1</v>
      </c>
      <c r="L405" s="1" t="n">
        <v>0</v>
      </c>
      <c r="M405" s="1" t="n">
        <v>0</v>
      </c>
      <c r="N405" s="1" t="s">
        <v>288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Z405" s="0" t="n">
        <f aca="false">I405+65</f>
        <v>87.3</v>
      </c>
      <c r="AB405" s="0" t="n">
        <f aca="false">IF(Z405&gt;360,Z405-360,Z405+0)</f>
        <v>87.3</v>
      </c>
    </row>
    <row r="406" customFormat="false" ht="15.8" hidden="false" customHeight="false" outlineLevel="0" collapsed="false">
      <c r="A406" s="1" t="n">
        <v>7</v>
      </c>
      <c r="B406" s="1" t="n">
        <v>7</v>
      </c>
      <c r="C406" s="1" t="n">
        <v>1.3</v>
      </c>
      <c r="D406" s="1" t="n">
        <v>1.2405</v>
      </c>
      <c r="E406" s="1" t="n">
        <v>0.0479261</v>
      </c>
      <c r="F406" s="1" t="n">
        <v>0.000137756</v>
      </c>
      <c r="G406" s="1" t="s">
        <v>37</v>
      </c>
      <c r="H406" s="1" t="n">
        <v>125.2</v>
      </c>
      <c r="I406" s="1" t="n">
        <v>328.1</v>
      </c>
      <c r="J406" s="1" t="n">
        <v>-29.1</v>
      </c>
      <c r="K406" s="1" t="n">
        <v>78.5</v>
      </c>
      <c r="L406" s="1" t="n">
        <v>0</v>
      </c>
      <c r="M406" s="1" t="n">
        <v>0</v>
      </c>
      <c r="N406" s="1" t="s">
        <v>286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Z406" s="0" t="n">
        <f aca="false">I406+65</f>
        <v>393.1</v>
      </c>
      <c r="AB406" s="0" t="n">
        <f aca="false">IF(Z406&gt;360,Z406-360,Z406+0)</f>
        <v>33.1</v>
      </c>
    </row>
    <row r="407" customFormat="false" ht="15.8" hidden="false" customHeight="false" outlineLevel="0" collapsed="false">
      <c r="A407" s="1" t="n">
        <v>7</v>
      </c>
      <c r="B407" s="1" t="n">
        <v>6</v>
      </c>
      <c r="C407" s="1" t="n">
        <v>2.2</v>
      </c>
      <c r="D407" s="1" t="n">
        <v>1.2086</v>
      </c>
      <c r="E407" s="1" t="n">
        <v>0.0780507</v>
      </c>
      <c r="F407" s="1" t="n">
        <v>0.000224344</v>
      </c>
      <c r="G407" s="1" t="s">
        <v>37</v>
      </c>
      <c r="H407" s="1" t="n">
        <v>97.5</v>
      </c>
      <c r="I407" s="1" t="n">
        <v>215</v>
      </c>
      <c r="J407" s="1" t="n">
        <v>40.9</v>
      </c>
      <c r="K407" s="1" t="n">
        <v>125.2</v>
      </c>
      <c r="L407" s="1" t="n">
        <v>0</v>
      </c>
      <c r="M407" s="1" t="n">
        <v>0</v>
      </c>
      <c r="N407" s="1" t="s">
        <v>285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Z407" s="0" t="n">
        <f aca="false">I407+65</f>
        <v>280</v>
      </c>
      <c r="AB407" s="0" t="n">
        <f aca="false">IF(Z407&gt;360,Z407-360,Z407+0)</f>
        <v>280</v>
      </c>
    </row>
    <row r="408" customFormat="false" ht="15.8" hidden="false" customHeight="false" outlineLevel="0" collapsed="false">
      <c r="A408" s="1" t="n">
        <v>7</v>
      </c>
      <c r="B408" s="1" t="n">
        <v>5</v>
      </c>
      <c r="C408" s="1" t="n">
        <v>0.4</v>
      </c>
      <c r="D408" s="1" t="n">
        <v>1.0032</v>
      </c>
      <c r="E408" s="1" t="n">
        <v>0.0137932</v>
      </c>
      <c r="F408" s="1" t="n">
        <v>3.96461E-005</v>
      </c>
      <c r="G408" s="1" t="s">
        <v>37</v>
      </c>
      <c r="H408" s="1" t="n">
        <v>68.6</v>
      </c>
      <c r="I408" s="1" t="n">
        <v>115</v>
      </c>
      <c r="J408" s="1" t="n">
        <v>0</v>
      </c>
      <c r="K408" s="1" t="n">
        <v>97.5</v>
      </c>
      <c r="L408" s="1" t="n">
        <v>0</v>
      </c>
      <c r="M408" s="1" t="n">
        <v>0</v>
      </c>
      <c r="N408" s="1" t="s">
        <v>277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Z408" s="0" t="n">
        <f aca="false">I408+65</f>
        <v>180</v>
      </c>
      <c r="AB408" s="0" t="n">
        <f aca="false">IF(Z408&gt;360,Z408-360,Z408+0)</f>
        <v>180</v>
      </c>
    </row>
    <row r="409" customFormat="false" ht="15.8" hidden="false" customHeight="false" outlineLevel="0" collapsed="false">
      <c r="A409" s="1" t="n">
        <v>7</v>
      </c>
      <c r="B409" s="1" t="n">
        <v>4</v>
      </c>
      <c r="C409" s="1" t="n">
        <v>5</v>
      </c>
      <c r="D409" s="1" t="n">
        <v>1.7022</v>
      </c>
      <c r="E409" s="1" t="n">
        <v>0.180322</v>
      </c>
      <c r="F409" s="1" t="n">
        <v>0.000518305</v>
      </c>
      <c r="G409" s="1" t="s">
        <v>37</v>
      </c>
      <c r="H409" s="1" t="n">
        <v>66.8</v>
      </c>
      <c r="I409" s="1" t="n">
        <v>179.5</v>
      </c>
      <c r="J409" s="1" t="n">
        <v>32.1</v>
      </c>
      <c r="K409" s="1" t="n">
        <v>101.2</v>
      </c>
      <c r="L409" s="1" t="n">
        <v>0</v>
      </c>
      <c r="M409" s="1" t="n">
        <v>0</v>
      </c>
      <c r="N409" s="1" t="s">
        <v>276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Z409" s="0" t="n">
        <f aca="false">I409+65</f>
        <v>244.5</v>
      </c>
      <c r="AB409" s="0" t="n">
        <f aca="false">IF(Z409&gt;360,Z409-360,Z409+0)</f>
        <v>244.5</v>
      </c>
    </row>
    <row r="410" customFormat="false" ht="15.8" hidden="false" customHeight="false" outlineLevel="0" collapsed="false">
      <c r="A410" s="1" t="n">
        <v>7</v>
      </c>
      <c r="B410" s="1" t="n">
        <v>4</v>
      </c>
      <c r="C410" s="1" t="n">
        <v>2</v>
      </c>
      <c r="D410" s="1" t="n">
        <v>1.2599</v>
      </c>
      <c r="E410" s="1" t="n">
        <v>0.0706702</v>
      </c>
      <c r="F410" s="1" t="n">
        <v>0.00020313</v>
      </c>
      <c r="G410" s="1" t="s">
        <v>27</v>
      </c>
      <c r="H410" s="1" t="n">
        <v>31.4</v>
      </c>
      <c r="I410" s="1" t="n">
        <v>159.4</v>
      </c>
      <c r="J410" s="1" t="n">
        <v>67</v>
      </c>
      <c r="K410" s="1"/>
      <c r="L410" s="1" t="n">
        <v>0</v>
      </c>
      <c r="M410" s="1" t="n">
        <v>0</v>
      </c>
      <c r="N410" s="1" t="s">
        <v>276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Z410" s="0" t="n">
        <f aca="false">I410+65</f>
        <v>224.4</v>
      </c>
      <c r="AB410" s="0" t="n">
        <f aca="false">IF(Z410&gt;360,Z410-360,Z410+0)</f>
        <v>224.4</v>
      </c>
    </row>
    <row r="411" customFormat="false" ht="15.8" hidden="false" customHeight="false" outlineLevel="0" collapsed="false">
      <c r="A411" s="1" t="n">
        <v>7</v>
      </c>
      <c r="B411" s="1" t="n">
        <v>3</v>
      </c>
      <c r="C411" s="1" t="n">
        <v>3.7</v>
      </c>
      <c r="D411" s="1" t="n">
        <v>1.4504</v>
      </c>
      <c r="E411" s="1" t="n">
        <v>0.134164</v>
      </c>
      <c r="F411" s="1" t="n">
        <v>0.000385632</v>
      </c>
      <c r="G411" s="1" t="s">
        <v>37</v>
      </c>
      <c r="H411" s="1" t="n">
        <v>30.4</v>
      </c>
      <c r="I411" s="1" t="n">
        <v>74</v>
      </c>
      <c r="J411" s="1" t="n">
        <v>66</v>
      </c>
      <c r="K411" s="1" t="n">
        <v>77.7</v>
      </c>
      <c r="L411" s="1" t="n">
        <v>0</v>
      </c>
      <c r="M411" s="1" t="n">
        <v>0</v>
      </c>
      <c r="N411" s="1" t="s">
        <v>290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Z411" s="0" t="n">
        <f aca="false">I411+65</f>
        <v>139</v>
      </c>
      <c r="AB411" s="0" t="n">
        <f aca="false">IF(Z411&gt;360,Z411-360,Z411+0)</f>
        <v>139</v>
      </c>
    </row>
    <row r="412" customFormat="false" ht="15.8" hidden="false" customHeight="false" outlineLevel="0" collapsed="false">
      <c r="A412" s="1" t="n">
        <v>7</v>
      </c>
      <c r="B412" s="1" t="n">
        <v>3</v>
      </c>
      <c r="C412" s="1" t="n">
        <v>4</v>
      </c>
      <c r="D412" s="1" t="n">
        <v>1.6438</v>
      </c>
      <c r="E412" s="1" t="n">
        <v>0.145535</v>
      </c>
      <c r="F412" s="1" t="n">
        <v>0.000418317</v>
      </c>
      <c r="G412" s="1" t="s">
        <v>27</v>
      </c>
      <c r="H412" s="1" t="n">
        <v>39.2</v>
      </c>
      <c r="I412" s="1" t="n">
        <v>175.8</v>
      </c>
      <c r="J412" s="1" t="n">
        <v>39.5</v>
      </c>
      <c r="K412" s="1"/>
      <c r="L412" s="1" t="n">
        <v>0</v>
      </c>
      <c r="M412" s="1" t="n">
        <v>0</v>
      </c>
      <c r="N412" s="1" t="s">
        <v>290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Z412" s="0" t="n">
        <f aca="false">I412+65</f>
        <v>240.8</v>
      </c>
      <c r="AB412" s="0" t="n">
        <f aca="false">IF(Z412&gt;360,Z412-360,Z412+0)</f>
        <v>240.8</v>
      </c>
    </row>
    <row r="413" customFormat="false" ht="15.8" hidden="false" customHeight="false" outlineLevel="0" collapsed="false">
      <c r="A413" s="1" t="n">
        <v>7</v>
      </c>
      <c r="B413" s="1" t="n">
        <v>2</v>
      </c>
      <c r="C413" s="1" t="n">
        <v>1.2</v>
      </c>
      <c r="D413" s="1" t="n">
        <v>1.1094</v>
      </c>
      <c r="E413" s="1" t="n">
        <v>0.0420511</v>
      </c>
      <c r="F413" s="1" t="n">
        <v>0.000120869</v>
      </c>
      <c r="G413" s="1" t="s">
        <v>37</v>
      </c>
      <c r="H413" s="1" t="n">
        <v>64.3</v>
      </c>
      <c r="I413" s="1" t="n">
        <v>121.6</v>
      </c>
      <c r="J413" s="1" t="n">
        <v>48</v>
      </c>
      <c r="K413" s="1" t="n">
        <v>39.2</v>
      </c>
      <c r="L413" s="1" t="n">
        <v>0</v>
      </c>
      <c r="M413" s="1" t="n">
        <v>0</v>
      </c>
      <c r="N413" s="1" t="s">
        <v>275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Z413" s="0" t="n">
        <f aca="false">I413+65</f>
        <v>186.6</v>
      </c>
      <c r="AB413" s="0" t="n">
        <f aca="false">IF(Z413&gt;360,Z413-360,Z413+0)</f>
        <v>186.6</v>
      </c>
    </row>
    <row r="414" customFormat="false" ht="15.8" hidden="false" customHeight="false" outlineLevel="0" collapsed="false">
      <c r="A414" s="1" t="n">
        <v>7</v>
      </c>
      <c r="B414" s="1" t="n">
        <v>5</v>
      </c>
      <c r="C414" s="1" t="n">
        <v>5.8</v>
      </c>
      <c r="D414" s="1" t="n">
        <v>1.2315</v>
      </c>
      <c r="E414" s="1" t="n">
        <v>0.210191</v>
      </c>
      <c r="F414" s="1" t="n">
        <v>0.000604161</v>
      </c>
      <c r="G414" s="1" t="s">
        <v>27</v>
      </c>
      <c r="H414" s="1" t="n">
        <v>63.9</v>
      </c>
      <c r="I414" s="1" t="n">
        <v>1.9</v>
      </c>
      <c r="J414" s="1" t="n">
        <v>-48</v>
      </c>
      <c r="K414" s="1"/>
      <c r="L414" s="1" t="n">
        <v>0</v>
      </c>
      <c r="M414" s="1" t="n">
        <v>0</v>
      </c>
      <c r="N414" s="1" t="s">
        <v>291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Z414" s="0" t="n">
        <f aca="false">I414+65</f>
        <v>66.9</v>
      </c>
      <c r="AB414" s="0" t="n">
        <f aca="false">IF(Z414&gt;360,Z414-360,Z414+0)</f>
        <v>66.9</v>
      </c>
    </row>
    <row r="415" customFormat="false" ht="15.8" hidden="false" customHeight="false" outlineLevel="0" collapsed="false">
      <c r="A415" s="1" t="n">
        <v>7</v>
      </c>
      <c r="B415" s="1" t="n">
        <v>5</v>
      </c>
      <c r="C415" s="1" t="n">
        <v>2.8</v>
      </c>
      <c r="D415" s="1" t="n">
        <v>1.2201</v>
      </c>
      <c r="E415" s="1" t="n">
        <v>0.101009</v>
      </c>
      <c r="F415" s="1" t="n">
        <v>0.000290333</v>
      </c>
      <c r="G415" s="1" t="s">
        <v>27</v>
      </c>
      <c r="H415" s="1" t="n">
        <v>11.6</v>
      </c>
      <c r="I415" s="1" t="n">
        <v>274</v>
      </c>
      <c r="J415" s="1" t="n">
        <v>-19.9</v>
      </c>
      <c r="K415" s="1"/>
      <c r="L415" s="1" t="n">
        <v>0</v>
      </c>
      <c r="M415" s="1" t="n">
        <v>0</v>
      </c>
      <c r="N415" s="1" t="s">
        <v>291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Z415" s="0" t="n">
        <f aca="false">I415+65</f>
        <v>339</v>
      </c>
      <c r="AB415" s="0" t="n">
        <f aca="false">IF(Z415&gt;360,Z415-360,Z415+0)</f>
        <v>339</v>
      </c>
    </row>
    <row r="416" customFormat="false" ht="15.8" hidden="false" customHeight="false" outlineLevel="0" collapsed="false">
      <c r="A416" s="1" t="n">
        <v>7</v>
      </c>
      <c r="B416" s="1" t="n">
        <v>4</v>
      </c>
      <c r="C416" s="1" t="n">
        <v>1.8</v>
      </c>
      <c r="D416" s="1" t="n">
        <v>1.2179</v>
      </c>
      <c r="E416" s="1" t="n">
        <v>0.066662</v>
      </c>
      <c r="F416" s="1" t="n">
        <v>0.000191609</v>
      </c>
      <c r="G416" s="1" t="s">
        <v>37</v>
      </c>
      <c r="H416" s="1" t="n">
        <v>60.2</v>
      </c>
      <c r="I416" s="1" t="n">
        <v>277.6</v>
      </c>
      <c r="J416" s="1" t="n">
        <v>-31</v>
      </c>
      <c r="K416" s="1" t="n">
        <v>63.9</v>
      </c>
      <c r="L416" s="1" t="n">
        <v>0</v>
      </c>
      <c r="M416" s="1" t="n">
        <v>0</v>
      </c>
      <c r="N416" s="1" t="s">
        <v>292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Z416" s="0" t="n">
        <f aca="false">I416+65</f>
        <v>342.6</v>
      </c>
      <c r="AB416" s="0" t="n">
        <f aca="false">IF(Z416&gt;360,Z416-360,Z416+0)</f>
        <v>342.6</v>
      </c>
    </row>
    <row r="417" customFormat="false" ht="15.8" hidden="false" customHeight="false" outlineLevel="0" collapsed="false">
      <c r="A417" s="1" t="n">
        <v>7</v>
      </c>
      <c r="B417" s="1" t="n">
        <v>4</v>
      </c>
      <c r="C417" s="1" t="n">
        <v>2.4</v>
      </c>
      <c r="D417" s="1" t="n">
        <v>1.6314</v>
      </c>
      <c r="E417" s="1" t="n">
        <v>0.0853607</v>
      </c>
      <c r="F417" s="1" t="n">
        <v>0.000245355</v>
      </c>
      <c r="G417" s="1" t="s">
        <v>27</v>
      </c>
      <c r="H417" s="1" t="n">
        <v>105.1</v>
      </c>
      <c r="I417" s="1" t="n">
        <v>81.5</v>
      </c>
      <c r="J417" s="1" t="n">
        <v>15.6</v>
      </c>
      <c r="K417" s="1"/>
      <c r="L417" s="1" t="n">
        <v>0</v>
      </c>
      <c r="M417" s="1" t="n">
        <v>0</v>
      </c>
      <c r="N417" s="1" t="s">
        <v>292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Z417" s="0" t="n">
        <f aca="false">I417+65</f>
        <v>146.5</v>
      </c>
      <c r="AB417" s="0" t="n">
        <f aca="false">IF(Z417&gt;360,Z417-360,Z417+0)</f>
        <v>146.5</v>
      </c>
    </row>
    <row r="418" customFormat="false" ht="15.8" hidden="false" customHeight="false" outlineLevel="0" collapsed="false">
      <c r="A418" s="1" t="n">
        <v>7</v>
      </c>
      <c r="B418" s="1" t="n">
        <v>4</v>
      </c>
      <c r="C418" s="1" t="n">
        <v>2.6</v>
      </c>
      <c r="D418" s="1" t="n">
        <v>2.2339</v>
      </c>
      <c r="E418" s="1" t="n">
        <v>0.0956199</v>
      </c>
      <c r="F418" s="1" t="n">
        <v>0.000274843</v>
      </c>
      <c r="G418" s="1" t="s">
        <v>27</v>
      </c>
      <c r="H418" s="1" t="n">
        <v>106.7</v>
      </c>
      <c r="I418" s="1" t="n">
        <v>175.3</v>
      </c>
      <c r="J418" s="1" t="n">
        <v>19.2</v>
      </c>
      <c r="K418" s="1"/>
      <c r="L418" s="1" t="n">
        <v>0</v>
      </c>
      <c r="M418" s="1" t="n">
        <v>0</v>
      </c>
      <c r="N418" s="1" t="s">
        <v>292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Z418" s="0" t="n">
        <f aca="false">I418+65</f>
        <v>240.3</v>
      </c>
      <c r="AB418" s="0" t="n">
        <f aca="false">IF(Z418&gt;360,Z418-360,Z418+0)</f>
        <v>240.3</v>
      </c>
    </row>
    <row r="419" customFormat="false" ht="15.8" hidden="false" customHeight="false" outlineLevel="0" collapsed="false">
      <c r="A419" s="1" t="n">
        <v>7</v>
      </c>
      <c r="B419" s="1" t="n">
        <v>3</v>
      </c>
      <c r="C419" s="1" t="n">
        <v>3.3</v>
      </c>
      <c r="D419" s="1" t="n">
        <v>1.0006</v>
      </c>
      <c r="E419" s="1" t="n">
        <v>0.11758</v>
      </c>
      <c r="F419" s="1" t="n">
        <v>0.000337963</v>
      </c>
      <c r="G419" s="1" t="s">
        <v>37</v>
      </c>
      <c r="H419" s="1" t="n">
        <v>92.4</v>
      </c>
      <c r="I419" s="1" t="n">
        <v>160.9</v>
      </c>
      <c r="J419" s="1" t="n">
        <v>-87.4</v>
      </c>
      <c r="K419" s="1" t="n">
        <v>106.7</v>
      </c>
      <c r="L419" s="1" t="n">
        <v>0</v>
      </c>
      <c r="M419" s="1" t="n">
        <v>0</v>
      </c>
      <c r="N419" s="1" t="s">
        <v>293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Z419" s="0" t="n">
        <f aca="false">I419+65</f>
        <v>225.9</v>
      </c>
      <c r="AB419" s="0" t="n">
        <f aca="false">IF(Z419&gt;360,Z419-360,Z419+0)</f>
        <v>225.9</v>
      </c>
    </row>
    <row r="420" customFormat="false" ht="15.8" hidden="false" customHeight="false" outlineLevel="0" collapsed="false">
      <c r="A420" s="1" t="n">
        <v>7</v>
      </c>
      <c r="B420" s="1" t="n">
        <v>3</v>
      </c>
      <c r="C420" s="1" t="n">
        <v>0.8</v>
      </c>
      <c r="D420" s="1" t="n">
        <v>1.0088</v>
      </c>
      <c r="E420" s="1" t="n">
        <v>0.0285377</v>
      </c>
      <c r="F420" s="1" t="n">
        <v>8.20268E-005</v>
      </c>
      <c r="G420" s="1" t="s">
        <v>27</v>
      </c>
      <c r="H420" s="1" t="n">
        <v>50.9</v>
      </c>
      <c r="I420" s="1" t="n">
        <v>310.2</v>
      </c>
      <c r="J420" s="1" t="n">
        <v>0</v>
      </c>
      <c r="K420" s="1"/>
      <c r="L420" s="1" t="n">
        <v>0</v>
      </c>
      <c r="M420" s="1" t="n">
        <v>0</v>
      </c>
      <c r="N420" s="1" t="s">
        <v>293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Z420" s="0" t="n">
        <f aca="false">I420+65</f>
        <v>375.2</v>
      </c>
      <c r="AB420" s="0" t="n">
        <f aca="false">IF(Z420&gt;360,Z420-360,Z420+0)</f>
        <v>15.2</v>
      </c>
    </row>
    <row r="421" customFormat="false" ht="15.8" hidden="false" customHeight="false" outlineLevel="0" collapsed="false">
      <c r="A421" s="1" t="n">
        <v>7</v>
      </c>
      <c r="B421" s="1" t="n">
        <v>6</v>
      </c>
      <c r="C421" s="1" t="n">
        <v>5.3</v>
      </c>
      <c r="D421" s="1" t="n">
        <v>1.1373</v>
      </c>
      <c r="E421" s="1" t="n">
        <v>0.0968936</v>
      </c>
      <c r="F421" s="1" t="n">
        <v>0.000141614</v>
      </c>
      <c r="G421" s="1" t="s">
        <v>27</v>
      </c>
      <c r="H421" s="1" t="n">
        <v>74.6</v>
      </c>
      <c r="I421" s="1" t="n">
        <v>259.6</v>
      </c>
      <c r="J421" s="1" t="n">
        <v>4.8</v>
      </c>
      <c r="K421" s="1"/>
      <c r="L421" s="1" t="n">
        <v>0</v>
      </c>
      <c r="M421" s="1" t="n">
        <v>0</v>
      </c>
      <c r="N421" s="1" t="s">
        <v>294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Z421" s="0" t="n">
        <f aca="false">I421+65</f>
        <v>324.6</v>
      </c>
      <c r="AB421" s="0" t="n">
        <f aca="false">IF(Z421&gt;360,Z421-360,Z421+0)</f>
        <v>324.6</v>
      </c>
    </row>
    <row r="422" customFormat="false" ht="15.8" hidden="false" customHeight="false" outlineLevel="0" collapsed="false">
      <c r="A422" s="1" t="n">
        <v>7</v>
      </c>
      <c r="B422" s="1" t="n">
        <v>8</v>
      </c>
      <c r="C422" s="1" t="n">
        <v>1.3</v>
      </c>
      <c r="D422" s="1" t="n">
        <v>1.4764</v>
      </c>
      <c r="E422" s="1" t="n">
        <v>0.0485561</v>
      </c>
      <c r="F422" s="1" t="n">
        <v>0.000139567</v>
      </c>
      <c r="G422" s="1" t="s">
        <v>27</v>
      </c>
      <c r="H422" s="1" t="n">
        <v>64.2</v>
      </c>
      <c r="I422" s="1" t="n">
        <v>97.2</v>
      </c>
      <c r="J422" s="1" t="n">
        <v>25.4</v>
      </c>
      <c r="K422" s="1"/>
      <c r="L422" s="1" t="n">
        <v>0</v>
      </c>
      <c r="M422" s="1" t="n">
        <v>0</v>
      </c>
      <c r="N422" s="1" t="s">
        <v>295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Z422" s="0" t="n">
        <f aca="false">I422+65</f>
        <v>162.2</v>
      </c>
      <c r="AB422" s="0" t="n">
        <f aca="false">IF(Z422&gt;360,Z422-360,Z422+0)</f>
        <v>162.2</v>
      </c>
    </row>
    <row r="423" customFormat="false" ht="15.8" hidden="false" customHeight="false" outlineLevel="0" collapsed="false">
      <c r="A423" s="1" t="n">
        <v>7</v>
      </c>
      <c r="B423" s="1" t="n">
        <v>10</v>
      </c>
      <c r="C423" s="1" t="n">
        <v>0.7</v>
      </c>
      <c r="D423" s="1" t="n">
        <v>1.0115</v>
      </c>
      <c r="E423" s="1" t="n">
        <v>0.0253743</v>
      </c>
      <c r="F423" s="1" t="n">
        <v>7.29342E-005</v>
      </c>
      <c r="G423" s="1" t="s">
        <v>27</v>
      </c>
      <c r="H423" s="1" t="n">
        <v>41.3</v>
      </c>
      <c r="I423" s="1" t="n">
        <v>96.7</v>
      </c>
      <c r="J423" s="1" t="n">
        <v>0</v>
      </c>
      <c r="K423" s="1"/>
      <c r="L423" s="1" t="n">
        <v>0</v>
      </c>
      <c r="M423" s="1" t="n">
        <v>0</v>
      </c>
      <c r="N423" s="1" t="s">
        <v>296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Z423" s="0" t="n">
        <f aca="false">I423+65</f>
        <v>161.7</v>
      </c>
      <c r="AB423" s="0" t="n">
        <f aca="false">IF(Z423&gt;360,Z423-360,Z423+0)</f>
        <v>161.7</v>
      </c>
    </row>
    <row r="424" customFormat="false" ht="15.8" hidden="false" customHeight="false" outlineLevel="0" collapsed="false">
      <c r="A424" s="1" t="n">
        <v>7</v>
      </c>
      <c r="B424" s="1" t="n">
        <v>11</v>
      </c>
      <c r="C424" s="1" t="n">
        <v>1.3</v>
      </c>
      <c r="D424" s="1" t="n">
        <v>1.2387</v>
      </c>
      <c r="E424" s="1" t="n">
        <v>0.0469305</v>
      </c>
      <c r="F424" s="1" t="n">
        <v>0.000134894</v>
      </c>
      <c r="G424" s="1" t="s">
        <v>27</v>
      </c>
      <c r="H424" s="1" t="n">
        <v>42.9</v>
      </c>
      <c r="I424" s="1" t="n">
        <v>259.6</v>
      </c>
      <c r="J424" s="1" t="n">
        <v>-48</v>
      </c>
      <c r="K424" s="1"/>
      <c r="L424" s="1" t="n">
        <v>0</v>
      </c>
      <c r="M424" s="1" t="n">
        <v>0</v>
      </c>
      <c r="N424" s="1" t="s">
        <v>297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Z424" s="0" t="n">
        <f aca="false">I424+65</f>
        <v>324.6</v>
      </c>
      <c r="AB424" s="0" t="n">
        <f aca="false">IF(Z424&gt;360,Z424-360,Z424+0)</f>
        <v>324.6</v>
      </c>
    </row>
    <row r="425" customFormat="false" ht="15.8" hidden="false" customHeight="false" outlineLevel="0" collapsed="false">
      <c r="A425" s="1" t="n">
        <v>7</v>
      </c>
      <c r="B425" s="1" t="n">
        <v>12</v>
      </c>
      <c r="C425" s="1" t="n">
        <v>1</v>
      </c>
      <c r="D425" s="1" t="n">
        <v>1.6377</v>
      </c>
      <c r="E425" s="1" t="n">
        <v>0.0372526</v>
      </c>
      <c r="F425" s="1" t="n">
        <v>0.000107076</v>
      </c>
      <c r="G425" s="1" t="s">
        <v>27</v>
      </c>
      <c r="H425" s="1" t="n">
        <v>20.3</v>
      </c>
      <c r="I425" s="1" t="n">
        <v>0</v>
      </c>
      <c r="J425" s="1" t="n">
        <v>-38.3</v>
      </c>
      <c r="K425" s="1"/>
      <c r="L425" s="1" t="n">
        <v>0</v>
      </c>
      <c r="M425" s="1" t="n">
        <v>0</v>
      </c>
      <c r="N425" s="1" t="s">
        <v>298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Z425" s="0" t="n">
        <f aca="false">I425+65</f>
        <v>65</v>
      </c>
      <c r="AB425" s="0" t="n">
        <f aca="false">IF(Z425&gt;360,Z425-360,Z425+0)</f>
        <v>65</v>
      </c>
    </row>
    <row r="426" customFormat="false" ht="15.8" hidden="false" customHeight="false" outlineLevel="0" collapsed="false">
      <c r="A426" s="1" t="n">
        <v>7</v>
      </c>
      <c r="B426" s="1" t="n">
        <v>12</v>
      </c>
      <c r="C426" s="1" t="n">
        <v>1</v>
      </c>
      <c r="D426" s="1" t="n">
        <v>1.3085</v>
      </c>
      <c r="E426" s="1" t="n">
        <v>0.0370097</v>
      </c>
      <c r="F426" s="1" t="n">
        <v>0.000106378</v>
      </c>
      <c r="G426" s="1" t="s">
        <v>27</v>
      </c>
      <c r="H426" s="1" t="n">
        <v>114.8</v>
      </c>
      <c r="I426" s="1" t="n">
        <v>118.3</v>
      </c>
      <c r="J426" s="1" t="n">
        <v>29.9</v>
      </c>
      <c r="K426" s="1"/>
      <c r="L426" s="1" t="n">
        <v>0</v>
      </c>
      <c r="M426" s="1" t="n">
        <v>0</v>
      </c>
      <c r="N426" s="1" t="s">
        <v>298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Z426" s="0" t="n">
        <f aca="false">I426+65</f>
        <v>183.3</v>
      </c>
      <c r="AB426" s="0" t="n">
        <f aca="false">IF(Z426&gt;360,Z426-360,Z426+0)</f>
        <v>183.3</v>
      </c>
    </row>
    <row r="427" customFormat="false" ht="15.8" hidden="false" customHeight="false" outlineLevel="0" collapsed="false">
      <c r="A427" s="1" t="n">
        <v>7</v>
      </c>
      <c r="B427" s="1" t="n">
        <v>12</v>
      </c>
      <c r="C427" s="1" t="n">
        <v>1.4</v>
      </c>
      <c r="D427" s="1" t="n">
        <v>1.0079</v>
      </c>
      <c r="E427" s="1" t="n">
        <v>0.0492618</v>
      </c>
      <c r="F427" s="1" t="n">
        <v>0.000141595</v>
      </c>
      <c r="G427" s="1" t="s">
        <v>27</v>
      </c>
      <c r="H427" s="1" t="n">
        <v>35.8</v>
      </c>
      <c r="I427" s="1" t="n">
        <v>40.9</v>
      </c>
      <c r="J427" s="1" t="n">
        <v>0</v>
      </c>
      <c r="K427" s="1"/>
      <c r="L427" s="1" t="n">
        <v>0</v>
      </c>
      <c r="M427" s="1" t="n">
        <v>0</v>
      </c>
      <c r="N427" s="1" t="s">
        <v>298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Z427" s="0" t="n">
        <f aca="false">I427+65</f>
        <v>105.9</v>
      </c>
      <c r="AB427" s="0" t="n">
        <f aca="false">IF(Z427&gt;360,Z427-360,Z427+0)</f>
        <v>105.9</v>
      </c>
    </row>
    <row r="428" customFormat="false" ht="15.8" hidden="false" customHeight="false" outlineLevel="0" collapsed="false">
      <c r="A428" s="1" t="n">
        <v>7</v>
      </c>
      <c r="B428" s="1" t="n">
        <v>11</v>
      </c>
      <c r="C428" s="1" t="n">
        <v>1.3</v>
      </c>
      <c r="D428" s="1" t="n">
        <v>1.12</v>
      </c>
      <c r="E428" s="1" t="n">
        <v>0.0458574</v>
      </c>
      <c r="F428" s="1" t="n">
        <v>0.000131809</v>
      </c>
      <c r="G428" s="1" t="s">
        <v>37</v>
      </c>
      <c r="H428" s="1" t="n">
        <v>45.3</v>
      </c>
      <c r="I428" s="1" t="n">
        <v>10.6</v>
      </c>
      <c r="J428" s="1" t="n">
        <v>-20.1</v>
      </c>
      <c r="K428" s="1" t="n">
        <v>114.8</v>
      </c>
      <c r="L428" s="1" t="n">
        <v>0</v>
      </c>
      <c r="M428" s="1" t="n">
        <v>0</v>
      </c>
      <c r="N428" s="1" t="s">
        <v>297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Z428" s="0" t="n">
        <f aca="false">I428+65</f>
        <v>75.6</v>
      </c>
      <c r="AB428" s="0" t="n">
        <f aca="false">IF(Z428&gt;360,Z428-360,Z428+0)</f>
        <v>75.6</v>
      </c>
    </row>
    <row r="429" customFormat="false" ht="15.8" hidden="false" customHeight="false" outlineLevel="0" collapsed="false">
      <c r="A429" s="1" t="n">
        <v>7</v>
      </c>
      <c r="B429" s="1" t="n">
        <v>10</v>
      </c>
      <c r="C429" s="1" t="n">
        <v>3.1</v>
      </c>
      <c r="D429" s="1" t="n">
        <v>1.2281</v>
      </c>
      <c r="E429" s="1" t="n">
        <v>0.111485</v>
      </c>
      <c r="F429" s="1" t="n">
        <v>0.000320447</v>
      </c>
      <c r="G429" s="1" t="s">
        <v>37</v>
      </c>
      <c r="H429" s="1" t="n">
        <v>72.4</v>
      </c>
      <c r="I429" s="1" t="n">
        <v>328</v>
      </c>
      <c r="J429" s="1" t="n">
        <v>-50.9</v>
      </c>
      <c r="K429" s="1" t="n">
        <v>45.3</v>
      </c>
      <c r="L429" s="1" t="n">
        <v>0</v>
      </c>
      <c r="M429" s="1" t="n">
        <v>0</v>
      </c>
      <c r="N429" s="1" t="s">
        <v>296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Z429" s="0" t="n">
        <f aca="false">I429+65</f>
        <v>393</v>
      </c>
      <c r="AB429" s="0" t="n">
        <f aca="false">IF(Z429&gt;360,Z429-360,Z429+0)</f>
        <v>33</v>
      </c>
    </row>
    <row r="430" customFormat="false" ht="15.8" hidden="false" customHeight="false" outlineLevel="0" collapsed="false">
      <c r="A430" s="1" t="n">
        <v>7</v>
      </c>
      <c r="B430" s="1" t="n">
        <v>9</v>
      </c>
      <c r="C430" s="1" t="n">
        <v>0.7</v>
      </c>
      <c r="D430" s="1" t="n">
        <v>1.1398</v>
      </c>
      <c r="E430" s="1" t="n">
        <v>0.0262716</v>
      </c>
      <c r="F430" s="1" t="n">
        <v>7.55135E-005</v>
      </c>
      <c r="G430" s="1" t="s">
        <v>37</v>
      </c>
      <c r="H430" s="1" t="n">
        <v>104.8</v>
      </c>
      <c r="I430" s="1" t="n">
        <v>78.2</v>
      </c>
      <c r="J430" s="1" t="n">
        <v>-37.7</v>
      </c>
      <c r="K430" s="1" t="n">
        <v>72.4</v>
      </c>
      <c r="L430" s="1" t="n">
        <v>0</v>
      </c>
      <c r="M430" s="1" t="n">
        <v>0</v>
      </c>
      <c r="N430" s="1" t="s">
        <v>299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Z430" s="0" t="n">
        <f aca="false">I430+65</f>
        <v>143.2</v>
      </c>
      <c r="AB430" s="0" t="n">
        <f aca="false">IF(Z430&gt;360,Z430-360,Z430+0)</f>
        <v>143.2</v>
      </c>
    </row>
    <row r="431" customFormat="false" ht="15.8" hidden="false" customHeight="false" outlineLevel="0" collapsed="false">
      <c r="A431" s="1" t="n">
        <v>7</v>
      </c>
      <c r="B431" s="1" t="n">
        <v>10</v>
      </c>
      <c r="C431" s="1" t="n">
        <v>0.5</v>
      </c>
      <c r="D431" s="1" t="n">
        <v>1.0004</v>
      </c>
      <c r="E431" s="1" t="n">
        <v>0.0177127</v>
      </c>
      <c r="F431" s="1" t="n">
        <v>5.09122E-005</v>
      </c>
      <c r="G431" s="1" t="s">
        <v>27</v>
      </c>
      <c r="H431" s="1" t="n">
        <v>72.9</v>
      </c>
      <c r="I431" s="1" t="n">
        <v>309.3</v>
      </c>
      <c r="J431" s="1" t="n">
        <v>0</v>
      </c>
      <c r="K431" s="1"/>
      <c r="L431" s="1" t="n">
        <v>0</v>
      </c>
      <c r="M431" s="1" t="n">
        <v>0</v>
      </c>
      <c r="N431" s="1" t="s">
        <v>300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Z431" s="0" t="n">
        <f aca="false">I431+65</f>
        <v>374.3</v>
      </c>
      <c r="AB431" s="0" t="n">
        <f aca="false">IF(Z431&gt;360,Z431-360,Z431+0)</f>
        <v>14.3</v>
      </c>
    </row>
    <row r="432" customFormat="false" ht="15.8" hidden="false" customHeight="false" outlineLevel="0" collapsed="false">
      <c r="A432" s="1" t="n">
        <v>7</v>
      </c>
      <c r="B432" s="1" t="n">
        <v>10</v>
      </c>
      <c r="C432" s="1" t="n">
        <v>2.3</v>
      </c>
      <c r="D432" s="1" t="n">
        <v>1.413</v>
      </c>
      <c r="E432" s="1" t="n">
        <v>0.0825751</v>
      </c>
      <c r="F432" s="1" t="n">
        <v>0.000237348</v>
      </c>
      <c r="G432" s="1" t="s">
        <v>27</v>
      </c>
      <c r="H432" s="1" t="n">
        <v>19.7</v>
      </c>
      <c r="I432" s="1" t="n">
        <v>262.3</v>
      </c>
      <c r="J432" s="1" t="n">
        <v>74.6</v>
      </c>
      <c r="K432" s="1"/>
      <c r="L432" s="1" t="n">
        <v>0</v>
      </c>
      <c r="M432" s="1" t="n">
        <v>0</v>
      </c>
      <c r="N432" s="1" t="s">
        <v>300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Z432" s="0" t="n">
        <f aca="false">I432+65</f>
        <v>327.3</v>
      </c>
      <c r="AB432" s="0" t="n">
        <f aca="false">IF(Z432&gt;360,Z432-360,Z432+0)</f>
        <v>327.3</v>
      </c>
    </row>
    <row r="433" customFormat="false" ht="15.8" hidden="false" customHeight="false" outlineLevel="0" collapsed="false">
      <c r="A433" s="1" t="n">
        <v>7</v>
      </c>
      <c r="B433" s="1" t="n">
        <v>9</v>
      </c>
      <c r="C433" s="1" t="n">
        <v>2.3</v>
      </c>
      <c r="D433" s="1" t="n">
        <v>1.2299</v>
      </c>
      <c r="E433" s="1" t="n">
        <v>0.0841009</v>
      </c>
      <c r="F433" s="1" t="n">
        <v>0.000241734</v>
      </c>
      <c r="G433" s="1" t="s">
        <v>37</v>
      </c>
      <c r="H433" s="1" t="n">
        <v>74.1</v>
      </c>
      <c r="I433" s="1" t="n">
        <v>250.6</v>
      </c>
      <c r="J433" s="1" t="n">
        <v>55.5</v>
      </c>
      <c r="K433" s="1" t="n">
        <v>72.9</v>
      </c>
      <c r="L433" s="1" t="n">
        <v>0</v>
      </c>
      <c r="M433" s="1" t="n">
        <v>0</v>
      </c>
      <c r="N433" s="1" t="s">
        <v>299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Z433" s="0" t="n">
        <f aca="false">I433+65</f>
        <v>315.6</v>
      </c>
      <c r="AB433" s="0" t="n">
        <f aca="false">IF(Z433&gt;360,Z433-360,Z433+0)</f>
        <v>315.6</v>
      </c>
    </row>
    <row r="434" customFormat="false" ht="15.8" hidden="false" customHeight="false" outlineLevel="0" collapsed="false">
      <c r="A434" s="1" t="n">
        <v>7</v>
      </c>
      <c r="B434" s="1" t="n">
        <v>12</v>
      </c>
      <c r="C434" s="1" t="n">
        <v>2.9</v>
      </c>
      <c r="D434" s="1" t="n">
        <v>1.157</v>
      </c>
      <c r="E434" s="1" t="n">
        <v>0.103565</v>
      </c>
      <c r="F434" s="1" t="n">
        <v>0.00029768</v>
      </c>
      <c r="G434" s="1" t="s">
        <v>27</v>
      </c>
      <c r="H434" s="1" t="n">
        <v>54.3</v>
      </c>
      <c r="I434" s="1" t="n">
        <v>269.1</v>
      </c>
      <c r="J434" s="1" t="n">
        <v>-51.9</v>
      </c>
      <c r="K434" s="1"/>
      <c r="L434" s="1" t="n">
        <v>0</v>
      </c>
      <c r="M434" s="1" t="n">
        <v>0</v>
      </c>
      <c r="N434" s="1" t="s">
        <v>301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Z434" s="0" t="n">
        <f aca="false">I434+65</f>
        <v>334.1</v>
      </c>
      <c r="AB434" s="0" t="n">
        <f aca="false">IF(Z434&gt;360,Z434-360,Z434+0)</f>
        <v>334.1</v>
      </c>
    </row>
    <row r="435" customFormat="false" ht="15.8" hidden="false" customHeight="false" outlineLevel="0" collapsed="false">
      <c r="A435" s="1" t="n">
        <v>7</v>
      </c>
      <c r="B435" s="1" t="n">
        <v>14</v>
      </c>
      <c r="C435" s="1" t="n">
        <v>1.8</v>
      </c>
      <c r="D435" s="1" t="n">
        <v>1.1476</v>
      </c>
      <c r="E435" s="1" t="n">
        <v>0.0636077</v>
      </c>
      <c r="F435" s="1" t="n">
        <v>0.00018283</v>
      </c>
      <c r="G435" s="1" t="s">
        <v>27</v>
      </c>
      <c r="H435" s="1" t="n">
        <v>55.9</v>
      </c>
      <c r="I435" s="1" t="n">
        <v>61.7</v>
      </c>
      <c r="J435" s="1" t="n">
        <v>-49.7</v>
      </c>
      <c r="K435" s="1"/>
      <c r="L435" s="1" t="n">
        <v>0</v>
      </c>
      <c r="M435" s="1" t="n">
        <v>0</v>
      </c>
      <c r="N435" s="1" t="s">
        <v>302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Z435" s="0" t="n">
        <f aca="false">I435+65</f>
        <v>126.7</v>
      </c>
      <c r="AB435" s="0" t="n">
        <f aca="false">IF(Z435&gt;360,Z435-360,Z435+0)</f>
        <v>126.7</v>
      </c>
    </row>
    <row r="436" customFormat="false" ht="15.8" hidden="false" customHeight="false" outlineLevel="0" collapsed="false">
      <c r="A436" s="1" t="n">
        <v>7</v>
      </c>
      <c r="B436" s="1" t="n">
        <v>14</v>
      </c>
      <c r="C436" s="1" t="n">
        <v>1.8</v>
      </c>
      <c r="D436" s="1" t="n">
        <v>1.2825</v>
      </c>
      <c r="E436" s="1" t="n">
        <v>0.065234</v>
      </c>
      <c r="F436" s="1" t="n">
        <v>0.000187504</v>
      </c>
      <c r="G436" s="1" t="s">
        <v>27</v>
      </c>
      <c r="H436" s="1" t="n">
        <v>113.7</v>
      </c>
      <c r="I436" s="1" t="n">
        <v>255.6</v>
      </c>
      <c r="J436" s="1" t="n">
        <v>-56.2</v>
      </c>
      <c r="K436" s="1"/>
      <c r="L436" s="1" t="n">
        <v>0</v>
      </c>
      <c r="M436" s="1" t="n">
        <v>0</v>
      </c>
      <c r="N436" s="1" t="s">
        <v>302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Z436" s="0" t="n">
        <f aca="false">I436+65</f>
        <v>320.6</v>
      </c>
      <c r="AB436" s="0" t="n">
        <f aca="false">IF(Z436&gt;360,Z436-360,Z436+0)</f>
        <v>320.6</v>
      </c>
    </row>
    <row r="437" customFormat="false" ht="15.8" hidden="false" customHeight="false" outlineLevel="0" collapsed="false">
      <c r="A437" s="1" t="n">
        <v>7</v>
      </c>
      <c r="B437" s="1" t="n">
        <v>15</v>
      </c>
      <c r="C437" s="1" t="n">
        <v>1.1</v>
      </c>
      <c r="D437" s="1" t="n">
        <v>1.2011</v>
      </c>
      <c r="E437" s="1" t="n">
        <v>0.0391724</v>
      </c>
      <c r="F437" s="1" t="n">
        <v>0.000112595</v>
      </c>
      <c r="G437" s="1" t="s">
        <v>27</v>
      </c>
      <c r="H437" s="1" t="n">
        <v>49.8</v>
      </c>
      <c r="I437" s="1" t="n">
        <v>24.1</v>
      </c>
      <c r="J437" s="1" t="n">
        <v>-25.6</v>
      </c>
      <c r="K437" s="1"/>
      <c r="L437" s="1" t="n">
        <v>0</v>
      </c>
      <c r="M437" s="1" t="n">
        <v>0</v>
      </c>
      <c r="N437" s="1" t="s">
        <v>303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Z437" s="0" t="n">
        <f aca="false">I437+65</f>
        <v>89.1</v>
      </c>
      <c r="AB437" s="0" t="n">
        <f aca="false">IF(Z437&gt;360,Z437-360,Z437+0)</f>
        <v>89.1</v>
      </c>
    </row>
    <row r="438" customFormat="false" ht="15.8" hidden="false" customHeight="false" outlineLevel="0" collapsed="false">
      <c r="A438" s="1" t="n">
        <v>7</v>
      </c>
      <c r="B438" s="1" t="n">
        <v>15</v>
      </c>
      <c r="C438" s="1" t="n">
        <v>0.7</v>
      </c>
      <c r="D438" s="1" t="n">
        <v>1.4772</v>
      </c>
      <c r="E438" s="1" t="n">
        <v>0.024855</v>
      </c>
      <c r="F438" s="1" t="n">
        <v>7.14416E-005</v>
      </c>
      <c r="G438" s="1" t="s">
        <v>27</v>
      </c>
      <c r="H438" s="1" t="n">
        <v>66.6</v>
      </c>
      <c r="I438" s="1" t="n">
        <v>277.5</v>
      </c>
      <c r="J438" s="1" t="n">
        <v>31</v>
      </c>
      <c r="K438" s="1"/>
      <c r="L438" s="1" t="n">
        <v>0</v>
      </c>
      <c r="M438" s="1" t="n">
        <v>0</v>
      </c>
      <c r="N438" s="1" t="s">
        <v>303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Z438" s="0" t="n">
        <f aca="false">I438+65</f>
        <v>342.5</v>
      </c>
      <c r="AB438" s="0" t="n">
        <f aca="false">IF(Z438&gt;360,Z438-360,Z438+0)</f>
        <v>342.5</v>
      </c>
    </row>
    <row r="439" customFormat="false" ht="15.8" hidden="false" customHeight="false" outlineLevel="0" collapsed="false">
      <c r="A439" s="1" t="n">
        <v>7</v>
      </c>
      <c r="B439" s="1" t="n">
        <v>14</v>
      </c>
      <c r="C439" s="1" t="n">
        <v>4.8</v>
      </c>
      <c r="D439" s="1" t="n">
        <v>1.4998</v>
      </c>
      <c r="E439" s="1" t="n">
        <v>0.173424</v>
      </c>
      <c r="F439" s="1" t="n">
        <v>0.000498479</v>
      </c>
      <c r="G439" s="1" t="s">
        <v>37</v>
      </c>
      <c r="H439" s="1" t="n">
        <v>51.9</v>
      </c>
      <c r="I439" s="1" t="n">
        <v>339.8</v>
      </c>
      <c r="J439" s="1" t="n">
        <v>0</v>
      </c>
      <c r="K439" s="1" t="n">
        <v>66.6</v>
      </c>
      <c r="L439" s="1" t="n">
        <v>0</v>
      </c>
      <c r="M439" s="1" t="n">
        <v>0</v>
      </c>
      <c r="N439" s="1" t="s">
        <v>302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Z439" s="0" t="n">
        <f aca="false">I439+65</f>
        <v>404.8</v>
      </c>
      <c r="AB439" s="0" t="n">
        <f aca="false">IF(Z439&gt;360,Z439-360,Z439+0)</f>
        <v>44.8</v>
      </c>
    </row>
    <row r="440" customFormat="false" ht="15.8" hidden="false" customHeight="false" outlineLevel="0" collapsed="false">
      <c r="A440" s="1" t="n">
        <v>7</v>
      </c>
      <c r="B440" s="1" t="n">
        <v>15</v>
      </c>
      <c r="C440" s="1" t="n">
        <v>0.9</v>
      </c>
      <c r="D440" s="1" t="n">
        <v>1.0113</v>
      </c>
      <c r="E440" s="1" t="n">
        <v>0.0329759</v>
      </c>
      <c r="F440" s="1" t="n">
        <v>9.47838E-005</v>
      </c>
      <c r="G440" s="1" t="s">
        <v>27</v>
      </c>
      <c r="H440" s="1" t="n">
        <v>88.3</v>
      </c>
      <c r="I440" s="1" t="n">
        <v>226.5</v>
      </c>
      <c r="J440" s="1" t="n">
        <v>0</v>
      </c>
      <c r="K440" s="1"/>
      <c r="L440" s="1" t="n">
        <v>0</v>
      </c>
      <c r="M440" s="1" t="n">
        <v>0</v>
      </c>
      <c r="N440" s="1" t="s">
        <v>304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Z440" s="0" t="n">
        <f aca="false">I440+65</f>
        <v>291.5</v>
      </c>
      <c r="AB440" s="0" t="n">
        <f aca="false">IF(Z440&gt;360,Z440-360,Z440+0)</f>
        <v>291.5</v>
      </c>
    </row>
    <row r="441" customFormat="false" ht="15.8" hidden="false" customHeight="false" outlineLevel="0" collapsed="false">
      <c r="A441" s="1" t="n">
        <v>7</v>
      </c>
      <c r="B441" s="1" t="n">
        <v>15</v>
      </c>
      <c r="C441" s="1" t="n">
        <v>2.8</v>
      </c>
      <c r="D441" s="1" t="n">
        <v>1.1785</v>
      </c>
      <c r="E441" s="1" t="n">
        <v>0.101068</v>
      </c>
      <c r="F441" s="1" t="n">
        <v>0.000290505</v>
      </c>
      <c r="G441" s="1" t="s">
        <v>27</v>
      </c>
      <c r="H441" s="1" t="n">
        <v>40.4</v>
      </c>
      <c r="I441" s="1" t="n">
        <v>355.2</v>
      </c>
      <c r="J441" s="1" t="n">
        <v>-9.5</v>
      </c>
      <c r="K441" s="1"/>
      <c r="L441" s="1" t="n">
        <v>0</v>
      </c>
      <c r="M441" s="1" t="n">
        <v>0</v>
      </c>
      <c r="N441" s="1" t="s">
        <v>304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Z441" s="0" t="n">
        <f aca="false">I441+65</f>
        <v>420.2</v>
      </c>
      <c r="AB441" s="0" t="n">
        <f aca="false">IF(Z441&gt;360,Z441-360,Z441+0)</f>
        <v>60.2</v>
      </c>
    </row>
    <row r="442" customFormat="false" ht="15.8" hidden="false" customHeight="false" outlineLevel="0" collapsed="false">
      <c r="A442" s="1" t="n">
        <v>7</v>
      </c>
      <c r="B442" s="1" t="n">
        <v>14</v>
      </c>
      <c r="C442" s="1" t="n">
        <v>5.5</v>
      </c>
      <c r="D442" s="1" t="n">
        <v>1.2106</v>
      </c>
      <c r="E442" s="1" t="n">
        <v>0.197041</v>
      </c>
      <c r="F442" s="1" t="n">
        <v>0.000566361</v>
      </c>
      <c r="G442" s="1" t="s">
        <v>37</v>
      </c>
      <c r="H442" s="1" t="n">
        <v>77.7</v>
      </c>
      <c r="I442" s="1" t="n">
        <v>314.8</v>
      </c>
      <c r="J442" s="1" t="n">
        <v>-20.3</v>
      </c>
      <c r="K442" s="1" t="n">
        <v>88.3</v>
      </c>
      <c r="L442" s="1" t="n">
        <v>0</v>
      </c>
      <c r="M442" s="1" t="n">
        <v>0</v>
      </c>
      <c r="N442" s="1" t="s">
        <v>302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Z442" s="0" t="n">
        <f aca="false">I442+65</f>
        <v>379.8</v>
      </c>
      <c r="AB442" s="0" t="n">
        <f aca="false">IF(Z442&gt;360,Z442-360,Z442+0)</f>
        <v>19.8</v>
      </c>
    </row>
    <row r="443" customFormat="false" ht="15.8" hidden="false" customHeight="false" outlineLevel="0" collapsed="false">
      <c r="A443" s="1" t="n">
        <v>7</v>
      </c>
      <c r="B443" s="1" t="n">
        <v>13</v>
      </c>
      <c r="C443" s="1" t="n">
        <v>1.4</v>
      </c>
      <c r="D443" s="1" t="n">
        <v>1.0381</v>
      </c>
      <c r="E443" s="1" t="n">
        <v>0.0516847</v>
      </c>
      <c r="F443" s="1" t="n">
        <v>0.000148559</v>
      </c>
      <c r="G443" s="1" t="s">
        <v>37</v>
      </c>
      <c r="H443" s="1" t="n">
        <v>39.8</v>
      </c>
      <c r="I443" s="1" t="n">
        <v>31.7</v>
      </c>
      <c r="J443" s="1" t="n">
        <v>0</v>
      </c>
      <c r="K443" s="1" t="n">
        <v>113.7</v>
      </c>
      <c r="L443" s="1" t="n">
        <v>0</v>
      </c>
      <c r="M443" s="1" t="n">
        <v>0</v>
      </c>
      <c r="N443" s="1" t="s">
        <v>305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Z443" s="0" t="n">
        <f aca="false">I443+65</f>
        <v>96.7</v>
      </c>
      <c r="AB443" s="0" t="n">
        <f aca="false">IF(Z443&gt;360,Z443-360,Z443+0)</f>
        <v>96.7</v>
      </c>
    </row>
    <row r="444" customFormat="false" ht="15.8" hidden="false" customHeight="false" outlineLevel="0" collapsed="false">
      <c r="A444" s="1" t="n">
        <v>7</v>
      </c>
      <c r="B444" s="1" t="n">
        <v>13</v>
      </c>
      <c r="C444" s="1" t="n">
        <v>1.1</v>
      </c>
      <c r="D444" s="1" t="n">
        <v>1.1848</v>
      </c>
      <c r="E444" s="1" t="n">
        <v>0.0399018</v>
      </c>
      <c r="F444" s="1" t="n">
        <v>0.000114691</v>
      </c>
      <c r="G444" s="1" t="s">
        <v>27</v>
      </c>
      <c r="H444" s="1" t="n">
        <v>106.4</v>
      </c>
      <c r="I444" s="1" t="n">
        <v>131.7</v>
      </c>
      <c r="J444" s="1" t="n">
        <v>24.7</v>
      </c>
      <c r="K444" s="1"/>
      <c r="L444" s="1" t="n">
        <v>0</v>
      </c>
      <c r="M444" s="1" t="n">
        <v>0</v>
      </c>
      <c r="N444" s="1" t="s">
        <v>305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Z444" s="0" t="n">
        <f aca="false">I444+65</f>
        <v>196.7</v>
      </c>
      <c r="AB444" s="0" t="n">
        <f aca="false">IF(Z444&gt;360,Z444-360,Z444+0)</f>
        <v>196.7</v>
      </c>
    </row>
    <row r="445" customFormat="false" ht="15.8" hidden="false" customHeight="false" outlineLevel="0" collapsed="false">
      <c r="A445" s="1" t="n">
        <v>7</v>
      </c>
      <c r="B445" s="1" t="n">
        <v>12</v>
      </c>
      <c r="C445" s="1" t="n">
        <v>0.7</v>
      </c>
      <c r="D445" s="1" t="n">
        <v>1.1479</v>
      </c>
      <c r="E445" s="1" t="n">
        <v>0.0256865</v>
      </c>
      <c r="F445" s="1" t="n">
        <v>7.38315E-005</v>
      </c>
      <c r="G445" s="1" t="s">
        <v>37</v>
      </c>
      <c r="H445" s="1" t="n">
        <v>64.7</v>
      </c>
      <c r="I445" s="1" t="n">
        <v>40.2</v>
      </c>
      <c r="J445" s="1" t="n">
        <v>-39</v>
      </c>
      <c r="K445" s="1" t="n">
        <v>106.4</v>
      </c>
      <c r="L445" s="1" t="n">
        <v>0</v>
      </c>
      <c r="M445" s="1" t="n">
        <v>0</v>
      </c>
      <c r="N445" s="1" t="s">
        <v>301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Z445" s="0" t="n">
        <f aca="false">I445+65</f>
        <v>105.2</v>
      </c>
      <c r="AB445" s="0" t="n">
        <f aca="false">IF(Z445&gt;360,Z445-360,Z445+0)</f>
        <v>105.2</v>
      </c>
    </row>
    <row r="446" customFormat="false" ht="15.8" hidden="false" customHeight="false" outlineLevel="0" collapsed="false">
      <c r="A446" s="1" t="n">
        <v>7</v>
      </c>
      <c r="B446" s="1" t="n">
        <v>11</v>
      </c>
      <c r="C446" s="1" t="n">
        <v>2.6</v>
      </c>
      <c r="D446" s="1" t="n">
        <v>1.1827</v>
      </c>
      <c r="E446" s="1" t="n">
        <v>0.0956912</v>
      </c>
      <c r="F446" s="1" t="n">
        <v>0.000275048</v>
      </c>
      <c r="G446" s="1" t="s">
        <v>37</v>
      </c>
      <c r="H446" s="1" t="n">
        <v>20.4</v>
      </c>
      <c r="I446" s="1" t="n">
        <v>326.8</v>
      </c>
      <c r="J446" s="1" t="n">
        <v>-20.4</v>
      </c>
      <c r="K446" s="1" t="n">
        <v>64.7</v>
      </c>
      <c r="L446" s="1" t="n">
        <v>0</v>
      </c>
      <c r="M446" s="1" t="n">
        <v>0</v>
      </c>
      <c r="N446" s="1" t="s">
        <v>306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Z446" s="0" t="n">
        <f aca="false">I446+65</f>
        <v>391.8</v>
      </c>
      <c r="AB446" s="0" t="n">
        <f aca="false">IF(Z446&gt;360,Z446-360,Z446+0)</f>
        <v>31.8</v>
      </c>
    </row>
    <row r="447" customFormat="false" ht="15.8" hidden="false" customHeight="false" outlineLevel="0" collapsed="false">
      <c r="A447" s="1" t="n">
        <v>7</v>
      </c>
      <c r="B447" s="1" t="n">
        <v>12</v>
      </c>
      <c r="C447" s="1" t="n">
        <v>0.7</v>
      </c>
      <c r="D447" s="1" t="n">
        <v>1.0604</v>
      </c>
      <c r="E447" s="1" t="n">
        <v>0.0270677</v>
      </c>
      <c r="F447" s="1" t="n">
        <v>7.78017E-005</v>
      </c>
      <c r="G447" s="1" t="s">
        <v>27</v>
      </c>
      <c r="H447" s="1" t="n">
        <v>93</v>
      </c>
      <c r="I447" s="1" t="n">
        <v>248</v>
      </c>
      <c r="J447" s="1" t="n">
        <v>0</v>
      </c>
      <c r="K447" s="1"/>
      <c r="L447" s="1" t="n">
        <v>0</v>
      </c>
      <c r="M447" s="1" t="n">
        <v>0</v>
      </c>
      <c r="N447" s="1" t="s">
        <v>307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Z447" s="0" t="n">
        <f aca="false">I447+65</f>
        <v>313</v>
      </c>
      <c r="AB447" s="0" t="n">
        <f aca="false">IF(Z447&gt;360,Z447-360,Z447+0)</f>
        <v>313</v>
      </c>
    </row>
    <row r="448" customFormat="false" ht="15.8" hidden="false" customHeight="false" outlineLevel="0" collapsed="false">
      <c r="A448" s="1" t="n">
        <v>7</v>
      </c>
      <c r="B448" s="1" t="n">
        <v>14</v>
      </c>
      <c r="C448" s="1" t="n">
        <v>0.8</v>
      </c>
      <c r="D448" s="1" t="n">
        <v>1.0008</v>
      </c>
      <c r="E448" s="1" t="n">
        <v>0.0288468</v>
      </c>
      <c r="F448" s="1" t="n">
        <v>8.29154E-005</v>
      </c>
      <c r="G448" s="1" t="s">
        <v>27</v>
      </c>
      <c r="H448" s="1" t="n">
        <v>60.2</v>
      </c>
      <c r="I448" s="1" t="n">
        <v>233.8</v>
      </c>
      <c r="J448" s="1" t="n">
        <v>0</v>
      </c>
      <c r="K448" s="1"/>
      <c r="L448" s="1" t="n">
        <v>0</v>
      </c>
      <c r="M448" s="1" t="n">
        <v>0</v>
      </c>
      <c r="N448" s="1" t="s">
        <v>308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Z448" s="0" t="n">
        <f aca="false">I448+65</f>
        <v>298.8</v>
      </c>
      <c r="AB448" s="0" t="n">
        <f aca="false">IF(Z448&gt;360,Z448-360,Z448+0)</f>
        <v>298.8</v>
      </c>
    </row>
    <row r="449" customFormat="false" ht="15.8" hidden="false" customHeight="false" outlineLevel="0" collapsed="false">
      <c r="A449" s="1" t="n">
        <v>7</v>
      </c>
      <c r="B449" s="1" t="n">
        <v>15</v>
      </c>
      <c r="C449" s="1" t="n">
        <v>2.2</v>
      </c>
      <c r="D449" s="1" t="n">
        <v>1.4485</v>
      </c>
      <c r="E449" s="1" t="n">
        <v>0.0785573</v>
      </c>
      <c r="F449" s="1" t="n">
        <v>0.0002258</v>
      </c>
      <c r="G449" s="1" t="s">
        <v>27</v>
      </c>
      <c r="H449" s="1" t="n">
        <v>77.3</v>
      </c>
      <c r="I449" s="1" t="n">
        <v>230</v>
      </c>
      <c r="J449" s="1" t="n">
        <v>0</v>
      </c>
      <c r="K449" s="1"/>
      <c r="L449" s="1" t="n">
        <v>0</v>
      </c>
      <c r="M449" s="1" t="n">
        <v>0</v>
      </c>
      <c r="N449" s="1" t="s">
        <v>309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Z449" s="0" t="n">
        <f aca="false">I449+65</f>
        <v>295</v>
      </c>
      <c r="AB449" s="0" t="n">
        <f aca="false">IF(Z449&gt;360,Z449-360,Z449+0)</f>
        <v>295</v>
      </c>
    </row>
    <row r="450" customFormat="false" ht="15.8" hidden="false" customHeight="false" outlineLevel="0" collapsed="false">
      <c r="A450" s="1" t="n">
        <v>7</v>
      </c>
      <c r="B450" s="1" t="n">
        <v>16</v>
      </c>
      <c r="C450" s="1" t="n">
        <v>1.7</v>
      </c>
      <c r="D450" s="1" t="n">
        <v>1.1228</v>
      </c>
      <c r="E450" s="1" t="n">
        <v>0.0615009</v>
      </c>
      <c r="F450" s="1" t="n">
        <v>0.000176774</v>
      </c>
      <c r="G450" s="1" t="s">
        <v>27</v>
      </c>
      <c r="H450" s="1" t="n">
        <v>61.8</v>
      </c>
      <c r="I450" s="1" t="n">
        <v>296.6</v>
      </c>
      <c r="J450" s="1" t="n">
        <v>-14.9</v>
      </c>
      <c r="K450" s="1"/>
      <c r="L450" s="1" t="n">
        <v>0</v>
      </c>
      <c r="M450" s="1" t="n">
        <v>0</v>
      </c>
      <c r="N450" s="1" t="s">
        <v>310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Z450" s="0" t="n">
        <f aca="false">I450+65</f>
        <v>361.6</v>
      </c>
      <c r="AB450" s="0" t="n">
        <f aca="false">IF(Z450&gt;360,Z450-360,Z450+0)</f>
        <v>1.60000000000002</v>
      </c>
    </row>
    <row r="451" customFormat="false" ht="15.8" hidden="false" customHeight="false" outlineLevel="0" collapsed="false">
      <c r="A451" s="1" t="n">
        <v>7</v>
      </c>
      <c r="B451" s="1" t="n">
        <v>17</v>
      </c>
      <c r="C451" s="1" t="n">
        <v>1.1</v>
      </c>
      <c r="D451" s="1" t="n">
        <v>1.3865</v>
      </c>
      <c r="E451" s="1" t="n">
        <v>0.041327</v>
      </c>
      <c r="F451" s="1" t="n">
        <v>0.000118788</v>
      </c>
      <c r="G451" s="1" t="s">
        <v>27</v>
      </c>
      <c r="H451" s="1" t="n">
        <v>103.7</v>
      </c>
      <c r="I451" s="1" t="n">
        <v>129.8</v>
      </c>
      <c r="J451" s="1" t="n">
        <v>70.9</v>
      </c>
      <c r="K451" s="1"/>
      <c r="L451" s="1" t="n">
        <v>0</v>
      </c>
      <c r="M451" s="1" t="n">
        <v>0</v>
      </c>
      <c r="N451" s="1" t="s">
        <v>311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Z451" s="0" t="n">
        <f aca="false">I451+65</f>
        <v>194.8</v>
      </c>
      <c r="AB451" s="0" t="n">
        <f aca="false">IF(Z451&gt;360,Z451-360,Z451+0)</f>
        <v>194.8</v>
      </c>
    </row>
    <row r="452" customFormat="false" ht="15.8" hidden="false" customHeight="false" outlineLevel="0" collapsed="false">
      <c r="A452" s="1" t="n">
        <v>7</v>
      </c>
      <c r="B452" s="1" t="n">
        <v>19</v>
      </c>
      <c r="C452" s="1" t="n">
        <v>1.4</v>
      </c>
      <c r="D452" s="1" t="n">
        <v>1.1619</v>
      </c>
      <c r="E452" s="1" t="n">
        <v>0.0496005</v>
      </c>
      <c r="F452" s="1" t="n">
        <v>0.000142568</v>
      </c>
      <c r="G452" s="1" t="s">
        <v>27</v>
      </c>
      <c r="H452" s="1" t="n">
        <v>80.2</v>
      </c>
      <c r="I452" s="1" t="n">
        <v>48.7</v>
      </c>
      <c r="J452" s="1" t="n">
        <v>41.3</v>
      </c>
      <c r="K452" s="1"/>
      <c r="L452" s="1" t="n">
        <v>0</v>
      </c>
      <c r="M452" s="1" t="n">
        <v>0</v>
      </c>
      <c r="N452" s="1" t="s">
        <v>312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Z452" s="0" t="n">
        <f aca="false">I452+65</f>
        <v>113.7</v>
      </c>
      <c r="AB452" s="0" t="n">
        <f aca="false">IF(Z452&gt;360,Z452-360,Z452+0)</f>
        <v>113.7</v>
      </c>
    </row>
    <row r="453" customFormat="false" ht="15.8" hidden="false" customHeight="false" outlineLevel="0" collapsed="false">
      <c r="A453" s="1" t="n">
        <v>7</v>
      </c>
      <c r="B453" s="1" t="n">
        <v>20</v>
      </c>
      <c r="C453" s="1" t="n">
        <v>0.5</v>
      </c>
      <c r="D453" s="1" t="n">
        <v>1</v>
      </c>
      <c r="E453" s="1" t="n">
        <v>0.0167403</v>
      </c>
      <c r="F453" s="1" t="n">
        <v>4.81173E-005</v>
      </c>
      <c r="G453" s="1" t="s">
        <v>27</v>
      </c>
      <c r="H453" s="1" t="n">
        <v>126.7</v>
      </c>
      <c r="I453" s="1" t="n">
        <v>97.1</v>
      </c>
      <c r="J453" s="1" t="n">
        <v>0</v>
      </c>
      <c r="K453" s="1"/>
      <c r="L453" s="1" t="n">
        <v>0</v>
      </c>
      <c r="M453" s="1" t="n">
        <v>0</v>
      </c>
      <c r="N453" s="1" t="s">
        <v>313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Z453" s="0" t="n">
        <f aca="false">I453+65</f>
        <v>162.1</v>
      </c>
      <c r="AB453" s="0" t="n">
        <f aca="false">IF(Z453&gt;360,Z453-360,Z453+0)</f>
        <v>162.1</v>
      </c>
    </row>
    <row r="454" customFormat="false" ht="15.8" hidden="false" customHeight="false" outlineLevel="0" collapsed="false">
      <c r="A454" s="1" t="n">
        <v>7</v>
      </c>
      <c r="B454" s="1" t="n">
        <v>20</v>
      </c>
      <c r="C454" s="1" t="n">
        <v>5.2</v>
      </c>
      <c r="D454" s="1" t="n">
        <v>1.2765</v>
      </c>
      <c r="E454" s="1" t="n">
        <v>0.187358</v>
      </c>
      <c r="F454" s="1" t="n">
        <v>0.000538529</v>
      </c>
      <c r="G454" s="1" t="s">
        <v>27</v>
      </c>
      <c r="H454" s="1" t="n">
        <v>10.3</v>
      </c>
      <c r="I454" s="1" t="n">
        <v>331.1</v>
      </c>
      <c r="J454" s="1" t="n">
        <v>-5.5</v>
      </c>
      <c r="K454" s="1"/>
      <c r="L454" s="1" t="n">
        <v>0</v>
      </c>
      <c r="M454" s="1" t="n">
        <v>0</v>
      </c>
      <c r="N454" s="1" t="s">
        <v>313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Z454" s="0" t="n">
        <f aca="false">I454+65</f>
        <v>396.1</v>
      </c>
      <c r="AB454" s="0" t="n">
        <f aca="false">IF(Z454&gt;360,Z454-360,Z454+0)</f>
        <v>36.1</v>
      </c>
    </row>
    <row r="455" customFormat="false" ht="15.8" hidden="false" customHeight="false" outlineLevel="0" collapsed="false">
      <c r="A455" s="1" t="n">
        <v>7</v>
      </c>
      <c r="B455" s="1" t="n">
        <v>19</v>
      </c>
      <c r="C455" s="1" t="n">
        <v>1.9</v>
      </c>
      <c r="D455" s="1" t="n">
        <v>1.2762</v>
      </c>
      <c r="E455" s="1" t="n">
        <v>0.0669043</v>
      </c>
      <c r="F455" s="1" t="n">
        <v>0.000192305</v>
      </c>
      <c r="G455" s="1" t="s">
        <v>37</v>
      </c>
      <c r="H455" s="1" t="n">
        <v>15.9</v>
      </c>
      <c r="I455" s="1" t="n">
        <v>328.8</v>
      </c>
      <c r="J455" s="1" t="n">
        <v>-15.6</v>
      </c>
      <c r="K455" s="1" t="n">
        <v>126.7</v>
      </c>
      <c r="L455" s="1" t="n">
        <v>0</v>
      </c>
      <c r="M455" s="1" t="n">
        <v>0</v>
      </c>
      <c r="N455" s="1" t="s">
        <v>312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Z455" s="0" t="n">
        <f aca="false">I455+65</f>
        <v>393.8</v>
      </c>
      <c r="AB455" s="0" t="n">
        <f aca="false">IF(Z455&gt;360,Z455-360,Z455+0)</f>
        <v>33.8</v>
      </c>
    </row>
    <row r="456" customFormat="false" ht="15.8" hidden="false" customHeight="false" outlineLevel="0" collapsed="false">
      <c r="A456" s="1" t="n">
        <v>7</v>
      </c>
      <c r="B456" s="1" t="n">
        <v>18</v>
      </c>
      <c r="C456" s="1" t="n">
        <v>2.3</v>
      </c>
      <c r="D456" s="1" t="n">
        <v>1.2316</v>
      </c>
      <c r="E456" s="1" t="n">
        <v>0.0842095</v>
      </c>
      <c r="F456" s="1" t="n">
        <v>0.000242046</v>
      </c>
      <c r="G456" s="1" t="s">
        <v>37</v>
      </c>
      <c r="H456" s="1" t="n">
        <v>39.8</v>
      </c>
      <c r="I456" s="1" t="n">
        <v>331.7</v>
      </c>
      <c r="J456" s="1" t="n">
        <v>0</v>
      </c>
      <c r="K456" s="1" t="n">
        <v>80.2</v>
      </c>
      <c r="L456" s="1" t="n">
        <v>0</v>
      </c>
      <c r="M456" s="1" t="n">
        <v>0</v>
      </c>
      <c r="N456" s="1" t="s">
        <v>314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Z456" s="0" t="n">
        <f aca="false">I456+65</f>
        <v>396.7</v>
      </c>
      <c r="AB456" s="0" t="n">
        <f aca="false">IF(Z456&gt;360,Z456-360,Z456+0)</f>
        <v>36.7</v>
      </c>
    </row>
    <row r="457" customFormat="false" ht="15.8" hidden="false" customHeight="false" outlineLevel="0" collapsed="false">
      <c r="A457" s="1" t="n">
        <v>7</v>
      </c>
      <c r="B457" s="1" t="n">
        <v>19</v>
      </c>
      <c r="C457" s="1" t="n">
        <v>1.1</v>
      </c>
      <c r="D457" s="1" t="n">
        <v>1.1131</v>
      </c>
      <c r="E457" s="1" t="n">
        <v>0.0395896</v>
      </c>
      <c r="F457" s="1" t="n">
        <v>0.000113794</v>
      </c>
      <c r="G457" s="1" t="s">
        <v>27</v>
      </c>
      <c r="H457" s="1" t="n">
        <v>107.1</v>
      </c>
      <c r="I457" s="1" t="n">
        <v>41.4</v>
      </c>
      <c r="J457" s="1" t="n">
        <v>-23.3</v>
      </c>
      <c r="K457" s="1"/>
      <c r="L457" s="1" t="n">
        <v>0</v>
      </c>
      <c r="M457" s="1" t="n">
        <v>0</v>
      </c>
      <c r="N457" s="1" t="s">
        <v>315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Z457" s="0" t="n">
        <f aca="false">I457+65</f>
        <v>106.4</v>
      </c>
      <c r="AB457" s="0" t="n">
        <f aca="false">IF(Z457&gt;360,Z457-360,Z457+0)</f>
        <v>106.4</v>
      </c>
    </row>
    <row r="458" customFormat="false" ht="15.8" hidden="false" customHeight="false" outlineLevel="0" collapsed="false">
      <c r="A458" s="1" t="n">
        <v>7</v>
      </c>
      <c r="B458" s="1" t="n">
        <v>19</v>
      </c>
      <c r="C458" s="1" t="n">
        <v>0.8</v>
      </c>
      <c r="D458" s="1" t="n">
        <v>1.0176</v>
      </c>
      <c r="E458" s="1" t="n">
        <v>0.0280479</v>
      </c>
      <c r="F458" s="1" t="n">
        <v>8.06192E-005</v>
      </c>
      <c r="G458" s="1" t="s">
        <v>27</v>
      </c>
      <c r="H458" s="1" t="n">
        <v>163.4</v>
      </c>
      <c r="I458" s="1" t="n">
        <v>96.1</v>
      </c>
      <c r="J458" s="1" t="n">
        <v>0</v>
      </c>
      <c r="K458" s="1"/>
      <c r="L458" s="1" t="n">
        <v>0</v>
      </c>
      <c r="M458" s="1" t="n">
        <v>0</v>
      </c>
      <c r="N458" s="1" t="s">
        <v>315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Z458" s="0" t="n">
        <f aca="false">I458+65</f>
        <v>161.1</v>
      </c>
      <c r="AB458" s="0" t="n">
        <f aca="false">IF(Z458&gt;360,Z458-360,Z458+0)</f>
        <v>161.1</v>
      </c>
    </row>
    <row r="459" customFormat="false" ht="15.8" hidden="false" customHeight="false" outlineLevel="0" collapsed="false">
      <c r="A459" s="1" t="n">
        <v>7</v>
      </c>
      <c r="B459" s="1" t="n">
        <v>20</v>
      </c>
      <c r="C459" s="1" t="n">
        <v>2.2</v>
      </c>
      <c r="D459" s="1" t="n">
        <v>1.2435</v>
      </c>
      <c r="E459" s="1" t="n">
        <v>0.080746</v>
      </c>
      <c r="F459" s="1" t="n">
        <v>0.000232091</v>
      </c>
      <c r="G459" s="1" t="s">
        <v>27</v>
      </c>
      <c r="H459" s="1" t="n">
        <v>41.3</v>
      </c>
      <c r="I459" s="1" t="n">
        <v>296.6</v>
      </c>
      <c r="J459" s="1" t="n">
        <v>25.7</v>
      </c>
      <c r="K459" s="1"/>
      <c r="L459" s="1" t="n">
        <v>0</v>
      </c>
      <c r="M459" s="1" t="n">
        <v>0</v>
      </c>
      <c r="N459" s="1" t="s">
        <v>316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Z459" s="0" t="n">
        <f aca="false">I459+65</f>
        <v>361.6</v>
      </c>
      <c r="AB459" s="0" t="n">
        <f aca="false">IF(Z459&gt;360,Z459-360,Z459+0)</f>
        <v>1.60000000000002</v>
      </c>
    </row>
    <row r="460" customFormat="false" ht="15.8" hidden="false" customHeight="false" outlineLevel="0" collapsed="false">
      <c r="A460" s="1" t="n">
        <v>7</v>
      </c>
      <c r="B460" s="1" t="n">
        <v>20</v>
      </c>
      <c r="C460" s="1" t="n">
        <v>2.7</v>
      </c>
      <c r="D460" s="1" t="n">
        <v>1.2324</v>
      </c>
      <c r="E460" s="1" t="n">
        <v>0.0972845</v>
      </c>
      <c r="F460" s="1" t="n">
        <v>0.000279628</v>
      </c>
      <c r="G460" s="1" t="s">
        <v>27</v>
      </c>
      <c r="H460" s="1" t="n">
        <v>62.6</v>
      </c>
      <c r="I460" s="1" t="n">
        <v>27</v>
      </c>
      <c r="J460" s="1" t="n">
        <v>-32.4</v>
      </c>
      <c r="K460" s="1"/>
      <c r="L460" s="1" t="n">
        <v>0</v>
      </c>
      <c r="M460" s="1" t="n">
        <v>0</v>
      </c>
      <c r="N460" s="1" t="s">
        <v>316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Z460" s="0" t="n">
        <f aca="false">I460+65</f>
        <v>92</v>
      </c>
      <c r="AB460" s="0" t="n">
        <f aca="false">IF(Z460&gt;360,Z460-360,Z460+0)</f>
        <v>92</v>
      </c>
    </row>
    <row r="461" customFormat="false" ht="15.8" hidden="false" customHeight="false" outlineLevel="0" collapsed="false">
      <c r="A461" s="1" t="n">
        <v>7</v>
      </c>
      <c r="B461" s="1" t="n">
        <v>19</v>
      </c>
      <c r="C461" s="1" t="n">
        <v>2.8</v>
      </c>
      <c r="D461" s="1" t="n">
        <v>1.0754</v>
      </c>
      <c r="E461" s="1" t="n">
        <v>0.101035</v>
      </c>
      <c r="F461" s="1" t="n">
        <v>0.000290408</v>
      </c>
      <c r="G461" s="1" t="s">
        <v>37</v>
      </c>
      <c r="H461" s="1" t="n">
        <v>37.4</v>
      </c>
      <c r="I461" s="1" t="n">
        <v>330</v>
      </c>
      <c r="J461" s="1" t="n">
        <v>0</v>
      </c>
      <c r="K461" s="1" t="n">
        <v>62.6</v>
      </c>
      <c r="L461" s="1" t="n">
        <v>0</v>
      </c>
      <c r="M461" s="1" t="n">
        <v>0</v>
      </c>
      <c r="N461" s="1" t="s">
        <v>315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Z461" s="0" t="n">
        <f aca="false">I461+65</f>
        <v>395</v>
      </c>
      <c r="AB461" s="0" t="n">
        <f aca="false">IF(Z461&gt;360,Z461-360,Z461+0)</f>
        <v>35</v>
      </c>
    </row>
    <row r="462" customFormat="false" ht="15.8" hidden="false" customHeight="false" outlineLevel="0" collapsed="false">
      <c r="A462" s="1" t="n">
        <v>7</v>
      </c>
      <c r="B462" s="1" t="n">
        <v>18</v>
      </c>
      <c r="C462" s="1" t="n">
        <v>2.3</v>
      </c>
      <c r="D462" s="1" t="n">
        <v>1.2405</v>
      </c>
      <c r="E462" s="1" t="n">
        <v>0.0815124</v>
      </c>
      <c r="F462" s="1" t="n">
        <v>0.000234294</v>
      </c>
      <c r="G462" s="1" t="s">
        <v>37</v>
      </c>
      <c r="H462" s="1" t="n">
        <v>61.4</v>
      </c>
      <c r="I462" s="1" t="n">
        <v>292.7</v>
      </c>
      <c r="J462" s="1" t="n">
        <v>0</v>
      </c>
      <c r="K462" s="1" t="n">
        <v>163.4</v>
      </c>
      <c r="L462" s="1" t="n">
        <v>0</v>
      </c>
      <c r="M462" s="1" t="n">
        <v>0</v>
      </c>
      <c r="N462" s="1" t="s">
        <v>314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Z462" s="0" t="n">
        <f aca="false">I462+65</f>
        <v>357.7</v>
      </c>
      <c r="AB462" s="0" t="n">
        <f aca="false">IF(Z462&gt;360,Z462-360,Z462+0)</f>
        <v>357.7</v>
      </c>
    </row>
    <row r="463" customFormat="false" ht="15.8" hidden="false" customHeight="false" outlineLevel="0" collapsed="false">
      <c r="A463" s="1" t="n">
        <v>7</v>
      </c>
      <c r="B463" s="1" t="n">
        <v>17</v>
      </c>
      <c r="C463" s="1" t="n">
        <v>1.5</v>
      </c>
      <c r="D463" s="1" t="n">
        <v>1.15</v>
      </c>
      <c r="E463" s="1" t="n">
        <v>0.0529894</v>
      </c>
      <c r="F463" s="1" t="n">
        <v>0.000152309</v>
      </c>
      <c r="G463" s="1" t="s">
        <v>37</v>
      </c>
      <c r="H463" s="1" t="n">
        <v>38.4</v>
      </c>
      <c r="I463" s="1" t="n">
        <v>345.5</v>
      </c>
      <c r="J463" s="1" t="n">
        <v>-37.7</v>
      </c>
      <c r="K463" s="1" t="n">
        <v>61.4</v>
      </c>
      <c r="L463" s="1" t="n">
        <v>0</v>
      </c>
      <c r="M463" s="1" t="n">
        <v>0</v>
      </c>
      <c r="N463" s="1" t="s">
        <v>311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Z463" s="0" t="n">
        <f aca="false">I463+65</f>
        <v>410.5</v>
      </c>
      <c r="AB463" s="0" t="n">
        <f aca="false">IF(Z463&gt;360,Z463-360,Z463+0)</f>
        <v>50.5</v>
      </c>
    </row>
    <row r="464" customFormat="false" ht="15.8" hidden="false" customHeight="false" outlineLevel="0" collapsed="false">
      <c r="A464" s="1" t="n">
        <v>7</v>
      </c>
      <c r="B464" s="1" t="n">
        <v>16</v>
      </c>
      <c r="C464" s="1" t="n">
        <v>0.7</v>
      </c>
      <c r="D464" s="1" t="n">
        <v>1.0347</v>
      </c>
      <c r="E464" s="1" t="n">
        <v>0.025956</v>
      </c>
      <c r="F464" s="1" t="n">
        <v>7.46062E-005</v>
      </c>
      <c r="G464" s="1" t="s">
        <v>37</v>
      </c>
      <c r="H464" s="1" t="n">
        <v>25.2</v>
      </c>
      <c r="I464" s="1" t="n">
        <v>353.3</v>
      </c>
      <c r="J464" s="1" t="n">
        <v>0</v>
      </c>
      <c r="K464" s="1" t="n">
        <v>103.7</v>
      </c>
      <c r="L464" s="1" t="n">
        <v>0</v>
      </c>
      <c r="M464" s="1" t="n">
        <v>0</v>
      </c>
      <c r="N464" s="1" t="s">
        <v>310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Z464" s="0" t="n">
        <f aca="false">I464+65</f>
        <v>418.3</v>
      </c>
      <c r="AB464" s="0" t="n">
        <f aca="false">IF(Z464&gt;360,Z464-360,Z464+0)</f>
        <v>58.3</v>
      </c>
    </row>
    <row r="465" customFormat="false" ht="15.8" hidden="false" customHeight="false" outlineLevel="0" collapsed="false">
      <c r="A465" s="1" t="n">
        <v>7</v>
      </c>
      <c r="B465" s="1" t="n">
        <v>15</v>
      </c>
      <c r="C465" s="1" t="n">
        <v>2.4</v>
      </c>
      <c r="D465" s="1" t="n">
        <v>1.2545</v>
      </c>
      <c r="E465" s="1" t="n">
        <v>0.0877084</v>
      </c>
      <c r="F465" s="1" t="n">
        <v>0.000252103</v>
      </c>
      <c r="G465" s="1" t="s">
        <v>37</v>
      </c>
      <c r="H465" s="1" t="n">
        <v>51.1</v>
      </c>
      <c r="I465" s="1" t="n">
        <v>1.9</v>
      </c>
      <c r="J465" s="1" t="n">
        <v>-23.8</v>
      </c>
      <c r="K465" s="1" t="n">
        <v>61.8</v>
      </c>
      <c r="L465" s="1" t="n">
        <v>0</v>
      </c>
      <c r="M465" s="1" t="n">
        <v>0</v>
      </c>
      <c r="N465" s="1" t="s">
        <v>309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Z465" s="0" t="n">
        <f aca="false">I465+65</f>
        <v>66.9</v>
      </c>
      <c r="AB465" s="0" t="n">
        <f aca="false">IF(Z465&gt;360,Z465-360,Z465+0)</f>
        <v>66.9</v>
      </c>
    </row>
    <row r="466" customFormat="false" ht="15.8" hidden="false" customHeight="false" outlineLevel="0" collapsed="false">
      <c r="A466" s="1" t="n">
        <v>7</v>
      </c>
      <c r="B466" s="1" t="n">
        <v>14</v>
      </c>
      <c r="C466" s="1" t="n">
        <v>1.3</v>
      </c>
      <c r="D466" s="1" t="n">
        <v>1.199</v>
      </c>
      <c r="E466" s="1" t="n">
        <v>0.0476132</v>
      </c>
      <c r="F466" s="1" t="n">
        <v>0.000136856</v>
      </c>
      <c r="G466" s="1" t="s">
        <v>37</v>
      </c>
      <c r="H466" s="1" t="n">
        <v>14.9</v>
      </c>
      <c r="I466" s="1" t="n">
        <v>306.4</v>
      </c>
      <c r="J466" s="1" t="n">
        <v>-20.8</v>
      </c>
      <c r="K466" s="1" t="n">
        <v>77.3</v>
      </c>
      <c r="L466" s="1" t="n">
        <v>0</v>
      </c>
      <c r="M466" s="1" t="n">
        <v>0</v>
      </c>
      <c r="N466" s="1" t="s">
        <v>308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Z466" s="0" t="n">
        <f aca="false">I466+65</f>
        <v>371.4</v>
      </c>
      <c r="AB466" s="0" t="n">
        <f aca="false">IF(Z466&gt;360,Z466-360,Z466+0)</f>
        <v>11.4</v>
      </c>
    </row>
    <row r="467" customFormat="false" ht="15.8" hidden="false" customHeight="false" outlineLevel="0" collapsed="false">
      <c r="A467" s="1" t="n">
        <v>7</v>
      </c>
      <c r="B467" s="1" t="n">
        <v>13</v>
      </c>
      <c r="C467" s="1" t="n">
        <v>2.3</v>
      </c>
      <c r="D467" s="1" t="n">
        <v>1.2276</v>
      </c>
      <c r="E467" s="1" t="n">
        <v>0.0837844</v>
      </c>
      <c r="F467" s="1" t="n">
        <v>0.000240824</v>
      </c>
      <c r="G467" s="1" t="s">
        <v>37</v>
      </c>
      <c r="H467" s="1" t="n">
        <v>113.9</v>
      </c>
      <c r="I467" s="1" t="n">
        <v>290.7</v>
      </c>
      <c r="J467" s="1" t="n">
        <v>-24.4</v>
      </c>
      <c r="K467" s="1" t="n">
        <v>60.2</v>
      </c>
      <c r="L467" s="1" t="n">
        <v>0</v>
      </c>
      <c r="M467" s="1" t="n">
        <v>0</v>
      </c>
      <c r="N467" s="1" t="s">
        <v>317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Z467" s="0" t="n">
        <f aca="false">I467+65</f>
        <v>355.7</v>
      </c>
      <c r="AB467" s="0" t="n">
        <f aca="false">IF(Z467&gt;360,Z467-360,Z467+0)</f>
        <v>355.7</v>
      </c>
    </row>
    <row r="468" customFormat="false" ht="15.8" hidden="false" customHeight="false" outlineLevel="0" collapsed="false">
      <c r="A468" s="1" t="n">
        <v>7</v>
      </c>
      <c r="B468" s="1" t="n">
        <v>14</v>
      </c>
      <c r="C468" s="1" t="n">
        <v>4.4</v>
      </c>
      <c r="D468" s="1" t="n">
        <v>1.4111</v>
      </c>
      <c r="E468" s="1" t="n">
        <v>0.158187</v>
      </c>
      <c r="F468" s="1" t="n">
        <v>0.000454682</v>
      </c>
      <c r="G468" s="1" t="s">
        <v>27</v>
      </c>
      <c r="H468" s="1" t="n">
        <v>92.5</v>
      </c>
      <c r="I468" s="1" t="n">
        <v>291</v>
      </c>
      <c r="J468" s="1" t="n">
        <v>-7.2</v>
      </c>
      <c r="K468" s="1"/>
      <c r="L468" s="1" t="n">
        <v>0</v>
      </c>
      <c r="M468" s="1" t="n">
        <v>0</v>
      </c>
      <c r="N468" s="1" t="s">
        <v>318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Z468" s="0" t="n">
        <f aca="false">I468+65</f>
        <v>356</v>
      </c>
      <c r="AB468" s="0" t="n">
        <f aca="false">IF(Z468&gt;360,Z468-360,Z468+0)</f>
        <v>356</v>
      </c>
    </row>
    <row r="469" customFormat="false" ht="15.8" hidden="false" customHeight="false" outlineLevel="0" collapsed="false">
      <c r="A469" s="1" t="n">
        <v>7</v>
      </c>
      <c r="B469" s="1" t="n">
        <v>14</v>
      </c>
      <c r="C469" s="1" t="n">
        <v>2.6</v>
      </c>
      <c r="D469" s="1" t="n">
        <v>1.1363</v>
      </c>
      <c r="E469" s="1" t="n">
        <v>0.0938095</v>
      </c>
      <c r="F469" s="1" t="n">
        <v>0.00026964</v>
      </c>
      <c r="G469" s="1" t="s">
        <v>27</v>
      </c>
      <c r="H469" s="1" t="n">
        <v>45.8</v>
      </c>
      <c r="I469" s="1" t="n">
        <v>63.3</v>
      </c>
      <c r="J469" s="1" t="n">
        <v>-9.8</v>
      </c>
      <c r="K469" s="1"/>
      <c r="L469" s="1" t="n">
        <v>0</v>
      </c>
      <c r="M469" s="1" t="n">
        <v>0</v>
      </c>
      <c r="N469" s="1" t="s">
        <v>318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Z469" s="0" t="n">
        <f aca="false">I469+65</f>
        <v>128.3</v>
      </c>
      <c r="AB469" s="0" t="n">
        <f aca="false">IF(Z469&gt;360,Z469-360,Z469+0)</f>
        <v>128.3</v>
      </c>
    </row>
    <row r="470" customFormat="false" ht="15.8" hidden="false" customHeight="false" outlineLevel="0" collapsed="false">
      <c r="A470" s="1" t="n">
        <v>7</v>
      </c>
      <c r="B470" s="1" t="n">
        <v>13</v>
      </c>
      <c r="C470" s="1" t="n">
        <v>2.3</v>
      </c>
      <c r="D470" s="1" t="n">
        <v>1.0858</v>
      </c>
      <c r="E470" s="1" t="n">
        <v>0.0813279</v>
      </c>
      <c r="F470" s="1" t="n">
        <v>0.000233764</v>
      </c>
      <c r="G470" s="1" t="s">
        <v>37</v>
      </c>
      <c r="H470" s="1" t="n">
        <v>19.6</v>
      </c>
      <c r="I470" s="1" t="n">
        <v>22.2</v>
      </c>
      <c r="J470" s="1" t="n">
        <v>10.8</v>
      </c>
      <c r="K470" s="1" t="n">
        <v>92.5</v>
      </c>
      <c r="L470" s="1" t="n">
        <v>0</v>
      </c>
      <c r="M470" s="1" t="n">
        <v>0</v>
      </c>
      <c r="N470" s="1" t="s">
        <v>317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Z470" s="0" t="n">
        <f aca="false">I470+65</f>
        <v>87.2</v>
      </c>
      <c r="AB470" s="0" t="n">
        <f aca="false">IF(Z470&gt;360,Z470-360,Z470+0)</f>
        <v>87.2</v>
      </c>
    </row>
    <row r="471" customFormat="false" ht="15.8" hidden="false" customHeight="false" outlineLevel="0" collapsed="false">
      <c r="A471" s="1" t="n">
        <v>7</v>
      </c>
      <c r="B471" s="1" t="n">
        <v>14</v>
      </c>
      <c r="C471" s="1" t="n">
        <v>4.9</v>
      </c>
      <c r="D471" s="1" t="n">
        <v>1.1067</v>
      </c>
      <c r="E471" s="1" t="n">
        <v>0.178675</v>
      </c>
      <c r="F471" s="1" t="n">
        <v>0.000513572</v>
      </c>
      <c r="G471" s="1" t="s">
        <v>27</v>
      </c>
      <c r="H471" s="1" t="n">
        <v>60.8</v>
      </c>
      <c r="I471" s="1" t="n">
        <v>63.3</v>
      </c>
      <c r="J471" s="1" t="n">
        <v>-5</v>
      </c>
      <c r="K471" s="1"/>
      <c r="L471" s="1" t="n">
        <v>0</v>
      </c>
      <c r="M471" s="1" t="n">
        <v>0</v>
      </c>
      <c r="N471" s="1" t="s">
        <v>319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Z471" s="0" t="n">
        <f aca="false">I471+65</f>
        <v>128.3</v>
      </c>
      <c r="AB471" s="0" t="n">
        <f aca="false">IF(Z471&gt;360,Z471-360,Z471+0)</f>
        <v>128.3</v>
      </c>
    </row>
    <row r="472" customFormat="false" ht="15.8" hidden="false" customHeight="false" outlineLevel="0" collapsed="false">
      <c r="A472" s="1" t="n">
        <v>7</v>
      </c>
      <c r="B472" s="1" t="n">
        <v>16</v>
      </c>
      <c r="C472" s="1" t="n">
        <v>0.8</v>
      </c>
      <c r="D472" s="1" t="n">
        <v>1.2457</v>
      </c>
      <c r="E472" s="1" t="n">
        <v>0.0280043</v>
      </c>
      <c r="F472" s="1" t="n">
        <v>8.04936E-005</v>
      </c>
      <c r="G472" s="1" t="s">
        <v>27</v>
      </c>
      <c r="H472" s="1" t="n">
        <v>102.6</v>
      </c>
      <c r="I472" s="1" t="n">
        <v>121.4</v>
      </c>
      <c r="J472" s="1" t="n">
        <v>38.8</v>
      </c>
      <c r="K472" s="1"/>
      <c r="L472" s="1" t="n">
        <v>0</v>
      </c>
      <c r="M472" s="1" t="n">
        <v>0</v>
      </c>
      <c r="N472" s="1" t="s">
        <v>320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Z472" s="0" t="n">
        <f aca="false">I472+65</f>
        <v>186.4</v>
      </c>
      <c r="AB472" s="0" t="n">
        <f aca="false">IF(Z472&gt;360,Z472-360,Z472+0)</f>
        <v>186.4</v>
      </c>
    </row>
    <row r="473" customFormat="false" ht="15.8" hidden="false" customHeight="false" outlineLevel="0" collapsed="false">
      <c r="A473" s="1" t="n">
        <v>7</v>
      </c>
      <c r="B473" s="1" t="n">
        <v>17</v>
      </c>
      <c r="C473" s="1" t="n">
        <v>0.6</v>
      </c>
      <c r="D473" s="1" t="n">
        <v>1.0835</v>
      </c>
      <c r="E473" s="1" t="n">
        <v>0.0226288</v>
      </c>
      <c r="F473" s="1" t="n">
        <v>6.50426E-005</v>
      </c>
      <c r="G473" s="1" t="s">
        <v>27</v>
      </c>
      <c r="H473" s="1" t="n">
        <v>25.9</v>
      </c>
      <c r="I473" s="1" t="n">
        <v>287.4</v>
      </c>
      <c r="J473" s="1" t="n">
        <v>0</v>
      </c>
      <c r="K473" s="1"/>
      <c r="L473" s="1" t="n">
        <v>0</v>
      </c>
      <c r="M473" s="1" t="n">
        <v>0</v>
      </c>
      <c r="N473" s="1" t="s">
        <v>321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Z473" s="0" t="n">
        <f aca="false">I473+65</f>
        <v>352.4</v>
      </c>
      <c r="AB473" s="0" t="n">
        <f aca="false">IF(Z473&gt;360,Z473-360,Z473+0)</f>
        <v>352.4</v>
      </c>
    </row>
    <row r="474" customFormat="false" ht="15.8" hidden="false" customHeight="false" outlineLevel="0" collapsed="false">
      <c r="A474" s="1" t="n">
        <v>7</v>
      </c>
      <c r="B474" s="1" t="n">
        <v>17</v>
      </c>
      <c r="C474" s="1" t="n">
        <v>0.6</v>
      </c>
      <c r="D474" s="1" t="n">
        <v>1.0231</v>
      </c>
      <c r="E474" s="1" t="n">
        <v>0.0223297</v>
      </c>
      <c r="F474" s="1" t="n">
        <v>6.41831E-005</v>
      </c>
      <c r="G474" s="1" t="s">
        <v>27</v>
      </c>
      <c r="H474" s="1" t="n">
        <v>59.5</v>
      </c>
      <c r="I474" s="1" t="n">
        <v>338.8</v>
      </c>
      <c r="J474" s="1" t="n">
        <v>0</v>
      </c>
      <c r="K474" s="1"/>
      <c r="L474" s="1" t="n">
        <v>0</v>
      </c>
      <c r="M474" s="1" t="n">
        <v>0</v>
      </c>
      <c r="N474" s="1" t="s">
        <v>321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Z474" s="0" t="n">
        <f aca="false">I474+65</f>
        <v>403.8</v>
      </c>
      <c r="AB474" s="0" t="n">
        <f aca="false">IF(Z474&gt;360,Z474-360,Z474+0)</f>
        <v>43.8</v>
      </c>
    </row>
    <row r="475" customFormat="false" ht="15.8" hidden="false" customHeight="false" outlineLevel="0" collapsed="false">
      <c r="A475" s="1" t="n">
        <v>7</v>
      </c>
      <c r="B475" s="1" t="n">
        <v>16</v>
      </c>
      <c r="C475" s="1" t="n">
        <v>1</v>
      </c>
      <c r="D475" s="1" t="n">
        <v>1.1186</v>
      </c>
      <c r="E475" s="1" t="n">
        <v>0.0364821</v>
      </c>
      <c r="F475" s="1" t="n">
        <v>0.000104862</v>
      </c>
      <c r="G475" s="1" t="s">
        <v>37</v>
      </c>
      <c r="H475" s="1" t="n">
        <v>57.1</v>
      </c>
      <c r="I475" s="1" t="n">
        <v>283.1</v>
      </c>
      <c r="J475" s="1" t="n">
        <v>-25.6</v>
      </c>
      <c r="K475" s="1" t="n">
        <v>59.5</v>
      </c>
      <c r="L475" s="1" t="n">
        <v>0</v>
      </c>
      <c r="M475" s="1" t="n">
        <v>0</v>
      </c>
      <c r="N475" s="1" t="s">
        <v>320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Z475" s="0" t="n">
        <f aca="false">I475+65</f>
        <v>348.1</v>
      </c>
      <c r="AB475" s="0" t="n">
        <f aca="false">IF(Z475&gt;360,Z475-360,Z475+0)</f>
        <v>348.1</v>
      </c>
    </row>
    <row r="476" customFormat="false" ht="15.8" hidden="false" customHeight="false" outlineLevel="0" collapsed="false">
      <c r="A476" s="1" t="n">
        <v>7</v>
      </c>
      <c r="B476" s="1" t="n">
        <v>15</v>
      </c>
      <c r="C476" s="1" t="n">
        <v>1.8</v>
      </c>
      <c r="D476" s="1" t="n">
        <v>1.2954</v>
      </c>
      <c r="E476" s="1" t="n">
        <v>0.0633152</v>
      </c>
      <c r="F476" s="1" t="n">
        <v>0.000181989</v>
      </c>
      <c r="G476" s="1" t="s">
        <v>37</v>
      </c>
      <c r="H476" s="1" t="n">
        <v>101.2</v>
      </c>
      <c r="I476" s="1" t="n">
        <v>243.7</v>
      </c>
      <c r="J476" s="1" t="n">
        <v>16.8</v>
      </c>
      <c r="K476" s="1" t="n">
        <v>102.6</v>
      </c>
      <c r="L476" s="1" t="n">
        <v>0</v>
      </c>
      <c r="M476" s="1" t="n">
        <v>0</v>
      </c>
      <c r="N476" s="1" t="s">
        <v>322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Z476" s="0" t="n">
        <f aca="false">I476+65</f>
        <v>308.7</v>
      </c>
      <c r="AB476" s="0" t="n">
        <f aca="false">IF(Z476&gt;360,Z476-360,Z476+0)</f>
        <v>308.7</v>
      </c>
    </row>
    <row r="477" customFormat="false" ht="15.8" hidden="false" customHeight="false" outlineLevel="0" collapsed="false">
      <c r="A477" s="1" t="n">
        <v>7</v>
      </c>
      <c r="B477" s="1" t="n">
        <v>16</v>
      </c>
      <c r="C477" s="1" t="n">
        <v>8.1</v>
      </c>
      <c r="D477" s="1" t="n">
        <v>2.1023</v>
      </c>
      <c r="E477" s="1" t="n">
        <v>0.294048</v>
      </c>
      <c r="F477" s="1" t="n">
        <v>0.000845192</v>
      </c>
      <c r="G477" s="1" t="s">
        <v>27</v>
      </c>
      <c r="H477" s="1" t="n">
        <v>78</v>
      </c>
      <c r="I477" s="1" t="n">
        <v>297.6</v>
      </c>
      <c r="J477" s="1" t="n">
        <v>65</v>
      </c>
      <c r="K477" s="1"/>
      <c r="L477" s="1" t="n">
        <v>0</v>
      </c>
      <c r="M477" s="1" t="n">
        <v>0</v>
      </c>
      <c r="N477" s="1" t="s">
        <v>323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Z477" s="0" t="n">
        <f aca="false">I477+65</f>
        <v>362.6</v>
      </c>
      <c r="AB477" s="0" t="n">
        <f aca="false">IF(Z477&gt;360,Z477-360,Z477+0)</f>
        <v>2.60000000000002</v>
      </c>
    </row>
    <row r="478" customFormat="false" ht="15.8" hidden="false" customHeight="false" outlineLevel="0" collapsed="false">
      <c r="A478" s="1" t="n">
        <v>7</v>
      </c>
      <c r="B478" s="1" t="n">
        <v>18</v>
      </c>
      <c r="C478" s="1" t="n">
        <v>0.9</v>
      </c>
      <c r="D478" s="1" t="n">
        <v>1.1711</v>
      </c>
      <c r="E478" s="1" t="n">
        <v>0.0334387</v>
      </c>
      <c r="F478" s="1" t="n">
        <v>9.6114E-005</v>
      </c>
      <c r="G478" s="1" t="s">
        <v>27</v>
      </c>
      <c r="H478" s="1" t="n">
        <v>22.1</v>
      </c>
      <c r="I478" s="1" t="n">
        <v>159.4</v>
      </c>
      <c r="J478" s="1" t="n">
        <v>29.6</v>
      </c>
      <c r="K478" s="1"/>
      <c r="L478" s="1" t="n">
        <v>0</v>
      </c>
      <c r="M478" s="1" t="n">
        <v>0</v>
      </c>
      <c r="N478" s="1" t="s">
        <v>324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Z478" s="0" t="n">
        <f aca="false">I478+65</f>
        <v>224.4</v>
      </c>
      <c r="AB478" s="0" t="n">
        <f aca="false">IF(Z478&gt;360,Z478-360,Z478+0)</f>
        <v>224.4</v>
      </c>
    </row>
    <row r="479" customFormat="false" ht="15.8" hidden="false" customHeight="false" outlineLevel="0" collapsed="false">
      <c r="A479" s="1" t="n">
        <v>7</v>
      </c>
      <c r="B479" s="1" t="n">
        <v>18</v>
      </c>
      <c r="C479" s="1" t="n">
        <v>0.8</v>
      </c>
      <c r="D479" s="1" t="n">
        <v>1.0099</v>
      </c>
      <c r="E479" s="1" t="n">
        <v>0.0297864</v>
      </c>
      <c r="F479" s="1" t="n">
        <v>8.56162E-005</v>
      </c>
      <c r="G479" s="1" t="s">
        <v>27</v>
      </c>
      <c r="H479" s="1" t="n">
        <v>113.7</v>
      </c>
      <c r="I479" s="1" t="n">
        <v>32.3</v>
      </c>
      <c r="J479" s="1" t="n">
        <v>0</v>
      </c>
      <c r="K479" s="1"/>
      <c r="L479" s="1" t="n">
        <v>0</v>
      </c>
      <c r="M479" s="1" t="n">
        <v>0</v>
      </c>
      <c r="N479" s="1" t="s">
        <v>324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Z479" s="0" t="n">
        <f aca="false">I479+65</f>
        <v>97.3</v>
      </c>
      <c r="AB479" s="0" t="n">
        <f aca="false">IF(Z479&gt;360,Z479-360,Z479+0)</f>
        <v>97.3</v>
      </c>
    </row>
    <row r="480" customFormat="false" ht="15.8" hidden="false" customHeight="false" outlineLevel="0" collapsed="false">
      <c r="A480" s="1" t="n">
        <v>7</v>
      </c>
      <c r="B480" s="1" t="n">
        <v>17</v>
      </c>
      <c r="C480" s="1" t="n">
        <v>2.8</v>
      </c>
      <c r="D480" s="1" t="n">
        <v>1.3865</v>
      </c>
      <c r="E480" s="1" t="n">
        <v>0.10202</v>
      </c>
      <c r="F480" s="1" t="n">
        <v>0.000293241</v>
      </c>
      <c r="G480" s="1" t="s">
        <v>37</v>
      </c>
      <c r="H480" s="1" t="n">
        <v>51.6</v>
      </c>
      <c r="I480" s="1" t="n">
        <v>146.5</v>
      </c>
      <c r="J480" s="1" t="n">
        <v>11</v>
      </c>
      <c r="K480" s="1" t="n">
        <v>113.7</v>
      </c>
      <c r="L480" s="1" t="n">
        <v>0</v>
      </c>
      <c r="M480" s="1" t="n">
        <v>0</v>
      </c>
      <c r="N480" s="1" t="s">
        <v>325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Z480" s="0" t="n">
        <f aca="false">I480+65</f>
        <v>211.5</v>
      </c>
      <c r="AB480" s="0" t="n">
        <f aca="false">IF(Z480&gt;360,Z480-360,Z480+0)</f>
        <v>211.5</v>
      </c>
    </row>
    <row r="481" customFormat="false" ht="15.8" hidden="false" customHeight="false" outlineLevel="0" collapsed="false">
      <c r="A481" s="1" t="n">
        <v>7</v>
      </c>
      <c r="B481" s="1" t="n">
        <v>18</v>
      </c>
      <c r="C481" s="1" t="n">
        <v>3.4</v>
      </c>
      <c r="D481" s="1" t="n">
        <v>1.3117</v>
      </c>
      <c r="E481" s="1" t="n">
        <v>0.123233</v>
      </c>
      <c r="F481" s="1" t="n">
        <v>0.000354212</v>
      </c>
      <c r="G481" s="1" t="s">
        <v>27</v>
      </c>
      <c r="H481" s="1" t="n">
        <v>33.9</v>
      </c>
      <c r="I481" s="1" t="n">
        <v>90.6</v>
      </c>
      <c r="J481" s="1" t="n">
        <v>36.9</v>
      </c>
      <c r="K481" s="1"/>
      <c r="L481" s="1" t="n">
        <v>0</v>
      </c>
      <c r="M481" s="1" t="n">
        <v>0</v>
      </c>
      <c r="N481" s="1" t="s">
        <v>326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Z481" s="0" t="n">
        <f aca="false">I481+65</f>
        <v>155.6</v>
      </c>
      <c r="AB481" s="0" t="n">
        <f aca="false">IF(Z481&gt;360,Z481-360,Z481+0)</f>
        <v>155.6</v>
      </c>
    </row>
    <row r="482" customFormat="false" ht="15.8" hidden="false" customHeight="false" outlineLevel="0" collapsed="false">
      <c r="A482" s="1" t="n">
        <v>7</v>
      </c>
      <c r="B482" s="1" t="n">
        <v>19</v>
      </c>
      <c r="C482" s="1" t="n">
        <v>1.2</v>
      </c>
      <c r="D482" s="1" t="n">
        <v>1.269</v>
      </c>
      <c r="E482" s="1" t="n">
        <v>0.0420112</v>
      </c>
      <c r="F482" s="1" t="n">
        <v>0.000120754</v>
      </c>
      <c r="G482" s="1" t="s">
        <v>27</v>
      </c>
      <c r="H482" s="1" t="n">
        <v>102</v>
      </c>
      <c r="I482" s="1" t="n">
        <v>133.9</v>
      </c>
      <c r="J482" s="1" t="n">
        <v>-25.2</v>
      </c>
      <c r="K482" s="1"/>
      <c r="L482" s="1" t="n">
        <v>0</v>
      </c>
      <c r="M482" s="1" t="n">
        <v>0</v>
      </c>
      <c r="N482" s="1" t="s">
        <v>327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Z482" s="0" t="n">
        <f aca="false">I482+65</f>
        <v>198.9</v>
      </c>
      <c r="AB482" s="0" t="n">
        <f aca="false">IF(Z482&gt;360,Z482-360,Z482+0)</f>
        <v>198.9</v>
      </c>
    </row>
    <row r="483" customFormat="false" ht="15.8" hidden="false" customHeight="false" outlineLevel="0" collapsed="false">
      <c r="A483" s="1" t="n">
        <v>7</v>
      </c>
      <c r="B483" s="1" t="n">
        <v>20</v>
      </c>
      <c r="C483" s="1" t="n">
        <v>1.7</v>
      </c>
      <c r="D483" s="1" t="n">
        <v>1.2494</v>
      </c>
      <c r="E483" s="1" t="n">
        <v>0.0596424</v>
      </c>
      <c r="F483" s="1" t="n">
        <v>0.000171432</v>
      </c>
      <c r="G483" s="1" t="s">
        <v>27</v>
      </c>
      <c r="H483" s="1" t="n">
        <v>81.8</v>
      </c>
      <c r="I483" s="1" t="n">
        <v>280.5</v>
      </c>
      <c r="J483" s="1" t="n">
        <v>17.2</v>
      </c>
      <c r="K483" s="1"/>
      <c r="L483" s="1" t="n">
        <v>0</v>
      </c>
      <c r="M483" s="1" t="n">
        <v>0</v>
      </c>
      <c r="N483" s="1" t="s">
        <v>328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Z483" s="0" t="n">
        <f aca="false">I483+65</f>
        <v>345.5</v>
      </c>
      <c r="AB483" s="0" t="n">
        <f aca="false">IF(Z483&gt;360,Z483-360,Z483+0)</f>
        <v>345.5</v>
      </c>
    </row>
    <row r="484" customFormat="false" ht="15.8" hidden="false" customHeight="false" outlineLevel="0" collapsed="false">
      <c r="A484" s="1" t="n">
        <v>7</v>
      </c>
      <c r="B484" s="1" t="n">
        <v>20</v>
      </c>
      <c r="C484" s="1" t="n">
        <v>4.7</v>
      </c>
      <c r="D484" s="1" t="n">
        <v>1.715</v>
      </c>
      <c r="E484" s="1" t="n">
        <v>0.16993</v>
      </c>
      <c r="F484" s="1" t="n">
        <v>0.000488436</v>
      </c>
      <c r="G484" s="1" t="s">
        <v>27</v>
      </c>
      <c r="H484" s="1" t="n">
        <v>48.6</v>
      </c>
      <c r="I484" s="1" t="n">
        <v>47.1</v>
      </c>
      <c r="J484" s="1" t="n">
        <v>-25.2</v>
      </c>
      <c r="K484" s="1"/>
      <c r="L484" s="1" t="n">
        <v>0</v>
      </c>
      <c r="M484" s="1" t="n">
        <v>0</v>
      </c>
      <c r="N484" s="1" t="s">
        <v>328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Z484" s="0" t="n">
        <f aca="false">I484+65</f>
        <v>112.1</v>
      </c>
      <c r="AB484" s="0" t="n">
        <f aca="false">IF(Z484&gt;360,Z484-360,Z484+0)</f>
        <v>112.1</v>
      </c>
    </row>
    <row r="485" customFormat="false" ht="15.8" hidden="false" customHeight="false" outlineLevel="0" collapsed="false">
      <c r="A485" s="1" t="n">
        <v>7</v>
      </c>
      <c r="B485" s="1" t="n">
        <v>19</v>
      </c>
      <c r="C485" s="1" t="n">
        <v>2.6</v>
      </c>
      <c r="D485" s="1" t="n">
        <v>1.3015</v>
      </c>
      <c r="E485" s="1" t="n">
        <v>0.0949285</v>
      </c>
      <c r="F485" s="1" t="n">
        <v>0.000272856</v>
      </c>
      <c r="G485" s="1" t="s">
        <v>37</v>
      </c>
      <c r="H485" s="1" t="n">
        <v>21.8</v>
      </c>
      <c r="I485" s="1" t="n">
        <v>353.6</v>
      </c>
      <c r="J485" s="1" t="n">
        <v>-22.7</v>
      </c>
      <c r="K485" s="1" t="n">
        <v>81.8</v>
      </c>
      <c r="L485" s="1" t="n">
        <v>0</v>
      </c>
      <c r="M485" s="1" t="n">
        <v>0</v>
      </c>
      <c r="N485" s="1" t="s">
        <v>327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Z485" s="0" t="n">
        <f aca="false">I485+65</f>
        <v>418.6</v>
      </c>
      <c r="AB485" s="0" t="n">
        <f aca="false">IF(Z485&gt;360,Z485-360,Z485+0)</f>
        <v>58.6</v>
      </c>
    </row>
    <row r="486" customFormat="false" ht="15.8" hidden="false" customHeight="false" outlineLevel="0" collapsed="false">
      <c r="A486" s="1" t="n">
        <v>7</v>
      </c>
      <c r="B486" s="1" t="n">
        <v>18</v>
      </c>
      <c r="C486" s="1" t="n">
        <v>1.3</v>
      </c>
      <c r="D486" s="1" t="n">
        <v>1.2463</v>
      </c>
      <c r="E486" s="1" t="n">
        <v>0.0452853</v>
      </c>
      <c r="F486" s="1" t="n">
        <v>0.000130165</v>
      </c>
      <c r="G486" s="1" t="s">
        <v>37</v>
      </c>
      <c r="H486" s="1" t="n">
        <v>61.3</v>
      </c>
      <c r="I486" s="1" t="n">
        <v>17.3</v>
      </c>
      <c r="J486" s="1" t="n">
        <v>-22.8</v>
      </c>
      <c r="K486" s="1" t="n">
        <v>102</v>
      </c>
      <c r="L486" s="1" t="n">
        <v>0</v>
      </c>
      <c r="M486" s="1" t="n">
        <v>0</v>
      </c>
      <c r="N486" s="1" t="s">
        <v>326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Z486" s="0" t="n">
        <f aca="false">I486+65</f>
        <v>82.3</v>
      </c>
      <c r="AB486" s="0" t="n">
        <f aca="false">IF(Z486&gt;360,Z486-360,Z486+0)</f>
        <v>82.3</v>
      </c>
    </row>
    <row r="487" customFormat="false" ht="15.8" hidden="false" customHeight="false" outlineLevel="0" collapsed="false">
      <c r="A487" s="1" t="n">
        <v>7</v>
      </c>
      <c r="B487" s="1" t="n">
        <v>17</v>
      </c>
      <c r="C487" s="1" t="n">
        <v>3.3</v>
      </c>
      <c r="D487" s="1" t="n">
        <v>1.137</v>
      </c>
      <c r="E487" s="1" t="n">
        <v>0.119489</v>
      </c>
      <c r="F487" s="1" t="n">
        <v>0.00034345</v>
      </c>
      <c r="G487" s="1" t="s">
        <v>37</v>
      </c>
      <c r="H487" s="1" t="n">
        <v>22.3</v>
      </c>
      <c r="I487" s="1" t="n">
        <v>71.6</v>
      </c>
      <c r="J487" s="1" t="n">
        <v>7.7</v>
      </c>
      <c r="K487" s="1" t="n">
        <v>61.3</v>
      </c>
      <c r="L487" s="1" t="n">
        <v>0</v>
      </c>
      <c r="M487" s="1" t="n">
        <v>0</v>
      </c>
      <c r="N487" s="1" t="s">
        <v>325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Z487" s="0" t="n">
        <f aca="false">I487+65</f>
        <v>136.6</v>
      </c>
      <c r="AB487" s="0" t="n">
        <f aca="false">IF(Z487&gt;360,Z487-360,Z487+0)</f>
        <v>136.6</v>
      </c>
    </row>
    <row r="488" customFormat="false" ht="15.8" hidden="false" customHeight="false" outlineLevel="0" collapsed="false">
      <c r="A488" s="1" t="n">
        <v>7</v>
      </c>
      <c r="B488" s="1" t="n">
        <v>16</v>
      </c>
      <c r="C488" s="1" t="n">
        <v>3.6</v>
      </c>
      <c r="D488" s="1" t="n">
        <v>1.3247</v>
      </c>
      <c r="E488" s="1" t="n">
        <v>0.129323</v>
      </c>
      <c r="F488" s="1" t="n">
        <v>0.000371719</v>
      </c>
      <c r="G488" s="1" t="s">
        <v>37</v>
      </c>
      <c r="H488" s="1" t="n">
        <v>34</v>
      </c>
      <c r="I488" s="1" t="n">
        <v>94.2</v>
      </c>
      <c r="J488" s="1" t="n">
        <v>8.3</v>
      </c>
      <c r="K488" s="1" t="n">
        <v>51.6</v>
      </c>
      <c r="L488" s="1" t="n">
        <v>0</v>
      </c>
      <c r="M488" s="1" t="n">
        <v>0</v>
      </c>
      <c r="N488" s="1" t="s">
        <v>323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Z488" s="0" t="n">
        <f aca="false">I488+65</f>
        <v>159.2</v>
      </c>
      <c r="AB488" s="0" t="n">
        <f aca="false">IF(Z488&gt;360,Z488-360,Z488+0)</f>
        <v>159.2</v>
      </c>
    </row>
    <row r="489" customFormat="false" ht="15.8" hidden="false" customHeight="false" outlineLevel="0" collapsed="false">
      <c r="A489" s="1" t="n">
        <v>7</v>
      </c>
      <c r="B489" s="1" t="n">
        <v>15</v>
      </c>
      <c r="C489" s="1" t="n">
        <v>4.8</v>
      </c>
      <c r="D489" s="1" t="n">
        <v>1.1749</v>
      </c>
      <c r="E489" s="1" t="n">
        <v>0.173204</v>
      </c>
      <c r="F489" s="1" t="n">
        <v>0.000497846</v>
      </c>
      <c r="G489" s="1" t="s">
        <v>37</v>
      </c>
      <c r="H489" s="1" t="n">
        <v>37.3</v>
      </c>
      <c r="I489" s="1" t="n">
        <v>65.2</v>
      </c>
      <c r="J489" s="1" t="n">
        <v>28.5</v>
      </c>
      <c r="K489" s="1" t="n">
        <v>78</v>
      </c>
      <c r="L489" s="1" t="n">
        <v>0</v>
      </c>
      <c r="M489" s="1" t="n">
        <v>0</v>
      </c>
      <c r="N489" s="1" t="s">
        <v>322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Z489" s="0" t="n">
        <f aca="false">I489+65</f>
        <v>130.2</v>
      </c>
      <c r="AB489" s="0" t="n">
        <f aca="false">IF(Z489&gt;360,Z489-360,Z489+0)</f>
        <v>130.2</v>
      </c>
    </row>
    <row r="490" customFormat="false" ht="15.8" hidden="false" customHeight="false" outlineLevel="0" collapsed="false">
      <c r="A490" s="1" t="n">
        <v>7</v>
      </c>
      <c r="B490" s="1" t="n">
        <v>14</v>
      </c>
      <c r="C490" s="1" t="n">
        <v>4.1</v>
      </c>
      <c r="D490" s="1" t="n">
        <v>1.2585</v>
      </c>
      <c r="E490" s="1" t="n">
        <v>0.147621</v>
      </c>
      <c r="F490" s="1" t="n">
        <v>0.000424311</v>
      </c>
      <c r="G490" s="1" t="s">
        <v>37</v>
      </c>
      <c r="H490" s="1" t="n">
        <v>91.6</v>
      </c>
      <c r="I490" s="1" t="n">
        <v>31.1</v>
      </c>
      <c r="J490" s="1" t="n">
        <v>57.2</v>
      </c>
      <c r="K490" s="1" t="n">
        <v>101.2</v>
      </c>
      <c r="L490" s="1" t="n">
        <v>0</v>
      </c>
      <c r="M490" s="1" t="n">
        <v>0</v>
      </c>
      <c r="N490" s="1" t="s">
        <v>319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Z490" s="0" t="n">
        <f aca="false">I490+65</f>
        <v>96.1</v>
      </c>
      <c r="AB490" s="0" t="n">
        <f aca="false">IF(Z490&gt;360,Z490-360,Z490+0)</f>
        <v>96.1</v>
      </c>
    </row>
    <row r="491" customFormat="false" ht="15.8" hidden="false" customHeight="false" outlineLevel="0" collapsed="false">
      <c r="A491" s="1" t="n">
        <v>7</v>
      </c>
      <c r="B491" s="1" t="n">
        <v>13</v>
      </c>
      <c r="C491" s="1" t="n">
        <v>0.7</v>
      </c>
      <c r="D491" s="1" t="n">
        <v>1.0468</v>
      </c>
      <c r="E491" s="1" t="n">
        <v>0.025683</v>
      </c>
      <c r="F491" s="1" t="n">
        <v>7.38215E-005</v>
      </c>
      <c r="G491" s="1" t="s">
        <v>37</v>
      </c>
      <c r="H491" s="1" t="n">
        <v>87.1</v>
      </c>
      <c r="I491" s="1" t="n">
        <v>124</v>
      </c>
      <c r="J491" s="1" t="n">
        <v>0</v>
      </c>
      <c r="K491" s="1" t="n">
        <v>91.6</v>
      </c>
      <c r="L491" s="1" t="n">
        <v>0</v>
      </c>
      <c r="M491" s="1" t="n">
        <v>0</v>
      </c>
      <c r="N491" s="1" t="s">
        <v>317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Z491" s="0" t="n">
        <f aca="false">I491+65</f>
        <v>189</v>
      </c>
      <c r="AB491" s="0" t="n">
        <f aca="false">IF(Z491&gt;360,Z491-360,Z491+0)</f>
        <v>189</v>
      </c>
    </row>
    <row r="492" customFormat="false" ht="15.8" hidden="false" customHeight="false" outlineLevel="0" collapsed="false">
      <c r="A492" s="1" t="n">
        <v>7</v>
      </c>
      <c r="B492" s="1" t="n">
        <v>12</v>
      </c>
      <c r="C492" s="1" t="n">
        <v>2.2</v>
      </c>
      <c r="D492" s="1" t="n">
        <v>1.1526</v>
      </c>
      <c r="E492" s="1" t="n">
        <v>0.0784539</v>
      </c>
      <c r="F492" s="1" t="n">
        <v>0.000225503</v>
      </c>
      <c r="G492" s="1" t="s">
        <v>37</v>
      </c>
      <c r="H492" s="1" t="n">
        <v>52.4</v>
      </c>
      <c r="I492" s="1" t="n">
        <v>37.1</v>
      </c>
      <c r="J492" s="1" t="n">
        <v>24.5</v>
      </c>
      <c r="K492" s="1" t="n">
        <v>113.9</v>
      </c>
      <c r="L492" s="1" t="n">
        <v>0</v>
      </c>
      <c r="M492" s="1" t="n">
        <v>0</v>
      </c>
      <c r="N492" s="1" t="s">
        <v>307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Z492" s="0" t="n">
        <f aca="false">I492+65</f>
        <v>102.1</v>
      </c>
      <c r="AB492" s="0" t="n">
        <f aca="false">IF(Z492&gt;360,Z492-360,Z492+0)</f>
        <v>102.1</v>
      </c>
    </row>
    <row r="493" customFormat="false" ht="15.8" hidden="false" customHeight="false" outlineLevel="0" collapsed="false">
      <c r="A493" s="1" t="n">
        <v>7</v>
      </c>
      <c r="B493" s="1" t="n">
        <v>11</v>
      </c>
      <c r="C493" s="1" t="n">
        <v>2.3</v>
      </c>
      <c r="D493" s="1" t="n">
        <v>1.1621</v>
      </c>
      <c r="E493" s="1" t="n">
        <v>0.0831775</v>
      </c>
      <c r="F493" s="1" t="n">
        <v>0.00023908</v>
      </c>
      <c r="G493" s="1" t="s">
        <v>37</v>
      </c>
      <c r="H493" s="1" t="n">
        <v>66.4</v>
      </c>
      <c r="I493" s="1" t="n">
        <v>345.2</v>
      </c>
      <c r="J493" s="1" t="n">
        <v>65.3</v>
      </c>
      <c r="K493" s="1" t="n">
        <v>93</v>
      </c>
      <c r="L493" s="1" t="n">
        <v>0</v>
      </c>
      <c r="M493" s="1" t="n">
        <v>0</v>
      </c>
      <c r="N493" s="1" t="s">
        <v>306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Z493" s="0" t="n">
        <f aca="false">I493+65</f>
        <v>410.2</v>
      </c>
      <c r="AB493" s="0" t="n">
        <f aca="false">IF(Z493&gt;360,Z493-360,Z493+0)</f>
        <v>50.2</v>
      </c>
    </row>
    <row r="494" customFormat="false" ht="15.8" hidden="false" customHeight="false" outlineLevel="0" collapsed="false">
      <c r="A494" s="1" t="n">
        <v>7</v>
      </c>
      <c r="B494" s="1" t="n">
        <v>10</v>
      </c>
      <c r="C494" s="1" t="n">
        <v>1</v>
      </c>
      <c r="D494" s="1" t="n">
        <v>1.0055</v>
      </c>
      <c r="E494" s="1" t="n">
        <v>0.0369734</v>
      </c>
      <c r="F494" s="1" t="n">
        <v>0.000106274</v>
      </c>
      <c r="G494" s="1" t="s">
        <v>37</v>
      </c>
      <c r="H494" s="1" t="n">
        <v>34.4</v>
      </c>
      <c r="I494" s="1" t="n">
        <v>328.3</v>
      </c>
      <c r="J494" s="1" t="n">
        <v>0</v>
      </c>
      <c r="K494" s="1" t="n">
        <v>66.4</v>
      </c>
      <c r="L494" s="1" t="n">
        <v>0</v>
      </c>
      <c r="M494" s="1" t="n">
        <v>0</v>
      </c>
      <c r="N494" s="1" t="s">
        <v>329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Z494" s="0" t="n">
        <f aca="false">I494+65</f>
        <v>393.3</v>
      </c>
      <c r="AB494" s="0" t="n">
        <f aca="false">IF(Z494&gt;360,Z494-360,Z494+0)</f>
        <v>33.3</v>
      </c>
    </row>
    <row r="495" customFormat="false" ht="15.8" hidden="false" customHeight="false" outlineLevel="0" collapsed="false">
      <c r="A495" s="1" t="n">
        <v>7</v>
      </c>
      <c r="B495" s="1" t="n">
        <v>10</v>
      </c>
      <c r="C495" s="1" t="n">
        <v>1.5</v>
      </c>
      <c r="D495" s="1" t="n">
        <v>1.0048</v>
      </c>
      <c r="E495" s="1" t="n">
        <v>0.0529415</v>
      </c>
      <c r="F495" s="1" t="n">
        <v>0.000152172</v>
      </c>
      <c r="G495" s="1" t="s">
        <v>27</v>
      </c>
      <c r="H495" s="1" t="n">
        <v>111.5</v>
      </c>
      <c r="I495" s="1" t="n">
        <v>270</v>
      </c>
      <c r="J495" s="1" t="n">
        <v>-64.8</v>
      </c>
      <c r="K495" s="1"/>
      <c r="L495" s="1" t="n">
        <v>0</v>
      </c>
      <c r="M495" s="1" t="n">
        <v>0</v>
      </c>
      <c r="N495" s="1" t="s">
        <v>329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Z495" s="0" t="n">
        <f aca="false">I495+65</f>
        <v>335</v>
      </c>
      <c r="AB495" s="0" t="n">
        <f aca="false">IF(Z495&gt;360,Z495-360,Z495+0)</f>
        <v>335</v>
      </c>
    </row>
    <row r="496" customFormat="false" ht="15.8" hidden="false" customHeight="false" outlineLevel="0" collapsed="false">
      <c r="A496" s="1" t="n">
        <v>7</v>
      </c>
      <c r="B496" s="1" t="n">
        <v>10</v>
      </c>
      <c r="C496" s="1" t="n">
        <v>1.2</v>
      </c>
      <c r="D496" s="1" t="n">
        <v>1.2867</v>
      </c>
      <c r="E496" s="1" t="n">
        <v>0.042579</v>
      </c>
      <c r="F496" s="1" t="n">
        <v>0.000122386</v>
      </c>
      <c r="G496" s="1" t="s">
        <v>27</v>
      </c>
      <c r="H496" s="1" t="n">
        <v>87</v>
      </c>
      <c r="I496" s="1" t="n">
        <v>77.2</v>
      </c>
      <c r="J496" s="1" t="n">
        <v>15.2</v>
      </c>
      <c r="K496" s="1"/>
      <c r="L496" s="1" t="n">
        <v>0</v>
      </c>
      <c r="M496" s="1" t="n">
        <v>0</v>
      </c>
      <c r="N496" s="1" t="s">
        <v>329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Z496" s="0" t="n">
        <f aca="false">I496+65</f>
        <v>142.2</v>
      </c>
      <c r="AB496" s="0" t="n">
        <f aca="false">IF(Z496&gt;360,Z496-360,Z496+0)</f>
        <v>142.2</v>
      </c>
    </row>
    <row r="497" customFormat="false" ht="15.8" hidden="false" customHeight="false" outlineLevel="0" collapsed="false">
      <c r="A497" s="1" t="n">
        <v>7</v>
      </c>
      <c r="B497" s="1" t="n">
        <v>9</v>
      </c>
      <c r="C497" s="1" t="n">
        <v>1</v>
      </c>
      <c r="D497" s="1" t="n">
        <v>1.3195</v>
      </c>
      <c r="E497" s="1" t="n">
        <v>0.0287157</v>
      </c>
      <c r="F497" s="1" t="n">
        <v>7.17832E-005</v>
      </c>
      <c r="G497" s="1" t="s">
        <v>37</v>
      </c>
      <c r="H497" s="1" t="n">
        <v>9.9</v>
      </c>
      <c r="I497" s="1" t="n">
        <v>341.1</v>
      </c>
      <c r="J497" s="1" t="n">
        <v>32.2</v>
      </c>
      <c r="K497" s="1" t="n">
        <v>111.5</v>
      </c>
      <c r="L497" s="1" t="n">
        <v>0</v>
      </c>
      <c r="M497" s="1" t="n">
        <v>0</v>
      </c>
      <c r="N497" s="1" t="s">
        <v>299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Z497" s="0" t="n">
        <f aca="false">I497+65</f>
        <v>406.1</v>
      </c>
      <c r="AB497" s="0" t="n">
        <f aca="false">IF(Z497&gt;360,Z497-360,Z497+0)</f>
        <v>46.1</v>
      </c>
    </row>
    <row r="498" customFormat="false" ht="15.8" hidden="false" customHeight="false" outlineLevel="0" collapsed="false">
      <c r="A498" s="1" t="n">
        <v>7</v>
      </c>
      <c r="B498" s="1" t="n">
        <v>8</v>
      </c>
      <c r="C498" s="1" t="n">
        <v>2.2</v>
      </c>
      <c r="D498" s="1" t="n">
        <v>1.1837</v>
      </c>
      <c r="E498" s="1" t="n">
        <v>0.0805881</v>
      </c>
      <c r="F498" s="1" t="n">
        <v>0.000231637</v>
      </c>
      <c r="G498" s="1" t="s">
        <v>37</v>
      </c>
      <c r="H498" s="1" t="n">
        <v>47.3</v>
      </c>
      <c r="I498" s="1" t="n">
        <v>348</v>
      </c>
      <c r="J498" s="1" t="n">
        <v>24.4</v>
      </c>
      <c r="K498" s="1" t="n">
        <v>104.8</v>
      </c>
      <c r="L498" s="1" t="n">
        <v>0</v>
      </c>
      <c r="M498" s="1" t="n">
        <v>0</v>
      </c>
      <c r="N498" s="1" t="s">
        <v>295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Z498" s="0" t="n">
        <f aca="false">I498+65</f>
        <v>413</v>
      </c>
      <c r="AB498" s="0" t="n">
        <f aca="false">IF(Z498&gt;360,Z498-360,Z498+0)</f>
        <v>53</v>
      </c>
    </row>
    <row r="499" customFormat="false" ht="15.8" hidden="false" customHeight="false" outlineLevel="0" collapsed="false">
      <c r="A499" s="1" t="n">
        <v>7</v>
      </c>
      <c r="B499" s="1" t="n">
        <v>7</v>
      </c>
      <c r="C499" s="1" t="n">
        <v>0.8</v>
      </c>
      <c r="D499" s="1" t="n">
        <v>1.0122</v>
      </c>
      <c r="E499" s="1" t="n">
        <v>0.0304951</v>
      </c>
      <c r="F499" s="1" t="n">
        <v>8.76532E-005</v>
      </c>
      <c r="G499" s="1" t="s">
        <v>37</v>
      </c>
      <c r="H499" s="1" t="n">
        <v>32.6</v>
      </c>
      <c r="I499" s="1" t="n">
        <v>13.5</v>
      </c>
      <c r="J499" s="1" t="n">
        <v>69.2</v>
      </c>
      <c r="K499" s="1" t="n">
        <v>64.2</v>
      </c>
      <c r="L499" s="1" t="n">
        <v>0</v>
      </c>
      <c r="M499" s="1" t="n">
        <v>0</v>
      </c>
      <c r="N499" s="1" t="s">
        <v>330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Z499" s="0" t="n">
        <f aca="false">I499+65</f>
        <v>78.5</v>
      </c>
      <c r="AB499" s="0" t="n">
        <f aca="false">IF(Z499&gt;360,Z499-360,Z499+0)</f>
        <v>78.5</v>
      </c>
    </row>
    <row r="500" customFormat="false" ht="15.8" hidden="false" customHeight="false" outlineLevel="0" collapsed="false">
      <c r="A500" s="1" t="n">
        <v>7</v>
      </c>
      <c r="B500" s="1" t="n">
        <v>8</v>
      </c>
      <c r="C500" s="1" t="n">
        <v>0.8</v>
      </c>
      <c r="D500" s="1" t="n">
        <v>1.0118</v>
      </c>
      <c r="E500" s="1" t="n">
        <v>0.0274973</v>
      </c>
      <c r="F500" s="1" t="n">
        <v>7.90364E-005</v>
      </c>
      <c r="G500" s="1" t="s">
        <v>27</v>
      </c>
      <c r="H500" s="1" t="n">
        <v>85.8</v>
      </c>
      <c r="I500" s="1" t="n">
        <v>231.2</v>
      </c>
      <c r="J500" s="1" t="n">
        <v>0</v>
      </c>
      <c r="K500" s="1"/>
      <c r="L500" s="1" t="n">
        <v>0</v>
      </c>
      <c r="M500" s="1" t="n">
        <v>0</v>
      </c>
      <c r="N500" s="1" t="s">
        <v>331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Z500" s="0" t="n">
        <f aca="false">I500+65</f>
        <v>296.2</v>
      </c>
      <c r="AB500" s="0" t="n">
        <f aca="false">IF(Z500&gt;360,Z500-360,Z500+0)</f>
        <v>296.2</v>
      </c>
    </row>
    <row r="501" customFormat="false" ht="15.8" hidden="false" customHeight="false" outlineLevel="0" collapsed="false">
      <c r="A501" s="1" t="n">
        <v>7</v>
      </c>
      <c r="B501" s="1" t="n">
        <v>9</v>
      </c>
      <c r="C501" s="1" t="n">
        <v>1.7</v>
      </c>
      <c r="D501" s="1" t="n">
        <v>1.0393</v>
      </c>
      <c r="E501" s="1" t="n">
        <v>0.0601753</v>
      </c>
      <c r="F501" s="1" t="n">
        <v>0.000172964</v>
      </c>
      <c r="G501" s="1" t="s">
        <v>27</v>
      </c>
      <c r="H501" s="1" t="n">
        <v>104.6</v>
      </c>
      <c r="I501" s="1" t="n">
        <v>239.4</v>
      </c>
      <c r="J501" s="1" t="n">
        <v>0</v>
      </c>
      <c r="K501" s="1"/>
      <c r="L501" s="1" t="n">
        <v>0</v>
      </c>
      <c r="M501" s="1" t="n">
        <v>0</v>
      </c>
      <c r="N501" s="1" t="s">
        <v>332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Z501" s="0" t="n">
        <f aca="false">I501+65</f>
        <v>304.4</v>
      </c>
      <c r="AB501" s="0" t="n">
        <f aca="false">IF(Z501&gt;360,Z501-360,Z501+0)</f>
        <v>304.4</v>
      </c>
    </row>
    <row r="502" customFormat="false" ht="15.8" hidden="false" customHeight="false" outlineLevel="0" collapsed="false">
      <c r="A502" s="1" t="n">
        <v>7</v>
      </c>
      <c r="B502" s="1" t="n">
        <v>10</v>
      </c>
      <c r="C502" s="1" t="n">
        <v>1.6</v>
      </c>
      <c r="D502" s="1" t="n">
        <v>1.2937</v>
      </c>
      <c r="E502" s="1" t="n">
        <v>0.0580313</v>
      </c>
      <c r="F502" s="1" t="n">
        <v>0.000166801</v>
      </c>
      <c r="G502" s="1" t="s">
        <v>27</v>
      </c>
      <c r="H502" s="1" t="n">
        <v>78.5</v>
      </c>
      <c r="I502" s="1" t="n">
        <v>313.8</v>
      </c>
      <c r="J502" s="1" t="n">
        <v>-18.3</v>
      </c>
      <c r="K502" s="1"/>
      <c r="L502" s="1" t="n">
        <v>0</v>
      </c>
      <c r="M502" s="1" t="n">
        <v>0</v>
      </c>
      <c r="N502" s="1" t="s">
        <v>333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Z502" s="0" t="n">
        <f aca="false">I502+65</f>
        <v>378.8</v>
      </c>
      <c r="AB502" s="0" t="n">
        <f aca="false">IF(Z502&gt;360,Z502-360,Z502+0)</f>
        <v>18.8</v>
      </c>
    </row>
    <row r="503" customFormat="false" ht="15.8" hidden="false" customHeight="false" outlineLevel="0" collapsed="false">
      <c r="A503" s="1" t="n">
        <v>7</v>
      </c>
      <c r="B503" s="1" t="n">
        <v>11</v>
      </c>
      <c r="C503" s="1" t="n">
        <v>1</v>
      </c>
      <c r="D503" s="1" t="n">
        <v>1.1538</v>
      </c>
      <c r="E503" s="1" t="n">
        <v>0.0364622</v>
      </c>
      <c r="F503" s="1" t="n">
        <v>0.000104805</v>
      </c>
      <c r="G503" s="1" t="s">
        <v>27</v>
      </c>
      <c r="H503" s="1" t="n">
        <v>67</v>
      </c>
      <c r="I503" s="1" t="n">
        <v>176.6</v>
      </c>
      <c r="J503" s="1" t="n">
        <v>26.5</v>
      </c>
      <c r="K503" s="1"/>
      <c r="L503" s="1" t="n">
        <v>0</v>
      </c>
      <c r="M503" s="1" t="n">
        <v>0</v>
      </c>
      <c r="N503" s="1" t="s">
        <v>334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Z503" s="0" t="n">
        <f aca="false">I503+65</f>
        <v>241.6</v>
      </c>
      <c r="AB503" s="0" t="n">
        <f aca="false">IF(Z503&gt;360,Z503-360,Z503+0)</f>
        <v>241.6</v>
      </c>
    </row>
    <row r="504" customFormat="false" ht="15.8" hidden="false" customHeight="false" outlineLevel="0" collapsed="false">
      <c r="A504" s="1" t="n">
        <v>7</v>
      </c>
      <c r="B504" s="1" t="n">
        <v>12</v>
      </c>
      <c r="C504" s="1" t="n">
        <v>0.7</v>
      </c>
      <c r="D504" s="1" t="n">
        <v>1.0002</v>
      </c>
      <c r="E504" s="1" t="n">
        <v>0.0257563</v>
      </c>
      <c r="F504" s="1" t="n">
        <v>7.40322E-005</v>
      </c>
      <c r="G504" s="1" t="s">
        <v>27</v>
      </c>
      <c r="H504" s="1" t="n">
        <v>62.6</v>
      </c>
      <c r="I504" s="1" t="n">
        <v>142.2</v>
      </c>
      <c r="J504" s="1" t="n">
        <v>0</v>
      </c>
      <c r="K504" s="1"/>
      <c r="L504" s="1" t="n">
        <v>0</v>
      </c>
      <c r="M504" s="1" t="n">
        <v>0</v>
      </c>
      <c r="N504" s="1" t="s">
        <v>335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Z504" s="0" t="n">
        <f aca="false">I504+65</f>
        <v>207.2</v>
      </c>
      <c r="AB504" s="0" t="n">
        <f aca="false">IF(Z504&gt;360,Z504-360,Z504+0)</f>
        <v>207.2</v>
      </c>
    </row>
    <row r="505" customFormat="false" ht="15.8" hidden="false" customHeight="false" outlineLevel="0" collapsed="false">
      <c r="A505" s="1" t="n">
        <v>7</v>
      </c>
      <c r="B505" s="1" t="n">
        <v>12</v>
      </c>
      <c r="C505" s="1" t="n">
        <v>4.7</v>
      </c>
      <c r="D505" s="1" t="n">
        <v>1.2664</v>
      </c>
      <c r="E505" s="1" t="n">
        <v>0.169469</v>
      </c>
      <c r="F505" s="1" t="n">
        <v>0.00048711</v>
      </c>
      <c r="G505" s="1" t="s">
        <v>27</v>
      </c>
      <c r="H505" s="1" t="n">
        <v>84.5</v>
      </c>
      <c r="I505" s="1" t="n">
        <v>341.6</v>
      </c>
      <c r="J505" s="1" t="n">
        <v>-39.2</v>
      </c>
      <c r="K505" s="1"/>
      <c r="L505" s="1" t="n">
        <v>0</v>
      </c>
      <c r="M505" s="1" t="n">
        <v>0</v>
      </c>
      <c r="N505" s="1" t="s">
        <v>335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Z505" s="0" t="n">
        <f aca="false">I505+65</f>
        <v>406.6</v>
      </c>
      <c r="AB505" s="0" t="n">
        <f aca="false">IF(Z505&gt;360,Z505-360,Z505+0)</f>
        <v>46.6</v>
      </c>
    </row>
    <row r="506" customFormat="false" ht="15.8" hidden="false" customHeight="false" outlineLevel="0" collapsed="false">
      <c r="A506" s="1" t="n">
        <v>7</v>
      </c>
      <c r="B506" s="1" t="n">
        <v>11</v>
      </c>
      <c r="C506" s="1" t="n">
        <v>1.3</v>
      </c>
      <c r="D506" s="1" t="n">
        <v>1.1423</v>
      </c>
      <c r="E506" s="1" t="n">
        <v>0.0456004</v>
      </c>
      <c r="F506" s="1" t="n">
        <v>0.000131071</v>
      </c>
      <c r="G506" s="1" t="s">
        <v>37</v>
      </c>
      <c r="H506" s="1" t="n">
        <v>36.5</v>
      </c>
      <c r="I506" s="1" t="n">
        <v>81.7</v>
      </c>
      <c r="J506" s="1" t="n">
        <v>-20.7</v>
      </c>
      <c r="K506" s="1" t="n">
        <v>84.5</v>
      </c>
      <c r="L506" s="1" t="n">
        <v>0</v>
      </c>
      <c r="M506" s="1" t="n">
        <v>0</v>
      </c>
      <c r="N506" s="1" t="s">
        <v>334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Z506" s="0" t="n">
        <f aca="false">I506+65</f>
        <v>146.7</v>
      </c>
      <c r="AB506" s="0" t="n">
        <f aca="false">IF(Z506&gt;360,Z506-360,Z506+0)</f>
        <v>146.7</v>
      </c>
    </row>
    <row r="507" customFormat="false" ht="15.8" hidden="false" customHeight="false" outlineLevel="0" collapsed="false">
      <c r="A507" s="1" t="n">
        <v>7</v>
      </c>
      <c r="B507" s="1" t="n">
        <v>10</v>
      </c>
      <c r="C507" s="1" t="n">
        <v>0.4</v>
      </c>
      <c r="D507" s="1" t="n">
        <v>1.0239</v>
      </c>
      <c r="E507" s="1" t="n">
        <v>0.0133454</v>
      </c>
      <c r="F507" s="1" t="n">
        <v>3.83592E-005</v>
      </c>
      <c r="G507" s="1" t="s">
        <v>37</v>
      </c>
      <c r="H507" s="1" t="n">
        <v>75.9</v>
      </c>
      <c r="I507" s="1" t="n">
        <v>112.5</v>
      </c>
      <c r="J507" s="1" t="n">
        <v>0</v>
      </c>
      <c r="K507" s="1" t="n">
        <v>67</v>
      </c>
      <c r="L507" s="1" t="n">
        <v>0</v>
      </c>
      <c r="M507" s="1" t="n">
        <v>0</v>
      </c>
      <c r="N507" s="1" t="s">
        <v>333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Z507" s="0" t="n">
        <f aca="false">I507+65</f>
        <v>177.5</v>
      </c>
      <c r="AB507" s="0" t="n">
        <f aca="false">IF(Z507&gt;360,Z507-360,Z507+0)</f>
        <v>177.5</v>
      </c>
    </row>
    <row r="508" customFormat="false" ht="15.8" hidden="false" customHeight="false" outlineLevel="0" collapsed="false">
      <c r="A508" s="1" t="n">
        <v>7</v>
      </c>
      <c r="B508" s="1" t="n">
        <v>9</v>
      </c>
      <c r="C508" s="1" t="n">
        <v>1.5</v>
      </c>
      <c r="D508" s="1" t="n">
        <v>1.1865</v>
      </c>
      <c r="E508" s="1" t="n">
        <v>0.0546543</v>
      </c>
      <c r="F508" s="1" t="n">
        <v>0.000157095</v>
      </c>
      <c r="G508" s="1" t="s">
        <v>37</v>
      </c>
      <c r="H508" s="1" t="n">
        <v>47.3</v>
      </c>
      <c r="I508" s="1" t="n">
        <v>37.3</v>
      </c>
      <c r="J508" s="1" t="n">
        <v>-17.8</v>
      </c>
      <c r="K508" s="1" t="n">
        <v>78.5</v>
      </c>
      <c r="L508" s="1" t="n">
        <v>0</v>
      </c>
      <c r="M508" s="1" t="n">
        <v>0</v>
      </c>
      <c r="N508" s="1" t="s">
        <v>332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Z508" s="0" t="n">
        <f aca="false">I508+65</f>
        <v>102.3</v>
      </c>
      <c r="AB508" s="0" t="n">
        <f aca="false">IF(Z508&gt;360,Z508-360,Z508+0)</f>
        <v>102.3</v>
      </c>
    </row>
    <row r="509" customFormat="false" ht="15.8" hidden="false" customHeight="false" outlineLevel="0" collapsed="false">
      <c r="A509" s="1" t="n">
        <v>7</v>
      </c>
      <c r="B509" s="1" t="n">
        <v>8</v>
      </c>
      <c r="C509" s="1" t="n">
        <v>2.3</v>
      </c>
      <c r="D509" s="1" t="n">
        <v>1.2207</v>
      </c>
      <c r="E509" s="1" t="n">
        <v>0.081522</v>
      </c>
      <c r="F509" s="1" t="n">
        <v>0.000234321</v>
      </c>
      <c r="G509" s="1" t="s">
        <v>37</v>
      </c>
      <c r="H509" s="1" t="n">
        <v>25</v>
      </c>
      <c r="I509" s="1" t="n">
        <v>348.4</v>
      </c>
      <c r="J509" s="1" t="n">
        <v>-39.3</v>
      </c>
      <c r="K509" s="1" t="n">
        <v>104.6</v>
      </c>
      <c r="L509" s="1" t="n">
        <v>0</v>
      </c>
      <c r="M509" s="1" t="n">
        <v>0</v>
      </c>
      <c r="N509" s="1" t="s">
        <v>331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Z509" s="0" t="n">
        <f aca="false">I509+65</f>
        <v>413.4</v>
      </c>
      <c r="AB509" s="0" t="n">
        <f aca="false">IF(Z509&gt;360,Z509-360,Z509+0)</f>
        <v>53.4</v>
      </c>
    </row>
    <row r="510" customFormat="false" ht="15.8" hidden="false" customHeight="false" outlineLevel="0" collapsed="false">
      <c r="A510" s="1" t="n">
        <v>7</v>
      </c>
      <c r="B510" s="1" t="n">
        <v>7</v>
      </c>
      <c r="C510" s="1" t="n">
        <v>2</v>
      </c>
      <c r="D510" s="1" t="n">
        <v>1.1737</v>
      </c>
      <c r="E510" s="1" t="n">
        <v>0.0713995</v>
      </c>
      <c r="F510" s="1" t="n">
        <v>0.000205226</v>
      </c>
      <c r="G510" s="1" t="s">
        <v>37</v>
      </c>
      <c r="H510" s="1" t="n">
        <v>99.8</v>
      </c>
      <c r="I510" s="1" t="n">
        <v>315.4</v>
      </c>
      <c r="J510" s="1" t="n">
        <v>-44</v>
      </c>
      <c r="K510" s="1" t="n">
        <v>85.8</v>
      </c>
      <c r="L510" s="1" t="n">
        <v>0</v>
      </c>
      <c r="M510" s="1" t="n">
        <v>0</v>
      </c>
      <c r="N510" s="1" t="s">
        <v>330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Z510" s="0" t="n">
        <f aca="false">I510+65</f>
        <v>380.4</v>
      </c>
      <c r="AB510" s="0" t="n">
        <f aca="false">IF(Z510&gt;360,Z510-360,Z510+0)</f>
        <v>20.4</v>
      </c>
    </row>
    <row r="511" customFormat="false" ht="15.8" hidden="false" customHeight="false" outlineLevel="0" collapsed="false">
      <c r="A511" s="1" t="n">
        <v>7</v>
      </c>
      <c r="B511" s="1" t="n">
        <v>6</v>
      </c>
      <c r="C511" s="1" t="n">
        <v>0.8</v>
      </c>
      <c r="D511" s="1" t="n">
        <v>1.165</v>
      </c>
      <c r="E511" s="1" t="n">
        <v>0.0273561</v>
      </c>
      <c r="F511" s="1" t="n">
        <v>7.86307E-005</v>
      </c>
      <c r="G511" s="1" t="s">
        <v>37</v>
      </c>
      <c r="H511" s="1" t="n">
        <v>69.7</v>
      </c>
      <c r="I511" s="1" t="n">
        <v>20</v>
      </c>
      <c r="J511" s="1" t="n">
        <v>36.9</v>
      </c>
      <c r="K511" s="1" t="n">
        <v>99.8</v>
      </c>
      <c r="L511" s="1" t="n">
        <v>0</v>
      </c>
      <c r="M511" s="1" t="n">
        <v>0</v>
      </c>
      <c r="N511" s="1" t="s">
        <v>294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Z511" s="0" t="n">
        <f aca="false">I511+65</f>
        <v>85</v>
      </c>
      <c r="AB511" s="0" t="n">
        <f aca="false">IF(Z511&gt;360,Z511-360,Z511+0)</f>
        <v>85</v>
      </c>
    </row>
    <row r="512" customFormat="false" ht="15.8" hidden="false" customHeight="false" outlineLevel="0" collapsed="false">
      <c r="A512" s="1" t="n">
        <v>7</v>
      </c>
      <c r="B512" s="1" t="n">
        <v>5</v>
      </c>
      <c r="C512" s="1" t="n">
        <v>1.7</v>
      </c>
      <c r="D512" s="1" t="n">
        <v>1.2303</v>
      </c>
      <c r="E512" s="1" t="n">
        <v>0.0615911</v>
      </c>
      <c r="F512" s="1" t="n">
        <v>0.000175196</v>
      </c>
      <c r="G512" s="1" t="s">
        <v>37</v>
      </c>
      <c r="H512" s="1" t="n">
        <v>57.2</v>
      </c>
      <c r="I512" s="1" t="n">
        <v>332</v>
      </c>
      <c r="J512" s="1" t="n">
        <v>-16.1</v>
      </c>
      <c r="K512" s="1" t="n">
        <v>74.6</v>
      </c>
      <c r="L512" s="1" t="n">
        <v>0</v>
      </c>
      <c r="M512" s="1" t="n">
        <v>0</v>
      </c>
      <c r="N512" s="1" t="s">
        <v>336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Z512" s="0" t="n">
        <f aca="false">I512+65</f>
        <v>397</v>
      </c>
      <c r="AB512" s="0" t="n">
        <f aca="false">IF(Z512&gt;360,Z512-360,Z512+0)</f>
        <v>37</v>
      </c>
    </row>
    <row r="513" customFormat="false" ht="15.8" hidden="false" customHeight="false" outlineLevel="0" collapsed="false">
      <c r="A513" s="1" t="n">
        <v>7</v>
      </c>
      <c r="B513" s="1" t="n">
        <v>6</v>
      </c>
      <c r="C513" s="1" t="n">
        <v>1.7</v>
      </c>
      <c r="D513" s="1" t="n">
        <v>1.1401</v>
      </c>
      <c r="E513" s="1" t="n">
        <v>0.0607139</v>
      </c>
      <c r="F513" s="1" t="n">
        <v>0.000174512</v>
      </c>
      <c r="G513" s="1" t="s">
        <v>27</v>
      </c>
      <c r="H513" s="1" t="n">
        <v>81.6</v>
      </c>
      <c r="I513" s="1" t="n">
        <v>88.5</v>
      </c>
      <c r="J513" s="1" t="n">
        <v>52.5</v>
      </c>
      <c r="K513" s="1"/>
      <c r="L513" s="1" t="n">
        <v>0</v>
      </c>
      <c r="M513" s="1" t="n">
        <v>0</v>
      </c>
      <c r="N513" s="1" t="s">
        <v>337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Z513" s="0" t="n">
        <f aca="false">I513+65</f>
        <v>153.5</v>
      </c>
      <c r="AB513" s="0" t="n">
        <f aca="false">IF(Z513&gt;360,Z513-360,Z513+0)</f>
        <v>153.5</v>
      </c>
    </row>
    <row r="514" customFormat="false" ht="15.8" hidden="false" customHeight="false" outlineLevel="0" collapsed="false">
      <c r="A514" s="1" t="n">
        <v>7</v>
      </c>
      <c r="B514" s="1" t="n">
        <v>6</v>
      </c>
      <c r="C514" s="1" t="n">
        <v>4.3</v>
      </c>
      <c r="D514" s="1" t="n">
        <v>1.3405</v>
      </c>
      <c r="E514" s="1" t="n">
        <v>0.154829</v>
      </c>
      <c r="F514" s="1" t="n">
        <v>0.000445031</v>
      </c>
      <c r="G514" s="1" t="s">
        <v>27</v>
      </c>
      <c r="H514" s="1" t="n">
        <v>41.2</v>
      </c>
      <c r="I514" s="1" t="n">
        <v>220.2</v>
      </c>
      <c r="J514" s="1" t="n">
        <v>7</v>
      </c>
      <c r="K514" s="1"/>
      <c r="L514" s="1" t="n">
        <v>0</v>
      </c>
      <c r="M514" s="1" t="n">
        <v>0</v>
      </c>
      <c r="N514" s="1" t="s">
        <v>337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Z514" s="0" t="n">
        <f aca="false">I514+65</f>
        <v>285.2</v>
      </c>
      <c r="AB514" s="0" t="n">
        <f aca="false">IF(Z514&gt;360,Z514-360,Z514+0)</f>
        <v>285.2</v>
      </c>
    </row>
    <row r="515" customFormat="false" ht="15.8" hidden="false" customHeight="false" outlineLevel="0" collapsed="false">
      <c r="A515" s="1" t="n">
        <v>7</v>
      </c>
      <c r="B515" s="1" t="n">
        <v>5</v>
      </c>
      <c r="C515" s="1" t="n">
        <v>2.2</v>
      </c>
      <c r="D515" s="1" t="n">
        <v>1.3048</v>
      </c>
      <c r="E515" s="1" t="n">
        <v>0.0805001</v>
      </c>
      <c r="F515" s="1" t="n">
        <v>0.000231384</v>
      </c>
      <c r="G515" s="1" t="s">
        <v>37</v>
      </c>
      <c r="H515" s="1" t="n">
        <v>69.3</v>
      </c>
      <c r="I515" s="1" t="n">
        <v>242.5</v>
      </c>
      <c r="J515" s="1" t="n">
        <v>43.2</v>
      </c>
      <c r="K515" s="1" t="n">
        <v>81.6</v>
      </c>
      <c r="L515" s="1" t="n">
        <v>0</v>
      </c>
      <c r="M515" s="1" t="n">
        <v>0</v>
      </c>
      <c r="N515" s="1" t="s">
        <v>336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Z515" s="0" t="n">
        <f aca="false">I515+65</f>
        <v>307.5</v>
      </c>
      <c r="AB515" s="0" t="n">
        <f aca="false">IF(Z515&gt;360,Z515-360,Z515+0)</f>
        <v>307.5</v>
      </c>
    </row>
    <row r="516" customFormat="false" ht="15.8" hidden="false" customHeight="false" outlineLevel="0" collapsed="false">
      <c r="A516" s="1" t="n">
        <v>7</v>
      </c>
      <c r="B516" s="1" t="n">
        <v>5</v>
      </c>
      <c r="C516" s="1" t="n">
        <v>4.5</v>
      </c>
      <c r="D516" s="1" t="n">
        <v>1.2861</v>
      </c>
      <c r="E516" s="1" t="n">
        <v>0.160926</v>
      </c>
      <c r="F516" s="1" t="n">
        <v>0.000462554</v>
      </c>
      <c r="G516" s="1" t="s">
        <v>27</v>
      </c>
      <c r="H516" s="1" t="n">
        <v>104.1</v>
      </c>
      <c r="I516" s="1" t="n">
        <v>123.6</v>
      </c>
      <c r="J516" s="1" t="n">
        <v>26.8</v>
      </c>
      <c r="K516" s="1"/>
      <c r="L516" s="1" t="n">
        <v>0</v>
      </c>
      <c r="M516" s="1" t="n">
        <v>0</v>
      </c>
      <c r="N516" s="1" t="s">
        <v>336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Z516" s="0" t="n">
        <f aca="false">I516+65</f>
        <v>188.6</v>
      </c>
      <c r="AB516" s="0" t="n">
        <f aca="false">IF(Z516&gt;360,Z516-360,Z516+0)</f>
        <v>188.6</v>
      </c>
    </row>
    <row r="517" customFormat="false" ht="15.8" hidden="false" customHeight="false" outlineLevel="0" collapsed="false">
      <c r="A517" s="1" t="n">
        <v>7</v>
      </c>
      <c r="B517" s="1" t="n">
        <v>6</v>
      </c>
      <c r="C517" s="1" t="n">
        <v>4.3</v>
      </c>
      <c r="D517" s="1" t="n">
        <v>1.255</v>
      </c>
      <c r="E517" s="1" t="n">
        <v>0.153644</v>
      </c>
      <c r="F517" s="1" t="n">
        <v>0.000441624</v>
      </c>
      <c r="G517" s="1" t="s">
        <v>27</v>
      </c>
      <c r="H517" s="1" t="n">
        <v>95.4</v>
      </c>
      <c r="I517" s="1" t="n">
        <v>310.5</v>
      </c>
      <c r="J517" s="1" t="n">
        <v>-27.4</v>
      </c>
      <c r="K517" s="1"/>
      <c r="L517" s="1" t="n">
        <v>0</v>
      </c>
      <c r="M517" s="1" t="n">
        <v>0</v>
      </c>
      <c r="N517" s="1" t="s">
        <v>338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Z517" s="0" t="n">
        <f aca="false">I517+65</f>
        <v>375.5</v>
      </c>
      <c r="AB517" s="0" t="n">
        <f aca="false">IF(Z517&gt;360,Z517-360,Z517+0)</f>
        <v>15.5</v>
      </c>
    </row>
    <row r="518" customFormat="false" ht="15.8" hidden="false" customHeight="false" outlineLevel="0" collapsed="false">
      <c r="A518" s="1" t="n">
        <v>7</v>
      </c>
      <c r="B518" s="1" t="n">
        <v>7</v>
      </c>
      <c r="C518" s="1" t="n">
        <v>2.5</v>
      </c>
      <c r="D518" s="1" t="n">
        <v>1.4838</v>
      </c>
      <c r="E518" s="1" t="n">
        <v>0.0905715</v>
      </c>
      <c r="F518" s="1" t="n">
        <v>0.000260333</v>
      </c>
      <c r="G518" s="1" t="s">
        <v>27</v>
      </c>
      <c r="H518" s="1" t="n">
        <v>129.9</v>
      </c>
      <c r="I518" s="1" t="n">
        <v>309.8</v>
      </c>
      <c r="J518" s="1" t="n">
        <v>0</v>
      </c>
      <c r="K518" s="1"/>
      <c r="L518" s="1" t="n">
        <v>0</v>
      </c>
      <c r="M518" s="1" t="n">
        <v>0</v>
      </c>
      <c r="N518" s="1" t="s">
        <v>339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Z518" s="0" t="n">
        <f aca="false">I518+65</f>
        <v>374.8</v>
      </c>
      <c r="AB518" s="0" t="n">
        <f aca="false">IF(Z518&gt;360,Z518-360,Z518+0)</f>
        <v>14.8</v>
      </c>
    </row>
    <row r="519" customFormat="false" ht="15.8" hidden="false" customHeight="false" outlineLevel="0" collapsed="false">
      <c r="A519" s="1" t="n">
        <v>7</v>
      </c>
      <c r="B519" s="1" t="n">
        <v>7</v>
      </c>
      <c r="C519" s="1" t="n">
        <v>8</v>
      </c>
      <c r="D519" s="1" t="n">
        <v>2.319</v>
      </c>
      <c r="E519" s="1" t="n">
        <v>0.288764</v>
      </c>
      <c r="F519" s="1" t="n">
        <v>0.000830003</v>
      </c>
      <c r="G519" s="1" t="s">
        <v>27</v>
      </c>
      <c r="H519" s="1" t="n">
        <v>125.7</v>
      </c>
      <c r="I519" s="1" t="n">
        <v>214.5</v>
      </c>
      <c r="J519" s="1" t="n">
        <v>0</v>
      </c>
      <c r="K519" s="1"/>
      <c r="L519" s="1" t="n">
        <v>0</v>
      </c>
      <c r="M519" s="1" t="n">
        <v>0</v>
      </c>
      <c r="N519" s="1" t="s">
        <v>339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Z519" s="0" t="n">
        <f aca="false">I519+65</f>
        <v>279.5</v>
      </c>
      <c r="AB519" s="0" t="n">
        <f aca="false">IF(Z519&gt;360,Z519-360,Z519+0)</f>
        <v>279.5</v>
      </c>
    </row>
    <row r="520" customFormat="false" ht="15.8" hidden="false" customHeight="false" outlineLevel="0" collapsed="false">
      <c r="A520" s="1" t="n">
        <v>7</v>
      </c>
      <c r="B520" s="1" t="n">
        <v>6</v>
      </c>
      <c r="C520" s="1" t="n">
        <v>1.1</v>
      </c>
      <c r="D520" s="1" t="n">
        <v>1.175</v>
      </c>
      <c r="E520" s="1" t="n">
        <v>0.0398692</v>
      </c>
      <c r="F520" s="1" t="n">
        <v>0.000114598</v>
      </c>
      <c r="G520" s="1" t="s">
        <v>37</v>
      </c>
      <c r="H520" s="1" t="n">
        <v>47.5</v>
      </c>
      <c r="I520" s="1" t="n">
        <v>84.6</v>
      </c>
      <c r="J520" s="1" t="n">
        <v>24.5</v>
      </c>
      <c r="K520" s="1" t="n">
        <v>129.9</v>
      </c>
      <c r="L520" s="1" t="n">
        <v>0</v>
      </c>
      <c r="M520" s="1" t="n">
        <v>0</v>
      </c>
      <c r="N520" s="1" t="s">
        <v>338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Z520" s="0" t="n">
        <f aca="false">I520+65</f>
        <v>149.6</v>
      </c>
      <c r="AB520" s="0" t="n">
        <f aca="false">IF(Z520&gt;360,Z520-360,Z520+0)</f>
        <v>149.6</v>
      </c>
    </row>
    <row r="521" customFormat="false" ht="15.8" hidden="false" customHeight="false" outlineLevel="0" collapsed="false">
      <c r="A521" s="1" t="n">
        <v>7</v>
      </c>
      <c r="B521" s="1" t="n">
        <v>5</v>
      </c>
      <c r="C521" s="1" t="n">
        <v>2.8</v>
      </c>
      <c r="D521" s="1" t="n">
        <v>1.4204</v>
      </c>
      <c r="E521" s="1" t="n">
        <v>0.101333</v>
      </c>
      <c r="F521" s="1" t="n">
        <v>0.000291266</v>
      </c>
      <c r="G521" s="1" t="s">
        <v>37</v>
      </c>
      <c r="H521" s="1" t="n">
        <v>83.3</v>
      </c>
      <c r="I521" s="1" t="n">
        <v>52.7</v>
      </c>
      <c r="J521" s="1" t="n">
        <v>-11.4</v>
      </c>
      <c r="K521" s="1" t="n">
        <v>95.4</v>
      </c>
      <c r="L521" s="1" t="n">
        <v>0</v>
      </c>
      <c r="M521" s="1" t="n">
        <v>0</v>
      </c>
      <c r="N521" s="1" t="s">
        <v>336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Z521" s="0" t="n">
        <f aca="false">I521+65</f>
        <v>117.7</v>
      </c>
      <c r="AB521" s="0" t="n">
        <f aca="false">IF(Z521&gt;360,Z521-360,Z521+0)</f>
        <v>117.7</v>
      </c>
    </row>
    <row r="522" customFormat="false" ht="15.8" hidden="false" customHeight="false" outlineLevel="0" collapsed="false">
      <c r="A522" s="1" t="n">
        <v>7</v>
      </c>
      <c r="B522" s="1" t="n">
        <v>4</v>
      </c>
      <c r="C522" s="1" t="n">
        <v>1.5</v>
      </c>
      <c r="D522" s="1" t="n">
        <v>1.2202</v>
      </c>
      <c r="E522" s="1" t="n">
        <v>0.053158</v>
      </c>
      <c r="F522" s="1" t="n">
        <v>0.000152794</v>
      </c>
      <c r="G522" s="1" t="s">
        <v>37</v>
      </c>
      <c r="H522" s="1" t="n">
        <v>58.8</v>
      </c>
      <c r="I522" s="1" t="n">
        <v>341.8</v>
      </c>
      <c r="J522" s="1" t="n">
        <v>40.3</v>
      </c>
      <c r="K522" s="1" t="n">
        <v>104.1</v>
      </c>
      <c r="L522" s="1" t="n">
        <v>0</v>
      </c>
      <c r="M522" s="1" t="n">
        <v>0</v>
      </c>
      <c r="N522" s="1" t="s">
        <v>340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Z522" s="0" t="n">
        <f aca="false">I522+65</f>
        <v>406.8</v>
      </c>
      <c r="AB522" s="0" t="n">
        <f aca="false">IF(Z522&gt;360,Z522-360,Z522+0)</f>
        <v>46.8</v>
      </c>
    </row>
    <row r="523" customFormat="false" ht="15.8" hidden="false" customHeight="false" outlineLevel="0" collapsed="false">
      <c r="A523" s="1" t="n">
        <v>7</v>
      </c>
      <c r="B523" s="1" t="n">
        <v>4</v>
      </c>
      <c r="C523" s="1" t="n">
        <v>2.4</v>
      </c>
      <c r="D523" s="1" t="n">
        <v>1.4508</v>
      </c>
      <c r="E523" s="1" t="n">
        <v>0.0876986</v>
      </c>
      <c r="F523" s="1" t="n">
        <v>0.000252075</v>
      </c>
      <c r="G523" s="1" t="s">
        <v>27</v>
      </c>
      <c r="H523" s="1" t="n">
        <v>50.2</v>
      </c>
      <c r="I523" s="1" t="n">
        <v>14</v>
      </c>
      <c r="J523" s="1" t="n">
        <v>-27.8</v>
      </c>
      <c r="K523" s="1"/>
      <c r="L523" s="1" t="n">
        <v>0</v>
      </c>
      <c r="M523" s="1" t="n">
        <v>0</v>
      </c>
      <c r="N523" s="1" t="s">
        <v>340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Z523" s="0" t="n">
        <f aca="false">I523+65</f>
        <v>79</v>
      </c>
      <c r="AB523" s="0" t="n">
        <f aca="false">IF(Z523&gt;360,Z523-360,Z523+0)</f>
        <v>79</v>
      </c>
    </row>
    <row r="524" customFormat="false" ht="15.8" hidden="false" customHeight="false" outlineLevel="0" collapsed="false">
      <c r="A524" s="1" t="n">
        <v>7</v>
      </c>
      <c r="B524" s="1" t="n">
        <v>3</v>
      </c>
      <c r="C524" s="1" t="n">
        <v>2.3</v>
      </c>
      <c r="D524" s="1" t="n">
        <v>1.424</v>
      </c>
      <c r="E524" s="1" t="n">
        <v>0.0828197</v>
      </c>
      <c r="F524" s="1" t="n">
        <v>0.000238052</v>
      </c>
      <c r="G524" s="1" t="s">
        <v>37</v>
      </c>
      <c r="H524" s="1" t="n">
        <v>43.3</v>
      </c>
      <c r="I524" s="1" t="n">
        <v>42.6</v>
      </c>
      <c r="J524" s="1" t="n">
        <v>14</v>
      </c>
      <c r="K524" s="1" t="n">
        <v>58.8</v>
      </c>
      <c r="L524" s="1" t="n">
        <v>0</v>
      </c>
      <c r="M524" s="1" t="n">
        <v>0</v>
      </c>
      <c r="N524" s="1" t="s">
        <v>293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Z524" s="0" t="n">
        <f aca="false">I524+65</f>
        <v>107.6</v>
      </c>
      <c r="AB524" s="0" t="n">
        <f aca="false">IF(Z524&gt;360,Z524-360,Z524+0)</f>
        <v>107.6</v>
      </c>
    </row>
    <row r="525" customFormat="false" ht="15.8" hidden="false" customHeight="false" outlineLevel="0" collapsed="false">
      <c r="A525" s="1" t="n">
        <v>7</v>
      </c>
      <c r="B525" s="1" t="n">
        <v>7</v>
      </c>
      <c r="C525" s="1" t="n">
        <v>1.4</v>
      </c>
      <c r="D525" s="1" t="n">
        <v>1.2933</v>
      </c>
      <c r="E525" s="1" t="n">
        <v>0.0466503</v>
      </c>
      <c r="F525" s="1" t="n">
        <v>0.000126962</v>
      </c>
      <c r="G525" s="1" t="s">
        <v>27</v>
      </c>
      <c r="H525" s="1" t="n">
        <v>104.1</v>
      </c>
      <c r="I525" s="1" t="n">
        <v>310.1</v>
      </c>
      <c r="J525" s="1" t="n">
        <v>-46.3</v>
      </c>
      <c r="K525" s="1"/>
      <c r="L525" s="1" t="n">
        <v>0</v>
      </c>
      <c r="M525" s="1" t="n">
        <v>0</v>
      </c>
      <c r="N525" s="1" t="s">
        <v>341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Z525" s="0" t="n">
        <f aca="false">I525+65</f>
        <v>375.1</v>
      </c>
      <c r="AB525" s="0" t="n">
        <f aca="false">IF(Z525&gt;360,Z525-360,Z525+0)</f>
        <v>15.1</v>
      </c>
    </row>
    <row r="526" customFormat="false" ht="15.8" hidden="false" customHeight="false" outlineLevel="0" collapsed="false">
      <c r="A526" s="1" t="n">
        <v>7</v>
      </c>
      <c r="B526" s="1" t="n">
        <v>7</v>
      </c>
      <c r="C526" s="1" t="n">
        <v>2</v>
      </c>
      <c r="D526" s="1" t="n">
        <v>1.0845</v>
      </c>
      <c r="E526" s="1" t="n">
        <v>0.0359456</v>
      </c>
      <c r="F526" s="1" t="n">
        <v>5.16598E-005</v>
      </c>
      <c r="G526" s="1" t="s">
        <v>27</v>
      </c>
      <c r="H526" s="1" t="n">
        <v>14</v>
      </c>
      <c r="I526" s="1" t="n">
        <v>74.7</v>
      </c>
      <c r="J526" s="1" t="n">
        <v>0</v>
      </c>
      <c r="K526" s="1"/>
      <c r="L526" s="1" t="n">
        <v>0</v>
      </c>
      <c r="M526" s="1" t="n">
        <v>0</v>
      </c>
      <c r="N526" s="1" t="s">
        <v>341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Z526" s="0" t="n">
        <f aca="false">I526+65</f>
        <v>139.7</v>
      </c>
      <c r="AB526" s="0" t="n">
        <f aca="false">IF(Z526&gt;360,Z526-360,Z526+0)</f>
        <v>139.7</v>
      </c>
    </row>
    <row r="527" customFormat="false" ht="15.8" hidden="false" customHeight="false" outlineLevel="0" collapsed="false">
      <c r="A527" s="1" t="n">
        <v>7</v>
      </c>
      <c r="B527" s="1" t="n">
        <v>6</v>
      </c>
      <c r="C527" s="1" t="n">
        <v>1</v>
      </c>
      <c r="D527" s="1" t="n">
        <v>1.0115</v>
      </c>
      <c r="E527" s="1" t="n">
        <v>0.034774</v>
      </c>
      <c r="F527" s="1" t="n">
        <v>9.6944E-005</v>
      </c>
      <c r="G527" s="1" t="s">
        <v>37</v>
      </c>
      <c r="H527" s="1" t="n">
        <v>25.1</v>
      </c>
      <c r="I527" s="1" t="n">
        <v>60.8</v>
      </c>
      <c r="J527" s="1" t="n">
        <v>0</v>
      </c>
      <c r="K527" s="1" t="n">
        <v>104.1</v>
      </c>
      <c r="L527" s="1" t="n">
        <v>0</v>
      </c>
      <c r="M527" s="1" t="n">
        <v>0</v>
      </c>
      <c r="N527" s="1" t="s">
        <v>342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Z527" s="0" t="n">
        <f aca="false">I527+65</f>
        <v>125.8</v>
      </c>
      <c r="AB527" s="0" t="n">
        <f aca="false">IF(Z527&gt;360,Z527-360,Z527+0)</f>
        <v>125.8</v>
      </c>
    </row>
    <row r="528" customFormat="false" ht="15.8" hidden="false" customHeight="false" outlineLevel="0" collapsed="false">
      <c r="A528" s="1" t="n">
        <v>7</v>
      </c>
      <c r="B528" s="1" t="n">
        <v>6</v>
      </c>
      <c r="C528" s="1" t="n">
        <v>0.7</v>
      </c>
      <c r="D528" s="1" t="n">
        <v>1.0111</v>
      </c>
      <c r="E528" s="1" t="n">
        <v>0.0267197</v>
      </c>
      <c r="F528" s="1" t="n">
        <v>7.68012E-005</v>
      </c>
      <c r="G528" s="1" t="s">
        <v>27</v>
      </c>
      <c r="H528" s="1" t="n">
        <v>50.7</v>
      </c>
      <c r="I528" s="1" t="n">
        <v>120.2</v>
      </c>
      <c r="J528" s="1" t="n">
        <v>0</v>
      </c>
      <c r="K528" s="1"/>
      <c r="L528" s="1" t="n">
        <v>0</v>
      </c>
      <c r="M528" s="1" t="n">
        <v>0</v>
      </c>
      <c r="N528" s="1" t="s">
        <v>342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Z528" s="0" t="n">
        <f aca="false">I528+65</f>
        <v>185.2</v>
      </c>
      <c r="AB528" s="0" t="n">
        <f aca="false">IF(Z528&gt;360,Z528-360,Z528+0)</f>
        <v>185.2</v>
      </c>
    </row>
    <row r="529" customFormat="false" ht="15.8" hidden="false" customHeight="false" outlineLevel="0" collapsed="false">
      <c r="A529" s="1" t="n">
        <v>7</v>
      </c>
      <c r="B529" s="1" t="n">
        <v>5</v>
      </c>
      <c r="C529" s="1" t="n">
        <v>4</v>
      </c>
      <c r="D529" s="1" t="n">
        <v>1.2878</v>
      </c>
      <c r="E529" s="1" t="n">
        <v>0.145706</v>
      </c>
      <c r="F529" s="1" t="n">
        <v>0.000418808</v>
      </c>
      <c r="G529" s="1" t="s">
        <v>37</v>
      </c>
      <c r="H529" s="1" t="n">
        <v>39.3</v>
      </c>
      <c r="I529" s="1" t="n">
        <v>73.2</v>
      </c>
      <c r="J529" s="1" t="n">
        <v>21.9</v>
      </c>
      <c r="K529" s="1" t="n">
        <v>50.7</v>
      </c>
      <c r="L529" s="1" t="n">
        <v>0</v>
      </c>
      <c r="M529" s="1" t="n">
        <v>0</v>
      </c>
      <c r="N529" s="1" t="s">
        <v>343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Z529" s="0" t="n">
        <f aca="false">I529+65</f>
        <v>138.2</v>
      </c>
      <c r="AB529" s="0" t="n">
        <f aca="false">IF(Z529&gt;360,Z529-360,Z529+0)</f>
        <v>138.2</v>
      </c>
    </row>
    <row r="530" customFormat="false" ht="15.8" hidden="false" customHeight="false" outlineLevel="0" collapsed="false">
      <c r="A530" s="1" t="n">
        <v>7</v>
      </c>
      <c r="B530" s="1" t="n">
        <v>5</v>
      </c>
      <c r="C530" s="1" t="n">
        <v>5.6</v>
      </c>
      <c r="D530" s="1" t="n">
        <v>1.429</v>
      </c>
      <c r="E530" s="1" t="n">
        <v>0.200959</v>
      </c>
      <c r="F530" s="1" t="n">
        <v>0.000577623</v>
      </c>
      <c r="G530" s="1" t="s">
        <v>27</v>
      </c>
      <c r="H530" s="1" t="n">
        <v>85.4</v>
      </c>
      <c r="I530" s="1" t="n">
        <v>328.1</v>
      </c>
      <c r="J530" s="1" t="n">
        <v>-53.3</v>
      </c>
      <c r="K530" s="1"/>
      <c r="L530" s="1" t="n">
        <v>0</v>
      </c>
      <c r="M530" s="1" t="n">
        <v>0</v>
      </c>
      <c r="N530" s="1" t="s">
        <v>343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Z530" s="0" t="n">
        <f aca="false">I530+65</f>
        <v>393.1</v>
      </c>
      <c r="AB530" s="0" t="n">
        <f aca="false">IF(Z530&gt;360,Z530-360,Z530+0)</f>
        <v>33.1</v>
      </c>
    </row>
    <row r="531" customFormat="false" ht="15.8" hidden="false" customHeight="false" outlineLevel="0" collapsed="false">
      <c r="A531" s="1" t="n">
        <v>7</v>
      </c>
      <c r="B531" s="1" t="n">
        <v>4</v>
      </c>
      <c r="C531" s="1" t="n">
        <v>2.1</v>
      </c>
      <c r="D531" s="1" t="n">
        <v>1.1172</v>
      </c>
      <c r="E531" s="1" t="n">
        <v>0.0760216</v>
      </c>
      <c r="F531" s="1" t="n">
        <v>0.000218511</v>
      </c>
      <c r="G531" s="1" t="s">
        <v>37</v>
      </c>
      <c r="H531" s="1" t="n">
        <v>88.6</v>
      </c>
      <c r="I531" s="1" t="n">
        <v>33.3</v>
      </c>
      <c r="J531" s="1" t="n">
        <v>11.9</v>
      </c>
      <c r="K531" s="1" t="n">
        <v>85.4</v>
      </c>
      <c r="L531" s="1" t="n">
        <v>0</v>
      </c>
      <c r="M531" s="1" t="n">
        <v>0</v>
      </c>
      <c r="N531" s="1" t="s">
        <v>344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Z531" s="0" t="n">
        <f aca="false">I531+65</f>
        <v>98.3</v>
      </c>
      <c r="AB531" s="0" t="n">
        <f aca="false">IF(Z531&gt;360,Z531-360,Z531+0)</f>
        <v>98.3</v>
      </c>
    </row>
    <row r="532" customFormat="false" ht="15.8" hidden="false" customHeight="false" outlineLevel="0" collapsed="false">
      <c r="A532" s="1" t="n">
        <v>7</v>
      </c>
      <c r="B532" s="1" t="n">
        <v>4</v>
      </c>
      <c r="C532" s="1" t="n">
        <v>1.3</v>
      </c>
      <c r="D532" s="1" t="n">
        <v>1.0597</v>
      </c>
      <c r="E532" s="1" t="n">
        <v>0.0473373</v>
      </c>
      <c r="F532" s="1" t="n">
        <v>0.000136063</v>
      </c>
      <c r="G532" s="1" t="s">
        <v>27</v>
      </c>
      <c r="H532" s="1" t="n">
        <v>78.2</v>
      </c>
      <c r="I532" s="1" t="n">
        <v>275.9</v>
      </c>
      <c r="J532" s="1" t="n">
        <v>0</v>
      </c>
      <c r="K532" s="1"/>
      <c r="L532" s="1" t="n">
        <v>0</v>
      </c>
      <c r="M532" s="1" t="n">
        <v>0</v>
      </c>
      <c r="N532" s="1" t="s">
        <v>344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Z532" s="0" t="n">
        <f aca="false">I532+65</f>
        <v>340.9</v>
      </c>
      <c r="AB532" s="0" t="n">
        <f aca="false">IF(Z532&gt;360,Z532-360,Z532+0)</f>
        <v>340.9</v>
      </c>
    </row>
    <row r="533" customFormat="false" ht="15.8" hidden="false" customHeight="false" outlineLevel="0" collapsed="false">
      <c r="A533" s="1" t="n">
        <v>7</v>
      </c>
      <c r="B533" s="1" t="n">
        <v>3</v>
      </c>
      <c r="C533" s="1" t="n">
        <v>2.7</v>
      </c>
      <c r="D533" s="1" t="n">
        <v>1.2787</v>
      </c>
      <c r="E533" s="1" t="n">
        <v>0.0832395</v>
      </c>
      <c r="F533" s="1" t="n">
        <v>0.00021015</v>
      </c>
      <c r="G533" s="1" t="s">
        <v>37</v>
      </c>
      <c r="H533" s="1" t="n">
        <v>68.4</v>
      </c>
      <c r="I533" s="1" t="n">
        <v>335.8</v>
      </c>
      <c r="J533" s="1" t="n">
        <v>-66</v>
      </c>
      <c r="K533" s="1" t="n">
        <v>88.6</v>
      </c>
      <c r="L533" s="1" t="n">
        <v>0</v>
      </c>
      <c r="M533" s="1" t="n">
        <v>0</v>
      </c>
      <c r="N533" s="1" t="s">
        <v>293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Z533" s="0" t="n">
        <f aca="false">I533+65</f>
        <v>400.8</v>
      </c>
      <c r="AB533" s="0" t="n">
        <f aca="false">IF(Z533&gt;360,Z533-360,Z533+0)</f>
        <v>40.8</v>
      </c>
    </row>
    <row r="534" customFormat="false" ht="15.8" hidden="false" customHeight="false" outlineLevel="0" collapsed="false">
      <c r="A534" s="1" t="n">
        <v>7</v>
      </c>
      <c r="B534" s="1" t="n">
        <v>2</v>
      </c>
      <c r="C534" s="1" t="n">
        <v>0.6</v>
      </c>
      <c r="D534" s="1" t="n">
        <v>1.0004</v>
      </c>
      <c r="E534" s="1" t="n">
        <v>0.0203635</v>
      </c>
      <c r="F534" s="1" t="n">
        <v>5.85316E-005</v>
      </c>
      <c r="G534" s="1" t="s">
        <v>37</v>
      </c>
      <c r="H534" s="1" t="n">
        <v>57.8</v>
      </c>
      <c r="I534" s="1" t="n">
        <v>1.2</v>
      </c>
      <c r="J534" s="1" t="n">
        <v>0</v>
      </c>
      <c r="K534" s="1" t="n">
        <v>92.4</v>
      </c>
      <c r="L534" s="1" t="n">
        <v>0</v>
      </c>
      <c r="M534" s="1" t="n">
        <v>0</v>
      </c>
      <c r="N534" s="1" t="s">
        <v>275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Z534" s="0" t="n">
        <f aca="false">I534+65</f>
        <v>66.2</v>
      </c>
      <c r="AB534" s="0" t="n">
        <f aca="false">IF(Z534&gt;360,Z534-360,Z534+0)</f>
        <v>66.2</v>
      </c>
    </row>
    <row r="535" customFormat="false" ht="15.8" hidden="false" customHeight="false" outlineLevel="0" collapsed="false">
      <c r="A535" s="1" t="n">
        <v>7</v>
      </c>
      <c r="B535" s="1" t="n">
        <v>1</v>
      </c>
      <c r="C535" s="1" t="n">
        <v>4.7</v>
      </c>
      <c r="D535" s="1" t="n">
        <v>1.1102</v>
      </c>
      <c r="E535" s="1" t="n">
        <v>0.16813</v>
      </c>
      <c r="F535" s="1" t="n">
        <v>0.000483261</v>
      </c>
      <c r="G535" s="1" t="s">
        <v>37</v>
      </c>
      <c r="H535" s="1"/>
      <c r="I535" s="1" t="n">
        <v>58.4</v>
      </c>
      <c r="J535" s="1" t="n">
        <v>10.7</v>
      </c>
      <c r="K535" s="1" t="n">
        <v>97.2</v>
      </c>
      <c r="L535" s="1" t="n">
        <v>0</v>
      </c>
      <c r="M535" s="1" t="n">
        <v>0</v>
      </c>
      <c r="N535" s="1" t="s">
        <v>345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Z535" s="0" t="n">
        <f aca="false">I535+65</f>
        <v>123.4</v>
      </c>
      <c r="AB535" s="0" t="n">
        <f aca="false">IF(Z535&gt;360,Z535-360,Z535+0)</f>
        <v>123.4</v>
      </c>
    </row>
    <row r="536" customFormat="false" ht="15.8" hidden="false" customHeight="false" outlineLevel="0" collapsed="false">
      <c r="A536" s="1" t="n">
        <v>8</v>
      </c>
      <c r="B536" s="1" t="n">
        <v>2</v>
      </c>
      <c r="C536" s="1" t="n">
        <v>3.4</v>
      </c>
      <c r="D536" s="1" t="n">
        <v>1.957</v>
      </c>
      <c r="E536" s="1" t="n">
        <v>0.121233</v>
      </c>
      <c r="F536" s="1" t="n">
        <v>0.000348463</v>
      </c>
      <c r="G536" s="1" t="s">
        <v>27</v>
      </c>
      <c r="H536" s="1" t="n">
        <v>94.2</v>
      </c>
      <c r="I536" s="1" t="n">
        <v>17.8</v>
      </c>
      <c r="J536" s="1" t="n">
        <v>65.4</v>
      </c>
      <c r="K536" s="1"/>
      <c r="L536" s="1" t="n">
        <v>0</v>
      </c>
      <c r="M536" s="1" t="n">
        <v>0</v>
      </c>
      <c r="N536" s="1" t="s">
        <v>346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Z536" s="0" t="n">
        <f aca="false">I536+65</f>
        <v>82.8</v>
      </c>
      <c r="AB536" s="0" t="n">
        <f aca="false">IF(Z536&gt;360,Z536-360,Z536+0)</f>
        <v>82.8</v>
      </c>
    </row>
    <row r="537" customFormat="false" ht="15.8" hidden="false" customHeight="false" outlineLevel="0" collapsed="false">
      <c r="A537" s="1" t="n">
        <v>8</v>
      </c>
      <c r="B537" s="1" t="n">
        <v>4</v>
      </c>
      <c r="C537" s="1" t="n">
        <v>2.1</v>
      </c>
      <c r="D537" s="1" t="n">
        <v>1.1021</v>
      </c>
      <c r="E537" s="1" t="n">
        <v>0.0740819</v>
      </c>
      <c r="F537" s="1" t="n">
        <v>0.000212936</v>
      </c>
      <c r="G537" s="1" t="s">
        <v>27</v>
      </c>
      <c r="H537" s="1" t="n">
        <v>43.1</v>
      </c>
      <c r="I537" s="1" t="n">
        <v>277.3</v>
      </c>
      <c r="J537" s="1" t="n">
        <v>12.1</v>
      </c>
      <c r="K537" s="1"/>
      <c r="L537" s="1" t="n">
        <v>0</v>
      </c>
      <c r="M537" s="1" t="n">
        <v>0</v>
      </c>
      <c r="N537" s="1" t="s">
        <v>347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Z537" s="0" t="n">
        <f aca="false">I537+65</f>
        <v>342.3</v>
      </c>
      <c r="AB537" s="0" t="n">
        <f aca="false">IF(Z537&gt;360,Z537-360,Z537+0)</f>
        <v>342.3</v>
      </c>
    </row>
    <row r="538" customFormat="false" ht="15.8" hidden="false" customHeight="false" outlineLevel="0" collapsed="false">
      <c r="A538" s="1" t="n">
        <v>8</v>
      </c>
      <c r="B538" s="1" t="n">
        <v>4</v>
      </c>
      <c r="C538" s="1" t="n">
        <v>5.8</v>
      </c>
      <c r="D538" s="1" t="n">
        <v>1.3667</v>
      </c>
      <c r="E538" s="1" t="n">
        <v>0.210798</v>
      </c>
      <c r="F538" s="1" t="n">
        <v>0.000605904</v>
      </c>
      <c r="G538" s="1" t="s">
        <v>27</v>
      </c>
      <c r="H538" s="1" t="n">
        <v>50.3</v>
      </c>
      <c r="I538" s="1" t="n">
        <v>214.9</v>
      </c>
      <c r="J538" s="1" t="n">
        <v>46.9</v>
      </c>
      <c r="K538" s="1"/>
      <c r="L538" s="1" t="n">
        <v>0</v>
      </c>
      <c r="M538" s="1" t="n">
        <v>0</v>
      </c>
      <c r="N538" s="1" t="s">
        <v>347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Z538" s="0" t="n">
        <f aca="false">I538+65</f>
        <v>279.9</v>
      </c>
      <c r="AB538" s="0" t="n">
        <f aca="false">IF(Z538&gt;360,Z538-360,Z538+0)</f>
        <v>279.9</v>
      </c>
    </row>
    <row r="539" customFormat="false" ht="15.8" hidden="false" customHeight="false" outlineLevel="0" collapsed="false">
      <c r="A539" s="1" t="n">
        <v>8</v>
      </c>
      <c r="B539" s="1" t="n">
        <v>3</v>
      </c>
      <c r="C539" s="1" t="n">
        <v>0.5</v>
      </c>
      <c r="D539" s="1" t="n">
        <v>1.0107</v>
      </c>
      <c r="E539" s="1" t="n">
        <v>0.0178122</v>
      </c>
      <c r="F539" s="1" t="n">
        <v>5.11981E-005</v>
      </c>
      <c r="G539" s="1" t="s">
        <v>37</v>
      </c>
      <c r="H539" s="1" t="n">
        <v>87.3</v>
      </c>
      <c r="I539" s="1" t="n">
        <v>235.6</v>
      </c>
      <c r="J539" s="1" t="n">
        <v>0</v>
      </c>
      <c r="K539" s="1" t="n">
        <v>50.3</v>
      </c>
      <c r="L539" s="1" t="n">
        <v>0</v>
      </c>
      <c r="M539" s="1" t="n">
        <v>0</v>
      </c>
      <c r="N539" s="1" t="s">
        <v>348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Z539" s="0" t="n">
        <f aca="false">I539+65</f>
        <v>300.6</v>
      </c>
      <c r="AB539" s="0" t="n">
        <f aca="false">IF(Z539&gt;360,Z539-360,Z539+0)</f>
        <v>300.6</v>
      </c>
    </row>
    <row r="540" customFormat="false" ht="15.8" hidden="false" customHeight="false" outlineLevel="0" collapsed="false">
      <c r="A540" s="1" t="n">
        <v>8</v>
      </c>
      <c r="B540" s="1" t="n">
        <v>6</v>
      </c>
      <c r="C540" s="1" t="n">
        <v>0.8</v>
      </c>
      <c r="D540" s="1" t="n">
        <v>1.0119</v>
      </c>
      <c r="E540" s="1" t="n">
        <v>0.027519</v>
      </c>
      <c r="F540" s="1" t="n">
        <v>7.90988E-005</v>
      </c>
      <c r="G540" s="1" t="s">
        <v>27</v>
      </c>
      <c r="H540" s="1" t="n">
        <v>33.7</v>
      </c>
      <c r="I540" s="1" t="n">
        <v>277</v>
      </c>
      <c r="J540" s="1" t="n">
        <v>0</v>
      </c>
      <c r="K540" s="1"/>
      <c r="L540" s="1" t="n">
        <v>0</v>
      </c>
      <c r="M540" s="1" t="n">
        <v>0</v>
      </c>
      <c r="N540" s="1" t="s">
        <v>349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Z540" s="0" t="n">
        <f aca="false">I540+65</f>
        <v>342</v>
      </c>
      <c r="AB540" s="0" t="n">
        <f aca="false">IF(Z540&gt;360,Z540-360,Z540+0)</f>
        <v>342</v>
      </c>
    </row>
    <row r="541" customFormat="false" ht="15.8" hidden="false" customHeight="false" outlineLevel="0" collapsed="false">
      <c r="A541" s="1" t="n">
        <v>8</v>
      </c>
      <c r="B541" s="1" t="n">
        <v>7</v>
      </c>
      <c r="C541" s="1" t="n">
        <v>1</v>
      </c>
      <c r="D541" s="1" t="n">
        <v>1.2988</v>
      </c>
      <c r="E541" s="1" t="n">
        <v>0.0372451</v>
      </c>
      <c r="F541" s="1" t="n">
        <v>0.000107055</v>
      </c>
      <c r="G541" s="1" t="s">
        <v>27</v>
      </c>
      <c r="H541" s="1" t="n">
        <v>92.8</v>
      </c>
      <c r="I541" s="1" t="n">
        <v>223</v>
      </c>
      <c r="J541" s="1" t="n">
        <v>29.4</v>
      </c>
      <c r="K541" s="1"/>
      <c r="L541" s="1" t="n">
        <v>0</v>
      </c>
      <c r="M541" s="1" t="n">
        <v>0</v>
      </c>
      <c r="N541" s="1" t="s">
        <v>350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Z541" s="0" t="n">
        <f aca="false">I541+65</f>
        <v>288</v>
      </c>
      <c r="AB541" s="0" t="n">
        <f aca="false">IF(Z541&gt;360,Z541-360,Z541+0)</f>
        <v>288</v>
      </c>
    </row>
    <row r="542" customFormat="false" ht="15.8" hidden="false" customHeight="false" outlineLevel="0" collapsed="false">
      <c r="A542" s="1" t="n">
        <v>8</v>
      </c>
      <c r="B542" s="1" t="n">
        <v>7</v>
      </c>
      <c r="C542" s="1" t="n">
        <v>4.7</v>
      </c>
      <c r="D542" s="1" t="n">
        <v>1.4611</v>
      </c>
      <c r="E542" s="1" t="n">
        <v>0.16925</v>
      </c>
      <c r="F542" s="1" t="n">
        <v>0.000486481</v>
      </c>
      <c r="G542" s="1" t="s">
        <v>27</v>
      </c>
      <c r="H542" s="1" t="n">
        <v>69</v>
      </c>
      <c r="I542" s="1" t="n">
        <v>314.2</v>
      </c>
      <c r="J542" s="1" t="n">
        <v>-58.3</v>
      </c>
      <c r="K542" s="1"/>
      <c r="L542" s="1" t="n">
        <v>0</v>
      </c>
      <c r="M542" s="1" t="n">
        <v>0</v>
      </c>
      <c r="N542" s="1" t="s">
        <v>350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Z542" s="0" t="n">
        <f aca="false">I542+65</f>
        <v>379.2</v>
      </c>
      <c r="AB542" s="0" t="n">
        <f aca="false">IF(Z542&gt;360,Z542-360,Z542+0)</f>
        <v>19.2</v>
      </c>
    </row>
    <row r="543" customFormat="false" ht="15.8" hidden="false" customHeight="false" outlineLevel="0" collapsed="false">
      <c r="A543" s="1" t="n">
        <v>8</v>
      </c>
      <c r="B543" s="1" t="n">
        <v>6</v>
      </c>
      <c r="C543" s="1" t="n">
        <v>2.4</v>
      </c>
      <c r="D543" s="1" t="n">
        <v>1.1242</v>
      </c>
      <c r="E543" s="1" t="n">
        <v>0.0882815</v>
      </c>
      <c r="F543" s="1" t="n">
        <v>0.000253751</v>
      </c>
      <c r="G543" s="1" t="s">
        <v>37</v>
      </c>
      <c r="H543" s="1" t="n">
        <v>43.2</v>
      </c>
      <c r="I543" s="1" t="n">
        <v>322.2</v>
      </c>
      <c r="J543" s="1" t="n">
        <v>10.3</v>
      </c>
      <c r="K543" s="1" t="n">
        <v>92.8</v>
      </c>
      <c r="L543" s="1" t="n">
        <v>0</v>
      </c>
      <c r="M543" s="1" t="n">
        <v>0</v>
      </c>
      <c r="N543" s="1" t="s">
        <v>349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Z543" s="0" t="n">
        <f aca="false">I543+65</f>
        <v>387.2</v>
      </c>
      <c r="AB543" s="0" t="n">
        <f aca="false">IF(Z543&gt;360,Z543-360,Z543+0)</f>
        <v>27.2</v>
      </c>
    </row>
    <row r="544" customFormat="false" ht="15.8" hidden="false" customHeight="false" outlineLevel="0" collapsed="false">
      <c r="A544" s="1" t="n">
        <v>8</v>
      </c>
      <c r="B544" s="1" t="n">
        <v>5</v>
      </c>
      <c r="C544" s="1" t="n">
        <v>5.4</v>
      </c>
      <c r="D544" s="1" t="n">
        <v>1.2309</v>
      </c>
      <c r="E544" s="1" t="n">
        <v>0.195309</v>
      </c>
      <c r="F544" s="1" t="n">
        <v>0.000561382</v>
      </c>
      <c r="G544" s="1" t="s">
        <v>37</v>
      </c>
      <c r="H544" s="1" t="n">
        <v>77.2</v>
      </c>
      <c r="I544" s="1" t="n">
        <v>298.8</v>
      </c>
      <c r="J544" s="1" t="n">
        <v>-26.4</v>
      </c>
      <c r="K544" s="1" t="n">
        <v>43.2</v>
      </c>
      <c r="L544" s="1" t="n">
        <v>0</v>
      </c>
      <c r="M544" s="1" t="n">
        <v>0</v>
      </c>
      <c r="N544" s="1" t="s">
        <v>351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Z544" s="0" t="n">
        <f aca="false">I544+65</f>
        <v>363.8</v>
      </c>
      <c r="AB544" s="0" t="n">
        <f aca="false">IF(Z544&gt;360,Z544-360,Z544+0)</f>
        <v>3.80000000000001</v>
      </c>
    </row>
    <row r="545" customFormat="false" ht="15.8" hidden="false" customHeight="false" outlineLevel="0" collapsed="false">
      <c r="A545" s="1" t="n">
        <v>8</v>
      </c>
      <c r="B545" s="1" t="n">
        <v>5</v>
      </c>
      <c r="C545" s="1" t="n">
        <v>4</v>
      </c>
      <c r="D545" s="1" t="n">
        <v>1.1784</v>
      </c>
      <c r="E545" s="1" t="n">
        <v>0.146149</v>
      </c>
      <c r="F545" s="1" t="n">
        <v>0.00042008</v>
      </c>
      <c r="G545" s="1" t="s">
        <v>27</v>
      </c>
      <c r="H545" s="1" t="n">
        <v>40.6</v>
      </c>
      <c r="I545" s="1" t="n">
        <v>67.1</v>
      </c>
      <c r="J545" s="1" t="n">
        <v>-13.1</v>
      </c>
      <c r="K545" s="1"/>
      <c r="L545" s="1" t="n">
        <v>0</v>
      </c>
      <c r="M545" s="1" t="n">
        <v>0</v>
      </c>
      <c r="N545" s="1" t="s">
        <v>351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Z545" s="0" t="n">
        <f aca="false">I545+65</f>
        <v>132.1</v>
      </c>
      <c r="AB545" s="0" t="n">
        <f aca="false">IF(Z545&gt;360,Z545-360,Z545+0)</f>
        <v>132.1</v>
      </c>
    </row>
    <row r="546" customFormat="false" ht="15.8" hidden="false" customHeight="false" outlineLevel="0" collapsed="false">
      <c r="A546" s="1" t="n">
        <v>8</v>
      </c>
      <c r="B546" s="1" t="n">
        <v>4</v>
      </c>
      <c r="C546" s="1" t="n">
        <v>3.5</v>
      </c>
      <c r="D546" s="1" t="n">
        <v>1.5559</v>
      </c>
      <c r="E546" s="1" t="n">
        <v>0.125326</v>
      </c>
      <c r="F546" s="1" t="n">
        <v>0.000360227</v>
      </c>
      <c r="G546" s="1" t="s">
        <v>37</v>
      </c>
      <c r="H546" s="1" t="n">
        <v>11.5</v>
      </c>
      <c r="I546" s="1" t="n">
        <v>36.8</v>
      </c>
      <c r="J546" s="1" t="n">
        <v>-44.4</v>
      </c>
      <c r="K546" s="1" t="n">
        <v>77.2</v>
      </c>
      <c r="L546" s="1" t="n">
        <v>0</v>
      </c>
      <c r="M546" s="1" t="n">
        <v>0</v>
      </c>
      <c r="N546" s="1" t="s">
        <v>352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Z546" s="0" t="n">
        <f aca="false">I546+65</f>
        <v>101.8</v>
      </c>
      <c r="AB546" s="0" t="n">
        <f aca="false">IF(Z546&gt;360,Z546-360,Z546+0)</f>
        <v>101.8</v>
      </c>
    </row>
    <row r="547" customFormat="false" ht="15.8" hidden="false" customHeight="false" outlineLevel="0" collapsed="false">
      <c r="A547" s="1" t="n">
        <v>8</v>
      </c>
      <c r="B547" s="1" t="n">
        <v>5</v>
      </c>
      <c r="C547" s="1" t="n">
        <v>1.1</v>
      </c>
      <c r="D547" s="1" t="n">
        <v>1.172</v>
      </c>
      <c r="E547" s="1" t="n">
        <v>0.0393497</v>
      </c>
      <c r="F547" s="1" t="n">
        <v>0.000113104</v>
      </c>
      <c r="G547" s="1" t="s">
        <v>27</v>
      </c>
      <c r="H547" s="1" t="n">
        <v>56.1</v>
      </c>
      <c r="I547" s="1" t="n">
        <v>70.1</v>
      </c>
      <c r="J547" s="1" t="n">
        <v>-24.8</v>
      </c>
      <c r="K547" s="1"/>
      <c r="L547" s="1" t="n">
        <v>0</v>
      </c>
      <c r="M547" s="1" t="n">
        <v>0</v>
      </c>
      <c r="N547" s="1" t="s">
        <v>353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Z547" s="0" t="n">
        <f aca="false">I547+65</f>
        <v>135.1</v>
      </c>
      <c r="AB547" s="0" t="n">
        <f aca="false">IF(Z547&gt;360,Z547-360,Z547+0)</f>
        <v>135.1</v>
      </c>
    </row>
    <row r="548" customFormat="false" ht="15.8" hidden="false" customHeight="false" outlineLevel="0" collapsed="false">
      <c r="A548" s="1" t="n">
        <v>8</v>
      </c>
      <c r="B548" s="1" t="n">
        <v>6</v>
      </c>
      <c r="C548" s="1" t="n">
        <v>3.5</v>
      </c>
      <c r="D548" s="1" t="n">
        <v>1.2792</v>
      </c>
      <c r="E548" s="1" t="n">
        <v>0.126493</v>
      </c>
      <c r="F548" s="1" t="n">
        <v>0.000363583</v>
      </c>
      <c r="G548" s="1" t="s">
        <v>27</v>
      </c>
      <c r="H548" s="1" t="n">
        <v>59.4</v>
      </c>
      <c r="I548" s="1" t="n">
        <v>296.5</v>
      </c>
      <c r="J548" s="1" t="n">
        <v>8.2</v>
      </c>
      <c r="K548" s="1"/>
      <c r="L548" s="1" t="n">
        <v>0</v>
      </c>
      <c r="M548" s="1" t="n">
        <v>0</v>
      </c>
      <c r="N548" s="1" t="s">
        <v>354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Z548" s="0" t="n">
        <f aca="false">I548+65</f>
        <v>361.5</v>
      </c>
      <c r="AB548" s="0" t="n">
        <f aca="false">IF(Z548&gt;360,Z548-360,Z548+0)</f>
        <v>1.5</v>
      </c>
    </row>
    <row r="549" customFormat="false" ht="15.8" hidden="false" customHeight="false" outlineLevel="0" collapsed="false">
      <c r="A549" s="1" t="n">
        <v>8</v>
      </c>
      <c r="B549" s="1" t="n">
        <v>7</v>
      </c>
      <c r="C549" s="1" t="n">
        <v>0.6</v>
      </c>
      <c r="D549" s="1" t="n">
        <v>1.0045</v>
      </c>
      <c r="E549" s="1" t="n">
        <v>0.0229778</v>
      </c>
      <c r="F549" s="1" t="n">
        <v>6.60457E-005</v>
      </c>
      <c r="G549" s="1" t="s">
        <v>27</v>
      </c>
      <c r="H549" s="1" t="n">
        <v>141.2</v>
      </c>
      <c r="I549" s="1" t="n">
        <v>266.9</v>
      </c>
      <c r="J549" s="1" t="n">
        <v>0</v>
      </c>
      <c r="K549" s="1"/>
      <c r="L549" s="1" t="n">
        <v>0</v>
      </c>
      <c r="M549" s="1" t="n">
        <v>0</v>
      </c>
      <c r="N549" s="1" t="s">
        <v>355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Z549" s="0" t="n">
        <f aca="false">I549+65</f>
        <v>331.9</v>
      </c>
      <c r="AB549" s="0" t="n">
        <f aca="false">IF(Z549&gt;360,Z549-360,Z549+0)</f>
        <v>331.9</v>
      </c>
    </row>
    <row r="550" customFormat="false" ht="15.8" hidden="false" customHeight="false" outlineLevel="0" collapsed="false">
      <c r="A550" s="1" t="n">
        <v>8</v>
      </c>
      <c r="B550" s="1" t="n">
        <v>8</v>
      </c>
      <c r="C550" s="1" t="n">
        <v>0.7</v>
      </c>
      <c r="D550" s="1" t="n">
        <v>1.1655</v>
      </c>
      <c r="E550" s="1" t="n">
        <v>0.0246861</v>
      </c>
      <c r="F550" s="1" t="n">
        <v>7.09562E-005</v>
      </c>
      <c r="G550" s="1" t="s">
        <v>27</v>
      </c>
      <c r="H550" s="1" t="n">
        <v>88.4</v>
      </c>
      <c r="I550" s="1" t="n">
        <v>270</v>
      </c>
      <c r="J550" s="1" t="n">
        <v>0</v>
      </c>
      <c r="K550" s="1"/>
      <c r="L550" s="1" t="n">
        <v>0</v>
      </c>
      <c r="M550" s="1" t="n">
        <v>0</v>
      </c>
      <c r="N550" s="1" t="s">
        <v>356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Z550" s="0" t="n">
        <f aca="false">I550+65</f>
        <v>335</v>
      </c>
      <c r="AB550" s="0" t="n">
        <f aca="false">IF(Z550&gt;360,Z550-360,Z550+0)</f>
        <v>335</v>
      </c>
    </row>
    <row r="551" customFormat="false" ht="15.8" hidden="false" customHeight="false" outlineLevel="0" collapsed="false">
      <c r="A551" s="1" t="n">
        <v>8</v>
      </c>
      <c r="B551" s="1" t="n">
        <v>8</v>
      </c>
      <c r="C551" s="1" t="n">
        <v>1</v>
      </c>
      <c r="D551" s="1" t="n">
        <v>1.4882</v>
      </c>
      <c r="E551" s="1" t="n">
        <v>0.037425</v>
      </c>
      <c r="F551" s="1" t="n">
        <v>0.000107572</v>
      </c>
      <c r="G551" s="1" t="s">
        <v>27</v>
      </c>
      <c r="H551" s="1" t="n">
        <v>95.5</v>
      </c>
      <c r="I551" s="1" t="n">
        <v>265.4</v>
      </c>
      <c r="J551" s="1" t="n">
        <v>-34.1</v>
      </c>
      <c r="K551" s="1"/>
      <c r="L551" s="1" t="n">
        <v>0</v>
      </c>
      <c r="M551" s="1" t="n">
        <v>0</v>
      </c>
      <c r="N551" s="1" t="s">
        <v>356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Z551" s="0" t="n">
        <f aca="false">I551+65</f>
        <v>330.4</v>
      </c>
      <c r="AB551" s="0" t="n">
        <f aca="false">IF(Z551&gt;360,Z551-360,Z551+0)</f>
        <v>330.4</v>
      </c>
    </row>
    <row r="552" customFormat="false" ht="15.8" hidden="false" customHeight="false" outlineLevel="0" collapsed="false">
      <c r="A552" s="1" t="n">
        <v>8</v>
      </c>
      <c r="B552" s="1" t="n">
        <v>7</v>
      </c>
      <c r="C552" s="1" t="n">
        <v>13</v>
      </c>
      <c r="D552" s="1" t="n">
        <v>1.5962</v>
      </c>
      <c r="E552" s="1" t="n">
        <v>0.469673</v>
      </c>
      <c r="F552" s="1" t="n">
        <v>0.00135</v>
      </c>
      <c r="G552" s="1" t="s">
        <v>37</v>
      </c>
      <c r="H552" s="1" t="n">
        <v>52.5</v>
      </c>
      <c r="I552" s="1" t="n">
        <v>358.4</v>
      </c>
      <c r="J552" s="1" t="n">
        <v>5.5</v>
      </c>
      <c r="K552" s="1" t="n">
        <v>95.5</v>
      </c>
      <c r="L552" s="1" t="n">
        <v>0</v>
      </c>
      <c r="M552" s="1" t="n">
        <v>0</v>
      </c>
      <c r="N552" s="1" t="s">
        <v>355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Z552" s="0" t="n">
        <f aca="false">I552+65</f>
        <v>423.4</v>
      </c>
      <c r="AB552" s="0" t="n">
        <f aca="false">IF(Z552&gt;360,Z552-360,Z552+0)</f>
        <v>63.4</v>
      </c>
    </row>
    <row r="553" customFormat="false" ht="15.8" hidden="false" customHeight="false" outlineLevel="0" collapsed="false">
      <c r="A553" s="1" t="n">
        <v>8</v>
      </c>
      <c r="B553" s="1" t="n">
        <v>6</v>
      </c>
      <c r="C553" s="1" t="n">
        <v>2.9</v>
      </c>
      <c r="D553" s="1" t="n">
        <v>1.1701</v>
      </c>
      <c r="E553" s="1" t="n">
        <v>0.105655</v>
      </c>
      <c r="F553" s="1" t="n">
        <v>0.000303687</v>
      </c>
      <c r="G553" s="1" t="s">
        <v>37</v>
      </c>
      <c r="H553" s="1" t="n">
        <v>57.8</v>
      </c>
      <c r="I553" s="1" t="n">
        <v>49</v>
      </c>
      <c r="J553" s="1" t="n">
        <v>-9</v>
      </c>
      <c r="K553" s="1" t="n">
        <v>141.2</v>
      </c>
      <c r="L553" s="1" t="n">
        <v>0</v>
      </c>
      <c r="M553" s="1" t="n">
        <v>0</v>
      </c>
      <c r="N553" s="1" t="s">
        <v>354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Z553" s="0" t="n">
        <f aca="false">I553+65</f>
        <v>114</v>
      </c>
      <c r="AB553" s="0" t="n">
        <f aca="false">IF(Z553&gt;360,Z553-360,Z553+0)</f>
        <v>114</v>
      </c>
    </row>
    <row r="554" customFormat="false" ht="15.8" hidden="false" customHeight="false" outlineLevel="0" collapsed="false">
      <c r="A554" s="1" t="n">
        <v>8</v>
      </c>
      <c r="B554" s="1" t="n">
        <v>5</v>
      </c>
      <c r="C554" s="1" t="n">
        <v>2.8</v>
      </c>
      <c r="D554" s="1" t="n">
        <v>1.1774</v>
      </c>
      <c r="E554" s="1" t="n">
        <v>0.101401</v>
      </c>
      <c r="F554" s="1" t="n">
        <v>0.000291459</v>
      </c>
      <c r="G554" s="1" t="s">
        <v>37</v>
      </c>
      <c r="H554" s="1" t="n">
        <v>52.3</v>
      </c>
      <c r="I554" s="1" t="n">
        <v>350</v>
      </c>
      <c r="J554" s="1" t="n">
        <v>-19.1</v>
      </c>
      <c r="K554" s="1" t="n">
        <v>59.4</v>
      </c>
      <c r="L554" s="1" t="n">
        <v>0</v>
      </c>
      <c r="M554" s="1" t="n">
        <v>0</v>
      </c>
      <c r="N554" s="1" t="s">
        <v>353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Z554" s="0" t="n">
        <f aca="false">I554+65</f>
        <v>415</v>
      </c>
      <c r="AB554" s="0" t="n">
        <f aca="false">IF(Z554&gt;360,Z554-360,Z554+0)</f>
        <v>55</v>
      </c>
    </row>
    <row r="555" customFormat="false" ht="15.8" hidden="false" customHeight="false" outlineLevel="0" collapsed="false">
      <c r="A555" s="1" t="n">
        <v>8</v>
      </c>
      <c r="B555" s="1" t="n">
        <v>4</v>
      </c>
      <c r="C555" s="1" t="n">
        <v>3.6</v>
      </c>
      <c r="D555" s="1" t="n">
        <v>1.2362</v>
      </c>
      <c r="E555" s="1" t="n">
        <v>0.130984</v>
      </c>
      <c r="F555" s="1" t="n">
        <v>0.000376492</v>
      </c>
      <c r="G555" s="1" t="s">
        <v>37</v>
      </c>
      <c r="H555" s="1" t="n">
        <v>55.9</v>
      </c>
      <c r="I555" s="1" t="n">
        <v>30</v>
      </c>
      <c r="J555" s="1" t="n">
        <v>15.4</v>
      </c>
      <c r="K555" s="1" t="n">
        <v>56.1</v>
      </c>
      <c r="L555" s="1" t="n">
        <v>0</v>
      </c>
      <c r="M555" s="1" t="n">
        <v>0</v>
      </c>
      <c r="N555" s="1" t="s">
        <v>352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Z555" s="0" t="n">
        <f aca="false">I555+65</f>
        <v>95</v>
      </c>
      <c r="AB555" s="0" t="n">
        <f aca="false">IF(Z555&gt;360,Z555-360,Z555+0)</f>
        <v>95</v>
      </c>
    </row>
    <row r="556" customFormat="false" ht="15.8" hidden="false" customHeight="false" outlineLevel="0" collapsed="false">
      <c r="A556" s="1" t="n">
        <v>8</v>
      </c>
      <c r="B556" s="1" t="n">
        <v>3</v>
      </c>
      <c r="C556" s="1" t="n">
        <v>3.6</v>
      </c>
      <c r="D556" s="1" t="n">
        <v>1.1893</v>
      </c>
      <c r="E556" s="1" t="n">
        <v>0.130357</v>
      </c>
      <c r="F556" s="1" t="n">
        <v>0.000374691</v>
      </c>
      <c r="G556" s="1" t="s">
        <v>37</v>
      </c>
      <c r="H556" s="1" t="n">
        <v>48.3</v>
      </c>
      <c r="I556" s="1" t="n">
        <v>22.4</v>
      </c>
      <c r="J556" s="1" t="n">
        <v>-40</v>
      </c>
      <c r="K556" s="1" t="n">
        <v>55.9</v>
      </c>
      <c r="L556" s="1" t="n">
        <v>0</v>
      </c>
      <c r="M556" s="1" t="n">
        <v>0</v>
      </c>
      <c r="N556" s="1" t="s">
        <v>348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Z556" s="0" t="n">
        <f aca="false">I556+65</f>
        <v>87.4</v>
      </c>
      <c r="AB556" s="0" t="n">
        <f aca="false">IF(Z556&gt;360,Z556-360,Z556+0)</f>
        <v>87.4</v>
      </c>
    </row>
    <row r="557" customFormat="false" ht="15.8" hidden="false" customHeight="false" outlineLevel="0" collapsed="false">
      <c r="A557" s="1" t="n">
        <v>8</v>
      </c>
      <c r="B557" s="1" t="n">
        <v>2</v>
      </c>
      <c r="C557" s="1" t="n">
        <v>3.2</v>
      </c>
      <c r="D557" s="1" t="n">
        <v>1.4442</v>
      </c>
      <c r="E557" s="1" t="n">
        <v>0.115766</v>
      </c>
      <c r="F557" s="1" t="n">
        <v>0.00033275</v>
      </c>
      <c r="G557" s="1" t="s">
        <v>37</v>
      </c>
      <c r="H557" s="1" t="n">
        <v>34.2</v>
      </c>
      <c r="I557" s="1" t="n">
        <v>322.4</v>
      </c>
      <c r="J557" s="1" t="n">
        <v>-31.8</v>
      </c>
      <c r="K557" s="1" t="n">
        <v>87.3</v>
      </c>
      <c r="L557" s="1" t="n">
        <v>0</v>
      </c>
      <c r="M557" s="1" t="n">
        <v>0</v>
      </c>
      <c r="N557" s="1" t="s">
        <v>346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Z557" s="0" t="n">
        <f aca="false">I557+65</f>
        <v>387.4</v>
      </c>
      <c r="AB557" s="0" t="n">
        <f aca="false">IF(Z557&gt;360,Z557-360,Z557+0)</f>
        <v>27.4</v>
      </c>
    </row>
    <row r="558" customFormat="false" ht="15.8" hidden="false" customHeight="false" outlineLevel="0" collapsed="false">
      <c r="A558" s="1" t="n">
        <v>8</v>
      </c>
      <c r="B558" s="1" t="n">
        <v>1</v>
      </c>
      <c r="C558" s="1" t="n">
        <v>1</v>
      </c>
      <c r="D558" s="1" t="n">
        <v>1.1903</v>
      </c>
      <c r="E558" s="1" t="n">
        <v>0.0358185</v>
      </c>
      <c r="F558" s="1" t="n">
        <v>0.000102954</v>
      </c>
      <c r="G558" s="1" t="s">
        <v>37</v>
      </c>
      <c r="H558" s="1"/>
      <c r="I558" s="1" t="n">
        <v>1.8</v>
      </c>
      <c r="J558" s="1" t="n">
        <v>-27.9</v>
      </c>
      <c r="K558" s="1" t="n">
        <v>94.2</v>
      </c>
      <c r="L558" s="1" t="n">
        <v>0</v>
      </c>
      <c r="M558" s="1" t="n">
        <v>0</v>
      </c>
      <c r="N558" s="1" t="s">
        <v>357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Z558" s="0" t="n">
        <f aca="false">I558+65</f>
        <v>66.8</v>
      </c>
      <c r="AB558" s="0" t="n">
        <f aca="false">IF(Z558&gt;360,Z558-360,Z558+0)</f>
        <v>66.8</v>
      </c>
    </row>
    <row r="559" customFormat="false" ht="15.8" hidden="false" customHeight="false" outlineLevel="0" collapsed="false">
      <c r="A559" s="1" t="n">
        <v>9</v>
      </c>
      <c r="B559" s="1" t="n">
        <v>4</v>
      </c>
      <c r="C559" s="1" t="n">
        <v>5.8</v>
      </c>
      <c r="D559" s="1" t="n">
        <v>1.4968</v>
      </c>
      <c r="E559" s="1" t="n">
        <v>0.167962</v>
      </c>
      <c r="F559" s="1" t="n">
        <v>0.000386223</v>
      </c>
      <c r="G559" s="1" t="s">
        <v>27</v>
      </c>
      <c r="H559" s="1" t="n">
        <v>109.5</v>
      </c>
      <c r="I559" s="1" t="n">
        <v>163.6</v>
      </c>
      <c r="J559" s="1" t="n">
        <v>44.7</v>
      </c>
      <c r="K559" s="1"/>
      <c r="L559" s="1" t="n">
        <v>0</v>
      </c>
      <c r="M559" s="1" t="n">
        <v>0</v>
      </c>
      <c r="N559" s="1" t="s">
        <v>358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Z559" s="0" t="n">
        <f aca="false">I559+65</f>
        <v>228.6</v>
      </c>
      <c r="AB559" s="0" t="n">
        <f aca="false">IF(Z559&gt;360,Z559-360,Z559+0)</f>
        <v>228.6</v>
      </c>
    </row>
    <row r="560" customFormat="false" ht="15.8" hidden="false" customHeight="false" outlineLevel="0" collapsed="false">
      <c r="A560" s="1" t="n">
        <v>9</v>
      </c>
      <c r="B560" s="1" t="n">
        <v>4</v>
      </c>
      <c r="C560" s="1" t="n">
        <v>3.5</v>
      </c>
      <c r="D560" s="1" t="n">
        <v>1.2103</v>
      </c>
      <c r="E560" s="1" t="n">
        <v>0.102533</v>
      </c>
      <c r="F560" s="1" t="n">
        <v>0.00023577</v>
      </c>
      <c r="G560" s="1" t="s">
        <v>27</v>
      </c>
      <c r="H560" s="1" t="n">
        <v>60.1</v>
      </c>
      <c r="I560" s="1" t="n">
        <v>298.1</v>
      </c>
      <c r="J560" s="1" t="n">
        <v>-41.7</v>
      </c>
      <c r="K560" s="1"/>
      <c r="L560" s="1" t="n">
        <v>0</v>
      </c>
      <c r="M560" s="1" t="n">
        <v>0</v>
      </c>
      <c r="N560" s="1" t="s">
        <v>358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Z560" s="0" t="n">
        <f aca="false">I560+65</f>
        <v>363.1</v>
      </c>
      <c r="AB560" s="0" t="n">
        <f aca="false">IF(Z560&gt;360,Z560-360,Z560+0)</f>
        <v>3.10000000000002</v>
      </c>
    </row>
    <row r="561" customFormat="false" ht="15.8" hidden="false" customHeight="false" outlineLevel="0" collapsed="false">
      <c r="A561" s="1" t="n">
        <v>9</v>
      </c>
      <c r="B561" s="1" t="n">
        <v>3</v>
      </c>
      <c r="C561" s="1" t="n">
        <v>1.5</v>
      </c>
      <c r="D561" s="1" t="n">
        <v>1.1703</v>
      </c>
      <c r="E561" s="1" t="n">
        <v>0.0433059</v>
      </c>
      <c r="F561" s="1" t="n">
        <v>9.95804E-005</v>
      </c>
      <c r="G561" s="1" t="s">
        <v>37</v>
      </c>
      <c r="H561" s="1" t="n">
        <v>91.3</v>
      </c>
      <c r="I561" s="1" t="n">
        <v>307.6</v>
      </c>
      <c r="J561" s="1" t="n">
        <v>17.7</v>
      </c>
      <c r="K561" s="1" t="n">
        <v>109.5</v>
      </c>
      <c r="L561" s="1" t="n">
        <v>0</v>
      </c>
      <c r="M561" s="1" t="n">
        <v>0</v>
      </c>
      <c r="N561" s="1" t="s">
        <v>359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Z561" s="0" t="n">
        <f aca="false">I561+65</f>
        <v>372.6</v>
      </c>
      <c r="AB561" s="0" t="n">
        <f aca="false">IF(Z561&gt;360,Z561-360,Z561+0)</f>
        <v>12.6</v>
      </c>
    </row>
    <row r="562" customFormat="false" ht="15.8" hidden="false" customHeight="false" outlineLevel="0" collapsed="false">
      <c r="A562" s="1" t="n">
        <v>9</v>
      </c>
      <c r="B562" s="1" t="n">
        <v>3</v>
      </c>
      <c r="C562" s="1" t="n">
        <v>1.5</v>
      </c>
      <c r="D562" s="1" t="n">
        <v>1.2448</v>
      </c>
      <c r="E562" s="1" t="n">
        <v>0.0424655</v>
      </c>
      <c r="F562" s="1" t="n">
        <v>9.76481E-005</v>
      </c>
      <c r="G562" s="1" t="s">
        <v>27</v>
      </c>
      <c r="H562" s="1" t="n">
        <v>41.1</v>
      </c>
      <c r="I562" s="1" t="n">
        <v>92.8</v>
      </c>
      <c r="J562" s="1" t="n">
        <v>19.3</v>
      </c>
      <c r="K562" s="1"/>
      <c r="L562" s="1" t="n">
        <v>0</v>
      </c>
      <c r="M562" s="1" t="n">
        <v>0</v>
      </c>
      <c r="N562" s="1" t="s">
        <v>359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Z562" s="0" t="n">
        <f aca="false">I562+65</f>
        <v>157.8</v>
      </c>
      <c r="AB562" s="0" t="n">
        <f aca="false">IF(Z562&gt;360,Z562-360,Z562+0)</f>
        <v>157.8</v>
      </c>
    </row>
    <row r="563" customFormat="false" ht="15.8" hidden="false" customHeight="false" outlineLevel="0" collapsed="false">
      <c r="A563" s="1" t="n">
        <v>9</v>
      </c>
      <c r="B563" s="1" t="n">
        <v>2</v>
      </c>
      <c r="C563" s="1" t="n">
        <v>1.6</v>
      </c>
      <c r="D563" s="1" t="n">
        <v>1.1341</v>
      </c>
      <c r="E563" s="1" t="n">
        <v>0.0460299</v>
      </c>
      <c r="F563" s="1" t="n">
        <v>0.000105844</v>
      </c>
      <c r="G563" s="1" t="s">
        <v>37</v>
      </c>
      <c r="H563" s="1" t="n">
        <v>57.2</v>
      </c>
      <c r="I563" s="1" t="n">
        <v>69.2</v>
      </c>
      <c r="J563" s="1" t="n">
        <v>56.4</v>
      </c>
      <c r="K563" s="1" t="n">
        <v>91.3</v>
      </c>
      <c r="L563" s="1" t="n">
        <v>0</v>
      </c>
      <c r="M563" s="1" t="n">
        <v>0</v>
      </c>
      <c r="N563" s="1" t="s">
        <v>360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Z563" s="0" t="n">
        <f aca="false">I563+65</f>
        <v>134.2</v>
      </c>
      <c r="AB563" s="0" t="n">
        <f aca="false">IF(Z563&gt;360,Z563-360,Z563+0)</f>
        <v>134.2</v>
      </c>
    </row>
    <row r="564" customFormat="false" ht="15.8" hidden="false" customHeight="false" outlineLevel="0" collapsed="false">
      <c r="A564" s="1" t="n">
        <v>9</v>
      </c>
      <c r="B564" s="1" t="n">
        <v>2</v>
      </c>
      <c r="C564" s="1" t="n">
        <v>4.7</v>
      </c>
      <c r="D564" s="1" t="n">
        <v>1.5806</v>
      </c>
      <c r="E564" s="1" t="n">
        <v>0.13463</v>
      </c>
      <c r="F564" s="1" t="n">
        <v>0.000309577</v>
      </c>
      <c r="G564" s="1" t="s">
        <v>27</v>
      </c>
      <c r="H564" s="1" t="n">
        <v>43.4</v>
      </c>
      <c r="I564" s="1" t="n">
        <v>169.4</v>
      </c>
      <c r="J564" s="1" t="n">
        <v>0</v>
      </c>
      <c r="K564" s="1"/>
      <c r="L564" s="1" t="n">
        <v>0</v>
      </c>
      <c r="M564" s="1" t="n">
        <v>0</v>
      </c>
      <c r="N564" s="1" t="s">
        <v>360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Z564" s="0" t="n">
        <f aca="false">I564+65</f>
        <v>234.4</v>
      </c>
      <c r="AB564" s="0" t="n">
        <f aca="false">IF(Z564&gt;360,Z564-360,Z564+0)</f>
        <v>234.4</v>
      </c>
    </row>
    <row r="565" customFormat="false" ht="15.8" hidden="false" customHeight="false" outlineLevel="0" collapsed="false">
      <c r="A565" s="1" t="n">
        <v>9</v>
      </c>
      <c r="B565" s="1" t="n">
        <v>1</v>
      </c>
      <c r="C565" s="1" t="n">
        <v>4.1</v>
      </c>
      <c r="D565" s="1" t="n">
        <v>1.2215</v>
      </c>
      <c r="E565" s="1" t="n">
        <v>0.118694</v>
      </c>
      <c r="F565" s="1" t="n">
        <v>0.000272933</v>
      </c>
      <c r="G565" s="1" t="s">
        <v>37</v>
      </c>
      <c r="H565" s="1"/>
      <c r="I565" s="1" t="n">
        <v>130.1</v>
      </c>
      <c r="J565" s="1" t="n">
        <v>20.4</v>
      </c>
      <c r="K565" s="1" t="n">
        <v>57.2</v>
      </c>
      <c r="L565" s="1" t="n">
        <v>0</v>
      </c>
      <c r="M565" s="1" t="n">
        <v>0</v>
      </c>
      <c r="N565" s="1" t="s">
        <v>361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Z565" s="0" t="n">
        <f aca="false">I565+65</f>
        <v>195.1</v>
      </c>
      <c r="AB565" s="0" t="n">
        <f aca="false">IF(Z565&gt;360,Z565-360,Z565+0)</f>
        <v>195.1</v>
      </c>
    </row>
    <row r="566" customFormat="false" ht="15.8" hidden="false" customHeight="false" outlineLevel="0" collapsed="false">
      <c r="A566" s="1" t="n">
        <v>10</v>
      </c>
      <c r="B566" s="1" t="n">
        <v>8</v>
      </c>
      <c r="C566" s="1" t="n">
        <v>1.6</v>
      </c>
      <c r="D566" s="1" t="n">
        <v>1.2021</v>
      </c>
      <c r="E566" s="1" t="n">
        <v>0.058702</v>
      </c>
      <c r="F566" s="1" t="n">
        <v>0.000168729</v>
      </c>
      <c r="G566" s="1" t="s">
        <v>27</v>
      </c>
      <c r="H566" s="1" t="n">
        <v>27.4</v>
      </c>
      <c r="I566" s="1" t="n">
        <v>284.5</v>
      </c>
      <c r="J566" s="1" t="n">
        <v>-35.2</v>
      </c>
      <c r="K566" s="1"/>
      <c r="L566" s="1" t="n">
        <v>0</v>
      </c>
      <c r="M566" s="1" t="n">
        <v>0</v>
      </c>
      <c r="N566" s="1" t="s">
        <v>362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Z566" s="0" t="n">
        <f aca="false">I566+65</f>
        <v>349.5</v>
      </c>
      <c r="AB566" s="0" t="n">
        <f aca="false">IF(Z566&gt;360,Z566-360,Z566+0)</f>
        <v>349.5</v>
      </c>
    </row>
    <row r="567" customFormat="false" ht="15.8" hidden="false" customHeight="false" outlineLevel="0" collapsed="false">
      <c r="A567" s="1" t="n">
        <v>10</v>
      </c>
      <c r="B567" s="1" t="n">
        <v>8</v>
      </c>
      <c r="C567" s="1" t="n">
        <v>1.4</v>
      </c>
      <c r="D567" s="1" t="n">
        <v>1.0152</v>
      </c>
      <c r="E567" s="1" t="n">
        <v>0.0493923</v>
      </c>
      <c r="F567" s="1" t="n">
        <v>0.00014197</v>
      </c>
      <c r="G567" s="1" t="s">
        <v>27</v>
      </c>
      <c r="H567" s="1" t="n">
        <v>59.2</v>
      </c>
      <c r="I567" s="1" t="n">
        <v>357.1</v>
      </c>
      <c r="J567" s="1" t="n">
        <v>0</v>
      </c>
      <c r="K567" s="1"/>
      <c r="L567" s="1" t="n">
        <v>0</v>
      </c>
      <c r="M567" s="1" t="n">
        <v>0</v>
      </c>
      <c r="N567" s="1" t="s">
        <v>362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Z567" s="0" t="n">
        <f aca="false">I567+65</f>
        <v>422.1</v>
      </c>
      <c r="AB567" s="0" t="n">
        <f aca="false">IF(Z567&gt;360,Z567-360,Z567+0)</f>
        <v>62.1</v>
      </c>
    </row>
    <row r="568" customFormat="false" ht="15.8" hidden="false" customHeight="false" outlineLevel="0" collapsed="false">
      <c r="A568" s="1" t="n">
        <v>10</v>
      </c>
      <c r="B568" s="1" t="n">
        <v>8</v>
      </c>
      <c r="C568" s="1" t="n">
        <v>1.8</v>
      </c>
      <c r="D568" s="1" t="n">
        <v>1.4869</v>
      </c>
      <c r="E568" s="1" t="n">
        <v>0.0639632</v>
      </c>
      <c r="F568" s="1" t="n">
        <v>0.000183852</v>
      </c>
      <c r="G568" s="1" t="s">
        <v>27</v>
      </c>
      <c r="H568" s="1" t="n">
        <v>82</v>
      </c>
      <c r="I568" s="1" t="n">
        <v>239.2</v>
      </c>
      <c r="J568" s="1" t="n">
        <v>0</v>
      </c>
      <c r="K568" s="1"/>
      <c r="L568" s="1" t="n">
        <v>0</v>
      </c>
      <c r="M568" s="1" t="n">
        <v>0</v>
      </c>
      <c r="N568" s="1" t="s">
        <v>362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Z568" s="0" t="n">
        <f aca="false">I568+65</f>
        <v>304.2</v>
      </c>
      <c r="AB568" s="0" t="n">
        <f aca="false">IF(Z568&gt;360,Z568-360,Z568+0)</f>
        <v>304.2</v>
      </c>
    </row>
    <row r="569" customFormat="false" ht="15.8" hidden="false" customHeight="false" outlineLevel="0" collapsed="false">
      <c r="A569" s="1" t="n">
        <v>10</v>
      </c>
      <c r="B569" s="1" t="n">
        <v>7</v>
      </c>
      <c r="C569" s="1" t="n">
        <v>1.8</v>
      </c>
      <c r="D569" s="1" t="n">
        <v>1.1383</v>
      </c>
      <c r="E569" s="1" t="n">
        <v>0.0646224</v>
      </c>
      <c r="F569" s="1" t="n">
        <v>0.000185746</v>
      </c>
      <c r="G569" s="1" t="s">
        <v>37</v>
      </c>
      <c r="H569" s="1" t="n">
        <v>68.7</v>
      </c>
      <c r="I569" s="1" t="n">
        <v>317.2</v>
      </c>
      <c r="J569" s="1" t="n">
        <v>-48.1</v>
      </c>
      <c r="K569" s="1" t="n">
        <v>82</v>
      </c>
      <c r="L569" s="1" t="n">
        <v>0</v>
      </c>
      <c r="M569" s="1" t="n">
        <v>0</v>
      </c>
      <c r="N569" s="1" t="s">
        <v>363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Z569" s="0" t="n">
        <f aca="false">I569+65</f>
        <v>382.2</v>
      </c>
      <c r="AB569" s="0" t="n">
        <f aca="false">IF(Z569&gt;360,Z569-360,Z569+0)</f>
        <v>22.2</v>
      </c>
    </row>
    <row r="570" customFormat="false" ht="15.8" hidden="false" customHeight="false" outlineLevel="0" collapsed="false">
      <c r="A570" s="1" t="n">
        <v>10</v>
      </c>
      <c r="B570" s="1" t="n">
        <v>7</v>
      </c>
      <c r="C570" s="1" t="n">
        <v>0.9</v>
      </c>
      <c r="D570" s="1" t="n">
        <v>1.2468</v>
      </c>
      <c r="E570" s="1" t="n">
        <v>0.0319848</v>
      </c>
      <c r="F570" s="1" t="n">
        <v>9.19349E-005</v>
      </c>
      <c r="G570" s="1" t="s">
        <v>27</v>
      </c>
      <c r="H570" s="1" t="n">
        <v>41.5</v>
      </c>
      <c r="I570" s="1" t="n">
        <v>58.5</v>
      </c>
      <c r="J570" s="1" t="n">
        <v>-33.3</v>
      </c>
      <c r="K570" s="1"/>
      <c r="L570" s="1" t="n">
        <v>0</v>
      </c>
      <c r="M570" s="1" t="n">
        <v>0</v>
      </c>
      <c r="N570" s="1" t="s">
        <v>363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Z570" s="0" t="n">
        <f aca="false">I570+65</f>
        <v>123.5</v>
      </c>
      <c r="AB570" s="0" t="n">
        <f aca="false">IF(Z570&gt;360,Z570-360,Z570+0)</f>
        <v>123.5</v>
      </c>
    </row>
    <row r="571" customFormat="false" ht="15.8" hidden="false" customHeight="false" outlineLevel="0" collapsed="false">
      <c r="A571" s="1" t="n">
        <v>10</v>
      </c>
      <c r="B571" s="1" t="n">
        <v>6</v>
      </c>
      <c r="C571" s="1" t="n">
        <v>3.4</v>
      </c>
      <c r="D571" s="1" t="n">
        <v>1.1264</v>
      </c>
      <c r="E571" s="1" t="n">
        <v>0.122349</v>
      </c>
      <c r="F571" s="1" t="n">
        <v>0.000351672</v>
      </c>
      <c r="G571" s="1" t="s">
        <v>37</v>
      </c>
      <c r="H571" s="1" t="n">
        <v>32.9</v>
      </c>
      <c r="I571" s="1" t="n">
        <v>23.4</v>
      </c>
      <c r="J571" s="1" t="n">
        <v>-7.5</v>
      </c>
      <c r="K571" s="1" t="n">
        <v>68.7</v>
      </c>
      <c r="L571" s="1" t="n">
        <v>0</v>
      </c>
      <c r="M571" s="1" t="n">
        <v>0</v>
      </c>
      <c r="N571" s="1" t="s">
        <v>364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Z571" s="0" t="n">
        <f aca="false">I571+65</f>
        <v>88.4</v>
      </c>
      <c r="AB571" s="0" t="n">
        <f aca="false">IF(Z571&gt;360,Z571-360,Z571+0)</f>
        <v>88.4</v>
      </c>
    </row>
    <row r="572" customFormat="false" ht="15.8" hidden="false" customHeight="false" outlineLevel="0" collapsed="false">
      <c r="A572" s="1" t="n">
        <v>10</v>
      </c>
      <c r="B572" s="1" t="n">
        <v>7</v>
      </c>
      <c r="C572" s="1" t="n">
        <v>3.4</v>
      </c>
      <c r="D572" s="1" t="n">
        <v>1.1962</v>
      </c>
      <c r="E572" s="1" t="n">
        <v>0.122947</v>
      </c>
      <c r="F572" s="1" t="n">
        <v>0.000353391</v>
      </c>
      <c r="G572" s="1" t="s">
        <v>27</v>
      </c>
      <c r="H572" s="1" t="n">
        <v>48.8</v>
      </c>
      <c r="I572" s="1" t="n">
        <v>309.4</v>
      </c>
      <c r="J572" s="1" t="n">
        <v>-15.9</v>
      </c>
      <c r="K572" s="1"/>
      <c r="L572" s="1" t="n">
        <v>0</v>
      </c>
      <c r="M572" s="1" t="n">
        <v>0</v>
      </c>
      <c r="N572" s="1" t="s">
        <v>365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Z572" s="0" t="n">
        <f aca="false">I572+65</f>
        <v>374.4</v>
      </c>
      <c r="AB572" s="0" t="n">
        <f aca="false">IF(Z572&gt;360,Z572-360,Z572+0)</f>
        <v>14.4</v>
      </c>
    </row>
    <row r="573" customFormat="false" ht="15.8" hidden="false" customHeight="false" outlineLevel="0" collapsed="false">
      <c r="A573" s="1" t="n">
        <v>10</v>
      </c>
      <c r="B573" s="1" t="n">
        <v>7</v>
      </c>
      <c r="C573" s="1" t="n">
        <v>1.1</v>
      </c>
      <c r="D573" s="1" t="n">
        <v>1.1214</v>
      </c>
      <c r="E573" s="1" t="n">
        <v>0.0400625</v>
      </c>
      <c r="F573" s="1" t="n">
        <v>0.000115153</v>
      </c>
      <c r="G573" s="1" t="s">
        <v>27</v>
      </c>
      <c r="H573" s="1" t="n">
        <v>105.4</v>
      </c>
      <c r="I573" s="1" t="n">
        <v>34.7</v>
      </c>
      <c r="J573" s="1" t="n">
        <v>-23.2</v>
      </c>
      <c r="K573" s="1"/>
      <c r="L573" s="1" t="n">
        <v>0</v>
      </c>
      <c r="M573" s="1" t="n">
        <v>0</v>
      </c>
      <c r="N573" s="1" t="s">
        <v>365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Z573" s="0" t="n">
        <f aca="false">I573+65</f>
        <v>99.7</v>
      </c>
      <c r="AB573" s="0" t="n">
        <f aca="false">IF(Z573&gt;360,Z573-360,Z573+0)</f>
        <v>99.7</v>
      </c>
    </row>
    <row r="574" customFormat="false" ht="15.8" hidden="false" customHeight="false" outlineLevel="0" collapsed="false">
      <c r="A574" s="1" t="n">
        <v>10</v>
      </c>
      <c r="B574" s="1" t="n">
        <v>6</v>
      </c>
      <c r="C574" s="1" t="n">
        <v>1.8</v>
      </c>
      <c r="D574" s="1" t="n">
        <v>1.2085</v>
      </c>
      <c r="E574" s="1" t="n">
        <v>0.0640284</v>
      </c>
      <c r="F574" s="1" t="n">
        <v>0.000184039</v>
      </c>
      <c r="G574" s="1" t="s">
        <v>37</v>
      </c>
      <c r="H574" s="1" t="n">
        <v>69</v>
      </c>
      <c r="I574" s="1" t="n">
        <v>300.6</v>
      </c>
      <c r="J574" s="1" t="n">
        <v>32.1</v>
      </c>
      <c r="K574" s="1" t="n">
        <v>105.4</v>
      </c>
      <c r="L574" s="1" t="n">
        <v>0</v>
      </c>
      <c r="M574" s="1" t="n">
        <v>0</v>
      </c>
      <c r="N574" s="1" t="s">
        <v>364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Z574" s="0" t="n">
        <f aca="false">I574+65</f>
        <v>365.6</v>
      </c>
      <c r="AB574" s="0" t="n">
        <f aca="false">IF(Z574&gt;360,Z574-360,Z574+0)</f>
        <v>5.60000000000002</v>
      </c>
    </row>
    <row r="575" customFormat="false" ht="15.8" hidden="false" customHeight="false" outlineLevel="0" collapsed="false">
      <c r="A575" s="1" t="n">
        <v>10</v>
      </c>
      <c r="B575" s="1" t="n">
        <v>6</v>
      </c>
      <c r="C575" s="1" t="n">
        <v>2.1</v>
      </c>
      <c r="D575" s="1" t="n">
        <v>1.0789</v>
      </c>
      <c r="E575" s="1" t="n">
        <v>0.0756264</v>
      </c>
      <c r="F575" s="1" t="n">
        <v>0.000217376</v>
      </c>
      <c r="G575" s="1" t="s">
        <v>27</v>
      </c>
      <c r="H575" s="1" t="n">
        <v>112</v>
      </c>
      <c r="I575" s="1" t="n">
        <v>95.1</v>
      </c>
      <c r="J575" s="1" t="n">
        <v>53.5</v>
      </c>
      <c r="K575" s="1"/>
      <c r="L575" s="1" t="n">
        <v>0</v>
      </c>
      <c r="M575" s="1" t="n">
        <v>0</v>
      </c>
      <c r="N575" s="1" t="s">
        <v>364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Z575" s="0" t="n">
        <f aca="false">I575+65</f>
        <v>160.1</v>
      </c>
      <c r="AB575" s="0" t="n">
        <f aca="false">IF(Z575&gt;360,Z575-360,Z575+0)</f>
        <v>160.1</v>
      </c>
    </row>
    <row r="576" customFormat="false" ht="15.8" hidden="false" customHeight="false" outlineLevel="0" collapsed="false">
      <c r="A576" s="1" t="n">
        <v>10</v>
      </c>
      <c r="B576" s="1" t="n">
        <v>5</v>
      </c>
      <c r="C576" s="1" t="n">
        <v>1.5</v>
      </c>
      <c r="D576" s="1" t="n">
        <v>1.1109</v>
      </c>
      <c r="E576" s="1" t="n">
        <v>0.0532509</v>
      </c>
      <c r="F576" s="1" t="n">
        <v>0.000153061</v>
      </c>
      <c r="G576" s="1" t="s">
        <v>37</v>
      </c>
      <c r="H576" s="1" t="n">
        <v>61.7</v>
      </c>
      <c r="I576" s="1" t="n">
        <v>351.1</v>
      </c>
      <c r="J576" s="1" t="n">
        <v>-17.1</v>
      </c>
      <c r="K576" s="1" t="n">
        <v>112</v>
      </c>
      <c r="L576" s="1" t="n">
        <v>0</v>
      </c>
      <c r="M576" s="1" t="n">
        <v>0</v>
      </c>
      <c r="N576" s="1" t="s">
        <v>366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Z576" s="0" t="n">
        <f aca="false">I576+65</f>
        <v>416.1</v>
      </c>
      <c r="AB576" s="0" t="n">
        <f aca="false">IF(Z576&gt;360,Z576-360,Z576+0)</f>
        <v>56.1</v>
      </c>
    </row>
    <row r="577" customFormat="false" ht="15.8" hidden="false" customHeight="false" outlineLevel="0" collapsed="false">
      <c r="A577" s="1" t="n">
        <v>10</v>
      </c>
      <c r="B577" s="1" t="n">
        <v>5</v>
      </c>
      <c r="C577" s="1" t="n">
        <v>1.3</v>
      </c>
      <c r="D577" s="1" t="n">
        <v>1.0407</v>
      </c>
      <c r="E577" s="1" t="n">
        <v>0.0477361</v>
      </c>
      <c r="F577" s="1" t="n">
        <v>0.00013721</v>
      </c>
      <c r="G577" s="1" t="s">
        <v>27</v>
      </c>
      <c r="H577" s="1" t="n">
        <v>68</v>
      </c>
      <c r="I577" s="1" t="n">
        <v>95.2</v>
      </c>
      <c r="J577" s="1" t="n">
        <v>0</v>
      </c>
      <c r="K577" s="1"/>
      <c r="L577" s="1" t="n">
        <v>0</v>
      </c>
      <c r="M577" s="1" t="n">
        <v>0</v>
      </c>
      <c r="N577" s="1" t="s">
        <v>366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Z577" s="0" t="n">
        <f aca="false">I577+65</f>
        <v>160.2</v>
      </c>
      <c r="AB577" s="0" t="n">
        <f aca="false">IF(Z577&gt;360,Z577-360,Z577+0)</f>
        <v>160.2</v>
      </c>
    </row>
    <row r="578" customFormat="false" ht="15.8" hidden="false" customHeight="false" outlineLevel="0" collapsed="false">
      <c r="A578" s="1" t="n">
        <v>10</v>
      </c>
      <c r="B578" s="1" t="n">
        <v>4</v>
      </c>
      <c r="C578" s="1" t="n">
        <v>0.9</v>
      </c>
      <c r="D578" s="1" t="n">
        <v>1.1576</v>
      </c>
      <c r="E578" s="1" t="n">
        <v>0.031506</v>
      </c>
      <c r="F578" s="1" t="n">
        <v>9.05587E-005</v>
      </c>
      <c r="G578" s="1" t="s">
        <v>37</v>
      </c>
      <c r="H578" s="1" t="n">
        <v>43.4</v>
      </c>
      <c r="I578" s="1" t="n">
        <v>31.1</v>
      </c>
      <c r="J578" s="1" t="n">
        <v>31.2</v>
      </c>
      <c r="K578" s="1" t="n">
        <v>68</v>
      </c>
      <c r="L578" s="1" t="n">
        <v>0</v>
      </c>
      <c r="M578" s="1" t="n">
        <v>0</v>
      </c>
      <c r="N578" s="1" t="s">
        <v>367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Z578" s="0" t="n">
        <f aca="false">I578+65</f>
        <v>96.1</v>
      </c>
      <c r="AB578" s="0" t="n">
        <f aca="false">IF(Z578&gt;360,Z578-360,Z578+0)</f>
        <v>96.1</v>
      </c>
    </row>
    <row r="579" customFormat="false" ht="15.8" hidden="false" customHeight="false" outlineLevel="0" collapsed="false">
      <c r="A579" s="1" t="n">
        <v>10</v>
      </c>
      <c r="B579" s="1" t="n">
        <v>4</v>
      </c>
      <c r="C579" s="1" t="n">
        <v>1.1</v>
      </c>
      <c r="D579" s="1" t="n">
        <v>1.1226</v>
      </c>
      <c r="E579" s="1" t="n">
        <v>0.0381714</v>
      </c>
      <c r="F579" s="1" t="n">
        <v>0.000109717</v>
      </c>
      <c r="G579" s="1" t="s">
        <v>27</v>
      </c>
      <c r="H579" s="1" t="n">
        <v>48.4</v>
      </c>
      <c r="I579" s="1" t="n">
        <v>130.1</v>
      </c>
      <c r="J579" s="1" t="n">
        <v>24.5</v>
      </c>
      <c r="K579" s="1"/>
      <c r="L579" s="1" t="n">
        <v>0</v>
      </c>
      <c r="M579" s="1" t="n">
        <v>0</v>
      </c>
      <c r="N579" s="1" t="s">
        <v>367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Z579" s="0" t="n">
        <f aca="false">I579+65</f>
        <v>195.1</v>
      </c>
      <c r="AB579" s="0" t="n">
        <f aca="false">IF(Z579&gt;360,Z579-360,Z579+0)</f>
        <v>195.1</v>
      </c>
    </row>
    <row r="580" customFormat="false" ht="15.8" hidden="false" customHeight="false" outlineLevel="0" collapsed="false">
      <c r="A580" s="1" t="n">
        <v>10</v>
      </c>
      <c r="B580" s="1" t="n">
        <v>3</v>
      </c>
      <c r="C580" s="1" t="n">
        <v>1.3</v>
      </c>
      <c r="D580" s="1" t="n">
        <v>1.1185</v>
      </c>
      <c r="E580" s="1" t="n">
        <v>0.0469098</v>
      </c>
      <c r="F580" s="1" t="n">
        <v>0.000134834</v>
      </c>
      <c r="G580" s="1" t="s">
        <v>37</v>
      </c>
      <c r="H580" s="1" t="n">
        <v>78.2</v>
      </c>
      <c r="I580" s="1" t="n">
        <v>77.9</v>
      </c>
      <c r="J580" s="1" t="n">
        <v>19.6</v>
      </c>
      <c r="K580" s="1" t="n">
        <v>48.4</v>
      </c>
      <c r="L580" s="1" t="n">
        <v>0</v>
      </c>
      <c r="M580" s="1" t="n">
        <v>0</v>
      </c>
      <c r="N580" s="1" t="s">
        <v>368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Z580" s="0" t="n">
        <f aca="false">I580+65</f>
        <v>142.9</v>
      </c>
      <c r="AB580" s="0" t="n">
        <f aca="false">IF(Z580&gt;360,Z580-360,Z580+0)</f>
        <v>142.9</v>
      </c>
    </row>
    <row r="581" customFormat="false" ht="15.8" hidden="false" customHeight="false" outlineLevel="0" collapsed="false">
      <c r="A581" s="1" t="n">
        <v>10</v>
      </c>
      <c r="B581" s="1" t="n">
        <v>3</v>
      </c>
      <c r="C581" s="1" t="n">
        <v>0.7</v>
      </c>
      <c r="D581" s="1" t="n">
        <v>1.1141</v>
      </c>
      <c r="E581" s="1" t="n">
        <v>0.0239862</v>
      </c>
      <c r="F581" s="1" t="n">
        <v>6.89444E-005</v>
      </c>
      <c r="G581" s="1" t="s">
        <v>27</v>
      </c>
      <c r="H581" s="1" t="n">
        <v>25.1</v>
      </c>
      <c r="I581" s="1" t="n">
        <v>5.9</v>
      </c>
      <c r="J581" s="1" t="n">
        <v>-40.9</v>
      </c>
      <c r="K581" s="1"/>
      <c r="L581" s="1" t="n">
        <v>0</v>
      </c>
      <c r="M581" s="1" t="n">
        <v>0</v>
      </c>
      <c r="N581" s="1" t="s">
        <v>368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Z581" s="0" t="n">
        <f aca="false">I581+65</f>
        <v>70.9</v>
      </c>
      <c r="AB581" s="0" t="n">
        <f aca="false">IF(Z581&gt;360,Z581-360,Z581+0)</f>
        <v>70.9</v>
      </c>
    </row>
    <row r="582" customFormat="false" ht="15.8" hidden="false" customHeight="false" outlineLevel="0" collapsed="false">
      <c r="A582" s="1" t="n">
        <v>10</v>
      </c>
      <c r="B582" s="1" t="n">
        <v>2</v>
      </c>
      <c r="C582" s="1" t="n">
        <v>4.6</v>
      </c>
      <c r="D582" s="1" t="n">
        <v>1.249</v>
      </c>
      <c r="E582" s="1" t="n">
        <v>0.166277</v>
      </c>
      <c r="F582" s="1" t="n">
        <v>0.000477935</v>
      </c>
      <c r="G582" s="1" t="s">
        <v>37</v>
      </c>
      <c r="H582" s="1" t="n">
        <v>28.5</v>
      </c>
      <c r="I582" s="1" t="n">
        <v>39.3</v>
      </c>
      <c r="J582" s="1" t="n">
        <v>-50.9</v>
      </c>
      <c r="K582" s="1" t="n">
        <v>78.2</v>
      </c>
      <c r="L582" s="1" t="n">
        <v>0</v>
      </c>
      <c r="M582" s="1" t="n">
        <v>0</v>
      </c>
      <c r="N582" s="1" t="s">
        <v>369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Z582" s="0" t="n">
        <f aca="false">I582+65</f>
        <v>104.3</v>
      </c>
      <c r="AB582" s="0" t="n">
        <f aca="false">IF(Z582&gt;360,Z582-360,Z582+0)</f>
        <v>104.3</v>
      </c>
    </row>
    <row r="583" customFormat="false" ht="15.8" hidden="false" customHeight="false" outlineLevel="0" collapsed="false">
      <c r="A583" s="1" t="n">
        <v>10</v>
      </c>
      <c r="B583" s="1" t="n">
        <v>2</v>
      </c>
      <c r="C583" s="1" t="n">
        <v>3.8</v>
      </c>
      <c r="D583" s="1" t="n">
        <v>1.0548</v>
      </c>
      <c r="E583" s="1" t="n">
        <v>0.135524</v>
      </c>
      <c r="F583" s="1" t="n">
        <v>0.000389542</v>
      </c>
      <c r="G583" s="1" t="s">
        <v>27</v>
      </c>
      <c r="H583" s="1" t="n">
        <v>87.4</v>
      </c>
      <c r="I583" s="1" t="n">
        <v>86.6</v>
      </c>
      <c r="J583" s="1" t="n">
        <v>-6.3</v>
      </c>
      <c r="K583" s="1"/>
      <c r="L583" s="1" t="n">
        <v>0</v>
      </c>
      <c r="M583" s="1" t="n">
        <v>0</v>
      </c>
      <c r="N583" s="1" t="s">
        <v>369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Z583" s="0" t="n">
        <f aca="false">I583+65</f>
        <v>151.6</v>
      </c>
      <c r="AB583" s="0" t="n">
        <f aca="false">IF(Z583&gt;360,Z583-360,Z583+0)</f>
        <v>151.6</v>
      </c>
    </row>
    <row r="584" customFormat="false" ht="15.8" hidden="false" customHeight="false" outlineLevel="0" collapsed="false">
      <c r="A584" s="1" t="n">
        <v>10</v>
      </c>
      <c r="B584" s="1" t="n">
        <v>3</v>
      </c>
      <c r="C584" s="1" t="n">
        <v>1.6</v>
      </c>
      <c r="D584" s="1" t="n">
        <v>1.1492</v>
      </c>
      <c r="E584" s="1" t="n">
        <v>0.0568614</v>
      </c>
      <c r="F584" s="1" t="n">
        <v>0.000163439</v>
      </c>
      <c r="G584" s="1" t="s">
        <v>27</v>
      </c>
      <c r="H584" s="1" t="n">
        <v>94.1</v>
      </c>
      <c r="I584" s="1" t="n">
        <v>27.4</v>
      </c>
      <c r="J584" s="1" t="n">
        <v>-34.7</v>
      </c>
      <c r="K584" s="1"/>
      <c r="L584" s="1" t="n">
        <v>0</v>
      </c>
      <c r="M584" s="1" t="n">
        <v>0</v>
      </c>
      <c r="N584" s="1" t="s">
        <v>370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Z584" s="0" t="n">
        <f aca="false">I584+65</f>
        <v>92.4</v>
      </c>
      <c r="AB584" s="0" t="n">
        <f aca="false">IF(Z584&gt;360,Z584-360,Z584+0)</f>
        <v>92.4</v>
      </c>
    </row>
    <row r="585" customFormat="false" ht="15.8" hidden="false" customHeight="false" outlineLevel="0" collapsed="false">
      <c r="A585" s="1" t="n">
        <v>10</v>
      </c>
      <c r="B585" s="1" t="n">
        <v>4</v>
      </c>
      <c r="C585" s="1" t="n">
        <v>2.2</v>
      </c>
      <c r="D585" s="1" t="n">
        <v>1.0753</v>
      </c>
      <c r="E585" s="1" t="n">
        <v>0.0803836</v>
      </c>
      <c r="F585" s="1" t="n">
        <v>0.000231049</v>
      </c>
      <c r="G585" s="1" t="s">
        <v>27</v>
      </c>
      <c r="H585" s="1" t="n">
        <v>34.7</v>
      </c>
      <c r="I585" s="1" t="n">
        <v>304.1</v>
      </c>
      <c r="J585" s="1" t="n">
        <v>0</v>
      </c>
      <c r="K585" s="1"/>
      <c r="L585" s="1" t="n">
        <v>0</v>
      </c>
      <c r="M585" s="1" t="n">
        <v>0</v>
      </c>
      <c r="N585" s="1" t="s">
        <v>371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Z585" s="0" t="n">
        <f aca="false">I585+65</f>
        <v>369.1</v>
      </c>
      <c r="AB585" s="0" t="n">
        <f aca="false">IF(Z585&gt;360,Z585-360,Z585+0)</f>
        <v>9.10000000000002</v>
      </c>
    </row>
    <row r="586" customFormat="false" ht="15.8" hidden="false" customHeight="false" outlineLevel="0" collapsed="false">
      <c r="A586" s="1" t="n">
        <v>10</v>
      </c>
      <c r="B586" s="1" t="n">
        <v>4</v>
      </c>
      <c r="C586" s="1" t="n">
        <v>8.6</v>
      </c>
      <c r="D586" s="1" t="n">
        <v>1.284</v>
      </c>
      <c r="E586" s="1" t="n">
        <v>0.310746</v>
      </c>
      <c r="F586" s="1" t="n">
        <v>0.000893189</v>
      </c>
      <c r="G586" s="1" t="s">
        <v>27</v>
      </c>
      <c r="H586" s="1" t="n">
        <v>39.2</v>
      </c>
      <c r="I586" s="1" t="n">
        <v>248.1</v>
      </c>
      <c r="J586" s="1" t="n">
        <v>-13.5</v>
      </c>
      <c r="K586" s="1"/>
      <c r="L586" s="1" t="n">
        <v>0</v>
      </c>
      <c r="M586" s="1" t="n">
        <v>0</v>
      </c>
      <c r="N586" s="1" t="s">
        <v>371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Z586" s="0" t="n">
        <f aca="false">I586+65</f>
        <v>313.1</v>
      </c>
      <c r="AB586" s="0" t="n">
        <f aca="false">IF(Z586&gt;360,Z586-360,Z586+0)</f>
        <v>313.1</v>
      </c>
    </row>
    <row r="587" customFormat="false" ht="15.8" hidden="false" customHeight="false" outlineLevel="0" collapsed="false">
      <c r="A587" s="1" t="n">
        <v>10</v>
      </c>
      <c r="B587" s="1" t="n">
        <v>3</v>
      </c>
      <c r="C587" s="1" t="n">
        <v>1.9</v>
      </c>
      <c r="D587" s="1" t="n">
        <v>1.2206</v>
      </c>
      <c r="E587" s="1" t="n">
        <v>0.0680318</v>
      </c>
      <c r="F587" s="1" t="n">
        <v>0.000195546</v>
      </c>
      <c r="G587" s="1" t="s">
        <v>37</v>
      </c>
      <c r="H587" s="1" t="n">
        <v>19.4</v>
      </c>
      <c r="I587" s="1" t="n">
        <v>286.6</v>
      </c>
      <c r="J587" s="1" t="n">
        <v>-30.4</v>
      </c>
      <c r="K587" s="1" t="n">
        <v>39.2</v>
      </c>
      <c r="L587" s="1" t="n">
        <v>0</v>
      </c>
      <c r="M587" s="1" t="n">
        <v>0</v>
      </c>
      <c r="N587" s="1" t="s">
        <v>370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Z587" s="0" t="n">
        <f aca="false">I587+65</f>
        <v>351.6</v>
      </c>
      <c r="AB587" s="0" t="n">
        <f aca="false">IF(Z587&gt;360,Z587-360,Z587+0)</f>
        <v>351.6</v>
      </c>
    </row>
    <row r="588" customFormat="false" ht="15.8" hidden="false" customHeight="false" outlineLevel="0" collapsed="false">
      <c r="A588" s="1" t="n">
        <v>10</v>
      </c>
      <c r="B588" s="1" t="n">
        <v>3</v>
      </c>
      <c r="C588" s="1" t="n">
        <v>2.4</v>
      </c>
      <c r="D588" s="1" t="n">
        <v>1.132</v>
      </c>
      <c r="E588" s="1" t="n">
        <v>0.0862425</v>
      </c>
      <c r="F588" s="1" t="n">
        <v>0.00024789</v>
      </c>
      <c r="G588" s="1" t="s">
        <v>27</v>
      </c>
      <c r="H588" s="1" t="n">
        <v>47.5</v>
      </c>
      <c r="I588" s="1" t="n">
        <v>241.9</v>
      </c>
      <c r="J588" s="1" t="n">
        <v>10.7</v>
      </c>
      <c r="K588" s="1"/>
      <c r="L588" s="1" t="n">
        <v>0</v>
      </c>
      <c r="M588" s="1" t="n">
        <v>0</v>
      </c>
      <c r="N588" s="1" t="s">
        <v>370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Z588" s="0" t="n">
        <f aca="false">I588+65</f>
        <v>306.9</v>
      </c>
      <c r="AB588" s="0" t="n">
        <f aca="false">IF(Z588&gt;360,Z588-360,Z588+0)</f>
        <v>306.9</v>
      </c>
    </row>
    <row r="589" customFormat="false" ht="15.8" hidden="false" customHeight="false" outlineLevel="0" collapsed="false">
      <c r="A589" s="1" t="n">
        <v>10</v>
      </c>
      <c r="B589" s="1" t="n">
        <v>2</v>
      </c>
      <c r="C589" s="1" t="n">
        <v>2.3</v>
      </c>
      <c r="D589" s="1" t="n">
        <v>1.1216</v>
      </c>
      <c r="E589" s="1" t="n">
        <v>0.0823065</v>
      </c>
      <c r="F589" s="1" t="n">
        <v>0.000236576</v>
      </c>
      <c r="G589" s="1" t="s">
        <v>37</v>
      </c>
      <c r="H589" s="1" t="n">
        <v>69.2</v>
      </c>
      <c r="I589" s="1" t="n">
        <v>284.4</v>
      </c>
      <c r="J589" s="1" t="n">
        <v>-11.1</v>
      </c>
      <c r="K589" s="1" t="n">
        <v>94.1</v>
      </c>
      <c r="L589" s="1" t="n">
        <v>0</v>
      </c>
      <c r="M589" s="1" t="n">
        <v>0</v>
      </c>
      <c r="N589" s="1" t="s">
        <v>369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Z589" s="0" t="n">
        <f aca="false">I589+65</f>
        <v>349.4</v>
      </c>
      <c r="AB589" s="0" t="n">
        <f aca="false">IF(Z589&gt;360,Z589-360,Z589+0)</f>
        <v>349.4</v>
      </c>
    </row>
    <row r="590" customFormat="false" ht="15.8" hidden="false" customHeight="false" outlineLevel="0" collapsed="false">
      <c r="A590" s="1" t="n">
        <v>10</v>
      </c>
      <c r="B590" s="1" t="n">
        <v>1</v>
      </c>
      <c r="C590" s="1" t="n">
        <v>1.1</v>
      </c>
      <c r="D590" s="1" t="n">
        <v>1.196</v>
      </c>
      <c r="E590" s="1" t="n">
        <v>0.0380311</v>
      </c>
      <c r="F590" s="1" t="n">
        <v>0.000109314</v>
      </c>
      <c r="G590" s="1" t="s">
        <v>37</v>
      </c>
      <c r="H590" s="1"/>
      <c r="I590" s="1" t="n">
        <v>350.3</v>
      </c>
      <c r="J590" s="1" t="n">
        <v>-62.4</v>
      </c>
      <c r="K590" s="1" t="n">
        <v>87.4</v>
      </c>
      <c r="L590" s="1" t="n">
        <v>0</v>
      </c>
      <c r="M590" s="1" t="n">
        <v>0</v>
      </c>
      <c r="N590" s="1" t="s">
        <v>372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Z590" s="0" t="n">
        <f aca="false">I590+65</f>
        <v>415.3</v>
      </c>
      <c r="AB590" s="0" t="n">
        <f aca="false">IF(Z590&gt;360,Z590-360,Z590+0)</f>
        <v>55.3</v>
      </c>
    </row>
    <row r="591" customFormat="false" ht="15.8" hidden="false" customHeight="false" outlineLevel="0" collapsed="false">
      <c r="A591" s="1" t="n">
        <v>11</v>
      </c>
      <c r="B591" s="1" t="n">
        <v>1</v>
      </c>
      <c r="C591" s="1" t="n">
        <v>1.5</v>
      </c>
      <c r="D591" s="1" t="n">
        <v>1.2068</v>
      </c>
      <c r="E591" s="1" t="n">
        <v>0.0552346</v>
      </c>
      <c r="F591" s="1" t="n">
        <v>0.000158763</v>
      </c>
      <c r="G591" s="1" t="s">
        <v>27</v>
      </c>
      <c r="H591" s="1"/>
      <c r="I591" s="1" t="n">
        <v>55.1</v>
      </c>
      <c r="J591" s="1" t="n">
        <v>-17.9</v>
      </c>
      <c r="K591" s="1"/>
      <c r="L591" s="1" t="n">
        <v>0</v>
      </c>
      <c r="M591" s="1" t="n">
        <v>0</v>
      </c>
      <c r="N591" s="1" t="s">
        <v>373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Z591" s="0" t="n">
        <f aca="false">I591+65</f>
        <v>120.1</v>
      </c>
      <c r="AB591" s="0" t="n">
        <f aca="false">IF(Z591&gt;360,Z591-360,Z591+0)</f>
        <v>120.1</v>
      </c>
    </row>
    <row r="592" customFormat="false" ht="15.8" hidden="false" customHeight="false" outlineLevel="0" collapsed="false">
      <c r="A592" s="1" t="n">
        <v>12</v>
      </c>
      <c r="B592" s="1" t="n">
        <v>2</v>
      </c>
      <c r="C592" s="1" t="n">
        <v>3.1</v>
      </c>
      <c r="D592" s="1" t="n">
        <v>1.293</v>
      </c>
      <c r="E592" s="1" t="n">
        <v>0.111923</v>
      </c>
      <c r="F592" s="1" t="n">
        <v>0.000321704</v>
      </c>
      <c r="G592" s="1" t="s">
        <v>27</v>
      </c>
      <c r="H592" s="1" t="n">
        <v>133.1</v>
      </c>
      <c r="I592" s="1" t="n">
        <v>139.3</v>
      </c>
      <c r="J592" s="1" t="n">
        <v>9.4</v>
      </c>
      <c r="K592" s="1"/>
      <c r="L592" s="1" t="n">
        <v>0</v>
      </c>
      <c r="M592" s="1" t="n">
        <v>0</v>
      </c>
      <c r="N592" s="1" t="s">
        <v>374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Z592" s="0" t="n">
        <f aca="false">I592+65</f>
        <v>204.3</v>
      </c>
      <c r="AB592" s="0" t="n">
        <f aca="false">IF(Z592&gt;360,Z592-360,Z592+0)</f>
        <v>204.3</v>
      </c>
    </row>
    <row r="593" customFormat="false" ht="15.8" hidden="false" customHeight="false" outlineLevel="0" collapsed="false">
      <c r="A593" s="1" t="n">
        <v>12</v>
      </c>
      <c r="B593" s="1" t="n">
        <v>5</v>
      </c>
      <c r="C593" s="1" t="n">
        <v>0.8</v>
      </c>
      <c r="D593" s="1" t="n">
        <v>1.1477</v>
      </c>
      <c r="E593" s="1" t="n">
        <v>0.0302953</v>
      </c>
      <c r="F593" s="1" t="n">
        <v>8.70787E-005</v>
      </c>
      <c r="G593" s="1" t="s">
        <v>27</v>
      </c>
      <c r="H593" s="1" t="n">
        <v>60.3</v>
      </c>
      <c r="I593" s="1" t="n">
        <v>226.5</v>
      </c>
      <c r="J593" s="1" t="n">
        <v>32.3</v>
      </c>
      <c r="K593" s="1"/>
      <c r="L593" s="1" t="n">
        <v>0</v>
      </c>
      <c r="M593" s="1" t="n">
        <v>0</v>
      </c>
      <c r="N593" s="1" t="s">
        <v>375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Z593" s="0" t="n">
        <f aca="false">I593+65</f>
        <v>291.5</v>
      </c>
      <c r="AB593" s="0" t="n">
        <f aca="false">IF(Z593&gt;360,Z593-360,Z593+0)</f>
        <v>291.5</v>
      </c>
    </row>
    <row r="594" customFormat="false" ht="15.8" hidden="false" customHeight="false" outlineLevel="0" collapsed="false">
      <c r="A594" s="1" t="n">
        <v>12</v>
      </c>
      <c r="B594" s="1" t="n">
        <v>6</v>
      </c>
      <c r="C594" s="1" t="n">
        <v>0.8</v>
      </c>
      <c r="D594" s="1" t="n">
        <v>1.0867</v>
      </c>
      <c r="E594" s="1" t="n">
        <v>0.0290367</v>
      </c>
      <c r="F594" s="1" t="n">
        <v>8.34612E-005</v>
      </c>
      <c r="G594" s="1" t="s">
        <v>27</v>
      </c>
      <c r="H594" s="1" t="n">
        <v>84.8</v>
      </c>
      <c r="I594" s="1" t="n">
        <v>50.2</v>
      </c>
      <c r="J594" s="1" t="n">
        <v>-31.8</v>
      </c>
      <c r="K594" s="1"/>
      <c r="L594" s="1" t="n">
        <v>0</v>
      </c>
      <c r="M594" s="1" t="n">
        <v>0</v>
      </c>
      <c r="N594" s="1" t="s">
        <v>376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Z594" s="0" t="n">
        <f aca="false">I594+65</f>
        <v>115.2</v>
      </c>
      <c r="AB594" s="0" t="n">
        <f aca="false">IF(Z594&gt;360,Z594-360,Z594+0)</f>
        <v>115.2</v>
      </c>
    </row>
    <row r="595" customFormat="false" ht="15.8" hidden="false" customHeight="false" outlineLevel="0" collapsed="false">
      <c r="A595" s="1" t="n">
        <v>12</v>
      </c>
      <c r="B595" s="1" t="n">
        <v>6</v>
      </c>
      <c r="C595" s="1" t="n">
        <v>3.4</v>
      </c>
      <c r="D595" s="1" t="n">
        <v>1.2405</v>
      </c>
      <c r="E595" s="1" t="n">
        <v>0.123461</v>
      </c>
      <c r="F595" s="1" t="n">
        <v>0.000354867</v>
      </c>
      <c r="G595" s="1" t="s">
        <v>27</v>
      </c>
      <c r="H595" s="1" t="n">
        <v>46.8</v>
      </c>
      <c r="I595" s="1" t="n">
        <v>281.8</v>
      </c>
      <c r="J595" s="1" t="n">
        <v>-16.4</v>
      </c>
      <c r="K595" s="1"/>
      <c r="L595" s="1" t="n">
        <v>0</v>
      </c>
      <c r="M595" s="1" t="n">
        <v>0</v>
      </c>
      <c r="N595" s="1" t="s">
        <v>376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Z595" s="0" t="n">
        <f aca="false">I595+65</f>
        <v>346.8</v>
      </c>
      <c r="AB595" s="0" t="n">
        <f aca="false">IF(Z595&gt;360,Z595-360,Z595+0)</f>
        <v>346.8</v>
      </c>
    </row>
    <row r="596" customFormat="false" ht="15.8" hidden="false" customHeight="false" outlineLevel="0" collapsed="false">
      <c r="A596" s="1" t="n">
        <v>12</v>
      </c>
      <c r="B596" s="1" t="n">
        <v>5</v>
      </c>
      <c r="C596" s="1" t="n">
        <v>1.5</v>
      </c>
      <c r="D596" s="1" t="n">
        <v>1.5386</v>
      </c>
      <c r="E596" s="1" t="n">
        <v>0.0529864</v>
      </c>
      <c r="F596" s="1" t="n">
        <v>0.000152301</v>
      </c>
      <c r="G596" s="1" t="s">
        <v>37</v>
      </c>
      <c r="H596" s="1" t="n">
        <v>38.6</v>
      </c>
      <c r="I596" s="1" t="n">
        <v>326.3</v>
      </c>
      <c r="J596" s="1" t="n">
        <v>0</v>
      </c>
      <c r="K596" s="1" t="n">
        <v>84.8</v>
      </c>
      <c r="L596" s="1" t="n">
        <v>0</v>
      </c>
      <c r="M596" s="1" t="n">
        <v>0</v>
      </c>
      <c r="N596" s="1" t="s">
        <v>375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Z596" s="0" t="n">
        <f aca="false">I596+65</f>
        <v>391.3</v>
      </c>
      <c r="AB596" s="0" t="n">
        <f aca="false">IF(Z596&gt;360,Z596-360,Z596+0)</f>
        <v>31.3</v>
      </c>
    </row>
    <row r="597" customFormat="false" ht="15.8" hidden="false" customHeight="false" outlineLevel="0" collapsed="false">
      <c r="A597" s="1" t="n">
        <v>12</v>
      </c>
      <c r="B597" s="1" t="n">
        <v>4</v>
      </c>
      <c r="C597" s="1" t="n">
        <v>1.9</v>
      </c>
      <c r="D597" s="1" t="n">
        <v>1.1817</v>
      </c>
      <c r="E597" s="1" t="n">
        <v>0.0678984</v>
      </c>
      <c r="F597" s="1" t="n">
        <v>0.000195163</v>
      </c>
      <c r="G597" s="1" t="s">
        <v>37</v>
      </c>
      <c r="H597" s="1" t="n">
        <v>40.5</v>
      </c>
      <c r="I597" s="1" t="n">
        <v>290.1</v>
      </c>
      <c r="J597" s="1" t="n">
        <v>14.2</v>
      </c>
      <c r="K597" s="1" t="n">
        <v>60.3</v>
      </c>
      <c r="L597" s="1" t="n">
        <v>0</v>
      </c>
      <c r="M597" s="1" t="n">
        <v>0</v>
      </c>
      <c r="N597" s="1" t="s">
        <v>377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Z597" s="0" t="n">
        <f aca="false">I597+65</f>
        <v>355.1</v>
      </c>
      <c r="AB597" s="0" t="n">
        <f aca="false">IF(Z597&gt;360,Z597-360,Z597+0)</f>
        <v>355.1</v>
      </c>
    </row>
    <row r="598" customFormat="false" ht="15.8" hidden="false" customHeight="false" outlineLevel="0" collapsed="false">
      <c r="A598" s="1" t="n">
        <v>12</v>
      </c>
      <c r="B598" s="1" t="n">
        <v>4</v>
      </c>
      <c r="C598" s="1" t="n">
        <v>2.3</v>
      </c>
      <c r="D598" s="1" t="n">
        <v>2.3759</v>
      </c>
      <c r="E598" s="1" t="n">
        <v>0.0828616</v>
      </c>
      <c r="F598" s="1" t="n">
        <v>0.000238172</v>
      </c>
      <c r="G598" s="1" t="s">
        <v>27</v>
      </c>
      <c r="H598" s="1" t="n">
        <v>40.4</v>
      </c>
      <c r="I598" s="1" t="n">
        <v>278.1</v>
      </c>
      <c r="J598" s="1" t="n">
        <v>-53.9</v>
      </c>
      <c r="K598" s="1"/>
      <c r="L598" s="1" t="n">
        <v>0</v>
      </c>
      <c r="M598" s="1" t="n">
        <v>0</v>
      </c>
      <c r="N598" s="1" t="s">
        <v>377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Z598" s="0" t="n">
        <f aca="false">I598+65</f>
        <v>343.1</v>
      </c>
      <c r="AB598" s="0" t="n">
        <f aca="false">IF(Z598&gt;360,Z598-360,Z598+0)</f>
        <v>343.1</v>
      </c>
    </row>
    <row r="599" customFormat="false" ht="15.8" hidden="false" customHeight="false" outlineLevel="0" collapsed="false">
      <c r="A599" s="1" t="n">
        <v>12</v>
      </c>
      <c r="B599" s="1" t="n">
        <v>3</v>
      </c>
      <c r="C599" s="1" t="n">
        <v>2.7</v>
      </c>
      <c r="D599" s="1" t="n">
        <v>1.247</v>
      </c>
      <c r="E599" s="1" t="n">
        <v>0.0963457</v>
      </c>
      <c r="F599" s="1" t="n">
        <v>0.00027693</v>
      </c>
      <c r="G599" s="1" t="s">
        <v>37</v>
      </c>
      <c r="H599" s="1" t="n">
        <v>42.8</v>
      </c>
      <c r="I599" s="1" t="n">
        <v>309.8</v>
      </c>
      <c r="J599" s="1" t="n">
        <v>-21.4</v>
      </c>
      <c r="K599" s="1" t="n">
        <v>40.5</v>
      </c>
      <c r="L599" s="1" t="n">
        <v>0</v>
      </c>
      <c r="M599" s="1" t="n">
        <v>0</v>
      </c>
      <c r="N599" s="1" t="s">
        <v>378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Z599" s="0" t="n">
        <f aca="false">I599+65</f>
        <v>374.8</v>
      </c>
      <c r="AB599" s="0" t="n">
        <f aca="false">IF(Z599&gt;360,Z599-360,Z599+0)</f>
        <v>14.8</v>
      </c>
    </row>
    <row r="600" customFormat="false" ht="15.8" hidden="false" customHeight="false" outlineLevel="0" collapsed="false">
      <c r="A600" s="1" t="n">
        <v>12</v>
      </c>
      <c r="B600" s="1" t="n">
        <v>7</v>
      </c>
      <c r="C600" s="1" t="n">
        <v>1.3</v>
      </c>
      <c r="D600" s="1" t="n">
        <v>1.1985</v>
      </c>
      <c r="E600" s="1" t="n">
        <v>0.0485321</v>
      </c>
      <c r="F600" s="1" t="n">
        <v>0.000139497</v>
      </c>
      <c r="G600" s="1" t="s">
        <v>27</v>
      </c>
      <c r="H600" s="1" t="n">
        <v>9.4</v>
      </c>
      <c r="I600" s="1" t="n">
        <v>340.2</v>
      </c>
      <c r="J600" s="1" t="n">
        <v>-20.4</v>
      </c>
      <c r="K600" s="1"/>
      <c r="L600" s="1" t="n">
        <v>0</v>
      </c>
      <c r="M600" s="1" t="n">
        <v>0</v>
      </c>
      <c r="N600" s="1" t="s">
        <v>379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Z600" s="0" t="n">
        <f aca="false">I600+65</f>
        <v>405.2</v>
      </c>
      <c r="AB600" s="0" t="n">
        <f aca="false">IF(Z600&gt;360,Z600-360,Z600+0)</f>
        <v>45.2</v>
      </c>
    </row>
    <row r="601" customFormat="false" ht="15.8" hidden="false" customHeight="false" outlineLevel="0" collapsed="false">
      <c r="A601" s="1" t="n">
        <v>12</v>
      </c>
      <c r="B601" s="1" t="n">
        <v>8</v>
      </c>
      <c r="C601" s="1" t="n">
        <v>1.8</v>
      </c>
      <c r="D601" s="1" t="n">
        <v>1.2067</v>
      </c>
      <c r="E601" s="1" t="n">
        <v>0.0661778</v>
      </c>
      <c r="F601" s="1" t="n">
        <v>0.000190217</v>
      </c>
      <c r="G601" s="1" t="s">
        <v>27</v>
      </c>
      <c r="H601" s="1" t="n">
        <v>49</v>
      </c>
      <c r="I601" s="1" t="n">
        <v>29.6</v>
      </c>
      <c r="J601" s="1" t="n">
        <v>-14.9</v>
      </c>
      <c r="K601" s="1"/>
      <c r="L601" s="1" t="n">
        <v>0</v>
      </c>
      <c r="M601" s="1" t="n">
        <v>0</v>
      </c>
      <c r="N601" s="1" t="s">
        <v>380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Z601" s="0" t="n">
        <f aca="false">I601+65</f>
        <v>94.6</v>
      </c>
      <c r="AB601" s="0" t="n">
        <f aca="false">IF(Z601&gt;360,Z601-360,Z601+0)</f>
        <v>94.6</v>
      </c>
    </row>
    <row r="602" customFormat="false" ht="15.8" hidden="false" customHeight="false" outlineLevel="0" collapsed="false">
      <c r="A602" s="1" t="n">
        <v>12</v>
      </c>
      <c r="B602" s="1" t="n">
        <v>9</v>
      </c>
      <c r="C602" s="1" t="n">
        <v>1.2</v>
      </c>
      <c r="D602" s="1" t="n">
        <v>1.1275</v>
      </c>
      <c r="E602" s="1" t="n">
        <v>0.0415611</v>
      </c>
      <c r="F602" s="1" t="n">
        <v>0.00011946</v>
      </c>
      <c r="G602" s="1" t="s">
        <v>27</v>
      </c>
      <c r="H602" s="1" t="n">
        <v>76.4</v>
      </c>
      <c r="I602" s="1" t="n">
        <v>358.6</v>
      </c>
      <c r="J602" s="1" t="n">
        <v>22.5</v>
      </c>
      <c r="K602" s="1"/>
      <c r="L602" s="1" t="n">
        <v>0</v>
      </c>
      <c r="M602" s="1" t="n">
        <v>0</v>
      </c>
      <c r="N602" s="1" t="s">
        <v>381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Z602" s="0" t="n">
        <f aca="false">I602+65</f>
        <v>423.6</v>
      </c>
      <c r="AB602" s="0" t="n">
        <f aca="false">IF(Z602&gt;360,Z602-360,Z602+0)</f>
        <v>63.6</v>
      </c>
    </row>
    <row r="603" customFormat="false" ht="15.8" hidden="false" customHeight="false" outlineLevel="0" collapsed="false">
      <c r="A603" s="1" t="n">
        <v>12</v>
      </c>
      <c r="B603" s="1" t="n">
        <v>10</v>
      </c>
      <c r="C603" s="1" t="n">
        <v>1.5</v>
      </c>
      <c r="D603" s="1" t="n">
        <v>1.0857</v>
      </c>
      <c r="E603" s="1" t="n">
        <v>0.0547865</v>
      </c>
      <c r="F603" s="1" t="n">
        <v>0.000157475</v>
      </c>
      <c r="G603" s="1" t="s">
        <v>27</v>
      </c>
      <c r="H603" s="1" t="n">
        <v>117.2</v>
      </c>
      <c r="I603" s="1" t="n">
        <v>129.3</v>
      </c>
      <c r="J603" s="1" t="n">
        <v>0</v>
      </c>
      <c r="K603" s="1"/>
      <c r="L603" s="1" t="n">
        <v>0</v>
      </c>
      <c r="M603" s="1" t="n">
        <v>0</v>
      </c>
      <c r="N603" s="1" t="s">
        <v>382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Z603" s="0" t="n">
        <f aca="false">I603+65</f>
        <v>194.3</v>
      </c>
      <c r="AB603" s="0" t="n">
        <f aca="false">IF(Z603&gt;360,Z603-360,Z603+0)</f>
        <v>194.3</v>
      </c>
    </row>
    <row r="604" customFormat="false" ht="15.8" hidden="false" customHeight="false" outlineLevel="0" collapsed="false">
      <c r="A604" s="1" t="n">
        <v>12</v>
      </c>
      <c r="B604" s="1" t="n">
        <v>10</v>
      </c>
      <c r="C604" s="1" t="n">
        <v>1</v>
      </c>
      <c r="D604" s="1" t="n">
        <v>1.0267</v>
      </c>
      <c r="E604" s="1" t="n">
        <v>0.0358897</v>
      </c>
      <c r="F604" s="1" t="n">
        <v>0.000103159</v>
      </c>
      <c r="G604" s="1" t="s">
        <v>27</v>
      </c>
      <c r="H604" s="1" t="n">
        <v>94.3</v>
      </c>
      <c r="I604" s="1" t="n">
        <v>347</v>
      </c>
      <c r="J604" s="1" t="n">
        <v>0</v>
      </c>
      <c r="K604" s="1"/>
      <c r="L604" s="1" t="n">
        <v>0</v>
      </c>
      <c r="M604" s="1" t="n">
        <v>0</v>
      </c>
      <c r="N604" s="1" t="s">
        <v>382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Z604" s="0" t="n">
        <f aca="false">I604+65</f>
        <v>412</v>
      </c>
      <c r="AB604" s="0" t="n">
        <f aca="false">IF(Z604&gt;360,Z604-360,Z604+0)</f>
        <v>52</v>
      </c>
    </row>
    <row r="605" customFormat="false" ht="15.8" hidden="false" customHeight="false" outlineLevel="0" collapsed="false">
      <c r="A605" s="1" t="n">
        <v>12</v>
      </c>
      <c r="B605" s="1" t="n">
        <v>10</v>
      </c>
      <c r="C605" s="1" t="n">
        <v>4.2</v>
      </c>
      <c r="D605" s="1" t="n">
        <v>1.2797</v>
      </c>
      <c r="E605" s="1" t="n">
        <v>0.152713</v>
      </c>
      <c r="F605" s="1" t="n">
        <v>0.000438949</v>
      </c>
      <c r="G605" s="1" t="s">
        <v>27</v>
      </c>
      <c r="H605" s="1" t="n">
        <v>4.2</v>
      </c>
      <c r="I605" s="1" t="n">
        <v>254.4</v>
      </c>
      <c r="J605" s="1" t="n">
        <v>-28.2</v>
      </c>
      <c r="K605" s="1"/>
      <c r="L605" s="1" t="n">
        <v>0</v>
      </c>
      <c r="M605" s="1" t="n">
        <v>0</v>
      </c>
      <c r="N605" s="1" t="s">
        <v>382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Z605" s="0" t="n">
        <f aca="false">I605+65</f>
        <v>319.4</v>
      </c>
      <c r="AB605" s="0" t="n">
        <f aca="false">IF(Z605&gt;360,Z605-360,Z605+0)</f>
        <v>319.4</v>
      </c>
    </row>
    <row r="606" customFormat="false" ht="15.8" hidden="false" customHeight="false" outlineLevel="0" collapsed="false">
      <c r="A606" s="1" t="n">
        <v>12</v>
      </c>
      <c r="B606" s="1" t="n">
        <v>9</v>
      </c>
      <c r="C606" s="1" t="n">
        <v>1.7</v>
      </c>
      <c r="D606" s="1" t="n">
        <v>1.1795</v>
      </c>
      <c r="E606" s="1" t="n">
        <v>0.0630606</v>
      </c>
      <c r="F606" s="1" t="n">
        <v>0.000181257</v>
      </c>
      <c r="G606" s="1" t="s">
        <v>37</v>
      </c>
      <c r="H606" s="1" t="n">
        <v>63</v>
      </c>
      <c r="I606" s="1" t="n">
        <v>251.9</v>
      </c>
      <c r="J606" s="1" t="n">
        <v>-31.8</v>
      </c>
      <c r="K606" s="1" t="n">
        <v>117.2</v>
      </c>
      <c r="L606" s="1" t="n">
        <v>0</v>
      </c>
      <c r="M606" s="1" t="n">
        <v>0</v>
      </c>
      <c r="N606" s="1" t="s">
        <v>381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Z606" s="0" t="n">
        <f aca="false">I606+65</f>
        <v>316.9</v>
      </c>
      <c r="AB606" s="0" t="n">
        <f aca="false">IF(Z606&gt;360,Z606-360,Z606+0)</f>
        <v>316.9</v>
      </c>
    </row>
    <row r="607" customFormat="false" ht="15.8" hidden="false" customHeight="false" outlineLevel="0" collapsed="false">
      <c r="A607" s="1" t="n">
        <v>12</v>
      </c>
      <c r="B607" s="1" t="n">
        <v>8</v>
      </c>
      <c r="C607" s="1" t="n">
        <v>2.9</v>
      </c>
      <c r="D607" s="1" t="n">
        <v>1.4469</v>
      </c>
      <c r="E607" s="1" t="n">
        <v>0.103883</v>
      </c>
      <c r="F607" s="1" t="n">
        <v>0.000298593</v>
      </c>
      <c r="G607" s="1" t="s">
        <v>37</v>
      </c>
      <c r="H607" s="1" t="n">
        <v>30.7</v>
      </c>
      <c r="I607" s="1" t="n">
        <v>337.5</v>
      </c>
      <c r="J607" s="1" t="n">
        <v>-51.7</v>
      </c>
      <c r="K607" s="1" t="n">
        <v>76.4</v>
      </c>
      <c r="L607" s="1" t="n">
        <v>0</v>
      </c>
      <c r="M607" s="1" t="n">
        <v>0</v>
      </c>
      <c r="N607" s="1" t="s">
        <v>380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Z607" s="0" t="n">
        <f aca="false">I607+65</f>
        <v>402.5</v>
      </c>
      <c r="AB607" s="0" t="n">
        <f aca="false">IF(Z607&gt;360,Z607-360,Z607+0)</f>
        <v>42.5</v>
      </c>
    </row>
    <row r="608" customFormat="false" ht="15.8" hidden="false" customHeight="false" outlineLevel="0" collapsed="false">
      <c r="A608" s="1" t="n">
        <v>12</v>
      </c>
      <c r="B608" s="1" t="n">
        <v>7</v>
      </c>
      <c r="C608" s="1" t="n">
        <v>1</v>
      </c>
      <c r="D608" s="1" t="n">
        <v>1.1928</v>
      </c>
      <c r="E608" s="1" t="n">
        <v>0.0374313</v>
      </c>
      <c r="F608" s="1" t="n">
        <v>0.00010759</v>
      </c>
      <c r="G608" s="1" t="s">
        <v>37</v>
      </c>
      <c r="H608" s="1" t="n">
        <v>47.4</v>
      </c>
      <c r="I608" s="1" t="n">
        <v>32.7</v>
      </c>
      <c r="J608" s="1" t="n">
        <v>-63.9</v>
      </c>
      <c r="K608" s="1" t="n">
        <v>49</v>
      </c>
      <c r="L608" s="1" t="n">
        <v>0</v>
      </c>
      <c r="M608" s="1" t="n">
        <v>0</v>
      </c>
      <c r="N608" s="1" t="s">
        <v>379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Z608" s="0" t="n">
        <f aca="false">I608+65</f>
        <v>97.7</v>
      </c>
      <c r="AB608" s="0" t="n">
        <f aca="false">IF(Z608&gt;360,Z608-360,Z608+0)</f>
        <v>97.7</v>
      </c>
    </row>
    <row r="609" customFormat="false" ht="15.8" hidden="false" customHeight="false" outlineLevel="0" collapsed="false">
      <c r="A609" s="1" t="n">
        <v>12</v>
      </c>
      <c r="B609" s="1" t="n">
        <v>6</v>
      </c>
      <c r="C609" s="1" t="n">
        <v>1.1</v>
      </c>
      <c r="D609" s="1" t="n">
        <v>1.1827</v>
      </c>
      <c r="E609" s="1" t="n">
        <v>0.0379487</v>
      </c>
      <c r="F609" s="1" t="n">
        <v>0.000109077</v>
      </c>
      <c r="G609" s="1" t="s">
        <v>37</v>
      </c>
      <c r="H609" s="1" t="n">
        <v>33.7</v>
      </c>
      <c r="I609" s="1" t="n">
        <v>348.4</v>
      </c>
      <c r="J609" s="1" t="n">
        <v>-26</v>
      </c>
      <c r="K609" s="1" t="n">
        <v>47.4</v>
      </c>
      <c r="L609" s="1" t="n">
        <v>0</v>
      </c>
      <c r="M609" s="1" t="n">
        <v>0</v>
      </c>
      <c r="N609" s="1" t="s">
        <v>383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Z609" s="0" t="n">
        <f aca="false">I609+65</f>
        <v>413.4</v>
      </c>
      <c r="AB609" s="0" t="n">
        <f aca="false">IF(Z609&gt;360,Z609-360,Z609+0)</f>
        <v>53.4</v>
      </c>
    </row>
    <row r="610" customFormat="false" ht="15.8" hidden="false" customHeight="false" outlineLevel="0" collapsed="false">
      <c r="A610" s="1" t="n">
        <v>12</v>
      </c>
      <c r="B610" s="1" t="n">
        <v>6</v>
      </c>
      <c r="C610" s="1" t="n">
        <v>1.2</v>
      </c>
      <c r="D610" s="1" t="n">
        <v>1.0386</v>
      </c>
      <c r="E610" s="1" t="n">
        <v>0.045011</v>
      </c>
      <c r="F610" s="1" t="n">
        <v>0.000129377</v>
      </c>
      <c r="G610" s="1" t="s">
        <v>27</v>
      </c>
      <c r="H610" s="1" t="n">
        <v>86.3</v>
      </c>
      <c r="I610" s="1" t="n">
        <v>108.4</v>
      </c>
      <c r="J610" s="1" t="n">
        <v>0</v>
      </c>
      <c r="K610" s="1"/>
      <c r="L610" s="1" t="n">
        <v>0</v>
      </c>
      <c r="M610" s="1" t="n">
        <v>0</v>
      </c>
      <c r="N610" s="1" t="s">
        <v>383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Z610" s="0" t="n">
        <f aca="false">I610+65</f>
        <v>173.4</v>
      </c>
      <c r="AB610" s="0" t="n">
        <f aca="false">IF(Z610&gt;360,Z610-360,Z610+0)</f>
        <v>173.4</v>
      </c>
    </row>
    <row r="611" customFormat="false" ht="15.8" hidden="false" customHeight="false" outlineLevel="0" collapsed="false">
      <c r="A611" s="1" t="n">
        <v>12</v>
      </c>
      <c r="B611" s="1" t="n">
        <v>5</v>
      </c>
      <c r="C611" s="1" t="n">
        <v>2.1</v>
      </c>
      <c r="D611" s="1" t="n">
        <v>1.2301</v>
      </c>
      <c r="E611" s="1" t="n">
        <v>0.0746205</v>
      </c>
      <c r="F611" s="1" t="n">
        <v>0.000214484</v>
      </c>
      <c r="G611" s="1" t="s">
        <v>37</v>
      </c>
      <c r="H611" s="1" t="n">
        <v>97.6</v>
      </c>
      <c r="I611" s="1" t="n">
        <v>23.6</v>
      </c>
      <c r="J611" s="1" t="n">
        <v>-44.2</v>
      </c>
      <c r="K611" s="1" t="n">
        <v>86.3</v>
      </c>
      <c r="L611" s="1" t="n">
        <v>0</v>
      </c>
      <c r="M611" s="1" t="n">
        <v>0</v>
      </c>
      <c r="N611" s="1" t="s">
        <v>384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Z611" s="0" t="n">
        <f aca="false">I611+65</f>
        <v>88.6</v>
      </c>
      <c r="AB611" s="0" t="n">
        <f aca="false">IF(Z611&gt;360,Z611-360,Z611+0)</f>
        <v>88.6</v>
      </c>
    </row>
    <row r="612" customFormat="false" ht="15.8" hidden="false" customHeight="false" outlineLevel="0" collapsed="false">
      <c r="A612" s="1" t="n">
        <v>12</v>
      </c>
      <c r="B612" s="1" t="n">
        <v>5</v>
      </c>
      <c r="C612" s="1" t="n">
        <v>2.8</v>
      </c>
      <c r="D612" s="1" t="n">
        <v>1.4963</v>
      </c>
      <c r="E612" s="1" t="n">
        <v>0.10032</v>
      </c>
      <c r="F612" s="1" t="n">
        <v>0.000288354</v>
      </c>
      <c r="G612" s="1" t="s">
        <v>27</v>
      </c>
      <c r="H612" s="1" t="n">
        <v>33.6</v>
      </c>
      <c r="I612" s="1" t="n">
        <v>122.6</v>
      </c>
      <c r="J612" s="1" t="n">
        <v>0</v>
      </c>
      <c r="K612" s="1"/>
      <c r="L612" s="1" t="n">
        <v>0</v>
      </c>
      <c r="M612" s="1" t="n">
        <v>0</v>
      </c>
      <c r="N612" s="1" t="s">
        <v>384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Z612" s="0" t="n">
        <f aca="false">I612+65</f>
        <v>187.6</v>
      </c>
      <c r="AB612" s="0" t="n">
        <f aca="false">IF(Z612&gt;360,Z612-360,Z612+0)</f>
        <v>187.6</v>
      </c>
    </row>
    <row r="613" customFormat="false" ht="15.8" hidden="false" customHeight="false" outlineLevel="0" collapsed="false">
      <c r="A613" s="1" t="n">
        <v>12</v>
      </c>
      <c r="B613" s="1" t="n">
        <v>4</v>
      </c>
      <c r="C613" s="1" t="n">
        <v>7.4</v>
      </c>
      <c r="D613" s="1" t="n">
        <v>1.3354</v>
      </c>
      <c r="E613" s="1" t="n">
        <v>0.268242</v>
      </c>
      <c r="F613" s="1" t="n">
        <v>0.000771017</v>
      </c>
      <c r="G613" s="1" t="s">
        <v>37</v>
      </c>
      <c r="H613" s="1" t="n">
        <v>87.3</v>
      </c>
      <c r="I613" s="1" t="n">
        <v>99.3</v>
      </c>
      <c r="J613" s="1" t="n">
        <v>24.9</v>
      </c>
      <c r="K613" s="1" t="n">
        <v>97.6</v>
      </c>
      <c r="L613" s="1" t="n">
        <v>0</v>
      </c>
      <c r="M613" s="1" t="n">
        <v>0</v>
      </c>
      <c r="N613" s="1" t="s">
        <v>385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Z613" s="0" t="n">
        <f aca="false">I613+65</f>
        <v>164.3</v>
      </c>
      <c r="AB613" s="0" t="n">
        <f aca="false">IF(Z613&gt;360,Z613-360,Z613+0)</f>
        <v>164.3</v>
      </c>
    </row>
    <row r="614" customFormat="false" ht="15.8" hidden="false" customHeight="false" outlineLevel="0" collapsed="false">
      <c r="A614" s="1" t="n">
        <v>12</v>
      </c>
      <c r="B614" s="1" t="n">
        <v>6</v>
      </c>
      <c r="C614" s="1" t="n">
        <v>4.7</v>
      </c>
      <c r="D614" s="1" t="n">
        <v>1.4058</v>
      </c>
      <c r="E614" s="1" t="n">
        <v>0.169662</v>
      </c>
      <c r="F614" s="1" t="n">
        <v>0.000487666</v>
      </c>
      <c r="G614" s="1" t="s">
        <v>27</v>
      </c>
      <c r="H614" s="1" t="n">
        <v>68.7</v>
      </c>
      <c r="I614" s="1" t="n">
        <v>13.3</v>
      </c>
      <c r="J614" s="1" t="n">
        <v>-13.5</v>
      </c>
      <c r="K614" s="1"/>
      <c r="L614" s="1" t="n">
        <v>0</v>
      </c>
      <c r="M614" s="1" t="n">
        <v>0</v>
      </c>
      <c r="N614" s="1" t="s">
        <v>386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Z614" s="0" t="n">
        <f aca="false">I614+65</f>
        <v>78.3</v>
      </c>
      <c r="AB614" s="0" t="n">
        <f aca="false">IF(Z614&gt;360,Z614-360,Z614+0)</f>
        <v>78.3</v>
      </c>
    </row>
    <row r="615" customFormat="false" ht="15.8" hidden="false" customHeight="false" outlineLevel="0" collapsed="false">
      <c r="A615" s="1" t="n">
        <v>12</v>
      </c>
      <c r="B615" s="1" t="n">
        <v>6</v>
      </c>
      <c r="C615" s="1" t="n">
        <v>1.7</v>
      </c>
      <c r="D615" s="1" t="n">
        <v>1.1864</v>
      </c>
      <c r="E615" s="1" t="n">
        <v>0.0597699</v>
      </c>
      <c r="F615" s="1" t="n">
        <v>0.000171799</v>
      </c>
      <c r="G615" s="1" t="s">
        <v>27</v>
      </c>
      <c r="H615" s="1" t="n">
        <v>42.5</v>
      </c>
      <c r="I615" s="1" t="n">
        <v>109.2</v>
      </c>
      <c r="J615" s="1" t="n">
        <v>34</v>
      </c>
      <c r="K615" s="1"/>
      <c r="L615" s="1" t="n">
        <v>0</v>
      </c>
      <c r="M615" s="1" t="n">
        <v>0</v>
      </c>
      <c r="N615" s="1" t="s">
        <v>386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Z615" s="0" t="n">
        <f aca="false">I615+65</f>
        <v>174.2</v>
      </c>
      <c r="AB615" s="0" t="n">
        <f aca="false">IF(Z615&gt;360,Z615-360,Z615+0)</f>
        <v>174.2</v>
      </c>
    </row>
    <row r="616" customFormat="false" ht="15.8" hidden="false" customHeight="false" outlineLevel="0" collapsed="false">
      <c r="A616" s="1" t="n">
        <v>12</v>
      </c>
      <c r="B616" s="1" t="n">
        <v>5</v>
      </c>
      <c r="C616" s="1" t="n">
        <v>2.7</v>
      </c>
      <c r="D616" s="1" t="n">
        <v>1.6091</v>
      </c>
      <c r="E616" s="1" t="n">
        <v>0.0983105</v>
      </c>
      <c r="F616" s="1" t="n">
        <v>0.000282577</v>
      </c>
      <c r="G616" s="1" t="s">
        <v>37</v>
      </c>
      <c r="H616" s="1" t="n">
        <v>101.5</v>
      </c>
      <c r="I616" s="1" t="n">
        <v>55</v>
      </c>
      <c r="J616" s="1" t="n">
        <v>43.8</v>
      </c>
      <c r="K616" s="1" t="n">
        <v>68.7</v>
      </c>
      <c r="L616" s="1" t="n">
        <v>0</v>
      </c>
      <c r="M616" s="1" t="n">
        <v>0</v>
      </c>
      <c r="N616" s="1" t="s">
        <v>387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Z616" s="0" t="n">
        <f aca="false">I616+65</f>
        <v>120</v>
      </c>
      <c r="AB616" s="0" t="n">
        <f aca="false">IF(Z616&gt;360,Z616-360,Z616+0)</f>
        <v>120</v>
      </c>
    </row>
    <row r="617" customFormat="false" ht="15.8" hidden="false" customHeight="false" outlineLevel="0" collapsed="false">
      <c r="A617" s="1" t="n">
        <v>12</v>
      </c>
      <c r="B617" s="1" t="n">
        <v>6</v>
      </c>
      <c r="C617" s="1" t="n">
        <v>0.9</v>
      </c>
      <c r="D617" s="1" t="n">
        <v>1.0014</v>
      </c>
      <c r="E617" s="1" t="n">
        <v>0.0335903</v>
      </c>
      <c r="F617" s="1" t="n">
        <v>9.65499E-005</v>
      </c>
      <c r="G617" s="1" t="s">
        <v>27</v>
      </c>
      <c r="H617" s="1" t="n">
        <v>132.7</v>
      </c>
      <c r="I617" s="1" t="n">
        <v>58.7</v>
      </c>
      <c r="J617" s="1" t="n">
        <v>0</v>
      </c>
      <c r="K617" s="1"/>
      <c r="L617" s="1" t="n">
        <v>0</v>
      </c>
      <c r="M617" s="1" t="n">
        <v>0</v>
      </c>
      <c r="N617" s="1" t="s">
        <v>388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Z617" s="0" t="n">
        <f aca="false">I617+65</f>
        <v>123.7</v>
      </c>
      <c r="AB617" s="0" t="n">
        <f aca="false">IF(Z617&gt;360,Z617-360,Z617+0)</f>
        <v>123.7</v>
      </c>
    </row>
    <row r="618" customFormat="false" ht="15.8" hidden="false" customHeight="false" outlineLevel="0" collapsed="false">
      <c r="A618" s="1" t="n">
        <v>12</v>
      </c>
      <c r="B618" s="1" t="n">
        <v>10</v>
      </c>
      <c r="C618" s="1" t="n">
        <v>3.2</v>
      </c>
      <c r="D618" s="1" t="n">
        <v>1.1796</v>
      </c>
      <c r="E618" s="1" t="n">
        <v>0.116106</v>
      </c>
      <c r="F618" s="1" t="n">
        <v>0.000333726</v>
      </c>
      <c r="G618" s="1" t="s">
        <v>27</v>
      </c>
      <c r="H618" s="1" t="n">
        <v>32.9</v>
      </c>
      <c r="I618" s="1" t="n">
        <v>254</v>
      </c>
      <c r="J618" s="1" t="n">
        <v>-34.9</v>
      </c>
      <c r="K618" s="1"/>
      <c r="L618" s="1" t="n">
        <v>0</v>
      </c>
      <c r="M618" s="1" t="n">
        <v>0</v>
      </c>
      <c r="N618" s="1" t="s">
        <v>389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Z618" s="0" t="n">
        <f aca="false">I618+65</f>
        <v>319</v>
      </c>
      <c r="AB618" s="0" t="n">
        <f aca="false">IF(Z618&gt;360,Z618-360,Z618+0)</f>
        <v>319</v>
      </c>
    </row>
    <row r="619" customFormat="false" ht="15.8" hidden="false" customHeight="false" outlineLevel="0" collapsed="false">
      <c r="A619" s="1" t="n">
        <v>12</v>
      </c>
      <c r="B619" s="1" t="n">
        <v>12</v>
      </c>
      <c r="C619" s="1" t="n">
        <v>4.6</v>
      </c>
      <c r="D619" s="1" t="n">
        <v>1.1851</v>
      </c>
      <c r="E619" s="1" t="n">
        <v>0.166895</v>
      </c>
      <c r="F619" s="1" t="n">
        <v>0.000479712</v>
      </c>
      <c r="G619" s="1" t="s">
        <v>27</v>
      </c>
      <c r="H619" s="1" t="n">
        <v>7.4</v>
      </c>
      <c r="I619" s="1" t="n">
        <v>137.7</v>
      </c>
      <c r="J619" s="1" t="n">
        <v>-23.6</v>
      </c>
      <c r="K619" s="1"/>
      <c r="L619" s="1" t="n">
        <v>0</v>
      </c>
      <c r="M619" s="1" t="n">
        <v>0</v>
      </c>
      <c r="N619" s="1" t="s">
        <v>390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Z619" s="0" t="n">
        <f aca="false">I619+65</f>
        <v>202.7</v>
      </c>
      <c r="AB619" s="0" t="n">
        <f aca="false">IF(Z619&gt;360,Z619-360,Z619+0)</f>
        <v>202.7</v>
      </c>
    </row>
    <row r="620" customFormat="false" ht="15.8" hidden="false" customHeight="false" outlineLevel="0" collapsed="false">
      <c r="A620" s="1" t="n">
        <v>12</v>
      </c>
      <c r="B620" s="1" t="n">
        <v>12</v>
      </c>
      <c r="C620" s="1" t="n">
        <v>0.8</v>
      </c>
      <c r="D620" s="1" t="n">
        <v>1.1264</v>
      </c>
      <c r="E620" s="1" t="n">
        <v>0.0279527</v>
      </c>
      <c r="F620" s="1" t="n">
        <v>8.03453E-005</v>
      </c>
      <c r="G620" s="1" t="s">
        <v>27</v>
      </c>
      <c r="H620" s="1" t="n">
        <v>81.5</v>
      </c>
      <c r="I620" s="1" t="n">
        <v>243.4</v>
      </c>
      <c r="J620" s="1" t="n">
        <v>-34.6</v>
      </c>
      <c r="K620" s="1"/>
      <c r="L620" s="1" t="n">
        <v>0</v>
      </c>
      <c r="M620" s="1" t="n">
        <v>0</v>
      </c>
      <c r="N620" s="1" t="s">
        <v>390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Z620" s="0" t="n">
        <f aca="false">I620+65</f>
        <v>308.4</v>
      </c>
      <c r="AB620" s="0" t="n">
        <f aca="false">IF(Z620&gt;360,Z620-360,Z620+0)</f>
        <v>308.4</v>
      </c>
    </row>
    <row r="621" customFormat="false" ht="15.8" hidden="false" customHeight="false" outlineLevel="0" collapsed="false">
      <c r="A621" s="1" t="n">
        <v>12</v>
      </c>
      <c r="B621" s="1" t="n">
        <v>11</v>
      </c>
      <c r="C621" s="1" t="n">
        <v>2.3</v>
      </c>
      <c r="D621" s="1" t="n">
        <v>1.3335</v>
      </c>
      <c r="E621" s="1" t="n">
        <v>0.0848103</v>
      </c>
      <c r="F621" s="1" t="n">
        <v>0.000243773</v>
      </c>
      <c r="G621" s="1" t="s">
        <v>37</v>
      </c>
      <c r="H621" s="1" t="n">
        <v>39.9</v>
      </c>
      <c r="I621" s="1" t="n">
        <v>145.4</v>
      </c>
      <c r="J621" s="1" t="n">
        <v>-26.3</v>
      </c>
      <c r="K621" s="1" t="n">
        <v>81.5</v>
      </c>
      <c r="L621" s="1" t="n">
        <v>0</v>
      </c>
      <c r="M621" s="1" t="n">
        <v>0</v>
      </c>
      <c r="N621" s="1" t="s">
        <v>391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Z621" s="0" t="n">
        <f aca="false">I621+65</f>
        <v>210.4</v>
      </c>
      <c r="AB621" s="0" t="n">
        <f aca="false">IF(Z621&gt;360,Z621-360,Z621+0)</f>
        <v>210.4</v>
      </c>
    </row>
    <row r="622" customFormat="false" ht="15.8" hidden="false" customHeight="false" outlineLevel="0" collapsed="false">
      <c r="A622" s="1" t="n">
        <v>12</v>
      </c>
      <c r="B622" s="1" t="n">
        <v>11</v>
      </c>
      <c r="C622" s="1" t="n">
        <v>1.2</v>
      </c>
      <c r="D622" s="1" t="n">
        <v>1.4601</v>
      </c>
      <c r="E622" s="1" t="n">
        <v>0.0416167</v>
      </c>
      <c r="F622" s="1" t="n">
        <v>0.00011962</v>
      </c>
      <c r="G622" s="1" t="s">
        <v>27</v>
      </c>
      <c r="H622" s="1" t="n">
        <v>76.7</v>
      </c>
      <c r="I622" s="1" t="n">
        <v>39.6</v>
      </c>
      <c r="J622" s="1" t="n">
        <v>29.6</v>
      </c>
      <c r="K622" s="1"/>
      <c r="L622" s="1" t="n">
        <v>0</v>
      </c>
      <c r="M622" s="1" t="n">
        <v>0</v>
      </c>
      <c r="N622" s="1" t="s">
        <v>391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Z622" s="0" t="n">
        <f aca="false">I622+65</f>
        <v>104.6</v>
      </c>
      <c r="AB622" s="0" t="n">
        <f aca="false">IF(Z622&gt;360,Z622-360,Z622+0)</f>
        <v>104.6</v>
      </c>
    </row>
    <row r="623" customFormat="false" ht="15.8" hidden="false" customHeight="false" outlineLevel="0" collapsed="false">
      <c r="A623" s="1" t="n">
        <v>12</v>
      </c>
      <c r="B623" s="1" t="n">
        <v>10</v>
      </c>
      <c r="C623" s="1" t="n">
        <v>3.8</v>
      </c>
      <c r="D623" s="1" t="n">
        <v>1.1851</v>
      </c>
      <c r="E623" s="1" t="n">
        <v>0.136567</v>
      </c>
      <c r="F623" s="1" t="n">
        <v>0.000392541</v>
      </c>
      <c r="G623" s="1" t="s">
        <v>37</v>
      </c>
      <c r="H623" s="1" t="n">
        <v>97.2</v>
      </c>
      <c r="I623" s="1" t="n">
        <v>114.3</v>
      </c>
      <c r="J623" s="1" t="n">
        <v>0</v>
      </c>
      <c r="K623" s="1" t="n">
        <v>76.7</v>
      </c>
      <c r="L623" s="1" t="n">
        <v>0</v>
      </c>
      <c r="M623" s="1" t="n">
        <v>0</v>
      </c>
      <c r="N623" s="1" t="s">
        <v>389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Z623" s="0" t="n">
        <f aca="false">I623+65</f>
        <v>179.3</v>
      </c>
      <c r="AB623" s="0" t="n">
        <f aca="false">IF(Z623&gt;360,Z623-360,Z623+0)</f>
        <v>179.3</v>
      </c>
    </row>
    <row r="624" customFormat="false" ht="15.8" hidden="false" customHeight="false" outlineLevel="0" collapsed="false">
      <c r="A624" s="1" t="n">
        <v>12</v>
      </c>
      <c r="B624" s="1" t="n">
        <v>9</v>
      </c>
      <c r="C624" s="1" t="n">
        <v>3.7</v>
      </c>
      <c r="D624" s="1" t="n">
        <v>1.4119</v>
      </c>
      <c r="E624" s="1" t="n">
        <v>0.134126</v>
      </c>
      <c r="F624" s="1" t="n">
        <v>0.000385524</v>
      </c>
      <c r="G624" s="1" t="s">
        <v>37</v>
      </c>
      <c r="H624" s="1" t="n">
        <v>72.4</v>
      </c>
      <c r="I624" s="1" t="n">
        <v>213.3</v>
      </c>
      <c r="J624" s="1" t="n">
        <v>-36.4</v>
      </c>
      <c r="K624" s="1" t="n">
        <v>97.2</v>
      </c>
      <c r="L624" s="1" t="n">
        <v>0</v>
      </c>
      <c r="M624" s="1" t="n">
        <v>0</v>
      </c>
      <c r="N624" s="1" t="s">
        <v>392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Z624" s="0" t="n">
        <f aca="false">I624+65</f>
        <v>278.3</v>
      </c>
      <c r="AB624" s="0" t="n">
        <f aca="false">IF(Z624&gt;360,Z624-360,Z624+0)</f>
        <v>278.3</v>
      </c>
    </row>
    <row r="625" customFormat="false" ht="15.8" hidden="false" customHeight="false" outlineLevel="0" collapsed="false">
      <c r="A625" s="1" t="n">
        <v>12</v>
      </c>
      <c r="B625" s="1" t="n">
        <v>9</v>
      </c>
      <c r="C625" s="1" t="n">
        <v>4.9</v>
      </c>
      <c r="D625" s="1" t="n">
        <v>1.4431</v>
      </c>
      <c r="E625" s="1" t="n">
        <v>0.178774</v>
      </c>
      <c r="F625" s="1" t="n">
        <v>0.000513857</v>
      </c>
      <c r="G625" s="1" t="s">
        <v>27</v>
      </c>
      <c r="H625" s="1" t="n">
        <v>16.6</v>
      </c>
      <c r="I625" s="1" t="n">
        <v>116.9</v>
      </c>
      <c r="J625" s="1" t="n">
        <v>-19.9</v>
      </c>
      <c r="K625" s="1"/>
      <c r="L625" s="1" t="n">
        <v>0</v>
      </c>
      <c r="M625" s="1" t="n">
        <v>0</v>
      </c>
      <c r="N625" s="1" t="s">
        <v>392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Z625" s="0" t="n">
        <f aca="false">I625+65</f>
        <v>181.9</v>
      </c>
      <c r="AB625" s="0" t="n">
        <f aca="false">IF(Z625&gt;360,Z625-360,Z625+0)</f>
        <v>181.9</v>
      </c>
    </row>
    <row r="626" customFormat="false" ht="15.8" hidden="false" customHeight="false" outlineLevel="0" collapsed="false">
      <c r="A626" s="1" t="n">
        <v>12</v>
      </c>
      <c r="B626" s="1" t="n">
        <v>8</v>
      </c>
      <c r="C626" s="1" t="n">
        <v>1.6</v>
      </c>
      <c r="D626" s="1" t="n">
        <v>1.1069</v>
      </c>
      <c r="E626" s="1" t="n">
        <v>0.0576805</v>
      </c>
      <c r="F626" s="1" t="n">
        <v>0.000165793</v>
      </c>
      <c r="G626" s="1" t="s">
        <v>37</v>
      </c>
      <c r="H626" s="1" t="n">
        <v>99.5</v>
      </c>
      <c r="I626" s="1" t="n">
        <v>133.8</v>
      </c>
      <c r="J626" s="1" t="n">
        <v>-15.7</v>
      </c>
      <c r="K626" s="1" t="n">
        <v>72.4</v>
      </c>
      <c r="L626" s="1" t="n">
        <v>0</v>
      </c>
      <c r="M626" s="1" t="n">
        <v>0</v>
      </c>
      <c r="N626" s="1" t="s">
        <v>393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Z626" s="0" t="n">
        <f aca="false">I626+65</f>
        <v>198.8</v>
      </c>
      <c r="AB626" s="0" t="n">
        <f aca="false">IF(Z626&gt;360,Z626-360,Z626+0)</f>
        <v>198.8</v>
      </c>
    </row>
    <row r="627" customFormat="false" ht="15.8" hidden="false" customHeight="false" outlineLevel="0" collapsed="false">
      <c r="A627" s="1" t="n">
        <v>12</v>
      </c>
      <c r="B627" s="1" t="n">
        <v>9</v>
      </c>
      <c r="C627" s="1" t="n">
        <v>1.2</v>
      </c>
      <c r="D627" s="1" t="n">
        <v>1.2866</v>
      </c>
      <c r="E627" s="1" t="n">
        <v>0.0430613</v>
      </c>
      <c r="F627" s="1" t="n">
        <v>0.000123773</v>
      </c>
      <c r="G627" s="1" t="s">
        <v>27</v>
      </c>
      <c r="H627" s="1" t="n">
        <v>120.8</v>
      </c>
      <c r="I627" s="1" t="n">
        <v>191.7</v>
      </c>
      <c r="J627" s="1" t="n">
        <v>57.3</v>
      </c>
      <c r="K627" s="1"/>
      <c r="L627" s="1" t="n">
        <v>0</v>
      </c>
      <c r="M627" s="1" t="n">
        <v>0</v>
      </c>
      <c r="N627" s="1" t="s">
        <v>394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Z627" s="0" t="n">
        <f aca="false">I627+65</f>
        <v>256.7</v>
      </c>
      <c r="AB627" s="0" t="n">
        <f aca="false">IF(Z627&gt;360,Z627-360,Z627+0)</f>
        <v>256.7</v>
      </c>
    </row>
    <row r="628" customFormat="false" ht="15.8" hidden="false" customHeight="false" outlineLevel="0" collapsed="false">
      <c r="A628" s="1" t="n">
        <v>12</v>
      </c>
      <c r="B628" s="1" t="n">
        <v>11</v>
      </c>
      <c r="C628" s="1" t="n">
        <v>9.4</v>
      </c>
      <c r="D628" s="1" t="n">
        <v>1.3135</v>
      </c>
      <c r="E628" s="1" t="n">
        <v>0.340797</v>
      </c>
      <c r="F628" s="1" t="n">
        <v>0.000979565</v>
      </c>
      <c r="G628" s="1" t="s">
        <v>27</v>
      </c>
      <c r="H628" s="1" t="n">
        <v>42.9</v>
      </c>
      <c r="I628" s="1" t="n">
        <v>336</v>
      </c>
      <c r="J628" s="1" t="n">
        <v>-9.4</v>
      </c>
      <c r="K628" s="1"/>
      <c r="L628" s="1" t="n">
        <v>0</v>
      </c>
      <c r="M628" s="1" t="n">
        <v>0</v>
      </c>
      <c r="N628" s="1" t="s">
        <v>395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Z628" s="0" t="n">
        <f aca="false">I628+65</f>
        <v>401</v>
      </c>
      <c r="AB628" s="0" t="n">
        <f aca="false">IF(Z628&gt;360,Z628-360,Z628+0)</f>
        <v>41</v>
      </c>
    </row>
    <row r="629" customFormat="false" ht="15.8" hidden="false" customHeight="false" outlineLevel="0" collapsed="false">
      <c r="A629" s="1" t="n">
        <v>12</v>
      </c>
      <c r="B629" s="1" t="n">
        <v>11</v>
      </c>
      <c r="C629" s="1" t="n">
        <v>4.3</v>
      </c>
      <c r="D629" s="1" t="n">
        <v>1.3239</v>
      </c>
      <c r="E629" s="1" t="n">
        <v>0.154392</v>
      </c>
      <c r="F629" s="1" t="n">
        <v>0.000443773</v>
      </c>
      <c r="G629" s="1" t="s">
        <v>27</v>
      </c>
      <c r="H629" s="1" t="n">
        <v>122.3</v>
      </c>
      <c r="I629" s="1" t="n">
        <v>127.7</v>
      </c>
      <c r="J629" s="1" t="n">
        <v>-37.2</v>
      </c>
      <c r="K629" s="1"/>
      <c r="L629" s="1" t="n">
        <v>0</v>
      </c>
      <c r="M629" s="1" t="n">
        <v>0</v>
      </c>
      <c r="N629" s="1" t="s">
        <v>395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Z629" s="0" t="n">
        <f aca="false">I629+65</f>
        <v>192.7</v>
      </c>
      <c r="AB629" s="0" t="n">
        <f aca="false">IF(Z629&gt;360,Z629-360,Z629+0)</f>
        <v>192.7</v>
      </c>
    </row>
    <row r="630" customFormat="false" ht="15.8" hidden="false" customHeight="false" outlineLevel="0" collapsed="false">
      <c r="A630" s="1" t="n">
        <v>12</v>
      </c>
      <c r="B630" s="1" t="n">
        <v>10</v>
      </c>
      <c r="C630" s="1" t="n">
        <v>2.9</v>
      </c>
      <c r="D630" s="1" t="n">
        <v>1.1797</v>
      </c>
      <c r="E630" s="1" t="n">
        <v>0.103213</v>
      </c>
      <c r="F630" s="1" t="n">
        <v>0.000296667</v>
      </c>
      <c r="G630" s="1" t="s">
        <v>37</v>
      </c>
      <c r="H630" s="1" t="n">
        <v>21.4</v>
      </c>
      <c r="I630" s="1" t="n">
        <v>292.7</v>
      </c>
      <c r="J630" s="1" t="n">
        <v>-18.8</v>
      </c>
      <c r="K630" s="1" t="n">
        <v>122.3</v>
      </c>
      <c r="L630" s="1" t="n">
        <v>0</v>
      </c>
      <c r="M630" s="1" t="n">
        <v>0</v>
      </c>
      <c r="N630" s="1" t="s">
        <v>396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Z630" s="0" t="n">
        <f aca="false">I630+65</f>
        <v>357.7</v>
      </c>
      <c r="AB630" s="0" t="n">
        <f aca="false">IF(Z630&gt;360,Z630-360,Z630+0)</f>
        <v>357.7</v>
      </c>
    </row>
    <row r="631" customFormat="false" ht="15.8" hidden="false" customHeight="false" outlineLevel="0" collapsed="false">
      <c r="A631" s="1" t="n">
        <v>12</v>
      </c>
      <c r="B631" s="1" t="n">
        <v>10</v>
      </c>
      <c r="C631" s="1" t="n">
        <v>0.7</v>
      </c>
      <c r="D631" s="1" t="n">
        <v>1.0163</v>
      </c>
      <c r="E631" s="1" t="n">
        <v>0.0239042</v>
      </c>
      <c r="F631" s="1" t="n">
        <v>6.87086E-005</v>
      </c>
      <c r="G631" s="1" t="s">
        <v>27</v>
      </c>
      <c r="H631" s="1" t="n">
        <v>55.5</v>
      </c>
      <c r="I631" s="1" t="n">
        <v>222.1</v>
      </c>
      <c r="J631" s="1" t="n">
        <v>0</v>
      </c>
      <c r="K631" s="1"/>
      <c r="L631" s="1" t="n">
        <v>0</v>
      </c>
      <c r="M631" s="1" t="n">
        <v>0</v>
      </c>
      <c r="N631" s="1" t="s">
        <v>396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Z631" s="0" t="n">
        <f aca="false">I631+65</f>
        <v>287.1</v>
      </c>
      <c r="AB631" s="0" t="n">
        <f aca="false">IF(Z631&gt;360,Z631-360,Z631+0)</f>
        <v>287.1</v>
      </c>
    </row>
    <row r="632" customFormat="false" ht="15.8" hidden="false" customHeight="false" outlineLevel="0" collapsed="false">
      <c r="A632" s="1" t="n">
        <v>12</v>
      </c>
      <c r="B632" s="1" t="n">
        <v>9</v>
      </c>
      <c r="C632" s="1" t="n">
        <v>7.9</v>
      </c>
      <c r="D632" s="1" t="n">
        <v>1.1846</v>
      </c>
      <c r="E632" s="1" t="n">
        <v>0.283879</v>
      </c>
      <c r="F632" s="1" t="n">
        <v>0.000815962</v>
      </c>
      <c r="G632" s="1" t="s">
        <v>37</v>
      </c>
      <c r="H632" s="1" t="n">
        <v>54.7</v>
      </c>
      <c r="I632" s="1" t="n">
        <v>277.6</v>
      </c>
      <c r="J632" s="1" t="n">
        <v>-3.4</v>
      </c>
      <c r="K632" s="1" t="n">
        <v>55.5</v>
      </c>
      <c r="L632" s="1" t="n">
        <v>0</v>
      </c>
      <c r="M632" s="1" t="n">
        <v>0</v>
      </c>
      <c r="N632" s="1" t="s">
        <v>394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Z632" s="0" t="n">
        <f aca="false">I632+65</f>
        <v>342.6</v>
      </c>
      <c r="AB632" s="0" t="n">
        <f aca="false">IF(Z632&gt;360,Z632-360,Z632+0)</f>
        <v>342.6</v>
      </c>
    </row>
    <row r="633" customFormat="false" ht="15.8" hidden="false" customHeight="false" outlineLevel="0" collapsed="false">
      <c r="A633" s="1" t="n">
        <v>12</v>
      </c>
      <c r="B633" s="1" t="n">
        <v>8</v>
      </c>
      <c r="C633" s="1" t="n">
        <v>4.7</v>
      </c>
      <c r="D633" s="1" t="n">
        <v>1.3939</v>
      </c>
      <c r="E633" s="1" t="n">
        <v>0.170979</v>
      </c>
      <c r="F633" s="1" t="n">
        <v>0.000491451</v>
      </c>
      <c r="G633" s="1" t="s">
        <v>37</v>
      </c>
      <c r="H633" s="1" t="n">
        <v>70.1</v>
      </c>
      <c r="I633" s="1" t="n">
        <v>332.4</v>
      </c>
      <c r="J633" s="1" t="n">
        <v>-6.6</v>
      </c>
      <c r="K633" s="1" t="n">
        <v>120.8</v>
      </c>
      <c r="L633" s="1" t="n">
        <v>0</v>
      </c>
      <c r="M633" s="1" t="n">
        <v>0</v>
      </c>
      <c r="N633" s="1" t="s">
        <v>393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Z633" s="0" t="n">
        <f aca="false">I633+65</f>
        <v>397.4</v>
      </c>
      <c r="AB633" s="0" t="n">
        <f aca="false">IF(Z633&gt;360,Z633-360,Z633+0)</f>
        <v>37.4</v>
      </c>
    </row>
    <row r="634" customFormat="false" ht="15.8" hidden="false" customHeight="false" outlineLevel="0" collapsed="false">
      <c r="A634" s="1" t="n">
        <v>12</v>
      </c>
      <c r="B634" s="1" t="n">
        <v>7</v>
      </c>
      <c r="C634" s="1" t="n">
        <v>2.3</v>
      </c>
      <c r="D634" s="1" t="n">
        <v>1.0895</v>
      </c>
      <c r="E634" s="1" t="n">
        <v>0.0823936</v>
      </c>
      <c r="F634" s="1" t="n">
        <v>0.000236827</v>
      </c>
      <c r="G634" s="1" t="s">
        <v>37</v>
      </c>
      <c r="H634" s="1" t="n">
        <v>58.4</v>
      </c>
      <c r="I634" s="1" t="n">
        <v>267.8</v>
      </c>
      <c r="J634" s="1" t="n">
        <v>-54.8</v>
      </c>
      <c r="K634" s="1" t="n">
        <v>99.5</v>
      </c>
      <c r="L634" s="1" t="n">
        <v>0</v>
      </c>
      <c r="M634" s="1" t="n">
        <v>0</v>
      </c>
      <c r="N634" s="1" t="s">
        <v>397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Z634" s="0" t="n">
        <f aca="false">I634+65</f>
        <v>332.8</v>
      </c>
      <c r="AB634" s="0" t="n">
        <f aca="false">IF(Z634&gt;360,Z634-360,Z634+0)</f>
        <v>332.8</v>
      </c>
    </row>
    <row r="635" customFormat="false" ht="15.8" hidden="false" customHeight="false" outlineLevel="0" collapsed="false">
      <c r="A635" s="1" t="n">
        <v>12</v>
      </c>
      <c r="B635" s="1" t="n">
        <v>7</v>
      </c>
      <c r="C635" s="1" t="n">
        <v>3.3</v>
      </c>
      <c r="D635" s="1" t="n">
        <v>1.6866</v>
      </c>
      <c r="E635" s="1" t="n">
        <v>0.118447</v>
      </c>
      <c r="F635" s="1" t="n">
        <v>0.000340457</v>
      </c>
      <c r="G635" s="1" t="s">
        <v>27</v>
      </c>
      <c r="H635" s="1" t="n">
        <v>135.4</v>
      </c>
      <c r="I635" s="1" t="n">
        <v>10.3</v>
      </c>
      <c r="J635" s="1" t="n">
        <v>-11.6</v>
      </c>
      <c r="K635" s="1"/>
      <c r="L635" s="1" t="n">
        <v>0</v>
      </c>
      <c r="M635" s="1" t="n">
        <v>0</v>
      </c>
      <c r="N635" s="1" t="s">
        <v>397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Z635" s="0" t="n">
        <f aca="false">I635+65</f>
        <v>75.3</v>
      </c>
      <c r="AB635" s="0" t="n">
        <f aca="false">IF(Z635&gt;360,Z635-360,Z635+0)</f>
        <v>75.3</v>
      </c>
    </row>
    <row r="636" customFormat="false" ht="15.8" hidden="false" customHeight="false" outlineLevel="0" collapsed="false">
      <c r="A636" s="1" t="n">
        <v>12</v>
      </c>
      <c r="B636" s="1" t="n">
        <v>6</v>
      </c>
      <c r="C636" s="1" t="n">
        <v>0.9</v>
      </c>
      <c r="D636" s="1" t="n">
        <v>1.2494</v>
      </c>
      <c r="E636" s="1" t="n">
        <v>0.0324002</v>
      </c>
      <c r="F636" s="1" t="n">
        <v>9.3129E-005</v>
      </c>
      <c r="G636" s="1" t="s">
        <v>37</v>
      </c>
      <c r="H636" s="1" t="n">
        <v>40.3</v>
      </c>
      <c r="I636" s="1" t="n">
        <v>187.3</v>
      </c>
      <c r="J636" s="1" t="n">
        <v>-32.9</v>
      </c>
      <c r="K636" s="1" t="n">
        <v>135.4</v>
      </c>
      <c r="L636" s="1" t="n">
        <v>0</v>
      </c>
      <c r="M636" s="1" t="n">
        <v>0</v>
      </c>
      <c r="N636" s="1" t="s">
        <v>388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Z636" s="0" t="n">
        <f aca="false">I636+65</f>
        <v>252.3</v>
      </c>
      <c r="AB636" s="0" t="n">
        <f aca="false">IF(Z636&gt;360,Z636-360,Z636+0)</f>
        <v>252.3</v>
      </c>
    </row>
    <row r="637" customFormat="false" ht="15.8" hidden="false" customHeight="false" outlineLevel="0" collapsed="false">
      <c r="A637" s="1" t="n">
        <v>12</v>
      </c>
      <c r="B637" s="1" t="n">
        <v>5</v>
      </c>
      <c r="C637" s="1" t="n">
        <v>6.6</v>
      </c>
      <c r="D637" s="1" t="n">
        <v>1.7896</v>
      </c>
      <c r="E637" s="1" t="n">
        <v>0.240013</v>
      </c>
      <c r="F637" s="1" t="n">
        <v>0.000689878</v>
      </c>
      <c r="G637" s="1" t="s">
        <v>37</v>
      </c>
      <c r="H637" s="1" t="n">
        <v>75.3</v>
      </c>
      <c r="I637" s="1" t="n">
        <v>237.7</v>
      </c>
      <c r="J637" s="1" t="n">
        <v>-47.3</v>
      </c>
      <c r="K637" s="1" t="n">
        <v>132.7</v>
      </c>
      <c r="L637" s="1" t="n">
        <v>0</v>
      </c>
      <c r="M637" s="1" t="n">
        <v>0</v>
      </c>
      <c r="N637" s="1" t="s">
        <v>387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Z637" s="0" t="n">
        <f aca="false">I637+65</f>
        <v>302.7</v>
      </c>
      <c r="AB637" s="0" t="n">
        <f aca="false">IF(Z637&gt;360,Z637-360,Z637+0)</f>
        <v>302.7</v>
      </c>
    </row>
    <row r="638" customFormat="false" ht="15.8" hidden="false" customHeight="false" outlineLevel="0" collapsed="false">
      <c r="A638" s="1" t="n">
        <v>12</v>
      </c>
      <c r="B638" s="1" t="n">
        <v>4</v>
      </c>
      <c r="C638" s="1" t="n">
        <v>2.3</v>
      </c>
      <c r="D638" s="1" t="n">
        <v>1.2557</v>
      </c>
      <c r="E638" s="1" t="n">
        <v>0.0815189</v>
      </c>
      <c r="F638" s="1" t="n">
        <v>0.000234313</v>
      </c>
      <c r="G638" s="1" t="s">
        <v>37</v>
      </c>
      <c r="H638" s="1" t="n">
        <v>69.2</v>
      </c>
      <c r="I638" s="1" t="n">
        <v>333.8</v>
      </c>
      <c r="J638" s="1" t="n">
        <v>-25.7</v>
      </c>
      <c r="K638" s="1" t="n">
        <v>101.5</v>
      </c>
      <c r="L638" s="1" t="n">
        <v>0</v>
      </c>
      <c r="M638" s="1" t="n">
        <v>0</v>
      </c>
      <c r="N638" s="1" t="s">
        <v>385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Z638" s="0" t="n">
        <f aca="false">I638+65</f>
        <v>398.8</v>
      </c>
      <c r="AB638" s="0" t="n">
        <f aca="false">IF(Z638&gt;360,Z638-360,Z638+0)</f>
        <v>38.8</v>
      </c>
    </row>
    <row r="639" customFormat="false" ht="15.8" hidden="false" customHeight="false" outlineLevel="0" collapsed="false">
      <c r="A639" s="1" t="n">
        <v>12</v>
      </c>
      <c r="B639" s="1" t="n">
        <v>5</v>
      </c>
      <c r="C639" s="1" t="n">
        <v>1.6</v>
      </c>
      <c r="D639" s="1" t="n">
        <v>1.2539</v>
      </c>
      <c r="E639" s="1" t="n">
        <v>0.0595881</v>
      </c>
      <c r="F639" s="1" t="n">
        <v>0.000171276</v>
      </c>
      <c r="G639" s="1" t="s">
        <v>27</v>
      </c>
      <c r="H639" s="1" t="n">
        <v>93.6</v>
      </c>
      <c r="I639" s="1" t="n">
        <v>325.4</v>
      </c>
      <c r="J639" s="1" t="n">
        <v>-17.2</v>
      </c>
      <c r="K639" s="1"/>
      <c r="L639" s="1" t="n">
        <v>0</v>
      </c>
      <c r="M639" s="1" t="n">
        <v>0</v>
      </c>
      <c r="N639" s="1" t="s">
        <v>398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Z639" s="0" t="n">
        <f aca="false">I639+65</f>
        <v>390.4</v>
      </c>
      <c r="AB639" s="0" t="n">
        <f aca="false">IF(Z639&gt;360,Z639-360,Z639+0)</f>
        <v>30.4</v>
      </c>
    </row>
    <row r="640" customFormat="false" ht="15.8" hidden="false" customHeight="false" outlineLevel="0" collapsed="false">
      <c r="A640" s="1" t="n">
        <v>12</v>
      </c>
      <c r="B640" s="1" t="n">
        <v>7</v>
      </c>
      <c r="C640" s="1" t="n">
        <v>1.1</v>
      </c>
      <c r="D640" s="1" t="n">
        <v>1.1625</v>
      </c>
      <c r="E640" s="1" t="n">
        <v>0.0392987</v>
      </c>
      <c r="F640" s="1" t="n">
        <v>0.000112958</v>
      </c>
      <c r="G640" s="1" t="s">
        <v>27</v>
      </c>
      <c r="H640" s="1" t="n">
        <v>46.9</v>
      </c>
      <c r="I640" s="1" t="n">
        <v>270</v>
      </c>
      <c r="J640" s="1" t="n">
        <v>-24.6</v>
      </c>
      <c r="K640" s="1"/>
      <c r="L640" s="1" t="n">
        <v>0</v>
      </c>
      <c r="M640" s="1" t="n">
        <v>0</v>
      </c>
      <c r="N640" s="1" t="s">
        <v>399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Z640" s="0" t="n">
        <f aca="false">I640+65</f>
        <v>335</v>
      </c>
      <c r="AB640" s="0" t="n">
        <f aca="false">IF(Z640&gt;360,Z640-360,Z640+0)</f>
        <v>335</v>
      </c>
    </row>
    <row r="641" customFormat="false" ht="15.8" hidden="false" customHeight="false" outlineLevel="0" collapsed="false">
      <c r="A641" s="1" t="n">
        <v>12</v>
      </c>
      <c r="B641" s="1" t="n">
        <v>7</v>
      </c>
      <c r="C641" s="1" t="n">
        <v>1.4</v>
      </c>
      <c r="D641" s="1" t="n">
        <v>1.3398</v>
      </c>
      <c r="E641" s="1" t="n">
        <v>0.0499006</v>
      </c>
      <c r="F641" s="1" t="n">
        <v>0.000143431</v>
      </c>
      <c r="G641" s="1" t="s">
        <v>27</v>
      </c>
      <c r="H641" s="1" t="n">
        <v>37.7</v>
      </c>
      <c r="I641" s="1" t="n">
        <v>178.6</v>
      </c>
      <c r="J641" s="1" t="n">
        <v>-22.2</v>
      </c>
      <c r="K641" s="1"/>
      <c r="L641" s="1" t="n">
        <v>0</v>
      </c>
      <c r="M641" s="1" t="n">
        <v>0</v>
      </c>
      <c r="N641" s="1" t="s">
        <v>399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Z641" s="0" t="n">
        <f aca="false">I641+65</f>
        <v>243.6</v>
      </c>
      <c r="AB641" s="0" t="n">
        <f aca="false">IF(Z641&gt;360,Z641-360,Z641+0)</f>
        <v>243.6</v>
      </c>
    </row>
    <row r="642" customFormat="false" ht="15.8" hidden="false" customHeight="false" outlineLevel="0" collapsed="false">
      <c r="A642" s="1" t="n">
        <v>12</v>
      </c>
      <c r="B642" s="1" t="n">
        <v>6</v>
      </c>
      <c r="C642" s="1" t="n">
        <v>1.4</v>
      </c>
      <c r="D642" s="1" t="n">
        <v>1.2442</v>
      </c>
      <c r="E642" s="1" t="n">
        <v>0.0498301</v>
      </c>
      <c r="F642" s="1" t="n">
        <v>0.000143228</v>
      </c>
      <c r="G642" s="1" t="s">
        <v>37</v>
      </c>
      <c r="H642" s="1" t="n">
        <v>41.2</v>
      </c>
      <c r="I642" s="1" t="n">
        <v>219.2</v>
      </c>
      <c r="J642" s="1" t="n">
        <v>-20.6</v>
      </c>
      <c r="K642" s="1" t="n">
        <v>46.9</v>
      </c>
      <c r="L642" s="1" t="n">
        <v>0</v>
      </c>
      <c r="M642" s="1" t="n">
        <v>0</v>
      </c>
      <c r="N642" s="1" t="s">
        <v>400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Z642" s="0" t="n">
        <f aca="false">I642+65</f>
        <v>284.2</v>
      </c>
      <c r="AB642" s="0" t="n">
        <f aca="false">IF(Z642&gt;360,Z642-360,Z642+0)</f>
        <v>284.2</v>
      </c>
    </row>
    <row r="643" customFormat="false" ht="15.8" hidden="false" customHeight="false" outlineLevel="0" collapsed="false">
      <c r="A643" s="1" t="n">
        <v>12</v>
      </c>
      <c r="B643" s="1" t="n">
        <v>7</v>
      </c>
      <c r="C643" s="1" t="n">
        <v>3.2</v>
      </c>
      <c r="D643" s="1" t="n">
        <v>1.5341</v>
      </c>
      <c r="E643" s="1" t="n">
        <v>0.115667</v>
      </c>
      <c r="F643" s="1" t="n">
        <v>0.000332466</v>
      </c>
      <c r="G643" s="1" t="s">
        <v>27</v>
      </c>
      <c r="H643" s="1" t="n">
        <v>62.6</v>
      </c>
      <c r="I643" s="1" t="n">
        <v>95</v>
      </c>
      <c r="J643" s="1" t="n">
        <v>-39.2</v>
      </c>
      <c r="K643" s="1"/>
      <c r="L643" s="1" t="n">
        <v>0</v>
      </c>
      <c r="M643" s="1" t="n">
        <v>0</v>
      </c>
      <c r="N643" s="1" t="s">
        <v>401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Z643" s="0" t="n">
        <f aca="false">I643+65</f>
        <v>160</v>
      </c>
      <c r="AB643" s="0" t="n">
        <f aca="false">IF(Z643&gt;360,Z643-360,Z643+0)</f>
        <v>160</v>
      </c>
    </row>
    <row r="644" customFormat="false" ht="15.8" hidden="false" customHeight="false" outlineLevel="0" collapsed="false">
      <c r="A644" s="1" t="n">
        <v>12</v>
      </c>
      <c r="B644" s="1" t="n">
        <v>7</v>
      </c>
      <c r="C644" s="1" t="n">
        <v>0.7</v>
      </c>
      <c r="D644" s="1" t="n">
        <v>1.003</v>
      </c>
      <c r="E644" s="1" t="n">
        <v>0.0270743</v>
      </c>
      <c r="F644" s="1" t="n">
        <v>7.78206E-005</v>
      </c>
      <c r="G644" s="1" t="s">
        <v>27</v>
      </c>
      <c r="H644" s="1" t="n">
        <v>121.4</v>
      </c>
      <c r="I644" s="1" t="n">
        <v>270</v>
      </c>
      <c r="J644" s="1" t="n">
        <v>0</v>
      </c>
      <c r="K644" s="1"/>
      <c r="L644" s="1" t="n">
        <v>0</v>
      </c>
      <c r="M644" s="1" t="n">
        <v>0</v>
      </c>
      <c r="N644" s="1" t="s">
        <v>401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Z644" s="0" t="n">
        <f aca="false">I644+65</f>
        <v>335</v>
      </c>
      <c r="AB644" s="0" t="n">
        <f aca="false">IF(Z644&gt;360,Z644-360,Z644+0)</f>
        <v>335</v>
      </c>
    </row>
    <row r="645" customFormat="false" ht="15.8" hidden="false" customHeight="false" outlineLevel="0" collapsed="false">
      <c r="A645" s="1" t="n">
        <v>12</v>
      </c>
      <c r="B645" s="1" t="n">
        <v>8</v>
      </c>
      <c r="C645" s="1" t="n">
        <v>1.6</v>
      </c>
      <c r="D645" s="1" t="n">
        <v>1.1772</v>
      </c>
      <c r="E645" s="1" t="n">
        <v>0.0567965</v>
      </c>
      <c r="F645" s="1" t="n">
        <v>0.000163252</v>
      </c>
      <c r="G645" s="1" t="s">
        <v>27</v>
      </c>
      <c r="H645" s="1" t="n">
        <v>60.8</v>
      </c>
      <c r="I645" s="1" t="n">
        <v>92.6</v>
      </c>
      <c r="J645" s="1" t="n">
        <v>17</v>
      </c>
      <c r="K645" s="1"/>
      <c r="L645" s="1" t="n">
        <v>0</v>
      </c>
      <c r="M645" s="1" t="n">
        <v>0</v>
      </c>
      <c r="N645" s="1" t="s">
        <v>402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Z645" s="0" t="n">
        <f aca="false">I645+65</f>
        <v>157.6</v>
      </c>
      <c r="AB645" s="0" t="n">
        <f aca="false">IF(Z645&gt;360,Z645-360,Z645+0)</f>
        <v>157.6</v>
      </c>
    </row>
    <row r="646" customFormat="false" ht="15.8" hidden="false" customHeight="false" outlineLevel="0" collapsed="false">
      <c r="A646" s="1" t="n">
        <v>12</v>
      </c>
      <c r="B646" s="1" t="n">
        <v>9</v>
      </c>
      <c r="C646" s="1" t="n">
        <v>1.4</v>
      </c>
      <c r="D646" s="1" t="n">
        <v>1.2319</v>
      </c>
      <c r="E646" s="1" t="n">
        <v>0.0512302</v>
      </c>
      <c r="F646" s="1" t="n">
        <v>0.000147253</v>
      </c>
      <c r="G646" s="1" t="s">
        <v>27</v>
      </c>
      <c r="H646" s="1" t="n">
        <v>135.7</v>
      </c>
      <c r="I646" s="1" t="n">
        <v>138.3</v>
      </c>
      <c r="J646" s="1" t="n">
        <v>42.6</v>
      </c>
      <c r="K646" s="1"/>
      <c r="L646" s="1" t="n">
        <v>0</v>
      </c>
      <c r="M646" s="1" t="n">
        <v>0</v>
      </c>
      <c r="N646" s="1" t="s">
        <v>403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Z646" s="0" t="n">
        <f aca="false">I646+65</f>
        <v>203.3</v>
      </c>
      <c r="AB646" s="0" t="n">
        <f aca="false">IF(Z646&gt;360,Z646-360,Z646+0)</f>
        <v>203.3</v>
      </c>
    </row>
    <row r="647" customFormat="false" ht="15.8" hidden="false" customHeight="false" outlineLevel="0" collapsed="false">
      <c r="A647" s="1" t="n">
        <v>12</v>
      </c>
      <c r="B647" s="1" t="n">
        <v>9</v>
      </c>
      <c r="C647" s="1" t="n">
        <v>2.3</v>
      </c>
      <c r="D647" s="1" t="n">
        <v>1.4987</v>
      </c>
      <c r="E647" s="1" t="n">
        <v>0.0844738</v>
      </c>
      <c r="F647" s="1" t="n">
        <v>0.000242806</v>
      </c>
      <c r="G647" s="1" t="s">
        <v>27</v>
      </c>
      <c r="H647" s="1" t="n">
        <v>56.3</v>
      </c>
      <c r="I647" s="1" t="n">
        <v>219.3</v>
      </c>
      <c r="J647" s="1" t="n">
        <v>0</v>
      </c>
      <c r="K647" s="1"/>
      <c r="L647" s="1" t="n">
        <v>0</v>
      </c>
      <c r="M647" s="1" t="n">
        <v>0</v>
      </c>
      <c r="N647" s="1" t="s">
        <v>403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Z647" s="0" t="n">
        <f aca="false">I647+65</f>
        <v>284.3</v>
      </c>
      <c r="AB647" s="0" t="n">
        <f aca="false">IF(Z647&gt;360,Z647-360,Z647+0)</f>
        <v>284.3</v>
      </c>
    </row>
    <row r="648" customFormat="false" ht="15.8" hidden="false" customHeight="false" outlineLevel="0" collapsed="false">
      <c r="A648" s="1" t="n">
        <v>12</v>
      </c>
      <c r="B648" s="1" t="n">
        <v>9</v>
      </c>
      <c r="C648" s="1" t="n">
        <v>1.4</v>
      </c>
      <c r="D648" s="1" t="n">
        <v>1.2762</v>
      </c>
      <c r="E648" s="1" t="n">
        <v>0.0497281</v>
      </c>
      <c r="F648" s="1" t="n">
        <v>0.000142935</v>
      </c>
      <c r="G648" s="1" t="s">
        <v>27</v>
      </c>
      <c r="H648" s="1" t="n">
        <v>44.8</v>
      </c>
      <c r="I648" s="1" t="n">
        <v>321.9</v>
      </c>
      <c r="J648" s="1" t="n">
        <v>-46.3</v>
      </c>
      <c r="K648" s="1"/>
      <c r="L648" s="1" t="n">
        <v>0</v>
      </c>
      <c r="M648" s="1" t="n">
        <v>0</v>
      </c>
      <c r="N648" s="1" t="s">
        <v>403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Z648" s="0" t="n">
        <f aca="false">I648+65</f>
        <v>386.9</v>
      </c>
      <c r="AB648" s="0" t="n">
        <f aca="false">IF(Z648&gt;360,Z648-360,Z648+0)</f>
        <v>26.9</v>
      </c>
    </row>
    <row r="649" customFormat="false" ht="15.8" hidden="false" customHeight="false" outlineLevel="0" collapsed="false">
      <c r="A649" s="1" t="n">
        <v>12</v>
      </c>
      <c r="B649" s="1" t="n">
        <v>8</v>
      </c>
      <c r="C649" s="1" t="n">
        <v>1.2</v>
      </c>
      <c r="D649" s="1" t="n">
        <v>1.1674</v>
      </c>
      <c r="E649" s="1" t="n">
        <v>0.0446749</v>
      </c>
      <c r="F649" s="1" t="n">
        <v>0.000128411</v>
      </c>
      <c r="G649" s="1" t="s">
        <v>37</v>
      </c>
      <c r="H649" s="1" t="n">
        <v>105.5</v>
      </c>
      <c r="I649" s="1" t="n">
        <v>254.2</v>
      </c>
      <c r="J649" s="1" t="n">
        <v>-47.4</v>
      </c>
      <c r="K649" s="1" t="n">
        <v>135.7</v>
      </c>
      <c r="L649" s="1" t="n">
        <v>0</v>
      </c>
      <c r="M649" s="1" t="n">
        <v>0</v>
      </c>
      <c r="N649" s="1" t="s">
        <v>402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Z649" s="0" t="n">
        <f aca="false">I649+65</f>
        <v>319.2</v>
      </c>
      <c r="AB649" s="0" t="n">
        <f aca="false">IF(Z649&gt;360,Z649-360,Z649+0)</f>
        <v>319.2</v>
      </c>
    </row>
    <row r="650" customFormat="false" ht="15.8" hidden="false" customHeight="false" outlineLevel="0" collapsed="false">
      <c r="A650" s="1" t="n">
        <v>12</v>
      </c>
      <c r="B650" s="1" t="n">
        <v>7</v>
      </c>
      <c r="C650" s="1" t="n">
        <v>2.1</v>
      </c>
      <c r="D650" s="1" t="n">
        <v>1.2481</v>
      </c>
      <c r="E650" s="1" t="n">
        <v>0.0753884</v>
      </c>
      <c r="F650" s="1" t="n">
        <v>0.000216691</v>
      </c>
      <c r="G650" s="1" t="s">
        <v>37</v>
      </c>
      <c r="H650" s="1" t="n">
        <v>15.3</v>
      </c>
      <c r="I650" s="1" t="n">
        <v>155.8</v>
      </c>
      <c r="J650" s="1" t="n">
        <v>13.5</v>
      </c>
      <c r="K650" s="1" t="n">
        <v>105.5</v>
      </c>
      <c r="L650" s="1" t="n">
        <v>0</v>
      </c>
      <c r="M650" s="1" t="n">
        <v>0</v>
      </c>
      <c r="N650" s="1" t="s">
        <v>401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Z650" s="0" t="n">
        <f aca="false">I650+65</f>
        <v>220.8</v>
      </c>
      <c r="AB650" s="0" t="n">
        <f aca="false">IF(Z650&gt;360,Z650-360,Z650+0)</f>
        <v>220.8</v>
      </c>
    </row>
    <row r="651" customFormat="false" ht="15.8" hidden="false" customHeight="false" outlineLevel="0" collapsed="false">
      <c r="A651" s="1" t="n">
        <v>12</v>
      </c>
      <c r="B651" s="1" t="n">
        <v>6</v>
      </c>
      <c r="C651" s="1" t="n">
        <v>2.1</v>
      </c>
      <c r="D651" s="1" t="n">
        <v>1.1426</v>
      </c>
      <c r="E651" s="1" t="n">
        <v>0.0773107</v>
      </c>
      <c r="F651" s="1" t="n">
        <v>0.000222217</v>
      </c>
      <c r="G651" s="1" t="s">
        <v>37</v>
      </c>
      <c r="H651" s="1" t="n">
        <v>43.4</v>
      </c>
      <c r="I651" s="1" t="n">
        <v>148.6</v>
      </c>
      <c r="J651" s="1" t="n">
        <v>0</v>
      </c>
      <c r="K651" s="1" t="n">
        <v>121.4</v>
      </c>
      <c r="L651" s="1" t="n">
        <v>0</v>
      </c>
      <c r="M651" s="1" t="n">
        <v>0</v>
      </c>
      <c r="N651" s="1" t="s">
        <v>400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Z651" s="0" t="n">
        <f aca="false">I651+65</f>
        <v>213.6</v>
      </c>
      <c r="AB651" s="0" t="n">
        <f aca="false">IF(Z651&gt;360,Z651-360,Z651+0)</f>
        <v>213.6</v>
      </c>
    </row>
    <row r="652" customFormat="false" ht="15.8" hidden="false" customHeight="false" outlineLevel="0" collapsed="false">
      <c r="A652" s="1" t="n">
        <v>12</v>
      </c>
      <c r="B652" s="1" t="n">
        <v>5</v>
      </c>
      <c r="C652" s="1" t="n">
        <v>0.8</v>
      </c>
      <c r="D652" s="1" t="n">
        <v>1.2409</v>
      </c>
      <c r="E652" s="1" t="n">
        <v>0.0299419</v>
      </c>
      <c r="F652" s="1" t="n">
        <v>8.60632E-005</v>
      </c>
      <c r="G652" s="1" t="s">
        <v>37</v>
      </c>
      <c r="H652" s="1" t="n">
        <v>55.3</v>
      </c>
      <c r="I652" s="1" t="n">
        <v>175.1</v>
      </c>
      <c r="J652" s="1" t="n">
        <v>-35.7</v>
      </c>
      <c r="K652" s="1" t="n">
        <v>43.4</v>
      </c>
      <c r="L652" s="1" t="n">
        <v>0</v>
      </c>
      <c r="M652" s="1" t="n">
        <v>0</v>
      </c>
      <c r="N652" s="1" t="s">
        <v>398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Z652" s="0" t="n">
        <f aca="false">I652+65</f>
        <v>240.1</v>
      </c>
      <c r="AB652" s="0" t="n">
        <f aca="false">IF(Z652&gt;360,Z652-360,Z652+0)</f>
        <v>240.1</v>
      </c>
    </row>
    <row r="653" customFormat="false" ht="15.8" hidden="false" customHeight="false" outlineLevel="0" collapsed="false">
      <c r="A653" s="1" t="n">
        <v>12</v>
      </c>
      <c r="B653" s="1" t="n">
        <v>4</v>
      </c>
      <c r="C653" s="1" t="n">
        <v>5.6</v>
      </c>
      <c r="D653" s="1" t="n">
        <v>1.1447</v>
      </c>
      <c r="E653" s="1" t="n">
        <v>0.201264</v>
      </c>
      <c r="F653" s="1" t="n">
        <v>0.000578501</v>
      </c>
      <c r="G653" s="1" t="s">
        <v>37</v>
      </c>
      <c r="H653" s="1" t="n">
        <v>111.8</v>
      </c>
      <c r="I653" s="1" t="n">
        <v>228.7</v>
      </c>
      <c r="J653" s="1" t="n">
        <v>-9.2</v>
      </c>
      <c r="K653" s="1" t="n">
        <v>93.6</v>
      </c>
      <c r="L653" s="1" t="n">
        <v>0</v>
      </c>
      <c r="M653" s="1" t="n">
        <v>0</v>
      </c>
      <c r="N653" s="1" t="s">
        <v>385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Z653" s="0" t="n">
        <f aca="false">I653+65</f>
        <v>293.7</v>
      </c>
      <c r="AB653" s="0" t="n">
        <f aca="false">IF(Z653&gt;360,Z653-360,Z653+0)</f>
        <v>293.7</v>
      </c>
    </row>
    <row r="654" customFormat="false" ht="15.8" hidden="false" customHeight="false" outlineLevel="0" collapsed="false">
      <c r="A654" s="1" t="n">
        <v>12</v>
      </c>
      <c r="B654" s="1" t="n">
        <v>3</v>
      </c>
      <c r="C654" s="1" t="n">
        <v>1.2</v>
      </c>
      <c r="D654" s="1" t="n">
        <v>1.2648</v>
      </c>
      <c r="E654" s="1" t="n">
        <v>0.0421762</v>
      </c>
      <c r="F654" s="1" t="n">
        <v>0.000121229</v>
      </c>
      <c r="G654" s="1" t="s">
        <v>37</v>
      </c>
      <c r="H654" s="1" t="n">
        <v>49.6</v>
      </c>
      <c r="I654" s="1" t="n">
        <v>65.2</v>
      </c>
      <c r="J654" s="1" t="n">
        <v>-57.7</v>
      </c>
      <c r="K654" s="1" t="n">
        <v>111.8</v>
      </c>
      <c r="L654" s="1" t="n">
        <v>0</v>
      </c>
      <c r="M654" s="1" t="n">
        <v>0</v>
      </c>
      <c r="N654" s="1" t="s">
        <v>378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Z654" s="0" t="n">
        <f aca="false">I654+65</f>
        <v>130.2</v>
      </c>
      <c r="AB654" s="0" t="n">
        <f aca="false">IF(Z654&gt;360,Z654-360,Z654+0)</f>
        <v>130.2</v>
      </c>
    </row>
    <row r="655" customFormat="false" ht="15.8" hidden="false" customHeight="false" outlineLevel="0" collapsed="false">
      <c r="A655" s="1" t="n">
        <v>12</v>
      </c>
      <c r="B655" s="1" t="n">
        <v>2</v>
      </c>
      <c r="C655" s="1" t="n">
        <v>1.6</v>
      </c>
      <c r="D655" s="1" t="n">
        <v>1.1737</v>
      </c>
      <c r="E655" s="1" t="n">
        <v>0.0569753</v>
      </c>
      <c r="F655" s="1" t="n">
        <v>0.000163766</v>
      </c>
      <c r="G655" s="1" t="s">
        <v>37</v>
      </c>
      <c r="H655" s="1" t="n">
        <v>60.9</v>
      </c>
      <c r="I655" s="1" t="n">
        <v>356.4</v>
      </c>
      <c r="J655" s="1" t="n">
        <v>-35.5</v>
      </c>
      <c r="K655" s="1" t="n">
        <v>49.6</v>
      </c>
      <c r="L655" s="1" t="n">
        <v>0</v>
      </c>
      <c r="M655" s="1" t="n">
        <v>0</v>
      </c>
      <c r="N655" s="1" t="s">
        <v>374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Z655" s="0" t="n">
        <f aca="false">I655+65</f>
        <v>421.4</v>
      </c>
      <c r="AB655" s="0" t="n">
        <f aca="false">IF(Z655&gt;360,Z655-360,Z655+0)</f>
        <v>61.4</v>
      </c>
    </row>
    <row r="656" customFormat="false" ht="15.8" hidden="false" customHeight="false" outlineLevel="0" collapsed="false">
      <c r="A656" s="1" t="n">
        <v>12</v>
      </c>
      <c r="B656" s="1" t="n">
        <v>1</v>
      </c>
      <c r="C656" s="1" t="n">
        <v>6.3</v>
      </c>
      <c r="D656" s="1" t="n">
        <v>1.4138</v>
      </c>
      <c r="E656" s="1" t="n">
        <v>0.225977</v>
      </c>
      <c r="F656" s="1" t="n">
        <v>0.000649534</v>
      </c>
      <c r="G656" s="1" t="s">
        <v>37</v>
      </c>
      <c r="H656" s="1"/>
      <c r="I656" s="1" t="n">
        <v>278</v>
      </c>
      <c r="J656" s="1" t="n">
        <v>-38.1</v>
      </c>
      <c r="K656" s="1" t="n">
        <v>133.1</v>
      </c>
      <c r="L656" s="1" t="n">
        <v>0</v>
      </c>
      <c r="M656" s="1" t="n">
        <v>0</v>
      </c>
      <c r="N656" s="1" t="s">
        <v>404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Z656" s="0" t="n">
        <f aca="false">I656+65</f>
        <v>343</v>
      </c>
      <c r="AB656" s="0" t="n">
        <f aca="false">IF(Z656&gt;360,Z656-360,Z656+0)</f>
        <v>343</v>
      </c>
    </row>
    <row r="657" customFormat="false" ht="15.8" hidden="false" customHeight="false" outlineLevel="0" collapsed="false">
      <c r="A657" s="1" t="n">
        <v>13</v>
      </c>
      <c r="B657" s="1" t="n">
        <v>5</v>
      </c>
      <c r="C657" s="1" t="n">
        <v>0.7</v>
      </c>
      <c r="D657" s="1" t="n">
        <v>1.0163</v>
      </c>
      <c r="E657" s="1" t="n">
        <v>0.0265768</v>
      </c>
      <c r="F657" s="1" t="n">
        <v>7.63905E-005</v>
      </c>
      <c r="G657" s="1" t="s">
        <v>27</v>
      </c>
      <c r="H657" s="1" t="n">
        <v>76.3</v>
      </c>
      <c r="I657" s="1" t="n">
        <v>43.1</v>
      </c>
      <c r="J657" s="1" t="n">
        <v>0</v>
      </c>
      <c r="K657" s="1"/>
      <c r="L657" s="1" t="n">
        <v>0</v>
      </c>
      <c r="M657" s="1" t="n">
        <v>0</v>
      </c>
      <c r="N657" s="1" t="s">
        <v>405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Z657" s="0" t="n">
        <f aca="false">I657+65</f>
        <v>108.1</v>
      </c>
      <c r="AB657" s="0" t="n">
        <f aca="false">IF(Z657&gt;360,Z657-360,Z657+0)</f>
        <v>108.1</v>
      </c>
    </row>
    <row r="658" customFormat="false" ht="15.8" hidden="false" customHeight="false" outlineLevel="0" collapsed="false">
      <c r="A658" s="1" t="n">
        <v>13</v>
      </c>
      <c r="B658" s="1" t="n">
        <v>6</v>
      </c>
      <c r="C658" s="1" t="n">
        <v>0.8</v>
      </c>
      <c r="D658" s="1" t="n">
        <v>1.0067</v>
      </c>
      <c r="E658" s="1" t="n">
        <v>0.0304505</v>
      </c>
      <c r="F658" s="1" t="n">
        <v>8.75248E-005</v>
      </c>
      <c r="G658" s="1" t="s">
        <v>27</v>
      </c>
      <c r="H658" s="1" t="n">
        <v>88.7</v>
      </c>
      <c r="I658" s="1" t="n">
        <v>45.6</v>
      </c>
      <c r="J658" s="1" t="n">
        <v>0</v>
      </c>
      <c r="K658" s="1"/>
      <c r="L658" s="1" t="n">
        <v>0</v>
      </c>
      <c r="M658" s="1" t="n">
        <v>0</v>
      </c>
      <c r="N658" s="1" t="s">
        <v>406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Z658" s="0" t="n">
        <f aca="false">I658+65</f>
        <v>110.6</v>
      </c>
      <c r="AB658" s="0" t="n">
        <f aca="false">IF(Z658&gt;360,Z658-360,Z658+0)</f>
        <v>110.6</v>
      </c>
    </row>
    <row r="659" customFormat="false" ht="15.8" hidden="false" customHeight="false" outlineLevel="0" collapsed="false">
      <c r="A659" s="1" t="n">
        <v>13</v>
      </c>
      <c r="B659" s="1" t="n">
        <v>6</v>
      </c>
      <c r="C659" s="1" t="n">
        <v>2.4</v>
      </c>
      <c r="D659" s="1" t="n">
        <v>1.3011</v>
      </c>
      <c r="E659" s="1" t="n">
        <v>0.0872606</v>
      </c>
      <c r="F659" s="1" t="n">
        <v>0.000250816</v>
      </c>
      <c r="G659" s="1" t="s">
        <v>27</v>
      </c>
      <c r="H659" s="1" t="n">
        <v>21.6</v>
      </c>
      <c r="I659" s="1" t="n">
        <v>336.5</v>
      </c>
      <c r="J659" s="1" t="n">
        <v>-39.1</v>
      </c>
      <c r="K659" s="1"/>
      <c r="L659" s="1" t="n">
        <v>0</v>
      </c>
      <c r="M659" s="1" t="n">
        <v>0</v>
      </c>
      <c r="N659" s="1" t="s">
        <v>406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Z659" s="0" t="n">
        <f aca="false">I659+65</f>
        <v>401.5</v>
      </c>
      <c r="AB659" s="0" t="n">
        <f aca="false">IF(Z659&gt;360,Z659-360,Z659+0)</f>
        <v>41.5</v>
      </c>
    </row>
    <row r="660" customFormat="false" ht="15.8" hidden="false" customHeight="false" outlineLevel="0" collapsed="false">
      <c r="A660" s="1" t="n">
        <v>13</v>
      </c>
      <c r="B660" s="1" t="n">
        <v>5</v>
      </c>
      <c r="C660" s="1" t="n">
        <v>2.3</v>
      </c>
      <c r="D660" s="1" t="n">
        <v>1.2399</v>
      </c>
      <c r="E660" s="1" t="n">
        <v>0.0824491</v>
      </c>
      <c r="F660" s="1" t="n">
        <v>0.000236986</v>
      </c>
      <c r="G660" s="1" t="s">
        <v>37</v>
      </c>
      <c r="H660" s="1" t="n">
        <v>20.1</v>
      </c>
      <c r="I660" s="1" t="n">
        <v>317</v>
      </c>
      <c r="J660" s="1" t="n">
        <v>-25.1</v>
      </c>
      <c r="K660" s="1" t="n">
        <v>88.7</v>
      </c>
      <c r="L660" s="1" t="n">
        <v>0</v>
      </c>
      <c r="M660" s="1" t="n">
        <v>0</v>
      </c>
      <c r="N660" s="1" t="s">
        <v>405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Z660" s="0" t="n">
        <f aca="false">I660+65</f>
        <v>382</v>
      </c>
      <c r="AB660" s="0" t="n">
        <f aca="false">IF(Z660&gt;360,Z660-360,Z660+0)</f>
        <v>22</v>
      </c>
    </row>
    <row r="661" customFormat="false" ht="15.8" hidden="false" customHeight="false" outlineLevel="0" collapsed="false">
      <c r="A661" s="1" t="n">
        <v>13</v>
      </c>
      <c r="B661" s="1" t="n">
        <v>4</v>
      </c>
      <c r="C661" s="1" t="n">
        <v>1.4</v>
      </c>
      <c r="D661" s="1" t="n">
        <v>1.156</v>
      </c>
      <c r="E661" s="1" t="n">
        <v>0.0494155</v>
      </c>
      <c r="F661" s="1" t="n">
        <v>0.000142037</v>
      </c>
      <c r="G661" s="1" t="s">
        <v>37</v>
      </c>
      <c r="H661" s="1" t="n">
        <v>37.9</v>
      </c>
      <c r="I661" s="1" t="n">
        <v>331.4</v>
      </c>
      <c r="J661" s="1" t="n">
        <v>-41.2</v>
      </c>
      <c r="K661" s="1" t="n">
        <v>76.3</v>
      </c>
      <c r="L661" s="1" t="n">
        <v>0</v>
      </c>
      <c r="M661" s="1" t="n">
        <v>0</v>
      </c>
      <c r="N661" s="1" t="s">
        <v>407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Z661" s="0" t="n">
        <f aca="false">I661+65</f>
        <v>396.4</v>
      </c>
      <c r="AB661" s="0" t="n">
        <f aca="false">IF(Z661&gt;360,Z661-360,Z661+0)</f>
        <v>36.4</v>
      </c>
    </row>
    <row r="662" customFormat="false" ht="15.8" hidden="false" customHeight="false" outlineLevel="0" collapsed="false">
      <c r="A662" s="1" t="n">
        <v>13</v>
      </c>
      <c r="B662" s="1" t="n">
        <v>5</v>
      </c>
      <c r="C662" s="1" t="n">
        <v>2.4</v>
      </c>
      <c r="D662" s="1" t="n">
        <v>1.121</v>
      </c>
      <c r="E662" s="1" t="n">
        <v>0.0861406</v>
      </c>
      <c r="F662" s="1" t="n">
        <v>0.000247597</v>
      </c>
      <c r="G662" s="1" t="s">
        <v>27</v>
      </c>
      <c r="H662" s="1" t="n">
        <v>40.7</v>
      </c>
      <c r="I662" s="1" t="n">
        <v>73.1</v>
      </c>
      <c r="J662" s="1" t="n">
        <v>10.6</v>
      </c>
      <c r="K662" s="1"/>
      <c r="L662" s="1" t="n">
        <v>0</v>
      </c>
      <c r="M662" s="1" t="n">
        <v>0</v>
      </c>
      <c r="N662" s="1" t="s">
        <v>408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Z662" s="0" t="n">
        <f aca="false">I662+65</f>
        <v>138.1</v>
      </c>
      <c r="AB662" s="0" t="n">
        <f aca="false">IF(Z662&gt;360,Z662-360,Z662+0)</f>
        <v>138.1</v>
      </c>
    </row>
    <row r="663" customFormat="false" ht="15.8" hidden="false" customHeight="false" outlineLevel="0" collapsed="false">
      <c r="A663" s="1" t="n">
        <v>13</v>
      </c>
      <c r="B663" s="1" t="n">
        <v>5</v>
      </c>
      <c r="C663" s="1" t="n">
        <v>2.8</v>
      </c>
      <c r="D663" s="1" t="n">
        <v>1.128</v>
      </c>
      <c r="E663" s="1" t="n">
        <v>0.0996092</v>
      </c>
      <c r="F663" s="1" t="n">
        <v>0.00028631</v>
      </c>
      <c r="G663" s="1" t="s">
        <v>27</v>
      </c>
      <c r="H663" s="1" t="n">
        <v>145.6</v>
      </c>
      <c r="I663" s="1" t="n">
        <v>329</v>
      </c>
      <c r="J663" s="1" t="n">
        <v>-9.2</v>
      </c>
      <c r="K663" s="1"/>
      <c r="L663" s="1" t="n">
        <v>0</v>
      </c>
      <c r="M663" s="1" t="n">
        <v>0</v>
      </c>
      <c r="N663" s="1" t="s">
        <v>408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Z663" s="0" t="n">
        <f aca="false">I663+65</f>
        <v>394</v>
      </c>
      <c r="AB663" s="0" t="n">
        <f aca="false">IF(Z663&gt;360,Z663-360,Z663+0)</f>
        <v>34</v>
      </c>
    </row>
    <row r="664" customFormat="false" ht="15.8" hidden="false" customHeight="false" outlineLevel="0" collapsed="false">
      <c r="A664" s="1" t="n">
        <v>13</v>
      </c>
      <c r="B664" s="1" t="n">
        <v>4</v>
      </c>
      <c r="C664" s="1" t="n">
        <v>13.1</v>
      </c>
      <c r="D664" s="1" t="n">
        <v>2.2349</v>
      </c>
      <c r="E664" s="1" t="n">
        <v>0.474436</v>
      </c>
      <c r="F664" s="1" t="n">
        <v>0.00136369</v>
      </c>
      <c r="G664" s="1" t="s">
        <v>37</v>
      </c>
      <c r="H664" s="1" t="n">
        <v>116.6</v>
      </c>
      <c r="I664" s="1" t="n">
        <v>114.2</v>
      </c>
      <c r="J664" s="1" t="n">
        <v>7.6</v>
      </c>
      <c r="K664" s="1" t="n">
        <v>145.6</v>
      </c>
      <c r="L664" s="1" t="n">
        <v>0</v>
      </c>
      <c r="M664" s="1" t="n">
        <v>0</v>
      </c>
      <c r="N664" s="1" t="s">
        <v>407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Z664" s="0" t="n">
        <f aca="false">I664+65</f>
        <v>179.2</v>
      </c>
      <c r="AB664" s="0" t="n">
        <f aca="false">IF(Z664&gt;360,Z664-360,Z664+0)</f>
        <v>179.2</v>
      </c>
    </row>
    <row r="665" customFormat="false" ht="15.8" hidden="false" customHeight="false" outlineLevel="0" collapsed="false">
      <c r="A665" s="1" t="n">
        <v>13</v>
      </c>
      <c r="B665" s="1" t="n">
        <v>3</v>
      </c>
      <c r="C665" s="1" t="n">
        <v>6.4</v>
      </c>
      <c r="D665" s="1" t="n">
        <v>1.4052</v>
      </c>
      <c r="E665" s="1" t="n">
        <v>0.230726</v>
      </c>
      <c r="F665" s="1" t="n">
        <v>0.000663185</v>
      </c>
      <c r="G665" s="1" t="s">
        <v>37</v>
      </c>
      <c r="H665" s="1" t="n">
        <v>84.3</v>
      </c>
      <c r="I665" s="1" t="n">
        <v>283.7</v>
      </c>
      <c r="J665" s="1" t="n">
        <v>-70.7</v>
      </c>
      <c r="K665" s="1" t="n">
        <v>116.6</v>
      </c>
      <c r="L665" s="1" t="n">
        <v>0</v>
      </c>
      <c r="M665" s="1" t="n">
        <v>0</v>
      </c>
      <c r="N665" s="1" t="s">
        <v>409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Z665" s="0" t="n">
        <f aca="false">I665+65</f>
        <v>348.7</v>
      </c>
      <c r="AB665" s="0" t="n">
        <f aca="false">IF(Z665&gt;360,Z665-360,Z665+0)</f>
        <v>348.7</v>
      </c>
    </row>
    <row r="666" customFormat="false" ht="15.8" hidden="false" customHeight="false" outlineLevel="0" collapsed="false">
      <c r="A666" s="1" t="n">
        <v>13</v>
      </c>
      <c r="B666" s="1" t="n">
        <v>4</v>
      </c>
      <c r="C666" s="1" t="n">
        <v>1.2</v>
      </c>
      <c r="D666" s="1" t="n">
        <v>1.0854</v>
      </c>
      <c r="E666" s="1" t="n">
        <v>0.0449156</v>
      </c>
      <c r="F666" s="1" t="n">
        <v>0.000129102</v>
      </c>
      <c r="G666" s="1" t="s">
        <v>27</v>
      </c>
      <c r="H666" s="1" t="n">
        <v>72.1</v>
      </c>
      <c r="I666" s="1" t="n">
        <v>121.5</v>
      </c>
      <c r="J666" s="1" t="n">
        <v>0</v>
      </c>
      <c r="K666" s="1"/>
      <c r="L666" s="1" t="n">
        <v>0</v>
      </c>
      <c r="M666" s="1" t="n">
        <v>0</v>
      </c>
      <c r="N666" s="1" t="s">
        <v>410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Z666" s="0" t="n">
        <f aca="false">I666+65</f>
        <v>186.5</v>
      </c>
      <c r="AB666" s="0" t="n">
        <f aca="false">IF(Z666&gt;360,Z666-360,Z666+0)</f>
        <v>186.5</v>
      </c>
    </row>
    <row r="667" customFormat="false" ht="15.8" hidden="false" customHeight="false" outlineLevel="0" collapsed="false">
      <c r="A667" s="1" t="n">
        <v>13</v>
      </c>
      <c r="B667" s="1" t="n">
        <v>6</v>
      </c>
      <c r="C667" s="1" t="n">
        <v>1.2</v>
      </c>
      <c r="D667" s="1" t="n">
        <v>1.1945</v>
      </c>
      <c r="E667" s="1" t="n">
        <v>0.0437215</v>
      </c>
      <c r="F667" s="1" t="n">
        <v>0.00012567</v>
      </c>
      <c r="G667" s="1" t="s">
        <v>27</v>
      </c>
      <c r="H667" s="1" t="n">
        <v>55.2</v>
      </c>
      <c r="I667" s="1" t="n">
        <v>313.5</v>
      </c>
      <c r="J667" s="1" t="n">
        <v>-22.6</v>
      </c>
      <c r="K667" s="1"/>
      <c r="L667" s="1" t="n">
        <v>0</v>
      </c>
      <c r="M667" s="1" t="n">
        <v>0</v>
      </c>
      <c r="N667" s="1" t="s">
        <v>411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Z667" s="0" t="n">
        <f aca="false">I667+65</f>
        <v>378.5</v>
      </c>
      <c r="AB667" s="0" t="n">
        <f aca="false">IF(Z667&gt;360,Z667-360,Z667+0)</f>
        <v>18.5</v>
      </c>
    </row>
    <row r="668" customFormat="false" ht="15.8" hidden="false" customHeight="false" outlineLevel="0" collapsed="false">
      <c r="A668" s="1" t="n">
        <v>13</v>
      </c>
      <c r="B668" s="1" t="n">
        <v>6</v>
      </c>
      <c r="C668" s="1" t="n">
        <v>6.6</v>
      </c>
      <c r="D668" s="1" t="n">
        <v>1.7303</v>
      </c>
      <c r="E668" s="1" t="n">
        <v>0.238482</v>
      </c>
      <c r="F668" s="1" t="n">
        <v>0.000685476</v>
      </c>
      <c r="G668" s="1" t="s">
        <v>27</v>
      </c>
      <c r="H668" s="1" t="n">
        <v>67.3</v>
      </c>
      <c r="I668" s="1" t="n">
        <v>172.8</v>
      </c>
      <c r="J668" s="1" t="n">
        <v>-30.7</v>
      </c>
      <c r="K668" s="1"/>
      <c r="L668" s="1" t="n">
        <v>0</v>
      </c>
      <c r="M668" s="1" t="n">
        <v>0</v>
      </c>
      <c r="N668" s="1" t="s">
        <v>411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Z668" s="0" t="n">
        <f aca="false">I668+65</f>
        <v>237.8</v>
      </c>
      <c r="AB668" s="0" t="n">
        <f aca="false">IF(Z668&gt;360,Z668-360,Z668+0)</f>
        <v>237.8</v>
      </c>
    </row>
    <row r="669" customFormat="false" ht="15.8" hidden="false" customHeight="false" outlineLevel="0" collapsed="false">
      <c r="A669" s="1" t="n">
        <v>13</v>
      </c>
      <c r="B669" s="1" t="n">
        <v>5</v>
      </c>
      <c r="C669" s="1" t="n">
        <v>2.8</v>
      </c>
      <c r="D669" s="1" t="n">
        <v>1.1422</v>
      </c>
      <c r="E669" s="1" t="n">
        <v>0.101073</v>
      </c>
      <c r="F669" s="1" t="n">
        <v>0.000290517</v>
      </c>
      <c r="G669" s="1" t="s">
        <v>37</v>
      </c>
      <c r="H669" s="1" t="n">
        <v>59.8</v>
      </c>
      <c r="I669" s="1" t="n">
        <v>252</v>
      </c>
      <c r="J669" s="1" t="n">
        <v>-28.5</v>
      </c>
      <c r="K669" s="1" t="n">
        <v>67.3</v>
      </c>
      <c r="L669" s="1" t="n">
        <v>0</v>
      </c>
      <c r="M669" s="1" t="n">
        <v>0</v>
      </c>
      <c r="N669" s="1" t="s">
        <v>412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Z669" s="0" t="n">
        <f aca="false">I669+65</f>
        <v>317</v>
      </c>
      <c r="AB669" s="0" t="n">
        <f aca="false">IF(Z669&gt;360,Z669-360,Z669+0)</f>
        <v>317</v>
      </c>
    </row>
    <row r="670" customFormat="false" ht="15.8" hidden="false" customHeight="false" outlineLevel="0" collapsed="false">
      <c r="A670" s="1" t="n">
        <v>13</v>
      </c>
      <c r="B670" s="1" t="n">
        <v>6</v>
      </c>
      <c r="C670" s="1" t="n">
        <v>0.8</v>
      </c>
      <c r="D670" s="1" t="n">
        <v>1.0027</v>
      </c>
      <c r="E670" s="1" t="n">
        <v>0.0294445</v>
      </c>
      <c r="F670" s="1" t="n">
        <v>8.46334E-005</v>
      </c>
      <c r="G670" s="1" t="s">
        <v>27</v>
      </c>
      <c r="H670" s="1" t="n">
        <v>42.2</v>
      </c>
      <c r="I670" s="1" t="n">
        <v>98.1</v>
      </c>
      <c r="J670" s="1" t="n">
        <v>0</v>
      </c>
      <c r="K670" s="1"/>
      <c r="L670" s="1" t="n">
        <v>0</v>
      </c>
      <c r="M670" s="1" t="n">
        <v>0</v>
      </c>
      <c r="N670" s="1" t="s">
        <v>413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Z670" s="0" t="n">
        <f aca="false">I670+65</f>
        <v>163.1</v>
      </c>
      <c r="AB670" s="0" t="n">
        <f aca="false">IF(Z670&gt;360,Z670-360,Z670+0)</f>
        <v>163.1</v>
      </c>
    </row>
    <row r="671" customFormat="false" ht="15.8" hidden="false" customHeight="false" outlineLevel="0" collapsed="false">
      <c r="A671" s="1" t="n">
        <v>13</v>
      </c>
      <c r="B671" s="1" t="n">
        <v>7</v>
      </c>
      <c r="C671" s="1" t="n">
        <v>1.9</v>
      </c>
      <c r="D671" s="1" t="n">
        <v>1.3447</v>
      </c>
      <c r="E671" s="1" t="n">
        <v>0.0687848</v>
      </c>
      <c r="F671" s="1" t="n">
        <v>0.00019771</v>
      </c>
      <c r="G671" s="1" t="s">
        <v>27</v>
      </c>
      <c r="H671" s="1" t="n">
        <v>95.5</v>
      </c>
      <c r="I671" s="1" t="n">
        <v>322.6</v>
      </c>
      <c r="J671" s="1" t="n">
        <v>-16</v>
      </c>
      <c r="K671" s="1"/>
      <c r="L671" s="1" t="n">
        <v>0</v>
      </c>
      <c r="M671" s="1" t="n">
        <v>0</v>
      </c>
      <c r="N671" s="1" t="s">
        <v>414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Z671" s="0" t="n">
        <f aca="false">I671+65</f>
        <v>387.6</v>
      </c>
      <c r="AB671" s="0" t="n">
        <f aca="false">IF(Z671&gt;360,Z671-360,Z671+0)</f>
        <v>27.6</v>
      </c>
    </row>
    <row r="672" customFormat="false" ht="15.8" hidden="false" customHeight="false" outlineLevel="0" collapsed="false">
      <c r="A672" s="1" t="n">
        <v>13</v>
      </c>
      <c r="B672" s="1" t="n">
        <v>7</v>
      </c>
      <c r="C672" s="1" t="n">
        <v>2.6</v>
      </c>
      <c r="D672" s="1" t="n">
        <v>1.2912</v>
      </c>
      <c r="E672" s="1" t="n">
        <v>0.0950815</v>
      </c>
      <c r="F672" s="1" t="n">
        <v>0.000273296</v>
      </c>
      <c r="G672" s="1" t="s">
        <v>27</v>
      </c>
      <c r="H672" s="1" t="n">
        <v>66.4</v>
      </c>
      <c r="I672" s="1" t="n">
        <v>143.7</v>
      </c>
      <c r="J672" s="1" t="n">
        <v>-35</v>
      </c>
      <c r="K672" s="1"/>
      <c r="L672" s="1" t="n">
        <v>0</v>
      </c>
      <c r="M672" s="1" t="n">
        <v>0</v>
      </c>
      <c r="N672" s="1" t="s">
        <v>414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Z672" s="0" t="n">
        <f aca="false">I672+65</f>
        <v>208.7</v>
      </c>
      <c r="AB672" s="0" t="n">
        <f aca="false">IF(Z672&gt;360,Z672-360,Z672+0)</f>
        <v>208.7</v>
      </c>
    </row>
    <row r="673" customFormat="false" ht="15.8" hidden="false" customHeight="false" outlineLevel="0" collapsed="false">
      <c r="A673" s="1" t="n">
        <v>13</v>
      </c>
      <c r="B673" s="1" t="n">
        <v>6</v>
      </c>
      <c r="C673" s="1" t="n">
        <v>1.3</v>
      </c>
      <c r="D673" s="1" t="n">
        <v>1.2175</v>
      </c>
      <c r="E673" s="1" t="n">
        <v>0.0453817</v>
      </c>
      <c r="F673" s="1" t="n">
        <v>0.000130442</v>
      </c>
      <c r="G673" s="1" t="s">
        <v>37</v>
      </c>
      <c r="H673" s="1" t="n">
        <v>76.8</v>
      </c>
      <c r="I673" s="1" t="n">
        <v>219.6</v>
      </c>
      <c r="J673" s="1" t="n">
        <v>-22.2</v>
      </c>
      <c r="K673" s="1" t="n">
        <v>95.5</v>
      </c>
      <c r="L673" s="1" t="n">
        <v>0</v>
      </c>
      <c r="M673" s="1" t="n">
        <v>0</v>
      </c>
      <c r="N673" s="1" t="s">
        <v>413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Z673" s="0" t="n">
        <f aca="false">I673+65</f>
        <v>284.6</v>
      </c>
      <c r="AB673" s="0" t="n">
        <f aca="false">IF(Z673&gt;360,Z673-360,Z673+0)</f>
        <v>284.6</v>
      </c>
    </row>
    <row r="674" customFormat="false" ht="15.8" hidden="false" customHeight="false" outlineLevel="0" collapsed="false">
      <c r="A674" s="1" t="n">
        <v>13</v>
      </c>
      <c r="B674" s="1" t="n">
        <v>5</v>
      </c>
      <c r="C674" s="1" t="n">
        <v>1.7</v>
      </c>
      <c r="D674" s="1" t="n">
        <v>1.1388</v>
      </c>
      <c r="E674" s="1" t="n">
        <v>0.0630319</v>
      </c>
      <c r="F674" s="1" t="n">
        <v>0.000181175</v>
      </c>
      <c r="G674" s="1" t="s">
        <v>37</v>
      </c>
      <c r="H674" s="1" t="n">
        <v>49.5</v>
      </c>
      <c r="I674" s="1" t="n">
        <v>138.1</v>
      </c>
      <c r="J674" s="1" t="n">
        <v>-14.7</v>
      </c>
      <c r="K674" s="1" t="n">
        <v>76.8</v>
      </c>
      <c r="L674" s="1" t="n">
        <v>0</v>
      </c>
      <c r="M674" s="1" t="n">
        <v>0</v>
      </c>
      <c r="N674" s="1" t="s">
        <v>412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Z674" s="0" t="n">
        <f aca="false">I674+65</f>
        <v>203.1</v>
      </c>
      <c r="AB674" s="0" t="n">
        <f aca="false">IF(Z674&gt;360,Z674-360,Z674+0)</f>
        <v>203.1</v>
      </c>
    </row>
    <row r="675" customFormat="false" ht="15.8" hidden="false" customHeight="false" outlineLevel="0" collapsed="false">
      <c r="A675" s="1" t="n">
        <v>13</v>
      </c>
      <c r="B675" s="1" t="n">
        <v>4</v>
      </c>
      <c r="C675" s="1" t="n">
        <v>2.2</v>
      </c>
      <c r="D675" s="1" t="n">
        <v>1.2756</v>
      </c>
      <c r="E675" s="1" t="n">
        <v>0.0777826</v>
      </c>
      <c r="F675" s="1" t="n">
        <v>0.000223573</v>
      </c>
      <c r="G675" s="1" t="s">
        <v>37</v>
      </c>
      <c r="H675" s="1" t="n">
        <v>3.8</v>
      </c>
      <c r="I675" s="1" t="n">
        <v>189.3</v>
      </c>
      <c r="J675" s="1" t="n">
        <v>-13.4</v>
      </c>
      <c r="K675" s="1" t="n">
        <v>59.8</v>
      </c>
      <c r="L675" s="1" t="n">
        <v>0</v>
      </c>
      <c r="M675" s="1" t="n">
        <v>0</v>
      </c>
      <c r="N675" s="1" t="s">
        <v>410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Z675" s="0" t="n">
        <f aca="false">I675+65</f>
        <v>254.3</v>
      </c>
      <c r="AB675" s="0" t="n">
        <f aca="false">IF(Z675&gt;360,Z675-360,Z675+0)</f>
        <v>254.3</v>
      </c>
    </row>
    <row r="676" customFormat="false" ht="15.8" hidden="false" customHeight="false" outlineLevel="0" collapsed="false">
      <c r="A676" s="1" t="n">
        <v>13</v>
      </c>
      <c r="B676" s="1" t="n">
        <v>3</v>
      </c>
      <c r="C676" s="1" t="n">
        <v>1.8</v>
      </c>
      <c r="D676" s="1" t="n">
        <v>1.1453</v>
      </c>
      <c r="E676" s="1" t="n">
        <v>0.0635763</v>
      </c>
      <c r="F676" s="1" t="n">
        <v>0.00018274</v>
      </c>
      <c r="G676" s="1" t="s">
        <v>37</v>
      </c>
      <c r="H676" s="1" t="n">
        <v>23.3</v>
      </c>
      <c r="I676" s="1" t="n">
        <v>193</v>
      </c>
      <c r="J676" s="1" t="n">
        <v>-14.7</v>
      </c>
      <c r="K676" s="1" t="n">
        <v>72.1</v>
      </c>
      <c r="L676" s="1" t="n">
        <v>0</v>
      </c>
      <c r="M676" s="1" t="n">
        <v>0</v>
      </c>
      <c r="N676" s="1" t="s">
        <v>409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Z676" s="0" t="n">
        <f aca="false">I676+65</f>
        <v>258</v>
      </c>
      <c r="AB676" s="0" t="n">
        <f aca="false">IF(Z676&gt;360,Z676-360,Z676+0)</f>
        <v>258</v>
      </c>
    </row>
    <row r="677" customFormat="false" ht="15.8" hidden="false" customHeight="false" outlineLevel="0" collapsed="false">
      <c r="A677" s="1" t="n">
        <v>13</v>
      </c>
      <c r="B677" s="1" t="n">
        <v>2</v>
      </c>
      <c r="C677" s="1" t="n">
        <v>0.9</v>
      </c>
      <c r="D677" s="1" t="n">
        <v>1.0268</v>
      </c>
      <c r="E677" s="1" t="n">
        <v>0.0329096</v>
      </c>
      <c r="F677" s="1" t="n">
        <v>9.45933E-005</v>
      </c>
      <c r="G677" s="1" t="s">
        <v>37</v>
      </c>
      <c r="H677" s="1" t="n">
        <v>88.1</v>
      </c>
      <c r="I677" s="1" t="n">
        <v>211.2</v>
      </c>
      <c r="J677" s="1" t="n">
        <v>0</v>
      </c>
      <c r="K677" s="1" t="n">
        <v>84.3</v>
      </c>
      <c r="L677" s="1" t="n">
        <v>0</v>
      </c>
      <c r="M677" s="1" t="n">
        <v>0</v>
      </c>
      <c r="N677" s="1" t="s">
        <v>415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Z677" s="0" t="n">
        <f aca="false">I677+65</f>
        <v>276.2</v>
      </c>
      <c r="AB677" s="0" t="n">
        <f aca="false">IF(Z677&gt;360,Z677-360,Z677+0)</f>
        <v>276.2</v>
      </c>
    </row>
    <row r="678" customFormat="false" ht="15.8" hidden="false" customHeight="false" outlineLevel="0" collapsed="false">
      <c r="A678" s="1" t="n">
        <v>13</v>
      </c>
      <c r="B678" s="1" t="n">
        <v>5</v>
      </c>
      <c r="C678" s="1" t="n">
        <v>3.5</v>
      </c>
      <c r="D678" s="1" t="n">
        <v>1.555</v>
      </c>
      <c r="E678" s="1" t="n">
        <v>0.10098</v>
      </c>
      <c r="F678" s="1" t="n">
        <v>0.000232201</v>
      </c>
      <c r="G678" s="1" t="s">
        <v>27</v>
      </c>
      <c r="H678" s="1" t="n">
        <v>37.8</v>
      </c>
      <c r="I678" s="1" t="n">
        <v>103.5</v>
      </c>
      <c r="J678" s="1" t="n">
        <v>-31.4</v>
      </c>
      <c r="K678" s="1"/>
      <c r="L678" s="1" t="n">
        <v>0</v>
      </c>
      <c r="M678" s="1" t="n">
        <v>0</v>
      </c>
      <c r="N678" s="1" t="s">
        <v>416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Z678" s="0" t="n">
        <f aca="false">I678+65</f>
        <v>168.5</v>
      </c>
      <c r="AB678" s="0" t="n">
        <f aca="false">IF(Z678&gt;360,Z678-360,Z678+0)</f>
        <v>168.5</v>
      </c>
    </row>
    <row r="679" customFormat="false" ht="15.8" hidden="false" customHeight="false" outlineLevel="0" collapsed="false">
      <c r="A679" s="1" t="n">
        <v>13</v>
      </c>
      <c r="B679" s="1" t="n">
        <v>5</v>
      </c>
      <c r="C679" s="1" t="n">
        <v>4.9</v>
      </c>
      <c r="D679" s="1" t="n">
        <v>1.1804</v>
      </c>
      <c r="E679" s="1" t="n">
        <v>0.140362</v>
      </c>
      <c r="F679" s="1" t="n">
        <v>0.000322757</v>
      </c>
      <c r="G679" s="1" t="s">
        <v>27</v>
      </c>
      <c r="H679" s="1" t="n">
        <v>31.5</v>
      </c>
      <c r="I679" s="1" t="n">
        <v>119.6</v>
      </c>
      <c r="J679" s="1" t="n">
        <v>0</v>
      </c>
      <c r="K679" s="1"/>
      <c r="L679" s="1" t="n">
        <v>0</v>
      </c>
      <c r="M679" s="1" t="n">
        <v>0</v>
      </c>
      <c r="N679" s="1" t="s">
        <v>416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Z679" s="0" t="n">
        <f aca="false">I679+65</f>
        <v>184.6</v>
      </c>
      <c r="AB679" s="0" t="n">
        <f aca="false">IF(Z679&gt;360,Z679-360,Z679+0)</f>
        <v>184.6</v>
      </c>
    </row>
    <row r="680" customFormat="false" ht="15.8" hidden="false" customHeight="false" outlineLevel="0" collapsed="false">
      <c r="A680" s="1" t="n">
        <v>13</v>
      </c>
      <c r="B680" s="1" t="n">
        <v>4</v>
      </c>
      <c r="C680" s="1" t="n">
        <v>6.9</v>
      </c>
      <c r="D680" s="1" t="n">
        <v>1.087</v>
      </c>
      <c r="E680" s="1" t="n">
        <v>0.200109</v>
      </c>
      <c r="F680" s="1" t="n">
        <v>0.000460144</v>
      </c>
      <c r="G680" s="1" t="s">
        <v>37</v>
      </c>
      <c r="H680" s="1" t="n">
        <v>7.1</v>
      </c>
      <c r="I680" s="1" t="n">
        <v>88.3</v>
      </c>
      <c r="J680" s="1" t="n">
        <v>3.5</v>
      </c>
      <c r="K680" s="1" t="n">
        <v>37.8</v>
      </c>
      <c r="L680" s="1" t="n">
        <v>0</v>
      </c>
      <c r="M680" s="1" t="n">
        <v>0</v>
      </c>
      <c r="N680" s="1" t="s">
        <v>417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Z680" s="0" t="n">
        <f aca="false">I680+65</f>
        <v>153.3</v>
      </c>
      <c r="AB680" s="0" t="n">
        <f aca="false">IF(Z680&gt;360,Z680-360,Z680+0)</f>
        <v>153.3</v>
      </c>
    </row>
    <row r="681" customFormat="false" ht="15.8" hidden="false" customHeight="false" outlineLevel="0" collapsed="false">
      <c r="A681" s="1" t="n">
        <v>13</v>
      </c>
      <c r="B681" s="1" t="n">
        <v>5</v>
      </c>
      <c r="C681" s="1" t="n">
        <v>1.2</v>
      </c>
      <c r="D681" s="1" t="n">
        <v>1.2807</v>
      </c>
      <c r="E681" s="1" t="n">
        <v>0.0337222</v>
      </c>
      <c r="F681" s="1" t="n">
        <v>7.7543E-005</v>
      </c>
      <c r="G681" s="1" t="s">
        <v>27</v>
      </c>
      <c r="H681" s="1" t="n">
        <v>75.1</v>
      </c>
      <c r="I681" s="1" t="n">
        <v>218.7</v>
      </c>
      <c r="J681" s="1" t="n">
        <v>58.9</v>
      </c>
      <c r="K681" s="1"/>
      <c r="L681" s="1" t="n">
        <v>0</v>
      </c>
      <c r="M681" s="1" t="n">
        <v>0</v>
      </c>
      <c r="N681" s="1" t="s">
        <v>418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Z681" s="0" t="n">
        <f aca="false">I681+65</f>
        <v>283.7</v>
      </c>
      <c r="AB681" s="0" t="n">
        <f aca="false">IF(Z681&gt;360,Z681-360,Z681+0)</f>
        <v>283.7</v>
      </c>
    </row>
    <row r="682" customFormat="false" ht="15.8" hidden="false" customHeight="false" outlineLevel="0" collapsed="false">
      <c r="A682" s="1" t="n">
        <v>13</v>
      </c>
      <c r="B682" s="1" t="n">
        <v>5</v>
      </c>
      <c r="C682" s="1" t="n">
        <v>1</v>
      </c>
      <c r="D682" s="1" t="n">
        <v>1.126</v>
      </c>
      <c r="E682" s="1" t="n">
        <v>0.0280596</v>
      </c>
      <c r="F682" s="1" t="n">
        <v>6.45222E-005</v>
      </c>
      <c r="G682" s="1" t="s">
        <v>27</v>
      </c>
      <c r="H682" s="1" t="n">
        <v>66.4</v>
      </c>
      <c r="I682" s="1" t="n">
        <v>53.1</v>
      </c>
      <c r="J682" s="1" t="n">
        <v>64.7</v>
      </c>
      <c r="K682" s="1"/>
      <c r="L682" s="1" t="n">
        <v>0</v>
      </c>
      <c r="M682" s="1" t="n">
        <v>0</v>
      </c>
      <c r="N682" s="1" t="s">
        <v>418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Z682" s="0" t="n">
        <f aca="false">I682+65</f>
        <v>118.1</v>
      </c>
      <c r="AB682" s="0" t="n">
        <f aca="false">IF(Z682&gt;360,Z682-360,Z682+0)</f>
        <v>118.1</v>
      </c>
    </row>
    <row r="683" customFormat="false" ht="15.8" hidden="false" customHeight="false" outlineLevel="0" collapsed="false">
      <c r="A683" s="1" t="n">
        <v>13</v>
      </c>
      <c r="B683" s="1" t="n">
        <v>4</v>
      </c>
      <c r="C683" s="1" t="n">
        <v>1.5</v>
      </c>
      <c r="D683" s="1" t="n">
        <v>1.24</v>
      </c>
      <c r="E683" s="1" t="n">
        <v>0.0439386</v>
      </c>
      <c r="F683" s="1" t="n">
        <v>0.000101035</v>
      </c>
      <c r="G683" s="1" t="s">
        <v>37</v>
      </c>
      <c r="H683" s="1" t="n">
        <v>47.8</v>
      </c>
      <c r="I683" s="1" t="n">
        <v>127</v>
      </c>
      <c r="J683" s="1" t="n">
        <v>18.5</v>
      </c>
      <c r="K683" s="1" t="n">
        <v>75.1</v>
      </c>
      <c r="L683" s="1" t="n">
        <v>0</v>
      </c>
      <c r="M683" s="1" t="n">
        <v>0</v>
      </c>
      <c r="N683" s="1" t="s">
        <v>417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Z683" s="0" t="n">
        <f aca="false">I683+65</f>
        <v>192</v>
      </c>
      <c r="AB683" s="0" t="n">
        <f aca="false">IF(Z683&gt;360,Z683-360,Z683+0)</f>
        <v>192</v>
      </c>
    </row>
    <row r="684" customFormat="false" ht="15.8" hidden="false" customHeight="false" outlineLevel="0" collapsed="false">
      <c r="A684" s="1" t="n">
        <v>13</v>
      </c>
      <c r="B684" s="1" t="n">
        <v>3</v>
      </c>
      <c r="C684" s="1" t="n">
        <v>1.8</v>
      </c>
      <c r="D684" s="1" t="n">
        <v>1.0448</v>
      </c>
      <c r="E684" s="1" t="n">
        <v>0.052425</v>
      </c>
      <c r="F684" s="1" t="n">
        <v>0.00012055</v>
      </c>
      <c r="G684" s="1" t="s">
        <v>37</v>
      </c>
      <c r="H684" s="1" t="n">
        <v>28.9</v>
      </c>
      <c r="I684" s="1" t="n">
        <v>82.1</v>
      </c>
      <c r="J684" s="1" t="n">
        <v>0</v>
      </c>
      <c r="K684" s="1" t="n">
        <v>47.8</v>
      </c>
      <c r="L684" s="1" t="n">
        <v>0</v>
      </c>
      <c r="M684" s="1" t="n">
        <v>0</v>
      </c>
      <c r="N684" s="1" t="s">
        <v>419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Z684" s="0" t="n">
        <f aca="false">I684+65</f>
        <v>147.1</v>
      </c>
      <c r="AB684" s="0" t="n">
        <f aca="false">IF(Z684&gt;360,Z684-360,Z684+0)</f>
        <v>147.1</v>
      </c>
    </row>
    <row r="685" customFormat="false" ht="15.8" hidden="false" customHeight="false" outlineLevel="0" collapsed="false">
      <c r="A685" s="1" t="n">
        <v>13</v>
      </c>
      <c r="B685" s="1" t="n">
        <v>4</v>
      </c>
      <c r="C685" s="1" t="n">
        <v>1.8</v>
      </c>
      <c r="D685" s="1" t="n">
        <v>1.2261</v>
      </c>
      <c r="E685" s="1" t="n">
        <v>0.0639839</v>
      </c>
      <c r="F685" s="1" t="n">
        <v>0.000183911</v>
      </c>
      <c r="G685" s="1" t="s">
        <v>27</v>
      </c>
      <c r="H685" s="1" t="n">
        <v>30.7</v>
      </c>
      <c r="I685" s="1" t="n">
        <v>105.4</v>
      </c>
      <c r="J685" s="1" t="n">
        <v>32.7</v>
      </c>
      <c r="K685" s="1"/>
      <c r="L685" s="1" t="n">
        <v>0</v>
      </c>
      <c r="M685" s="1" t="n">
        <v>0</v>
      </c>
      <c r="N685" s="1" t="s">
        <v>420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Z685" s="0" t="n">
        <f aca="false">I685+65</f>
        <v>170.4</v>
      </c>
      <c r="AB685" s="0" t="n">
        <f aca="false">IF(Z685&gt;360,Z685-360,Z685+0)</f>
        <v>170.4</v>
      </c>
    </row>
    <row r="686" customFormat="false" ht="15.8" hidden="false" customHeight="false" outlineLevel="0" collapsed="false">
      <c r="A686" s="1" t="n">
        <v>13</v>
      </c>
      <c r="B686" s="1" t="n">
        <v>5</v>
      </c>
      <c r="C686" s="1" t="n">
        <v>1.4</v>
      </c>
      <c r="D686" s="1" t="n">
        <v>1.3653</v>
      </c>
      <c r="E686" s="1" t="n">
        <v>0.0515291</v>
      </c>
      <c r="F686" s="1" t="n">
        <v>0.000148112</v>
      </c>
      <c r="G686" s="1" t="s">
        <v>27</v>
      </c>
      <c r="H686" s="1" t="n">
        <v>44.4</v>
      </c>
      <c r="I686" s="1" t="n">
        <v>202.3</v>
      </c>
      <c r="J686" s="1" t="n">
        <v>21.9</v>
      </c>
      <c r="K686" s="1"/>
      <c r="L686" s="1" t="n">
        <v>0</v>
      </c>
      <c r="M686" s="1" t="n">
        <v>0</v>
      </c>
      <c r="N686" s="1" t="s">
        <v>421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Z686" s="0" t="n">
        <f aca="false">I686+65</f>
        <v>267.3</v>
      </c>
      <c r="AB686" s="0" t="n">
        <f aca="false">IF(Z686&gt;360,Z686-360,Z686+0)</f>
        <v>267.3</v>
      </c>
    </row>
    <row r="687" customFormat="false" ht="15.8" hidden="false" customHeight="false" outlineLevel="0" collapsed="false">
      <c r="A687" s="1" t="n">
        <v>13</v>
      </c>
      <c r="B687" s="1" t="n">
        <v>7</v>
      </c>
      <c r="C687" s="1" t="n">
        <v>0.3</v>
      </c>
      <c r="D687" s="1" t="n">
        <v>1.0031</v>
      </c>
      <c r="E687" s="1" t="n">
        <v>0.0113696</v>
      </c>
      <c r="F687" s="1" t="n">
        <v>3.268E-005</v>
      </c>
      <c r="G687" s="1" t="s">
        <v>27</v>
      </c>
      <c r="H687" s="1" t="n">
        <v>77.7</v>
      </c>
      <c r="I687" s="1" t="n">
        <v>351.6</v>
      </c>
      <c r="J687" s="1" t="n">
        <v>0</v>
      </c>
      <c r="K687" s="1"/>
      <c r="L687" s="1" t="n">
        <v>0</v>
      </c>
      <c r="M687" s="1" t="n">
        <v>0</v>
      </c>
      <c r="N687" s="1" t="s">
        <v>422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Z687" s="0" t="n">
        <f aca="false">I687+65</f>
        <v>416.6</v>
      </c>
      <c r="AB687" s="0" t="n">
        <f aca="false">IF(Z687&gt;360,Z687-360,Z687+0)</f>
        <v>56.6</v>
      </c>
    </row>
    <row r="688" customFormat="false" ht="15.8" hidden="false" customHeight="false" outlineLevel="0" collapsed="false">
      <c r="A688" s="1" t="n">
        <v>13</v>
      </c>
      <c r="B688" s="1" t="n">
        <v>7</v>
      </c>
      <c r="C688" s="1" t="n">
        <v>2.1</v>
      </c>
      <c r="D688" s="1" t="n">
        <v>1.2698</v>
      </c>
      <c r="E688" s="1" t="n">
        <v>0.0773539</v>
      </c>
      <c r="F688" s="1" t="n">
        <v>0.000222341</v>
      </c>
      <c r="G688" s="1" t="s">
        <v>27</v>
      </c>
      <c r="H688" s="1" t="n">
        <v>27.6</v>
      </c>
      <c r="I688" s="1" t="n">
        <v>271.8</v>
      </c>
      <c r="J688" s="1" t="n">
        <v>27.5</v>
      </c>
      <c r="K688" s="1"/>
      <c r="L688" s="1" t="n">
        <v>0</v>
      </c>
      <c r="M688" s="1" t="n">
        <v>0</v>
      </c>
      <c r="N688" s="1" t="s">
        <v>422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Z688" s="0" t="n">
        <f aca="false">I688+65</f>
        <v>336.8</v>
      </c>
      <c r="AB688" s="0" t="n">
        <f aca="false">IF(Z688&gt;360,Z688-360,Z688+0)</f>
        <v>336.8</v>
      </c>
    </row>
    <row r="689" customFormat="false" ht="15.8" hidden="false" customHeight="false" outlineLevel="0" collapsed="false">
      <c r="A689" s="1" t="n">
        <v>13</v>
      </c>
      <c r="B689" s="1" t="n">
        <v>6</v>
      </c>
      <c r="C689" s="1" t="n">
        <v>1.5</v>
      </c>
      <c r="D689" s="1" t="n">
        <v>1.0824</v>
      </c>
      <c r="E689" s="1" t="n">
        <v>0.0536096</v>
      </c>
      <c r="F689" s="1" t="n">
        <v>0.000154092</v>
      </c>
      <c r="G689" s="1" t="s">
        <v>37</v>
      </c>
      <c r="H689" s="1" t="n">
        <v>126.5</v>
      </c>
      <c r="I689" s="1" t="n">
        <v>273.8</v>
      </c>
      <c r="J689" s="1" t="n">
        <v>0</v>
      </c>
      <c r="K689" s="1" t="n">
        <v>77.7</v>
      </c>
      <c r="L689" s="1" t="n">
        <v>0</v>
      </c>
      <c r="M689" s="1" t="n">
        <v>0</v>
      </c>
      <c r="N689" s="1" t="s">
        <v>423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Z689" s="0" t="n">
        <f aca="false">I689+65</f>
        <v>338.8</v>
      </c>
      <c r="AB689" s="0" t="n">
        <f aca="false">IF(Z689&gt;360,Z689-360,Z689+0)</f>
        <v>338.8</v>
      </c>
    </row>
    <row r="690" customFormat="false" ht="15.8" hidden="false" customHeight="false" outlineLevel="0" collapsed="false">
      <c r="A690" s="1" t="n">
        <v>13</v>
      </c>
      <c r="B690" s="1" t="n">
        <v>7</v>
      </c>
      <c r="C690" s="1" t="n">
        <v>1.4</v>
      </c>
      <c r="D690" s="1" t="n">
        <v>1.958</v>
      </c>
      <c r="E690" s="1" t="n">
        <v>0.0510641</v>
      </c>
      <c r="F690" s="1" t="n">
        <v>0.000146775</v>
      </c>
      <c r="G690" s="1" t="s">
        <v>27</v>
      </c>
      <c r="H690" s="1" t="n">
        <v>87.5</v>
      </c>
      <c r="I690" s="1" t="n">
        <v>350.8</v>
      </c>
      <c r="J690" s="1" t="n">
        <v>0</v>
      </c>
      <c r="K690" s="1"/>
      <c r="L690" s="1" t="n">
        <v>0</v>
      </c>
      <c r="M690" s="1" t="n">
        <v>0</v>
      </c>
      <c r="N690" s="1" t="s">
        <v>424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Z690" s="0" t="n">
        <f aca="false">I690+65</f>
        <v>415.8</v>
      </c>
      <c r="AB690" s="0" t="n">
        <f aca="false">IF(Z690&gt;360,Z690-360,Z690+0)</f>
        <v>55.8</v>
      </c>
    </row>
    <row r="691" customFormat="false" ht="15.8" hidden="false" customHeight="false" outlineLevel="0" collapsed="false">
      <c r="A691" s="1" t="n">
        <v>13</v>
      </c>
      <c r="B691" s="1" t="n">
        <v>8</v>
      </c>
      <c r="C691" s="1" t="n">
        <v>3.7</v>
      </c>
      <c r="D691" s="1" t="n">
        <v>1.2889</v>
      </c>
      <c r="E691" s="1" t="n">
        <v>0.132317</v>
      </c>
      <c r="F691" s="1" t="n">
        <v>0.000380324</v>
      </c>
      <c r="G691" s="1" t="s">
        <v>27</v>
      </c>
      <c r="H691" s="1" t="n">
        <v>64.3</v>
      </c>
      <c r="I691" s="1" t="n">
        <v>65</v>
      </c>
      <c r="J691" s="1" t="n">
        <v>43.3</v>
      </c>
      <c r="K691" s="1"/>
      <c r="L691" s="1" t="n">
        <v>0</v>
      </c>
      <c r="M691" s="1" t="n">
        <v>0</v>
      </c>
      <c r="N691" s="1" t="s">
        <v>425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Z691" s="0" t="n">
        <f aca="false">I691+65</f>
        <v>130</v>
      </c>
      <c r="AB691" s="0" t="n">
        <f aca="false">IF(Z691&gt;360,Z691-360,Z691+0)</f>
        <v>130</v>
      </c>
    </row>
    <row r="692" customFormat="false" ht="15.8" hidden="false" customHeight="false" outlineLevel="0" collapsed="false">
      <c r="A692" s="1" t="n">
        <v>13</v>
      </c>
      <c r="B692" s="1" t="n">
        <v>8</v>
      </c>
      <c r="C692" s="1" t="n">
        <v>7.5</v>
      </c>
      <c r="D692" s="1" t="n">
        <v>1.5225</v>
      </c>
      <c r="E692" s="1" t="n">
        <v>0.271961</v>
      </c>
      <c r="F692" s="1" t="n">
        <v>0.000781706</v>
      </c>
      <c r="G692" s="1" t="s">
        <v>27</v>
      </c>
      <c r="H692" s="1" t="n">
        <v>23.7</v>
      </c>
      <c r="I692" s="1" t="n">
        <v>160.2</v>
      </c>
      <c r="J692" s="1" t="n">
        <v>39.1</v>
      </c>
      <c r="K692" s="1"/>
      <c r="L692" s="1" t="n">
        <v>0</v>
      </c>
      <c r="M692" s="1" t="n">
        <v>0</v>
      </c>
      <c r="N692" s="1" t="s">
        <v>425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Z692" s="0" t="n">
        <f aca="false">I692+65</f>
        <v>225.2</v>
      </c>
      <c r="AB692" s="0" t="n">
        <f aca="false">IF(Z692&gt;360,Z692-360,Z692+0)</f>
        <v>225.2</v>
      </c>
    </row>
    <row r="693" customFormat="false" ht="15.8" hidden="false" customHeight="false" outlineLevel="0" collapsed="false">
      <c r="A693" s="1" t="n">
        <v>13</v>
      </c>
      <c r="B693" s="1" t="n">
        <v>7</v>
      </c>
      <c r="C693" s="1" t="n">
        <v>4.5</v>
      </c>
      <c r="D693" s="1" t="n">
        <v>1.4686</v>
      </c>
      <c r="E693" s="1" t="n">
        <v>0.162194</v>
      </c>
      <c r="F693" s="1" t="n">
        <v>0.0004662</v>
      </c>
      <c r="G693" s="1" t="s">
        <v>37</v>
      </c>
      <c r="H693" s="1" t="n">
        <v>64.2</v>
      </c>
      <c r="I693" s="1" t="n">
        <v>140.3</v>
      </c>
      <c r="J693" s="1" t="n">
        <v>22.5</v>
      </c>
      <c r="K693" s="1" t="n">
        <v>64.3</v>
      </c>
      <c r="L693" s="1" t="n">
        <v>0</v>
      </c>
      <c r="M693" s="1" t="n">
        <v>0</v>
      </c>
      <c r="N693" s="1" t="s">
        <v>424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Z693" s="0" t="n">
        <f aca="false">I693+65</f>
        <v>205.3</v>
      </c>
      <c r="AB693" s="0" t="n">
        <f aca="false">IF(Z693&gt;360,Z693-360,Z693+0)</f>
        <v>205.3</v>
      </c>
    </row>
    <row r="694" customFormat="false" ht="15.8" hidden="false" customHeight="false" outlineLevel="0" collapsed="false">
      <c r="A694" s="1" t="n">
        <v>13</v>
      </c>
      <c r="B694" s="1" t="n">
        <v>6</v>
      </c>
      <c r="C694" s="1" t="n">
        <v>0.7</v>
      </c>
      <c r="D694" s="1" t="n">
        <v>1.0111</v>
      </c>
      <c r="E694" s="1" t="n">
        <v>0.027012</v>
      </c>
      <c r="F694" s="1" t="n">
        <v>7.76416E-005</v>
      </c>
      <c r="G694" s="1" t="s">
        <v>37</v>
      </c>
      <c r="H694" s="1" t="n">
        <v>67.6</v>
      </c>
      <c r="I694" s="1" t="n">
        <v>78.3</v>
      </c>
      <c r="J694" s="1" t="n">
        <v>0</v>
      </c>
      <c r="K694" s="1" t="n">
        <v>87.5</v>
      </c>
      <c r="L694" s="1" t="n">
        <v>0</v>
      </c>
      <c r="M694" s="1" t="n">
        <v>0</v>
      </c>
      <c r="N694" s="1" t="s">
        <v>423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Z694" s="0" t="n">
        <f aca="false">I694+65</f>
        <v>143.3</v>
      </c>
      <c r="AB694" s="0" t="n">
        <f aca="false">IF(Z694&gt;360,Z694-360,Z694+0)</f>
        <v>143.3</v>
      </c>
    </row>
    <row r="695" customFormat="false" ht="15.8" hidden="false" customHeight="false" outlineLevel="0" collapsed="false">
      <c r="A695" s="1" t="n">
        <v>13</v>
      </c>
      <c r="B695" s="1" t="n">
        <v>5</v>
      </c>
      <c r="C695" s="1" t="n">
        <v>4.2</v>
      </c>
      <c r="D695" s="1" t="n">
        <v>1.2623</v>
      </c>
      <c r="E695" s="1" t="n">
        <v>0.149912</v>
      </c>
      <c r="F695" s="1" t="n">
        <v>0.000430897</v>
      </c>
      <c r="G695" s="1" t="s">
        <v>37</v>
      </c>
      <c r="H695" s="1" t="n">
        <v>9.6</v>
      </c>
      <c r="I695" s="1" t="n">
        <v>144.3</v>
      </c>
      <c r="J695" s="1" t="n">
        <v>20.8</v>
      </c>
      <c r="K695" s="1" t="n">
        <v>126.5</v>
      </c>
      <c r="L695" s="1" t="n">
        <v>0</v>
      </c>
      <c r="M695" s="1" t="n">
        <v>0</v>
      </c>
      <c r="N695" s="1" t="s">
        <v>421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Z695" s="0" t="n">
        <f aca="false">I695+65</f>
        <v>209.3</v>
      </c>
      <c r="AB695" s="0" t="n">
        <f aca="false">IF(Z695&gt;360,Z695-360,Z695+0)</f>
        <v>209.3</v>
      </c>
    </row>
    <row r="696" customFormat="false" ht="15.8" hidden="false" customHeight="false" outlineLevel="0" collapsed="false">
      <c r="A696" s="1" t="n">
        <v>13</v>
      </c>
      <c r="B696" s="1" t="n">
        <v>4</v>
      </c>
      <c r="C696" s="1" t="n">
        <v>1.3</v>
      </c>
      <c r="D696" s="1" t="n">
        <v>1.1347</v>
      </c>
      <c r="E696" s="1" t="n">
        <v>0.0456761</v>
      </c>
      <c r="F696" s="1" t="n">
        <v>0.000131288</v>
      </c>
      <c r="G696" s="1" t="s">
        <v>37</v>
      </c>
      <c r="H696" s="1" t="n">
        <v>21</v>
      </c>
      <c r="I696" s="1" t="n">
        <v>154.6</v>
      </c>
      <c r="J696" s="1" t="n">
        <v>20.5</v>
      </c>
      <c r="K696" s="1" t="n">
        <v>44.4</v>
      </c>
      <c r="L696" s="1" t="n">
        <v>0</v>
      </c>
      <c r="M696" s="1" t="n">
        <v>0</v>
      </c>
      <c r="N696" s="1" t="s">
        <v>420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Z696" s="0" t="n">
        <f aca="false">I696+65</f>
        <v>219.6</v>
      </c>
      <c r="AB696" s="0" t="n">
        <f aca="false">IF(Z696&gt;360,Z696-360,Z696+0)</f>
        <v>219.6</v>
      </c>
    </row>
    <row r="697" customFormat="false" ht="15.8" hidden="false" customHeight="false" outlineLevel="0" collapsed="false">
      <c r="A697" s="1" t="n">
        <v>13</v>
      </c>
      <c r="B697" s="1" t="n">
        <v>4</v>
      </c>
      <c r="C697" s="1" t="n">
        <v>4.4</v>
      </c>
      <c r="D697" s="1" t="n">
        <v>1.2757</v>
      </c>
      <c r="E697" s="1" t="n">
        <v>0.158136</v>
      </c>
      <c r="F697" s="1" t="n">
        <v>0.000454534</v>
      </c>
      <c r="G697" s="1" t="s">
        <v>27</v>
      </c>
      <c r="H697" s="1" t="n">
        <v>149.6</v>
      </c>
      <c r="I697" s="1" t="n">
        <v>304.3</v>
      </c>
      <c r="J697" s="1" t="n">
        <v>-13.1</v>
      </c>
      <c r="K697" s="1"/>
      <c r="L697" s="1" t="n">
        <v>0</v>
      </c>
      <c r="M697" s="1" t="n">
        <v>0</v>
      </c>
      <c r="N697" s="1" t="s">
        <v>420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Z697" s="0" t="n">
        <f aca="false">I697+65</f>
        <v>369.3</v>
      </c>
      <c r="AB697" s="0" t="n">
        <f aca="false">IF(Z697&gt;360,Z697-360,Z697+0)</f>
        <v>9.30000000000001</v>
      </c>
    </row>
    <row r="698" customFormat="false" ht="15.8" hidden="false" customHeight="false" outlineLevel="0" collapsed="false">
      <c r="A698" s="1" t="n">
        <v>13</v>
      </c>
      <c r="B698" s="1" t="n">
        <v>3</v>
      </c>
      <c r="C698" s="1" t="n">
        <v>4</v>
      </c>
      <c r="D698" s="1" t="n">
        <v>1.2908</v>
      </c>
      <c r="E698" s="1" t="n">
        <v>0.0938842</v>
      </c>
      <c r="F698" s="1" t="n">
        <v>0.000193874</v>
      </c>
      <c r="G698" s="1" t="s">
        <v>37</v>
      </c>
      <c r="H698" s="1" t="n">
        <v>39</v>
      </c>
      <c r="I698" s="1" t="n">
        <v>142.7</v>
      </c>
      <c r="J698" s="1" t="n">
        <v>38.8</v>
      </c>
      <c r="K698" s="1" t="n">
        <v>149.6</v>
      </c>
      <c r="L698" s="1" t="n">
        <v>0</v>
      </c>
      <c r="M698" s="1" t="n">
        <v>0</v>
      </c>
      <c r="N698" s="1" t="s">
        <v>419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Z698" s="0" t="n">
        <f aca="false">I698+65</f>
        <v>207.7</v>
      </c>
      <c r="AB698" s="0" t="n">
        <f aca="false">IF(Z698&gt;360,Z698-360,Z698+0)</f>
        <v>207.7</v>
      </c>
    </row>
    <row r="699" customFormat="false" ht="15.8" hidden="false" customHeight="false" outlineLevel="0" collapsed="false">
      <c r="A699" s="1" t="n">
        <v>13</v>
      </c>
      <c r="B699" s="1" t="n">
        <v>2</v>
      </c>
      <c r="C699" s="1" t="n">
        <v>6.7</v>
      </c>
      <c r="D699" s="1" t="n">
        <v>1.1703</v>
      </c>
      <c r="E699" s="1" t="n">
        <v>0.19529</v>
      </c>
      <c r="F699" s="1" t="n">
        <v>0.000453302</v>
      </c>
      <c r="G699" s="1" t="s">
        <v>37</v>
      </c>
      <c r="H699" s="1" t="n">
        <v>22.7</v>
      </c>
      <c r="I699" s="1" t="n">
        <v>106.6</v>
      </c>
      <c r="J699" s="1" t="n">
        <v>15.8</v>
      </c>
      <c r="K699" s="1" t="n">
        <v>39</v>
      </c>
      <c r="L699" s="1" t="n">
        <v>0</v>
      </c>
      <c r="M699" s="1" t="n">
        <v>0</v>
      </c>
      <c r="N699" s="1" t="s">
        <v>415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Z699" s="0" t="n">
        <f aca="false">I699+65</f>
        <v>171.6</v>
      </c>
      <c r="AB699" s="0" t="n">
        <f aca="false">IF(Z699&gt;360,Z699-360,Z699+0)</f>
        <v>171.6</v>
      </c>
    </row>
    <row r="700" customFormat="false" ht="15.8" hidden="false" customHeight="false" outlineLevel="0" collapsed="false">
      <c r="A700" s="1" t="n">
        <v>13</v>
      </c>
      <c r="B700" s="1" t="n">
        <v>1</v>
      </c>
      <c r="C700" s="1" t="n">
        <v>5.7</v>
      </c>
      <c r="D700" s="1" t="n">
        <v>1.1262</v>
      </c>
      <c r="E700" s="1" t="n">
        <v>0.205481</v>
      </c>
      <c r="F700" s="1" t="n">
        <v>0.000590621</v>
      </c>
      <c r="G700" s="1" t="s">
        <v>37</v>
      </c>
      <c r="H700" s="1"/>
      <c r="I700" s="1" t="n">
        <v>123.1</v>
      </c>
      <c r="J700" s="1" t="n">
        <v>0</v>
      </c>
      <c r="K700" s="1" t="n">
        <v>88.1</v>
      </c>
      <c r="L700" s="1" t="n">
        <v>0</v>
      </c>
      <c r="M700" s="1" t="n">
        <v>0</v>
      </c>
      <c r="N700" s="1" t="s">
        <v>426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Z700" s="0" t="n">
        <f aca="false">I700+65</f>
        <v>188.1</v>
      </c>
      <c r="AB700" s="0" t="n">
        <f aca="false">IF(Z700&gt;360,Z700-360,Z700+0)</f>
        <v>188.1</v>
      </c>
    </row>
    <row r="701" customFormat="false" ht="15.8" hidden="false" customHeight="false" outlineLevel="0" collapsed="false">
      <c r="A701" s="1" t="n">
        <v>14</v>
      </c>
      <c r="B701" s="1" t="n">
        <v>3</v>
      </c>
      <c r="C701" s="1" t="n">
        <v>8.2</v>
      </c>
      <c r="D701" s="1" t="n">
        <v>1.4218</v>
      </c>
      <c r="E701" s="1" t="n">
        <v>0.297669</v>
      </c>
      <c r="F701" s="1" t="n">
        <v>0.000855599</v>
      </c>
      <c r="G701" s="1" t="s">
        <v>27</v>
      </c>
      <c r="H701" s="1" t="n">
        <v>58</v>
      </c>
      <c r="I701" s="1" t="n">
        <v>68.9</v>
      </c>
      <c r="J701" s="1" t="n">
        <v>7.7</v>
      </c>
      <c r="K701" s="1"/>
      <c r="L701" s="1" t="n">
        <v>0</v>
      </c>
      <c r="M701" s="1" t="n">
        <v>0</v>
      </c>
      <c r="N701" s="1" t="s">
        <v>427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Z701" s="0" t="n">
        <f aca="false">I701+65</f>
        <v>133.9</v>
      </c>
      <c r="AB701" s="0" t="n">
        <f aca="false">IF(Z701&gt;360,Z701-360,Z701+0)</f>
        <v>133.9</v>
      </c>
    </row>
    <row r="702" customFormat="false" ht="15.8" hidden="false" customHeight="false" outlineLevel="0" collapsed="false">
      <c r="A702" s="1" t="n">
        <v>14</v>
      </c>
      <c r="B702" s="1" t="n">
        <v>3</v>
      </c>
      <c r="C702" s="1" t="n">
        <v>5.7</v>
      </c>
      <c r="D702" s="1" t="n">
        <v>1.3215</v>
      </c>
      <c r="E702" s="1" t="n">
        <v>0.20753</v>
      </c>
      <c r="F702" s="1" t="n">
        <v>0.000596512</v>
      </c>
      <c r="G702" s="1" t="s">
        <v>27</v>
      </c>
      <c r="H702" s="1" t="n">
        <v>22.5</v>
      </c>
      <c r="I702" s="1" t="n">
        <v>143</v>
      </c>
      <c r="J702" s="1" t="n">
        <v>15.6</v>
      </c>
      <c r="K702" s="1"/>
      <c r="L702" s="1" t="n">
        <v>0</v>
      </c>
      <c r="M702" s="1" t="n">
        <v>0</v>
      </c>
      <c r="N702" s="1" t="s">
        <v>427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Z702" s="0" t="n">
        <f aca="false">I702+65</f>
        <v>208</v>
      </c>
      <c r="AB702" s="0" t="n">
        <f aca="false">IF(Z702&gt;360,Z702-360,Z702+0)</f>
        <v>208</v>
      </c>
    </row>
    <row r="703" customFormat="false" ht="15.8" hidden="false" customHeight="false" outlineLevel="0" collapsed="false">
      <c r="A703" s="1" t="n">
        <v>14</v>
      </c>
      <c r="B703" s="1" t="n">
        <v>2</v>
      </c>
      <c r="C703" s="1" t="n">
        <v>2.2</v>
      </c>
      <c r="D703" s="1" t="n">
        <v>1.0559</v>
      </c>
      <c r="E703" s="1" t="n">
        <v>0.0802476</v>
      </c>
      <c r="F703" s="1" t="n">
        <v>0.000230658</v>
      </c>
      <c r="G703" s="1" t="s">
        <v>37</v>
      </c>
      <c r="H703" s="1" t="n">
        <v>23.8</v>
      </c>
      <c r="I703" s="1" t="n">
        <v>126.6</v>
      </c>
      <c r="J703" s="1" t="n">
        <v>0</v>
      </c>
      <c r="K703" s="1" t="n">
        <v>58</v>
      </c>
      <c r="L703" s="1" t="n">
        <v>0</v>
      </c>
      <c r="M703" s="1" t="n">
        <v>0</v>
      </c>
      <c r="N703" s="1" t="s">
        <v>428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Z703" s="0" t="n">
        <f aca="false">I703+65</f>
        <v>191.6</v>
      </c>
      <c r="AB703" s="0" t="n">
        <f aca="false">IF(Z703&gt;360,Z703-360,Z703+0)</f>
        <v>191.6</v>
      </c>
    </row>
    <row r="704" customFormat="false" ht="15.8" hidden="false" customHeight="false" outlineLevel="0" collapsed="false">
      <c r="A704" s="1" t="n">
        <v>14</v>
      </c>
      <c r="B704" s="1" t="n">
        <v>2</v>
      </c>
      <c r="C704" s="1" t="n">
        <v>2.2</v>
      </c>
      <c r="D704" s="1" t="n">
        <v>1.3</v>
      </c>
      <c r="E704" s="1" t="n">
        <v>0.0788691</v>
      </c>
      <c r="F704" s="1" t="n">
        <v>0.000226696</v>
      </c>
      <c r="G704" s="1" t="s">
        <v>27</v>
      </c>
      <c r="H704" s="1" t="n">
        <v>130.5</v>
      </c>
      <c r="I704" s="1" t="n">
        <v>330.9</v>
      </c>
      <c r="J704" s="1" t="n">
        <v>-27.7</v>
      </c>
      <c r="K704" s="1"/>
      <c r="L704" s="1" t="n">
        <v>0</v>
      </c>
      <c r="M704" s="1" t="n">
        <v>0</v>
      </c>
      <c r="N704" s="1" t="s">
        <v>428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Z704" s="0" t="n">
        <f aca="false">I704+65</f>
        <v>395.9</v>
      </c>
      <c r="AB704" s="0" t="n">
        <f aca="false">IF(Z704&gt;360,Z704-360,Z704+0)</f>
        <v>35.9</v>
      </c>
    </row>
    <row r="705" customFormat="false" ht="15.8" hidden="false" customHeight="false" outlineLevel="0" collapsed="false">
      <c r="A705" s="1" t="n">
        <v>14</v>
      </c>
      <c r="B705" s="1" t="n">
        <v>3</v>
      </c>
      <c r="C705" s="1" t="n">
        <v>1.6</v>
      </c>
      <c r="D705" s="1" t="n">
        <v>1.2378</v>
      </c>
      <c r="E705" s="1" t="n">
        <v>0.059191</v>
      </c>
      <c r="F705" s="1" t="n">
        <v>0.000170135</v>
      </c>
      <c r="G705" s="1" t="s">
        <v>27</v>
      </c>
      <c r="H705" s="1" t="n">
        <v>36.5</v>
      </c>
      <c r="I705" s="1" t="n">
        <v>159.2</v>
      </c>
      <c r="J705" s="1" t="n">
        <v>36.1</v>
      </c>
      <c r="K705" s="1"/>
      <c r="L705" s="1" t="n">
        <v>0</v>
      </c>
      <c r="M705" s="1" t="n">
        <v>0</v>
      </c>
      <c r="N705" s="1" t="s">
        <v>429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Z705" s="0" t="n">
        <f aca="false">I705+65</f>
        <v>224.2</v>
      </c>
      <c r="AB705" s="0" t="n">
        <f aca="false">IF(Z705&gt;360,Z705-360,Z705+0)</f>
        <v>224.2</v>
      </c>
    </row>
    <row r="706" customFormat="false" ht="15.8" hidden="false" customHeight="false" outlineLevel="0" collapsed="false">
      <c r="A706" s="1" t="n">
        <v>14</v>
      </c>
      <c r="B706" s="1" t="n">
        <v>4</v>
      </c>
      <c r="C706" s="1" t="n">
        <v>0.9</v>
      </c>
      <c r="D706" s="1" t="n">
        <v>1.1933</v>
      </c>
      <c r="E706" s="1" t="n">
        <v>0.032251</v>
      </c>
      <c r="F706" s="1" t="n">
        <v>9.27003E-005</v>
      </c>
      <c r="G706" s="1" t="s">
        <v>27</v>
      </c>
      <c r="H706" s="1" t="n">
        <v>78.3</v>
      </c>
      <c r="I706" s="1" t="n">
        <v>166.5</v>
      </c>
      <c r="J706" s="1" t="n">
        <v>31.4</v>
      </c>
      <c r="K706" s="1"/>
      <c r="L706" s="1" t="n">
        <v>0</v>
      </c>
      <c r="M706" s="1" t="n">
        <v>0</v>
      </c>
      <c r="N706" s="1" t="s">
        <v>430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Z706" s="0" t="n">
        <f aca="false">I706+65</f>
        <v>231.5</v>
      </c>
      <c r="AB706" s="0" t="n">
        <f aca="false">IF(Z706&gt;360,Z706-360,Z706+0)</f>
        <v>231.5</v>
      </c>
    </row>
    <row r="707" customFormat="false" ht="15.8" hidden="false" customHeight="false" outlineLevel="0" collapsed="false">
      <c r="A707" s="1" t="n">
        <v>14</v>
      </c>
      <c r="B707" s="1" t="n">
        <v>4</v>
      </c>
      <c r="C707" s="1" t="n">
        <v>1.6</v>
      </c>
      <c r="D707" s="1" t="n">
        <v>1.1599</v>
      </c>
      <c r="E707" s="1" t="n">
        <v>0.0595794</v>
      </c>
      <c r="F707" s="1" t="n">
        <v>0.000171251</v>
      </c>
      <c r="G707" s="1" t="s">
        <v>27</v>
      </c>
      <c r="H707" s="1" t="n">
        <v>144</v>
      </c>
      <c r="I707" s="1" t="n">
        <v>277.2</v>
      </c>
      <c r="J707" s="1" t="n">
        <v>15.9</v>
      </c>
      <c r="K707" s="1"/>
      <c r="L707" s="1" t="n">
        <v>0</v>
      </c>
      <c r="M707" s="1" t="n">
        <v>0</v>
      </c>
      <c r="N707" s="1" t="s">
        <v>430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Z707" s="0" t="n">
        <f aca="false">I707+65</f>
        <v>342.2</v>
      </c>
      <c r="AB707" s="0" t="n">
        <f aca="false">IF(Z707&gt;360,Z707-360,Z707+0)</f>
        <v>342.2</v>
      </c>
    </row>
    <row r="708" customFormat="false" ht="15.8" hidden="false" customHeight="false" outlineLevel="0" collapsed="false">
      <c r="A708" s="1" t="n">
        <v>14</v>
      </c>
      <c r="B708" s="1" t="n">
        <v>5</v>
      </c>
      <c r="C708" s="1" t="n">
        <v>1.8</v>
      </c>
      <c r="D708" s="1" t="n">
        <v>1.3815</v>
      </c>
      <c r="E708" s="1" t="n">
        <v>0.0656943</v>
      </c>
      <c r="F708" s="1" t="n">
        <v>0.000188827</v>
      </c>
      <c r="G708" s="1" t="s">
        <v>27</v>
      </c>
      <c r="H708" s="1" t="n">
        <v>2.6</v>
      </c>
      <c r="I708" s="1" t="n">
        <v>85.3</v>
      </c>
      <c r="J708" s="1" t="n">
        <v>17.2</v>
      </c>
      <c r="K708" s="1"/>
      <c r="L708" s="1" t="n">
        <v>0</v>
      </c>
      <c r="M708" s="1" t="n">
        <v>0</v>
      </c>
      <c r="N708" s="1" t="s">
        <v>431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Z708" s="0" t="n">
        <f aca="false">I708+65</f>
        <v>150.3</v>
      </c>
      <c r="AB708" s="0" t="n">
        <f aca="false">IF(Z708&gt;360,Z708-360,Z708+0)</f>
        <v>150.3</v>
      </c>
    </row>
    <row r="709" customFormat="false" ht="15.8" hidden="false" customHeight="false" outlineLevel="0" collapsed="false">
      <c r="A709" s="1" t="n">
        <v>14</v>
      </c>
      <c r="B709" s="1" t="n">
        <v>7</v>
      </c>
      <c r="C709" s="1" t="n">
        <v>1.3</v>
      </c>
      <c r="D709" s="1" t="n">
        <v>1.3048</v>
      </c>
      <c r="E709" s="1" t="n">
        <v>0.0377116</v>
      </c>
      <c r="F709" s="1" t="n">
        <v>8.67165E-005</v>
      </c>
      <c r="G709" s="1" t="s">
        <v>27</v>
      </c>
      <c r="H709" s="1" t="n">
        <v>73.2</v>
      </c>
      <c r="I709" s="1" t="n">
        <v>280.2</v>
      </c>
      <c r="J709" s="1" t="n">
        <v>-51.2</v>
      </c>
      <c r="K709" s="1"/>
      <c r="L709" s="1" t="n">
        <v>0</v>
      </c>
      <c r="M709" s="1" t="n">
        <v>0</v>
      </c>
      <c r="N709" s="1" t="s">
        <v>432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Z709" s="0" t="n">
        <f aca="false">I709+65</f>
        <v>345.2</v>
      </c>
      <c r="AB709" s="0" t="n">
        <f aca="false">IF(Z709&gt;360,Z709-360,Z709+0)</f>
        <v>345.2</v>
      </c>
    </row>
    <row r="710" customFormat="false" ht="15.8" hidden="false" customHeight="false" outlineLevel="0" collapsed="false">
      <c r="A710" s="1" t="n">
        <v>14</v>
      </c>
      <c r="B710" s="1" t="n">
        <v>9</v>
      </c>
      <c r="C710" s="1" t="n">
        <v>4.6</v>
      </c>
      <c r="D710" s="1" t="n">
        <v>1.4689</v>
      </c>
      <c r="E710" s="1" t="n">
        <v>0.1339</v>
      </c>
      <c r="F710" s="1" t="n">
        <v>0.000307898</v>
      </c>
      <c r="G710" s="1" t="s">
        <v>27</v>
      </c>
      <c r="H710" s="1" t="n">
        <v>50.4</v>
      </c>
      <c r="I710" s="1" t="n">
        <v>333.3</v>
      </c>
      <c r="J710" s="1" t="n">
        <v>7.1</v>
      </c>
      <c r="K710" s="1"/>
      <c r="L710" s="1" t="n">
        <v>0</v>
      </c>
      <c r="M710" s="1" t="n">
        <v>0</v>
      </c>
      <c r="N710" s="1" t="s">
        <v>433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Z710" s="0" t="n">
        <f aca="false">I710+65</f>
        <v>398.3</v>
      </c>
      <c r="AB710" s="0" t="n">
        <f aca="false">IF(Z710&gt;360,Z710-360,Z710+0)</f>
        <v>38.3</v>
      </c>
    </row>
    <row r="711" customFormat="false" ht="15.8" hidden="false" customHeight="false" outlineLevel="0" collapsed="false">
      <c r="A711" s="1" t="n">
        <v>14</v>
      </c>
      <c r="B711" s="1" t="n">
        <v>10</v>
      </c>
      <c r="C711" s="1" t="n">
        <v>3.4</v>
      </c>
      <c r="D711" s="1" t="n">
        <v>1.1897</v>
      </c>
      <c r="E711" s="1" t="n">
        <v>0.0995111</v>
      </c>
      <c r="F711" s="1" t="n">
        <v>0.000228823</v>
      </c>
      <c r="G711" s="1" t="s">
        <v>27</v>
      </c>
      <c r="H711" s="1" t="n">
        <v>34.7</v>
      </c>
      <c r="I711" s="1" t="n">
        <v>358.9</v>
      </c>
      <c r="J711" s="1" t="n">
        <v>15.6</v>
      </c>
      <c r="K711" s="1"/>
      <c r="L711" s="1" t="n">
        <v>0</v>
      </c>
      <c r="M711" s="1" t="n">
        <v>0</v>
      </c>
      <c r="N711" s="1" t="s">
        <v>434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Z711" s="0" t="n">
        <f aca="false">I711+65</f>
        <v>423.9</v>
      </c>
      <c r="AB711" s="0" t="n">
        <f aca="false">IF(Z711&gt;360,Z711-360,Z711+0)</f>
        <v>63.9</v>
      </c>
    </row>
    <row r="712" customFormat="false" ht="15.8" hidden="false" customHeight="false" outlineLevel="0" collapsed="false">
      <c r="A712" s="1" t="n">
        <v>14</v>
      </c>
      <c r="B712" s="1" t="n">
        <v>10</v>
      </c>
      <c r="C712" s="1" t="n">
        <v>0.7</v>
      </c>
      <c r="D712" s="1" t="n">
        <v>1.1972</v>
      </c>
      <c r="E712" s="1" t="n">
        <v>0.0200273</v>
      </c>
      <c r="F712" s="1" t="n">
        <v>4.6052E-005</v>
      </c>
      <c r="G712" s="1" t="s">
        <v>27</v>
      </c>
      <c r="H712" s="1" t="n">
        <v>84.8</v>
      </c>
      <c r="I712" s="1" t="n">
        <v>244.5</v>
      </c>
      <c r="J712" s="1" t="n">
        <v>-42.3</v>
      </c>
      <c r="K712" s="1"/>
      <c r="L712" s="1" t="n">
        <v>0</v>
      </c>
      <c r="M712" s="1" t="n">
        <v>0</v>
      </c>
      <c r="N712" s="1" t="s">
        <v>434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Z712" s="0" t="n">
        <f aca="false">I712+65</f>
        <v>309.5</v>
      </c>
      <c r="AB712" s="0" t="n">
        <f aca="false">IF(Z712&gt;360,Z712-360,Z712+0)</f>
        <v>309.5</v>
      </c>
    </row>
    <row r="713" customFormat="false" ht="15.8" hidden="false" customHeight="false" outlineLevel="0" collapsed="false">
      <c r="A713" s="1" t="n">
        <v>14</v>
      </c>
      <c r="B713" s="1" t="n">
        <v>9</v>
      </c>
      <c r="C713" s="1" t="n">
        <v>1.2</v>
      </c>
      <c r="D713" s="1" t="n">
        <v>1.013</v>
      </c>
      <c r="E713" s="1" t="n">
        <v>0.0360737</v>
      </c>
      <c r="F713" s="1" t="n">
        <v>8.29503E-005</v>
      </c>
      <c r="G713" s="1" t="s">
        <v>37</v>
      </c>
      <c r="H713" s="1" t="n">
        <v>53.1</v>
      </c>
      <c r="I713" s="1" t="n">
        <v>327.5</v>
      </c>
      <c r="J713" s="1" t="n">
        <v>0</v>
      </c>
      <c r="K713" s="1" t="n">
        <v>84.8</v>
      </c>
      <c r="L713" s="1" t="n">
        <v>0</v>
      </c>
      <c r="M713" s="1" t="n">
        <v>0</v>
      </c>
      <c r="N713" s="1" t="s">
        <v>433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Z713" s="0" t="n">
        <f aca="false">I713+65</f>
        <v>392.5</v>
      </c>
      <c r="AB713" s="0" t="n">
        <f aca="false">IF(Z713&gt;360,Z713-360,Z713+0)</f>
        <v>32.5</v>
      </c>
    </row>
    <row r="714" customFormat="false" ht="15.8" hidden="false" customHeight="false" outlineLevel="0" collapsed="false">
      <c r="A714" s="1" t="n">
        <v>14</v>
      </c>
      <c r="B714" s="1" t="n">
        <v>9</v>
      </c>
      <c r="C714" s="1" t="n">
        <v>2.8</v>
      </c>
      <c r="D714" s="1" t="n">
        <v>1.1245</v>
      </c>
      <c r="E714" s="1" t="n">
        <v>0.0817209</v>
      </c>
      <c r="F714" s="1" t="n">
        <v>0.000187915</v>
      </c>
      <c r="G714" s="1" t="s">
        <v>27</v>
      </c>
      <c r="H714" s="1" t="n">
        <v>80.8</v>
      </c>
      <c r="I714" s="1" t="n">
        <v>296.4</v>
      </c>
      <c r="J714" s="1" t="n">
        <v>-8.9</v>
      </c>
      <c r="K714" s="1"/>
      <c r="L714" s="1" t="n">
        <v>0</v>
      </c>
      <c r="M714" s="1" t="n">
        <v>0</v>
      </c>
      <c r="N714" s="1" t="s">
        <v>433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Z714" s="0" t="n">
        <f aca="false">I714+65</f>
        <v>361.4</v>
      </c>
      <c r="AB714" s="0" t="n">
        <f aca="false">IF(Z714&gt;360,Z714-360,Z714+0)</f>
        <v>1.39999999999998</v>
      </c>
    </row>
    <row r="715" customFormat="false" ht="15.8" hidden="false" customHeight="false" outlineLevel="0" collapsed="false">
      <c r="A715" s="1" t="n">
        <v>14</v>
      </c>
      <c r="B715" s="1" t="n">
        <v>8</v>
      </c>
      <c r="C715" s="1" t="n">
        <v>4.6</v>
      </c>
      <c r="D715" s="1" t="n">
        <v>1.4953</v>
      </c>
      <c r="E715" s="1" t="n">
        <v>0.133895</v>
      </c>
      <c r="F715" s="1" t="n">
        <v>0.000307888</v>
      </c>
      <c r="G715" s="1" t="s">
        <v>37</v>
      </c>
      <c r="H715" s="1" t="n">
        <v>34.3</v>
      </c>
      <c r="I715" s="1" t="n">
        <v>19.2</v>
      </c>
      <c r="J715" s="1" t="n">
        <v>-14.6</v>
      </c>
      <c r="K715" s="1" t="n">
        <v>80.8</v>
      </c>
      <c r="L715" s="1" t="n">
        <v>0</v>
      </c>
      <c r="M715" s="1" t="n">
        <v>0</v>
      </c>
      <c r="N715" s="1" t="s">
        <v>435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Z715" s="0" t="n">
        <f aca="false">I715+65</f>
        <v>84.2</v>
      </c>
      <c r="AB715" s="0" t="n">
        <f aca="false">IF(Z715&gt;360,Z715-360,Z715+0)</f>
        <v>84.2</v>
      </c>
    </row>
    <row r="716" customFormat="false" ht="15.8" hidden="false" customHeight="false" outlineLevel="0" collapsed="false">
      <c r="A716" s="1" t="n">
        <v>14</v>
      </c>
      <c r="B716" s="1" t="n">
        <v>9</v>
      </c>
      <c r="C716" s="1" t="n">
        <v>2.2</v>
      </c>
      <c r="D716" s="1" t="n">
        <v>1.2813</v>
      </c>
      <c r="E716" s="1" t="n">
        <v>0.0628114</v>
      </c>
      <c r="F716" s="1" t="n">
        <v>0.000144433</v>
      </c>
      <c r="G716" s="1" t="s">
        <v>27</v>
      </c>
      <c r="H716" s="1" t="n">
        <v>96.1</v>
      </c>
      <c r="I716" s="1" t="n">
        <v>354.4</v>
      </c>
      <c r="J716" s="1" t="n">
        <v>-27.4</v>
      </c>
      <c r="K716" s="1"/>
      <c r="L716" s="1" t="n">
        <v>0</v>
      </c>
      <c r="M716" s="1" t="n">
        <v>0</v>
      </c>
      <c r="N716" s="1" t="s">
        <v>436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Z716" s="0" t="n">
        <f aca="false">I716+65</f>
        <v>419.4</v>
      </c>
      <c r="AB716" s="0" t="n">
        <f aca="false">IF(Z716&gt;360,Z716-360,Z716+0)</f>
        <v>59.4</v>
      </c>
    </row>
    <row r="717" customFormat="false" ht="15.8" hidden="false" customHeight="false" outlineLevel="0" collapsed="false">
      <c r="A717" s="1" t="n">
        <v>14</v>
      </c>
      <c r="B717" s="1" t="n">
        <v>9</v>
      </c>
      <c r="C717" s="1" t="n">
        <v>1.2</v>
      </c>
      <c r="D717" s="1" t="n">
        <v>1.0334</v>
      </c>
      <c r="E717" s="1" t="n">
        <v>0.033598</v>
      </c>
      <c r="F717" s="1" t="n">
        <v>7.72575E-005</v>
      </c>
      <c r="G717" s="1" t="s">
        <v>27</v>
      </c>
      <c r="H717" s="1" t="n">
        <v>110.1</v>
      </c>
      <c r="I717" s="1" t="n">
        <v>171.5</v>
      </c>
      <c r="J717" s="1" t="n">
        <v>0</v>
      </c>
      <c r="K717" s="1"/>
      <c r="L717" s="1" t="n">
        <v>0</v>
      </c>
      <c r="M717" s="1" t="n">
        <v>0</v>
      </c>
      <c r="N717" s="1" t="s">
        <v>436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Z717" s="0" t="n">
        <f aca="false">I717+65</f>
        <v>236.5</v>
      </c>
      <c r="AB717" s="0" t="n">
        <f aca="false">IF(Z717&gt;360,Z717-360,Z717+0)</f>
        <v>236.5</v>
      </c>
    </row>
    <row r="718" customFormat="false" ht="15.8" hidden="false" customHeight="false" outlineLevel="0" collapsed="false">
      <c r="A718" s="1" t="n">
        <v>14</v>
      </c>
      <c r="B718" s="1" t="n">
        <v>8</v>
      </c>
      <c r="C718" s="1" t="n">
        <v>4.2</v>
      </c>
      <c r="D718" s="1" t="n">
        <v>1.3099</v>
      </c>
      <c r="E718" s="1" t="n">
        <v>0.121005</v>
      </c>
      <c r="F718" s="1" t="n">
        <v>0.000278247</v>
      </c>
      <c r="G718" s="1" t="s">
        <v>37</v>
      </c>
      <c r="H718" s="1" t="n">
        <v>64.9</v>
      </c>
      <c r="I718" s="1" t="n">
        <v>302.8</v>
      </c>
      <c r="J718" s="1" t="n">
        <v>58.6</v>
      </c>
      <c r="K718" s="1" t="n">
        <v>110.1</v>
      </c>
      <c r="L718" s="1" t="n">
        <v>0</v>
      </c>
      <c r="M718" s="1" t="n">
        <v>0</v>
      </c>
      <c r="N718" s="1" t="s">
        <v>435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Z718" s="0" t="n">
        <f aca="false">I718+65</f>
        <v>367.8</v>
      </c>
      <c r="AB718" s="0" t="n">
        <f aca="false">IF(Z718&gt;360,Z718-360,Z718+0)</f>
        <v>7.80000000000001</v>
      </c>
    </row>
    <row r="719" customFormat="false" ht="15.8" hidden="false" customHeight="false" outlineLevel="0" collapsed="false">
      <c r="A719" s="1" t="n">
        <v>14</v>
      </c>
      <c r="B719" s="1" t="n">
        <v>7</v>
      </c>
      <c r="C719" s="1" t="n">
        <v>5.9</v>
      </c>
      <c r="D719" s="1" t="n">
        <v>1.4126</v>
      </c>
      <c r="E719" s="1" t="n">
        <v>0.171037</v>
      </c>
      <c r="F719" s="1" t="n">
        <v>0.000393294</v>
      </c>
      <c r="G719" s="1" t="s">
        <v>37</v>
      </c>
      <c r="H719" s="1" t="n">
        <v>25</v>
      </c>
      <c r="I719" s="1" t="n">
        <v>351</v>
      </c>
      <c r="J719" s="1" t="n">
        <v>5.3</v>
      </c>
      <c r="K719" s="1" t="n">
        <v>64.9</v>
      </c>
      <c r="L719" s="1" t="n">
        <v>0</v>
      </c>
      <c r="M719" s="1" t="n">
        <v>0</v>
      </c>
      <c r="N719" s="1" t="s">
        <v>432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Z719" s="0" t="n">
        <f aca="false">I719+65</f>
        <v>416</v>
      </c>
      <c r="AB719" s="0" t="n">
        <f aca="false">IF(Z719&gt;360,Z719-360,Z719+0)</f>
        <v>56</v>
      </c>
    </row>
    <row r="720" customFormat="false" ht="15.8" hidden="false" customHeight="false" outlineLevel="0" collapsed="false">
      <c r="A720" s="1" t="n">
        <v>14</v>
      </c>
      <c r="B720" s="1" t="n">
        <v>8</v>
      </c>
      <c r="C720" s="1" t="n">
        <v>4.4</v>
      </c>
      <c r="D720" s="1" t="n">
        <v>1.3091</v>
      </c>
      <c r="E720" s="1" t="n">
        <v>0.157923</v>
      </c>
      <c r="F720" s="1" t="n">
        <v>0.000453924</v>
      </c>
      <c r="G720" s="1" t="s">
        <v>27</v>
      </c>
      <c r="H720" s="1" t="n">
        <v>75.8</v>
      </c>
      <c r="I720" s="1" t="n">
        <v>3.2</v>
      </c>
      <c r="J720" s="1" t="n">
        <v>-13.5</v>
      </c>
      <c r="K720" s="1"/>
      <c r="L720" s="1" t="n">
        <v>0</v>
      </c>
      <c r="M720" s="1" t="n">
        <v>0</v>
      </c>
      <c r="N720" s="1" t="s">
        <v>437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Z720" s="0" t="n">
        <f aca="false">I720+65</f>
        <v>68.2</v>
      </c>
      <c r="AB720" s="0" t="n">
        <f aca="false">IF(Z720&gt;360,Z720-360,Z720+0)</f>
        <v>68.2</v>
      </c>
    </row>
    <row r="721" customFormat="false" ht="15.8" hidden="false" customHeight="false" outlineLevel="0" collapsed="false">
      <c r="A721" s="1" t="n">
        <v>14</v>
      </c>
      <c r="B721" s="1" t="n">
        <v>9</v>
      </c>
      <c r="C721" s="1" t="n">
        <v>3.4</v>
      </c>
      <c r="D721" s="1" t="n">
        <v>1.0997</v>
      </c>
      <c r="E721" s="1" t="n">
        <v>0.121077</v>
      </c>
      <c r="F721" s="1" t="n">
        <v>0.000348017</v>
      </c>
      <c r="G721" s="1" t="s">
        <v>27</v>
      </c>
      <c r="H721" s="1" t="n">
        <v>33.3</v>
      </c>
      <c r="I721" s="1" t="n">
        <v>178.3</v>
      </c>
      <c r="J721" s="1" t="n">
        <v>0</v>
      </c>
      <c r="K721" s="1"/>
      <c r="L721" s="1" t="n">
        <v>0</v>
      </c>
      <c r="M721" s="1" t="n">
        <v>0</v>
      </c>
      <c r="N721" s="1" t="s">
        <v>438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Z721" s="0" t="n">
        <f aca="false">I721+65</f>
        <v>243.3</v>
      </c>
      <c r="AB721" s="0" t="n">
        <f aca="false">IF(Z721&gt;360,Z721-360,Z721+0)</f>
        <v>243.3</v>
      </c>
    </row>
    <row r="722" customFormat="false" ht="15.8" hidden="false" customHeight="false" outlineLevel="0" collapsed="false">
      <c r="A722" s="1" t="n">
        <v>14</v>
      </c>
      <c r="B722" s="1" t="n">
        <v>9</v>
      </c>
      <c r="C722" s="1" t="n">
        <v>2</v>
      </c>
      <c r="D722" s="1" t="n">
        <v>1.2088</v>
      </c>
      <c r="E722" s="1" t="n">
        <v>0.0714412</v>
      </c>
      <c r="F722" s="1" t="n">
        <v>0.000205346</v>
      </c>
      <c r="G722" s="1" t="s">
        <v>27</v>
      </c>
      <c r="H722" s="1" t="n">
        <v>27.5</v>
      </c>
      <c r="I722" s="1" t="n">
        <v>124.6</v>
      </c>
      <c r="J722" s="1" t="n">
        <v>-28.5</v>
      </c>
      <c r="K722" s="1"/>
      <c r="L722" s="1" t="n">
        <v>0</v>
      </c>
      <c r="M722" s="1" t="n">
        <v>0</v>
      </c>
      <c r="N722" s="1" t="s">
        <v>438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Z722" s="0" t="n">
        <f aca="false">I722+65</f>
        <v>189.6</v>
      </c>
      <c r="AB722" s="0" t="n">
        <f aca="false">IF(Z722&gt;360,Z722-360,Z722+0)</f>
        <v>189.6</v>
      </c>
    </row>
    <row r="723" customFormat="false" ht="15.8" hidden="false" customHeight="false" outlineLevel="0" collapsed="false">
      <c r="A723" s="1" t="n">
        <v>14</v>
      </c>
      <c r="B723" s="1" t="n">
        <v>10</v>
      </c>
      <c r="C723" s="1" t="n">
        <v>1.2</v>
      </c>
      <c r="D723" s="1" t="n">
        <v>1.9058</v>
      </c>
      <c r="E723" s="1" t="n">
        <v>0.044815</v>
      </c>
      <c r="F723" s="1" t="n">
        <v>0.000128813</v>
      </c>
      <c r="G723" s="1" t="s">
        <v>27</v>
      </c>
      <c r="H723" s="1" t="n">
        <v>90.5</v>
      </c>
      <c r="I723" s="1" t="n">
        <v>138.6</v>
      </c>
      <c r="J723" s="1" t="n">
        <v>36.8</v>
      </c>
      <c r="K723" s="1"/>
      <c r="L723" s="1" t="n">
        <v>0</v>
      </c>
      <c r="M723" s="1" t="n">
        <v>0</v>
      </c>
      <c r="N723" s="1" t="s">
        <v>439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Z723" s="0" t="n">
        <f aca="false">I723+65</f>
        <v>203.6</v>
      </c>
      <c r="AB723" s="0" t="n">
        <f aca="false">IF(Z723&gt;360,Z723-360,Z723+0)</f>
        <v>203.6</v>
      </c>
    </row>
    <row r="724" customFormat="false" ht="15.8" hidden="false" customHeight="false" outlineLevel="0" collapsed="false">
      <c r="A724" s="1" t="n">
        <v>14</v>
      </c>
      <c r="B724" s="1" t="n">
        <v>10</v>
      </c>
      <c r="C724" s="1" t="n">
        <v>1.1</v>
      </c>
      <c r="D724" s="1" t="n">
        <v>1.141</v>
      </c>
      <c r="E724" s="1" t="n">
        <v>0.0396853</v>
      </c>
      <c r="F724" s="1" t="n">
        <v>0.000114069</v>
      </c>
      <c r="G724" s="1" t="s">
        <v>27</v>
      </c>
      <c r="H724" s="1" t="n">
        <v>32.4</v>
      </c>
      <c r="I724" s="1" t="n">
        <v>40.8</v>
      </c>
      <c r="J724" s="1" t="n">
        <v>-23.9</v>
      </c>
      <c r="K724" s="1"/>
      <c r="L724" s="1" t="n">
        <v>0</v>
      </c>
      <c r="M724" s="1" t="n">
        <v>0</v>
      </c>
      <c r="N724" s="1" t="s">
        <v>439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Z724" s="0" t="n">
        <f aca="false">I724+65</f>
        <v>105.8</v>
      </c>
      <c r="AB724" s="0" t="n">
        <f aca="false">IF(Z724&gt;360,Z724-360,Z724+0)</f>
        <v>105.8</v>
      </c>
    </row>
    <row r="725" customFormat="false" ht="15.8" hidden="false" customHeight="false" outlineLevel="0" collapsed="false">
      <c r="A725" s="1" t="n">
        <v>14</v>
      </c>
      <c r="B725" s="1" t="n">
        <v>9</v>
      </c>
      <c r="C725" s="1" t="n">
        <v>1.9</v>
      </c>
      <c r="D725" s="1" t="n">
        <v>1.2843</v>
      </c>
      <c r="E725" s="1" t="n">
        <v>0.0671171</v>
      </c>
      <c r="F725" s="1" t="n">
        <v>0.000192917</v>
      </c>
      <c r="G725" s="1" t="s">
        <v>37</v>
      </c>
      <c r="H725" s="1" t="n">
        <v>68.1</v>
      </c>
      <c r="I725" s="1" t="n">
        <v>76.4</v>
      </c>
      <c r="J725" s="1" t="n">
        <v>-32.6</v>
      </c>
      <c r="K725" s="1" t="n">
        <v>90.5</v>
      </c>
      <c r="L725" s="1" t="n">
        <v>0</v>
      </c>
      <c r="M725" s="1" t="n">
        <v>0</v>
      </c>
      <c r="N725" s="1" t="s">
        <v>438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Z725" s="0" t="n">
        <f aca="false">I725+65</f>
        <v>141.4</v>
      </c>
      <c r="AB725" s="0" t="n">
        <f aca="false">IF(Z725&gt;360,Z725-360,Z725+0)</f>
        <v>141.4</v>
      </c>
    </row>
    <row r="726" customFormat="false" ht="15.8" hidden="false" customHeight="false" outlineLevel="0" collapsed="false">
      <c r="A726" s="1" t="n">
        <v>14</v>
      </c>
      <c r="B726" s="1" t="n">
        <v>8</v>
      </c>
      <c r="C726" s="1" t="n">
        <v>1.1</v>
      </c>
      <c r="D726" s="1" t="n">
        <v>1.1629</v>
      </c>
      <c r="E726" s="1" t="n">
        <v>0.0392351</v>
      </c>
      <c r="F726" s="1" t="n">
        <v>0.000112775</v>
      </c>
      <c r="G726" s="1" t="s">
        <v>37</v>
      </c>
      <c r="H726" s="1" t="n">
        <v>60.8</v>
      </c>
      <c r="I726" s="1" t="n">
        <v>155.2</v>
      </c>
      <c r="J726" s="1" t="n">
        <v>-24.7</v>
      </c>
      <c r="K726" s="1" t="n">
        <v>68.1</v>
      </c>
      <c r="L726" s="1" t="n">
        <v>0</v>
      </c>
      <c r="M726" s="1" t="n">
        <v>0</v>
      </c>
      <c r="N726" s="1" t="s">
        <v>437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Z726" s="0" t="n">
        <f aca="false">I726+65</f>
        <v>220.2</v>
      </c>
      <c r="AB726" s="0" t="n">
        <f aca="false">IF(Z726&gt;360,Z726-360,Z726+0)</f>
        <v>220.2</v>
      </c>
    </row>
    <row r="727" customFormat="false" ht="15.8" hidden="false" customHeight="false" outlineLevel="0" collapsed="false">
      <c r="A727" s="1" t="n">
        <v>14</v>
      </c>
      <c r="B727" s="1" t="n">
        <v>7</v>
      </c>
      <c r="C727" s="1" t="n">
        <v>0.8</v>
      </c>
      <c r="D727" s="1" t="n">
        <v>1.0016</v>
      </c>
      <c r="E727" s="1" t="n">
        <v>0.0275162</v>
      </c>
      <c r="F727" s="1" t="n">
        <v>7.54622E-005</v>
      </c>
      <c r="G727" s="1" t="s">
        <v>37</v>
      </c>
      <c r="H727" s="1" t="n">
        <v>72.9</v>
      </c>
      <c r="I727" s="1" t="n">
        <v>88.5</v>
      </c>
      <c r="J727" s="1" t="n">
        <v>-76.9</v>
      </c>
      <c r="K727" s="1" t="n">
        <v>75.8</v>
      </c>
      <c r="L727" s="1" t="n">
        <v>0</v>
      </c>
      <c r="M727" s="1" t="n">
        <v>0</v>
      </c>
      <c r="N727" s="1" t="s">
        <v>432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Z727" s="0" t="n">
        <f aca="false">I727+65</f>
        <v>153.5</v>
      </c>
      <c r="AB727" s="0" t="n">
        <f aca="false">IF(Z727&gt;360,Z727-360,Z727+0)</f>
        <v>153.5</v>
      </c>
    </row>
    <row r="728" customFormat="false" ht="15.8" hidden="false" customHeight="false" outlineLevel="0" collapsed="false">
      <c r="A728" s="1" t="n">
        <v>14</v>
      </c>
      <c r="B728" s="1" t="n">
        <v>6</v>
      </c>
      <c r="C728" s="1" t="n">
        <v>1.7</v>
      </c>
      <c r="D728" s="1" t="n">
        <v>1.2512</v>
      </c>
      <c r="E728" s="1" t="n">
        <v>0.0500109</v>
      </c>
      <c r="F728" s="1" t="n">
        <v>0.000114999</v>
      </c>
      <c r="G728" s="1" t="s">
        <v>37</v>
      </c>
      <c r="H728" s="1" t="n">
        <v>34.3</v>
      </c>
      <c r="I728" s="1" t="n">
        <v>3.6</v>
      </c>
      <c r="J728" s="1" t="n">
        <v>-16.4</v>
      </c>
      <c r="K728" s="1" t="n">
        <v>73.2</v>
      </c>
      <c r="L728" s="1" t="n">
        <v>0</v>
      </c>
      <c r="M728" s="1" t="n">
        <v>0</v>
      </c>
      <c r="N728" s="1" t="s">
        <v>440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Z728" s="0" t="n">
        <f aca="false">I728+65</f>
        <v>68.6</v>
      </c>
      <c r="AB728" s="0" t="n">
        <f aca="false">IF(Z728&gt;360,Z728-360,Z728+0)</f>
        <v>68.6</v>
      </c>
    </row>
    <row r="729" customFormat="false" ht="15.8" hidden="false" customHeight="false" outlineLevel="0" collapsed="false">
      <c r="A729" s="1" t="n">
        <v>14</v>
      </c>
      <c r="B729" s="1" t="n">
        <v>7</v>
      </c>
      <c r="C729" s="1" t="n">
        <v>3.1</v>
      </c>
      <c r="D729" s="1" t="n">
        <v>1.2134</v>
      </c>
      <c r="E729" s="1" t="n">
        <v>0.0893848</v>
      </c>
      <c r="F729" s="1" t="n">
        <v>0.000205537</v>
      </c>
      <c r="G729" s="1" t="s">
        <v>27</v>
      </c>
      <c r="H729" s="1" t="n">
        <v>90.5</v>
      </c>
      <c r="I729" s="1" t="n">
        <v>338.2</v>
      </c>
      <c r="J729" s="1" t="n">
        <v>17.8</v>
      </c>
      <c r="K729" s="1"/>
      <c r="L729" s="1" t="n">
        <v>0</v>
      </c>
      <c r="M729" s="1" t="n">
        <v>0</v>
      </c>
      <c r="N729" s="1" t="s">
        <v>441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Z729" s="0" t="n">
        <f aca="false">I729+65</f>
        <v>403.2</v>
      </c>
      <c r="AB729" s="0" t="n">
        <f aca="false">IF(Z729&gt;360,Z729-360,Z729+0)</f>
        <v>43.2</v>
      </c>
    </row>
    <row r="730" customFormat="false" ht="15.8" hidden="false" customHeight="false" outlineLevel="0" collapsed="false">
      <c r="A730" s="1" t="n">
        <v>14</v>
      </c>
      <c r="B730" s="1" t="n">
        <v>8</v>
      </c>
      <c r="C730" s="1" t="n">
        <v>1.9</v>
      </c>
      <c r="D730" s="1" t="n">
        <v>1.2098</v>
      </c>
      <c r="E730" s="1" t="n">
        <v>0.0538462</v>
      </c>
      <c r="F730" s="1" t="n">
        <v>0.000123818</v>
      </c>
      <c r="G730" s="1" t="s">
        <v>27</v>
      </c>
      <c r="H730" s="1" t="n">
        <v>39.1</v>
      </c>
      <c r="I730" s="1" t="n">
        <v>180.4</v>
      </c>
      <c r="J730" s="1" t="n">
        <v>-14.7</v>
      </c>
      <c r="K730" s="1"/>
      <c r="L730" s="1" t="n">
        <v>0</v>
      </c>
      <c r="M730" s="1" t="n">
        <v>0</v>
      </c>
      <c r="N730" s="1" t="s">
        <v>442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Z730" s="0" t="n">
        <f aca="false">I730+65</f>
        <v>245.4</v>
      </c>
      <c r="AB730" s="0" t="n">
        <f aca="false">IF(Z730&gt;360,Z730-360,Z730+0)</f>
        <v>245.4</v>
      </c>
    </row>
    <row r="731" customFormat="false" ht="15.8" hidden="false" customHeight="false" outlineLevel="0" collapsed="false">
      <c r="A731" s="1" t="n">
        <v>14</v>
      </c>
      <c r="B731" s="1" t="n">
        <v>8</v>
      </c>
      <c r="C731" s="1" t="n">
        <v>3.7</v>
      </c>
      <c r="D731" s="1" t="n">
        <v>1.4174</v>
      </c>
      <c r="E731" s="1" t="n">
        <v>0.106819</v>
      </c>
      <c r="F731" s="1" t="n">
        <v>0.000245628</v>
      </c>
      <c r="G731" s="1" t="s">
        <v>27</v>
      </c>
      <c r="H731" s="1" t="n">
        <v>17.4</v>
      </c>
      <c r="I731" s="1" t="n">
        <v>138.3</v>
      </c>
      <c r="J731" s="1" t="n">
        <v>17.4</v>
      </c>
      <c r="K731" s="1"/>
      <c r="L731" s="1" t="n">
        <v>0</v>
      </c>
      <c r="M731" s="1" t="n">
        <v>0</v>
      </c>
      <c r="N731" s="1" t="s">
        <v>442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Z731" s="0" t="n">
        <f aca="false">I731+65</f>
        <v>203.3</v>
      </c>
      <c r="AB731" s="0" t="n">
        <f aca="false">IF(Z731&gt;360,Z731-360,Z731+0)</f>
        <v>203.3</v>
      </c>
    </row>
    <row r="732" customFormat="false" ht="15.8" hidden="false" customHeight="false" outlineLevel="0" collapsed="false">
      <c r="A732" s="1" t="n">
        <v>14</v>
      </c>
      <c r="B732" s="1" t="n">
        <v>7</v>
      </c>
      <c r="C732" s="1" t="n">
        <v>3.8</v>
      </c>
      <c r="D732" s="1" t="n">
        <v>1.3836</v>
      </c>
      <c r="E732" s="1" t="n">
        <v>0.109599</v>
      </c>
      <c r="F732" s="1" t="n">
        <v>0.000252018</v>
      </c>
      <c r="G732" s="1" t="s">
        <v>37</v>
      </c>
      <c r="H732" s="1" t="n">
        <v>79.5</v>
      </c>
      <c r="I732" s="1" t="n">
        <v>156.5</v>
      </c>
      <c r="J732" s="1" t="n">
        <v>16.5</v>
      </c>
      <c r="K732" s="1" t="n">
        <v>39.1</v>
      </c>
      <c r="L732" s="1" t="n">
        <v>0</v>
      </c>
      <c r="M732" s="1" t="n">
        <v>0</v>
      </c>
      <c r="N732" s="1" t="s">
        <v>441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Z732" s="0" t="n">
        <f aca="false">I732+65</f>
        <v>221.5</v>
      </c>
      <c r="AB732" s="0" t="n">
        <f aca="false">IF(Z732&gt;360,Z732-360,Z732+0)</f>
        <v>221.5</v>
      </c>
    </row>
    <row r="733" customFormat="false" ht="15.8" hidden="false" customHeight="false" outlineLevel="0" collapsed="false">
      <c r="A733" s="1" t="n">
        <v>14</v>
      </c>
      <c r="B733" s="1" t="n">
        <v>6</v>
      </c>
      <c r="C733" s="1" t="n">
        <v>7.6</v>
      </c>
      <c r="D733" s="1" t="n">
        <v>1.1894</v>
      </c>
      <c r="E733" s="1" t="n">
        <v>0.219393</v>
      </c>
      <c r="F733" s="1" t="n">
        <v>0.000504487</v>
      </c>
      <c r="G733" s="1" t="s">
        <v>37</v>
      </c>
      <c r="H733" s="1" t="n">
        <v>41.3</v>
      </c>
      <c r="I733" s="1" t="n">
        <v>73.4</v>
      </c>
      <c r="J733" s="1" t="n">
        <v>14.1</v>
      </c>
      <c r="K733" s="1" t="n">
        <v>90.5</v>
      </c>
      <c r="L733" s="1" t="n">
        <v>0</v>
      </c>
      <c r="M733" s="1" t="n">
        <v>0</v>
      </c>
      <c r="N733" s="1" t="s">
        <v>440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Z733" s="0" t="n">
        <f aca="false">I733+65</f>
        <v>138.4</v>
      </c>
      <c r="AB733" s="0" t="n">
        <f aca="false">IF(Z733&gt;360,Z733-360,Z733+0)</f>
        <v>138.4</v>
      </c>
    </row>
    <row r="734" customFormat="false" ht="15.8" hidden="false" customHeight="false" outlineLevel="0" collapsed="false">
      <c r="A734" s="1" t="n">
        <v>14</v>
      </c>
      <c r="B734" s="1" t="n">
        <v>5</v>
      </c>
      <c r="C734" s="1" t="n">
        <v>2.8</v>
      </c>
      <c r="D734" s="1" t="n">
        <v>1.0627</v>
      </c>
      <c r="E734" s="1" t="n">
        <v>0.0907852</v>
      </c>
      <c r="F734" s="1" t="n">
        <v>0.000234827</v>
      </c>
      <c r="G734" s="1" t="s">
        <v>37</v>
      </c>
      <c r="H734" s="1" t="n">
        <v>51</v>
      </c>
      <c r="I734" s="1" t="n">
        <v>34.2</v>
      </c>
      <c r="J734" s="1" t="n">
        <v>0</v>
      </c>
      <c r="K734" s="1" t="n">
        <v>41.3</v>
      </c>
      <c r="L734" s="1" t="n">
        <v>0</v>
      </c>
      <c r="M734" s="1" t="n">
        <v>0</v>
      </c>
      <c r="N734" s="1" t="s">
        <v>431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Z734" s="0" t="n">
        <f aca="false">I734+65</f>
        <v>99.2</v>
      </c>
      <c r="AB734" s="0" t="n">
        <f aca="false">IF(Z734&gt;360,Z734-360,Z734+0)</f>
        <v>99.2</v>
      </c>
    </row>
    <row r="735" customFormat="false" ht="15.8" hidden="false" customHeight="false" outlineLevel="0" collapsed="false">
      <c r="A735" s="1" t="n">
        <v>14</v>
      </c>
      <c r="B735" s="1" t="n">
        <v>4</v>
      </c>
      <c r="C735" s="1" t="n">
        <v>1.7</v>
      </c>
      <c r="D735" s="1" t="n">
        <v>1.1461</v>
      </c>
      <c r="E735" s="1" t="n">
        <v>0.0610947</v>
      </c>
      <c r="F735" s="1" t="n">
        <v>0.000175606</v>
      </c>
      <c r="G735" s="1" t="s">
        <v>37</v>
      </c>
      <c r="H735" s="1" t="n">
        <v>2.9</v>
      </c>
      <c r="I735" s="1" t="n">
        <v>83.5</v>
      </c>
      <c r="J735" s="1" t="n">
        <v>15.3</v>
      </c>
      <c r="K735" s="1" t="n">
        <v>51</v>
      </c>
      <c r="L735" s="1" t="n">
        <v>0</v>
      </c>
      <c r="M735" s="1" t="n">
        <v>0</v>
      </c>
      <c r="N735" s="1" t="s">
        <v>430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Z735" s="0" t="n">
        <f aca="false">I735+65</f>
        <v>148.5</v>
      </c>
      <c r="AB735" s="0" t="n">
        <f aca="false">IF(Z735&gt;360,Z735-360,Z735+0)</f>
        <v>148.5</v>
      </c>
    </row>
    <row r="736" customFormat="false" ht="15.8" hidden="false" customHeight="false" outlineLevel="0" collapsed="false">
      <c r="A736" s="1" t="n">
        <v>14</v>
      </c>
      <c r="B736" s="1" t="n">
        <v>3</v>
      </c>
      <c r="C736" s="1" t="n">
        <v>4.9</v>
      </c>
      <c r="D736" s="1" t="n">
        <v>1.1507</v>
      </c>
      <c r="E736" s="1" t="n">
        <v>0.175925</v>
      </c>
      <c r="F736" s="1" t="n">
        <v>0.000505667</v>
      </c>
      <c r="G736" s="1" t="s">
        <v>37</v>
      </c>
      <c r="H736" s="1" t="n">
        <v>35.4</v>
      </c>
      <c r="I736" s="1" t="n">
        <v>80.6</v>
      </c>
      <c r="J736" s="1" t="n">
        <v>16</v>
      </c>
      <c r="K736" s="1" t="n">
        <v>144</v>
      </c>
      <c r="L736" s="1" t="n">
        <v>0</v>
      </c>
      <c r="M736" s="1" t="n">
        <v>0</v>
      </c>
      <c r="N736" s="1" t="s">
        <v>429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Z736" s="0" t="n">
        <f aca="false">I736+65</f>
        <v>145.6</v>
      </c>
      <c r="AB736" s="0" t="n">
        <f aca="false">IF(Z736&gt;360,Z736-360,Z736+0)</f>
        <v>145.6</v>
      </c>
    </row>
    <row r="737" customFormat="false" ht="15.8" hidden="false" customHeight="false" outlineLevel="0" collapsed="false">
      <c r="A737" s="1" t="n">
        <v>14</v>
      </c>
      <c r="B737" s="1" t="n">
        <v>2</v>
      </c>
      <c r="C737" s="1" t="n">
        <v>2</v>
      </c>
      <c r="D737" s="1" t="n">
        <v>1.2337</v>
      </c>
      <c r="E737" s="1" t="n">
        <v>0.0713611</v>
      </c>
      <c r="F737" s="1" t="n">
        <v>0.000205116</v>
      </c>
      <c r="G737" s="1" t="s">
        <v>37</v>
      </c>
      <c r="H737" s="1" t="n">
        <v>25.7</v>
      </c>
      <c r="I737" s="1" t="n">
        <v>116.4</v>
      </c>
      <c r="J737" s="1" t="n">
        <v>29.1</v>
      </c>
      <c r="K737" s="1" t="n">
        <v>36.5</v>
      </c>
      <c r="L737" s="1" t="n">
        <v>0</v>
      </c>
      <c r="M737" s="1" t="n">
        <v>0</v>
      </c>
      <c r="N737" s="1" t="s">
        <v>428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Z737" s="0" t="n">
        <f aca="false">I737+65</f>
        <v>181.4</v>
      </c>
      <c r="AB737" s="0" t="n">
        <f aca="false">IF(Z737&gt;360,Z737-360,Z737+0)</f>
        <v>181.4</v>
      </c>
    </row>
    <row r="738" customFormat="false" ht="15.8" hidden="false" customHeight="false" outlineLevel="0" collapsed="false">
      <c r="A738" s="1" t="n">
        <v>14</v>
      </c>
      <c r="B738" s="1" t="n">
        <v>1</v>
      </c>
      <c r="C738" s="1" t="n">
        <v>4.3</v>
      </c>
      <c r="D738" s="1" t="n">
        <v>1.2298</v>
      </c>
      <c r="E738" s="1" t="n">
        <v>0.153778</v>
      </c>
      <c r="F738" s="1" t="n">
        <v>0.00044201</v>
      </c>
      <c r="G738" s="1" t="s">
        <v>37</v>
      </c>
      <c r="H738" s="1"/>
      <c r="I738" s="1" t="n">
        <v>103.6</v>
      </c>
      <c r="J738" s="1" t="n">
        <v>6.5</v>
      </c>
      <c r="K738" s="1" t="n">
        <v>130.5</v>
      </c>
      <c r="L738" s="1" t="n">
        <v>0</v>
      </c>
      <c r="M738" s="1" t="n">
        <v>0</v>
      </c>
      <c r="N738" s="1" t="s">
        <v>443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Z738" s="0" t="n">
        <f aca="false">I738+65</f>
        <v>168.6</v>
      </c>
      <c r="AB738" s="0" t="n">
        <f aca="false">IF(Z738&gt;360,Z738-360,Z738+0)</f>
        <v>168.6</v>
      </c>
    </row>
    <row r="739" customFormat="false" ht="15.8" hidden="false" customHeight="false" outlineLevel="0" collapsed="false">
      <c r="A739" s="1" t="n">
        <v>15</v>
      </c>
      <c r="B739" s="1" t="n">
        <v>2</v>
      </c>
      <c r="C739" s="1" t="n">
        <v>3.5</v>
      </c>
      <c r="D739" s="1" t="n">
        <v>1.1755</v>
      </c>
      <c r="E739" s="1" t="n">
        <v>0.125281</v>
      </c>
      <c r="F739" s="1" t="n">
        <v>0.000360099</v>
      </c>
      <c r="G739" s="1" t="s">
        <v>27</v>
      </c>
      <c r="H739" s="1" t="n">
        <v>31.3</v>
      </c>
      <c r="I739" s="1" t="n">
        <v>302</v>
      </c>
      <c r="J739" s="1" t="n">
        <v>15.3</v>
      </c>
      <c r="K739" s="1"/>
      <c r="L739" s="1" t="n">
        <v>0</v>
      </c>
      <c r="M739" s="1" t="n">
        <v>0</v>
      </c>
      <c r="N739" s="1" t="s">
        <v>444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Z739" s="0" t="n">
        <f aca="false">I739+65</f>
        <v>367</v>
      </c>
      <c r="AB739" s="0" t="n">
        <f aca="false">IF(Z739&gt;360,Z739-360,Z739+0)</f>
        <v>7</v>
      </c>
    </row>
    <row r="740" customFormat="false" ht="15.8" hidden="false" customHeight="false" outlineLevel="0" collapsed="false">
      <c r="A740" s="1" t="n">
        <v>15</v>
      </c>
      <c r="B740" s="1" t="n">
        <v>2</v>
      </c>
      <c r="C740" s="1" t="n">
        <v>2</v>
      </c>
      <c r="D740" s="1" t="n">
        <v>1.3352</v>
      </c>
      <c r="E740" s="1" t="n">
        <v>0.0729</v>
      </c>
      <c r="F740" s="1" t="n">
        <v>0.000209539</v>
      </c>
      <c r="G740" s="1" t="s">
        <v>27</v>
      </c>
      <c r="H740" s="1" t="n">
        <v>35.8</v>
      </c>
      <c r="I740" s="1" t="n">
        <v>305.2</v>
      </c>
      <c r="J740" s="1" t="n">
        <v>-50.7</v>
      </c>
      <c r="K740" s="1"/>
      <c r="L740" s="1" t="n">
        <v>0</v>
      </c>
      <c r="M740" s="1" t="n">
        <v>0</v>
      </c>
      <c r="N740" s="1" t="s">
        <v>444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Z740" s="0" t="n">
        <f aca="false">I740+65</f>
        <v>370.2</v>
      </c>
      <c r="AB740" s="0" t="n">
        <f aca="false">IF(Z740&gt;360,Z740-360,Z740+0)</f>
        <v>10.2</v>
      </c>
    </row>
    <row r="741" customFormat="false" ht="15.8" hidden="false" customHeight="false" outlineLevel="0" collapsed="false">
      <c r="A741" s="1" t="n">
        <v>15</v>
      </c>
      <c r="B741" s="1" t="n">
        <v>1</v>
      </c>
      <c r="C741" s="1" t="n">
        <v>8.3</v>
      </c>
      <c r="D741" s="1" t="n">
        <v>1.4214</v>
      </c>
      <c r="E741" s="1" t="n">
        <v>0.299199</v>
      </c>
      <c r="F741" s="1" t="n">
        <v>0.000859998</v>
      </c>
      <c r="G741" s="1" t="s">
        <v>37</v>
      </c>
      <c r="H741" s="1"/>
      <c r="I741" s="1" t="n">
        <v>296.8</v>
      </c>
      <c r="J741" s="1" t="n">
        <v>-15.5</v>
      </c>
      <c r="K741" s="1" t="n">
        <v>35.8</v>
      </c>
      <c r="L741" s="1" t="n">
        <v>0</v>
      </c>
      <c r="M741" s="1" t="n">
        <v>0</v>
      </c>
      <c r="N741" s="1" t="s">
        <v>445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Z741" s="0" t="n">
        <f aca="false">I741+65</f>
        <v>361.8</v>
      </c>
      <c r="AB741" s="0" t="n">
        <f aca="false">IF(Z741&gt;360,Z741-360,Z741+0)</f>
        <v>1.80000000000001</v>
      </c>
    </row>
    <row r="742" customFormat="false" ht="15.8" hidden="false" customHeight="false" outlineLevel="0" collapsed="false">
      <c r="A742" s="1" t="n">
        <v>16</v>
      </c>
      <c r="B742" s="1" t="n">
        <v>1</v>
      </c>
      <c r="C742" s="1" t="n">
        <v>3.6</v>
      </c>
      <c r="D742" s="1" t="n">
        <v>1.2807</v>
      </c>
      <c r="E742" s="1" t="n">
        <v>0.129536</v>
      </c>
      <c r="F742" s="1" t="n">
        <v>0.00037233</v>
      </c>
      <c r="G742" s="1" t="s">
        <v>27</v>
      </c>
      <c r="H742" s="1"/>
      <c r="I742" s="1" t="n">
        <v>188.2</v>
      </c>
      <c r="J742" s="1" t="n">
        <v>44.1</v>
      </c>
      <c r="K742" s="1"/>
      <c r="L742" s="1" t="n">
        <v>0</v>
      </c>
      <c r="M742" s="1" t="n">
        <v>0</v>
      </c>
      <c r="N742" s="1" t="s">
        <v>446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Z742" s="0" t="n">
        <f aca="false">I742+65</f>
        <v>253.2</v>
      </c>
      <c r="AB742" s="0" t="n">
        <f aca="false">IF(Z742&gt;360,Z742-360,Z742+0)</f>
        <v>253.2</v>
      </c>
    </row>
    <row r="743" customFormat="false" ht="15.8" hidden="false" customHeight="false" outlineLevel="0" collapsed="false">
      <c r="A743" s="1" t="n">
        <v>17</v>
      </c>
      <c r="B743" s="1" t="n">
        <v>10</v>
      </c>
      <c r="C743" s="1" t="n">
        <v>2.3</v>
      </c>
      <c r="D743" s="1" t="n">
        <v>1.1374</v>
      </c>
      <c r="E743" s="1" t="n">
        <v>0.0838663</v>
      </c>
      <c r="F743" s="1" t="n">
        <v>0.00024106</v>
      </c>
      <c r="G743" s="1" t="s">
        <v>27</v>
      </c>
      <c r="H743" s="1" t="n">
        <v>40.8</v>
      </c>
      <c r="I743" s="1" t="n">
        <v>289.8</v>
      </c>
      <c r="J743" s="1" t="n">
        <v>11</v>
      </c>
      <c r="K743" s="1"/>
      <c r="L743" s="1" t="n">
        <v>0</v>
      </c>
      <c r="M743" s="1" t="n">
        <v>0</v>
      </c>
      <c r="N743" s="1" t="s">
        <v>447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Z743" s="0" t="n">
        <f aca="false">I743+65</f>
        <v>354.8</v>
      </c>
      <c r="AB743" s="0" t="n">
        <f aca="false">IF(Z743&gt;360,Z743-360,Z743+0)</f>
        <v>354.8</v>
      </c>
    </row>
    <row r="744" customFormat="false" ht="15.8" hidden="false" customHeight="false" outlineLevel="0" collapsed="false">
      <c r="A744" s="1" t="n">
        <v>17</v>
      </c>
      <c r="B744" s="1" t="n">
        <v>10</v>
      </c>
      <c r="C744" s="1" t="n">
        <v>2.3</v>
      </c>
      <c r="D744" s="1" t="n">
        <v>1.0518</v>
      </c>
      <c r="E744" s="1" t="n">
        <v>0.0824789</v>
      </c>
      <c r="F744" s="1" t="n">
        <v>0.000237072</v>
      </c>
      <c r="G744" s="1" t="s">
        <v>27</v>
      </c>
      <c r="H744" s="1" t="n">
        <v>11.2</v>
      </c>
      <c r="I744" s="1" t="n">
        <v>239.1</v>
      </c>
      <c r="J744" s="1" t="n">
        <v>0</v>
      </c>
      <c r="K744" s="1"/>
      <c r="L744" s="1" t="n">
        <v>0</v>
      </c>
      <c r="M744" s="1" t="n">
        <v>0</v>
      </c>
      <c r="N744" s="1" t="s">
        <v>447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Z744" s="0" t="n">
        <f aca="false">I744+65</f>
        <v>304.1</v>
      </c>
      <c r="AB744" s="0" t="n">
        <f aca="false">IF(Z744&gt;360,Z744-360,Z744+0)</f>
        <v>304.1</v>
      </c>
    </row>
    <row r="745" customFormat="false" ht="15.8" hidden="false" customHeight="false" outlineLevel="0" collapsed="false">
      <c r="A745" s="1" t="n">
        <v>17</v>
      </c>
      <c r="B745" s="1" t="n">
        <v>9</v>
      </c>
      <c r="C745" s="1" t="n">
        <v>2.1</v>
      </c>
      <c r="D745" s="1" t="n">
        <v>1.0139</v>
      </c>
      <c r="E745" s="1" t="n">
        <v>0.0773824</v>
      </c>
      <c r="F745" s="1" t="n">
        <v>0.000222423</v>
      </c>
      <c r="G745" s="1" t="s">
        <v>37</v>
      </c>
      <c r="H745" s="1" t="n">
        <v>57.2</v>
      </c>
      <c r="I745" s="1" t="n">
        <v>250.3</v>
      </c>
      <c r="J745" s="1" t="n">
        <v>0</v>
      </c>
      <c r="K745" s="1" t="n">
        <v>40.8</v>
      </c>
      <c r="L745" s="1" t="n">
        <v>0</v>
      </c>
      <c r="M745" s="1" t="n">
        <v>0</v>
      </c>
      <c r="N745" s="1" t="s">
        <v>448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Z745" s="0" t="n">
        <f aca="false">I745+65</f>
        <v>315.3</v>
      </c>
      <c r="AB745" s="0" t="n">
        <f aca="false">IF(Z745&gt;360,Z745-360,Z745+0)</f>
        <v>315.3</v>
      </c>
    </row>
    <row r="746" customFormat="false" ht="15.8" hidden="false" customHeight="false" outlineLevel="0" collapsed="false">
      <c r="A746" s="1" t="n">
        <v>17</v>
      </c>
      <c r="B746" s="1" t="n">
        <v>9</v>
      </c>
      <c r="C746" s="1" t="n">
        <v>2</v>
      </c>
      <c r="D746" s="1" t="n">
        <v>1.1726</v>
      </c>
      <c r="E746" s="1" t="n">
        <v>0.072399</v>
      </c>
      <c r="F746" s="1" t="n">
        <v>0.000208099</v>
      </c>
      <c r="G746" s="1" t="s">
        <v>27</v>
      </c>
      <c r="H746" s="1" t="n">
        <v>15</v>
      </c>
      <c r="I746" s="1" t="n">
        <v>300.3</v>
      </c>
      <c r="J746" s="1" t="n">
        <v>13.2</v>
      </c>
      <c r="K746" s="1"/>
      <c r="L746" s="1" t="n">
        <v>0</v>
      </c>
      <c r="M746" s="1" t="n">
        <v>0</v>
      </c>
      <c r="N746" s="1" t="s">
        <v>448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Z746" s="0" t="n">
        <f aca="false">I746+65</f>
        <v>365.3</v>
      </c>
      <c r="AB746" s="0" t="n">
        <f aca="false">IF(Z746&gt;360,Z746-360,Z746+0)</f>
        <v>5.30000000000001</v>
      </c>
    </row>
    <row r="747" customFormat="false" ht="15.8" hidden="false" customHeight="false" outlineLevel="0" collapsed="false">
      <c r="A747" s="1" t="n">
        <v>17</v>
      </c>
      <c r="B747" s="1" t="n">
        <v>8</v>
      </c>
      <c r="C747" s="1" t="n">
        <v>0.9</v>
      </c>
      <c r="D747" s="1" t="n">
        <v>1.0223</v>
      </c>
      <c r="E747" s="1" t="n">
        <v>0.0342189</v>
      </c>
      <c r="F747" s="1" t="n">
        <v>9.83566E-005</v>
      </c>
      <c r="G747" s="1" t="s">
        <v>37</v>
      </c>
      <c r="H747" s="1" t="n">
        <v>26.7</v>
      </c>
      <c r="I747" s="1" t="n">
        <v>307.4</v>
      </c>
      <c r="J747" s="1" t="n">
        <v>0</v>
      </c>
      <c r="K747" s="1" t="n">
        <v>57.2</v>
      </c>
      <c r="L747" s="1" t="n">
        <v>0</v>
      </c>
      <c r="M747" s="1" t="n">
        <v>0</v>
      </c>
      <c r="N747" s="1" t="s">
        <v>449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Z747" s="0" t="n">
        <f aca="false">I747+65</f>
        <v>372.4</v>
      </c>
      <c r="AB747" s="0" t="n">
        <f aca="false">IF(Z747&gt;360,Z747-360,Z747+0)</f>
        <v>12.4</v>
      </c>
    </row>
    <row r="748" customFormat="false" ht="15.8" hidden="false" customHeight="false" outlineLevel="0" collapsed="false">
      <c r="A748" s="1" t="n">
        <v>17</v>
      </c>
      <c r="B748" s="1" t="n">
        <v>8</v>
      </c>
      <c r="C748" s="1" t="n">
        <v>2.2</v>
      </c>
      <c r="D748" s="1" t="n">
        <v>1.2595</v>
      </c>
      <c r="E748" s="1" t="n">
        <v>0.0789539</v>
      </c>
      <c r="F748" s="1" t="n">
        <v>0.00022694</v>
      </c>
      <c r="G748" s="1" t="s">
        <v>27</v>
      </c>
      <c r="H748" s="1" t="n">
        <v>56.2</v>
      </c>
      <c r="I748" s="1" t="n">
        <v>225.5</v>
      </c>
      <c r="J748" s="1" t="n">
        <v>-13</v>
      </c>
      <c r="K748" s="1"/>
      <c r="L748" s="1" t="n">
        <v>0</v>
      </c>
      <c r="M748" s="1" t="n">
        <v>0</v>
      </c>
      <c r="N748" s="1" t="s">
        <v>449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Z748" s="0" t="n">
        <f aca="false">I748+65</f>
        <v>290.5</v>
      </c>
      <c r="AB748" s="0" t="n">
        <f aca="false">IF(Z748&gt;360,Z748-360,Z748+0)</f>
        <v>290.5</v>
      </c>
    </row>
    <row r="749" customFormat="false" ht="15.8" hidden="false" customHeight="false" outlineLevel="0" collapsed="false">
      <c r="A749" s="1" t="n">
        <v>17</v>
      </c>
      <c r="B749" s="1" t="n">
        <v>8</v>
      </c>
      <c r="C749" s="1" t="n">
        <v>5.6</v>
      </c>
      <c r="D749" s="1" t="n">
        <v>1.5982</v>
      </c>
      <c r="E749" s="1" t="n">
        <v>0.203041</v>
      </c>
      <c r="F749" s="1" t="n">
        <v>0.000583606</v>
      </c>
      <c r="G749" s="1" t="s">
        <v>27</v>
      </c>
      <c r="H749" s="1" t="n">
        <v>50.8</v>
      </c>
      <c r="I749" s="1" t="n">
        <v>330.3</v>
      </c>
      <c r="J749" s="1" t="n">
        <v>-12.8</v>
      </c>
      <c r="K749" s="1"/>
      <c r="L749" s="1" t="n">
        <v>0</v>
      </c>
      <c r="M749" s="1" t="n">
        <v>0</v>
      </c>
      <c r="N749" s="1" t="s">
        <v>449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Z749" s="0" t="n">
        <f aca="false">I749+65</f>
        <v>395.3</v>
      </c>
      <c r="AB749" s="0" t="n">
        <f aca="false">IF(Z749&gt;360,Z749-360,Z749+0)</f>
        <v>35.3</v>
      </c>
    </row>
    <row r="750" customFormat="false" ht="15.8" hidden="false" customHeight="false" outlineLevel="0" collapsed="false">
      <c r="A750" s="1" t="n">
        <v>17</v>
      </c>
      <c r="B750" s="1" t="n">
        <v>7</v>
      </c>
      <c r="C750" s="1" t="n">
        <v>1</v>
      </c>
      <c r="D750" s="1" t="n">
        <v>1.0176</v>
      </c>
      <c r="E750" s="1" t="n">
        <v>0.0354301</v>
      </c>
      <c r="F750" s="1" t="n">
        <v>0.000101838</v>
      </c>
      <c r="G750" s="1" t="s">
        <v>37</v>
      </c>
      <c r="H750" s="1" t="n">
        <v>28.8</v>
      </c>
      <c r="I750" s="1" t="n">
        <v>280.7</v>
      </c>
      <c r="J750" s="1" t="n">
        <v>0</v>
      </c>
      <c r="K750" s="1" t="n">
        <v>56.2</v>
      </c>
      <c r="L750" s="1" t="n">
        <v>0</v>
      </c>
      <c r="M750" s="1" t="n">
        <v>0</v>
      </c>
      <c r="N750" s="1" t="s">
        <v>450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Z750" s="0" t="n">
        <f aca="false">I750+65</f>
        <v>345.7</v>
      </c>
      <c r="AB750" s="0" t="n">
        <f aca="false">IF(Z750&gt;360,Z750-360,Z750+0)</f>
        <v>345.7</v>
      </c>
    </row>
    <row r="751" customFormat="false" ht="15.8" hidden="false" customHeight="false" outlineLevel="0" collapsed="false">
      <c r="A751" s="1" t="n">
        <v>17</v>
      </c>
      <c r="B751" s="1" t="n">
        <v>7</v>
      </c>
      <c r="C751" s="1" t="n">
        <v>4.5</v>
      </c>
      <c r="D751" s="1" t="n">
        <v>1.1922</v>
      </c>
      <c r="E751" s="1" t="n">
        <v>0.162786</v>
      </c>
      <c r="F751" s="1" t="n">
        <v>0.000467901</v>
      </c>
      <c r="G751" s="1" t="s">
        <v>27</v>
      </c>
      <c r="H751" s="1" t="n">
        <v>144.1</v>
      </c>
      <c r="I751" s="1" t="n">
        <v>103.5</v>
      </c>
      <c r="J751" s="1" t="n">
        <v>18</v>
      </c>
      <c r="K751" s="1"/>
      <c r="L751" s="1" t="n">
        <v>0</v>
      </c>
      <c r="M751" s="1" t="n">
        <v>0</v>
      </c>
      <c r="N751" s="1" t="s">
        <v>450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Z751" s="0" t="n">
        <f aca="false">I751+65</f>
        <v>168.5</v>
      </c>
      <c r="AB751" s="0" t="n">
        <f aca="false">IF(Z751&gt;360,Z751-360,Z751+0)</f>
        <v>168.5</v>
      </c>
    </row>
    <row r="752" customFormat="false" ht="15.8" hidden="false" customHeight="false" outlineLevel="0" collapsed="false">
      <c r="A752" s="1" t="n">
        <v>17</v>
      </c>
      <c r="B752" s="1" t="n">
        <v>6</v>
      </c>
      <c r="C752" s="1" t="n">
        <v>1.1</v>
      </c>
      <c r="D752" s="1" t="n">
        <v>1.047</v>
      </c>
      <c r="E752" s="1" t="n">
        <v>0.0400738</v>
      </c>
      <c r="F752" s="1" t="n">
        <v>0.000115185</v>
      </c>
      <c r="G752" s="1" t="s">
        <v>37</v>
      </c>
      <c r="H752" s="1" t="n">
        <v>54.8</v>
      </c>
      <c r="I752" s="1" t="n">
        <v>251.9</v>
      </c>
      <c r="J752" s="1" t="n">
        <v>0</v>
      </c>
      <c r="K752" s="1" t="n">
        <v>144.1</v>
      </c>
      <c r="L752" s="1" t="n">
        <v>0</v>
      </c>
      <c r="M752" s="1" t="n">
        <v>0</v>
      </c>
      <c r="N752" s="1" t="s">
        <v>451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Z752" s="0" t="n">
        <f aca="false">I752+65</f>
        <v>316.9</v>
      </c>
      <c r="AB752" s="0" t="n">
        <f aca="false">IF(Z752&gt;360,Z752-360,Z752+0)</f>
        <v>316.9</v>
      </c>
    </row>
    <row r="753" customFormat="false" ht="15.8" hidden="false" customHeight="false" outlineLevel="0" collapsed="false">
      <c r="A753" s="1" t="n">
        <v>17</v>
      </c>
      <c r="B753" s="1" t="n">
        <v>6</v>
      </c>
      <c r="C753" s="1" t="n">
        <v>1.2</v>
      </c>
      <c r="D753" s="1" t="n">
        <v>1.1664</v>
      </c>
      <c r="E753" s="1" t="n">
        <v>0.0445297</v>
      </c>
      <c r="F753" s="1" t="n">
        <v>0.000127993</v>
      </c>
      <c r="G753" s="1" t="s">
        <v>27</v>
      </c>
      <c r="H753" s="1" t="n">
        <v>83.3</v>
      </c>
      <c r="I753" s="1" t="n">
        <v>35</v>
      </c>
      <c r="J753" s="1" t="n">
        <v>21.7</v>
      </c>
      <c r="K753" s="1"/>
      <c r="L753" s="1" t="n">
        <v>0</v>
      </c>
      <c r="M753" s="1" t="n">
        <v>0</v>
      </c>
      <c r="N753" s="1" t="s">
        <v>451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Z753" s="0" t="n">
        <f aca="false">I753+65</f>
        <v>100</v>
      </c>
      <c r="AB753" s="0" t="n">
        <f aca="false">IF(Z753&gt;360,Z753-360,Z753+0)</f>
        <v>100</v>
      </c>
    </row>
    <row r="754" customFormat="false" ht="15.8" hidden="false" customHeight="false" outlineLevel="0" collapsed="false">
      <c r="A754" s="1" t="n">
        <v>17</v>
      </c>
      <c r="B754" s="1" t="n">
        <v>5</v>
      </c>
      <c r="C754" s="1" t="n">
        <v>6.2</v>
      </c>
      <c r="D754" s="1" t="n">
        <v>1.1808</v>
      </c>
      <c r="E754" s="1" t="n">
        <v>0.2227</v>
      </c>
      <c r="F754" s="1" t="n">
        <v>0.000640115</v>
      </c>
      <c r="G754" s="1" t="s">
        <v>37</v>
      </c>
      <c r="H754" s="1" t="n">
        <v>38.2</v>
      </c>
      <c r="I754" s="1" t="n">
        <v>303.6</v>
      </c>
      <c r="J754" s="1" t="n">
        <v>21.9</v>
      </c>
      <c r="K754" s="1" t="n">
        <v>83.3</v>
      </c>
      <c r="L754" s="1" t="n">
        <v>0</v>
      </c>
      <c r="M754" s="1" t="n">
        <v>0</v>
      </c>
      <c r="N754" s="1" t="s">
        <v>452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Z754" s="0" t="n">
        <f aca="false">I754+65</f>
        <v>368.6</v>
      </c>
      <c r="AB754" s="0" t="n">
        <f aca="false">IF(Z754&gt;360,Z754-360,Z754+0)</f>
        <v>8.60000000000002</v>
      </c>
    </row>
    <row r="755" customFormat="false" ht="15.8" hidden="false" customHeight="false" outlineLevel="0" collapsed="false">
      <c r="A755" s="1" t="n">
        <v>17</v>
      </c>
      <c r="B755" s="1" t="n">
        <v>6</v>
      </c>
      <c r="C755" s="1" t="n">
        <v>1.5</v>
      </c>
      <c r="D755" s="1" t="n">
        <v>1.1944</v>
      </c>
      <c r="E755" s="1" t="n">
        <v>0.0550084</v>
      </c>
      <c r="F755" s="1" t="n">
        <v>0.000158112</v>
      </c>
      <c r="G755" s="1" t="s">
        <v>27</v>
      </c>
      <c r="H755" s="1" t="n">
        <v>33.9</v>
      </c>
      <c r="I755" s="1" t="n">
        <v>331.7</v>
      </c>
      <c r="J755" s="1" t="n">
        <v>-17.8</v>
      </c>
      <c r="K755" s="1"/>
      <c r="L755" s="1" t="n">
        <v>0</v>
      </c>
      <c r="M755" s="1" t="n">
        <v>0</v>
      </c>
      <c r="N755" s="1" t="s">
        <v>453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Z755" s="0" t="n">
        <f aca="false">I755+65</f>
        <v>396.7</v>
      </c>
      <c r="AB755" s="0" t="n">
        <f aca="false">IF(Z755&gt;360,Z755-360,Z755+0)</f>
        <v>36.7</v>
      </c>
    </row>
    <row r="756" customFormat="false" ht="15.8" hidden="false" customHeight="false" outlineLevel="0" collapsed="false">
      <c r="A756" s="1" t="n">
        <v>17</v>
      </c>
      <c r="B756" s="1" t="n">
        <v>6</v>
      </c>
      <c r="C756" s="1" t="n">
        <v>1.4</v>
      </c>
      <c r="D756" s="1" t="n">
        <v>1.0018</v>
      </c>
      <c r="E756" s="1" t="n">
        <v>0.0515025</v>
      </c>
      <c r="F756" s="1" t="n">
        <v>0.000148036</v>
      </c>
      <c r="G756" s="1" t="s">
        <v>27</v>
      </c>
      <c r="H756" s="1" t="n">
        <v>45.6</v>
      </c>
      <c r="I756" s="1" t="n">
        <v>46.6</v>
      </c>
      <c r="J756" s="1" t="n">
        <v>0</v>
      </c>
      <c r="K756" s="1"/>
      <c r="L756" s="1" t="n">
        <v>0</v>
      </c>
      <c r="M756" s="1" t="n">
        <v>0</v>
      </c>
      <c r="N756" s="1" t="s">
        <v>453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Z756" s="0" t="n">
        <f aca="false">I756+65</f>
        <v>111.6</v>
      </c>
      <c r="AB756" s="0" t="n">
        <f aca="false">IF(Z756&gt;360,Z756-360,Z756+0)</f>
        <v>111.6</v>
      </c>
    </row>
    <row r="757" customFormat="false" ht="15.8" hidden="false" customHeight="false" outlineLevel="0" collapsed="false">
      <c r="A757" s="1" t="n">
        <v>17</v>
      </c>
      <c r="B757" s="1" t="n">
        <v>5</v>
      </c>
      <c r="C757" s="1" t="n">
        <v>0.6</v>
      </c>
      <c r="D757" s="1" t="n">
        <v>1.0125</v>
      </c>
      <c r="E757" s="1" t="n">
        <v>0.0227097</v>
      </c>
      <c r="F757" s="1" t="n">
        <v>6.52751E-005</v>
      </c>
      <c r="G757" s="1" t="s">
        <v>37</v>
      </c>
      <c r="H757" s="1" t="n">
        <v>53.9</v>
      </c>
      <c r="I757" s="1" t="n">
        <v>1.1</v>
      </c>
      <c r="J757" s="1" t="n">
        <v>0</v>
      </c>
      <c r="K757" s="1" t="n">
        <v>45.6</v>
      </c>
      <c r="L757" s="1" t="n">
        <v>0</v>
      </c>
      <c r="M757" s="1" t="n">
        <v>0</v>
      </c>
      <c r="N757" s="1" t="s">
        <v>452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Z757" s="0" t="n">
        <f aca="false">I757+65</f>
        <v>66.1</v>
      </c>
      <c r="AB757" s="0" t="n">
        <f aca="false">IF(Z757&gt;360,Z757-360,Z757+0)</f>
        <v>66.1</v>
      </c>
    </row>
    <row r="758" customFormat="false" ht="15.8" hidden="false" customHeight="false" outlineLevel="0" collapsed="false">
      <c r="A758" s="1" t="n">
        <v>17</v>
      </c>
      <c r="B758" s="1" t="n">
        <v>4</v>
      </c>
      <c r="C758" s="1" t="n">
        <v>1.6</v>
      </c>
      <c r="D758" s="1" t="n">
        <v>1.1422</v>
      </c>
      <c r="E758" s="1" t="n">
        <v>0.0587833</v>
      </c>
      <c r="F758" s="1" t="n">
        <v>0.000168963</v>
      </c>
      <c r="G758" s="1" t="s">
        <v>37</v>
      </c>
      <c r="H758" s="1" t="n">
        <v>58.1</v>
      </c>
      <c r="I758" s="1" t="n">
        <v>308.8</v>
      </c>
      <c r="J758" s="1" t="n">
        <v>-15.9</v>
      </c>
      <c r="K758" s="1" t="n">
        <v>53.9</v>
      </c>
      <c r="L758" s="1" t="n">
        <v>0</v>
      </c>
      <c r="M758" s="1" t="n">
        <v>0</v>
      </c>
      <c r="N758" s="1" t="s">
        <v>454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Z758" s="0" t="n">
        <f aca="false">I758+65</f>
        <v>373.8</v>
      </c>
      <c r="AB758" s="0" t="n">
        <f aca="false">IF(Z758&gt;360,Z758-360,Z758+0)</f>
        <v>13.8</v>
      </c>
    </row>
    <row r="759" customFormat="false" ht="15.8" hidden="false" customHeight="false" outlineLevel="0" collapsed="false">
      <c r="A759" s="1" t="n">
        <v>17</v>
      </c>
      <c r="B759" s="1" t="n">
        <v>4</v>
      </c>
      <c r="C759" s="1" t="n">
        <v>5.3</v>
      </c>
      <c r="D759" s="1" t="n">
        <v>1.4044</v>
      </c>
      <c r="E759" s="1" t="n">
        <v>0.19236</v>
      </c>
      <c r="F759" s="1" t="n">
        <v>0.000552908</v>
      </c>
      <c r="G759" s="1" t="s">
        <v>27</v>
      </c>
      <c r="H759" s="1" t="n">
        <v>39.7</v>
      </c>
      <c r="I759" s="1" t="n">
        <v>313.2</v>
      </c>
      <c r="J759" s="1" t="n">
        <v>28.7</v>
      </c>
      <c r="K759" s="1"/>
      <c r="L759" s="1" t="n">
        <v>0</v>
      </c>
      <c r="M759" s="1" t="n">
        <v>0</v>
      </c>
      <c r="N759" s="1" t="s">
        <v>454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Z759" s="0" t="n">
        <f aca="false">I759+65</f>
        <v>378.2</v>
      </c>
      <c r="AB759" s="0" t="n">
        <f aca="false">IF(Z759&gt;360,Z759-360,Z759+0)</f>
        <v>18.2</v>
      </c>
    </row>
    <row r="760" customFormat="false" ht="15.8" hidden="false" customHeight="false" outlineLevel="0" collapsed="false">
      <c r="A760" s="1" t="n">
        <v>17</v>
      </c>
      <c r="B760" s="1" t="n">
        <v>3</v>
      </c>
      <c r="C760" s="1" t="n">
        <v>3.3</v>
      </c>
      <c r="D760" s="1" t="n">
        <v>1.2533</v>
      </c>
      <c r="E760" s="1" t="n">
        <v>0.11785</v>
      </c>
      <c r="F760" s="1" t="n">
        <v>0.000338741</v>
      </c>
      <c r="G760" s="1" t="s">
        <v>37</v>
      </c>
      <c r="H760" s="1" t="n">
        <v>24.7</v>
      </c>
      <c r="I760" s="1" t="n">
        <v>268.1</v>
      </c>
      <c r="J760" s="1" t="n">
        <v>26.7</v>
      </c>
      <c r="K760" s="1" t="n">
        <v>58.1</v>
      </c>
      <c r="L760" s="1" t="n">
        <v>0</v>
      </c>
      <c r="M760" s="1" t="n">
        <v>0</v>
      </c>
      <c r="N760" s="1" t="s">
        <v>455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Z760" s="0" t="n">
        <f aca="false">I760+65</f>
        <v>333.1</v>
      </c>
      <c r="AB760" s="0" t="n">
        <f aca="false">IF(Z760&gt;360,Z760-360,Z760+0)</f>
        <v>333.1</v>
      </c>
    </row>
    <row r="761" customFormat="false" ht="15.8" hidden="false" customHeight="false" outlineLevel="0" collapsed="false">
      <c r="A761" s="1" t="n">
        <v>17</v>
      </c>
      <c r="B761" s="1" t="n">
        <v>3</v>
      </c>
      <c r="C761" s="1" t="n">
        <v>1.3</v>
      </c>
      <c r="D761" s="1" t="n">
        <v>1.008</v>
      </c>
      <c r="E761" s="1" t="n">
        <v>0.0472133</v>
      </c>
      <c r="F761" s="1" t="n">
        <v>0.000135707</v>
      </c>
      <c r="G761" s="1" t="s">
        <v>27</v>
      </c>
      <c r="H761" s="1" t="n">
        <v>63.1</v>
      </c>
      <c r="I761" s="1" t="n">
        <v>345.1</v>
      </c>
      <c r="J761" s="1" t="n">
        <v>0</v>
      </c>
      <c r="K761" s="1"/>
      <c r="L761" s="1" t="n">
        <v>0</v>
      </c>
      <c r="M761" s="1" t="n">
        <v>0</v>
      </c>
      <c r="N761" s="1" t="s">
        <v>455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Z761" s="0" t="n">
        <f aca="false">I761+65</f>
        <v>410.1</v>
      </c>
      <c r="AB761" s="0" t="n">
        <f aca="false">IF(Z761&gt;360,Z761-360,Z761+0)</f>
        <v>50.1</v>
      </c>
    </row>
    <row r="762" customFormat="false" ht="15.8" hidden="false" customHeight="false" outlineLevel="0" collapsed="false">
      <c r="A762" s="1" t="n">
        <v>17</v>
      </c>
      <c r="B762" s="1" t="n">
        <v>2</v>
      </c>
      <c r="C762" s="1" t="n">
        <v>1.4</v>
      </c>
      <c r="D762" s="1" t="n">
        <v>1.1488</v>
      </c>
      <c r="E762" s="1" t="n">
        <v>0.0488495</v>
      </c>
      <c r="F762" s="1" t="n">
        <v>0.00014041</v>
      </c>
      <c r="G762" s="1" t="s">
        <v>37</v>
      </c>
      <c r="H762" s="1" t="n">
        <v>41.7</v>
      </c>
      <c r="I762" s="1" t="n">
        <v>292.2</v>
      </c>
      <c r="J762" s="1" t="n">
        <v>41.5</v>
      </c>
      <c r="K762" s="1" t="n">
        <v>63.1</v>
      </c>
      <c r="L762" s="1" t="n">
        <v>0</v>
      </c>
      <c r="M762" s="1" t="n">
        <v>0</v>
      </c>
      <c r="N762" s="1" t="s">
        <v>456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Z762" s="0" t="n">
        <f aca="false">I762+65</f>
        <v>357.2</v>
      </c>
      <c r="AB762" s="0" t="n">
        <f aca="false">IF(Z762&gt;360,Z762-360,Z762+0)</f>
        <v>357.2</v>
      </c>
    </row>
    <row r="763" customFormat="false" ht="15.8" hidden="false" customHeight="false" outlineLevel="0" collapsed="false">
      <c r="A763" s="1" t="n">
        <v>17</v>
      </c>
      <c r="B763" s="1" t="n">
        <v>2</v>
      </c>
      <c r="C763" s="1" t="n">
        <v>1.6</v>
      </c>
      <c r="D763" s="1" t="n">
        <v>1.1267</v>
      </c>
      <c r="E763" s="1" t="n">
        <v>0.0564336</v>
      </c>
      <c r="F763" s="1" t="n">
        <v>0.000162209</v>
      </c>
      <c r="G763" s="1" t="s">
        <v>27</v>
      </c>
      <c r="H763" s="1" t="n">
        <v>92.4</v>
      </c>
      <c r="I763" s="1" t="n">
        <v>21.2</v>
      </c>
      <c r="J763" s="1" t="n">
        <v>-34.2</v>
      </c>
      <c r="K763" s="1"/>
      <c r="L763" s="1" t="n">
        <v>0</v>
      </c>
      <c r="M763" s="1" t="n">
        <v>0</v>
      </c>
      <c r="N763" s="1" t="s">
        <v>456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Z763" s="0" t="n">
        <f aca="false">I763+65</f>
        <v>86.2</v>
      </c>
      <c r="AB763" s="0" t="n">
        <f aca="false">IF(Z763&gt;360,Z763-360,Z763+0)</f>
        <v>86.2</v>
      </c>
    </row>
    <row r="764" customFormat="false" ht="15.8" hidden="false" customHeight="false" outlineLevel="0" collapsed="false">
      <c r="A764" s="1" t="n">
        <v>17</v>
      </c>
      <c r="B764" s="1" t="n">
        <v>2</v>
      </c>
      <c r="C764" s="1" t="n">
        <v>1.6</v>
      </c>
      <c r="D764" s="1" t="n">
        <v>1.1429</v>
      </c>
      <c r="E764" s="1" t="n">
        <v>0.0587272</v>
      </c>
      <c r="F764" s="1" t="n">
        <v>0.000168802</v>
      </c>
      <c r="G764" s="1" t="s">
        <v>27</v>
      </c>
      <c r="H764" s="1" t="n">
        <v>100.6</v>
      </c>
      <c r="I764" s="1" t="n">
        <v>185.5</v>
      </c>
      <c r="J764" s="1" t="n">
        <v>33.2</v>
      </c>
      <c r="K764" s="1"/>
      <c r="L764" s="1" t="n">
        <v>0</v>
      </c>
      <c r="M764" s="1" t="n">
        <v>0</v>
      </c>
      <c r="N764" s="1" t="s">
        <v>456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Z764" s="0" t="n">
        <f aca="false">I764+65</f>
        <v>250.5</v>
      </c>
      <c r="AB764" s="0" t="n">
        <f aca="false">IF(Z764&gt;360,Z764-360,Z764+0)</f>
        <v>250.5</v>
      </c>
    </row>
    <row r="765" customFormat="false" ht="15.8" hidden="false" customHeight="false" outlineLevel="0" collapsed="false">
      <c r="A765" s="1" t="n">
        <v>17</v>
      </c>
      <c r="B765" s="1" t="n">
        <v>1</v>
      </c>
      <c r="C765" s="1" t="n">
        <v>5.5</v>
      </c>
      <c r="D765" s="1" t="n">
        <v>1.3066</v>
      </c>
      <c r="E765" s="1" t="n">
        <v>0.197669</v>
      </c>
      <c r="F765" s="1" t="n">
        <v>0.000568167</v>
      </c>
      <c r="G765" s="1" t="s">
        <v>37</v>
      </c>
      <c r="H765" s="1"/>
      <c r="I765" s="1" t="n">
        <v>288.2</v>
      </c>
      <c r="J765" s="1" t="n">
        <v>0</v>
      </c>
      <c r="K765" s="1" t="n">
        <v>100.6</v>
      </c>
      <c r="L765" s="1" t="n">
        <v>0</v>
      </c>
      <c r="M765" s="1" t="n">
        <v>0</v>
      </c>
      <c r="N765" s="1" t="s">
        <v>457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Z765" s="0" t="n">
        <f aca="false">I765+65</f>
        <v>353.2</v>
      </c>
      <c r="AB765" s="0" t="n">
        <f aca="false">IF(Z765&gt;360,Z765-360,Z765+0)</f>
        <v>353.2</v>
      </c>
    </row>
    <row r="766" customFormat="false" ht="15.8" hidden="false" customHeight="false" outlineLevel="0" collapsed="false">
      <c r="A766" s="1" t="n">
        <v>18</v>
      </c>
      <c r="B766" s="1" t="n">
        <v>3</v>
      </c>
      <c r="C766" s="1" t="n">
        <v>2.6</v>
      </c>
      <c r="D766" s="1" t="n">
        <v>1.4775</v>
      </c>
      <c r="E766" s="1" t="n">
        <v>0.0467102</v>
      </c>
      <c r="F766" s="1" t="n">
        <v>6.71303E-005</v>
      </c>
      <c r="G766" s="1" t="s">
        <v>27</v>
      </c>
      <c r="H766" s="1" t="n">
        <v>52.9</v>
      </c>
      <c r="I766" s="1" t="n">
        <v>46</v>
      </c>
      <c r="J766" s="1" t="n">
        <v>-41.9</v>
      </c>
      <c r="K766" s="1"/>
      <c r="L766" s="1" t="n">
        <v>0</v>
      </c>
      <c r="M766" s="1" t="n">
        <v>0</v>
      </c>
      <c r="N766" s="1" t="s">
        <v>458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Z766" s="0" t="n">
        <f aca="false">I766+65</f>
        <v>111</v>
      </c>
      <c r="AB766" s="0" t="n">
        <f aca="false">IF(Z766&gt;360,Z766-360,Z766+0)</f>
        <v>111</v>
      </c>
    </row>
    <row r="767" customFormat="false" ht="15.8" hidden="false" customHeight="false" outlineLevel="0" collapsed="false">
      <c r="A767" s="1" t="n">
        <v>18</v>
      </c>
      <c r="B767" s="1" t="n">
        <v>5</v>
      </c>
      <c r="C767" s="1" t="n">
        <v>2.8</v>
      </c>
      <c r="D767" s="1" t="n">
        <v>1.4623</v>
      </c>
      <c r="E767" s="1" t="n">
        <v>0.0871044</v>
      </c>
      <c r="F767" s="1" t="n">
        <v>0.0002303</v>
      </c>
      <c r="G767" s="1" t="s">
        <v>27</v>
      </c>
      <c r="H767" s="1" t="n">
        <v>7.6</v>
      </c>
      <c r="I767" s="1" t="n">
        <v>308.9</v>
      </c>
      <c r="J767" s="1" t="n">
        <v>-24.5</v>
      </c>
      <c r="K767" s="1"/>
      <c r="L767" s="1" t="n">
        <v>0</v>
      </c>
      <c r="M767" s="1" t="n">
        <v>0</v>
      </c>
      <c r="N767" s="1" t="s">
        <v>459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Z767" s="0" t="n">
        <f aca="false">I767+65</f>
        <v>373.9</v>
      </c>
      <c r="AB767" s="0" t="n">
        <f aca="false">IF(Z767&gt;360,Z767-360,Z767+0)</f>
        <v>13.9</v>
      </c>
    </row>
    <row r="768" customFormat="false" ht="15.8" hidden="false" customHeight="false" outlineLevel="0" collapsed="false">
      <c r="A768" s="1" t="n">
        <v>18</v>
      </c>
      <c r="B768" s="1" t="n">
        <v>6</v>
      </c>
      <c r="C768" s="1" t="n">
        <v>1.2</v>
      </c>
      <c r="D768" s="1" t="n">
        <v>1.3166</v>
      </c>
      <c r="E768" s="1" t="n">
        <v>0.022555</v>
      </c>
      <c r="F768" s="1" t="n">
        <v>3.24153E-005</v>
      </c>
      <c r="G768" s="1" t="s">
        <v>27</v>
      </c>
      <c r="H768" s="1" t="n">
        <v>67.7</v>
      </c>
      <c r="I768" s="1" t="n">
        <v>82</v>
      </c>
      <c r="J768" s="1" t="n">
        <v>55.3</v>
      </c>
      <c r="K768" s="1"/>
      <c r="L768" s="1" t="n">
        <v>0</v>
      </c>
      <c r="M768" s="1" t="n">
        <v>0</v>
      </c>
      <c r="N768" s="1" t="s">
        <v>460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Z768" s="0" t="n">
        <f aca="false">I768+65</f>
        <v>147</v>
      </c>
      <c r="AB768" s="0" t="n">
        <f aca="false">IF(Z768&gt;360,Z768-360,Z768+0)</f>
        <v>147</v>
      </c>
    </row>
    <row r="769" customFormat="false" ht="15.8" hidden="false" customHeight="false" outlineLevel="0" collapsed="false">
      <c r="A769" s="1" t="n">
        <v>18</v>
      </c>
      <c r="B769" s="1" t="n">
        <v>6</v>
      </c>
      <c r="C769" s="1" t="n">
        <v>0.7</v>
      </c>
      <c r="D769" s="1" t="n">
        <v>1.0132</v>
      </c>
      <c r="E769" s="1" t="n">
        <v>0.0122115</v>
      </c>
      <c r="F769" s="1" t="n">
        <v>1.75499E-005</v>
      </c>
      <c r="G769" s="1" t="s">
        <v>27</v>
      </c>
      <c r="H769" s="1" t="n">
        <v>16.8</v>
      </c>
      <c r="I769" s="1" t="n">
        <v>17</v>
      </c>
      <c r="J769" s="1" t="n">
        <v>0</v>
      </c>
      <c r="K769" s="1"/>
      <c r="L769" s="1" t="n">
        <v>0</v>
      </c>
      <c r="M769" s="1" t="n">
        <v>0</v>
      </c>
      <c r="N769" s="1" t="s">
        <v>460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Z769" s="0" t="n">
        <f aca="false">I769+65</f>
        <v>82</v>
      </c>
      <c r="AB769" s="0" t="n">
        <f aca="false">IF(Z769&gt;360,Z769-360,Z769+0)</f>
        <v>82</v>
      </c>
    </row>
    <row r="770" customFormat="false" ht="15.8" hidden="false" customHeight="false" outlineLevel="0" collapsed="false">
      <c r="A770" s="1" t="n">
        <v>18</v>
      </c>
      <c r="B770" s="1" t="n">
        <v>5</v>
      </c>
      <c r="C770" s="1" t="n">
        <v>1</v>
      </c>
      <c r="D770" s="1" t="n">
        <v>1.0151</v>
      </c>
      <c r="E770" s="1" t="n">
        <v>0.0180048</v>
      </c>
      <c r="F770" s="1" t="n">
        <v>2.58759E-005</v>
      </c>
      <c r="G770" s="1" t="s">
        <v>37</v>
      </c>
      <c r="H770" s="1" t="n">
        <v>79.1</v>
      </c>
      <c r="I770" s="1" t="n">
        <v>33.8</v>
      </c>
      <c r="J770" s="1" t="n">
        <v>0</v>
      </c>
      <c r="K770" s="1" t="n">
        <v>67.7</v>
      </c>
      <c r="L770" s="1" t="n">
        <v>0</v>
      </c>
      <c r="M770" s="1" t="n">
        <v>0</v>
      </c>
      <c r="N770" s="1" t="s">
        <v>459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Z770" s="0" t="n">
        <f aca="false">I770+65</f>
        <v>98.8</v>
      </c>
      <c r="AB770" s="0" t="n">
        <f aca="false">IF(Z770&gt;360,Z770-360,Z770+0)</f>
        <v>98.8</v>
      </c>
    </row>
    <row r="771" customFormat="false" ht="15.8" hidden="false" customHeight="false" outlineLevel="0" collapsed="false">
      <c r="A771" s="1" t="n">
        <v>18</v>
      </c>
      <c r="B771" s="1" t="n">
        <v>5</v>
      </c>
      <c r="C771" s="1" t="n">
        <v>1.8</v>
      </c>
      <c r="D771" s="1" t="n">
        <v>1.036</v>
      </c>
      <c r="E771" s="1" t="n">
        <v>0.0328747</v>
      </c>
      <c r="F771" s="1" t="n">
        <v>4.72465E-005</v>
      </c>
      <c r="G771" s="1" t="s">
        <v>27</v>
      </c>
      <c r="H771" s="1" t="n">
        <v>83.8</v>
      </c>
      <c r="I771" s="1" t="n">
        <v>232</v>
      </c>
      <c r="J771" s="1" t="n">
        <v>0</v>
      </c>
      <c r="K771" s="1"/>
      <c r="L771" s="1" t="n">
        <v>0</v>
      </c>
      <c r="M771" s="1" t="n">
        <v>0</v>
      </c>
      <c r="N771" s="1" t="s">
        <v>459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Z771" s="0" t="n">
        <f aca="false">I771+65</f>
        <v>297</v>
      </c>
      <c r="AB771" s="0" t="n">
        <f aca="false">IF(Z771&gt;360,Z771-360,Z771+0)</f>
        <v>297</v>
      </c>
    </row>
    <row r="772" customFormat="false" ht="15.8" hidden="false" customHeight="false" outlineLevel="0" collapsed="false">
      <c r="A772" s="1" t="n">
        <v>18</v>
      </c>
      <c r="B772" s="1" t="n">
        <v>4</v>
      </c>
      <c r="C772" s="1" t="n">
        <v>1.5</v>
      </c>
      <c r="D772" s="1" t="n">
        <v>1.2915</v>
      </c>
      <c r="E772" s="1" t="n">
        <v>0.0268101</v>
      </c>
      <c r="F772" s="1" t="n">
        <v>3.85306E-005</v>
      </c>
      <c r="G772" s="1" t="s">
        <v>37</v>
      </c>
      <c r="H772" s="1" t="n">
        <v>30</v>
      </c>
      <c r="I772" s="1" t="n">
        <v>315.4</v>
      </c>
      <c r="J772" s="1" t="n">
        <v>-19.8</v>
      </c>
      <c r="K772" s="1" t="n">
        <v>83.8</v>
      </c>
      <c r="L772" s="1" t="n">
        <v>0</v>
      </c>
      <c r="M772" s="1" t="n">
        <v>0</v>
      </c>
      <c r="N772" s="1" t="s">
        <v>461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Z772" s="0" t="n">
        <f aca="false">I772+65</f>
        <v>380.4</v>
      </c>
      <c r="AB772" s="0" t="n">
        <f aca="false">IF(Z772&gt;360,Z772-360,Z772+0)</f>
        <v>20.4</v>
      </c>
    </row>
    <row r="773" customFormat="false" ht="15.8" hidden="false" customHeight="false" outlineLevel="0" collapsed="false">
      <c r="A773" s="1" t="n">
        <v>18</v>
      </c>
      <c r="B773" s="1" t="n">
        <v>5</v>
      </c>
      <c r="C773" s="1" t="n">
        <v>0.4</v>
      </c>
      <c r="D773" s="1" t="n">
        <v>1.0116</v>
      </c>
      <c r="E773" s="1" t="n">
        <v>0.00704877</v>
      </c>
      <c r="F773" s="1" t="n">
        <v>1.01303E-005</v>
      </c>
      <c r="G773" s="1" t="s">
        <v>27</v>
      </c>
      <c r="H773" s="1" t="n">
        <v>51</v>
      </c>
      <c r="I773" s="1" t="n">
        <v>273.4</v>
      </c>
      <c r="J773" s="1" t="n">
        <v>0</v>
      </c>
      <c r="K773" s="1"/>
      <c r="L773" s="1" t="n">
        <v>0</v>
      </c>
      <c r="M773" s="1" t="n">
        <v>0</v>
      </c>
      <c r="N773" s="1" t="s">
        <v>462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Z773" s="0" t="n">
        <f aca="false">I773+65</f>
        <v>338.4</v>
      </c>
      <c r="AB773" s="0" t="n">
        <f aca="false">IF(Z773&gt;360,Z773-360,Z773+0)</f>
        <v>338.4</v>
      </c>
    </row>
    <row r="774" customFormat="false" ht="15.8" hidden="false" customHeight="false" outlineLevel="0" collapsed="false">
      <c r="A774" s="1" t="n">
        <v>18</v>
      </c>
      <c r="B774" s="1" t="n">
        <v>5</v>
      </c>
      <c r="C774" s="1" t="n">
        <v>1</v>
      </c>
      <c r="D774" s="1" t="n">
        <v>1.3402</v>
      </c>
      <c r="E774" s="1" t="n">
        <v>0.017965</v>
      </c>
      <c r="F774" s="1" t="n">
        <v>2.58187E-005</v>
      </c>
      <c r="G774" s="1" t="s">
        <v>27</v>
      </c>
      <c r="H774" s="1" t="n">
        <v>32.5</v>
      </c>
      <c r="I774" s="1" t="n">
        <v>215</v>
      </c>
      <c r="J774" s="1" t="n">
        <v>31.7</v>
      </c>
      <c r="K774" s="1"/>
      <c r="L774" s="1" t="n">
        <v>0</v>
      </c>
      <c r="M774" s="1" t="n">
        <v>0</v>
      </c>
      <c r="N774" s="1" t="s">
        <v>462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Z774" s="0" t="n">
        <f aca="false">I774+65</f>
        <v>280</v>
      </c>
      <c r="AB774" s="0" t="n">
        <f aca="false">IF(Z774&gt;360,Z774-360,Z774+0)</f>
        <v>280</v>
      </c>
    </row>
    <row r="775" customFormat="false" ht="15.8" hidden="false" customHeight="false" outlineLevel="0" collapsed="false">
      <c r="A775" s="1" t="n">
        <v>18</v>
      </c>
      <c r="B775" s="1" t="n">
        <v>4</v>
      </c>
      <c r="C775" s="1" t="n">
        <v>1.3</v>
      </c>
      <c r="D775" s="1" t="n">
        <v>1.1002</v>
      </c>
      <c r="E775" s="1" t="n">
        <v>0.0228805</v>
      </c>
      <c r="F775" s="1" t="n">
        <v>3.28831E-005</v>
      </c>
      <c r="G775" s="1" t="s">
        <v>37</v>
      </c>
      <c r="H775" s="1" t="n">
        <v>82.3</v>
      </c>
      <c r="I775" s="1" t="n">
        <v>222.4</v>
      </c>
      <c r="J775" s="1" t="n">
        <v>0</v>
      </c>
      <c r="K775" s="1" t="n">
        <v>51</v>
      </c>
      <c r="L775" s="1" t="n">
        <v>0</v>
      </c>
      <c r="M775" s="1" t="n">
        <v>0</v>
      </c>
      <c r="N775" s="1" t="s">
        <v>461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Z775" s="0" t="n">
        <f aca="false">I775+65</f>
        <v>287.4</v>
      </c>
      <c r="AB775" s="0" t="n">
        <f aca="false">IF(Z775&gt;360,Z775-360,Z775+0)</f>
        <v>287.4</v>
      </c>
    </row>
    <row r="776" customFormat="false" ht="15.8" hidden="false" customHeight="false" outlineLevel="0" collapsed="false">
      <c r="A776" s="1" t="n">
        <v>18</v>
      </c>
      <c r="B776" s="1" t="n">
        <v>3</v>
      </c>
      <c r="C776" s="1" t="n">
        <v>4.6</v>
      </c>
      <c r="D776" s="1" t="n">
        <v>1.4346</v>
      </c>
      <c r="E776" s="1" t="n">
        <v>0.0822811</v>
      </c>
      <c r="F776" s="1" t="n">
        <v>0.000118252</v>
      </c>
      <c r="G776" s="1" t="s">
        <v>37</v>
      </c>
      <c r="H776" s="1" t="n">
        <v>26.1</v>
      </c>
      <c r="I776" s="1" t="n">
        <v>301</v>
      </c>
      <c r="J776" s="1" t="n">
        <v>-47.5</v>
      </c>
      <c r="K776" s="1" t="n">
        <v>82.3</v>
      </c>
      <c r="L776" s="1" t="n">
        <v>0</v>
      </c>
      <c r="M776" s="1" t="n">
        <v>0</v>
      </c>
      <c r="N776" s="1" t="s">
        <v>458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Z776" s="0" t="n">
        <f aca="false">I776+65</f>
        <v>366</v>
      </c>
      <c r="AB776" s="0" t="n">
        <f aca="false">IF(Z776&gt;360,Z776-360,Z776+0)</f>
        <v>6</v>
      </c>
    </row>
    <row r="777" customFormat="false" ht="15.8" hidden="false" customHeight="false" outlineLevel="0" collapsed="false">
      <c r="A777" s="1" t="n">
        <v>18</v>
      </c>
      <c r="B777" s="1" t="n">
        <v>2</v>
      </c>
      <c r="C777" s="1" t="n">
        <v>2.4</v>
      </c>
      <c r="D777" s="1" t="n">
        <v>1.3011</v>
      </c>
      <c r="E777" s="1" t="n">
        <v>0.0442138</v>
      </c>
      <c r="F777" s="1" t="n">
        <v>6.35426E-005</v>
      </c>
      <c r="G777" s="1" t="s">
        <v>37</v>
      </c>
      <c r="H777" s="1" t="n">
        <v>80.4</v>
      </c>
      <c r="I777" s="1" t="n">
        <v>334.8</v>
      </c>
      <c r="J777" s="1" t="n">
        <v>-38.4</v>
      </c>
      <c r="K777" s="1" t="n">
        <v>52.9</v>
      </c>
      <c r="L777" s="1" t="n">
        <v>0</v>
      </c>
      <c r="M777" s="1" t="n">
        <v>0</v>
      </c>
      <c r="N777" s="1" t="s">
        <v>463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Z777" s="0" t="n">
        <f aca="false">I777+65</f>
        <v>399.8</v>
      </c>
      <c r="AB777" s="0" t="n">
        <f aca="false">IF(Z777&gt;360,Z777-360,Z777+0)</f>
        <v>39.8</v>
      </c>
    </row>
    <row r="778" customFormat="false" ht="15.8" hidden="false" customHeight="false" outlineLevel="0" collapsed="false">
      <c r="A778" s="1" t="n">
        <v>18</v>
      </c>
      <c r="B778" s="1" t="n">
        <v>3</v>
      </c>
      <c r="C778" s="1" t="n">
        <v>0.8</v>
      </c>
      <c r="D778" s="1" t="n">
        <v>1.0255</v>
      </c>
      <c r="E778" s="1" t="n">
        <v>0.0148893</v>
      </c>
      <c r="F778" s="1" t="n">
        <v>2.13984E-005</v>
      </c>
      <c r="G778" s="1" t="s">
        <v>27</v>
      </c>
      <c r="H778" s="1" t="n">
        <v>81.1</v>
      </c>
      <c r="I778" s="1" t="n">
        <v>16.6</v>
      </c>
      <c r="J778" s="1" t="n">
        <v>0</v>
      </c>
      <c r="K778" s="1"/>
      <c r="L778" s="1" t="n">
        <v>0</v>
      </c>
      <c r="M778" s="1" t="n">
        <v>0</v>
      </c>
      <c r="N778" s="1" t="s">
        <v>464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Z778" s="0" t="n">
        <f aca="false">I778+65</f>
        <v>81.6</v>
      </c>
      <c r="AB778" s="0" t="n">
        <f aca="false">IF(Z778&gt;360,Z778-360,Z778+0)</f>
        <v>81.6</v>
      </c>
    </row>
    <row r="779" customFormat="false" ht="15.8" hidden="false" customHeight="false" outlineLevel="0" collapsed="false">
      <c r="A779" s="1" t="n">
        <v>18</v>
      </c>
      <c r="B779" s="1" t="n">
        <v>5</v>
      </c>
      <c r="C779" s="1" t="n">
        <v>5.1</v>
      </c>
      <c r="D779" s="1" t="n">
        <v>1.3507</v>
      </c>
      <c r="E779" s="1" t="n">
        <v>0.0928178</v>
      </c>
      <c r="F779" s="1" t="n">
        <v>0.000133395</v>
      </c>
      <c r="G779" s="1" t="s">
        <v>27</v>
      </c>
      <c r="H779" s="1" t="n">
        <v>74.8</v>
      </c>
      <c r="I779" s="1" t="n">
        <v>283.7</v>
      </c>
      <c r="J779" s="1" t="n">
        <v>37.9</v>
      </c>
      <c r="K779" s="1"/>
      <c r="L779" s="1" t="n">
        <v>0</v>
      </c>
      <c r="M779" s="1" t="n">
        <v>0</v>
      </c>
      <c r="N779" s="1" t="s">
        <v>465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Z779" s="0" t="n">
        <f aca="false">I779+65</f>
        <v>348.7</v>
      </c>
      <c r="AB779" s="0" t="n">
        <f aca="false">IF(Z779&gt;360,Z779-360,Z779+0)</f>
        <v>348.7</v>
      </c>
    </row>
    <row r="780" customFormat="false" ht="15.8" hidden="false" customHeight="false" outlineLevel="0" collapsed="false">
      <c r="A780" s="1" t="n">
        <v>18</v>
      </c>
      <c r="B780" s="1" t="n">
        <v>7</v>
      </c>
      <c r="C780" s="1" t="n">
        <v>0.9</v>
      </c>
      <c r="D780" s="1" t="n">
        <v>1.1764</v>
      </c>
      <c r="E780" s="1" t="n">
        <v>0.0167971</v>
      </c>
      <c r="F780" s="1" t="n">
        <v>2.41402E-005</v>
      </c>
      <c r="G780" s="1" t="s">
        <v>27</v>
      </c>
      <c r="H780" s="1" t="n">
        <v>69.8</v>
      </c>
      <c r="I780" s="1" t="n">
        <v>85</v>
      </c>
      <c r="J780" s="1" t="n">
        <v>0</v>
      </c>
      <c r="K780" s="1"/>
      <c r="L780" s="1" t="n">
        <v>0</v>
      </c>
      <c r="M780" s="1" t="n">
        <v>0</v>
      </c>
      <c r="N780" s="1" t="s">
        <v>466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Z780" s="0" t="n">
        <f aca="false">I780+65</f>
        <v>150</v>
      </c>
      <c r="AB780" s="0" t="n">
        <f aca="false">IF(Z780&gt;360,Z780-360,Z780+0)</f>
        <v>150</v>
      </c>
    </row>
    <row r="781" customFormat="false" ht="15.8" hidden="false" customHeight="false" outlineLevel="0" collapsed="false">
      <c r="A781" s="1" t="n">
        <v>18</v>
      </c>
      <c r="B781" s="1" t="n">
        <v>8</v>
      </c>
      <c r="C781" s="1" t="n">
        <v>3.3</v>
      </c>
      <c r="D781" s="1" t="n">
        <v>1.2543</v>
      </c>
      <c r="E781" s="1" t="n">
        <v>0.0600298</v>
      </c>
      <c r="F781" s="1" t="n">
        <v>8.62728E-005</v>
      </c>
      <c r="G781" s="1" t="s">
        <v>27</v>
      </c>
      <c r="H781" s="1" t="n">
        <v>44.5</v>
      </c>
      <c r="I781" s="1" t="n">
        <v>114.6</v>
      </c>
      <c r="J781" s="1" t="n">
        <v>47.4</v>
      </c>
      <c r="K781" s="1"/>
      <c r="L781" s="1" t="n">
        <v>0</v>
      </c>
      <c r="M781" s="1" t="n">
        <v>0</v>
      </c>
      <c r="N781" s="1" t="s">
        <v>467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Z781" s="0" t="n">
        <f aca="false">I781+65</f>
        <v>179.6</v>
      </c>
      <c r="AB781" s="0" t="n">
        <f aca="false">IF(Z781&gt;360,Z781-360,Z781+0)</f>
        <v>179.6</v>
      </c>
    </row>
    <row r="782" customFormat="false" ht="15.8" hidden="false" customHeight="false" outlineLevel="0" collapsed="false">
      <c r="A782" s="1" t="n">
        <v>18</v>
      </c>
      <c r="B782" s="1" t="n">
        <v>8</v>
      </c>
      <c r="C782" s="1" t="n">
        <v>1</v>
      </c>
      <c r="D782" s="1" t="n">
        <v>1.2271</v>
      </c>
      <c r="E782" s="1" t="n">
        <v>0.0151279</v>
      </c>
      <c r="F782" s="1" t="n">
        <v>1.91258E-005</v>
      </c>
      <c r="G782" s="1" t="s">
        <v>27</v>
      </c>
      <c r="H782" s="1" t="n">
        <v>89.4</v>
      </c>
      <c r="I782" s="1" t="n">
        <v>17.1</v>
      </c>
      <c r="J782" s="1" t="n">
        <v>-30.1</v>
      </c>
      <c r="K782" s="1"/>
      <c r="L782" s="1" t="n">
        <v>0</v>
      </c>
      <c r="M782" s="1" t="n">
        <v>0</v>
      </c>
      <c r="N782" s="1" t="s">
        <v>467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Z782" s="0" t="n">
        <f aca="false">I782+65</f>
        <v>82.1</v>
      </c>
      <c r="AB782" s="0" t="n">
        <f aca="false">IF(Z782&gt;360,Z782-360,Z782+0)</f>
        <v>82.1</v>
      </c>
    </row>
    <row r="783" customFormat="false" ht="15.8" hidden="false" customHeight="false" outlineLevel="0" collapsed="false">
      <c r="A783" s="1" t="n">
        <v>18</v>
      </c>
      <c r="B783" s="1" t="n">
        <v>7</v>
      </c>
      <c r="C783" s="1" t="n">
        <v>1.1</v>
      </c>
      <c r="D783" s="1" t="n">
        <v>1.1562</v>
      </c>
      <c r="E783" s="1" t="n">
        <v>0.0193412</v>
      </c>
      <c r="F783" s="1" t="n">
        <v>2.77965E-005</v>
      </c>
      <c r="G783" s="1" t="s">
        <v>37</v>
      </c>
      <c r="H783" s="1" t="n">
        <v>71.8</v>
      </c>
      <c r="I783" s="1" t="n">
        <v>39.5</v>
      </c>
      <c r="J783" s="1" t="n">
        <v>57.4</v>
      </c>
      <c r="K783" s="1" t="n">
        <v>89.4</v>
      </c>
      <c r="L783" s="1" t="n">
        <v>0</v>
      </c>
      <c r="M783" s="1" t="n">
        <v>0</v>
      </c>
      <c r="N783" s="1" t="s">
        <v>466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Z783" s="0" t="n">
        <f aca="false">I783+65</f>
        <v>104.5</v>
      </c>
      <c r="AB783" s="0" t="n">
        <f aca="false">IF(Z783&gt;360,Z783-360,Z783+0)</f>
        <v>104.5</v>
      </c>
    </row>
    <row r="784" customFormat="false" ht="15.8" hidden="false" customHeight="false" outlineLevel="0" collapsed="false">
      <c r="A784" s="1" t="n">
        <v>18</v>
      </c>
      <c r="B784" s="1" t="n">
        <v>7</v>
      </c>
      <c r="C784" s="1" t="n">
        <v>1.5</v>
      </c>
      <c r="D784" s="1" t="n">
        <v>1.2851</v>
      </c>
      <c r="E784" s="1" t="n">
        <v>0.0454099</v>
      </c>
      <c r="F784" s="1" t="n">
        <v>0.000116703</v>
      </c>
      <c r="G784" s="1" t="s">
        <v>27</v>
      </c>
      <c r="H784" s="1" t="n">
        <v>84.4</v>
      </c>
      <c r="I784" s="1" t="n">
        <v>268.9</v>
      </c>
      <c r="J784" s="1" t="n">
        <v>43.5</v>
      </c>
      <c r="K784" s="1"/>
      <c r="L784" s="1" t="n">
        <v>0</v>
      </c>
      <c r="M784" s="1" t="n">
        <v>0</v>
      </c>
      <c r="N784" s="1" t="s">
        <v>466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Z784" s="0" t="n">
        <f aca="false">I784+65</f>
        <v>333.9</v>
      </c>
      <c r="AB784" s="0" t="n">
        <f aca="false">IF(Z784&gt;360,Z784-360,Z784+0)</f>
        <v>333.9</v>
      </c>
    </row>
    <row r="785" customFormat="false" ht="15.8" hidden="false" customHeight="false" outlineLevel="0" collapsed="false">
      <c r="A785" s="1" t="n">
        <v>18</v>
      </c>
      <c r="B785" s="1" t="n">
        <v>6</v>
      </c>
      <c r="C785" s="1" t="n">
        <v>3.1</v>
      </c>
      <c r="D785" s="1" t="n">
        <v>1.4653</v>
      </c>
      <c r="E785" s="1" t="n">
        <v>0.0553262</v>
      </c>
      <c r="F785" s="1" t="n">
        <v>7.9513E-005</v>
      </c>
      <c r="G785" s="1" t="s">
        <v>37</v>
      </c>
      <c r="H785" s="1" t="n">
        <v>54.4</v>
      </c>
      <c r="I785" s="1" t="n">
        <v>150.4</v>
      </c>
      <c r="J785" s="1" t="n">
        <v>34</v>
      </c>
      <c r="K785" s="1" t="n">
        <v>84.4</v>
      </c>
      <c r="L785" s="1" t="n">
        <v>0</v>
      </c>
      <c r="M785" s="1" t="n">
        <v>0</v>
      </c>
      <c r="N785" s="1" t="s">
        <v>468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Z785" s="0" t="n">
        <f aca="false">I785+65</f>
        <v>215.4</v>
      </c>
      <c r="AB785" s="0" t="n">
        <f aca="false">IF(Z785&gt;360,Z785-360,Z785+0)</f>
        <v>215.4</v>
      </c>
    </row>
    <row r="786" customFormat="false" ht="15.8" hidden="false" customHeight="false" outlineLevel="0" collapsed="false">
      <c r="A786" s="1" t="n">
        <v>18</v>
      </c>
      <c r="B786" s="1" t="n">
        <v>6</v>
      </c>
      <c r="C786" s="1" t="n">
        <v>1.8</v>
      </c>
      <c r="D786" s="1" t="n">
        <v>1.3815</v>
      </c>
      <c r="E786" s="1" t="n">
        <v>0.0328955</v>
      </c>
      <c r="F786" s="1" t="n">
        <v>4.72763E-005</v>
      </c>
      <c r="G786" s="1" t="s">
        <v>27</v>
      </c>
      <c r="H786" s="1" t="n">
        <v>80.2</v>
      </c>
      <c r="I786" s="1" t="n">
        <v>308.9</v>
      </c>
      <c r="J786" s="1" t="n">
        <v>36.3</v>
      </c>
      <c r="K786" s="1"/>
      <c r="L786" s="1" t="n">
        <v>0</v>
      </c>
      <c r="M786" s="1" t="n">
        <v>0</v>
      </c>
      <c r="N786" s="1" t="s">
        <v>468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Z786" s="0" t="n">
        <f aca="false">I786+65</f>
        <v>373.9</v>
      </c>
      <c r="AB786" s="0" t="n">
        <f aca="false">IF(Z786&gt;360,Z786-360,Z786+0)</f>
        <v>13.9</v>
      </c>
    </row>
    <row r="787" customFormat="false" ht="15.8" hidden="false" customHeight="false" outlineLevel="0" collapsed="false">
      <c r="A787" s="1" t="n">
        <v>18</v>
      </c>
      <c r="B787" s="1" t="n">
        <v>7</v>
      </c>
      <c r="C787" s="1" t="n">
        <v>0.8</v>
      </c>
      <c r="D787" s="1" t="n">
        <v>1.0416</v>
      </c>
      <c r="E787" s="1" t="n">
        <v>0.0277244</v>
      </c>
      <c r="F787" s="1" t="n">
        <v>7.824E-005</v>
      </c>
      <c r="G787" s="1" t="s">
        <v>27</v>
      </c>
      <c r="H787" s="1" t="n">
        <v>65.7</v>
      </c>
      <c r="I787" s="1" t="n">
        <v>29.6</v>
      </c>
      <c r="J787" s="1" t="n">
        <v>0</v>
      </c>
      <c r="K787" s="1"/>
      <c r="L787" s="1" t="n">
        <v>0</v>
      </c>
      <c r="M787" s="1" t="n">
        <v>0</v>
      </c>
      <c r="N787" s="1" t="s">
        <v>469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Z787" s="0" t="n">
        <f aca="false">I787+65</f>
        <v>94.6</v>
      </c>
      <c r="AB787" s="0" t="n">
        <f aca="false">IF(Z787&gt;360,Z787-360,Z787+0)</f>
        <v>94.6</v>
      </c>
    </row>
    <row r="788" customFormat="false" ht="15.8" hidden="false" customHeight="false" outlineLevel="0" collapsed="false">
      <c r="A788" s="1" t="n">
        <v>18</v>
      </c>
      <c r="B788" s="1" t="n">
        <v>7</v>
      </c>
      <c r="C788" s="1" t="n">
        <v>1.1</v>
      </c>
      <c r="D788" s="1" t="n">
        <v>1.2232</v>
      </c>
      <c r="E788" s="1" t="n">
        <v>0.0212493</v>
      </c>
      <c r="F788" s="1" t="n">
        <v>3.56856E-005</v>
      </c>
      <c r="G788" s="1" t="s">
        <v>27</v>
      </c>
      <c r="H788" s="1" t="n">
        <v>55.7</v>
      </c>
      <c r="I788" s="1" t="n">
        <v>152.7</v>
      </c>
      <c r="J788" s="1" t="n">
        <v>25.3</v>
      </c>
      <c r="K788" s="1"/>
      <c r="L788" s="1" t="n">
        <v>0</v>
      </c>
      <c r="M788" s="1" t="n">
        <v>0</v>
      </c>
      <c r="N788" s="1" t="s">
        <v>469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Z788" s="0" t="n">
        <f aca="false">I788+65</f>
        <v>217.7</v>
      </c>
      <c r="AB788" s="0" t="n">
        <f aca="false">IF(Z788&gt;360,Z788-360,Z788+0)</f>
        <v>217.7</v>
      </c>
    </row>
    <row r="789" customFormat="false" ht="15.8" hidden="false" customHeight="false" outlineLevel="0" collapsed="false">
      <c r="A789" s="1" t="n">
        <v>18</v>
      </c>
      <c r="B789" s="1" t="n">
        <v>6</v>
      </c>
      <c r="C789" s="1" t="n">
        <v>1.5</v>
      </c>
      <c r="D789" s="1" t="n">
        <v>1.2332</v>
      </c>
      <c r="E789" s="1" t="n">
        <v>0.0328812</v>
      </c>
      <c r="F789" s="1" t="n">
        <v>6.2169E-005</v>
      </c>
      <c r="G789" s="1" t="s">
        <v>37</v>
      </c>
      <c r="H789" s="1" t="n">
        <v>15.1</v>
      </c>
      <c r="I789" s="1" t="n">
        <v>87.4</v>
      </c>
      <c r="J789" s="1" t="n">
        <v>39.4</v>
      </c>
      <c r="K789" s="1" t="n">
        <v>65.7</v>
      </c>
      <c r="L789" s="1" t="n">
        <v>0</v>
      </c>
      <c r="M789" s="1" t="n">
        <v>0</v>
      </c>
      <c r="N789" s="1" t="s">
        <v>468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Z789" s="0" t="n">
        <f aca="false">I789+65</f>
        <v>152.4</v>
      </c>
      <c r="AB789" s="0" t="n">
        <f aca="false">IF(Z789&gt;360,Z789-360,Z789+0)</f>
        <v>152.4</v>
      </c>
    </row>
    <row r="790" customFormat="false" ht="15.8" hidden="false" customHeight="false" outlineLevel="0" collapsed="false">
      <c r="A790" s="1" t="n">
        <v>18</v>
      </c>
      <c r="B790" s="1" t="n">
        <v>7</v>
      </c>
      <c r="C790" s="1" t="n">
        <v>1.9</v>
      </c>
      <c r="D790" s="1" t="n">
        <v>1.055</v>
      </c>
      <c r="E790" s="1" t="n">
        <v>0.0693985</v>
      </c>
      <c r="F790" s="1" t="n">
        <v>0.000199475</v>
      </c>
      <c r="G790" s="1" t="s">
        <v>27</v>
      </c>
      <c r="H790" s="1" t="n">
        <v>29.5</v>
      </c>
      <c r="I790" s="1" t="n">
        <v>225.5</v>
      </c>
      <c r="J790" s="1" t="n">
        <v>0</v>
      </c>
      <c r="K790" s="1"/>
      <c r="L790" s="1" t="n">
        <v>0</v>
      </c>
      <c r="M790" s="1" t="n">
        <v>0</v>
      </c>
      <c r="N790" s="1" t="s">
        <v>470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Z790" s="0" t="n">
        <f aca="false">I790+65</f>
        <v>290.5</v>
      </c>
      <c r="AB790" s="0" t="n">
        <f aca="false">IF(Z790&gt;360,Z790-360,Z790+0)</f>
        <v>290.5</v>
      </c>
    </row>
    <row r="791" customFormat="false" ht="15.8" hidden="false" customHeight="false" outlineLevel="0" collapsed="false">
      <c r="A791" s="1" t="n">
        <v>18</v>
      </c>
      <c r="B791" s="1" t="n">
        <v>7</v>
      </c>
      <c r="C791" s="1" t="n">
        <v>1</v>
      </c>
      <c r="D791" s="1" t="n">
        <v>1.0382</v>
      </c>
      <c r="E791" s="1" t="n">
        <v>0.0366019</v>
      </c>
      <c r="F791" s="1" t="n">
        <v>0.000105206</v>
      </c>
      <c r="G791" s="1" t="s">
        <v>27</v>
      </c>
      <c r="H791" s="1" t="n">
        <v>36</v>
      </c>
      <c r="I791" s="1" t="n">
        <v>285</v>
      </c>
      <c r="J791" s="1" t="n">
        <v>0</v>
      </c>
      <c r="K791" s="1"/>
      <c r="L791" s="1" t="n">
        <v>0</v>
      </c>
      <c r="M791" s="1" t="n">
        <v>0</v>
      </c>
      <c r="N791" s="1" t="s">
        <v>470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Z791" s="0" t="n">
        <f aca="false">I791+65</f>
        <v>350</v>
      </c>
      <c r="AB791" s="0" t="n">
        <f aca="false">IF(Z791&gt;360,Z791-360,Z791+0)</f>
        <v>350</v>
      </c>
    </row>
    <row r="792" customFormat="false" ht="15.8" hidden="false" customHeight="false" outlineLevel="0" collapsed="false">
      <c r="A792" s="1" t="n">
        <v>18</v>
      </c>
      <c r="B792" s="1" t="n">
        <v>6</v>
      </c>
      <c r="C792" s="1" t="n">
        <v>1.9</v>
      </c>
      <c r="D792" s="1" t="n">
        <v>1.1713</v>
      </c>
      <c r="E792" s="1" t="n">
        <v>0.0639575</v>
      </c>
      <c r="F792" s="1" t="n">
        <v>0.000179329</v>
      </c>
      <c r="G792" s="1" t="s">
        <v>37</v>
      </c>
      <c r="H792" s="1" t="n">
        <v>113.2</v>
      </c>
      <c r="I792" s="1" t="n">
        <v>251.6</v>
      </c>
      <c r="J792" s="1" t="n">
        <v>14.3</v>
      </c>
      <c r="K792" s="1" t="n">
        <v>36</v>
      </c>
      <c r="L792" s="1" t="n">
        <v>0</v>
      </c>
      <c r="M792" s="1" t="n">
        <v>0</v>
      </c>
      <c r="N792" s="1" t="s">
        <v>468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Z792" s="0" t="n">
        <f aca="false">I792+65</f>
        <v>316.6</v>
      </c>
      <c r="AB792" s="0" t="n">
        <f aca="false">IF(Z792&gt;360,Z792-360,Z792+0)</f>
        <v>316.6</v>
      </c>
    </row>
    <row r="793" customFormat="false" ht="15.8" hidden="false" customHeight="false" outlineLevel="0" collapsed="false">
      <c r="A793" s="1" t="n">
        <v>18</v>
      </c>
      <c r="B793" s="1" t="n">
        <v>5</v>
      </c>
      <c r="C793" s="1" t="n">
        <v>1.7</v>
      </c>
      <c r="D793" s="1" t="n">
        <v>1.1777</v>
      </c>
      <c r="E793" s="1" t="n">
        <v>0.031386</v>
      </c>
      <c r="F793" s="1" t="n">
        <v>4.51069E-005</v>
      </c>
      <c r="G793" s="1" t="s">
        <v>37</v>
      </c>
      <c r="H793" s="1" t="n">
        <v>81.2</v>
      </c>
      <c r="I793" s="1" t="n">
        <v>76.3</v>
      </c>
      <c r="J793" s="1" t="n">
        <v>52.5</v>
      </c>
      <c r="K793" s="1" t="n">
        <v>113.2</v>
      </c>
      <c r="L793" s="1" t="n">
        <v>0</v>
      </c>
      <c r="M793" s="1" t="n">
        <v>0</v>
      </c>
      <c r="N793" s="1" t="s">
        <v>465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Z793" s="0" t="n">
        <f aca="false">I793+65</f>
        <v>141.3</v>
      </c>
      <c r="AB793" s="0" t="n">
        <f aca="false">IF(Z793&gt;360,Z793-360,Z793+0)</f>
        <v>141.3</v>
      </c>
    </row>
    <row r="794" customFormat="false" ht="15.8" hidden="false" customHeight="false" outlineLevel="0" collapsed="false">
      <c r="A794" s="1" t="n">
        <v>18</v>
      </c>
      <c r="B794" s="1" t="n">
        <v>4</v>
      </c>
      <c r="C794" s="1" t="n">
        <v>4</v>
      </c>
      <c r="D794" s="1" t="n">
        <v>1.2288</v>
      </c>
      <c r="E794" s="1" t="n">
        <v>0.0726339</v>
      </c>
      <c r="F794" s="1" t="n">
        <v>0.000104387</v>
      </c>
      <c r="G794" s="1" t="s">
        <v>37</v>
      </c>
      <c r="H794" s="1" t="n">
        <v>86.6</v>
      </c>
      <c r="I794" s="1" t="n">
        <v>191.2</v>
      </c>
      <c r="J794" s="1" t="n">
        <v>28.5</v>
      </c>
      <c r="K794" s="1" t="n">
        <v>81.2</v>
      </c>
      <c r="L794" s="1" t="n">
        <v>0</v>
      </c>
      <c r="M794" s="1" t="n">
        <v>0</v>
      </c>
      <c r="N794" s="1" t="s">
        <v>471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Z794" s="0" t="n">
        <f aca="false">I794+65</f>
        <v>256.2</v>
      </c>
      <c r="AB794" s="0" t="n">
        <f aca="false">IF(Z794&gt;360,Z794-360,Z794+0)</f>
        <v>256.2</v>
      </c>
    </row>
    <row r="795" customFormat="false" ht="15.8" hidden="false" customHeight="false" outlineLevel="0" collapsed="false">
      <c r="A795" s="1" t="n">
        <v>18</v>
      </c>
      <c r="B795" s="1" t="n">
        <v>5</v>
      </c>
      <c r="C795" s="1" t="n">
        <v>1.8</v>
      </c>
      <c r="D795" s="1" t="n">
        <v>1.2793</v>
      </c>
      <c r="E795" s="1" t="n">
        <v>0.0608664</v>
      </c>
      <c r="F795" s="1" t="n">
        <v>0.000167289</v>
      </c>
      <c r="G795" s="1" t="s">
        <v>27</v>
      </c>
      <c r="H795" s="1" t="n">
        <v>124.9</v>
      </c>
      <c r="I795" s="1" t="n">
        <v>335.5</v>
      </c>
      <c r="J795" s="1" t="n">
        <v>-16.1</v>
      </c>
      <c r="K795" s="1"/>
      <c r="L795" s="1" t="n">
        <v>0</v>
      </c>
      <c r="M795" s="1" t="n">
        <v>0</v>
      </c>
      <c r="N795" s="1" t="s">
        <v>472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Z795" s="0" t="n">
        <f aca="false">I795+65</f>
        <v>400.5</v>
      </c>
      <c r="AB795" s="0" t="n">
        <f aca="false">IF(Z795&gt;360,Z795-360,Z795+0)</f>
        <v>40.5</v>
      </c>
    </row>
    <row r="796" customFormat="false" ht="15.8" hidden="false" customHeight="false" outlineLevel="0" collapsed="false">
      <c r="A796" s="1" t="n">
        <v>18</v>
      </c>
      <c r="B796" s="1" t="n">
        <v>5</v>
      </c>
      <c r="C796" s="1" t="n">
        <v>0.8</v>
      </c>
      <c r="D796" s="1" t="n">
        <v>1.0249</v>
      </c>
      <c r="E796" s="1" t="n">
        <v>0.0267735</v>
      </c>
      <c r="F796" s="1" t="n">
        <v>7.38172E-005</v>
      </c>
      <c r="G796" s="1" t="s">
        <v>27</v>
      </c>
      <c r="H796" s="1" t="n">
        <v>38.3</v>
      </c>
      <c r="I796" s="1" t="n">
        <v>62.6</v>
      </c>
      <c r="J796" s="1" t="n">
        <v>0</v>
      </c>
      <c r="K796" s="1"/>
      <c r="L796" s="1" t="n">
        <v>0</v>
      </c>
      <c r="M796" s="1" t="n">
        <v>0</v>
      </c>
      <c r="N796" s="1" t="s">
        <v>472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Z796" s="0" t="n">
        <f aca="false">I796+65</f>
        <v>127.6</v>
      </c>
      <c r="AB796" s="0" t="n">
        <f aca="false">IF(Z796&gt;360,Z796-360,Z796+0)</f>
        <v>127.6</v>
      </c>
    </row>
    <row r="797" customFormat="false" ht="15.8" hidden="false" customHeight="false" outlineLevel="0" collapsed="false">
      <c r="A797" s="1" t="n">
        <v>18</v>
      </c>
      <c r="B797" s="1" t="n">
        <v>5</v>
      </c>
      <c r="C797" s="1" t="n">
        <v>2.3</v>
      </c>
      <c r="D797" s="1" t="n">
        <v>1.1557</v>
      </c>
      <c r="E797" s="1" t="n">
        <v>0.0422049</v>
      </c>
      <c r="F797" s="1" t="n">
        <v>6.06555E-005</v>
      </c>
      <c r="G797" s="1" t="s">
        <v>27</v>
      </c>
      <c r="H797" s="1" t="n">
        <v>45.8</v>
      </c>
      <c r="I797" s="1" t="n">
        <v>144.8</v>
      </c>
      <c r="J797" s="1" t="n">
        <v>11.1</v>
      </c>
      <c r="K797" s="1"/>
      <c r="L797" s="1" t="n">
        <v>0</v>
      </c>
      <c r="M797" s="1" t="n">
        <v>0</v>
      </c>
      <c r="N797" s="1" t="s">
        <v>472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Z797" s="0" t="n">
        <f aca="false">I797+65</f>
        <v>209.8</v>
      </c>
      <c r="AB797" s="0" t="n">
        <f aca="false">IF(Z797&gt;360,Z797-360,Z797+0)</f>
        <v>209.8</v>
      </c>
    </row>
    <row r="798" customFormat="false" ht="15.8" hidden="false" customHeight="false" outlineLevel="0" collapsed="false">
      <c r="A798" s="1" t="n">
        <v>18</v>
      </c>
      <c r="B798" s="1" t="n">
        <v>4</v>
      </c>
      <c r="C798" s="1" t="n">
        <v>5.1</v>
      </c>
      <c r="D798" s="1" t="n">
        <v>1.2281</v>
      </c>
      <c r="E798" s="1" t="n">
        <v>0.0927862</v>
      </c>
      <c r="F798" s="1" t="n">
        <v>0.000133349</v>
      </c>
      <c r="G798" s="1" t="s">
        <v>37</v>
      </c>
      <c r="H798" s="1" t="n">
        <v>17.7</v>
      </c>
      <c r="I798" s="1" t="n">
        <v>97.8</v>
      </c>
      <c r="J798" s="1" t="n">
        <v>16.2</v>
      </c>
      <c r="K798" s="1" t="n">
        <v>124.9</v>
      </c>
      <c r="L798" s="1" t="n">
        <v>0</v>
      </c>
      <c r="M798" s="1" t="n">
        <v>0</v>
      </c>
      <c r="N798" s="1" t="s">
        <v>471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Z798" s="0" t="n">
        <f aca="false">I798+65</f>
        <v>162.8</v>
      </c>
      <c r="AB798" s="0" t="n">
        <f aca="false">IF(Z798&gt;360,Z798-360,Z798+0)</f>
        <v>162.8</v>
      </c>
    </row>
    <row r="799" customFormat="false" ht="15.8" hidden="false" customHeight="false" outlineLevel="0" collapsed="false">
      <c r="A799" s="1" t="n">
        <v>18</v>
      </c>
      <c r="B799" s="1" t="n">
        <v>3</v>
      </c>
      <c r="C799" s="1" t="n">
        <v>0.4</v>
      </c>
      <c r="D799" s="1" t="n">
        <v>1.0355</v>
      </c>
      <c r="E799" s="1" t="n">
        <v>0.00697691</v>
      </c>
      <c r="F799" s="1" t="n">
        <v>1.0027E-005</v>
      </c>
      <c r="G799" s="1" t="s">
        <v>37</v>
      </c>
      <c r="H799" s="1" t="n">
        <v>39.1</v>
      </c>
      <c r="I799" s="1" t="n">
        <v>105</v>
      </c>
      <c r="J799" s="1" t="n">
        <v>0</v>
      </c>
      <c r="K799" s="1" t="n">
        <v>86.6</v>
      </c>
      <c r="L799" s="1" t="n">
        <v>0</v>
      </c>
      <c r="M799" s="1" t="n">
        <v>0</v>
      </c>
      <c r="N799" s="1" t="s">
        <v>464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Z799" s="0" t="n">
        <f aca="false">I799+65</f>
        <v>170</v>
      </c>
      <c r="AB799" s="0" t="n">
        <f aca="false">IF(Z799&gt;360,Z799-360,Z799+0)</f>
        <v>170</v>
      </c>
    </row>
    <row r="800" customFormat="false" ht="15.8" hidden="false" customHeight="false" outlineLevel="0" collapsed="false">
      <c r="A800" s="1" t="n">
        <v>18</v>
      </c>
      <c r="B800" s="1" t="n">
        <v>2</v>
      </c>
      <c r="C800" s="1" t="n">
        <v>2.4</v>
      </c>
      <c r="D800" s="1" t="n">
        <v>1.2614</v>
      </c>
      <c r="E800" s="1" t="n">
        <v>0.0432538</v>
      </c>
      <c r="F800" s="1" t="n">
        <v>6.2163E-005</v>
      </c>
      <c r="G800" s="1" t="s">
        <v>37</v>
      </c>
      <c r="H800" s="1" t="n">
        <v>53.8</v>
      </c>
      <c r="I800" s="1" t="n">
        <v>95.3</v>
      </c>
      <c r="J800" s="1" t="n">
        <v>38</v>
      </c>
      <c r="K800" s="1" t="n">
        <v>81.1</v>
      </c>
      <c r="L800" s="1" t="n">
        <v>0</v>
      </c>
      <c r="M800" s="1" t="n">
        <v>0</v>
      </c>
      <c r="N800" s="1" t="s">
        <v>463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Z800" s="0" t="n">
        <f aca="false">I800+65</f>
        <v>160.3</v>
      </c>
      <c r="AB800" s="0" t="n">
        <f aca="false">IF(Z800&gt;360,Z800-360,Z800+0)</f>
        <v>160.3</v>
      </c>
    </row>
    <row r="801" customFormat="false" ht="15.8" hidden="false" customHeight="false" outlineLevel="0" collapsed="false">
      <c r="A801" s="1" t="n">
        <v>18</v>
      </c>
      <c r="B801" s="1" t="n">
        <v>1</v>
      </c>
      <c r="C801" s="1" t="n">
        <v>3.2</v>
      </c>
      <c r="D801" s="1" t="n">
        <v>1.1528</v>
      </c>
      <c r="E801" s="1" t="n">
        <v>0.0840924</v>
      </c>
      <c r="F801" s="1" t="n">
        <v>0.000253508</v>
      </c>
      <c r="G801" s="1" t="s">
        <v>37</v>
      </c>
      <c r="H801" s="1"/>
      <c r="I801" s="1" t="n">
        <v>43.1</v>
      </c>
      <c r="J801" s="1" t="n">
        <v>10.9</v>
      </c>
      <c r="K801" s="1" t="n">
        <v>80.4</v>
      </c>
      <c r="L801" s="1" t="n">
        <v>0</v>
      </c>
      <c r="M801" s="1" t="n">
        <v>0</v>
      </c>
      <c r="N801" s="1" t="s">
        <v>473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Z801" s="0" t="n">
        <f aca="false">I801+65</f>
        <v>108.1</v>
      </c>
      <c r="AB801" s="0" t="n">
        <f aca="false">IF(Z801&gt;360,Z801-360,Z801+0)</f>
        <v>108.1</v>
      </c>
    </row>
    <row r="802" customFormat="false" ht="15.8" hidden="false" customHeight="false" outlineLevel="0" collapsed="false">
      <c r="A802" s="1" t="n">
        <v>19</v>
      </c>
      <c r="B802" s="1" t="n">
        <v>4</v>
      </c>
      <c r="C802" s="1" t="n">
        <v>18.5</v>
      </c>
      <c r="D802" s="1" t="n">
        <v>1.2739</v>
      </c>
      <c r="E802" s="1" t="n">
        <v>0.667377</v>
      </c>
      <c r="F802" s="1" t="n">
        <v>0.00191826</v>
      </c>
      <c r="G802" s="1" t="s">
        <v>27</v>
      </c>
      <c r="H802" s="1" t="n">
        <v>68.2</v>
      </c>
      <c r="I802" s="1" t="n">
        <v>278.8</v>
      </c>
      <c r="J802" s="1" t="n">
        <v>9.3</v>
      </c>
      <c r="K802" s="1"/>
      <c r="L802" s="1" t="n">
        <v>0</v>
      </c>
      <c r="M802" s="1" t="n">
        <v>0</v>
      </c>
      <c r="N802" s="1" t="s">
        <v>474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Z802" s="0" t="n">
        <f aca="false">I802+65</f>
        <v>343.8</v>
      </c>
      <c r="AB802" s="0" t="n">
        <f aca="false">IF(Z802&gt;360,Z802-360,Z802+0)</f>
        <v>343.8</v>
      </c>
    </row>
    <row r="803" customFormat="false" ht="15.8" hidden="false" customHeight="false" outlineLevel="0" collapsed="false">
      <c r="A803" s="1" t="n">
        <v>19</v>
      </c>
      <c r="B803" s="1" t="n">
        <v>15</v>
      </c>
      <c r="C803" s="1" t="n">
        <v>6.9</v>
      </c>
      <c r="D803" s="1" t="n">
        <v>1.1482</v>
      </c>
      <c r="E803" s="1" t="n">
        <v>0.247659</v>
      </c>
      <c r="F803" s="1" t="n">
        <v>0.000711856</v>
      </c>
      <c r="G803" s="1" t="s">
        <v>27</v>
      </c>
      <c r="H803" s="1" t="n">
        <v>165.3</v>
      </c>
      <c r="I803" s="1" t="n">
        <v>298.8</v>
      </c>
      <c r="J803" s="1" t="n">
        <v>-3.7</v>
      </c>
      <c r="K803" s="1"/>
      <c r="L803" s="1" t="n">
        <v>0</v>
      </c>
      <c r="M803" s="1" t="n">
        <v>0</v>
      </c>
      <c r="N803" s="1" t="s">
        <v>475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Z803" s="0" t="n">
        <f aca="false">I803+65</f>
        <v>363.8</v>
      </c>
      <c r="AB803" s="0" t="n">
        <f aca="false">IF(Z803&gt;360,Z803-360,Z803+0)</f>
        <v>3.80000000000001</v>
      </c>
    </row>
    <row r="804" customFormat="false" ht="15.8" hidden="false" customHeight="false" outlineLevel="0" collapsed="false">
      <c r="A804" s="1" t="n">
        <v>19</v>
      </c>
      <c r="B804" s="1" t="n">
        <v>15</v>
      </c>
      <c r="C804" s="1" t="n">
        <v>7.4</v>
      </c>
      <c r="D804" s="1" t="n">
        <v>1.2988</v>
      </c>
      <c r="E804" s="1" t="n">
        <v>0.26761</v>
      </c>
      <c r="F804" s="1" t="n">
        <v>0.000769201</v>
      </c>
      <c r="G804" s="1" t="s">
        <v>27</v>
      </c>
      <c r="H804" s="1" t="n">
        <v>30.8</v>
      </c>
      <c r="I804" s="1" t="n">
        <v>135.2</v>
      </c>
      <c r="J804" s="1" t="n">
        <v>3.9</v>
      </c>
      <c r="K804" s="1"/>
      <c r="L804" s="1" t="n">
        <v>0</v>
      </c>
      <c r="M804" s="1" t="n">
        <v>0</v>
      </c>
      <c r="N804" s="1" t="s">
        <v>475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Z804" s="0" t="n">
        <f aca="false">I804+65</f>
        <v>200.2</v>
      </c>
      <c r="AB804" s="0" t="n">
        <f aca="false">IF(Z804&gt;360,Z804-360,Z804+0)</f>
        <v>200.2</v>
      </c>
    </row>
    <row r="805" customFormat="false" ht="15.8" hidden="false" customHeight="false" outlineLevel="0" collapsed="false">
      <c r="A805" s="1" t="n">
        <v>19</v>
      </c>
      <c r="B805" s="1" t="n">
        <v>14</v>
      </c>
      <c r="C805" s="1" t="n">
        <v>3.4</v>
      </c>
      <c r="D805" s="1" t="n">
        <v>1.5715</v>
      </c>
      <c r="E805" s="1" t="n">
        <v>0.124105</v>
      </c>
      <c r="F805" s="1" t="n">
        <v>0.000356719</v>
      </c>
      <c r="G805" s="1" t="s">
        <v>37</v>
      </c>
      <c r="H805" s="1" t="n">
        <v>32.5</v>
      </c>
      <c r="I805" s="1" t="n">
        <v>104.6</v>
      </c>
      <c r="J805" s="1" t="n">
        <v>0</v>
      </c>
      <c r="K805" s="1" t="n">
        <v>165.3</v>
      </c>
      <c r="L805" s="1" t="n">
        <v>0</v>
      </c>
      <c r="M805" s="1" t="n">
        <v>0</v>
      </c>
      <c r="N805" s="1" t="s">
        <v>476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Z805" s="0" t="n">
        <f aca="false">I805+65</f>
        <v>169.6</v>
      </c>
      <c r="AB805" s="0" t="n">
        <f aca="false">IF(Z805&gt;360,Z805-360,Z805+0)</f>
        <v>169.6</v>
      </c>
    </row>
    <row r="806" customFormat="false" ht="15.8" hidden="false" customHeight="false" outlineLevel="0" collapsed="false">
      <c r="A806" s="1" t="n">
        <v>19</v>
      </c>
      <c r="B806" s="1" t="n">
        <v>14</v>
      </c>
      <c r="C806" s="1" t="n">
        <v>3.5</v>
      </c>
      <c r="D806" s="1" t="n">
        <v>1.1609</v>
      </c>
      <c r="E806" s="1" t="n">
        <v>0.128106</v>
      </c>
      <c r="F806" s="1" t="n">
        <v>0.00036822</v>
      </c>
      <c r="G806" s="1" t="s">
        <v>27</v>
      </c>
      <c r="H806" s="1" t="n">
        <v>39.4</v>
      </c>
      <c r="I806" s="1" t="n">
        <v>35.2</v>
      </c>
      <c r="J806" s="1" t="n">
        <v>-14.8</v>
      </c>
      <c r="K806" s="1"/>
      <c r="L806" s="1" t="n">
        <v>0</v>
      </c>
      <c r="M806" s="1" t="n">
        <v>0</v>
      </c>
      <c r="N806" s="1" t="s">
        <v>476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Z806" s="0" t="n">
        <f aca="false">I806+65</f>
        <v>100.2</v>
      </c>
      <c r="AB806" s="0" t="n">
        <f aca="false">IF(Z806&gt;360,Z806-360,Z806+0)</f>
        <v>100.2</v>
      </c>
    </row>
    <row r="807" customFormat="false" ht="15.8" hidden="false" customHeight="false" outlineLevel="0" collapsed="false">
      <c r="A807" s="1" t="n">
        <v>19</v>
      </c>
      <c r="B807" s="1" t="n">
        <v>13</v>
      </c>
      <c r="C807" s="1" t="n">
        <v>1.8</v>
      </c>
      <c r="D807" s="1" t="n">
        <v>1.0014</v>
      </c>
      <c r="E807" s="1" t="n">
        <v>0.0650999</v>
      </c>
      <c r="F807" s="1" t="n">
        <v>0.000187119</v>
      </c>
      <c r="G807" s="1" t="s">
        <v>37</v>
      </c>
      <c r="H807" s="1" t="n">
        <v>48.2</v>
      </c>
      <c r="I807" s="1" t="n">
        <v>72.1</v>
      </c>
      <c r="J807" s="1" t="n">
        <v>0</v>
      </c>
      <c r="K807" s="1" t="n">
        <v>39.4</v>
      </c>
      <c r="L807" s="1" t="n">
        <v>0</v>
      </c>
      <c r="M807" s="1" t="n">
        <v>0</v>
      </c>
      <c r="N807" s="1" t="s">
        <v>477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Z807" s="0" t="n">
        <f aca="false">I807+65</f>
        <v>137.1</v>
      </c>
      <c r="AB807" s="0" t="n">
        <f aca="false">IF(Z807&gt;360,Z807-360,Z807+0)</f>
        <v>137.1</v>
      </c>
    </row>
    <row r="808" customFormat="false" ht="15.8" hidden="false" customHeight="false" outlineLevel="0" collapsed="false">
      <c r="A808" s="1" t="n">
        <v>19</v>
      </c>
      <c r="B808" s="1" t="n">
        <v>13</v>
      </c>
      <c r="C808" s="1" t="n">
        <v>1.8</v>
      </c>
      <c r="D808" s="1" t="n">
        <v>1.2069</v>
      </c>
      <c r="E808" s="1" t="n">
        <v>0.0655001</v>
      </c>
      <c r="F808" s="1" t="n">
        <v>0.000188269</v>
      </c>
      <c r="G808" s="1" t="s">
        <v>27</v>
      </c>
      <c r="H808" s="1" t="n">
        <v>86.4</v>
      </c>
      <c r="I808" s="1" t="n">
        <v>307.6</v>
      </c>
      <c r="J808" s="1" t="n">
        <v>-15</v>
      </c>
      <c r="K808" s="1"/>
      <c r="L808" s="1" t="n">
        <v>0</v>
      </c>
      <c r="M808" s="1" t="n">
        <v>0</v>
      </c>
      <c r="N808" s="1" t="s">
        <v>477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Z808" s="0" t="n">
        <f aca="false">I808+65</f>
        <v>372.6</v>
      </c>
      <c r="AB808" s="0" t="n">
        <f aca="false">IF(Z808&gt;360,Z808-360,Z808+0)</f>
        <v>12.6</v>
      </c>
    </row>
    <row r="809" customFormat="false" ht="15.8" hidden="false" customHeight="false" outlineLevel="0" collapsed="false">
      <c r="A809" s="1" t="n">
        <v>19</v>
      </c>
      <c r="B809" s="1" t="n">
        <v>12</v>
      </c>
      <c r="C809" s="1" t="n">
        <v>1.5</v>
      </c>
      <c r="D809" s="1" t="n">
        <v>1.2651</v>
      </c>
      <c r="E809" s="1" t="n">
        <v>0.0528524</v>
      </c>
      <c r="F809" s="1" t="n">
        <v>0.000151915</v>
      </c>
      <c r="G809" s="1" t="s">
        <v>37</v>
      </c>
      <c r="H809" s="1" t="n">
        <v>103.7</v>
      </c>
      <c r="I809" s="1" t="n">
        <v>46.6</v>
      </c>
      <c r="J809" s="1" t="n">
        <v>-42.4</v>
      </c>
      <c r="K809" s="1" t="n">
        <v>86.4</v>
      </c>
      <c r="L809" s="1" t="n">
        <v>0</v>
      </c>
      <c r="M809" s="1" t="n">
        <v>0</v>
      </c>
      <c r="N809" s="1" t="s">
        <v>478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Z809" s="0" t="n">
        <f aca="false">I809+65</f>
        <v>111.6</v>
      </c>
      <c r="AB809" s="0" t="n">
        <f aca="false">IF(Z809&gt;360,Z809-360,Z809+0)</f>
        <v>111.6</v>
      </c>
    </row>
    <row r="810" customFormat="false" ht="15.8" hidden="false" customHeight="false" outlineLevel="0" collapsed="false">
      <c r="A810" s="1" t="n">
        <v>19</v>
      </c>
      <c r="B810" s="1" t="n">
        <v>12</v>
      </c>
      <c r="C810" s="1" t="n">
        <v>2.1</v>
      </c>
      <c r="D810" s="1" t="n">
        <v>1.2207</v>
      </c>
      <c r="E810" s="1" t="n">
        <v>0.0772915</v>
      </c>
      <c r="F810" s="1" t="n">
        <v>0.000222162</v>
      </c>
      <c r="G810" s="1" t="s">
        <v>27</v>
      </c>
      <c r="H810" s="1" t="n">
        <v>61.9</v>
      </c>
      <c r="I810" s="1" t="n">
        <v>275.6</v>
      </c>
      <c r="J810" s="1" t="n">
        <v>-41.9</v>
      </c>
      <c r="K810" s="1"/>
      <c r="L810" s="1" t="n">
        <v>0</v>
      </c>
      <c r="M810" s="1" t="n">
        <v>0</v>
      </c>
      <c r="N810" s="1" t="s">
        <v>478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Z810" s="0" t="n">
        <f aca="false">I810+65</f>
        <v>340.6</v>
      </c>
      <c r="AB810" s="0" t="n">
        <f aca="false">IF(Z810&gt;360,Z810-360,Z810+0)</f>
        <v>340.6</v>
      </c>
    </row>
    <row r="811" customFormat="false" ht="15.8" hidden="false" customHeight="false" outlineLevel="0" collapsed="false">
      <c r="A811" s="1" t="n">
        <v>19</v>
      </c>
      <c r="B811" s="1" t="n">
        <v>12</v>
      </c>
      <c r="C811" s="1" t="n">
        <v>3.3</v>
      </c>
      <c r="D811" s="1" t="n">
        <v>1.6321</v>
      </c>
      <c r="E811" s="1" t="n">
        <v>0.119044</v>
      </c>
      <c r="F811" s="1" t="n">
        <v>0.000342172</v>
      </c>
      <c r="G811" s="1" t="s">
        <v>27</v>
      </c>
      <c r="H811" s="1" t="n">
        <v>49.7</v>
      </c>
      <c r="I811" s="1" t="n">
        <v>248.2</v>
      </c>
      <c r="J811" s="1" t="n">
        <v>-11.1</v>
      </c>
      <c r="K811" s="1"/>
      <c r="L811" s="1" t="n">
        <v>0</v>
      </c>
      <c r="M811" s="1" t="n">
        <v>0</v>
      </c>
      <c r="N811" s="1" t="s">
        <v>478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Z811" s="0" t="n">
        <f aca="false">I811+65</f>
        <v>313.2</v>
      </c>
      <c r="AB811" s="0" t="n">
        <f aca="false">IF(Z811&gt;360,Z811-360,Z811+0)</f>
        <v>313.2</v>
      </c>
    </row>
    <row r="812" customFormat="false" ht="15.8" hidden="false" customHeight="false" outlineLevel="0" collapsed="false">
      <c r="A812" s="1" t="n">
        <v>19</v>
      </c>
      <c r="B812" s="1" t="n">
        <v>11</v>
      </c>
      <c r="C812" s="1" t="n">
        <v>4.5</v>
      </c>
      <c r="D812" s="1" t="n">
        <v>1.4094</v>
      </c>
      <c r="E812" s="1" t="n">
        <v>0.162025</v>
      </c>
      <c r="F812" s="1" t="n">
        <v>0.000465714</v>
      </c>
      <c r="G812" s="1" t="s">
        <v>37</v>
      </c>
      <c r="H812" s="1" t="n">
        <v>63.3</v>
      </c>
      <c r="I812" s="1" t="n">
        <v>198.4</v>
      </c>
      <c r="J812" s="1" t="n">
        <v>-29.4</v>
      </c>
      <c r="K812" s="1" t="n">
        <v>103.7</v>
      </c>
      <c r="L812" s="1" t="n">
        <v>0</v>
      </c>
      <c r="M812" s="1" t="n">
        <v>0</v>
      </c>
      <c r="N812" s="1" t="s">
        <v>479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Z812" s="0" t="n">
        <f aca="false">I812+65</f>
        <v>263.4</v>
      </c>
      <c r="AB812" s="0" t="n">
        <f aca="false">IF(Z812&gt;360,Z812-360,Z812+0)</f>
        <v>263.4</v>
      </c>
    </row>
    <row r="813" customFormat="false" ht="15.8" hidden="false" customHeight="false" outlineLevel="0" collapsed="false">
      <c r="A813" s="1" t="n">
        <v>19</v>
      </c>
      <c r="B813" s="1" t="n">
        <v>15</v>
      </c>
      <c r="C813" s="1" t="n">
        <v>2.5</v>
      </c>
      <c r="D813" s="1" t="n">
        <v>1.1635</v>
      </c>
      <c r="E813" s="1" t="n">
        <v>0.0913268</v>
      </c>
      <c r="F813" s="1" t="n">
        <v>0.000262504</v>
      </c>
      <c r="G813" s="1" t="s">
        <v>27</v>
      </c>
      <c r="H813" s="1" t="n">
        <v>35.6</v>
      </c>
      <c r="I813" s="1" t="n">
        <v>158.4</v>
      </c>
      <c r="J813" s="1" t="n">
        <v>21</v>
      </c>
      <c r="K813" s="1"/>
      <c r="L813" s="1" t="n">
        <v>0</v>
      </c>
      <c r="M813" s="1" t="n">
        <v>0</v>
      </c>
      <c r="N813" s="1" t="s">
        <v>480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Z813" s="0" t="n">
        <f aca="false">I813+65</f>
        <v>223.4</v>
      </c>
      <c r="AB813" s="0" t="n">
        <f aca="false">IF(Z813&gt;360,Z813-360,Z813+0)</f>
        <v>223.4</v>
      </c>
    </row>
    <row r="814" customFormat="false" ht="15.8" hidden="false" customHeight="false" outlineLevel="0" collapsed="false">
      <c r="A814" s="1" t="n">
        <v>19</v>
      </c>
      <c r="B814" s="1" t="n">
        <v>16</v>
      </c>
      <c r="C814" s="1" t="n">
        <v>1.4</v>
      </c>
      <c r="D814" s="1" t="n">
        <v>1.2183</v>
      </c>
      <c r="E814" s="1" t="n">
        <v>0.0510413</v>
      </c>
      <c r="F814" s="1" t="n">
        <v>0.00014671</v>
      </c>
      <c r="G814" s="1" t="s">
        <v>27</v>
      </c>
      <c r="H814" s="1" t="n">
        <v>45.7</v>
      </c>
      <c r="I814" s="1" t="n">
        <v>90.6</v>
      </c>
      <c r="J814" s="1" t="n">
        <v>19.6</v>
      </c>
      <c r="K814" s="1"/>
      <c r="L814" s="1" t="n">
        <v>0</v>
      </c>
      <c r="M814" s="1" t="n">
        <v>0</v>
      </c>
      <c r="N814" s="1" t="s">
        <v>481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Z814" s="0" t="n">
        <f aca="false">I814+65</f>
        <v>155.6</v>
      </c>
      <c r="AB814" s="0" t="n">
        <f aca="false">IF(Z814&gt;360,Z814-360,Z814+0)</f>
        <v>155.6</v>
      </c>
    </row>
    <row r="815" customFormat="false" ht="15.8" hidden="false" customHeight="false" outlineLevel="0" collapsed="false">
      <c r="A815" s="1" t="n">
        <v>19</v>
      </c>
      <c r="B815" s="1" t="n">
        <v>16</v>
      </c>
      <c r="C815" s="1" t="n">
        <v>1</v>
      </c>
      <c r="D815" s="1" t="n">
        <v>1.1506</v>
      </c>
      <c r="E815" s="1" t="n">
        <v>0.0369891</v>
      </c>
      <c r="F815" s="1" t="n">
        <v>0.000106319</v>
      </c>
      <c r="G815" s="1" t="s">
        <v>27</v>
      </c>
      <c r="H815" s="1" t="n">
        <v>47.3</v>
      </c>
      <c r="I815" s="1" t="n">
        <v>7.4</v>
      </c>
      <c r="J815" s="1" t="n">
        <v>26</v>
      </c>
      <c r="K815" s="1"/>
      <c r="L815" s="1" t="n">
        <v>0</v>
      </c>
      <c r="M815" s="1" t="n">
        <v>0</v>
      </c>
      <c r="N815" s="1" t="s">
        <v>481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Z815" s="0" t="n">
        <f aca="false">I815+65</f>
        <v>72.4</v>
      </c>
      <c r="AB815" s="0" t="n">
        <f aca="false">IF(Z815&gt;360,Z815-360,Z815+0)</f>
        <v>72.4</v>
      </c>
    </row>
    <row r="816" customFormat="false" ht="15.8" hidden="false" customHeight="false" outlineLevel="0" collapsed="false">
      <c r="A816" s="1" t="n">
        <v>19</v>
      </c>
      <c r="B816" s="1" t="n">
        <v>16</v>
      </c>
      <c r="C816" s="1" t="n">
        <v>0.9</v>
      </c>
      <c r="D816" s="1" t="n">
        <v>1.0198</v>
      </c>
      <c r="E816" s="1" t="n">
        <v>0.0314117</v>
      </c>
      <c r="F816" s="1" t="n">
        <v>9.02877E-005</v>
      </c>
      <c r="G816" s="1" t="s">
        <v>27</v>
      </c>
      <c r="H816" s="1" t="n">
        <v>134.6</v>
      </c>
      <c r="I816" s="1" t="n">
        <v>273.9</v>
      </c>
      <c r="J816" s="1" t="n">
        <v>0</v>
      </c>
      <c r="K816" s="1"/>
      <c r="L816" s="1" t="n">
        <v>0</v>
      </c>
      <c r="M816" s="1" t="n">
        <v>0</v>
      </c>
      <c r="N816" s="1" t="s">
        <v>481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Z816" s="0" t="n">
        <f aca="false">I816+65</f>
        <v>338.9</v>
      </c>
      <c r="AB816" s="0" t="n">
        <f aca="false">IF(Z816&gt;360,Z816-360,Z816+0)</f>
        <v>338.9</v>
      </c>
    </row>
    <row r="817" customFormat="false" ht="15.8" hidden="false" customHeight="false" outlineLevel="0" collapsed="false">
      <c r="A817" s="1" t="n">
        <v>19</v>
      </c>
      <c r="B817" s="1" t="n">
        <v>15</v>
      </c>
      <c r="C817" s="1" t="n">
        <v>1.1</v>
      </c>
      <c r="D817" s="1" t="n">
        <v>1.0315</v>
      </c>
      <c r="E817" s="1" t="n">
        <v>0.0400566</v>
      </c>
      <c r="F817" s="1" t="n">
        <v>0.000115136</v>
      </c>
      <c r="G817" s="1" t="s">
        <v>37</v>
      </c>
      <c r="H817" s="1" t="n">
        <v>73</v>
      </c>
      <c r="I817" s="1" t="n">
        <v>48.5</v>
      </c>
      <c r="J817" s="1" t="n">
        <v>0</v>
      </c>
      <c r="K817" s="1" t="n">
        <v>134.6</v>
      </c>
      <c r="L817" s="1" t="n">
        <v>0</v>
      </c>
      <c r="M817" s="1" t="n">
        <v>0</v>
      </c>
      <c r="N817" s="1" t="s">
        <v>480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Z817" s="0" t="n">
        <f aca="false">I817+65</f>
        <v>113.5</v>
      </c>
      <c r="AB817" s="0" t="n">
        <f aca="false">IF(Z817&gt;360,Z817-360,Z817+0)</f>
        <v>113.5</v>
      </c>
    </row>
    <row r="818" customFormat="false" ht="15.8" hidden="false" customHeight="false" outlineLevel="0" collapsed="false">
      <c r="A818" s="1" t="n">
        <v>19</v>
      </c>
      <c r="B818" s="1" t="n">
        <v>14</v>
      </c>
      <c r="C818" s="1" t="n">
        <v>1.3</v>
      </c>
      <c r="D818" s="1" t="n">
        <v>1.1201</v>
      </c>
      <c r="E818" s="1" t="n">
        <v>0.0469297</v>
      </c>
      <c r="F818" s="1" t="n">
        <v>0.000134892</v>
      </c>
      <c r="G818" s="1" t="s">
        <v>37</v>
      </c>
      <c r="H818" s="1" t="n">
        <v>93.2</v>
      </c>
      <c r="I818" s="1" t="n">
        <v>120.3</v>
      </c>
      <c r="J818" s="1" t="n">
        <v>19.6</v>
      </c>
      <c r="K818" s="1" t="n">
        <v>73</v>
      </c>
      <c r="L818" s="1" t="n">
        <v>0</v>
      </c>
      <c r="M818" s="1" t="n">
        <v>0</v>
      </c>
      <c r="N818" s="1" t="s">
        <v>482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Z818" s="0" t="n">
        <f aca="false">I818+65</f>
        <v>185.3</v>
      </c>
      <c r="AB818" s="0" t="n">
        <f aca="false">IF(Z818&gt;360,Z818-360,Z818+0)</f>
        <v>185.3</v>
      </c>
    </row>
    <row r="819" customFormat="false" ht="15.8" hidden="false" customHeight="false" outlineLevel="0" collapsed="false">
      <c r="A819" s="1" t="n">
        <v>19</v>
      </c>
      <c r="B819" s="1" t="n">
        <v>16</v>
      </c>
      <c r="C819" s="1" t="n">
        <v>3.6</v>
      </c>
      <c r="D819" s="1" t="n">
        <v>1.1974</v>
      </c>
      <c r="E819" s="1" t="n">
        <v>0.130974</v>
      </c>
      <c r="F819" s="1" t="n">
        <v>0.000376464</v>
      </c>
      <c r="G819" s="1" t="s">
        <v>27</v>
      </c>
      <c r="H819" s="1" t="n">
        <v>37.3</v>
      </c>
      <c r="I819" s="1" t="n">
        <v>258.4</v>
      </c>
      <c r="J819" s="1" t="n">
        <v>0</v>
      </c>
      <c r="K819" s="1"/>
      <c r="L819" s="1" t="n">
        <v>0</v>
      </c>
      <c r="M819" s="1" t="n">
        <v>0</v>
      </c>
      <c r="N819" s="1" t="s">
        <v>483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Z819" s="0" t="n">
        <f aca="false">I819+65</f>
        <v>323.4</v>
      </c>
      <c r="AB819" s="0" t="n">
        <f aca="false">IF(Z819&gt;360,Z819-360,Z819+0)</f>
        <v>323.4</v>
      </c>
    </row>
    <row r="820" customFormat="false" ht="15.8" hidden="false" customHeight="false" outlineLevel="0" collapsed="false">
      <c r="A820" s="1" t="n">
        <v>19</v>
      </c>
      <c r="B820" s="1" t="n">
        <v>16</v>
      </c>
      <c r="C820" s="1" t="n">
        <v>0.8</v>
      </c>
      <c r="D820" s="1" t="n">
        <v>1.0747</v>
      </c>
      <c r="E820" s="1" t="n">
        <v>0.0272405</v>
      </c>
      <c r="F820" s="1" t="n">
        <v>7.82984E-005</v>
      </c>
      <c r="G820" s="1" t="s">
        <v>27</v>
      </c>
      <c r="H820" s="1" t="n">
        <v>104.6</v>
      </c>
      <c r="I820" s="1" t="n">
        <v>125</v>
      </c>
      <c r="J820" s="1" t="n">
        <v>0</v>
      </c>
      <c r="K820" s="1"/>
      <c r="L820" s="1" t="n">
        <v>0</v>
      </c>
      <c r="M820" s="1" t="n">
        <v>0</v>
      </c>
      <c r="N820" s="1" t="s">
        <v>483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Z820" s="0" t="n">
        <f aca="false">I820+65</f>
        <v>190</v>
      </c>
      <c r="AB820" s="0" t="n">
        <f aca="false">IF(Z820&gt;360,Z820-360,Z820+0)</f>
        <v>190</v>
      </c>
    </row>
    <row r="821" customFormat="false" ht="15.8" hidden="false" customHeight="false" outlineLevel="0" collapsed="false">
      <c r="A821" s="1" t="n">
        <v>19</v>
      </c>
      <c r="B821" s="1" t="n">
        <v>15</v>
      </c>
      <c r="C821" s="1" t="n">
        <v>2.4</v>
      </c>
      <c r="D821" s="1" t="n">
        <v>1.3817</v>
      </c>
      <c r="E821" s="1" t="n">
        <v>0.0864241</v>
      </c>
      <c r="F821" s="1" t="n">
        <v>0.000248412</v>
      </c>
      <c r="G821" s="1" t="s">
        <v>37</v>
      </c>
      <c r="H821" s="1" t="n">
        <v>20.2</v>
      </c>
      <c r="I821" s="1" t="n">
        <v>231.3</v>
      </c>
      <c r="J821" s="1" t="n">
        <v>26.8</v>
      </c>
      <c r="K821" s="1" t="n">
        <v>104.6</v>
      </c>
      <c r="L821" s="1" t="n">
        <v>0</v>
      </c>
      <c r="M821" s="1" t="n">
        <v>0</v>
      </c>
      <c r="N821" s="1" t="s">
        <v>484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Z821" s="0" t="n">
        <f aca="false">I821+65</f>
        <v>296.3</v>
      </c>
      <c r="AB821" s="0" t="n">
        <f aca="false">IF(Z821&gt;360,Z821-360,Z821+0)</f>
        <v>296.3</v>
      </c>
    </row>
    <row r="822" customFormat="false" ht="15.8" hidden="false" customHeight="false" outlineLevel="0" collapsed="false">
      <c r="A822" s="1" t="n">
        <v>19</v>
      </c>
      <c r="B822" s="1" t="n">
        <v>15</v>
      </c>
      <c r="C822" s="1" t="n">
        <v>5.3</v>
      </c>
      <c r="D822" s="1" t="n">
        <v>1.3403</v>
      </c>
      <c r="E822" s="1" t="n">
        <v>0.189821</v>
      </c>
      <c r="F822" s="1" t="n">
        <v>0.000545608</v>
      </c>
      <c r="G822" s="1" t="s">
        <v>27</v>
      </c>
      <c r="H822" s="1" t="n">
        <v>50.3</v>
      </c>
      <c r="I822" s="1" t="n">
        <v>165.8</v>
      </c>
      <c r="J822" s="1" t="n">
        <v>11.5</v>
      </c>
      <c r="K822" s="1"/>
      <c r="L822" s="1" t="n">
        <v>0</v>
      </c>
      <c r="M822" s="1" t="n">
        <v>0</v>
      </c>
      <c r="N822" s="1" t="s">
        <v>484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Z822" s="0" t="n">
        <f aca="false">I822+65</f>
        <v>230.8</v>
      </c>
      <c r="AB822" s="0" t="n">
        <f aca="false">IF(Z822&gt;360,Z822-360,Z822+0)</f>
        <v>230.8</v>
      </c>
    </row>
    <row r="823" customFormat="false" ht="15.8" hidden="false" customHeight="false" outlineLevel="0" collapsed="false">
      <c r="A823" s="1" t="n">
        <v>19</v>
      </c>
      <c r="B823" s="1" t="n">
        <v>14</v>
      </c>
      <c r="C823" s="1" t="n">
        <v>2.2</v>
      </c>
      <c r="D823" s="1" t="n">
        <v>1.2276</v>
      </c>
      <c r="E823" s="1" t="n">
        <v>0.0807914</v>
      </c>
      <c r="F823" s="1" t="n">
        <v>0.000232222</v>
      </c>
      <c r="G823" s="1" t="s">
        <v>37</v>
      </c>
      <c r="H823" s="1" t="n">
        <v>15.2</v>
      </c>
      <c r="I823" s="1" t="n">
        <v>212.9</v>
      </c>
      <c r="J823" s="1" t="n">
        <v>39.9</v>
      </c>
      <c r="K823" s="1" t="n">
        <v>50.3</v>
      </c>
      <c r="L823" s="1" t="n">
        <v>0</v>
      </c>
      <c r="M823" s="1" t="n">
        <v>0</v>
      </c>
      <c r="N823" s="1" t="s">
        <v>482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Z823" s="0" t="n">
        <f aca="false">I823+65</f>
        <v>277.9</v>
      </c>
      <c r="AB823" s="0" t="n">
        <f aca="false">IF(Z823&gt;360,Z823-360,Z823+0)</f>
        <v>277.9</v>
      </c>
    </row>
    <row r="824" customFormat="false" ht="15.8" hidden="false" customHeight="false" outlineLevel="0" collapsed="false">
      <c r="A824" s="1" t="n">
        <v>19</v>
      </c>
      <c r="B824" s="1" t="n">
        <v>13</v>
      </c>
      <c r="C824" s="1" t="n">
        <v>1.1</v>
      </c>
      <c r="D824" s="1" t="n">
        <v>1.3032</v>
      </c>
      <c r="E824" s="1" t="n">
        <v>0.0380205</v>
      </c>
      <c r="F824" s="1" t="n">
        <v>0.000109284</v>
      </c>
      <c r="G824" s="1" t="s">
        <v>37</v>
      </c>
      <c r="H824" s="1" t="n">
        <v>90.8</v>
      </c>
      <c r="I824" s="1" t="n">
        <v>225.7</v>
      </c>
      <c r="J824" s="1" t="n">
        <v>28.9</v>
      </c>
      <c r="K824" s="1" t="n">
        <v>93.2</v>
      </c>
      <c r="L824" s="1" t="n">
        <v>0</v>
      </c>
      <c r="M824" s="1" t="n">
        <v>0</v>
      </c>
      <c r="N824" s="1" t="s">
        <v>485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Z824" s="0" t="n">
        <f aca="false">I824+65</f>
        <v>290.7</v>
      </c>
      <c r="AB824" s="0" t="n">
        <f aca="false">IF(Z824&gt;360,Z824-360,Z824+0)</f>
        <v>290.7</v>
      </c>
    </row>
    <row r="825" customFormat="false" ht="15.8" hidden="false" customHeight="false" outlineLevel="0" collapsed="false">
      <c r="A825" s="1" t="n">
        <v>19</v>
      </c>
      <c r="B825" s="1" t="n">
        <v>13</v>
      </c>
      <c r="C825" s="1" t="n">
        <v>1.7</v>
      </c>
      <c r="D825" s="1" t="n">
        <v>1.804</v>
      </c>
      <c r="E825" s="1" t="n">
        <v>0.059652</v>
      </c>
      <c r="F825" s="1" t="n">
        <v>0.00017146</v>
      </c>
      <c r="G825" s="1" t="s">
        <v>27</v>
      </c>
      <c r="H825" s="1" t="n">
        <v>30.5</v>
      </c>
      <c r="I825" s="1" t="n">
        <v>115.3</v>
      </c>
      <c r="J825" s="1" t="n">
        <v>0</v>
      </c>
      <c r="K825" s="1"/>
      <c r="L825" s="1" t="n">
        <v>0</v>
      </c>
      <c r="M825" s="1" t="n">
        <v>0</v>
      </c>
      <c r="N825" s="1" t="s">
        <v>485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Z825" s="0" t="n">
        <f aca="false">I825+65</f>
        <v>180.3</v>
      </c>
      <c r="AB825" s="0" t="n">
        <f aca="false">IF(Z825&gt;360,Z825-360,Z825+0)</f>
        <v>180.3</v>
      </c>
    </row>
    <row r="826" customFormat="false" ht="15.8" hidden="false" customHeight="false" outlineLevel="0" collapsed="false">
      <c r="A826" s="1" t="n">
        <v>19</v>
      </c>
      <c r="B826" s="1" t="n">
        <v>12</v>
      </c>
      <c r="C826" s="1" t="n">
        <v>4.1</v>
      </c>
      <c r="D826" s="1" t="n">
        <v>1.3317</v>
      </c>
      <c r="E826" s="1" t="n">
        <v>0.148056</v>
      </c>
      <c r="F826" s="1" t="n">
        <v>0.000425561</v>
      </c>
      <c r="G826" s="1" t="s">
        <v>37</v>
      </c>
      <c r="H826" s="1" t="n">
        <v>30.8</v>
      </c>
      <c r="I826" s="1" t="n">
        <v>115.7</v>
      </c>
      <c r="J826" s="1" t="n">
        <v>30.5</v>
      </c>
      <c r="K826" s="1" t="n">
        <v>90.8</v>
      </c>
      <c r="L826" s="1" t="n">
        <v>0</v>
      </c>
      <c r="M826" s="1" t="n">
        <v>0</v>
      </c>
      <c r="N826" s="1" t="s">
        <v>486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Z826" s="0" t="n">
        <f aca="false">I826+65</f>
        <v>180.7</v>
      </c>
      <c r="AB826" s="0" t="n">
        <f aca="false">IF(Z826&gt;360,Z826-360,Z826+0)</f>
        <v>180.7</v>
      </c>
    </row>
    <row r="827" customFormat="false" ht="15.8" hidden="false" customHeight="false" outlineLevel="0" collapsed="false">
      <c r="A827" s="1" t="n">
        <v>19</v>
      </c>
      <c r="B827" s="1" t="n">
        <v>12</v>
      </c>
      <c r="C827" s="1" t="n">
        <v>1.9</v>
      </c>
      <c r="D827" s="1" t="n">
        <v>1.2882</v>
      </c>
      <c r="E827" s="1" t="n">
        <v>0.0701468</v>
      </c>
      <c r="F827" s="1" t="n">
        <v>0.000201625</v>
      </c>
      <c r="G827" s="1" t="s">
        <v>27</v>
      </c>
      <c r="H827" s="1" t="n">
        <v>80.5</v>
      </c>
      <c r="I827" s="1" t="n">
        <v>32.2</v>
      </c>
      <c r="J827" s="1" t="n">
        <v>-50.9</v>
      </c>
      <c r="K827" s="1"/>
      <c r="L827" s="1" t="n">
        <v>0</v>
      </c>
      <c r="M827" s="1" t="n">
        <v>0</v>
      </c>
      <c r="N827" s="1" t="s">
        <v>486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Z827" s="0" t="n">
        <f aca="false">I827+65</f>
        <v>97.2</v>
      </c>
      <c r="AB827" s="0" t="n">
        <f aca="false">IF(Z827&gt;360,Z827-360,Z827+0)</f>
        <v>97.2</v>
      </c>
    </row>
    <row r="828" customFormat="false" ht="15.8" hidden="false" customHeight="false" outlineLevel="0" collapsed="false">
      <c r="A828" s="1" t="n">
        <v>19</v>
      </c>
      <c r="B828" s="1" t="n">
        <v>11</v>
      </c>
      <c r="C828" s="1" t="n">
        <v>2</v>
      </c>
      <c r="D828" s="1" t="n">
        <v>1.2103</v>
      </c>
      <c r="E828" s="1" t="n">
        <v>0.0719735</v>
      </c>
      <c r="F828" s="1" t="n">
        <v>0.000206876</v>
      </c>
      <c r="G828" s="1" t="s">
        <v>37</v>
      </c>
      <c r="H828" s="1" t="n">
        <v>53.1</v>
      </c>
      <c r="I828" s="1" t="n">
        <v>87.5</v>
      </c>
      <c r="J828" s="1" t="n">
        <v>13.7</v>
      </c>
      <c r="K828" s="1" t="n">
        <v>80.5</v>
      </c>
      <c r="L828" s="1" t="n">
        <v>0</v>
      </c>
      <c r="M828" s="1" t="n">
        <v>0</v>
      </c>
      <c r="N828" s="1" t="s">
        <v>479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Z828" s="0" t="n">
        <f aca="false">I828+65</f>
        <v>152.5</v>
      </c>
      <c r="AB828" s="0" t="n">
        <f aca="false">IF(Z828&gt;360,Z828-360,Z828+0)</f>
        <v>152.5</v>
      </c>
    </row>
    <row r="829" customFormat="false" ht="15.8" hidden="false" customHeight="false" outlineLevel="0" collapsed="false">
      <c r="A829" s="1" t="n">
        <v>19</v>
      </c>
      <c r="B829" s="1" t="n">
        <v>10</v>
      </c>
      <c r="C829" s="1" t="n">
        <v>1.9</v>
      </c>
      <c r="D829" s="1" t="n">
        <v>1.1521</v>
      </c>
      <c r="E829" s="1" t="n">
        <v>0.0668395</v>
      </c>
      <c r="F829" s="1" t="n">
        <v>0.000192119</v>
      </c>
      <c r="G829" s="1" t="s">
        <v>37</v>
      </c>
      <c r="H829" s="1" t="n">
        <v>48.4</v>
      </c>
      <c r="I829" s="1" t="n">
        <v>139.4</v>
      </c>
      <c r="J829" s="1" t="n">
        <v>0</v>
      </c>
      <c r="K829" s="1" t="n">
        <v>63.3</v>
      </c>
      <c r="L829" s="1" t="n">
        <v>0</v>
      </c>
      <c r="M829" s="1" t="n">
        <v>0</v>
      </c>
      <c r="N829" s="1" t="s">
        <v>487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Z829" s="0" t="n">
        <f aca="false">I829+65</f>
        <v>204.4</v>
      </c>
      <c r="AB829" s="0" t="n">
        <f aca="false">IF(Z829&gt;360,Z829-360,Z829+0)</f>
        <v>204.4</v>
      </c>
    </row>
    <row r="830" customFormat="false" ht="15.8" hidden="false" customHeight="false" outlineLevel="0" collapsed="false">
      <c r="A830" s="1" t="n">
        <v>19</v>
      </c>
      <c r="B830" s="1" t="n">
        <v>11</v>
      </c>
      <c r="C830" s="1" t="n">
        <v>2.4</v>
      </c>
      <c r="D830" s="1" t="n">
        <v>1.1694</v>
      </c>
      <c r="E830" s="1" t="n">
        <v>0.0855253</v>
      </c>
      <c r="F830" s="1" t="n">
        <v>0.000242864</v>
      </c>
      <c r="G830" s="1" t="s">
        <v>27</v>
      </c>
      <c r="H830" s="1" t="n">
        <v>58.1</v>
      </c>
      <c r="I830" s="1" t="n">
        <v>306.7</v>
      </c>
      <c r="J830" s="1" t="n">
        <v>-10.9</v>
      </c>
      <c r="K830" s="1"/>
      <c r="L830" s="1" t="n">
        <v>0</v>
      </c>
      <c r="M830" s="1" t="n">
        <v>0</v>
      </c>
      <c r="N830" s="1" t="s">
        <v>488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Z830" s="0" t="n">
        <f aca="false">I830+65</f>
        <v>371.7</v>
      </c>
      <c r="AB830" s="0" t="n">
        <f aca="false">IF(Z830&gt;360,Z830-360,Z830+0)</f>
        <v>11.7</v>
      </c>
    </row>
    <row r="831" customFormat="false" ht="15.8" hidden="false" customHeight="false" outlineLevel="0" collapsed="false">
      <c r="A831" s="1" t="n">
        <v>19</v>
      </c>
      <c r="B831" s="1" t="n">
        <v>11</v>
      </c>
      <c r="C831" s="1" t="n">
        <v>2.3</v>
      </c>
      <c r="D831" s="1" t="n">
        <v>1.2088</v>
      </c>
      <c r="E831" s="1" t="n">
        <v>0.0616833</v>
      </c>
      <c r="F831" s="1" t="n">
        <v>0.000144594</v>
      </c>
      <c r="G831" s="1" t="s">
        <v>27</v>
      </c>
      <c r="H831" s="1" t="n">
        <v>41.1</v>
      </c>
      <c r="I831" s="1" t="n">
        <v>34.1</v>
      </c>
      <c r="J831" s="1" t="n">
        <v>-37.8</v>
      </c>
      <c r="K831" s="1"/>
      <c r="L831" s="1" t="n">
        <v>0</v>
      </c>
      <c r="M831" s="1" t="n">
        <v>0</v>
      </c>
      <c r="N831" s="1" t="s">
        <v>488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Z831" s="0" t="n">
        <f aca="false">I831+65</f>
        <v>99.1</v>
      </c>
      <c r="AB831" s="0" t="n">
        <f aca="false">IF(Z831&gt;360,Z831-360,Z831+0)</f>
        <v>99.1</v>
      </c>
    </row>
    <row r="832" customFormat="false" ht="15.8" hidden="false" customHeight="false" outlineLevel="0" collapsed="false">
      <c r="A832" s="1" t="n">
        <v>19</v>
      </c>
      <c r="B832" s="1" t="n">
        <v>10</v>
      </c>
      <c r="C832" s="1" t="n">
        <v>5.2</v>
      </c>
      <c r="D832" s="1" t="n">
        <v>1.4052</v>
      </c>
      <c r="E832" s="1" t="n">
        <v>0.187591</v>
      </c>
      <c r="F832" s="1" t="n">
        <v>0.000539199</v>
      </c>
      <c r="G832" s="1" t="s">
        <v>37</v>
      </c>
      <c r="H832" s="1" t="n">
        <v>85.6</v>
      </c>
      <c r="I832" s="1" t="n">
        <v>5.3</v>
      </c>
      <c r="J832" s="1" t="n">
        <v>-6.1</v>
      </c>
      <c r="K832" s="1" t="n">
        <v>58.1</v>
      </c>
      <c r="L832" s="1" t="n">
        <v>0</v>
      </c>
      <c r="M832" s="1" t="n">
        <v>0</v>
      </c>
      <c r="N832" s="1" t="s">
        <v>487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Z832" s="0" t="n">
        <f aca="false">I832+65</f>
        <v>70.3</v>
      </c>
      <c r="AB832" s="0" t="n">
        <f aca="false">IF(Z832&gt;360,Z832-360,Z832+0)</f>
        <v>70.3</v>
      </c>
    </row>
    <row r="833" customFormat="false" ht="15.8" hidden="false" customHeight="false" outlineLevel="0" collapsed="false">
      <c r="A833" s="1" t="n">
        <v>19</v>
      </c>
      <c r="B833" s="1" t="n">
        <v>9</v>
      </c>
      <c r="C833" s="1" t="n">
        <v>7.8</v>
      </c>
      <c r="D833" s="1" t="n">
        <v>1.6871</v>
      </c>
      <c r="E833" s="1" t="n">
        <v>0.269186</v>
      </c>
      <c r="F833" s="1" t="n">
        <v>0.000750248</v>
      </c>
      <c r="G833" s="1" t="s">
        <v>37</v>
      </c>
      <c r="H833" s="1" t="n">
        <v>96.7</v>
      </c>
      <c r="I833" s="1" t="n">
        <v>90.9</v>
      </c>
      <c r="J833" s="1" t="n">
        <v>0</v>
      </c>
      <c r="K833" s="1" t="n">
        <v>85.6</v>
      </c>
      <c r="L833" s="1" t="n">
        <v>0</v>
      </c>
      <c r="M833" s="1" t="n">
        <v>0</v>
      </c>
      <c r="N833" s="1" t="s">
        <v>489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Z833" s="0" t="n">
        <f aca="false">I833+65</f>
        <v>155.9</v>
      </c>
      <c r="AB833" s="0" t="n">
        <f aca="false">IF(Z833&gt;360,Z833-360,Z833+0)</f>
        <v>155.9</v>
      </c>
    </row>
    <row r="834" customFormat="false" ht="15.8" hidden="false" customHeight="false" outlineLevel="0" collapsed="false">
      <c r="A834" s="1" t="n">
        <v>19</v>
      </c>
      <c r="B834" s="1" t="n">
        <v>12</v>
      </c>
      <c r="C834" s="1" t="n">
        <v>0.8</v>
      </c>
      <c r="D834" s="1" t="n">
        <v>1.0167</v>
      </c>
      <c r="E834" s="1" t="n">
        <v>0.0225252</v>
      </c>
      <c r="F834" s="1" t="n">
        <v>5.1796E-005</v>
      </c>
      <c r="G834" s="1" t="s">
        <v>27</v>
      </c>
      <c r="H834" s="1" t="n">
        <v>27.2</v>
      </c>
      <c r="I834" s="1" t="n">
        <v>100.4</v>
      </c>
      <c r="J834" s="1" t="n">
        <v>0</v>
      </c>
      <c r="K834" s="1"/>
      <c r="L834" s="1" t="n">
        <v>0</v>
      </c>
      <c r="M834" s="1" t="n">
        <v>0</v>
      </c>
      <c r="N834" s="1" t="s">
        <v>490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Z834" s="0" t="n">
        <f aca="false">I834+65</f>
        <v>165.4</v>
      </c>
      <c r="AB834" s="0" t="n">
        <f aca="false">IF(Z834&gt;360,Z834-360,Z834+0)</f>
        <v>165.4</v>
      </c>
    </row>
    <row r="835" customFormat="false" ht="15.8" hidden="false" customHeight="false" outlineLevel="0" collapsed="false">
      <c r="A835" s="1" t="n">
        <v>19</v>
      </c>
      <c r="B835" s="1" t="n">
        <v>12</v>
      </c>
      <c r="C835" s="1" t="n">
        <v>4.3</v>
      </c>
      <c r="D835" s="1" t="n">
        <v>1.1485</v>
      </c>
      <c r="E835" s="1" t="n">
        <v>0.12289</v>
      </c>
      <c r="F835" s="1" t="n">
        <v>0.000282581</v>
      </c>
      <c r="G835" s="1" t="s">
        <v>27</v>
      </c>
      <c r="H835" s="1" t="n">
        <v>139</v>
      </c>
      <c r="I835" s="1" t="n">
        <v>292.7</v>
      </c>
      <c r="J835" s="1" t="n">
        <v>12.2</v>
      </c>
      <c r="K835" s="1"/>
      <c r="L835" s="1" t="n">
        <v>0</v>
      </c>
      <c r="M835" s="1" t="n">
        <v>0</v>
      </c>
      <c r="N835" s="1" t="s">
        <v>490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Z835" s="0" t="n">
        <f aca="false">I835+65</f>
        <v>357.7</v>
      </c>
      <c r="AB835" s="0" t="n">
        <f aca="false">IF(Z835&gt;360,Z835-360,Z835+0)</f>
        <v>357.7</v>
      </c>
    </row>
    <row r="836" customFormat="false" ht="15.8" hidden="false" customHeight="false" outlineLevel="0" collapsed="false">
      <c r="A836" s="1" t="n">
        <v>19</v>
      </c>
      <c r="B836" s="1" t="n">
        <v>11</v>
      </c>
      <c r="C836" s="1" t="n">
        <v>1.2</v>
      </c>
      <c r="D836" s="1" t="n">
        <v>1.0319</v>
      </c>
      <c r="E836" s="1" t="n">
        <v>0.0332319</v>
      </c>
      <c r="F836" s="1" t="n">
        <v>7.64158E-005</v>
      </c>
      <c r="G836" s="1" t="s">
        <v>37</v>
      </c>
      <c r="H836" s="1" t="n">
        <v>103.1</v>
      </c>
      <c r="I836" s="1" t="n">
        <v>73.2</v>
      </c>
      <c r="J836" s="1" t="n">
        <v>0</v>
      </c>
      <c r="K836" s="1" t="n">
        <v>139</v>
      </c>
      <c r="L836" s="1" t="n">
        <v>0</v>
      </c>
      <c r="M836" s="1" t="n">
        <v>0</v>
      </c>
      <c r="N836" s="1" t="s">
        <v>491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Z836" s="0" t="n">
        <f aca="false">I836+65</f>
        <v>138.2</v>
      </c>
      <c r="AB836" s="0" t="n">
        <f aca="false">IF(Z836&gt;360,Z836-360,Z836+0)</f>
        <v>138.2</v>
      </c>
    </row>
    <row r="837" customFormat="false" ht="15.8" hidden="false" customHeight="false" outlineLevel="0" collapsed="false">
      <c r="A837" s="1" t="n">
        <v>19</v>
      </c>
      <c r="B837" s="1" t="n">
        <v>15</v>
      </c>
      <c r="C837" s="1" t="n">
        <v>3.1</v>
      </c>
      <c r="D837" s="1" t="n">
        <v>1.3635</v>
      </c>
      <c r="E837" s="1" t="n">
        <v>0.0900542</v>
      </c>
      <c r="F837" s="1" t="n">
        <v>0.000207077</v>
      </c>
      <c r="G837" s="1" t="s">
        <v>27</v>
      </c>
      <c r="H837" s="1" t="n">
        <v>62.8</v>
      </c>
      <c r="I837" s="1" t="n">
        <v>324.2</v>
      </c>
      <c r="J837" s="1" t="n">
        <v>30.8</v>
      </c>
      <c r="K837" s="1"/>
      <c r="L837" s="1" t="n">
        <v>0</v>
      </c>
      <c r="M837" s="1" t="n">
        <v>0</v>
      </c>
      <c r="N837" s="1" t="s">
        <v>492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Z837" s="0" t="n">
        <f aca="false">I837+65</f>
        <v>389.2</v>
      </c>
      <c r="AB837" s="0" t="n">
        <f aca="false">IF(Z837&gt;360,Z837-360,Z837+0)</f>
        <v>29.2</v>
      </c>
    </row>
    <row r="838" customFormat="false" ht="15.8" hidden="false" customHeight="false" outlineLevel="0" collapsed="false">
      <c r="A838" s="1" t="n">
        <v>19</v>
      </c>
      <c r="B838" s="1" t="n">
        <v>17</v>
      </c>
      <c r="C838" s="1" t="n">
        <v>0.6</v>
      </c>
      <c r="D838" s="1" t="n">
        <v>1.1798</v>
      </c>
      <c r="E838" s="1" t="n">
        <v>0.0223384</v>
      </c>
      <c r="F838" s="1" t="n">
        <v>6.42079E-005</v>
      </c>
      <c r="G838" s="1" t="s">
        <v>27</v>
      </c>
      <c r="H838" s="1" t="n">
        <v>86.9</v>
      </c>
      <c r="I838" s="1" t="n">
        <v>113.2</v>
      </c>
      <c r="J838" s="1" t="n">
        <v>48.1</v>
      </c>
      <c r="K838" s="1"/>
      <c r="L838" s="1" t="n">
        <v>0</v>
      </c>
      <c r="M838" s="1" t="n">
        <v>0</v>
      </c>
      <c r="N838" s="1" t="s">
        <v>493</v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Z838" s="0" t="n">
        <f aca="false">I838+65</f>
        <v>178.2</v>
      </c>
      <c r="AB838" s="0" t="n">
        <f aca="false">IF(Z838&gt;360,Z838-360,Z838+0)</f>
        <v>178.2</v>
      </c>
    </row>
    <row r="839" customFormat="false" ht="15.8" hidden="false" customHeight="false" outlineLevel="0" collapsed="false">
      <c r="A839" s="1" t="n">
        <v>19</v>
      </c>
      <c r="B839" s="1" t="n">
        <v>18</v>
      </c>
      <c r="C839" s="1" t="n">
        <v>1.7</v>
      </c>
      <c r="D839" s="1" t="n">
        <v>1.2443</v>
      </c>
      <c r="E839" s="1" t="n">
        <v>0.0621092</v>
      </c>
      <c r="F839" s="1" t="n">
        <v>0.000178523</v>
      </c>
      <c r="G839" s="1" t="s">
        <v>27</v>
      </c>
      <c r="H839" s="1" t="n">
        <v>94</v>
      </c>
      <c r="I839" s="1" t="n">
        <v>136.8</v>
      </c>
      <c r="J839" s="1" t="n">
        <v>16.4</v>
      </c>
      <c r="K839" s="1"/>
      <c r="L839" s="1" t="n">
        <v>0</v>
      </c>
      <c r="M839" s="1" t="n">
        <v>0</v>
      </c>
      <c r="N839" s="1" t="s">
        <v>494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Z839" s="0" t="n">
        <f aca="false">I839+65</f>
        <v>201.8</v>
      </c>
      <c r="AB839" s="0" t="n">
        <f aca="false">IF(Z839&gt;360,Z839-360,Z839+0)</f>
        <v>201.8</v>
      </c>
    </row>
    <row r="840" customFormat="false" ht="15.8" hidden="false" customHeight="false" outlineLevel="0" collapsed="false">
      <c r="A840" s="1" t="n">
        <v>19</v>
      </c>
      <c r="B840" s="1" t="n">
        <v>18</v>
      </c>
      <c r="C840" s="1" t="n">
        <v>1</v>
      </c>
      <c r="D840" s="1" t="n">
        <v>1.0169</v>
      </c>
      <c r="E840" s="1" t="n">
        <v>0.0377437</v>
      </c>
      <c r="F840" s="1" t="n">
        <v>0.000108488</v>
      </c>
      <c r="G840" s="1" t="s">
        <v>27</v>
      </c>
      <c r="H840" s="1" t="n">
        <v>1.4</v>
      </c>
      <c r="I840" s="1" t="n">
        <v>229.5</v>
      </c>
      <c r="J840" s="1" t="n">
        <v>0</v>
      </c>
      <c r="K840" s="1"/>
      <c r="L840" s="1" t="n">
        <v>0</v>
      </c>
      <c r="M840" s="1" t="n">
        <v>0</v>
      </c>
      <c r="N840" s="1" t="s">
        <v>494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Z840" s="0" t="n">
        <f aca="false">I840+65</f>
        <v>294.5</v>
      </c>
      <c r="AB840" s="0" t="n">
        <f aca="false">IF(Z840&gt;360,Z840-360,Z840+0)</f>
        <v>294.5</v>
      </c>
    </row>
    <row r="841" customFormat="false" ht="15.8" hidden="false" customHeight="false" outlineLevel="0" collapsed="false">
      <c r="A841" s="1" t="n">
        <v>19</v>
      </c>
      <c r="B841" s="1" t="n">
        <v>17</v>
      </c>
      <c r="C841" s="1" t="n">
        <v>1.1</v>
      </c>
      <c r="D841" s="1" t="n">
        <v>1.0489</v>
      </c>
      <c r="E841" s="1" t="n">
        <v>0.0387104</v>
      </c>
      <c r="F841" s="1" t="n">
        <v>0.000111267</v>
      </c>
      <c r="G841" s="1" t="s">
        <v>37</v>
      </c>
      <c r="H841" s="1" t="n">
        <v>28</v>
      </c>
      <c r="I841" s="1" t="n">
        <v>230.9</v>
      </c>
      <c r="J841" s="1" t="n">
        <v>0</v>
      </c>
      <c r="K841" s="1" t="n">
        <v>94</v>
      </c>
      <c r="L841" s="1" t="n">
        <v>0</v>
      </c>
      <c r="M841" s="1" t="n">
        <v>0</v>
      </c>
      <c r="N841" s="1" t="s">
        <v>493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Z841" s="0" t="n">
        <f aca="false">I841+65</f>
        <v>295.9</v>
      </c>
      <c r="AB841" s="0" t="n">
        <f aca="false">IF(Z841&gt;360,Z841-360,Z841+0)</f>
        <v>295.9</v>
      </c>
    </row>
    <row r="842" customFormat="false" ht="15.8" hidden="false" customHeight="false" outlineLevel="0" collapsed="false">
      <c r="A842" s="1" t="n">
        <v>19</v>
      </c>
      <c r="B842" s="1" t="n">
        <v>16</v>
      </c>
      <c r="C842" s="1" t="n">
        <v>7.5</v>
      </c>
      <c r="D842" s="1" t="n">
        <v>1.3817</v>
      </c>
      <c r="E842" s="1" t="n">
        <v>0.269828</v>
      </c>
      <c r="F842" s="1" t="n">
        <v>0.000775577</v>
      </c>
      <c r="G842" s="1" t="s">
        <v>37</v>
      </c>
      <c r="H842" s="1" t="n">
        <v>80</v>
      </c>
      <c r="I842" s="1" t="n">
        <v>203.2</v>
      </c>
      <c r="J842" s="1" t="n">
        <v>4.1</v>
      </c>
      <c r="K842" s="1" t="n">
        <v>86.9</v>
      </c>
      <c r="L842" s="1" t="n">
        <v>0</v>
      </c>
      <c r="M842" s="1" t="n">
        <v>0</v>
      </c>
      <c r="N842" s="1" t="s">
        <v>495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Z842" s="0" t="n">
        <f aca="false">I842+65</f>
        <v>268.2</v>
      </c>
      <c r="AB842" s="0" t="n">
        <f aca="false">IF(Z842&gt;360,Z842-360,Z842+0)</f>
        <v>268.2</v>
      </c>
    </row>
    <row r="843" customFormat="false" ht="15.8" hidden="false" customHeight="false" outlineLevel="0" collapsed="false">
      <c r="A843" s="1" t="n">
        <v>19</v>
      </c>
      <c r="B843" s="1" t="n">
        <v>16</v>
      </c>
      <c r="C843" s="1" t="n">
        <v>7.5</v>
      </c>
      <c r="D843" s="1" t="n">
        <v>1.1255</v>
      </c>
      <c r="E843" s="1" t="n">
        <v>0.271375</v>
      </c>
      <c r="F843" s="1" t="n">
        <v>0.000780022</v>
      </c>
      <c r="G843" s="1" t="s">
        <v>27</v>
      </c>
      <c r="H843" s="1" t="n">
        <v>84.3</v>
      </c>
      <c r="I843" s="1" t="n">
        <v>335.4</v>
      </c>
      <c r="J843" s="1" t="n">
        <v>-6.7</v>
      </c>
      <c r="K843" s="1"/>
      <c r="L843" s="1" t="n">
        <v>0</v>
      </c>
      <c r="M843" s="1" t="n">
        <v>0</v>
      </c>
      <c r="N843" s="1" t="s">
        <v>495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Z843" s="0" t="n">
        <f aca="false">I843+65</f>
        <v>400.4</v>
      </c>
      <c r="AB843" s="0" t="n">
        <f aca="false">IF(Z843&gt;360,Z843-360,Z843+0)</f>
        <v>40.4</v>
      </c>
    </row>
    <row r="844" customFormat="false" ht="15.8" hidden="false" customHeight="false" outlineLevel="0" collapsed="false">
      <c r="A844" s="1" t="n">
        <v>19</v>
      </c>
      <c r="B844" s="1" t="n">
        <v>15</v>
      </c>
      <c r="C844" s="1" t="n">
        <v>1.9</v>
      </c>
      <c r="D844" s="1" t="n">
        <v>1.0808</v>
      </c>
      <c r="E844" s="1" t="n">
        <v>0.0662225</v>
      </c>
      <c r="F844" s="1" t="n">
        <v>0.000182006</v>
      </c>
      <c r="G844" s="1" t="s">
        <v>37</v>
      </c>
      <c r="H844" s="1" t="n">
        <v>103.8</v>
      </c>
      <c r="I844" s="1" t="n">
        <v>243.4</v>
      </c>
      <c r="J844" s="1" t="n">
        <v>-71.5</v>
      </c>
      <c r="K844" s="1" t="n">
        <v>84.3</v>
      </c>
      <c r="L844" s="1" t="n">
        <v>0</v>
      </c>
      <c r="M844" s="1" t="n">
        <v>0</v>
      </c>
      <c r="N844" s="1" t="s">
        <v>492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Z844" s="0" t="n">
        <f aca="false">I844+65</f>
        <v>308.4</v>
      </c>
      <c r="AB844" s="0" t="n">
        <f aca="false">IF(Z844&gt;360,Z844-360,Z844+0)</f>
        <v>308.4</v>
      </c>
    </row>
    <row r="845" customFormat="false" ht="15.8" hidden="false" customHeight="false" outlineLevel="0" collapsed="false">
      <c r="A845" s="1" t="n">
        <v>19</v>
      </c>
      <c r="B845" s="1" t="n">
        <v>14</v>
      </c>
      <c r="C845" s="1" t="n">
        <v>0.8</v>
      </c>
      <c r="D845" s="1" t="n">
        <v>1.1212</v>
      </c>
      <c r="E845" s="1" t="n">
        <v>0.0237508</v>
      </c>
      <c r="F845" s="1" t="n">
        <v>5.46143E-005</v>
      </c>
      <c r="G845" s="1" t="s">
        <v>37</v>
      </c>
      <c r="H845" s="1" t="n">
        <v>4.5</v>
      </c>
      <c r="I845" s="1" t="n">
        <v>22</v>
      </c>
      <c r="J845" s="1" t="n">
        <v>0</v>
      </c>
      <c r="K845" s="1" t="n">
        <v>103.8</v>
      </c>
      <c r="L845" s="1" t="n">
        <v>0</v>
      </c>
      <c r="M845" s="1" t="n">
        <v>0</v>
      </c>
      <c r="N845" s="1" t="s">
        <v>496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Z845" s="0" t="n">
        <f aca="false">I845+65</f>
        <v>87</v>
      </c>
      <c r="AB845" s="0" t="n">
        <f aca="false">IF(Z845&gt;360,Z845-360,Z845+0)</f>
        <v>87</v>
      </c>
    </row>
    <row r="846" customFormat="false" ht="15.8" hidden="false" customHeight="false" outlineLevel="0" collapsed="false">
      <c r="A846" s="1" t="n">
        <v>19</v>
      </c>
      <c r="B846" s="1" t="n">
        <v>14</v>
      </c>
      <c r="C846" s="1" t="n">
        <v>2.4</v>
      </c>
      <c r="D846" s="1" t="n">
        <v>1.0147</v>
      </c>
      <c r="E846" s="1" t="n">
        <v>0.0699169</v>
      </c>
      <c r="F846" s="1" t="n">
        <v>0.000160772</v>
      </c>
      <c r="G846" s="1" t="s">
        <v>27</v>
      </c>
      <c r="H846" s="1" t="n">
        <v>95.5</v>
      </c>
      <c r="I846" s="1" t="n">
        <v>291</v>
      </c>
      <c r="J846" s="1" t="n">
        <v>0</v>
      </c>
      <c r="K846" s="1"/>
      <c r="L846" s="1" t="n">
        <v>0</v>
      </c>
      <c r="M846" s="1" t="n">
        <v>0</v>
      </c>
      <c r="N846" s="1" t="s">
        <v>496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Z846" s="0" t="n">
        <f aca="false">I846+65</f>
        <v>356</v>
      </c>
      <c r="AB846" s="0" t="n">
        <f aca="false">IF(Z846&gt;360,Z846-360,Z846+0)</f>
        <v>356</v>
      </c>
    </row>
    <row r="847" customFormat="false" ht="15.8" hidden="false" customHeight="false" outlineLevel="0" collapsed="false">
      <c r="A847" s="1" t="n">
        <v>19</v>
      </c>
      <c r="B847" s="1" t="n">
        <v>13</v>
      </c>
      <c r="C847" s="1" t="n">
        <v>0.2</v>
      </c>
      <c r="D847" s="1" t="n">
        <v>1</v>
      </c>
      <c r="E847" s="1" t="n">
        <v>0.00653745</v>
      </c>
      <c r="F847" s="1" t="n">
        <v>1.50326E-005</v>
      </c>
      <c r="G847" s="1" t="s">
        <v>37</v>
      </c>
      <c r="H847" s="1" t="n">
        <v>88.2</v>
      </c>
      <c r="I847" s="1" t="n">
        <v>26.6</v>
      </c>
      <c r="J847" s="1" t="n">
        <v>0</v>
      </c>
      <c r="K847" s="1" t="n">
        <v>95.5</v>
      </c>
      <c r="L847" s="1" t="n">
        <v>0</v>
      </c>
      <c r="M847" s="1" t="n">
        <v>0</v>
      </c>
      <c r="N847" s="1" t="s">
        <v>497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Z847" s="0" t="n">
        <f aca="false">I847+65</f>
        <v>91.6</v>
      </c>
      <c r="AB847" s="0" t="n">
        <f aca="false">IF(Z847&gt;360,Z847-360,Z847+0)</f>
        <v>91.6</v>
      </c>
    </row>
    <row r="848" customFormat="false" ht="15.8" hidden="false" customHeight="false" outlineLevel="0" collapsed="false">
      <c r="A848" s="1" t="n">
        <v>19</v>
      </c>
      <c r="B848" s="1" t="n">
        <v>14</v>
      </c>
      <c r="C848" s="1" t="n">
        <v>1.7</v>
      </c>
      <c r="D848" s="1" t="n">
        <v>1.1073</v>
      </c>
      <c r="E848" s="1" t="n">
        <v>0.0478494</v>
      </c>
      <c r="F848" s="1" t="n">
        <v>0.000110028</v>
      </c>
      <c r="G848" s="1" t="s">
        <v>27</v>
      </c>
      <c r="H848" s="1" t="n">
        <v>122.8</v>
      </c>
      <c r="I848" s="1" t="n">
        <v>70.2</v>
      </c>
      <c r="J848" s="1" t="n">
        <v>0</v>
      </c>
      <c r="K848" s="1"/>
      <c r="L848" s="1" t="n">
        <v>0</v>
      </c>
      <c r="M848" s="1" t="n">
        <v>0</v>
      </c>
      <c r="N848" s="1" t="s">
        <v>498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Z848" s="0" t="n">
        <f aca="false">I848+65</f>
        <v>135.2</v>
      </c>
      <c r="AB848" s="0" t="n">
        <f aca="false">IF(Z848&gt;360,Z848-360,Z848+0)</f>
        <v>135.2</v>
      </c>
    </row>
    <row r="849" customFormat="false" ht="15.8" hidden="false" customHeight="false" outlineLevel="0" collapsed="false">
      <c r="A849" s="1" t="n">
        <v>19</v>
      </c>
      <c r="B849" s="1" t="n">
        <v>14</v>
      </c>
      <c r="C849" s="1" t="n">
        <v>3.4</v>
      </c>
      <c r="D849" s="1" t="n">
        <v>1.0892</v>
      </c>
      <c r="E849" s="1" t="n">
        <v>0.098091</v>
      </c>
      <c r="F849" s="1" t="n">
        <v>0.000225557</v>
      </c>
      <c r="G849" s="1" t="s">
        <v>27</v>
      </c>
      <c r="H849" s="1" t="n">
        <v>78.1</v>
      </c>
      <c r="I849" s="1" t="n">
        <v>283.4</v>
      </c>
      <c r="J849" s="1" t="n">
        <v>7.2</v>
      </c>
      <c r="K849" s="1"/>
      <c r="L849" s="1" t="n">
        <v>0</v>
      </c>
      <c r="M849" s="1" t="n">
        <v>0</v>
      </c>
      <c r="N849" s="1" t="s">
        <v>498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Z849" s="0" t="n">
        <f aca="false">I849+65</f>
        <v>348.4</v>
      </c>
      <c r="AB849" s="0" t="n">
        <f aca="false">IF(Z849&gt;360,Z849-360,Z849+0)</f>
        <v>348.4</v>
      </c>
    </row>
    <row r="850" customFormat="false" ht="15.8" hidden="false" customHeight="false" outlineLevel="0" collapsed="false">
      <c r="A850" s="1" t="n">
        <v>19</v>
      </c>
      <c r="B850" s="1" t="n">
        <v>17</v>
      </c>
      <c r="C850" s="1" t="n">
        <v>1</v>
      </c>
      <c r="D850" s="1" t="n">
        <v>1.0343</v>
      </c>
      <c r="E850" s="1" t="n">
        <v>0.0280999</v>
      </c>
      <c r="F850" s="1" t="n">
        <v>6.46147E-005</v>
      </c>
      <c r="G850" s="1" t="s">
        <v>27</v>
      </c>
      <c r="H850" s="1" t="n">
        <v>101.7</v>
      </c>
      <c r="I850" s="1" t="n">
        <v>329.4</v>
      </c>
      <c r="J850" s="1" t="n">
        <v>0</v>
      </c>
      <c r="K850" s="1"/>
      <c r="L850" s="1" t="n">
        <v>0</v>
      </c>
      <c r="M850" s="1" t="n">
        <v>0</v>
      </c>
      <c r="N850" s="1" t="s">
        <v>499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Z850" s="0" t="n">
        <f aca="false">I850+65</f>
        <v>394.4</v>
      </c>
      <c r="AB850" s="0" t="n">
        <f aca="false">IF(Z850&gt;360,Z850-360,Z850+0)</f>
        <v>34.4</v>
      </c>
    </row>
    <row r="851" customFormat="false" ht="15.8" hidden="false" customHeight="false" outlineLevel="0" collapsed="false">
      <c r="A851" s="1" t="n">
        <v>19</v>
      </c>
      <c r="B851" s="1" t="n">
        <v>17</v>
      </c>
      <c r="C851" s="1" t="n">
        <v>1</v>
      </c>
      <c r="D851" s="1" t="n">
        <v>1.155</v>
      </c>
      <c r="E851" s="1" t="n">
        <v>0.029838</v>
      </c>
      <c r="F851" s="1" t="n">
        <v>6.86116E-005</v>
      </c>
      <c r="G851" s="1" t="s">
        <v>27</v>
      </c>
      <c r="H851" s="1" t="n">
        <v>20.7</v>
      </c>
      <c r="I851" s="1" t="n">
        <v>95.9</v>
      </c>
      <c r="J851" s="1" t="n">
        <v>25.9</v>
      </c>
      <c r="K851" s="1"/>
      <c r="L851" s="1" t="n">
        <v>0</v>
      </c>
      <c r="M851" s="1" t="n">
        <v>0</v>
      </c>
      <c r="N851" s="1" t="s">
        <v>499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Z851" s="0" t="n">
        <f aca="false">I851+65</f>
        <v>160.9</v>
      </c>
      <c r="AB851" s="0" t="n">
        <f aca="false">IF(Z851&gt;360,Z851-360,Z851+0)</f>
        <v>160.9</v>
      </c>
    </row>
    <row r="852" customFormat="false" ht="15.8" hidden="false" customHeight="false" outlineLevel="0" collapsed="false">
      <c r="A852" s="1" t="n">
        <v>19</v>
      </c>
      <c r="B852" s="1" t="n">
        <v>17</v>
      </c>
      <c r="C852" s="1" t="n">
        <v>1.6</v>
      </c>
      <c r="D852" s="1" t="n">
        <v>1.1813</v>
      </c>
      <c r="E852" s="1" t="n">
        <v>0.0468566</v>
      </c>
      <c r="F852" s="1" t="n">
        <v>0.000107745</v>
      </c>
      <c r="G852" s="1" t="s">
        <v>27</v>
      </c>
      <c r="H852" s="1" t="n">
        <v>73.8</v>
      </c>
      <c r="I852" s="1" t="n">
        <v>131.6</v>
      </c>
      <c r="J852" s="1" t="n">
        <v>-16.5</v>
      </c>
      <c r="K852" s="1"/>
      <c r="L852" s="1" t="n">
        <v>0</v>
      </c>
      <c r="M852" s="1" t="n">
        <v>0</v>
      </c>
      <c r="N852" s="1" t="s">
        <v>499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Z852" s="0" t="n">
        <f aca="false">I852+65</f>
        <v>196.6</v>
      </c>
      <c r="AB852" s="0" t="n">
        <f aca="false">IF(Z852&gt;360,Z852-360,Z852+0)</f>
        <v>196.6</v>
      </c>
    </row>
    <row r="853" customFormat="false" ht="15.8" hidden="false" customHeight="false" outlineLevel="0" collapsed="false">
      <c r="A853" s="1" t="n">
        <v>19</v>
      </c>
      <c r="B853" s="1" t="n">
        <v>16</v>
      </c>
      <c r="C853" s="1" t="n">
        <v>1</v>
      </c>
      <c r="D853" s="1" t="n">
        <v>1.3087</v>
      </c>
      <c r="E853" s="1" t="n">
        <v>0.0281583</v>
      </c>
      <c r="F853" s="1" t="n">
        <v>6.47491E-005</v>
      </c>
      <c r="G853" s="1" t="s">
        <v>37</v>
      </c>
      <c r="H853" s="1" t="n">
        <v>75</v>
      </c>
      <c r="I853" s="1" t="n">
        <v>73.1</v>
      </c>
      <c r="J853" s="1" t="n">
        <v>31.6</v>
      </c>
      <c r="K853" s="1" t="n">
        <v>101.7</v>
      </c>
      <c r="L853" s="1" t="n">
        <v>0</v>
      </c>
      <c r="M853" s="1" t="n">
        <v>0</v>
      </c>
      <c r="N853" s="1" t="s">
        <v>500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Z853" s="0" t="n">
        <f aca="false">I853+65</f>
        <v>138.1</v>
      </c>
      <c r="AB853" s="0" t="n">
        <f aca="false">IF(Z853&gt;360,Z853-360,Z853+0)</f>
        <v>138.1</v>
      </c>
    </row>
    <row r="854" customFormat="false" ht="15.8" hidden="false" customHeight="false" outlineLevel="0" collapsed="false">
      <c r="A854" s="1" t="n">
        <v>19</v>
      </c>
      <c r="B854" s="1" t="n">
        <v>18</v>
      </c>
      <c r="C854" s="1" t="n">
        <v>0.6</v>
      </c>
      <c r="D854" s="1" t="n">
        <v>1.0044</v>
      </c>
      <c r="E854" s="1" t="n">
        <v>0.0162736</v>
      </c>
      <c r="F854" s="1" t="n">
        <v>3.74206E-005</v>
      </c>
      <c r="G854" s="1" t="s">
        <v>27</v>
      </c>
      <c r="H854" s="1" t="n">
        <v>80.8</v>
      </c>
      <c r="I854" s="1" t="n">
        <v>41</v>
      </c>
      <c r="J854" s="1" t="n">
        <v>0</v>
      </c>
      <c r="K854" s="1"/>
      <c r="L854" s="1" t="n">
        <v>0</v>
      </c>
      <c r="M854" s="1" t="n">
        <v>0</v>
      </c>
      <c r="N854" s="1" t="s">
        <v>501</v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Z854" s="0" t="n">
        <f aca="false">I854+65</f>
        <v>106</v>
      </c>
      <c r="AB854" s="0" t="n">
        <f aca="false">IF(Z854&gt;360,Z854-360,Z854+0)</f>
        <v>106</v>
      </c>
    </row>
    <row r="855" customFormat="false" ht="15.8" hidden="false" customHeight="false" outlineLevel="0" collapsed="false">
      <c r="A855" s="1" t="n">
        <v>19</v>
      </c>
      <c r="B855" s="1" t="n">
        <v>18</v>
      </c>
      <c r="C855" s="1" t="n">
        <v>0.6</v>
      </c>
      <c r="D855" s="1" t="n">
        <v>1.0176</v>
      </c>
      <c r="E855" s="1" t="n">
        <v>0.0159739</v>
      </c>
      <c r="F855" s="1" t="n">
        <v>3.67313E-005</v>
      </c>
      <c r="G855" s="1" t="s">
        <v>27</v>
      </c>
      <c r="H855" s="1" t="n">
        <v>19.7</v>
      </c>
      <c r="I855" s="1" t="n">
        <v>331.7</v>
      </c>
      <c r="J855" s="1" t="n">
        <v>0</v>
      </c>
      <c r="K855" s="1"/>
      <c r="L855" s="1" t="n">
        <v>0</v>
      </c>
      <c r="M855" s="1" t="n">
        <v>0</v>
      </c>
      <c r="N855" s="1" t="s">
        <v>501</v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Z855" s="0" t="n">
        <f aca="false">I855+65</f>
        <v>396.7</v>
      </c>
      <c r="AB855" s="0" t="n">
        <f aca="false">IF(Z855&gt;360,Z855-360,Z855+0)</f>
        <v>36.7</v>
      </c>
    </row>
    <row r="856" customFormat="false" ht="15.8" hidden="false" customHeight="false" outlineLevel="0" collapsed="false">
      <c r="A856" s="1" t="n">
        <v>19</v>
      </c>
      <c r="B856" s="1" t="n">
        <v>17</v>
      </c>
      <c r="C856" s="1" t="n">
        <v>1.6</v>
      </c>
      <c r="D856" s="1" t="n">
        <v>1.1485</v>
      </c>
      <c r="E856" s="1" t="n">
        <v>0.0456876</v>
      </c>
      <c r="F856" s="1" t="n">
        <v>0.000105057</v>
      </c>
      <c r="G856" s="1" t="s">
        <v>37</v>
      </c>
      <c r="H856" s="1" t="n">
        <v>51.2</v>
      </c>
      <c r="I856" s="1" t="n">
        <v>320.7</v>
      </c>
      <c r="J856" s="1" t="n">
        <v>-16.5</v>
      </c>
      <c r="K856" s="1" t="n">
        <v>80.8</v>
      </c>
      <c r="L856" s="1" t="n">
        <v>0</v>
      </c>
      <c r="M856" s="1" t="n">
        <v>0</v>
      </c>
      <c r="N856" s="1" t="s">
        <v>502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Z856" s="0" t="n">
        <f aca="false">I856+65</f>
        <v>385.7</v>
      </c>
      <c r="AB856" s="0" t="n">
        <f aca="false">IF(Z856&gt;360,Z856-360,Z856+0)</f>
        <v>25.7</v>
      </c>
    </row>
    <row r="857" customFormat="false" ht="15.8" hidden="false" customHeight="false" outlineLevel="0" collapsed="false">
      <c r="A857" s="1" t="n">
        <v>19</v>
      </c>
      <c r="B857" s="1" t="n">
        <v>18</v>
      </c>
      <c r="C857" s="1" t="n">
        <v>2.2</v>
      </c>
      <c r="D857" s="1" t="n">
        <v>1.2326</v>
      </c>
      <c r="E857" s="1" t="n">
        <v>0.0627285</v>
      </c>
      <c r="F857" s="1" t="n">
        <v>0.000144242</v>
      </c>
      <c r="G857" s="1" t="s">
        <v>27</v>
      </c>
      <c r="H857" s="1" t="n">
        <v>87.8</v>
      </c>
      <c r="I857" s="1" t="n">
        <v>290.8</v>
      </c>
      <c r="J857" s="1" t="n">
        <v>0</v>
      </c>
      <c r="K857" s="1"/>
      <c r="L857" s="1" t="n">
        <v>0</v>
      </c>
      <c r="M857" s="1" t="n">
        <v>0</v>
      </c>
      <c r="N857" s="1" t="s">
        <v>503</v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Z857" s="0" t="n">
        <f aca="false">I857+65</f>
        <v>355.8</v>
      </c>
      <c r="AB857" s="0" t="n">
        <f aca="false">IF(Z857&gt;360,Z857-360,Z857+0)</f>
        <v>355.8</v>
      </c>
    </row>
    <row r="858" customFormat="false" ht="15.8" hidden="false" customHeight="false" outlineLevel="0" collapsed="false">
      <c r="A858" s="1" t="n">
        <v>19</v>
      </c>
      <c r="B858" s="1" t="n">
        <v>18</v>
      </c>
      <c r="C858" s="1" t="n">
        <v>1.8</v>
      </c>
      <c r="D858" s="1" t="n">
        <v>1.1699</v>
      </c>
      <c r="E858" s="1" t="n">
        <v>0.0506212</v>
      </c>
      <c r="F858" s="1" t="n">
        <v>0.000116402</v>
      </c>
      <c r="G858" s="1" t="s">
        <v>27</v>
      </c>
      <c r="H858" s="1" t="n">
        <v>102.1</v>
      </c>
      <c r="I858" s="1" t="n">
        <v>53.8</v>
      </c>
      <c r="J858" s="1" t="n">
        <v>51.4</v>
      </c>
      <c r="K858" s="1"/>
      <c r="L858" s="1" t="n">
        <v>0</v>
      </c>
      <c r="M858" s="1" t="n">
        <v>0</v>
      </c>
      <c r="N858" s="1" t="s">
        <v>503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Z858" s="0" t="n">
        <f aca="false">I858+65</f>
        <v>118.8</v>
      </c>
      <c r="AB858" s="0" t="n">
        <f aca="false">IF(Z858&gt;360,Z858-360,Z858+0)</f>
        <v>118.8</v>
      </c>
    </row>
    <row r="859" customFormat="false" ht="15.8" hidden="false" customHeight="false" outlineLevel="0" collapsed="false">
      <c r="A859" s="1" t="n">
        <v>19</v>
      </c>
      <c r="B859" s="1" t="n">
        <v>18</v>
      </c>
      <c r="C859" s="1" t="n">
        <v>1.9</v>
      </c>
      <c r="D859" s="1" t="n">
        <v>1.7686</v>
      </c>
      <c r="E859" s="1" t="n">
        <v>0.0540353</v>
      </c>
      <c r="F859" s="1" t="n">
        <v>0.000124252</v>
      </c>
      <c r="G859" s="1" t="s">
        <v>27</v>
      </c>
      <c r="H859" s="1" t="n">
        <v>50.6</v>
      </c>
      <c r="I859" s="1" t="n">
        <v>148.4</v>
      </c>
      <c r="J859" s="1" t="n">
        <v>21.6</v>
      </c>
      <c r="K859" s="1"/>
      <c r="L859" s="1" t="n">
        <v>0</v>
      </c>
      <c r="M859" s="1" t="n">
        <v>0</v>
      </c>
      <c r="N859" s="1" t="s">
        <v>503</v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Z859" s="0" t="n">
        <f aca="false">I859+65</f>
        <v>213.4</v>
      </c>
      <c r="AB859" s="0" t="n">
        <f aca="false">IF(Z859&gt;360,Z859-360,Z859+0)</f>
        <v>213.4</v>
      </c>
    </row>
    <row r="860" customFormat="false" ht="15.8" hidden="false" customHeight="false" outlineLevel="0" collapsed="false">
      <c r="A860" s="1" t="n">
        <v>19</v>
      </c>
      <c r="B860" s="1" t="n">
        <v>18</v>
      </c>
      <c r="C860" s="1" t="n">
        <v>1.5</v>
      </c>
      <c r="D860" s="1" t="n">
        <v>1.2759</v>
      </c>
      <c r="E860" s="1" t="n">
        <v>0.0426923</v>
      </c>
      <c r="F860" s="1" t="n">
        <v>9.81697E-005</v>
      </c>
      <c r="G860" s="1" t="s">
        <v>27</v>
      </c>
      <c r="H860" s="1" t="n">
        <v>43.5</v>
      </c>
      <c r="I860" s="1" t="n">
        <v>249.2</v>
      </c>
      <c r="J860" s="1" t="n">
        <v>42.3</v>
      </c>
      <c r="K860" s="1"/>
      <c r="L860" s="1" t="n">
        <v>0</v>
      </c>
      <c r="M860" s="1" t="n">
        <v>0</v>
      </c>
      <c r="N860" s="1" t="s">
        <v>503</v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Z860" s="0" t="n">
        <f aca="false">I860+65</f>
        <v>314.2</v>
      </c>
      <c r="AB860" s="0" t="n">
        <f aca="false">IF(Z860&gt;360,Z860-360,Z860+0)</f>
        <v>314.2</v>
      </c>
    </row>
    <row r="861" customFormat="false" ht="15.8" hidden="false" customHeight="false" outlineLevel="0" collapsed="false">
      <c r="A861" s="1" t="n">
        <v>19</v>
      </c>
      <c r="B861" s="1" t="n">
        <v>17</v>
      </c>
      <c r="C861" s="1" t="n">
        <v>1.2</v>
      </c>
      <c r="D861" s="1" t="n">
        <v>1.1406</v>
      </c>
      <c r="E861" s="1" t="n">
        <v>0.0347859</v>
      </c>
      <c r="F861" s="1" t="n">
        <v>7.9989E-005</v>
      </c>
      <c r="G861" s="1" t="s">
        <v>37</v>
      </c>
      <c r="H861" s="1" t="n">
        <v>83.7</v>
      </c>
      <c r="I861" s="1" t="n">
        <v>203.2</v>
      </c>
      <c r="J861" s="1" t="n">
        <v>21.7</v>
      </c>
      <c r="K861" s="1" t="n">
        <v>102.1</v>
      </c>
      <c r="L861" s="1" t="n">
        <v>0</v>
      </c>
      <c r="M861" s="1" t="n">
        <v>0</v>
      </c>
      <c r="N861" s="1" t="s">
        <v>502</v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Z861" s="0" t="n">
        <f aca="false">I861+65</f>
        <v>268.2</v>
      </c>
      <c r="AB861" s="0" t="n">
        <f aca="false">IF(Z861&gt;360,Z861-360,Z861+0)</f>
        <v>268.2</v>
      </c>
    </row>
    <row r="862" customFormat="false" ht="15.8" hidden="false" customHeight="false" outlineLevel="0" collapsed="false">
      <c r="A862" s="1" t="n">
        <v>19</v>
      </c>
      <c r="B862" s="1" t="n">
        <v>16</v>
      </c>
      <c r="C862" s="1" t="n">
        <v>1</v>
      </c>
      <c r="D862" s="1" t="n">
        <v>1.271</v>
      </c>
      <c r="E862" s="1" t="n">
        <v>0.0285014</v>
      </c>
      <c r="F862" s="1" t="n">
        <v>6.55381E-005</v>
      </c>
      <c r="G862" s="1" t="s">
        <v>37</v>
      </c>
      <c r="H862" s="1" t="n">
        <v>77.2</v>
      </c>
      <c r="I862" s="1" t="n">
        <v>298.7</v>
      </c>
      <c r="J862" s="1" t="n">
        <v>30.2</v>
      </c>
      <c r="K862" s="1" t="n">
        <v>83.7</v>
      </c>
      <c r="L862" s="1" t="n">
        <v>0</v>
      </c>
      <c r="M862" s="1" t="n">
        <v>0</v>
      </c>
      <c r="N862" s="1" t="s">
        <v>500</v>
      </c>
      <c r="O862" s="1"/>
      <c r="P862" s="1"/>
      <c r="Q862" s="1"/>
      <c r="R862" s="1"/>
      <c r="S862" s="1"/>
      <c r="T862" s="1"/>
      <c r="U862" s="1"/>
      <c r="V862" s="1"/>
      <c r="W862" s="1"/>
      <c r="X862" s="1"/>
      <c r="Z862" s="0" t="n">
        <f aca="false">I862+65</f>
        <v>363.7</v>
      </c>
      <c r="AB862" s="0" t="n">
        <f aca="false">IF(Z862&gt;360,Z862-360,Z862+0)</f>
        <v>3.69999999999999</v>
      </c>
    </row>
    <row r="863" customFormat="false" ht="15.8" hidden="false" customHeight="false" outlineLevel="0" collapsed="false">
      <c r="A863" s="1" t="n">
        <v>19</v>
      </c>
      <c r="B863" s="1" t="n">
        <v>15</v>
      </c>
      <c r="C863" s="1" t="n">
        <v>3.5</v>
      </c>
      <c r="D863" s="1" t="n">
        <v>1.4741</v>
      </c>
      <c r="E863" s="1" t="n">
        <v>0.0974794</v>
      </c>
      <c r="F863" s="1" t="n">
        <v>0.000219727</v>
      </c>
      <c r="G863" s="1" t="s">
        <v>37</v>
      </c>
      <c r="H863" s="1" t="n">
        <v>40.4</v>
      </c>
      <c r="I863" s="1" t="n">
        <v>184.8</v>
      </c>
      <c r="J863" s="1" t="n">
        <v>56.1</v>
      </c>
      <c r="K863" s="1" t="n">
        <v>77.2</v>
      </c>
      <c r="L863" s="1" t="n">
        <v>0</v>
      </c>
      <c r="M863" s="1" t="n">
        <v>0</v>
      </c>
      <c r="N863" s="1" t="s">
        <v>504</v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Z863" s="0" t="n">
        <f aca="false">I863+65</f>
        <v>249.8</v>
      </c>
      <c r="AB863" s="0" t="n">
        <f aca="false">IF(Z863&gt;360,Z863-360,Z863+0)</f>
        <v>249.8</v>
      </c>
    </row>
    <row r="864" customFormat="false" ht="15.8" hidden="false" customHeight="false" outlineLevel="0" collapsed="false">
      <c r="A864" s="1" t="n">
        <v>19</v>
      </c>
      <c r="B864" s="1" t="n">
        <v>15</v>
      </c>
      <c r="C864" s="1" t="n">
        <v>0.9</v>
      </c>
      <c r="D864" s="1" t="n">
        <v>1.0059</v>
      </c>
      <c r="E864" s="1" t="n">
        <v>0.0260651</v>
      </c>
      <c r="F864" s="1" t="n">
        <v>5.99358E-005</v>
      </c>
      <c r="G864" s="1" t="s">
        <v>27</v>
      </c>
      <c r="H864" s="1" t="n">
        <v>71.2</v>
      </c>
      <c r="I864" s="1" t="n">
        <v>280</v>
      </c>
      <c r="J864" s="1" t="n">
        <v>0</v>
      </c>
      <c r="K864" s="1"/>
      <c r="L864" s="1" t="n">
        <v>0</v>
      </c>
      <c r="M864" s="1" t="n">
        <v>0</v>
      </c>
      <c r="N864" s="1" t="s">
        <v>504</v>
      </c>
      <c r="O864" s="1"/>
      <c r="P864" s="1"/>
      <c r="Q864" s="1"/>
      <c r="R864" s="1"/>
      <c r="S864" s="1"/>
      <c r="T864" s="1"/>
      <c r="U864" s="1"/>
      <c r="V864" s="1"/>
      <c r="W864" s="1"/>
      <c r="X864" s="1"/>
      <c r="Z864" s="0" t="n">
        <f aca="false">I864+65</f>
        <v>345</v>
      </c>
      <c r="AB864" s="0" t="n">
        <f aca="false">IF(Z864&gt;360,Z864-360,Z864+0)</f>
        <v>345</v>
      </c>
    </row>
    <row r="865" customFormat="false" ht="15.8" hidden="false" customHeight="false" outlineLevel="0" collapsed="false">
      <c r="A865" s="1" t="n">
        <v>19</v>
      </c>
      <c r="B865" s="1" t="n">
        <v>16</v>
      </c>
      <c r="C865" s="1" t="n">
        <v>0.5</v>
      </c>
      <c r="D865" s="1" t="n">
        <v>1.0191</v>
      </c>
      <c r="E865" s="1" t="n">
        <v>0.0148281</v>
      </c>
      <c r="F865" s="1" t="n">
        <v>3.40968E-005</v>
      </c>
      <c r="G865" s="1" t="s">
        <v>27</v>
      </c>
      <c r="H865" s="1" t="n">
        <v>157.8</v>
      </c>
      <c r="I865" s="1" t="n">
        <v>279.5</v>
      </c>
      <c r="J865" s="1" t="n">
        <v>0</v>
      </c>
      <c r="K865" s="1"/>
      <c r="L865" s="1" t="n">
        <v>0</v>
      </c>
      <c r="M865" s="1" t="n">
        <v>0</v>
      </c>
      <c r="N865" s="1" t="s">
        <v>505</v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Z865" s="0" t="n">
        <f aca="false">I865+65</f>
        <v>344.5</v>
      </c>
      <c r="AB865" s="0" t="n">
        <f aca="false">IF(Z865&gt;360,Z865-360,Z865+0)</f>
        <v>344.5</v>
      </c>
    </row>
    <row r="866" customFormat="false" ht="15.8" hidden="false" customHeight="false" outlineLevel="0" collapsed="false">
      <c r="A866" s="1" t="n">
        <v>19</v>
      </c>
      <c r="B866" s="1" t="n">
        <v>16</v>
      </c>
      <c r="C866" s="1" t="n">
        <v>2.9</v>
      </c>
      <c r="D866" s="1" t="n">
        <v>1.2941</v>
      </c>
      <c r="E866" s="1" t="n">
        <v>0.0837193</v>
      </c>
      <c r="F866" s="1" t="n">
        <v>0.00019251</v>
      </c>
      <c r="G866" s="1" t="s">
        <v>27</v>
      </c>
      <c r="H866" s="1" t="n">
        <v>43.2</v>
      </c>
      <c r="I866" s="1" t="n">
        <v>59.6</v>
      </c>
      <c r="J866" s="1" t="n">
        <v>31.5</v>
      </c>
      <c r="K866" s="1"/>
      <c r="L866" s="1" t="n">
        <v>0</v>
      </c>
      <c r="M866" s="1" t="n">
        <v>0</v>
      </c>
      <c r="N866" s="1" t="s">
        <v>505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Z866" s="0" t="n">
        <f aca="false">I866+65</f>
        <v>124.6</v>
      </c>
      <c r="AB866" s="0" t="n">
        <f aca="false">IF(Z866&gt;360,Z866-360,Z866+0)</f>
        <v>124.6</v>
      </c>
    </row>
    <row r="867" customFormat="false" ht="15.8" hidden="false" customHeight="false" outlineLevel="0" collapsed="false">
      <c r="A867" s="1" t="n">
        <v>19</v>
      </c>
      <c r="B867" s="1" t="n">
        <v>15</v>
      </c>
      <c r="C867" s="1" t="n">
        <v>5</v>
      </c>
      <c r="D867" s="1" t="n">
        <v>1.5408</v>
      </c>
      <c r="E867" s="1" t="n">
        <v>0.14519</v>
      </c>
      <c r="F867" s="1" t="n">
        <v>0.000333859</v>
      </c>
      <c r="G867" s="1" t="s">
        <v>37</v>
      </c>
      <c r="H867" s="1" t="n">
        <v>94.5</v>
      </c>
      <c r="I867" s="1" t="n">
        <v>106.7</v>
      </c>
      <c r="J867" s="1" t="n">
        <v>21</v>
      </c>
      <c r="K867" s="1" t="n">
        <v>157.8</v>
      </c>
      <c r="L867" s="1" t="n">
        <v>0</v>
      </c>
      <c r="M867" s="1" t="n">
        <v>0</v>
      </c>
      <c r="N867" s="1" t="s">
        <v>504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Z867" s="0" t="n">
        <f aca="false">I867+65</f>
        <v>171.7</v>
      </c>
      <c r="AB867" s="0" t="n">
        <f aca="false">IF(Z867&gt;360,Z867-360,Z867+0)</f>
        <v>171.7</v>
      </c>
    </row>
    <row r="868" customFormat="false" ht="15.8" hidden="false" customHeight="false" outlineLevel="0" collapsed="false">
      <c r="A868" s="1" t="n">
        <v>19</v>
      </c>
      <c r="B868" s="1" t="n">
        <v>14</v>
      </c>
      <c r="C868" s="1" t="n">
        <v>2.9</v>
      </c>
      <c r="D868" s="1" t="n">
        <v>1.2859</v>
      </c>
      <c r="E868" s="1" t="n">
        <v>0.0834529</v>
      </c>
      <c r="F868" s="1" t="n">
        <v>0.000191897</v>
      </c>
      <c r="G868" s="1" t="s">
        <v>37</v>
      </c>
      <c r="H868" s="1" t="n">
        <v>17.7</v>
      </c>
      <c r="I868" s="1" t="n">
        <v>210.1</v>
      </c>
      <c r="J868" s="1" t="n">
        <v>20.3</v>
      </c>
      <c r="K868" s="1" t="n">
        <v>94.5</v>
      </c>
      <c r="L868" s="1" t="n">
        <v>0</v>
      </c>
      <c r="M868" s="1" t="n">
        <v>0</v>
      </c>
      <c r="N868" s="1" t="s">
        <v>498</v>
      </c>
      <c r="O868" s="1"/>
      <c r="P868" s="1"/>
      <c r="Q868" s="1"/>
      <c r="R868" s="1"/>
      <c r="S868" s="1"/>
      <c r="T868" s="1"/>
      <c r="U868" s="1"/>
      <c r="V868" s="1"/>
      <c r="W868" s="1"/>
      <c r="X868" s="1"/>
      <c r="Z868" s="0" t="n">
        <f aca="false">I868+65</f>
        <v>275.1</v>
      </c>
      <c r="AB868" s="0" t="n">
        <f aca="false">IF(Z868&gt;360,Z868-360,Z868+0)</f>
        <v>275.1</v>
      </c>
    </row>
    <row r="869" customFormat="false" ht="15.8" hidden="false" customHeight="false" outlineLevel="0" collapsed="false">
      <c r="A869" s="1" t="n">
        <v>19</v>
      </c>
      <c r="B869" s="1" t="n">
        <v>13</v>
      </c>
      <c r="C869" s="1" t="n">
        <v>0.8</v>
      </c>
      <c r="D869" s="1" t="n">
        <v>1.2038</v>
      </c>
      <c r="E869" s="1" t="n">
        <v>0.0225911</v>
      </c>
      <c r="F869" s="1" t="n">
        <v>5.19476E-005</v>
      </c>
      <c r="G869" s="1" t="s">
        <v>37</v>
      </c>
      <c r="H869" s="1" t="n">
        <v>94.4</v>
      </c>
      <c r="I869" s="1" t="n">
        <v>202.9</v>
      </c>
      <c r="J869" s="1" t="n">
        <v>36.9</v>
      </c>
      <c r="K869" s="1" t="n">
        <v>122.8</v>
      </c>
      <c r="L869" s="1" t="n">
        <v>0</v>
      </c>
      <c r="M869" s="1" t="n">
        <v>0</v>
      </c>
      <c r="N869" s="1" t="s">
        <v>497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Z869" s="0" t="n">
        <f aca="false">I869+65</f>
        <v>267.9</v>
      </c>
      <c r="AB869" s="0" t="n">
        <f aca="false">IF(Z869&gt;360,Z869-360,Z869+0)</f>
        <v>267.9</v>
      </c>
    </row>
    <row r="870" customFormat="false" ht="15.8" hidden="false" customHeight="false" outlineLevel="0" collapsed="false">
      <c r="A870" s="1" t="n">
        <v>19</v>
      </c>
      <c r="B870" s="1" t="n">
        <v>12</v>
      </c>
      <c r="C870" s="1" t="n">
        <v>2.4</v>
      </c>
      <c r="D870" s="1" t="n">
        <v>1.018</v>
      </c>
      <c r="E870" s="1" t="n">
        <v>0.069877</v>
      </c>
      <c r="F870" s="1" t="n">
        <v>0.00016068</v>
      </c>
      <c r="G870" s="1" t="s">
        <v>37</v>
      </c>
      <c r="H870" s="1" t="n">
        <v>14.1</v>
      </c>
      <c r="I870" s="1" t="n">
        <v>298.4</v>
      </c>
      <c r="J870" s="1" t="n">
        <v>0</v>
      </c>
      <c r="K870" s="1" t="n">
        <v>94.4</v>
      </c>
      <c r="L870" s="1" t="n">
        <v>0</v>
      </c>
      <c r="M870" s="1" t="n">
        <v>0</v>
      </c>
      <c r="N870" s="1" t="s">
        <v>506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Z870" s="0" t="n">
        <f aca="false">I870+65</f>
        <v>363.4</v>
      </c>
      <c r="AB870" s="0" t="n">
        <f aca="false">IF(Z870&gt;360,Z870-360,Z870+0)</f>
        <v>3.39999999999998</v>
      </c>
    </row>
    <row r="871" customFormat="false" ht="15.8" hidden="false" customHeight="false" outlineLevel="0" collapsed="false">
      <c r="A871" s="1" t="n">
        <v>19</v>
      </c>
      <c r="B871" s="1" t="n">
        <v>13</v>
      </c>
      <c r="C871" s="1" t="n">
        <v>1.3</v>
      </c>
      <c r="D871" s="1" t="n">
        <v>1.1173</v>
      </c>
      <c r="E871" s="1" t="n">
        <v>0.0453002</v>
      </c>
      <c r="F871" s="1" t="n">
        <v>0.000130208</v>
      </c>
      <c r="G871" s="1" t="s">
        <v>27</v>
      </c>
      <c r="H871" s="1" t="n">
        <v>68.9</v>
      </c>
      <c r="I871" s="1" t="n">
        <v>353.7</v>
      </c>
      <c r="J871" s="1" t="n">
        <v>-20.3</v>
      </c>
      <c r="K871" s="1"/>
      <c r="L871" s="1" t="n">
        <v>0</v>
      </c>
      <c r="M871" s="1" t="n">
        <v>0</v>
      </c>
      <c r="N871" s="1" t="s">
        <v>507</v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Z871" s="0" t="n">
        <f aca="false">I871+65</f>
        <v>418.7</v>
      </c>
      <c r="AB871" s="0" t="n">
        <f aca="false">IF(Z871&gt;360,Z871-360,Z871+0)</f>
        <v>58.7</v>
      </c>
    </row>
    <row r="872" customFormat="false" ht="15.8" hidden="false" customHeight="false" outlineLevel="0" collapsed="false">
      <c r="A872" s="1" t="n">
        <v>19</v>
      </c>
      <c r="B872" s="1" t="n">
        <v>13</v>
      </c>
      <c r="C872" s="1" t="n">
        <v>1.2</v>
      </c>
      <c r="D872" s="1" t="n">
        <v>1.1589</v>
      </c>
      <c r="E872" s="1" t="n">
        <v>0.0420639</v>
      </c>
      <c r="F872" s="1" t="n">
        <v>0.000120906</v>
      </c>
      <c r="G872" s="1" t="s">
        <v>27</v>
      </c>
      <c r="H872" s="1" t="n">
        <v>38.2</v>
      </c>
      <c r="I872" s="1" t="n">
        <v>191.5</v>
      </c>
      <c r="J872" s="1" t="n">
        <v>-50.9</v>
      </c>
      <c r="K872" s="1"/>
      <c r="L872" s="1" t="n">
        <v>0</v>
      </c>
      <c r="M872" s="1" t="n">
        <v>0</v>
      </c>
      <c r="N872" s="1" t="s">
        <v>507</v>
      </c>
      <c r="O872" s="1"/>
      <c r="P872" s="1"/>
      <c r="Q872" s="1"/>
      <c r="R872" s="1"/>
      <c r="S872" s="1"/>
      <c r="T872" s="1"/>
      <c r="U872" s="1"/>
      <c r="V872" s="1"/>
      <c r="W872" s="1"/>
      <c r="X872" s="1"/>
      <c r="Z872" s="0" t="n">
        <f aca="false">I872+65</f>
        <v>256.5</v>
      </c>
      <c r="AB872" s="0" t="n">
        <f aca="false">IF(Z872&gt;360,Z872-360,Z872+0)</f>
        <v>256.5</v>
      </c>
    </row>
    <row r="873" customFormat="false" ht="15.8" hidden="false" customHeight="false" outlineLevel="0" collapsed="false">
      <c r="A873" s="1" t="n">
        <v>19</v>
      </c>
      <c r="B873" s="1" t="n">
        <v>14</v>
      </c>
      <c r="C873" s="1" t="n">
        <v>0.6</v>
      </c>
      <c r="D873" s="1" t="n">
        <v>1.0071</v>
      </c>
      <c r="E873" s="1" t="n">
        <v>0.0233808</v>
      </c>
      <c r="F873" s="1" t="n">
        <v>6.72043E-005</v>
      </c>
      <c r="G873" s="1" t="s">
        <v>27</v>
      </c>
      <c r="H873" s="1" t="n">
        <v>42.8</v>
      </c>
      <c r="I873" s="1" t="n">
        <v>312.8</v>
      </c>
      <c r="J873" s="1" t="n">
        <v>0</v>
      </c>
      <c r="K873" s="1"/>
      <c r="L873" s="1" t="n">
        <v>0</v>
      </c>
      <c r="M873" s="1" t="n">
        <v>0</v>
      </c>
      <c r="N873" s="1" t="s">
        <v>508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Z873" s="0" t="n">
        <f aca="false">I873+65</f>
        <v>377.8</v>
      </c>
      <c r="AB873" s="0" t="n">
        <f aca="false">IF(Z873&gt;360,Z873-360,Z873+0)</f>
        <v>17.8</v>
      </c>
    </row>
    <row r="874" customFormat="false" ht="15.8" hidden="false" customHeight="false" outlineLevel="0" collapsed="false">
      <c r="A874" s="1" t="n">
        <v>19</v>
      </c>
      <c r="B874" s="1" t="n">
        <v>14</v>
      </c>
      <c r="C874" s="1" t="n">
        <v>4.1</v>
      </c>
      <c r="D874" s="1" t="n">
        <v>1.4428</v>
      </c>
      <c r="E874" s="1" t="n">
        <v>0.146348</v>
      </c>
      <c r="F874" s="1" t="n">
        <v>0.000420652</v>
      </c>
      <c r="G874" s="1" t="s">
        <v>27</v>
      </c>
      <c r="H874" s="1" t="n">
        <v>79.4</v>
      </c>
      <c r="I874" s="1" t="n">
        <v>108.6</v>
      </c>
      <c r="J874" s="1" t="n">
        <v>-56.4</v>
      </c>
      <c r="K874" s="1"/>
      <c r="L874" s="1" t="n">
        <v>0</v>
      </c>
      <c r="M874" s="1" t="n">
        <v>0</v>
      </c>
      <c r="N874" s="1" t="s">
        <v>508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Z874" s="0" t="n">
        <f aca="false">I874+65</f>
        <v>173.6</v>
      </c>
      <c r="AB874" s="0" t="n">
        <f aca="false">IF(Z874&gt;360,Z874-360,Z874+0)</f>
        <v>173.6</v>
      </c>
    </row>
    <row r="875" customFormat="false" ht="15.8" hidden="false" customHeight="false" outlineLevel="0" collapsed="false">
      <c r="A875" s="1" t="n">
        <v>19</v>
      </c>
      <c r="B875" s="1" t="n">
        <v>13</v>
      </c>
      <c r="C875" s="1" t="n">
        <v>2.9</v>
      </c>
      <c r="D875" s="1" t="n">
        <v>1.2389</v>
      </c>
      <c r="E875" s="1" t="n">
        <v>0.10297</v>
      </c>
      <c r="F875" s="1" t="n">
        <v>0.000295969</v>
      </c>
      <c r="G875" s="1" t="s">
        <v>37</v>
      </c>
      <c r="H875" s="1" t="n">
        <v>39.5</v>
      </c>
      <c r="I875" s="1" t="n">
        <v>309.2</v>
      </c>
      <c r="J875" s="1" t="n">
        <v>-42.7</v>
      </c>
      <c r="K875" s="1" t="n">
        <v>79.4</v>
      </c>
      <c r="L875" s="1" t="n">
        <v>0</v>
      </c>
      <c r="M875" s="1" t="n">
        <v>0</v>
      </c>
      <c r="N875" s="1" t="s">
        <v>507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Z875" s="0" t="n">
        <f aca="false">I875+65</f>
        <v>374.2</v>
      </c>
      <c r="AB875" s="0" t="n">
        <f aca="false">IF(Z875&gt;360,Z875-360,Z875+0)</f>
        <v>14.2</v>
      </c>
    </row>
    <row r="876" customFormat="false" ht="15.8" hidden="false" customHeight="false" outlineLevel="0" collapsed="false">
      <c r="A876" s="1" t="n">
        <v>19</v>
      </c>
      <c r="B876" s="1" t="n">
        <v>12</v>
      </c>
      <c r="C876" s="1" t="n">
        <v>1</v>
      </c>
      <c r="D876" s="1" t="n">
        <v>1.1008</v>
      </c>
      <c r="E876" s="1" t="n">
        <v>0.0335236</v>
      </c>
      <c r="F876" s="1" t="n">
        <v>8.81274E-005</v>
      </c>
      <c r="G876" s="1" t="s">
        <v>37</v>
      </c>
      <c r="H876" s="1" t="n">
        <v>79.6</v>
      </c>
      <c r="I876" s="1" t="n">
        <v>270</v>
      </c>
      <c r="J876" s="1" t="n">
        <v>-79.3</v>
      </c>
      <c r="K876" s="1" t="n">
        <v>68.9</v>
      </c>
      <c r="L876" s="1" t="n">
        <v>0</v>
      </c>
      <c r="M876" s="1" t="n">
        <v>0</v>
      </c>
      <c r="N876" s="1" t="s">
        <v>506</v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Z876" s="0" t="n">
        <f aca="false">I876+65</f>
        <v>335</v>
      </c>
      <c r="AB876" s="0" t="n">
        <f aca="false">IF(Z876&gt;360,Z876-360,Z876+0)</f>
        <v>335</v>
      </c>
    </row>
    <row r="877" customFormat="false" ht="15.8" hidden="false" customHeight="false" outlineLevel="0" collapsed="false">
      <c r="A877" s="1" t="n">
        <v>19</v>
      </c>
      <c r="B877" s="1" t="n">
        <v>11</v>
      </c>
      <c r="C877" s="1" t="n">
        <v>0.7</v>
      </c>
      <c r="D877" s="1" t="n">
        <v>1.002</v>
      </c>
      <c r="E877" s="1" t="n">
        <v>0.0194736</v>
      </c>
      <c r="F877" s="1" t="n">
        <v>4.47789E-005</v>
      </c>
      <c r="G877" s="1" t="s">
        <v>37</v>
      </c>
      <c r="H877" s="1" t="n">
        <v>53.9</v>
      </c>
      <c r="I877" s="1" t="n">
        <v>284.3</v>
      </c>
      <c r="J877" s="1" t="n">
        <v>0</v>
      </c>
      <c r="K877" s="1" t="n">
        <v>79.6</v>
      </c>
      <c r="L877" s="1" t="n">
        <v>0</v>
      </c>
      <c r="M877" s="1" t="n">
        <v>0</v>
      </c>
      <c r="N877" s="1" t="s">
        <v>491</v>
      </c>
      <c r="O877" s="1"/>
      <c r="P877" s="1"/>
      <c r="Q877" s="1"/>
      <c r="R877" s="1"/>
      <c r="S877" s="1"/>
      <c r="T877" s="1"/>
      <c r="U877" s="1"/>
      <c r="V877" s="1"/>
      <c r="W877" s="1"/>
      <c r="X877" s="1"/>
      <c r="Z877" s="0" t="n">
        <f aca="false">I877+65</f>
        <v>349.3</v>
      </c>
      <c r="AB877" s="0" t="n">
        <f aca="false">IF(Z877&gt;360,Z877-360,Z877+0)</f>
        <v>349.3</v>
      </c>
    </row>
    <row r="878" customFormat="false" ht="15.8" hidden="false" customHeight="false" outlineLevel="0" collapsed="false">
      <c r="A878" s="1" t="n">
        <v>19</v>
      </c>
      <c r="B878" s="1" t="n">
        <v>10</v>
      </c>
      <c r="C878" s="1" t="n">
        <v>5.9</v>
      </c>
      <c r="D878" s="1" t="n">
        <v>1.5267</v>
      </c>
      <c r="E878" s="1" t="n">
        <v>0.167817</v>
      </c>
      <c r="F878" s="1" t="n">
        <v>0.000381434</v>
      </c>
      <c r="G878" s="1" t="s">
        <v>37</v>
      </c>
      <c r="H878" s="1" t="n">
        <v>148.8</v>
      </c>
      <c r="I878" s="1" t="n">
        <v>326.6</v>
      </c>
      <c r="J878" s="1" t="n">
        <v>-37.3</v>
      </c>
      <c r="K878" s="1" t="n">
        <v>103.1</v>
      </c>
      <c r="L878" s="1" t="n">
        <v>0</v>
      </c>
      <c r="M878" s="1" t="n">
        <v>0</v>
      </c>
      <c r="N878" s="1" t="s">
        <v>509</v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Z878" s="0" t="n">
        <f aca="false">I878+65</f>
        <v>391.6</v>
      </c>
      <c r="AB878" s="0" t="n">
        <f aca="false">IF(Z878&gt;360,Z878-360,Z878+0)</f>
        <v>31.6</v>
      </c>
    </row>
    <row r="879" customFormat="false" ht="15.8" hidden="false" customHeight="false" outlineLevel="0" collapsed="false">
      <c r="A879" s="1" t="n">
        <v>19</v>
      </c>
      <c r="B879" s="1" t="n">
        <v>11</v>
      </c>
      <c r="C879" s="1" t="n">
        <v>2.2</v>
      </c>
      <c r="D879" s="1" t="n">
        <v>1.4344</v>
      </c>
      <c r="E879" s="1" t="n">
        <v>0.0781581</v>
      </c>
      <c r="F879" s="1" t="n">
        <v>0.000224652</v>
      </c>
      <c r="G879" s="1" t="s">
        <v>27</v>
      </c>
      <c r="H879" s="1" t="n">
        <v>65.8</v>
      </c>
      <c r="I879" s="1" t="n">
        <v>189.5</v>
      </c>
      <c r="J879" s="1" t="n">
        <v>15</v>
      </c>
      <c r="K879" s="1"/>
      <c r="L879" s="1" t="n">
        <v>0</v>
      </c>
      <c r="M879" s="1" t="n">
        <v>0</v>
      </c>
      <c r="N879" s="1" t="s">
        <v>510</v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Z879" s="0" t="n">
        <f aca="false">I879+65</f>
        <v>254.5</v>
      </c>
      <c r="AB879" s="0" t="n">
        <f aca="false">IF(Z879&gt;360,Z879-360,Z879+0)</f>
        <v>254.5</v>
      </c>
    </row>
    <row r="880" customFormat="false" ht="15.8" hidden="false" customHeight="false" outlineLevel="0" collapsed="false">
      <c r="A880" s="1" t="n">
        <v>19</v>
      </c>
      <c r="B880" s="1" t="n">
        <v>11</v>
      </c>
      <c r="C880" s="1" t="n">
        <v>1.6</v>
      </c>
      <c r="D880" s="1" t="n">
        <v>1.052</v>
      </c>
      <c r="E880" s="1" t="n">
        <v>0.058449</v>
      </c>
      <c r="F880" s="1" t="n">
        <v>0.000168002</v>
      </c>
      <c r="G880" s="1" t="s">
        <v>27</v>
      </c>
      <c r="H880" s="1" t="n">
        <v>57.8</v>
      </c>
      <c r="I880" s="1" t="n">
        <v>312.3</v>
      </c>
      <c r="J880" s="1" t="n">
        <v>0</v>
      </c>
      <c r="K880" s="1"/>
      <c r="L880" s="1" t="n">
        <v>0</v>
      </c>
      <c r="M880" s="1" t="n">
        <v>0</v>
      </c>
      <c r="N880" s="1" t="s">
        <v>510</v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Z880" s="0" t="n">
        <f aca="false">I880+65</f>
        <v>377.3</v>
      </c>
      <c r="AB880" s="0" t="n">
        <f aca="false">IF(Z880&gt;360,Z880-360,Z880+0)</f>
        <v>17.3</v>
      </c>
    </row>
    <row r="881" customFormat="false" ht="15.8" hidden="false" customHeight="false" outlineLevel="0" collapsed="false">
      <c r="A881" s="1" t="n">
        <v>19</v>
      </c>
      <c r="B881" s="1" t="n">
        <v>10</v>
      </c>
      <c r="C881" s="1" t="n">
        <v>3.2</v>
      </c>
      <c r="D881" s="1" t="n">
        <v>1.3723</v>
      </c>
      <c r="E881" s="1" t="n">
        <v>0.114761</v>
      </c>
      <c r="F881" s="1" t="n">
        <v>0.000329862</v>
      </c>
      <c r="G881" s="1" t="s">
        <v>37</v>
      </c>
      <c r="H881" s="1" t="n">
        <v>76.8</v>
      </c>
      <c r="I881" s="1" t="n">
        <v>254.4</v>
      </c>
      <c r="J881" s="1" t="n">
        <v>0</v>
      </c>
      <c r="K881" s="1" t="n">
        <v>65.8</v>
      </c>
      <c r="L881" s="1" t="n">
        <v>0</v>
      </c>
      <c r="M881" s="1" t="n">
        <v>0</v>
      </c>
      <c r="N881" s="1" t="s">
        <v>509</v>
      </c>
      <c r="O881" s="1"/>
      <c r="P881" s="1"/>
      <c r="Q881" s="1"/>
      <c r="R881" s="1"/>
      <c r="S881" s="1"/>
      <c r="T881" s="1"/>
      <c r="U881" s="1"/>
      <c r="V881" s="1"/>
      <c r="W881" s="1"/>
      <c r="X881" s="1"/>
      <c r="Z881" s="0" t="n">
        <f aca="false">I881+65</f>
        <v>319.4</v>
      </c>
      <c r="AB881" s="0" t="n">
        <f aca="false">IF(Z881&gt;360,Z881-360,Z881+0)</f>
        <v>319.4</v>
      </c>
    </row>
    <row r="882" customFormat="false" ht="15.8" hidden="false" customHeight="false" outlineLevel="0" collapsed="false">
      <c r="A882" s="1" t="n">
        <v>19</v>
      </c>
      <c r="B882" s="1" t="n">
        <v>11</v>
      </c>
      <c r="C882" s="1" t="n">
        <v>0.6</v>
      </c>
      <c r="D882" s="1" t="n">
        <v>1.0031</v>
      </c>
      <c r="E882" s="1" t="n">
        <v>0.0227399</v>
      </c>
      <c r="F882" s="1" t="n">
        <v>6.5362E-005</v>
      </c>
      <c r="G882" s="1" t="s">
        <v>27</v>
      </c>
      <c r="H882" s="1" t="n">
        <v>142.8</v>
      </c>
      <c r="I882" s="1" t="n">
        <v>278.4</v>
      </c>
      <c r="J882" s="1" t="n">
        <v>0</v>
      </c>
      <c r="K882" s="1"/>
      <c r="L882" s="1" t="n">
        <v>0</v>
      </c>
      <c r="M882" s="1" t="n">
        <v>0</v>
      </c>
      <c r="N882" s="1" t="s">
        <v>511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Z882" s="0" t="n">
        <f aca="false">I882+65</f>
        <v>343.4</v>
      </c>
      <c r="AB882" s="0" t="n">
        <f aca="false">IF(Z882&gt;360,Z882-360,Z882+0)</f>
        <v>343.4</v>
      </c>
    </row>
    <row r="883" customFormat="false" ht="15.8" hidden="false" customHeight="false" outlineLevel="0" collapsed="false">
      <c r="A883" s="1" t="n">
        <v>19</v>
      </c>
      <c r="B883" s="1" t="n">
        <v>11</v>
      </c>
      <c r="C883" s="1" t="n">
        <v>5.8</v>
      </c>
      <c r="D883" s="1" t="n">
        <v>1.1518</v>
      </c>
      <c r="E883" s="1" t="n">
        <v>0.210769</v>
      </c>
      <c r="F883" s="1" t="n">
        <v>0.00060582</v>
      </c>
      <c r="G883" s="1" t="s">
        <v>27</v>
      </c>
      <c r="H883" s="1" t="n">
        <v>29.8</v>
      </c>
      <c r="I883" s="1" t="n">
        <v>105.8</v>
      </c>
      <c r="J883" s="1" t="n">
        <v>0</v>
      </c>
      <c r="K883" s="1"/>
      <c r="L883" s="1" t="n">
        <v>0</v>
      </c>
      <c r="M883" s="1" t="n">
        <v>0</v>
      </c>
      <c r="N883" s="1" t="s">
        <v>511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Z883" s="0" t="n">
        <f aca="false">I883+65</f>
        <v>170.8</v>
      </c>
      <c r="AB883" s="0" t="n">
        <f aca="false">IF(Z883&gt;360,Z883-360,Z883+0)</f>
        <v>170.8</v>
      </c>
    </row>
    <row r="884" customFormat="false" ht="15.8" hidden="false" customHeight="false" outlineLevel="0" collapsed="false">
      <c r="A884" s="1" t="n">
        <v>19</v>
      </c>
      <c r="B884" s="1" t="n">
        <v>10</v>
      </c>
      <c r="C884" s="1" t="n">
        <v>1.8</v>
      </c>
      <c r="D884" s="1" t="n">
        <v>1.1545</v>
      </c>
      <c r="E884" s="1" t="n">
        <v>0.0644142</v>
      </c>
      <c r="F884" s="1" t="n">
        <v>0.000185148</v>
      </c>
      <c r="G884" s="1" t="s">
        <v>37</v>
      </c>
      <c r="H884" s="1" t="n">
        <v>47.6</v>
      </c>
      <c r="I884" s="1" t="n">
        <v>135.6</v>
      </c>
      <c r="J884" s="1" t="n">
        <v>0</v>
      </c>
      <c r="K884" s="1" t="n">
        <v>142.8</v>
      </c>
      <c r="L884" s="1" t="n">
        <v>0</v>
      </c>
      <c r="M884" s="1" t="n">
        <v>0</v>
      </c>
      <c r="N884" s="1" t="s">
        <v>509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Z884" s="0" t="n">
        <f aca="false">I884+65</f>
        <v>200.6</v>
      </c>
      <c r="AB884" s="0" t="n">
        <f aca="false">IF(Z884&gt;360,Z884-360,Z884+0)</f>
        <v>200.6</v>
      </c>
    </row>
    <row r="885" customFormat="false" ht="15.8" hidden="false" customHeight="false" outlineLevel="0" collapsed="false">
      <c r="A885" s="1" t="n">
        <v>19</v>
      </c>
      <c r="B885" s="1" t="n">
        <v>9</v>
      </c>
      <c r="C885" s="1" t="n">
        <v>1.2</v>
      </c>
      <c r="D885" s="1" t="n">
        <v>1.2145</v>
      </c>
      <c r="E885" s="1" t="n">
        <v>0.0445249</v>
      </c>
      <c r="F885" s="1" t="n">
        <v>0.00012798</v>
      </c>
      <c r="G885" s="1" t="s">
        <v>37</v>
      </c>
      <c r="H885" s="1" t="n">
        <v>39</v>
      </c>
      <c r="I885" s="1" t="n">
        <v>178.7</v>
      </c>
      <c r="J885" s="1" t="n">
        <v>22.6</v>
      </c>
      <c r="K885" s="1" t="n">
        <v>148.8</v>
      </c>
      <c r="L885" s="1" t="n">
        <v>0</v>
      </c>
      <c r="M885" s="1" t="n">
        <v>0</v>
      </c>
      <c r="N885" s="1" t="s">
        <v>489</v>
      </c>
      <c r="O885" s="1"/>
      <c r="P885" s="1"/>
      <c r="Q885" s="1"/>
      <c r="R885" s="1"/>
      <c r="S885" s="1"/>
      <c r="T885" s="1"/>
      <c r="U885" s="1"/>
      <c r="V885" s="1"/>
      <c r="W885" s="1"/>
      <c r="X885" s="1"/>
      <c r="Z885" s="0" t="n">
        <f aca="false">I885+65</f>
        <v>243.7</v>
      </c>
      <c r="AB885" s="0" t="n">
        <f aca="false">IF(Z885&gt;360,Z885-360,Z885+0)</f>
        <v>243.7</v>
      </c>
    </row>
    <row r="886" customFormat="false" ht="15.8" hidden="false" customHeight="false" outlineLevel="0" collapsed="false">
      <c r="A886" s="1" t="n">
        <v>19</v>
      </c>
      <c r="B886" s="1" t="n">
        <v>9</v>
      </c>
      <c r="C886" s="1" t="n">
        <v>1.7</v>
      </c>
      <c r="D886" s="1" t="n">
        <v>1.1659</v>
      </c>
      <c r="E886" s="1" t="n">
        <v>0.0629803</v>
      </c>
      <c r="F886" s="1" t="n">
        <v>0.000181027</v>
      </c>
      <c r="G886" s="1" t="s">
        <v>27</v>
      </c>
      <c r="H886" s="1" t="n">
        <v>96.3</v>
      </c>
      <c r="I886" s="1" t="n">
        <v>95.5</v>
      </c>
      <c r="J886" s="1" t="n">
        <v>15.1</v>
      </c>
      <c r="K886" s="1"/>
      <c r="L886" s="1" t="n">
        <v>0</v>
      </c>
      <c r="M886" s="1" t="n">
        <v>0</v>
      </c>
      <c r="N886" s="1" t="s">
        <v>489</v>
      </c>
      <c r="O886" s="1"/>
      <c r="P886" s="1"/>
      <c r="Q886" s="1"/>
      <c r="R886" s="1"/>
      <c r="S886" s="1"/>
      <c r="T886" s="1"/>
      <c r="U886" s="1"/>
      <c r="V886" s="1"/>
      <c r="W886" s="1"/>
      <c r="X886" s="1"/>
      <c r="Z886" s="0" t="n">
        <f aca="false">I886+65</f>
        <v>160.5</v>
      </c>
      <c r="AB886" s="0" t="n">
        <f aca="false">IF(Z886&gt;360,Z886-360,Z886+0)</f>
        <v>160.5</v>
      </c>
    </row>
    <row r="887" customFormat="false" ht="15.8" hidden="false" customHeight="false" outlineLevel="0" collapsed="false">
      <c r="A887" s="1" t="n">
        <v>19</v>
      </c>
      <c r="B887" s="1" t="n">
        <v>9</v>
      </c>
      <c r="C887" s="1" t="n">
        <v>1.9</v>
      </c>
      <c r="D887" s="1" t="n">
        <v>1.1071</v>
      </c>
      <c r="E887" s="1" t="n">
        <v>0.067535</v>
      </c>
      <c r="F887" s="1" t="n">
        <v>0.000194118</v>
      </c>
      <c r="G887" s="1" t="s">
        <v>27</v>
      </c>
      <c r="H887" s="1" t="n">
        <v>93.3</v>
      </c>
      <c r="I887" s="1" t="n">
        <v>281.4</v>
      </c>
      <c r="J887" s="1" t="n">
        <v>0</v>
      </c>
      <c r="K887" s="1"/>
      <c r="L887" s="1" t="n">
        <v>0</v>
      </c>
      <c r="M887" s="1" t="n">
        <v>0</v>
      </c>
      <c r="N887" s="1" t="s">
        <v>489</v>
      </c>
      <c r="O887" s="1"/>
      <c r="P887" s="1"/>
      <c r="Q887" s="1"/>
      <c r="R887" s="1"/>
      <c r="S887" s="1"/>
      <c r="T887" s="1"/>
      <c r="U887" s="1"/>
      <c r="V887" s="1"/>
      <c r="W887" s="1"/>
      <c r="X887" s="1"/>
      <c r="Z887" s="0" t="n">
        <f aca="false">I887+65</f>
        <v>346.4</v>
      </c>
      <c r="AB887" s="0" t="n">
        <f aca="false">IF(Z887&gt;360,Z887-360,Z887+0)</f>
        <v>346.4</v>
      </c>
    </row>
    <row r="888" customFormat="false" ht="15.8" hidden="false" customHeight="false" outlineLevel="0" collapsed="false">
      <c r="A888" s="1" t="n">
        <v>19</v>
      </c>
      <c r="B888" s="1" t="n">
        <v>8</v>
      </c>
      <c r="C888" s="1" t="n">
        <v>1.7</v>
      </c>
      <c r="D888" s="1" t="n">
        <v>1.1864</v>
      </c>
      <c r="E888" s="1" t="n">
        <v>0.0629519</v>
      </c>
      <c r="F888" s="1" t="n">
        <v>0.000180945</v>
      </c>
      <c r="G888" s="1" t="s">
        <v>37</v>
      </c>
      <c r="H888" s="1" t="n">
        <v>20.2</v>
      </c>
      <c r="I888" s="1" t="n">
        <v>187.9</v>
      </c>
      <c r="J888" s="1" t="n">
        <v>-15.4</v>
      </c>
      <c r="K888" s="1" t="n">
        <v>96.7</v>
      </c>
      <c r="L888" s="1" t="n">
        <v>0</v>
      </c>
      <c r="M888" s="1" t="n">
        <v>0</v>
      </c>
      <c r="N888" s="1" t="s">
        <v>512</v>
      </c>
      <c r="O888" s="1"/>
      <c r="P888" s="1"/>
      <c r="Q888" s="1"/>
      <c r="R888" s="1"/>
      <c r="S888" s="1"/>
      <c r="T888" s="1"/>
      <c r="U888" s="1"/>
      <c r="V888" s="1"/>
      <c r="W888" s="1"/>
      <c r="X888" s="1"/>
      <c r="Z888" s="0" t="n">
        <f aca="false">I888+65</f>
        <v>252.9</v>
      </c>
      <c r="AB888" s="0" t="n">
        <f aca="false">IF(Z888&gt;360,Z888-360,Z888+0)</f>
        <v>252.9</v>
      </c>
    </row>
    <row r="889" customFormat="false" ht="15.8" hidden="false" customHeight="false" outlineLevel="0" collapsed="false">
      <c r="A889" s="1" t="n">
        <v>19</v>
      </c>
      <c r="B889" s="1" t="n">
        <v>8</v>
      </c>
      <c r="C889" s="1" t="n">
        <v>4</v>
      </c>
      <c r="D889" s="1" t="n">
        <v>1.399</v>
      </c>
      <c r="E889" s="1" t="n">
        <v>0.145964</v>
      </c>
      <c r="F889" s="1" t="n">
        <v>0.000419549</v>
      </c>
      <c r="G889" s="1" t="s">
        <v>27</v>
      </c>
      <c r="H889" s="1" t="n">
        <v>81.4</v>
      </c>
      <c r="I889" s="1" t="n">
        <v>287.1</v>
      </c>
      <c r="J889" s="1" t="n">
        <v>-7.8</v>
      </c>
      <c r="K889" s="1"/>
      <c r="L889" s="1" t="n">
        <v>0</v>
      </c>
      <c r="M889" s="1" t="n">
        <v>0</v>
      </c>
      <c r="N889" s="1" t="s">
        <v>512</v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Z889" s="0" t="n">
        <f aca="false">I889+65</f>
        <v>352.1</v>
      </c>
      <c r="AB889" s="0" t="n">
        <f aca="false">IF(Z889&gt;360,Z889-360,Z889+0)</f>
        <v>352.1</v>
      </c>
    </row>
    <row r="890" customFormat="false" ht="15.8" hidden="false" customHeight="false" outlineLevel="0" collapsed="false">
      <c r="A890" s="1" t="n">
        <v>19</v>
      </c>
      <c r="B890" s="1" t="n">
        <v>7</v>
      </c>
      <c r="C890" s="1" t="n">
        <v>0.9</v>
      </c>
      <c r="D890" s="1" t="n">
        <v>1.185</v>
      </c>
      <c r="E890" s="1" t="n">
        <v>0.0328044</v>
      </c>
      <c r="F890" s="1" t="n">
        <v>9.42907E-005</v>
      </c>
      <c r="G890" s="1" t="s">
        <v>37</v>
      </c>
      <c r="H890" s="1" t="n">
        <v>55</v>
      </c>
      <c r="I890" s="1" t="n">
        <v>202.5</v>
      </c>
      <c r="J890" s="1" t="n">
        <v>-30.6</v>
      </c>
      <c r="K890" s="1" t="n">
        <v>81.4</v>
      </c>
      <c r="L890" s="1" t="n">
        <v>0</v>
      </c>
      <c r="M890" s="1" t="n">
        <v>0</v>
      </c>
      <c r="N890" s="1" t="s">
        <v>513</v>
      </c>
      <c r="O890" s="1"/>
      <c r="P890" s="1"/>
      <c r="Q890" s="1"/>
      <c r="R890" s="1"/>
      <c r="S890" s="1"/>
      <c r="T890" s="1"/>
      <c r="U890" s="1"/>
      <c r="V890" s="1"/>
      <c r="W890" s="1"/>
      <c r="X890" s="1"/>
      <c r="Z890" s="0" t="n">
        <f aca="false">I890+65</f>
        <v>267.5</v>
      </c>
      <c r="AB890" s="0" t="n">
        <f aca="false">IF(Z890&gt;360,Z890-360,Z890+0)</f>
        <v>267.5</v>
      </c>
    </row>
    <row r="891" customFormat="false" ht="15.8" hidden="false" customHeight="false" outlineLevel="0" collapsed="false">
      <c r="A891" s="1" t="n">
        <v>19</v>
      </c>
      <c r="B891" s="1" t="n">
        <v>7</v>
      </c>
      <c r="C891" s="1" t="n">
        <v>1</v>
      </c>
      <c r="D891" s="1" t="n">
        <v>1.0495</v>
      </c>
      <c r="E891" s="1" t="n">
        <v>0.0349156</v>
      </c>
      <c r="F891" s="1" t="n">
        <v>0.000100359</v>
      </c>
      <c r="G891" s="1" t="s">
        <v>27</v>
      </c>
      <c r="H891" s="1" t="n">
        <v>100.9</v>
      </c>
      <c r="I891" s="1" t="n">
        <v>65.7</v>
      </c>
      <c r="J891" s="1" t="n">
        <v>0</v>
      </c>
      <c r="K891" s="1"/>
      <c r="L891" s="1" t="n">
        <v>0</v>
      </c>
      <c r="M891" s="1" t="n">
        <v>0</v>
      </c>
      <c r="N891" s="1" t="s">
        <v>513</v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Z891" s="0" t="n">
        <f aca="false">I891+65</f>
        <v>130.7</v>
      </c>
      <c r="AB891" s="0" t="n">
        <f aca="false">IF(Z891&gt;360,Z891-360,Z891+0)</f>
        <v>130.7</v>
      </c>
    </row>
    <row r="892" customFormat="false" ht="15.8" hidden="false" customHeight="false" outlineLevel="0" collapsed="false">
      <c r="A892" s="1" t="n">
        <v>19</v>
      </c>
      <c r="B892" s="1" t="n">
        <v>6</v>
      </c>
      <c r="C892" s="1" t="n">
        <v>2</v>
      </c>
      <c r="D892" s="1" t="n">
        <v>1.1175</v>
      </c>
      <c r="E892" s="1" t="n">
        <v>0.0731926</v>
      </c>
      <c r="F892" s="1" t="n">
        <v>0.00021038</v>
      </c>
      <c r="G892" s="1" t="s">
        <v>37</v>
      </c>
      <c r="H892" s="1" t="n">
        <v>12.4</v>
      </c>
      <c r="I892" s="1" t="n">
        <v>166.9</v>
      </c>
      <c r="J892" s="1" t="n">
        <v>12.4</v>
      </c>
      <c r="K892" s="1" t="n">
        <v>100.9</v>
      </c>
      <c r="L892" s="1" t="n">
        <v>0</v>
      </c>
      <c r="M892" s="1" t="n">
        <v>0</v>
      </c>
      <c r="N892" s="1" t="s">
        <v>514</v>
      </c>
      <c r="O892" s="1"/>
      <c r="P892" s="1"/>
      <c r="Q892" s="1"/>
      <c r="R892" s="1"/>
      <c r="S892" s="1"/>
      <c r="T892" s="1"/>
      <c r="U892" s="1"/>
      <c r="V892" s="1"/>
      <c r="W892" s="1"/>
      <c r="X892" s="1"/>
      <c r="Z892" s="0" t="n">
        <f aca="false">I892+65</f>
        <v>231.9</v>
      </c>
      <c r="AB892" s="0" t="n">
        <f aca="false">IF(Z892&gt;360,Z892-360,Z892+0)</f>
        <v>231.9</v>
      </c>
    </row>
    <row r="893" customFormat="false" ht="15.8" hidden="false" customHeight="false" outlineLevel="0" collapsed="false">
      <c r="A893" s="1" t="n">
        <v>19</v>
      </c>
      <c r="B893" s="1" t="n">
        <v>6</v>
      </c>
      <c r="C893" s="1" t="n">
        <v>0.8</v>
      </c>
      <c r="D893" s="1" t="n">
        <v>1.1947</v>
      </c>
      <c r="E893" s="1" t="n">
        <v>0.0300143</v>
      </c>
      <c r="F893" s="1" t="n">
        <v>8.62711E-005</v>
      </c>
      <c r="G893" s="1" t="s">
        <v>27</v>
      </c>
      <c r="H893" s="1" t="n">
        <v>78.8</v>
      </c>
      <c r="I893" s="1" t="n">
        <v>243.9</v>
      </c>
      <c r="J893" s="1" t="n">
        <v>34.1</v>
      </c>
      <c r="K893" s="1"/>
      <c r="L893" s="1" t="n">
        <v>0</v>
      </c>
      <c r="M893" s="1" t="n">
        <v>0</v>
      </c>
      <c r="N893" s="1" t="s">
        <v>514</v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Z893" s="0" t="n">
        <f aca="false">I893+65</f>
        <v>308.9</v>
      </c>
      <c r="AB893" s="0" t="n">
        <f aca="false">IF(Z893&gt;360,Z893-360,Z893+0)</f>
        <v>308.9</v>
      </c>
    </row>
    <row r="894" customFormat="false" ht="15.8" hidden="false" customHeight="false" outlineLevel="0" collapsed="false">
      <c r="A894" s="1" t="n">
        <v>19</v>
      </c>
      <c r="B894" s="1" t="n">
        <v>5</v>
      </c>
      <c r="C894" s="1" t="n">
        <v>0.6</v>
      </c>
      <c r="D894" s="1" t="n">
        <v>1.0083</v>
      </c>
      <c r="E894" s="1" t="n">
        <v>0.0229894</v>
      </c>
      <c r="F894" s="1" t="n">
        <v>6.60792E-005</v>
      </c>
      <c r="G894" s="1" t="s">
        <v>37</v>
      </c>
      <c r="H894" s="1" t="n">
        <v>62.8</v>
      </c>
      <c r="I894" s="1" t="n">
        <v>167.5</v>
      </c>
      <c r="J894" s="1" t="n">
        <v>0</v>
      </c>
      <c r="K894" s="1" t="n">
        <v>78.8</v>
      </c>
      <c r="L894" s="1" t="n">
        <v>0</v>
      </c>
      <c r="M894" s="1" t="n">
        <v>0</v>
      </c>
      <c r="N894" s="1" t="s">
        <v>515</v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Z894" s="0" t="n">
        <f aca="false">I894+65</f>
        <v>232.5</v>
      </c>
      <c r="AB894" s="0" t="n">
        <f aca="false">IF(Z894&gt;360,Z894-360,Z894+0)</f>
        <v>232.5</v>
      </c>
    </row>
    <row r="895" customFormat="false" ht="15.8" hidden="false" customHeight="false" outlineLevel="0" collapsed="false">
      <c r="A895" s="1" t="n">
        <v>19</v>
      </c>
      <c r="B895" s="1" t="n">
        <v>7</v>
      </c>
      <c r="C895" s="1" t="n">
        <v>10.8</v>
      </c>
      <c r="D895" s="1" t="n">
        <v>1.2397</v>
      </c>
      <c r="E895" s="1" t="n">
        <v>0.391037</v>
      </c>
      <c r="F895" s="1" t="n">
        <v>0.00112397</v>
      </c>
      <c r="G895" s="1" t="s">
        <v>27</v>
      </c>
      <c r="H895" s="1" t="n">
        <v>36.3</v>
      </c>
      <c r="I895" s="1" t="n">
        <v>280.7</v>
      </c>
      <c r="J895" s="1" t="n">
        <v>-20.9</v>
      </c>
      <c r="K895" s="1"/>
      <c r="L895" s="1" t="n">
        <v>0</v>
      </c>
      <c r="M895" s="1" t="n">
        <v>0</v>
      </c>
      <c r="N895" s="1" t="s">
        <v>516</v>
      </c>
      <c r="O895" s="1"/>
      <c r="P895" s="1"/>
      <c r="Q895" s="1"/>
      <c r="R895" s="1"/>
      <c r="S895" s="1"/>
      <c r="T895" s="1"/>
      <c r="U895" s="1"/>
      <c r="V895" s="1"/>
      <c r="W895" s="1"/>
      <c r="X895" s="1"/>
      <c r="Z895" s="0" t="n">
        <f aca="false">I895+65</f>
        <v>345.7</v>
      </c>
      <c r="AB895" s="0" t="n">
        <f aca="false">IF(Z895&gt;360,Z895-360,Z895+0)</f>
        <v>345.7</v>
      </c>
    </row>
    <row r="896" customFormat="false" ht="15.8" hidden="false" customHeight="false" outlineLevel="0" collapsed="false">
      <c r="A896" s="1" t="n">
        <v>19</v>
      </c>
      <c r="B896" s="1" t="n">
        <v>7</v>
      </c>
      <c r="C896" s="1" t="n">
        <v>0.9</v>
      </c>
      <c r="D896" s="1" t="n">
        <v>1.895</v>
      </c>
      <c r="E896" s="1" t="n">
        <v>0.0339482</v>
      </c>
      <c r="F896" s="1" t="n">
        <v>9.75784E-005</v>
      </c>
      <c r="G896" s="1" t="s">
        <v>27</v>
      </c>
      <c r="H896" s="1" t="n">
        <v>87.2</v>
      </c>
      <c r="I896" s="1" t="n">
        <v>45.9</v>
      </c>
      <c r="J896" s="1" t="n">
        <v>0</v>
      </c>
      <c r="K896" s="1"/>
      <c r="L896" s="1" t="n">
        <v>0</v>
      </c>
      <c r="M896" s="1" t="n">
        <v>0</v>
      </c>
      <c r="N896" s="1" t="s">
        <v>516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Z896" s="0" t="n">
        <f aca="false">I896+65</f>
        <v>110.9</v>
      </c>
      <c r="AB896" s="0" t="n">
        <f aca="false">IF(Z896&gt;360,Z896-360,Z896+0)</f>
        <v>110.9</v>
      </c>
    </row>
    <row r="897" customFormat="false" ht="15.8" hidden="false" customHeight="false" outlineLevel="0" collapsed="false">
      <c r="A897" s="1" t="n">
        <v>19</v>
      </c>
      <c r="B897" s="1" t="n">
        <v>6</v>
      </c>
      <c r="C897" s="1" t="n">
        <v>1.6</v>
      </c>
      <c r="D897" s="1" t="n">
        <v>1.1446</v>
      </c>
      <c r="E897" s="1" t="n">
        <v>0.056585</v>
      </c>
      <c r="F897" s="1" t="n">
        <v>0.000162644</v>
      </c>
      <c r="G897" s="1" t="s">
        <v>37</v>
      </c>
      <c r="H897" s="1" t="n">
        <v>58.4</v>
      </c>
      <c r="I897" s="1" t="n">
        <v>318.9</v>
      </c>
      <c r="J897" s="1" t="n">
        <v>-16.6</v>
      </c>
      <c r="K897" s="1" t="n">
        <v>87.2</v>
      </c>
      <c r="L897" s="1" t="n">
        <v>0</v>
      </c>
      <c r="M897" s="1" t="n">
        <v>0</v>
      </c>
      <c r="N897" s="1" t="s">
        <v>517</v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Z897" s="0" t="n">
        <f aca="false">I897+65</f>
        <v>383.9</v>
      </c>
      <c r="AB897" s="0" t="n">
        <f aca="false">IF(Z897&gt;360,Z897-360,Z897+0)</f>
        <v>23.9</v>
      </c>
    </row>
    <row r="898" customFormat="false" ht="15.8" hidden="false" customHeight="false" outlineLevel="0" collapsed="false">
      <c r="A898" s="1" t="n">
        <v>19</v>
      </c>
      <c r="B898" s="1" t="n">
        <v>6</v>
      </c>
      <c r="C898" s="1" t="n">
        <v>0.6</v>
      </c>
      <c r="D898" s="1" t="n">
        <v>1.0248</v>
      </c>
      <c r="E898" s="1" t="n">
        <v>0.0202193</v>
      </c>
      <c r="F898" s="1" t="n">
        <v>5.81172E-005</v>
      </c>
      <c r="G898" s="1" t="s">
        <v>27</v>
      </c>
      <c r="H898" s="1" t="n">
        <v>51.7</v>
      </c>
      <c r="I898" s="1" t="n">
        <v>210.3</v>
      </c>
      <c r="J898" s="1" t="n">
        <v>0</v>
      </c>
      <c r="K898" s="1"/>
      <c r="L898" s="1" t="n">
        <v>0</v>
      </c>
      <c r="M898" s="1" t="n">
        <v>0</v>
      </c>
      <c r="N898" s="1" t="s">
        <v>517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Z898" s="0" t="n">
        <f aca="false">I898+65</f>
        <v>275.3</v>
      </c>
      <c r="AB898" s="0" t="n">
        <f aca="false">IF(Z898&gt;360,Z898-360,Z898+0)</f>
        <v>275.3</v>
      </c>
    </row>
    <row r="899" customFormat="false" ht="15.8" hidden="false" customHeight="false" outlineLevel="0" collapsed="false">
      <c r="A899" s="1" t="n">
        <v>19</v>
      </c>
      <c r="B899" s="1" t="n">
        <v>5</v>
      </c>
      <c r="C899" s="1" t="n">
        <v>3.9</v>
      </c>
      <c r="D899" s="1" t="n">
        <v>1.0173</v>
      </c>
      <c r="E899" s="1" t="n">
        <v>0.140351</v>
      </c>
      <c r="F899" s="1" t="n">
        <v>0.000403417</v>
      </c>
      <c r="G899" s="1" t="s">
        <v>37</v>
      </c>
      <c r="H899" s="1" t="n">
        <v>36.3</v>
      </c>
      <c r="I899" s="1" t="n">
        <v>262</v>
      </c>
      <c r="J899" s="1" t="n">
        <v>0</v>
      </c>
      <c r="K899" s="1" t="n">
        <v>58.4</v>
      </c>
      <c r="L899" s="1" t="n">
        <v>0</v>
      </c>
      <c r="M899" s="1" t="n">
        <v>0</v>
      </c>
      <c r="N899" s="1" t="s">
        <v>515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Z899" s="0" t="n">
        <f aca="false">I899+65</f>
        <v>327</v>
      </c>
      <c r="AB899" s="0" t="n">
        <f aca="false">IF(Z899&gt;360,Z899-360,Z899+0)</f>
        <v>327</v>
      </c>
    </row>
    <row r="900" customFormat="false" ht="15.8" hidden="false" customHeight="false" outlineLevel="0" collapsed="false">
      <c r="A900" s="1" t="n">
        <v>19</v>
      </c>
      <c r="B900" s="1" t="n">
        <v>4</v>
      </c>
      <c r="C900" s="1" t="n">
        <v>3.4</v>
      </c>
      <c r="D900" s="1" t="n">
        <v>1.1933</v>
      </c>
      <c r="E900" s="1" t="n">
        <v>0.121546</v>
      </c>
      <c r="F900" s="1" t="n">
        <v>0.000349363</v>
      </c>
      <c r="G900" s="1" t="s">
        <v>37</v>
      </c>
      <c r="H900" s="1" t="n">
        <v>33.3</v>
      </c>
      <c r="I900" s="1" t="n">
        <v>229.1</v>
      </c>
      <c r="J900" s="1" t="n">
        <v>16.1</v>
      </c>
      <c r="K900" s="1" t="n">
        <v>62.8</v>
      </c>
      <c r="L900" s="1" t="n">
        <v>0</v>
      </c>
      <c r="M900" s="1" t="n">
        <v>0</v>
      </c>
      <c r="N900" s="1" t="s">
        <v>474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Z900" s="0" t="n">
        <f aca="false">I900+65</f>
        <v>294.1</v>
      </c>
      <c r="AB900" s="0" t="n">
        <f aca="false">IF(Z900&gt;360,Z900-360,Z900+0)</f>
        <v>294.1</v>
      </c>
    </row>
    <row r="901" customFormat="false" ht="15.8" hidden="false" customHeight="false" outlineLevel="0" collapsed="false">
      <c r="A901" s="1" t="n">
        <v>19</v>
      </c>
      <c r="B901" s="1" t="n">
        <v>3</v>
      </c>
      <c r="C901" s="1" t="n">
        <v>1.8</v>
      </c>
      <c r="D901" s="1" t="n">
        <v>1.4207</v>
      </c>
      <c r="E901" s="1" t="n">
        <v>0.0654017</v>
      </c>
      <c r="F901" s="1" t="n">
        <v>0.000187986</v>
      </c>
      <c r="G901" s="1" t="s">
        <v>37</v>
      </c>
      <c r="H901" s="1" t="n">
        <v>77.6</v>
      </c>
      <c r="I901" s="1" t="n">
        <v>210.6</v>
      </c>
      <c r="J901" s="1" t="n">
        <v>45.6</v>
      </c>
      <c r="K901" s="1" t="n">
        <v>68.2</v>
      </c>
      <c r="L901" s="1" t="n">
        <v>0</v>
      </c>
      <c r="M901" s="1" t="n">
        <v>0</v>
      </c>
      <c r="N901" s="1" t="s">
        <v>518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Z901" s="0" t="n">
        <f aca="false">I901+65</f>
        <v>275.6</v>
      </c>
      <c r="AB901" s="0" t="n">
        <f aca="false">IF(Z901&gt;360,Z901-360,Z901+0)</f>
        <v>275.6</v>
      </c>
    </row>
    <row r="902" customFormat="false" ht="15.8" hidden="false" customHeight="false" outlineLevel="0" collapsed="false">
      <c r="A902" s="1" t="n">
        <v>19</v>
      </c>
      <c r="B902" s="1" t="n">
        <v>4</v>
      </c>
      <c r="C902" s="1" t="n">
        <v>1.9</v>
      </c>
      <c r="D902" s="1" t="n">
        <v>1.2428</v>
      </c>
      <c r="E902" s="1" t="n">
        <v>0.0697074</v>
      </c>
      <c r="F902" s="1" t="n">
        <v>0.000200362</v>
      </c>
      <c r="G902" s="1" t="s">
        <v>27</v>
      </c>
      <c r="H902" s="1" t="n">
        <v>91.4</v>
      </c>
      <c r="I902" s="1" t="n">
        <v>76.3</v>
      </c>
      <c r="J902" s="1" t="n">
        <v>14.5</v>
      </c>
      <c r="K902" s="1"/>
      <c r="L902" s="1" t="n">
        <v>0</v>
      </c>
      <c r="M902" s="1" t="n">
        <v>0</v>
      </c>
      <c r="N902" s="1" t="s">
        <v>519</v>
      </c>
      <c r="O902" s="1"/>
      <c r="P902" s="1"/>
      <c r="Q902" s="1"/>
      <c r="R902" s="1"/>
      <c r="S902" s="1"/>
      <c r="T902" s="1"/>
      <c r="U902" s="1"/>
      <c r="V902" s="1"/>
      <c r="W902" s="1"/>
      <c r="X902" s="1"/>
      <c r="Z902" s="0" t="n">
        <f aca="false">I902+65</f>
        <v>141.3</v>
      </c>
      <c r="AB902" s="0" t="n">
        <f aca="false">IF(Z902&gt;360,Z902-360,Z902+0)</f>
        <v>141.3</v>
      </c>
    </row>
    <row r="903" customFormat="false" ht="15.8" hidden="false" customHeight="false" outlineLevel="0" collapsed="false">
      <c r="A903" s="1" t="n">
        <v>19</v>
      </c>
      <c r="B903" s="1" t="n">
        <v>7</v>
      </c>
      <c r="C903" s="1" t="n">
        <v>2.1</v>
      </c>
      <c r="D903" s="1" t="n">
        <v>1.4015</v>
      </c>
      <c r="E903" s="1" t="n">
        <v>0.0774025</v>
      </c>
      <c r="F903" s="1" t="n">
        <v>0.000222481</v>
      </c>
      <c r="G903" s="1" t="s">
        <v>27</v>
      </c>
      <c r="H903" s="1" t="n">
        <v>97.1</v>
      </c>
      <c r="I903" s="1" t="n">
        <v>337.9</v>
      </c>
      <c r="J903" s="1" t="n">
        <v>-30.7</v>
      </c>
      <c r="K903" s="1"/>
      <c r="L903" s="1" t="n">
        <v>0</v>
      </c>
      <c r="M903" s="1" t="n">
        <v>0</v>
      </c>
      <c r="N903" s="1" t="s">
        <v>520</v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Z903" s="0" t="n">
        <f aca="false">I903+65</f>
        <v>402.9</v>
      </c>
      <c r="AB903" s="0" t="n">
        <f aca="false">IF(Z903&gt;360,Z903-360,Z903+0)</f>
        <v>42.9</v>
      </c>
    </row>
    <row r="904" customFormat="false" ht="15.8" hidden="false" customHeight="false" outlineLevel="0" collapsed="false">
      <c r="A904" s="1" t="n">
        <v>19</v>
      </c>
      <c r="B904" s="1" t="n">
        <v>9</v>
      </c>
      <c r="C904" s="1" t="n">
        <v>1.1</v>
      </c>
      <c r="D904" s="1" t="n">
        <v>1.1826</v>
      </c>
      <c r="E904" s="1" t="n">
        <v>0.038904</v>
      </c>
      <c r="F904" s="1" t="n">
        <v>0.000111823</v>
      </c>
      <c r="G904" s="1" t="s">
        <v>27</v>
      </c>
      <c r="H904" s="1" t="n">
        <v>99.7</v>
      </c>
      <c r="I904" s="1" t="n">
        <v>65.2</v>
      </c>
      <c r="J904" s="1" t="n">
        <v>25.4</v>
      </c>
      <c r="K904" s="1"/>
      <c r="L904" s="1" t="n">
        <v>0</v>
      </c>
      <c r="M904" s="1" t="n">
        <v>0</v>
      </c>
      <c r="N904" s="1" t="s">
        <v>521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Z904" s="0" t="n">
        <f aca="false">I904+65</f>
        <v>130.2</v>
      </c>
      <c r="AB904" s="0" t="n">
        <f aca="false">IF(Z904&gt;360,Z904-360,Z904+0)</f>
        <v>130.2</v>
      </c>
    </row>
    <row r="905" customFormat="false" ht="15.8" hidden="false" customHeight="false" outlineLevel="0" collapsed="false">
      <c r="A905" s="1" t="n">
        <v>19</v>
      </c>
      <c r="B905" s="1" t="n">
        <v>10</v>
      </c>
      <c r="C905" s="1" t="n">
        <v>5.2</v>
      </c>
      <c r="D905" s="1" t="n">
        <v>1.5217</v>
      </c>
      <c r="E905" s="1" t="n">
        <v>0.188994</v>
      </c>
      <c r="F905" s="1" t="n">
        <v>0.000543233</v>
      </c>
      <c r="G905" s="1" t="s">
        <v>27</v>
      </c>
      <c r="H905" s="1" t="n">
        <v>37.4</v>
      </c>
      <c r="I905" s="1" t="n">
        <v>240.3</v>
      </c>
      <c r="J905" s="1" t="n">
        <v>-52.6</v>
      </c>
      <c r="K905" s="1"/>
      <c r="L905" s="1" t="n">
        <v>0</v>
      </c>
      <c r="M905" s="1" t="n">
        <v>0</v>
      </c>
      <c r="N905" s="1" t="s">
        <v>522</v>
      </c>
      <c r="O905" s="1"/>
      <c r="P905" s="1"/>
      <c r="Q905" s="1"/>
      <c r="R905" s="1"/>
      <c r="S905" s="1"/>
      <c r="T905" s="1"/>
      <c r="U905" s="1"/>
      <c r="V905" s="1"/>
      <c r="W905" s="1"/>
      <c r="X905" s="1"/>
      <c r="Z905" s="0" t="n">
        <f aca="false">I905+65</f>
        <v>305.3</v>
      </c>
      <c r="AB905" s="0" t="n">
        <f aca="false">IF(Z905&gt;360,Z905-360,Z905+0)</f>
        <v>305.3</v>
      </c>
    </row>
    <row r="906" customFormat="false" ht="15.8" hidden="false" customHeight="false" outlineLevel="0" collapsed="false">
      <c r="A906" s="1" t="n">
        <v>19</v>
      </c>
      <c r="B906" s="1" t="n">
        <v>10</v>
      </c>
      <c r="C906" s="1" t="n">
        <v>3.9</v>
      </c>
      <c r="D906" s="1" t="n">
        <v>1.0417</v>
      </c>
      <c r="E906" s="1" t="n">
        <v>0.14187</v>
      </c>
      <c r="F906" s="1" t="n">
        <v>0.000407783</v>
      </c>
      <c r="G906" s="1" t="s">
        <v>27</v>
      </c>
      <c r="H906" s="1" t="n">
        <v>71.1</v>
      </c>
      <c r="I906" s="1" t="n">
        <v>240</v>
      </c>
      <c r="J906" s="1" t="n">
        <v>0</v>
      </c>
      <c r="K906" s="1"/>
      <c r="L906" s="1" t="n">
        <v>0</v>
      </c>
      <c r="M906" s="1" t="n">
        <v>0</v>
      </c>
      <c r="N906" s="1" t="s">
        <v>522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Z906" s="0" t="n">
        <f aca="false">I906+65</f>
        <v>305</v>
      </c>
      <c r="AB906" s="0" t="n">
        <f aca="false">IF(Z906&gt;360,Z906-360,Z906+0)</f>
        <v>305</v>
      </c>
    </row>
    <row r="907" customFormat="false" ht="15.8" hidden="false" customHeight="false" outlineLevel="0" collapsed="false">
      <c r="A907" s="1" t="n">
        <v>19</v>
      </c>
      <c r="B907" s="1" t="n">
        <v>9</v>
      </c>
      <c r="C907" s="1" t="n">
        <v>2.5</v>
      </c>
      <c r="D907" s="1" t="n">
        <v>1.2075</v>
      </c>
      <c r="E907" s="1" t="n">
        <v>0.0907351</v>
      </c>
      <c r="F907" s="1" t="n">
        <v>0.000260803</v>
      </c>
      <c r="G907" s="1" t="s">
        <v>37</v>
      </c>
      <c r="H907" s="1" t="n">
        <v>34.7</v>
      </c>
      <c r="I907" s="1" t="n">
        <v>300.6</v>
      </c>
      <c r="J907" s="1" t="n">
        <v>-48.6</v>
      </c>
      <c r="K907" s="1" t="n">
        <v>71.1</v>
      </c>
      <c r="L907" s="1" t="n">
        <v>0</v>
      </c>
      <c r="M907" s="1" t="n">
        <v>0</v>
      </c>
      <c r="N907" s="1" t="s">
        <v>521</v>
      </c>
      <c r="O907" s="1"/>
      <c r="P907" s="1"/>
      <c r="Q907" s="1"/>
      <c r="R907" s="1"/>
      <c r="S907" s="1"/>
      <c r="T907" s="1"/>
      <c r="U907" s="1"/>
      <c r="V907" s="1"/>
      <c r="W907" s="1"/>
      <c r="X907" s="1"/>
      <c r="Z907" s="0" t="n">
        <f aca="false">I907+65</f>
        <v>365.6</v>
      </c>
      <c r="AB907" s="0" t="n">
        <f aca="false">IF(Z907&gt;360,Z907-360,Z907+0)</f>
        <v>5.60000000000002</v>
      </c>
    </row>
    <row r="908" customFormat="false" ht="15.8" hidden="false" customHeight="false" outlineLevel="0" collapsed="false">
      <c r="A908" s="1" t="n">
        <v>19</v>
      </c>
      <c r="B908" s="1" t="n">
        <v>8</v>
      </c>
      <c r="C908" s="1" t="n">
        <v>0.9</v>
      </c>
      <c r="D908" s="1" t="n">
        <v>1.1515</v>
      </c>
      <c r="E908" s="1" t="n">
        <v>0.0335693</v>
      </c>
      <c r="F908" s="1" t="n">
        <v>9.64894E-005</v>
      </c>
      <c r="G908" s="1" t="s">
        <v>37</v>
      </c>
      <c r="H908" s="1" t="n">
        <v>63.1</v>
      </c>
      <c r="I908" s="1" t="n">
        <v>338</v>
      </c>
      <c r="J908" s="1" t="n">
        <v>-28.9</v>
      </c>
      <c r="K908" s="1" t="n">
        <v>99.7</v>
      </c>
      <c r="L908" s="1" t="n">
        <v>0</v>
      </c>
      <c r="M908" s="1" t="n">
        <v>0</v>
      </c>
      <c r="N908" s="1" t="s">
        <v>523</v>
      </c>
      <c r="O908" s="1"/>
      <c r="P908" s="1"/>
      <c r="Q908" s="1"/>
      <c r="R908" s="1"/>
      <c r="S908" s="1"/>
      <c r="T908" s="1"/>
      <c r="U908" s="1"/>
      <c r="V908" s="1"/>
      <c r="W908" s="1"/>
      <c r="X908" s="1"/>
      <c r="Z908" s="0" t="n">
        <f aca="false">I908+65</f>
        <v>403</v>
      </c>
      <c r="AB908" s="0" t="n">
        <f aca="false">IF(Z908&gt;360,Z908-360,Z908+0)</f>
        <v>43</v>
      </c>
    </row>
    <row r="909" customFormat="false" ht="15.8" hidden="false" customHeight="false" outlineLevel="0" collapsed="false">
      <c r="A909" s="1" t="n">
        <v>19</v>
      </c>
      <c r="B909" s="1" t="n">
        <v>8</v>
      </c>
      <c r="C909" s="1" t="n">
        <v>1.3</v>
      </c>
      <c r="D909" s="1" t="n">
        <v>1.1776</v>
      </c>
      <c r="E909" s="1" t="n">
        <v>0.0469374</v>
      </c>
      <c r="F909" s="1" t="n">
        <v>0.000134914</v>
      </c>
      <c r="G909" s="1" t="s">
        <v>27</v>
      </c>
      <c r="H909" s="1" t="n">
        <v>84.6</v>
      </c>
      <c r="I909" s="1" t="n">
        <v>223.8</v>
      </c>
      <c r="J909" s="1" t="n">
        <v>-45</v>
      </c>
      <c r="K909" s="1"/>
      <c r="L909" s="1" t="n">
        <v>0</v>
      </c>
      <c r="M909" s="1" t="n">
        <v>0</v>
      </c>
      <c r="N909" s="1" t="s">
        <v>523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Z909" s="0" t="n">
        <f aca="false">I909+65</f>
        <v>288.8</v>
      </c>
      <c r="AB909" s="0" t="n">
        <f aca="false">IF(Z909&gt;360,Z909-360,Z909+0)</f>
        <v>288.8</v>
      </c>
    </row>
    <row r="910" customFormat="false" ht="15.8" hidden="false" customHeight="false" outlineLevel="0" collapsed="false">
      <c r="A910" s="1" t="n">
        <v>19</v>
      </c>
      <c r="B910" s="1" t="n">
        <v>9</v>
      </c>
      <c r="C910" s="1" t="n">
        <v>3.2</v>
      </c>
      <c r="D910" s="1" t="n">
        <v>1.3669</v>
      </c>
      <c r="E910" s="1" t="n">
        <v>0.0690949</v>
      </c>
      <c r="F910" s="1" t="n">
        <v>0.000125014</v>
      </c>
      <c r="G910" s="1" t="s">
        <v>27</v>
      </c>
      <c r="H910" s="1" t="n">
        <v>22.2</v>
      </c>
      <c r="I910" s="1" t="n">
        <v>246.6</v>
      </c>
      <c r="J910" s="1" t="n">
        <v>41.3</v>
      </c>
      <c r="K910" s="1"/>
      <c r="L910" s="1" t="n">
        <v>0</v>
      </c>
      <c r="M910" s="1" t="n">
        <v>0</v>
      </c>
      <c r="N910" s="1" t="s">
        <v>524</v>
      </c>
      <c r="O910" s="1"/>
      <c r="P910" s="1"/>
      <c r="Q910" s="1"/>
      <c r="R910" s="1"/>
      <c r="S910" s="1"/>
      <c r="T910" s="1"/>
      <c r="U910" s="1"/>
      <c r="V910" s="1"/>
      <c r="W910" s="1"/>
      <c r="X910" s="1"/>
      <c r="Z910" s="0" t="n">
        <f aca="false">I910+65</f>
        <v>311.6</v>
      </c>
      <c r="AB910" s="0" t="n">
        <f aca="false">IF(Z910&gt;360,Z910-360,Z910+0)</f>
        <v>311.6</v>
      </c>
    </row>
    <row r="911" customFormat="false" ht="15.8" hidden="false" customHeight="false" outlineLevel="0" collapsed="false">
      <c r="A911" s="1" t="n">
        <v>19</v>
      </c>
      <c r="B911" s="1" t="n">
        <v>10</v>
      </c>
      <c r="C911" s="1" t="n">
        <v>5.4</v>
      </c>
      <c r="D911" s="1" t="n">
        <v>1.4354</v>
      </c>
      <c r="E911" s="1" t="n">
        <v>0.194934</v>
      </c>
      <c r="F911" s="1" t="n">
        <v>0.000560305</v>
      </c>
      <c r="G911" s="1" t="s">
        <v>27</v>
      </c>
      <c r="H911" s="1" t="n">
        <v>95.3</v>
      </c>
      <c r="I911" s="1" t="n">
        <v>218.9</v>
      </c>
      <c r="J911" s="1" t="n">
        <v>18.1</v>
      </c>
      <c r="K911" s="1"/>
      <c r="L911" s="1" t="n">
        <v>0</v>
      </c>
      <c r="M911" s="1" t="n">
        <v>0</v>
      </c>
      <c r="N911" s="1" t="s">
        <v>525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Z911" s="0" t="n">
        <f aca="false">I911+65</f>
        <v>283.9</v>
      </c>
      <c r="AB911" s="0" t="n">
        <f aca="false">IF(Z911&gt;360,Z911-360,Z911+0)</f>
        <v>283.9</v>
      </c>
    </row>
    <row r="912" customFormat="false" ht="15.8" hidden="false" customHeight="false" outlineLevel="0" collapsed="false">
      <c r="A912" s="1" t="n">
        <v>19</v>
      </c>
      <c r="B912" s="1" t="n">
        <v>15</v>
      </c>
      <c r="C912" s="1" t="n">
        <v>8.3</v>
      </c>
      <c r="D912" s="1" t="n">
        <v>1.3794</v>
      </c>
      <c r="E912" s="1" t="n">
        <v>0.300818</v>
      </c>
      <c r="F912" s="1" t="n">
        <v>0.000864653</v>
      </c>
      <c r="G912" s="1" t="s">
        <v>27</v>
      </c>
      <c r="H912" s="1" t="n">
        <v>21.6</v>
      </c>
      <c r="I912" s="1" t="n">
        <v>284.1</v>
      </c>
      <c r="J912" s="1" t="n">
        <v>7.4</v>
      </c>
      <c r="K912" s="1"/>
      <c r="L912" s="1" t="n">
        <v>0</v>
      </c>
      <c r="M912" s="1" t="n">
        <v>0</v>
      </c>
      <c r="N912" s="1" t="s">
        <v>526</v>
      </c>
      <c r="O912" s="1"/>
      <c r="P912" s="1"/>
      <c r="Q912" s="1"/>
      <c r="R912" s="1"/>
      <c r="S912" s="1"/>
      <c r="T912" s="1"/>
      <c r="U912" s="1"/>
      <c r="V912" s="1"/>
      <c r="W912" s="1"/>
      <c r="X912" s="1"/>
      <c r="Z912" s="0" t="n">
        <f aca="false">I912+65</f>
        <v>349.1</v>
      </c>
      <c r="AB912" s="0" t="n">
        <f aca="false">IF(Z912&gt;360,Z912-360,Z912+0)</f>
        <v>349.1</v>
      </c>
    </row>
    <row r="913" customFormat="false" ht="15.8" hidden="false" customHeight="false" outlineLevel="0" collapsed="false">
      <c r="A913" s="1" t="n">
        <v>19</v>
      </c>
      <c r="B913" s="1" t="n">
        <v>15</v>
      </c>
      <c r="C913" s="1" t="n">
        <v>1.5</v>
      </c>
      <c r="D913" s="1" t="n">
        <v>1.2116</v>
      </c>
      <c r="E913" s="1" t="n">
        <v>0.0552726</v>
      </c>
      <c r="F913" s="1" t="n">
        <v>0.000158872</v>
      </c>
      <c r="G913" s="1" t="s">
        <v>27</v>
      </c>
      <c r="H913" s="1" t="n">
        <v>37.5</v>
      </c>
      <c r="I913" s="1" t="n">
        <v>336.1</v>
      </c>
      <c r="J913" s="1" t="n">
        <v>38.1</v>
      </c>
      <c r="K913" s="1"/>
      <c r="L913" s="1" t="n">
        <v>0</v>
      </c>
      <c r="M913" s="1" t="n">
        <v>0</v>
      </c>
      <c r="N913" s="1" t="s">
        <v>526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Z913" s="0" t="n">
        <f aca="false">I913+65</f>
        <v>401.1</v>
      </c>
      <c r="AB913" s="0" t="n">
        <f aca="false">IF(Z913&gt;360,Z913-360,Z913+0)</f>
        <v>41.1</v>
      </c>
    </row>
    <row r="914" customFormat="false" ht="15.8" hidden="false" customHeight="false" outlineLevel="0" collapsed="false">
      <c r="A914" s="1" t="n">
        <v>19</v>
      </c>
      <c r="B914" s="1" t="n">
        <v>16</v>
      </c>
      <c r="C914" s="1" t="n">
        <v>2.3</v>
      </c>
      <c r="D914" s="1" t="n">
        <v>1.1556</v>
      </c>
      <c r="E914" s="1" t="n">
        <v>0.0813143</v>
      </c>
      <c r="F914" s="1" t="n">
        <v>0.000233724</v>
      </c>
      <c r="G914" s="1" t="s">
        <v>27</v>
      </c>
      <c r="H914" s="1" t="n">
        <v>47.3</v>
      </c>
      <c r="I914" s="1" t="n">
        <v>111.9</v>
      </c>
      <c r="J914" s="1" t="n">
        <v>-11.5</v>
      </c>
      <c r="K914" s="1"/>
      <c r="L914" s="1" t="n">
        <v>0</v>
      </c>
      <c r="M914" s="1" t="n">
        <v>0</v>
      </c>
      <c r="N914" s="1" t="s">
        <v>527</v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Z914" s="0" t="n">
        <f aca="false">I914+65</f>
        <v>176.9</v>
      </c>
      <c r="AB914" s="0" t="n">
        <f aca="false">IF(Z914&gt;360,Z914-360,Z914+0)</f>
        <v>176.9</v>
      </c>
    </row>
    <row r="915" customFormat="false" ht="15.8" hidden="false" customHeight="false" outlineLevel="0" collapsed="false">
      <c r="A915" s="1" t="n">
        <v>19</v>
      </c>
      <c r="B915" s="1" t="n">
        <v>17</v>
      </c>
      <c r="C915" s="1" t="n">
        <v>1.4</v>
      </c>
      <c r="D915" s="1" t="n">
        <v>1.1319</v>
      </c>
      <c r="E915" s="1" t="n">
        <v>0.0507101</v>
      </c>
      <c r="F915" s="1" t="n">
        <v>0.000145758</v>
      </c>
      <c r="G915" s="1" t="s">
        <v>27</v>
      </c>
      <c r="H915" s="1" t="n">
        <v>84.6</v>
      </c>
      <c r="I915" s="1" t="n">
        <v>144.1</v>
      </c>
      <c r="J915" s="1" t="n">
        <v>70.6</v>
      </c>
      <c r="K915" s="1"/>
      <c r="L915" s="1" t="n">
        <v>0</v>
      </c>
      <c r="M915" s="1" t="n">
        <v>0</v>
      </c>
      <c r="N915" s="1" t="s">
        <v>528</v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Z915" s="0" t="n">
        <f aca="false">I915+65</f>
        <v>209.1</v>
      </c>
      <c r="AB915" s="0" t="n">
        <f aca="false">IF(Z915&gt;360,Z915-360,Z915+0)</f>
        <v>209.1</v>
      </c>
    </row>
    <row r="916" customFormat="false" ht="15.8" hidden="false" customHeight="false" outlineLevel="0" collapsed="false">
      <c r="A916" s="1" t="n">
        <v>19</v>
      </c>
      <c r="B916" s="1" t="n">
        <v>17</v>
      </c>
      <c r="C916" s="1" t="n">
        <v>1.1</v>
      </c>
      <c r="D916" s="1" t="n">
        <v>1.11</v>
      </c>
      <c r="E916" s="1" t="n">
        <v>0.0401269</v>
      </c>
      <c r="F916" s="1" t="n">
        <v>0.000115338</v>
      </c>
      <c r="G916" s="1" t="s">
        <v>27</v>
      </c>
      <c r="H916" s="1" t="n">
        <v>45.5</v>
      </c>
      <c r="I916" s="1" t="n">
        <v>222.7</v>
      </c>
      <c r="J916" s="1" t="n">
        <v>0</v>
      </c>
      <c r="K916" s="1"/>
      <c r="L916" s="1" t="n">
        <v>0</v>
      </c>
      <c r="M916" s="1" t="n">
        <v>0</v>
      </c>
      <c r="N916" s="1" t="s">
        <v>528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Z916" s="0" t="n">
        <f aca="false">I916+65</f>
        <v>287.7</v>
      </c>
      <c r="AB916" s="0" t="n">
        <f aca="false">IF(Z916&gt;360,Z916-360,Z916+0)</f>
        <v>287.7</v>
      </c>
    </row>
    <row r="917" customFormat="false" ht="15.8" hidden="false" customHeight="false" outlineLevel="0" collapsed="false">
      <c r="A917" s="1" t="n">
        <v>19</v>
      </c>
      <c r="B917" s="1" t="n">
        <v>16</v>
      </c>
      <c r="C917" s="1" t="n">
        <v>3.3</v>
      </c>
      <c r="D917" s="1" t="n">
        <v>1.1646</v>
      </c>
      <c r="E917" s="1" t="n">
        <v>0.118118</v>
      </c>
      <c r="F917" s="1" t="n">
        <v>0.000339512</v>
      </c>
      <c r="G917" s="1" t="s">
        <v>37</v>
      </c>
      <c r="H917" s="1" t="n">
        <v>107</v>
      </c>
      <c r="I917" s="1" t="n">
        <v>265.8</v>
      </c>
      <c r="J917" s="1" t="n">
        <v>16.1</v>
      </c>
      <c r="K917" s="1" t="n">
        <v>84.6</v>
      </c>
      <c r="L917" s="1" t="n">
        <v>0</v>
      </c>
      <c r="M917" s="1" t="n">
        <v>0</v>
      </c>
      <c r="N917" s="1" t="s">
        <v>527</v>
      </c>
      <c r="O917" s="1"/>
      <c r="P917" s="1"/>
      <c r="Q917" s="1"/>
      <c r="R917" s="1"/>
      <c r="S917" s="1"/>
      <c r="T917" s="1"/>
      <c r="U917" s="1"/>
      <c r="V917" s="1"/>
      <c r="W917" s="1"/>
      <c r="X917" s="1"/>
      <c r="Z917" s="0" t="n">
        <f aca="false">I917+65</f>
        <v>330.8</v>
      </c>
      <c r="AB917" s="0" t="n">
        <f aca="false">IF(Z917&gt;360,Z917-360,Z917+0)</f>
        <v>330.8</v>
      </c>
    </row>
    <row r="918" customFormat="false" ht="15.8" hidden="false" customHeight="false" outlineLevel="0" collapsed="false">
      <c r="A918" s="1" t="n">
        <v>19</v>
      </c>
      <c r="B918" s="1" t="n">
        <v>15</v>
      </c>
      <c r="C918" s="1" t="n">
        <v>2</v>
      </c>
      <c r="D918" s="1" t="n">
        <v>1.0413</v>
      </c>
      <c r="E918" s="1" t="n">
        <v>0.0708278</v>
      </c>
      <c r="F918" s="1" t="n">
        <v>0.000203583</v>
      </c>
      <c r="G918" s="1" t="s">
        <v>37</v>
      </c>
      <c r="H918" s="1" t="n">
        <v>145.3</v>
      </c>
      <c r="I918" s="1" t="n">
        <v>158.1</v>
      </c>
      <c r="J918" s="1" t="n">
        <v>0</v>
      </c>
      <c r="K918" s="1" t="n">
        <v>107</v>
      </c>
      <c r="L918" s="1" t="n">
        <v>0</v>
      </c>
      <c r="M918" s="1" t="n">
        <v>0</v>
      </c>
      <c r="N918" s="1" t="s">
        <v>526</v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Z918" s="0" t="n">
        <f aca="false">I918+65</f>
        <v>223.1</v>
      </c>
      <c r="AB918" s="0" t="n">
        <f aca="false">IF(Z918&gt;360,Z918-360,Z918+0)</f>
        <v>223.1</v>
      </c>
    </row>
    <row r="919" customFormat="false" ht="15.8" hidden="false" customHeight="false" outlineLevel="0" collapsed="false">
      <c r="A919" s="1" t="n">
        <v>19</v>
      </c>
      <c r="B919" s="1" t="n">
        <v>14</v>
      </c>
      <c r="C919" s="1" t="n">
        <v>4.8</v>
      </c>
      <c r="D919" s="1" t="n">
        <v>1.3285</v>
      </c>
      <c r="E919" s="1" t="n">
        <v>0.174159</v>
      </c>
      <c r="F919" s="1" t="n">
        <v>0.00050059</v>
      </c>
      <c r="G919" s="1" t="s">
        <v>37</v>
      </c>
      <c r="H919" s="1" t="n">
        <v>89.1</v>
      </c>
      <c r="I919" s="1" t="n">
        <v>305.5</v>
      </c>
      <c r="J919" s="1" t="n">
        <v>12.4</v>
      </c>
      <c r="K919" s="1" t="n">
        <v>145.3</v>
      </c>
      <c r="L919" s="1" t="n">
        <v>0</v>
      </c>
      <c r="M919" s="1" t="n">
        <v>0</v>
      </c>
      <c r="N919" s="1" t="s">
        <v>529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Z919" s="0" t="n">
        <f aca="false">I919+65</f>
        <v>370.5</v>
      </c>
      <c r="AB919" s="0" t="n">
        <f aca="false">IF(Z919&gt;360,Z919-360,Z919+0)</f>
        <v>10.5</v>
      </c>
    </row>
    <row r="920" customFormat="false" ht="15.8" hidden="false" customHeight="false" outlineLevel="0" collapsed="false">
      <c r="A920" s="1" t="n">
        <v>19</v>
      </c>
      <c r="B920" s="1" t="n">
        <v>15</v>
      </c>
      <c r="C920" s="1" t="n">
        <v>3.7</v>
      </c>
      <c r="D920" s="1" t="n">
        <v>1.2934</v>
      </c>
      <c r="E920" s="1" t="n">
        <v>0.133342</v>
      </c>
      <c r="F920" s="1" t="n">
        <v>0.000383268</v>
      </c>
      <c r="G920" s="1" t="s">
        <v>27</v>
      </c>
      <c r="H920" s="1" t="n">
        <v>28.4</v>
      </c>
      <c r="I920" s="1" t="n">
        <v>168.9</v>
      </c>
      <c r="J920" s="1" t="n">
        <v>33.1</v>
      </c>
      <c r="K920" s="1"/>
      <c r="L920" s="1" t="n">
        <v>0</v>
      </c>
      <c r="M920" s="1" t="n">
        <v>0</v>
      </c>
      <c r="N920" s="1" t="s">
        <v>530</v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Z920" s="0" t="n">
        <f aca="false">I920+65</f>
        <v>233.9</v>
      </c>
      <c r="AB920" s="0" t="n">
        <f aca="false">IF(Z920&gt;360,Z920-360,Z920+0)</f>
        <v>233.9</v>
      </c>
    </row>
    <row r="921" customFormat="false" ht="15.8" hidden="false" customHeight="false" outlineLevel="0" collapsed="false">
      <c r="A921" s="1" t="n">
        <v>19</v>
      </c>
      <c r="B921" s="1" t="n">
        <v>15</v>
      </c>
      <c r="C921" s="1" t="n">
        <v>4.9</v>
      </c>
      <c r="D921" s="1" t="n">
        <v>1.3775</v>
      </c>
      <c r="E921" s="1" t="n">
        <v>0.177187</v>
      </c>
      <c r="F921" s="1" t="n">
        <v>0.000509295</v>
      </c>
      <c r="G921" s="1" t="s">
        <v>27</v>
      </c>
      <c r="H921" s="1" t="n">
        <v>93.5</v>
      </c>
      <c r="I921" s="1" t="n">
        <v>70.6</v>
      </c>
      <c r="J921" s="1" t="n">
        <v>19.2</v>
      </c>
      <c r="K921" s="1"/>
      <c r="L921" s="1" t="n">
        <v>0</v>
      </c>
      <c r="M921" s="1" t="n">
        <v>0</v>
      </c>
      <c r="N921" s="1" t="s">
        <v>530</v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Z921" s="0" t="n">
        <f aca="false">I921+65</f>
        <v>135.6</v>
      </c>
      <c r="AB921" s="0" t="n">
        <f aca="false">IF(Z921&gt;360,Z921-360,Z921+0)</f>
        <v>135.6</v>
      </c>
    </row>
    <row r="922" customFormat="false" ht="15.8" hidden="false" customHeight="false" outlineLevel="0" collapsed="false">
      <c r="A922" s="1" t="n">
        <v>19</v>
      </c>
      <c r="B922" s="1" t="n">
        <v>19</v>
      </c>
      <c r="C922" s="1" t="n">
        <v>2.5</v>
      </c>
      <c r="D922" s="1" t="n">
        <v>1.2577</v>
      </c>
      <c r="E922" s="1" t="n">
        <v>0.0906623</v>
      </c>
      <c r="F922" s="1" t="n">
        <v>0.000260594</v>
      </c>
      <c r="G922" s="1" t="s">
        <v>27</v>
      </c>
      <c r="H922" s="1" t="n">
        <v>11.6</v>
      </c>
      <c r="I922" s="1" t="n">
        <v>168.9</v>
      </c>
      <c r="J922" s="1" t="n">
        <v>35.9</v>
      </c>
      <c r="K922" s="1"/>
      <c r="L922" s="1" t="n">
        <v>0</v>
      </c>
      <c r="M922" s="1" t="n">
        <v>0</v>
      </c>
      <c r="N922" s="1" t="s">
        <v>531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Z922" s="0" t="n">
        <f aca="false">I922+65</f>
        <v>233.9</v>
      </c>
      <c r="AB922" s="0" t="n">
        <f aca="false">IF(Z922&gt;360,Z922-360,Z922+0)</f>
        <v>233.9</v>
      </c>
    </row>
    <row r="923" customFormat="false" ht="15.8" hidden="false" customHeight="false" outlineLevel="0" collapsed="false">
      <c r="A923" s="1" t="n">
        <v>19</v>
      </c>
      <c r="B923" s="1" t="n">
        <v>19</v>
      </c>
      <c r="C923" s="1" t="n">
        <v>1.7</v>
      </c>
      <c r="D923" s="1" t="n">
        <v>1.1767</v>
      </c>
      <c r="E923" s="1" t="n">
        <v>0.0600322</v>
      </c>
      <c r="F923" s="1" t="n">
        <v>0.000172553</v>
      </c>
      <c r="G923" s="1" t="s">
        <v>27</v>
      </c>
      <c r="H923" s="1" t="n">
        <v>76.4</v>
      </c>
      <c r="I923" s="1" t="n">
        <v>100.7</v>
      </c>
      <c r="J923" s="1" t="n">
        <v>-16</v>
      </c>
      <c r="K923" s="1"/>
      <c r="L923" s="1" t="n">
        <v>0</v>
      </c>
      <c r="M923" s="1" t="n">
        <v>0</v>
      </c>
      <c r="N923" s="1" t="s">
        <v>531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Z923" s="0" t="n">
        <f aca="false">I923+65</f>
        <v>165.7</v>
      </c>
      <c r="AB923" s="0" t="n">
        <f aca="false">IF(Z923&gt;360,Z923-360,Z923+0)</f>
        <v>165.7</v>
      </c>
    </row>
    <row r="924" customFormat="false" ht="15.8" hidden="false" customHeight="false" outlineLevel="0" collapsed="false">
      <c r="A924" s="1" t="n">
        <v>19</v>
      </c>
      <c r="B924" s="1" t="n">
        <v>19</v>
      </c>
      <c r="C924" s="1" t="n">
        <v>2.6</v>
      </c>
      <c r="D924" s="1" t="n">
        <v>1.2983</v>
      </c>
      <c r="E924" s="1" t="n">
        <v>0.0932125</v>
      </c>
      <c r="F924" s="1" t="n">
        <v>0.000267924</v>
      </c>
      <c r="G924" s="1" t="s">
        <v>27</v>
      </c>
      <c r="H924" s="1" t="n">
        <v>130.9</v>
      </c>
      <c r="I924" s="1" t="n">
        <v>293.3</v>
      </c>
      <c r="J924" s="1" t="n">
        <v>-23.1</v>
      </c>
      <c r="K924" s="1"/>
      <c r="L924" s="1" t="n">
        <v>0</v>
      </c>
      <c r="M924" s="1" t="n">
        <v>0</v>
      </c>
      <c r="N924" s="1" t="s">
        <v>531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Z924" s="0" t="n">
        <f aca="false">I924+65</f>
        <v>358.3</v>
      </c>
      <c r="AB924" s="0" t="n">
        <f aca="false">IF(Z924&gt;360,Z924-360,Z924+0)</f>
        <v>358.3</v>
      </c>
    </row>
    <row r="925" customFormat="false" ht="15.8" hidden="false" customHeight="false" outlineLevel="0" collapsed="false">
      <c r="A925" s="1" t="n">
        <v>19</v>
      </c>
      <c r="B925" s="1" t="n">
        <v>18</v>
      </c>
      <c r="C925" s="1" t="n">
        <v>2.2</v>
      </c>
      <c r="D925" s="1" t="n">
        <v>1.1889</v>
      </c>
      <c r="E925" s="1" t="n">
        <v>0.0811352</v>
      </c>
      <c r="F925" s="1" t="n">
        <v>0.00023321</v>
      </c>
      <c r="G925" s="1" t="s">
        <v>37</v>
      </c>
      <c r="H925" s="1" t="n">
        <v>9.3</v>
      </c>
      <c r="I925" s="1" t="n">
        <v>167.3</v>
      </c>
      <c r="J925" s="1" t="n">
        <v>24.4</v>
      </c>
      <c r="K925" s="1" t="n">
        <v>130.9</v>
      </c>
      <c r="L925" s="1" t="n">
        <v>0</v>
      </c>
      <c r="M925" s="1" t="n">
        <v>0</v>
      </c>
      <c r="N925" s="1" t="s">
        <v>532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Z925" s="0" t="n">
        <f aca="false">I925+65</f>
        <v>232.3</v>
      </c>
      <c r="AB925" s="0" t="n">
        <f aca="false">IF(Z925&gt;360,Z925-360,Z925+0)</f>
        <v>232.3</v>
      </c>
    </row>
    <row r="926" customFormat="false" ht="15.8" hidden="false" customHeight="false" outlineLevel="0" collapsed="false">
      <c r="A926" s="1" t="n">
        <v>19</v>
      </c>
      <c r="B926" s="1" t="n">
        <v>18</v>
      </c>
      <c r="C926" s="1" t="n">
        <v>1.1</v>
      </c>
      <c r="D926" s="1" t="n">
        <v>1.2382</v>
      </c>
      <c r="E926" s="1" t="n">
        <v>0.0384005</v>
      </c>
      <c r="F926" s="1" t="n">
        <v>0.000110376</v>
      </c>
      <c r="G926" s="1" t="s">
        <v>27</v>
      </c>
      <c r="H926" s="1" t="n">
        <v>64.9</v>
      </c>
      <c r="I926" s="1" t="n">
        <v>222.6</v>
      </c>
      <c r="J926" s="1" t="n">
        <v>-27</v>
      </c>
      <c r="K926" s="1"/>
      <c r="L926" s="1" t="n">
        <v>0</v>
      </c>
      <c r="M926" s="1" t="n">
        <v>0</v>
      </c>
      <c r="N926" s="1" t="s">
        <v>532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Z926" s="0" t="n">
        <f aca="false">I926+65</f>
        <v>287.6</v>
      </c>
      <c r="AB926" s="0" t="n">
        <f aca="false">IF(Z926&gt;360,Z926-360,Z926+0)</f>
        <v>287.6</v>
      </c>
    </row>
    <row r="927" customFormat="false" ht="15.8" hidden="false" customHeight="false" outlineLevel="0" collapsed="false">
      <c r="A927" s="1" t="n">
        <v>19</v>
      </c>
      <c r="B927" s="1" t="n">
        <v>17</v>
      </c>
      <c r="C927" s="1" t="n">
        <v>2.9</v>
      </c>
      <c r="D927" s="1" t="n">
        <v>1.2223</v>
      </c>
      <c r="E927" s="1" t="n">
        <v>0.103134</v>
      </c>
      <c r="F927" s="1" t="n">
        <v>0.000296441</v>
      </c>
      <c r="G927" s="1" t="s">
        <v>37</v>
      </c>
      <c r="H927" s="1" t="n">
        <v>64.6</v>
      </c>
      <c r="I927" s="1" t="n">
        <v>175.8</v>
      </c>
      <c r="J927" s="1" t="n">
        <v>19.5</v>
      </c>
      <c r="K927" s="1" t="n">
        <v>64.9</v>
      </c>
      <c r="L927" s="1" t="n">
        <v>0</v>
      </c>
      <c r="M927" s="1" t="n">
        <v>0</v>
      </c>
      <c r="N927" s="1" t="s">
        <v>533</v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Z927" s="0" t="n">
        <f aca="false">I927+65</f>
        <v>240.8</v>
      </c>
      <c r="AB927" s="0" t="n">
        <f aca="false">IF(Z927&gt;360,Z927-360,Z927+0)</f>
        <v>240.8</v>
      </c>
    </row>
    <row r="928" customFormat="false" ht="15.8" hidden="false" customHeight="false" outlineLevel="0" collapsed="false">
      <c r="A928" s="1" t="n">
        <v>19</v>
      </c>
      <c r="B928" s="1" t="n">
        <v>17</v>
      </c>
      <c r="C928" s="1" t="n">
        <v>2</v>
      </c>
      <c r="D928" s="1" t="n">
        <v>1.1715</v>
      </c>
      <c r="E928" s="1" t="n">
        <v>0.0706623</v>
      </c>
      <c r="F928" s="1" t="n">
        <v>0.000203107</v>
      </c>
      <c r="G928" s="1" t="s">
        <v>27</v>
      </c>
      <c r="H928" s="1" t="n">
        <v>84.2</v>
      </c>
      <c r="I928" s="1" t="n">
        <v>351.5</v>
      </c>
      <c r="J928" s="1" t="n">
        <v>27.8</v>
      </c>
      <c r="K928" s="1"/>
      <c r="L928" s="1" t="n">
        <v>0</v>
      </c>
      <c r="M928" s="1" t="n">
        <v>0</v>
      </c>
      <c r="N928" s="1" t="s">
        <v>533</v>
      </c>
      <c r="O928" s="1"/>
      <c r="P928" s="1"/>
      <c r="Q928" s="1"/>
      <c r="R928" s="1"/>
      <c r="S928" s="1"/>
      <c r="T928" s="1"/>
      <c r="U928" s="1"/>
      <c r="V928" s="1"/>
      <c r="W928" s="1"/>
      <c r="X928" s="1"/>
      <c r="Z928" s="0" t="n">
        <f aca="false">I928+65</f>
        <v>416.5</v>
      </c>
      <c r="AB928" s="0" t="n">
        <f aca="false">IF(Z928&gt;360,Z928-360,Z928+0)</f>
        <v>56.5</v>
      </c>
    </row>
    <row r="929" customFormat="false" ht="15.8" hidden="false" customHeight="false" outlineLevel="0" collapsed="false">
      <c r="A929" s="1" t="n">
        <v>19</v>
      </c>
      <c r="B929" s="1" t="n">
        <v>16</v>
      </c>
      <c r="C929" s="1" t="n">
        <v>1.4</v>
      </c>
      <c r="D929" s="1" t="n">
        <v>1.2319</v>
      </c>
      <c r="E929" s="1" t="n">
        <v>0.0493815</v>
      </c>
      <c r="F929" s="1" t="n">
        <v>0.000141939</v>
      </c>
      <c r="G929" s="1" t="s">
        <v>37</v>
      </c>
      <c r="H929" s="1" t="n">
        <v>107</v>
      </c>
      <c r="I929" s="1" t="n">
        <v>102.6</v>
      </c>
      <c r="J929" s="1" t="n">
        <v>44.7</v>
      </c>
      <c r="K929" s="1" t="n">
        <v>84.2</v>
      </c>
      <c r="L929" s="1" t="n">
        <v>0</v>
      </c>
      <c r="M929" s="1" t="n">
        <v>0</v>
      </c>
      <c r="N929" s="1" t="s">
        <v>534</v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Z929" s="0" t="n">
        <f aca="false">I929+65</f>
        <v>167.6</v>
      </c>
      <c r="AB929" s="0" t="n">
        <f aca="false">IF(Z929&gt;360,Z929-360,Z929+0)</f>
        <v>167.6</v>
      </c>
    </row>
    <row r="930" customFormat="false" ht="15.8" hidden="false" customHeight="false" outlineLevel="0" collapsed="false">
      <c r="A930" s="1" t="n">
        <v>19</v>
      </c>
      <c r="B930" s="1" t="n">
        <v>16</v>
      </c>
      <c r="C930" s="1" t="n">
        <v>0.7</v>
      </c>
      <c r="D930" s="1" t="n">
        <v>1.0082</v>
      </c>
      <c r="E930" s="1" t="n">
        <v>0.0245027</v>
      </c>
      <c r="F930" s="1" t="n">
        <v>7.04288E-005</v>
      </c>
      <c r="G930" s="1" t="s">
        <v>27</v>
      </c>
      <c r="H930" s="1" t="n">
        <v>56.6</v>
      </c>
      <c r="I930" s="1" t="n">
        <v>286.9</v>
      </c>
      <c r="J930" s="1" t="n">
        <v>0</v>
      </c>
      <c r="K930" s="1"/>
      <c r="L930" s="1" t="n">
        <v>0</v>
      </c>
      <c r="M930" s="1" t="n">
        <v>0</v>
      </c>
      <c r="N930" s="1" t="s">
        <v>534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Z930" s="0" t="n">
        <f aca="false">I930+65</f>
        <v>351.9</v>
      </c>
      <c r="AB930" s="0" t="n">
        <f aca="false">IF(Z930&gt;360,Z930-360,Z930+0)</f>
        <v>351.9</v>
      </c>
    </row>
    <row r="931" customFormat="false" ht="15.8" hidden="false" customHeight="false" outlineLevel="0" collapsed="false">
      <c r="A931" s="1" t="n">
        <v>19</v>
      </c>
      <c r="B931" s="1" t="n">
        <v>15</v>
      </c>
      <c r="C931" s="1" t="n">
        <v>2.2</v>
      </c>
      <c r="D931" s="1" t="n">
        <v>1.1567</v>
      </c>
      <c r="E931" s="1" t="n">
        <v>0.0812495</v>
      </c>
      <c r="F931" s="1" t="n">
        <v>0.000233538</v>
      </c>
      <c r="G931" s="1" t="s">
        <v>37</v>
      </c>
      <c r="H931" s="1" t="n">
        <v>50.4</v>
      </c>
      <c r="I931" s="1" t="n">
        <v>231.1</v>
      </c>
      <c r="J931" s="1" t="n">
        <v>11.6</v>
      </c>
      <c r="K931" s="1" t="n">
        <v>107</v>
      </c>
      <c r="L931" s="1" t="n">
        <v>0</v>
      </c>
      <c r="M931" s="1" t="n">
        <v>0</v>
      </c>
      <c r="N931" s="1" t="s">
        <v>530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Z931" s="0" t="n">
        <f aca="false">I931+65</f>
        <v>296.1</v>
      </c>
      <c r="AB931" s="0" t="n">
        <f aca="false">IF(Z931&gt;360,Z931-360,Z931+0)</f>
        <v>296.1</v>
      </c>
    </row>
    <row r="932" customFormat="false" ht="15.8" hidden="false" customHeight="false" outlineLevel="0" collapsed="false">
      <c r="A932" s="1" t="n">
        <v>19</v>
      </c>
      <c r="B932" s="1" t="n">
        <v>14</v>
      </c>
      <c r="C932" s="1" t="n">
        <v>2.9</v>
      </c>
      <c r="D932" s="1" t="n">
        <v>1.2161</v>
      </c>
      <c r="E932" s="1" t="n">
        <v>0.10612</v>
      </c>
      <c r="F932" s="1" t="n">
        <v>0.000305023</v>
      </c>
      <c r="G932" s="1" t="s">
        <v>37</v>
      </c>
      <c r="H932" s="1" t="n">
        <v>44</v>
      </c>
      <c r="I932" s="1" t="n">
        <v>196.4</v>
      </c>
      <c r="J932" s="1" t="n">
        <v>53.8</v>
      </c>
      <c r="K932" s="1" t="n">
        <v>93.5</v>
      </c>
      <c r="L932" s="1" t="n">
        <v>0</v>
      </c>
      <c r="M932" s="1" t="n">
        <v>0</v>
      </c>
      <c r="N932" s="1" t="s">
        <v>529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Z932" s="0" t="n">
        <f aca="false">I932+65</f>
        <v>261.4</v>
      </c>
      <c r="AB932" s="0" t="n">
        <f aca="false">IF(Z932&gt;360,Z932-360,Z932+0)</f>
        <v>261.4</v>
      </c>
    </row>
    <row r="933" customFormat="false" ht="15.8" hidden="false" customHeight="false" outlineLevel="0" collapsed="false">
      <c r="A933" s="1" t="n">
        <v>19</v>
      </c>
      <c r="B933" s="1" t="n">
        <v>13</v>
      </c>
      <c r="C933" s="1" t="n">
        <v>2.7</v>
      </c>
      <c r="D933" s="1" t="n">
        <v>1.424</v>
      </c>
      <c r="E933" s="1" t="n">
        <v>0.0959361</v>
      </c>
      <c r="F933" s="1" t="n">
        <v>0.000275752</v>
      </c>
      <c r="G933" s="1" t="s">
        <v>37</v>
      </c>
      <c r="H933" s="1" t="n">
        <v>14.8</v>
      </c>
      <c r="I933" s="1" t="n">
        <v>213.7</v>
      </c>
      <c r="J933" s="1" t="n">
        <v>12.1</v>
      </c>
      <c r="K933" s="1" t="n">
        <v>89.1</v>
      </c>
      <c r="L933" s="1" t="n">
        <v>0</v>
      </c>
      <c r="M933" s="1" t="n">
        <v>0</v>
      </c>
      <c r="N933" s="1" t="s">
        <v>535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Z933" s="0" t="n">
        <f aca="false">I933+65</f>
        <v>278.7</v>
      </c>
      <c r="AB933" s="0" t="n">
        <f aca="false">IF(Z933&gt;360,Z933-360,Z933+0)</f>
        <v>278.7</v>
      </c>
    </row>
    <row r="934" customFormat="false" ht="15.8" hidden="false" customHeight="false" outlineLevel="0" collapsed="false">
      <c r="A934" s="1" t="n">
        <v>19</v>
      </c>
      <c r="B934" s="1" t="n">
        <v>13</v>
      </c>
      <c r="C934" s="1" t="n">
        <v>1</v>
      </c>
      <c r="D934" s="1" t="n">
        <v>1.1512</v>
      </c>
      <c r="E934" s="1" t="n">
        <v>0.0372141</v>
      </c>
      <c r="F934" s="1" t="n">
        <v>0.000106966</v>
      </c>
      <c r="G934" s="1" t="s">
        <v>27</v>
      </c>
      <c r="H934" s="1" t="n">
        <v>69.7</v>
      </c>
      <c r="I934" s="1" t="n">
        <v>272.5</v>
      </c>
      <c r="J934" s="1" t="n">
        <v>-25.8</v>
      </c>
      <c r="K934" s="1"/>
      <c r="L934" s="1" t="n">
        <v>0</v>
      </c>
      <c r="M934" s="1" t="n">
        <v>0</v>
      </c>
      <c r="N934" s="1" t="s">
        <v>535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Z934" s="0" t="n">
        <f aca="false">I934+65</f>
        <v>337.5</v>
      </c>
      <c r="AB934" s="0" t="n">
        <f aca="false">IF(Z934&gt;360,Z934-360,Z934+0)</f>
        <v>337.5</v>
      </c>
    </row>
    <row r="935" customFormat="false" ht="15.8" hidden="false" customHeight="false" outlineLevel="0" collapsed="false">
      <c r="A935" s="1" t="n">
        <v>19</v>
      </c>
      <c r="B935" s="1" t="n">
        <v>12</v>
      </c>
      <c r="C935" s="1" t="n">
        <v>0.6</v>
      </c>
      <c r="D935" s="1" t="n">
        <v>1.0063</v>
      </c>
      <c r="E935" s="1" t="n">
        <v>0.0216844</v>
      </c>
      <c r="F935" s="1" t="n">
        <v>6.23283E-005</v>
      </c>
      <c r="G935" s="1" t="s">
        <v>37</v>
      </c>
      <c r="H935" s="1" t="n">
        <v>44.7</v>
      </c>
      <c r="I935" s="1" t="n">
        <v>205.1</v>
      </c>
      <c r="J935" s="1" t="n">
        <v>0</v>
      </c>
      <c r="K935" s="1" t="n">
        <v>69.7</v>
      </c>
      <c r="L935" s="1" t="n">
        <v>0</v>
      </c>
      <c r="M935" s="1" t="n">
        <v>0</v>
      </c>
      <c r="N935" s="1" t="s">
        <v>536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Z935" s="0" t="n">
        <f aca="false">I935+65</f>
        <v>270.1</v>
      </c>
      <c r="AB935" s="0" t="n">
        <f aca="false">IF(Z935&gt;360,Z935-360,Z935+0)</f>
        <v>270.1</v>
      </c>
    </row>
    <row r="936" customFormat="false" ht="15.8" hidden="false" customHeight="false" outlineLevel="0" collapsed="false">
      <c r="A936" s="1" t="n">
        <v>19</v>
      </c>
      <c r="B936" s="1" t="n">
        <v>12</v>
      </c>
      <c r="C936" s="1" t="n">
        <v>1.6</v>
      </c>
      <c r="D936" s="1" t="n">
        <v>1.0455</v>
      </c>
      <c r="E936" s="1" t="n">
        <v>0.0562901</v>
      </c>
      <c r="F936" s="1" t="n">
        <v>0.000161796</v>
      </c>
      <c r="G936" s="1" t="s">
        <v>27</v>
      </c>
      <c r="H936" s="1" t="n">
        <v>122.2</v>
      </c>
      <c r="I936" s="1" t="n">
        <v>78.4</v>
      </c>
      <c r="J936" s="1" t="n">
        <v>0</v>
      </c>
      <c r="K936" s="1"/>
      <c r="L936" s="1" t="n">
        <v>0</v>
      </c>
      <c r="M936" s="1" t="n">
        <v>0</v>
      </c>
      <c r="N936" s="1" t="s">
        <v>536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Z936" s="0" t="n">
        <f aca="false">I936+65</f>
        <v>143.4</v>
      </c>
      <c r="AB936" s="0" t="n">
        <f aca="false">IF(Z936&gt;360,Z936-360,Z936+0)</f>
        <v>143.4</v>
      </c>
    </row>
    <row r="937" customFormat="false" ht="15.8" hidden="false" customHeight="false" outlineLevel="0" collapsed="false">
      <c r="A937" s="1" t="n">
        <v>19</v>
      </c>
      <c r="B937" s="1" t="n">
        <v>11</v>
      </c>
      <c r="C937" s="1" t="n">
        <v>3.7</v>
      </c>
      <c r="D937" s="1" t="n">
        <v>1.3081</v>
      </c>
      <c r="E937" s="1" t="n">
        <v>0.133417</v>
      </c>
      <c r="F937" s="1" t="n">
        <v>0.000383486</v>
      </c>
      <c r="G937" s="1" t="s">
        <v>37</v>
      </c>
      <c r="H937" s="1" t="n">
        <v>92.7</v>
      </c>
      <c r="I937" s="1" t="n">
        <v>215.8</v>
      </c>
      <c r="J937" s="1" t="n">
        <v>43.7</v>
      </c>
      <c r="K937" s="1" t="n">
        <v>122.2</v>
      </c>
      <c r="L937" s="1" t="n">
        <v>0</v>
      </c>
      <c r="M937" s="1" t="n">
        <v>0</v>
      </c>
      <c r="N937" s="1" t="s">
        <v>537</v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Z937" s="0" t="n">
        <f aca="false">I937+65</f>
        <v>280.8</v>
      </c>
      <c r="AB937" s="0" t="n">
        <f aca="false">IF(Z937&gt;360,Z937-360,Z937+0)</f>
        <v>280.8</v>
      </c>
    </row>
    <row r="938" customFormat="false" ht="15.8" hidden="false" customHeight="false" outlineLevel="0" collapsed="false">
      <c r="A938" s="1" t="n">
        <v>19</v>
      </c>
      <c r="B938" s="1" t="n">
        <v>12</v>
      </c>
      <c r="C938" s="1" t="n">
        <v>0.9</v>
      </c>
      <c r="D938" s="1" t="n">
        <v>1.0003</v>
      </c>
      <c r="E938" s="1" t="n">
        <v>0.0336573</v>
      </c>
      <c r="F938" s="1" t="n">
        <v>9.67422E-005</v>
      </c>
      <c r="G938" s="1" t="s">
        <v>27</v>
      </c>
      <c r="H938" s="1" t="n">
        <v>53.5</v>
      </c>
      <c r="I938" s="1" t="n">
        <v>102.8</v>
      </c>
      <c r="J938" s="1" t="n">
        <v>0</v>
      </c>
      <c r="K938" s="1"/>
      <c r="L938" s="1" t="n">
        <v>0</v>
      </c>
      <c r="M938" s="1" t="n">
        <v>0</v>
      </c>
      <c r="N938" s="1" t="s">
        <v>538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Z938" s="0" t="n">
        <f aca="false">I938+65</f>
        <v>167.8</v>
      </c>
      <c r="AB938" s="0" t="n">
        <f aca="false">IF(Z938&gt;360,Z938-360,Z938+0)</f>
        <v>167.8</v>
      </c>
    </row>
    <row r="939" customFormat="false" ht="15.8" hidden="false" customHeight="false" outlineLevel="0" collapsed="false">
      <c r="A939" s="1" t="n">
        <v>19</v>
      </c>
      <c r="B939" s="1" t="n">
        <v>13</v>
      </c>
      <c r="C939" s="1" t="n">
        <v>2.5</v>
      </c>
      <c r="D939" s="1" t="n">
        <v>1.404</v>
      </c>
      <c r="E939" s="1" t="n">
        <v>0.0905544</v>
      </c>
      <c r="F939" s="1" t="n">
        <v>0.000260284</v>
      </c>
      <c r="G939" s="1" t="s">
        <v>27</v>
      </c>
      <c r="H939" s="1" t="n">
        <v>59.7</v>
      </c>
      <c r="I939" s="1" t="n">
        <v>288.9</v>
      </c>
      <c r="J939" s="1" t="n">
        <v>-40.9</v>
      </c>
      <c r="K939" s="1"/>
      <c r="L939" s="1" t="n">
        <v>0</v>
      </c>
      <c r="M939" s="1" t="n">
        <v>0</v>
      </c>
      <c r="N939" s="1" t="s">
        <v>539</v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Z939" s="0" t="n">
        <f aca="false">I939+65</f>
        <v>353.9</v>
      </c>
      <c r="AB939" s="0" t="n">
        <f aca="false">IF(Z939&gt;360,Z939-360,Z939+0)</f>
        <v>353.9</v>
      </c>
    </row>
    <row r="940" customFormat="false" ht="15.8" hidden="false" customHeight="false" outlineLevel="0" collapsed="false">
      <c r="A940" s="1" t="n">
        <v>19</v>
      </c>
      <c r="B940" s="1" t="n">
        <v>13</v>
      </c>
      <c r="C940" s="1" t="n">
        <v>4.3</v>
      </c>
      <c r="D940" s="1" t="n">
        <v>1.4031</v>
      </c>
      <c r="E940" s="1" t="n">
        <v>0.156991</v>
      </c>
      <c r="F940" s="1" t="n">
        <v>0.000451246</v>
      </c>
      <c r="G940" s="1" t="s">
        <v>27</v>
      </c>
      <c r="H940" s="1" t="n">
        <v>71.8</v>
      </c>
      <c r="I940" s="1" t="n">
        <v>43.8</v>
      </c>
      <c r="J940" s="1" t="n">
        <v>39</v>
      </c>
      <c r="K940" s="1"/>
      <c r="L940" s="1" t="n">
        <v>0</v>
      </c>
      <c r="M940" s="1" t="n">
        <v>0</v>
      </c>
      <c r="N940" s="1" t="s">
        <v>539</v>
      </c>
      <c r="O940" s="1"/>
      <c r="P940" s="1"/>
      <c r="Q940" s="1"/>
      <c r="R940" s="1"/>
      <c r="S940" s="1"/>
      <c r="T940" s="1"/>
      <c r="U940" s="1"/>
      <c r="V940" s="1"/>
      <c r="W940" s="1"/>
      <c r="X940" s="1"/>
      <c r="Z940" s="0" t="n">
        <f aca="false">I940+65</f>
        <v>108.8</v>
      </c>
      <c r="AB940" s="0" t="n">
        <f aca="false">IF(Z940&gt;360,Z940-360,Z940+0)</f>
        <v>108.8</v>
      </c>
    </row>
    <row r="941" customFormat="false" ht="15.8" hidden="false" customHeight="false" outlineLevel="0" collapsed="false">
      <c r="A941" s="1" t="n">
        <v>19</v>
      </c>
      <c r="B941" s="1" t="n">
        <v>12</v>
      </c>
      <c r="C941" s="1" t="n">
        <v>2.7</v>
      </c>
      <c r="D941" s="1" t="n">
        <v>1.1949</v>
      </c>
      <c r="E941" s="1" t="n">
        <v>0.0976513</v>
      </c>
      <c r="F941" s="1" t="n">
        <v>0.000280682</v>
      </c>
      <c r="G941" s="1" t="s">
        <v>37</v>
      </c>
      <c r="H941" s="1" t="n">
        <v>67.9</v>
      </c>
      <c r="I941" s="1" t="n">
        <v>347.2</v>
      </c>
      <c r="J941" s="1" t="n">
        <v>-9.9</v>
      </c>
      <c r="K941" s="1" t="n">
        <v>71.8</v>
      </c>
      <c r="L941" s="1" t="n">
        <v>0</v>
      </c>
      <c r="M941" s="1" t="n">
        <v>0</v>
      </c>
      <c r="N941" s="1" t="s">
        <v>538</v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Z941" s="0" t="n">
        <f aca="false">I941+65</f>
        <v>412.2</v>
      </c>
      <c r="AB941" s="0" t="n">
        <f aca="false">IF(Z941&gt;360,Z941-360,Z941+0)</f>
        <v>52.2</v>
      </c>
    </row>
    <row r="942" customFormat="false" ht="15.8" hidden="false" customHeight="false" outlineLevel="0" collapsed="false">
      <c r="A942" s="1" t="n">
        <v>19</v>
      </c>
      <c r="B942" s="1" t="n">
        <v>11</v>
      </c>
      <c r="C942" s="1" t="n">
        <v>1.7</v>
      </c>
      <c r="D942" s="1" t="n">
        <v>1.1171</v>
      </c>
      <c r="E942" s="1" t="n">
        <v>0.0602662</v>
      </c>
      <c r="F942" s="1" t="n">
        <v>0.000173225</v>
      </c>
      <c r="G942" s="1" t="s">
        <v>37</v>
      </c>
      <c r="H942" s="1" t="n">
        <v>27.5</v>
      </c>
      <c r="I942" s="1" t="n">
        <v>50.9</v>
      </c>
      <c r="J942" s="1" t="n">
        <v>15.1</v>
      </c>
      <c r="K942" s="1" t="n">
        <v>67.9</v>
      </c>
      <c r="L942" s="1" t="n">
        <v>0</v>
      </c>
      <c r="M942" s="1" t="n">
        <v>0</v>
      </c>
      <c r="N942" s="1" t="s">
        <v>537</v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Z942" s="0" t="n">
        <f aca="false">I942+65</f>
        <v>115.9</v>
      </c>
      <c r="AB942" s="0" t="n">
        <f aca="false">IF(Z942&gt;360,Z942-360,Z942+0)</f>
        <v>115.9</v>
      </c>
    </row>
    <row r="943" customFormat="false" ht="15.8" hidden="false" customHeight="false" outlineLevel="0" collapsed="false">
      <c r="A943" s="1" t="n">
        <v>19</v>
      </c>
      <c r="B943" s="1" t="n">
        <v>10</v>
      </c>
      <c r="C943" s="1" t="n">
        <v>1.3</v>
      </c>
      <c r="D943" s="1" t="n">
        <v>1.1625</v>
      </c>
      <c r="E943" s="1" t="n">
        <v>0.0483117</v>
      </c>
      <c r="F943" s="1" t="n">
        <v>0.000138864</v>
      </c>
      <c r="G943" s="1" t="s">
        <v>37</v>
      </c>
      <c r="H943" s="1" t="n">
        <v>49.8</v>
      </c>
      <c r="I943" s="1" t="n">
        <v>50.5</v>
      </c>
      <c r="J943" s="1" t="n">
        <v>42.7</v>
      </c>
      <c r="K943" s="1" t="n">
        <v>92.7</v>
      </c>
      <c r="L943" s="1" t="n">
        <v>0</v>
      </c>
      <c r="M943" s="1" t="n">
        <v>0</v>
      </c>
      <c r="N943" s="1" t="s">
        <v>525</v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Z943" s="0" t="n">
        <f aca="false">I943+65</f>
        <v>115.5</v>
      </c>
      <c r="AB943" s="0" t="n">
        <f aca="false">IF(Z943&gt;360,Z943-360,Z943+0)</f>
        <v>115.5</v>
      </c>
    </row>
    <row r="944" customFormat="false" ht="15.8" hidden="false" customHeight="false" outlineLevel="0" collapsed="false">
      <c r="A944" s="1" t="n">
        <v>19</v>
      </c>
      <c r="B944" s="1" t="n">
        <v>11</v>
      </c>
      <c r="C944" s="1" t="n">
        <v>1.7</v>
      </c>
      <c r="D944" s="1" t="n">
        <v>1.0602</v>
      </c>
      <c r="E944" s="1" t="n">
        <v>0.060847</v>
      </c>
      <c r="F944" s="1" t="n">
        <v>0.000174895</v>
      </c>
      <c r="G944" s="1" t="s">
        <v>27</v>
      </c>
      <c r="H944" s="1" t="n">
        <v>105</v>
      </c>
      <c r="I944" s="1" t="n">
        <v>228.8</v>
      </c>
      <c r="J944" s="1" t="n">
        <v>0</v>
      </c>
      <c r="K944" s="1"/>
      <c r="L944" s="1" t="n">
        <v>0</v>
      </c>
      <c r="M944" s="1" t="n">
        <v>0</v>
      </c>
      <c r="N944" s="1" t="s">
        <v>540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Z944" s="0" t="n">
        <f aca="false">I944+65</f>
        <v>293.8</v>
      </c>
      <c r="AB944" s="0" t="n">
        <f aca="false">IF(Z944&gt;360,Z944-360,Z944+0)</f>
        <v>293.8</v>
      </c>
    </row>
    <row r="945" customFormat="false" ht="15.8" hidden="false" customHeight="false" outlineLevel="0" collapsed="false">
      <c r="A945" s="1" t="n">
        <v>19</v>
      </c>
      <c r="B945" s="1" t="n">
        <v>12</v>
      </c>
      <c r="C945" s="1" t="n">
        <v>2.9</v>
      </c>
      <c r="D945" s="1" t="n">
        <v>1.2191</v>
      </c>
      <c r="E945" s="1" t="n">
        <v>0.103677</v>
      </c>
      <c r="F945" s="1" t="n">
        <v>0.000298003</v>
      </c>
      <c r="G945" s="1" t="s">
        <v>27</v>
      </c>
      <c r="H945" s="1" t="n">
        <v>44.8</v>
      </c>
      <c r="I945" s="1" t="n">
        <v>72.2</v>
      </c>
      <c r="J945" s="1" t="n">
        <v>19.3</v>
      </c>
      <c r="K945" s="1"/>
      <c r="L945" s="1" t="n">
        <v>0</v>
      </c>
      <c r="M945" s="1" t="n">
        <v>0</v>
      </c>
      <c r="N945" s="1" t="s">
        <v>541</v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Z945" s="0" t="n">
        <f aca="false">I945+65</f>
        <v>137.2</v>
      </c>
      <c r="AB945" s="0" t="n">
        <f aca="false">IF(Z945&gt;360,Z945-360,Z945+0)</f>
        <v>137.2</v>
      </c>
    </row>
    <row r="946" customFormat="false" ht="15.8" hidden="false" customHeight="false" outlineLevel="0" collapsed="false">
      <c r="A946" s="1" t="n">
        <v>19</v>
      </c>
      <c r="B946" s="1" t="n">
        <v>14</v>
      </c>
      <c r="C946" s="1" t="n">
        <v>1.9</v>
      </c>
      <c r="D946" s="1" t="n">
        <v>1.0556</v>
      </c>
      <c r="E946" s="1" t="n">
        <v>0.0688388</v>
      </c>
      <c r="F946" s="1" t="n">
        <v>0.000197866</v>
      </c>
      <c r="G946" s="1" t="s">
        <v>27</v>
      </c>
      <c r="H946" s="1" t="n">
        <v>3.2</v>
      </c>
      <c r="I946" s="1" t="n">
        <v>83.4</v>
      </c>
      <c r="J946" s="1" t="n">
        <v>0</v>
      </c>
      <c r="K946" s="1"/>
      <c r="L946" s="1" t="n">
        <v>0</v>
      </c>
      <c r="M946" s="1" t="n">
        <v>0</v>
      </c>
      <c r="N946" s="1" t="s">
        <v>542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Z946" s="0" t="n">
        <f aca="false">I946+65</f>
        <v>148.4</v>
      </c>
      <c r="AB946" s="0" t="n">
        <f aca="false">IF(Z946&gt;360,Z946-360,Z946+0)</f>
        <v>148.4</v>
      </c>
    </row>
    <row r="947" customFormat="false" ht="15.8" hidden="false" customHeight="false" outlineLevel="0" collapsed="false">
      <c r="A947" s="1" t="n">
        <v>19</v>
      </c>
      <c r="B947" s="1" t="n">
        <v>15</v>
      </c>
      <c r="C947" s="1" t="n">
        <v>9.3</v>
      </c>
      <c r="D947" s="1" t="n">
        <v>1.2755</v>
      </c>
      <c r="E947" s="1" t="n">
        <v>0.3359</v>
      </c>
      <c r="F947" s="1" t="n">
        <v>0.000965489</v>
      </c>
      <c r="G947" s="1" t="s">
        <v>27</v>
      </c>
      <c r="H947" s="1" t="n">
        <v>55.2</v>
      </c>
      <c r="I947" s="1" t="n">
        <v>345</v>
      </c>
      <c r="J947" s="1" t="n">
        <v>-12.4</v>
      </c>
      <c r="K947" s="1"/>
      <c r="L947" s="1" t="n">
        <v>0</v>
      </c>
      <c r="M947" s="1" t="n">
        <v>0</v>
      </c>
      <c r="N947" s="1" t="s">
        <v>543</v>
      </c>
      <c r="O947" s="1"/>
      <c r="P947" s="1"/>
      <c r="Q947" s="1"/>
      <c r="R947" s="1"/>
      <c r="S947" s="1"/>
      <c r="T947" s="1"/>
      <c r="U947" s="1"/>
      <c r="V947" s="1"/>
      <c r="W947" s="1"/>
      <c r="X947" s="1"/>
      <c r="Z947" s="0" t="n">
        <f aca="false">I947+65</f>
        <v>410</v>
      </c>
      <c r="AB947" s="0" t="n">
        <f aca="false">IF(Z947&gt;360,Z947-360,Z947+0)</f>
        <v>50</v>
      </c>
    </row>
    <row r="948" customFormat="false" ht="15.8" hidden="false" customHeight="false" outlineLevel="0" collapsed="false">
      <c r="A948" s="1" t="n">
        <v>19</v>
      </c>
      <c r="B948" s="1" t="n">
        <v>15</v>
      </c>
      <c r="C948" s="1" t="n">
        <v>0.9</v>
      </c>
      <c r="D948" s="1" t="n">
        <v>1.0078</v>
      </c>
      <c r="E948" s="1" t="n">
        <v>0.0338192</v>
      </c>
      <c r="F948" s="1" t="n">
        <v>9.72077E-005</v>
      </c>
      <c r="G948" s="1" t="s">
        <v>27</v>
      </c>
      <c r="H948" s="1" t="n">
        <v>118.7</v>
      </c>
      <c r="I948" s="1" t="n">
        <v>282.1</v>
      </c>
      <c r="J948" s="1" t="n">
        <v>0</v>
      </c>
      <c r="K948" s="1"/>
      <c r="L948" s="1" t="n">
        <v>0</v>
      </c>
      <c r="M948" s="1" t="n">
        <v>0</v>
      </c>
      <c r="N948" s="1" t="s">
        <v>543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Z948" s="0" t="n">
        <f aca="false">I948+65</f>
        <v>347.1</v>
      </c>
      <c r="AB948" s="0" t="n">
        <f aca="false">IF(Z948&gt;360,Z948-360,Z948+0)</f>
        <v>347.1</v>
      </c>
    </row>
    <row r="949" customFormat="false" ht="15.8" hidden="false" customHeight="false" outlineLevel="0" collapsed="false">
      <c r="A949" s="1" t="n">
        <v>19</v>
      </c>
      <c r="B949" s="1" t="n">
        <v>15</v>
      </c>
      <c r="C949" s="1" t="n">
        <v>1.4</v>
      </c>
      <c r="D949" s="1" t="n">
        <v>1.2105</v>
      </c>
      <c r="E949" s="1" t="n">
        <v>0.0516199</v>
      </c>
      <c r="F949" s="1" t="n">
        <v>0.000148373</v>
      </c>
      <c r="G949" s="1" t="s">
        <v>27</v>
      </c>
      <c r="H949" s="1" t="n">
        <v>67.4</v>
      </c>
      <c r="I949" s="1" t="n">
        <v>112.9</v>
      </c>
      <c r="J949" s="1" t="n">
        <v>-41.4</v>
      </c>
      <c r="K949" s="1"/>
      <c r="L949" s="1" t="n">
        <v>0</v>
      </c>
      <c r="M949" s="1" t="n">
        <v>0</v>
      </c>
      <c r="N949" s="1" t="s">
        <v>543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Z949" s="0" t="n">
        <f aca="false">I949+65</f>
        <v>177.9</v>
      </c>
      <c r="AB949" s="0" t="n">
        <f aca="false">IF(Z949&gt;360,Z949-360,Z949+0)</f>
        <v>177.9</v>
      </c>
    </row>
    <row r="950" customFormat="false" ht="15.8" hidden="false" customHeight="false" outlineLevel="0" collapsed="false">
      <c r="A950" s="1" t="n">
        <v>19</v>
      </c>
      <c r="B950" s="1" t="n">
        <v>17</v>
      </c>
      <c r="C950" s="1" t="n">
        <v>1</v>
      </c>
      <c r="D950" s="1" t="n">
        <v>1.0262</v>
      </c>
      <c r="E950" s="1" t="n">
        <v>0.0346129</v>
      </c>
      <c r="F950" s="1" t="n">
        <v>9.9489E-005</v>
      </c>
      <c r="G950" s="1" t="s">
        <v>27</v>
      </c>
      <c r="H950" s="1" t="n">
        <v>67.9</v>
      </c>
      <c r="I950" s="1" t="n">
        <v>189.9</v>
      </c>
      <c r="J950" s="1" t="n">
        <v>0</v>
      </c>
      <c r="K950" s="1"/>
      <c r="L950" s="1" t="n">
        <v>0</v>
      </c>
      <c r="M950" s="1" t="n">
        <v>0</v>
      </c>
      <c r="N950" s="1" t="s">
        <v>544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Z950" s="0" t="n">
        <f aca="false">I950+65</f>
        <v>254.9</v>
      </c>
      <c r="AB950" s="0" t="n">
        <f aca="false">IF(Z950&gt;360,Z950-360,Z950+0)</f>
        <v>254.9</v>
      </c>
    </row>
    <row r="951" customFormat="false" ht="15.8" hidden="false" customHeight="false" outlineLevel="0" collapsed="false">
      <c r="A951" s="1" t="n">
        <v>19</v>
      </c>
      <c r="B951" s="1" t="n">
        <v>17</v>
      </c>
      <c r="C951" s="1" t="n">
        <v>4.4</v>
      </c>
      <c r="D951" s="1" t="n">
        <v>1.5769</v>
      </c>
      <c r="E951" s="1" t="n">
        <v>0.158215</v>
      </c>
      <c r="F951" s="1" t="n">
        <v>0.000454764</v>
      </c>
      <c r="G951" s="1" t="s">
        <v>27</v>
      </c>
      <c r="H951" s="1" t="n">
        <v>64</v>
      </c>
      <c r="I951" s="1" t="n">
        <v>327.1</v>
      </c>
      <c r="J951" s="1" t="n">
        <v>-24.9</v>
      </c>
      <c r="K951" s="1"/>
      <c r="L951" s="1" t="n">
        <v>0</v>
      </c>
      <c r="M951" s="1" t="n">
        <v>0</v>
      </c>
      <c r="N951" s="1" t="s">
        <v>544</v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Z951" s="0" t="n">
        <f aca="false">I951+65</f>
        <v>392.1</v>
      </c>
      <c r="AB951" s="0" t="n">
        <f aca="false">IF(Z951&gt;360,Z951-360,Z951+0)</f>
        <v>32.1</v>
      </c>
    </row>
    <row r="952" customFormat="false" ht="15.8" hidden="false" customHeight="false" outlineLevel="0" collapsed="false">
      <c r="A952" s="1" t="n">
        <v>19</v>
      </c>
      <c r="B952" s="1" t="n">
        <v>16</v>
      </c>
      <c r="C952" s="1" t="n">
        <v>2.4</v>
      </c>
      <c r="D952" s="1" t="n">
        <v>1.202</v>
      </c>
      <c r="E952" s="1" t="n">
        <v>0.0866859</v>
      </c>
      <c r="F952" s="1" t="n">
        <v>0.000249164</v>
      </c>
      <c r="G952" s="1" t="s">
        <v>37</v>
      </c>
      <c r="H952" s="1" t="n">
        <v>103.3</v>
      </c>
      <c r="I952" s="1" t="n">
        <v>252.2</v>
      </c>
      <c r="J952" s="1" t="n">
        <v>-35.9</v>
      </c>
      <c r="K952" s="1" t="n">
        <v>67.9</v>
      </c>
      <c r="L952" s="1" t="n">
        <v>0</v>
      </c>
      <c r="M952" s="1" t="n">
        <v>0</v>
      </c>
      <c r="N952" s="1" t="s">
        <v>545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Z952" s="0" t="n">
        <f aca="false">I952+65</f>
        <v>317.2</v>
      </c>
      <c r="AB952" s="0" t="n">
        <f aca="false">IF(Z952&gt;360,Z952-360,Z952+0)</f>
        <v>317.2</v>
      </c>
    </row>
    <row r="953" customFormat="false" ht="15.8" hidden="false" customHeight="false" outlineLevel="0" collapsed="false">
      <c r="A953" s="1" t="n">
        <v>19</v>
      </c>
      <c r="B953" s="1" t="n">
        <v>16</v>
      </c>
      <c r="C953" s="1" t="n">
        <v>4.9</v>
      </c>
      <c r="D953" s="1" t="n">
        <v>1.2394</v>
      </c>
      <c r="E953" s="1" t="n">
        <v>0.175995</v>
      </c>
      <c r="F953" s="1" t="n">
        <v>0.000505869</v>
      </c>
      <c r="G953" s="1" t="s">
        <v>27</v>
      </c>
      <c r="H953" s="1" t="n">
        <v>34.5</v>
      </c>
      <c r="I953" s="1" t="n">
        <v>29.2</v>
      </c>
      <c r="J953" s="1" t="n">
        <v>5.7</v>
      </c>
      <c r="K953" s="1"/>
      <c r="L953" s="1" t="n">
        <v>0</v>
      </c>
      <c r="M953" s="1" t="n">
        <v>0</v>
      </c>
      <c r="N953" s="1" t="s">
        <v>545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Z953" s="0" t="n">
        <f aca="false">I953+65</f>
        <v>94.2</v>
      </c>
      <c r="AB953" s="0" t="n">
        <f aca="false">IF(Z953&gt;360,Z953-360,Z953+0)</f>
        <v>94.2</v>
      </c>
    </row>
    <row r="954" customFormat="false" ht="15.8" hidden="false" customHeight="false" outlineLevel="0" collapsed="false">
      <c r="A954" s="1" t="n">
        <v>19</v>
      </c>
      <c r="B954" s="1" t="n">
        <v>15</v>
      </c>
      <c r="C954" s="1" t="n">
        <v>7.1</v>
      </c>
      <c r="D954" s="1" t="n">
        <v>1.4572</v>
      </c>
      <c r="E954" s="1" t="n">
        <v>0.255331</v>
      </c>
      <c r="F954" s="1" t="n">
        <v>0.000733907</v>
      </c>
      <c r="G954" s="1" t="s">
        <v>37</v>
      </c>
      <c r="H954" s="1" t="n">
        <v>20.1</v>
      </c>
      <c r="I954" s="1" t="n">
        <v>28.4</v>
      </c>
      <c r="J954" s="1" t="n">
        <v>-28.8</v>
      </c>
      <c r="K954" s="1" t="n">
        <v>103.3</v>
      </c>
      <c r="L954" s="1" t="n">
        <v>0</v>
      </c>
      <c r="M954" s="1" t="n">
        <v>0</v>
      </c>
      <c r="N954" s="1" t="s">
        <v>543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Z954" s="0" t="n">
        <f aca="false">I954+65</f>
        <v>93.4</v>
      </c>
      <c r="AB954" s="0" t="n">
        <f aca="false">IF(Z954&gt;360,Z954-360,Z954+0)</f>
        <v>93.4</v>
      </c>
    </row>
    <row r="955" customFormat="false" ht="15.8" hidden="false" customHeight="false" outlineLevel="0" collapsed="false">
      <c r="A955" s="1" t="n">
        <v>19</v>
      </c>
      <c r="B955" s="1" t="n">
        <v>14</v>
      </c>
      <c r="C955" s="1" t="n">
        <v>2</v>
      </c>
      <c r="D955" s="1" t="n">
        <v>1.1356</v>
      </c>
      <c r="E955" s="1" t="n">
        <v>0.0712953</v>
      </c>
      <c r="F955" s="1" t="n">
        <v>0.000204926</v>
      </c>
      <c r="G955" s="1" t="s">
        <v>37</v>
      </c>
      <c r="H955" s="1" t="n">
        <v>40.3</v>
      </c>
      <c r="I955" s="1" t="n">
        <v>41.7</v>
      </c>
      <c r="J955" s="1" t="n">
        <v>-13</v>
      </c>
      <c r="K955" s="1" t="n">
        <v>118.7</v>
      </c>
      <c r="L955" s="1" t="n">
        <v>0</v>
      </c>
      <c r="M955" s="1" t="n">
        <v>0</v>
      </c>
      <c r="N955" s="1" t="s">
        <v>542</v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Z955" s="0" t="n">
        <f aca="false">I955+65</f>
        <v>106.7</v>
      </c>
      <c r="AB955" s="0" t="n">
        <f aca="false">IF(Z955&gt;360,Z955-360,Z955+0)</f>
        <v>106.7</v>
      </c>
    </row>
    <row r="956" customFormat="false" ht="15.8" hidden="false" customHeight="false" outlineLevel="0" collapsed="false">
      <c r="A956" s="1" t="n">
        <v>19</v>
      </c>
      <c r="B956" s="1" t="n">
        <v>13</v>
      </c>
      <c r="C956" s="1" t="n">
        <v>1.7</v>
      </c>
      <c r="D956" s="1" t="n">
        <v>1.0107</v>
      </c>
      <c r="E956" s="1" t="n">
        <v>0.0617581</v>
      </c>
      <c r="F956" s="1" t="n">
        <v>0.000177513</v>
      </c>
      <c r="G956" s="1" t="s">
        <v>37</v>
      </c>
      <c r="H956" s="1" t="n">
        <v>102.1</v>
      </c>
      <c r="I956" s="1" t="n">
        <v>80.2</v>
      </c>
      <c r="J956" s="1" t="n">
        <v>0</v>
      </c>
      <c r="K956" s="1" t="n">
        <v>40.3</v>
      </c>
      <c r="L956" s="1" t="n">
        <v>0</v>
      </c>
      <c r="M956" s="1" t="n">
        <v>0</v>
      </c>
      <c r="N956" s="1" t="s">
        <v>546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Z956" s="0" t="n">
        <f aca="false">I956+65</f>
        <v>145.2</v>
      </c>
      <c r="AB956" s="0" t="n">
        <f aca="false">IF(Z956&gt;360,Z956-360,Z956+0)</f>
        <v>145.2</v>
      </c>
    </row>
    <row r="957" customFormat="false" ht="15.8" hidden="false" customHeight="false" outlineLevel="0" collapsed="false">
      <c r="A957" s="1" t="n">
        <v>19</v>
      </c>
      <c r="B957" s="1" t="n">
        <v>15</v>
      </c>
      <c r="C957" s="1" t="n">
        <v>1.2</v>
      </c>
      <c r="D957" s="1" t="n">
        <v>1.147</v>
      </c>
      <c r="E957" s="1" t="n">
        <v>0.0416963</v>
      </c>
      <c r="F957" s="1" t="n">
        <v>0.000119849</v>
      </c>
      <c r="G957" s="1" t="s">
        <v>27</v>
      </c>
      <c r="H957" s="1" t="n">
        <v>75.7</v>
      </c>
      <c r="I957" s="1" t="n">
        <v>319.4</v>
      </c>
      <c r="J957" s="1" t="n">
        <v>-50.8</v>
      </c>
      <c r="K957" s="1"/>
      <c r="L957" s="1" t="n">
        <v>0</v>
      </c>
      <c r="M957" s="1" t="n">
        <v>0</v>
      </c>
      <c r="N957" s="1" t="s">
        <v>547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Z957" s="0" t="n">
        <f aca="false">I957+65</f>
        <v>384.4</v>
      </c>
      <c r="AB957" s="0" t="n">
        <f aca="false">IF(Z957&gt;360,Z957-360,Z957+0)</f>
        <v>24.4</v>
      </c>
    </row>
    <row r="958" customFormat="false" ht="15.8" hidden="false" customHeight="false" outlineLevel="0" collapsed="false">
      <c r="A958" s="1" t="n">
        <v>19</v>
      </c>
      <c r="B958" s="1" t="n">
        <v>16</v>
      </c>
      <c r="C958" s="1" t="n">
        <v>1.4</v>
      </c>
      <c r="D958" s="1" t="n">
        <v>1.0014</v>
      </c>
      <c r="E958" s="1" t="n">
        <v>0.0513921</v>
      </c>
      <c r="F958" s="1" t="n">
        <v>0.000147718</v>
      </c>
      <c r="G958" s="1" t="s">
        <v>27</v>
      </c>
      <c r="H958" s="1" t="n">
        <v>127</v>
      </c>
      <c r="I958" s="1" t="n">
        <v>95.6</v>
      </c>
      <c r="J958" s="1" t="n">
        <v>0</v>
      </c>
      <c r="K958" s="1"/>
      <c r="L958" s="1" t="n">
        <v>0</v>
      </c>
      <c r="M958" s="1" t="n">
        <v>0</v>
      </c>
      <c r="N958" s="1" t="s">
        <v>548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Z958" s="0" t="n">
        <f aca="false">I958+65</f>
        <v>160.6</v>
      </c>
      <c r="AB958" s="0" t="n">
        <f aca="false">IF(Z958&gt;360,Z958-360,Z958+0)</f>
        <v>160.6</v>
      </c>
    </row>
    <row r="959" customFormat="false" ht="15.8" hidden="false" customHeight="false" outlineLevel="0" collapsed="false">
      <c r="A959" s="1" t="n">
        <v>19</v>
      </c>
      <c r="B959" s="1" t="n">
        <v>16</v>
      </c>
      <c r="C959" s="1" t="n">
        <v>1.8</v>
      </c>
      <c r="D959" s="1" t="n">
        <v>1.2761</v>
      </c>
      <c r="E959" s="1" t="n">
        <v>0.0643266</v>
      </c>
      <c r="F959" s="1" t="n">
        <v>0.000184896</v>
      </c>
      <c r="G959" s="1" t="s">
        <v>27</v>
      </c>
      <c r="H959" s="1" t="n">
        <v>56.3</v>
      </c>
      <c r="I959" s="1" t="n">
        <v>170.6</v>
      </c>
      <c r="J959" s="1" t="n">
        <v>16.2</v>
      </c>
      <c r="K959" s="1"/>
      <c r="L959" s="1" t="n">
        <v>0</v>
      </c>
      <c r="M959" s="1" t="n">
        <v>0</v>
      </c>
      <c r="N959" s="1" t="s">
        <v>548</v>
      </c>
      <c r="O959" s="1"/>
      <c r="P959" s="1"/>
      <c r="Q959" s="1"/>
      <c r="R959" s="1"/>
      <c r="S959" s="1"/>
      <c r="T959" s="1"/>
      <c r="U959" s="1"/>
      <c r="V959" s="1"/>
      <c r="W959" s="1"/>
      <c r="X959" s="1"/>
      <c r="Z959" s="0" t="n">
        <f aca="false">I959+65</f>
        <v>235.6</v>
      </c>
      <c r="AB959" s="0" t="n">
        <f aca="false">IF(Z959&gt;360,Z959-360,Z959+0)</f>
        <v>235.6</v>
      </c>
    </row>
    <row r="960" customFormat="false" ht="15.8" hidden="false" customHeight="false" outlineLevel="0" collapsed="false">
      <c r="A960" s="1" t="n">
        <v>19</v>
      </c>
      <c r="B960" s="1" t="n">
        <v>15</v>
      </c>
      <c r="C960" s="1" t="n">
        <v>4.9</v>
      </c>
      <c r="D960" s="1" t="n">
        <v>1.3348</v>
      </c>
      <c r="E960" s="1" t="n">
        <v>0.177121</v>
      </c>
      <c r="F960" s="1" t="n">
        <v>0.000509104</v>
      </c>
      <c r="G960" s="1" t="s">
        <v>37</v>
      </c>
      <c r="H960" s="1" t="n">
        <v>30.1</v>
      </c>
      <c r="I960" s="1" t="n">
        <v>222.8</v>
      </c>
      <c r="J960" s="1" t="n">
        <v>-6.1</v>
      </c>
      <c r="K960" s="1" t="n">
        <v>127</v>
      </c>
      <c r="L960" s="1" t="n">
        <v>0</v>
      </c>
      <c r="M960" s="1" t="n">
        <v>0</v>
      </c>
      <c r="N960" s="1" t="s">
        <v>547</v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Z960" s="0" t="n">
        <f aca="false">I960+65</f>
        <v>287.8</v>
      </c>
      <c r="AB960" s="0" t="n">
        <f aca="false">IF(Z960&gt;360,Z960-360,Z960+0)</f>
        <v>287.8</v>
      </c>
    </row>
    <row r="961" customFormat="false" ht="15.8" hidden="false" customHeight="false" outlineLevel="0" collapsed="false">
      <c r="A961" s="1" t="n">
        <v>19</v>
      </c>
      <c r="B961" s="1" t="n">
        <v>14</v>
      </c>
      <c r="C961" s="1" t="n">
        <v>4.3</v>
      </c>
      <c r="D961" s="1" t="n">
        <v>1.3016</v>
      </c>
      <c r="E961" s="1" t="n">
        <v>0.153689</v>
      </c>
      <c r="F961" s="1" t="n">
        <v>0.000441753</v>
      </c>
      <c r="G961" s="1" t="s">
        <v>37</v>
      </c>
      <c r="H961" s="1" t="n">
        <v>38.5</v>
      </c>
      <c r="I961" s="1" t="n">
        <v>252.4</v>
      </c>
      <c r="J961" s="1" t="n">
        <v>0</v>
      </c>
      <c r="K961" s="1" t="n">
        <v>75.7</v>
      </c>
      <c r="L961" s="1" t="n">
        <v>0</v>
      </c>
      <c r="M961" s="1" t="n">
        <v>0</v>
      </c>
      <c r="N961" s="1" t="s">
        <v>549</v>
      </c>
      <c r="O961" s="1"/>
      <c r="P961" s="1"/>
      <c r="Q961" s="1"/>
      <c r="R961" s="1"/>
      <c r="S961" s="1"/>
      <c r="T961" s="1"/>
      <c r="U961" s="1"/>
      <c r="V961" s="1"/>
      <c r="W961" s="1"/>
      <c r="X961" s="1"/>
      <c r="Z961" s="0" t="n">
        <f aca="false">I961+65</f>
        <v>317.4</v>
      </c>
      <c r="AB961" s="0" t="n">
        <f aca="false">IF(Z961&gt;360,Z961-360,Z961+0)</f>
        <v>317.4</v>
      </c>
    </row>
    <row r="962" customFormat="false" ht="15.8" hidden="false" customHeight="false" outlineLevel="0" collapsed="false">
      <c r="A962" s="1" t="n">
        <v>19</v>
      </c>
      <c r="B962" s="1" t="n">
        <v>16</v>
      </c>
      <c r="C962" s="1" t="n">
        <v>0.9</v>
      </c>
      <c r="D962" s="1" t="n">
        <v>1.0121</v>
      </c>
      <c r="E962" s="1" t="n">
        <v>0.0311868</v>
      </c>
      <c r="F962" s="1" t="n">
        <v>8.96413E-005</v>
      </c>
      <c r="G962" s="1" t="s">
        <v>27</v>
      </c>
      <c r="H962" s="1" t="n">
        <v>87.4</v>
      </c>
      <c r="I962" s="1" t="n">
        <v>232.7</v>
      </c>
      <c r="J962" s="1" t="n">
        <v>0</v>
      </c>
      <c r="K962" s="1"/>
      <c r="L962" s="1" t="n">
        <v>0</v>
      </c>
      <c r="M962" s="1" t="n">
        <v>0</v>
      </c>
      <c r="N962" s="1" t="s">
        <v>550</v>
      </c>
      <c r="O962" s="1"/>
      <c r="P962" s="1"/>
      <c r="Q962" s="1"/>
      <c r="R962" s="1"/>
      <c r="S962" s="1"/>
      <c r="T962" s="1"/>
      <c r="U962" s="1"/>
      <c r="V962" s="1"/>
      <c r="W962" s="1"/>
      <c r="X962" s="1"/>
      <c r="Z962" s="0" t="n">
        <f aca="false">I962+65</f>
        <v>297.7</v>
      </c>
      <c r="AB962" s="0" t="n">
        <f aca="false">IF(Z962&gt;360,Z962-360,Z962+0)</f>
        <v>297.7</v>
      </c>
    </row>
    <row r="963" customFormat="false" ht="15.8" hidden="false" customHeight="false" outlineLevel="0" collapsed="false">
      <c r="A963" s="1" t="n">
        <v>19</v>
      </c>
      <c r="B963" s="1" t="n">
        <v>17</v>
      </c>
      <c r="C963" s="1" t="n">
        <v>0.9</v>
      </c>
      <c r="D963" s="1" t="n">
        <v>1.0504</v>
      </c>
      <c r="E963" s="1" t="n">
        <v>0.0336898</v>
      </c>
      <c r="F963" s="1" t="n">
        <v>9.68357E-005</v>
      </c>
      <c r="G963" s="1" t="s">
        <v>27</v>
      </c>
      <c r="H963" s="1" t="n">
        <v>58.1</v>
      </c>
      <c r="I963" s="1" t="n">
        <v>355.5</v>
      </c>
      <c r="J963" s="1" t="n">
        <v>0</v>
      </c>
      <c r="K963" s="1"/>
      <c r="L963" s="1" t="n">
        <v>0</v>
      </c>
      <c r="M963" s="1" t="n">
        <v>0</v>
      </c>
      <c r="N963" s="1" t="s">
        <v>551</v>
      </c>
      <c r="O963" s="1"/>
      <c r="P963" s="1"/>
      <c r="Q963" s="1"/>
      <c r="R963" s="1"/>
      <c r="S963" s="1"/>
      <c r="T963" s="1"/>
      <c r="U963" s="1"/>
      <c r="V963" s="1"/>
      <c r="W963" s="1"/>
      <c r="X963" s="1"/>
      <c r="Z963" s="0" t="n">
        <f aca="false">I963+65</f>
        <v>420.5</v>
      </c>
      <c r="AB963" s="0" t="n">
        <f aca="false">IF(Z963&gt;360,Z963-360,Z963+0)</f>
        <v>60.5</v>
      </c>
    </row>
    <row r="964" customFormat="false" ht="15.8" hidden="false" customHeight="false" outlineLevel="0" collapsed="false">
      <c r="A964" s="1" t="n">
        <v>19</v>
      </c>
      <c r="B964" s="1" t="n">
        <v>17</v>
      </c>
      <c r="C964" s="1" t="n">
        <v>1.7</v>
      </c>
      <c r="D964" s="1" t="n">
        <v>1.1646</v>
      </c>
      <c r="E964" s="1" t="n">
        <v>0.0600202</v>
      </c>
      <c r="F964" s="1" t="n">
        <v>0.000172518</v>
      </c>
      <c r="G964" s="1" t="s">
        <v>27</v>
      </c>
      <c r="H964" s="1" t="n">
        <v>107.7</v>
      </c>
      <c r="I964" s="1" t="n">
        <v>254.5</v>
      </c>
      <c r="J964" s="1" t="n">
        <v>15.9</v>
      </c>
      <c r="K964" s="1"/>
      <c r="L964" s="1" t="n">
        <v>0</v>
      </c>
      <c r="M964" s="1" t="n">
        <v>0</v>
      </c>
      <c r="N964" s="1" t="s">
        <v>551</v>
      </c>
      <c r="O964" s="1"/>
      <c r="P964" s="1"/>
      <c r="Q964" s="1"/>
      <c r="R964" s="1"/>
      <c r="S964" s="1"/>
      <c r="T964" s="1"/>
      <c r="U964" s="1"/>
      <c r="V964" s="1"/>
      <c r="W964" s="1"/>
      <c r="X964" s="1"/>
      <c r="Z964" s="0" t="n">
        <f aca="false">I964+65</f>
        <v>319.5</v>
      </c>
      <c r="AB964" s="0" t="n">
        <f aca="false">IF(Z964&gt;360,Z964-360,Z964+0)</f>
        <v>319.5</v>
      </c>
    </row>
    <row r="965" customFormat="false" ht="15.8" hidden="false" customHeight="false" outlineLevel="0" collapsed="false">
      <c r="A965" s="1" t="n">
        <v>19</v>
      </c>
      <c r="B965" s="1" t="n">
        <v>16</v>
      </c>
      <c r="C965" s="1" t="n">
        <v>0.7</v>
      </c>
      <c r="D965" s="1" t="n">
        <v>1.2304</v>
      </c>
      <c r="E965" s="1" t="n">
        <v>0.0236967</v>
      </c>
      <c r="F965" s="1" t="n">
        <v>6.81121E-005</v>
      </c>
      <c r="G965" s="1" t="s">
        <v>37</v>
      </c>
      <c r="H965" s="1" t="n">
        <v>59.3</v>
      </c>
      <c r="I965" s="1" t="n">
        <v>34.7</v>
      </c>
      <c r="J965" s="1" t="n">
        <v>47</v>
      </c>
      <c r="K965" s="1" t="n">
        <v>107.7</v>
      </c>
      <c r="L965" s="1" t="n">
        <v>0</v>
      </c>
      <c r="M965" s="1" t="n">
        <v>0</v>
      </c>
      <c r="N965" s="1" t="s">
        <v>550</v>
      </c>
      <c r="O965" s="1"/>
      <c r="P965" s="1"/>
      <c r="Q965" s="1"/>
      <c r="R965" s="1"/>
      <c r="S965" s="1"/>
      <c r="T965" s="1"/>
      <c r="U965" s="1"/>
      <c r="V965" s="1"/>
      <c r="W965" s="1"/>
      <c r="X965" s="1"/>
      <c r="Z965" s="0" t="n">
        <f aca="false">I965+65</f>
        <v>99.7</v>
      </c>
      <c r="AB965" s="0" t="n">
        <f aca="false">IF(Z965&gt;360,Z965-360,Z965+0)</f>
        <v>99.7</v>
      </c>
    </row>
    <row r="966" customFormat="false" ht="15.8" hidden="false" customHeight="false" outlineLevel="0" collapsed="false">
      <c r="A966" s="1" t="n">
        <v>19</v>
      </c>
      <c r="B966" s="1" t="n">
        <v>15</v>
      </c>
      <c r="C966" s="1" t="n">
        <v>3.1</v>
      </c>
      <c r="D966" s="1" t="n">
        <v>1.2975</v>
      </c>
      <c r="E966" s="1" t="n">
        <v>0.112509</v>
      </c>
      <c r="F966" s="1" t="n">
        <v>0.000323387</v>
      </c>
      <c r="G966" s="1" t="s">
        <v>37</v>
      </c>
      <c r="H966" s="1" t="n">
        <v>69.3</v>
      </c>
      <c r="I966" s="1" t="n">
        <v>319.7</v>
      </c>
      <c r="J966" s="1" t="n">
        <v>29.2</v>
      </c>
      <c r="K966" s="1" t="n">
        <v>87.4</v>
      </c>
      <c r="L966" s="1" t="n">
        <v>0</v>
      </c>
      <c r="M966" s="1" t="n">
        <v>0</v>
      </c>
      <c r="N966" s="1" t="s">
        <v>552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Z966" s="0" t="n">
        <f aca="false">I966+65</f>
        <v>384.7</v>
      </c>
      <c r="AB966" s="0" t="n">
        <f aca="false">IF(Z966&gt;360,Z966-360,Z966+0)</f>
        <v>24.7</v>
      </c>
    </row>
    <row r="967" customFormat="false" ht="15.8" hidden="false" customHeight="false" outlineLevel="0" collapsed="false">
      <c r="A967" s="1" t="n">
        <v>19</v>
      </c>
      <c r="B967" s="1" t="n">
        <v>17</v>
      </c>
      <c r="C967" s="1" t="n">
        <v>2.8</v>
      </c>
      <c r="D967" s="1" t="n">
        <v>1.2032</v>
      </c>
      <c r="E967" s="1" t="n">
        <v>0.100842</v>
      </c>
      <c r="F967" s="1" t="n">
        <v>0.000289852</v>
      </c>
      <c r="G967" s="1" t="s">
        <v>27</v>
      </c>
      <c r="H967" s="1" t="n">
        <v>25.9</v>
      </c>
      <c r="I967" s="1" t="n">
        <v>324.6</v>
      </c>
      <c r="J967" s="1" t="n">
        <v>-19.6</v>
      </c>
      <c r="K967" s="1"/>
      <c r="L967" s="1" t="n">
        <v>0</v>
      </c>
      <c r="M967" s="1" t="n">
        <v>0</v>
      </c>
      <c r="N967" s="1" t="s">
        <v>553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Z967" s="0" t="n">
        <f aca="false">I967+65</f>
        <v>389.6</v>
      </c>
      <c r="AB967" s="0" t="n">
        <f aca="false">IF(Z967&gt;360,Z967-360,Z967+0)</f>
        <v>29.6</v>
      </c>
    </row>
    <row r="968" customFormat="false" ht="15.8" hidden="false" customHeight="false" outlineLevel="0" collapsed="false">
      <c r="A968" s="1" t="n">
        <v>19</v>
      </c>
      <c r="B968" s="1" t="n">
        <v>17</v>
      </c>
      <c r="C968" s="1" t="n">
        <v>1.4</v>
      </c>
      <c r="D968" s="1" t="n">
        <v>1.2705</v>
      </c>
      <c r="E968" s="1" t="n">
        <v>0.0491872</v>
      </c>
      <c r="F968" s="1" t="n">
        <v>0.000141381</v>
      </c>
      <c r="G968" s="1" t="s">
        <v>27</v>
      </c>
      <c r="H968" s="1" t="n">
        <v>87.9</v>
      </c>
      <c r="I968" s="1" t="n">
        <v>35.2</v>
      </c>
      <c r="J968" s="1" t="n">
        <v>-21.3</v>
      </c>
      <c r="K968" s="1"/>
      <c r="L968" s="1" t="n">
        <v>0</v>
      </c>
      <c r="M968" s="1" t="n">
        <v>0</v>
      </c>
      <c r="N968" s="1" t="s">
        <v>553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Z968" s="0" t="n">
        <f aca="false">I968+65</f>
        <v>100.2</v>
      </c>
      <c r="AB968" s="0" t="n">
        <f aca="false">IF(Z968&gt;360,Z968-360,Z968+0)</f>
        <v>100.2</v>
      </c>
    </row>
    <row r="969" customFormat="false" ht="15.8" hidden="false" customHeight="false" outlineLevel="0" collapsed="false">
      <c r="A969" s="1" t="n">
        <v>19</v>
      </c>
      <c r="B969" s="1" t="n">
        <v>16</v>
      </c>
      <c r="C969" s="1" t="n">
        <v>0.7</v>
      </c>
      <c r="D969" s="1" t="n">
        <v>1.01</v>
      </c>
      <c r="E969" s="1" t="n">
        <v>0.0269301</v>
      </c>
      <c r="F969" s="1" t="n">
        <v>7.74061E-005</v>
      </c>
      <c r="G969" s="1" t="s">
        <v>37</v>
      </c>
      <c r="H969" s="1" t="n">
        <v>97.5</v>
      </c>
      <c r="I969" s="1" t="n">
        <v>307.4</v>
      </c>
      <c r="J969" s="1" t="n">
        <v>0</v>
      </c>
      <c r="K969" s="1" t="n">
        <v>87.9</v>
      </c>
      <c r="L969" s="1" t="n">
        <v>0</v>
      </c>
      <c r="M969" s="1" t="n">
        <v>0</v>
      </c>
      <c r="N969" s="1" t="s">
        <v>554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Z969" s="0" t="n">
        <f aca="false">I969+65</f>
        <v>372.4</v>
      </c>
      <c r="AB969" s="0" t="n">
        <f aca="false">IF(Z969&gt;360,Z969-360,Z969+0)</f>
        <v>12.4</v>
      </c>
    </row>
    <row r="970" customFormat="false" ht="15.8" hidden="false" customHeight="false" outlineLevel="0" collapsed="false">
      <c r="A970" s="1" t="n">
        <v>19</v>
      </c>
      <c r="B970" s="1" t="n">
        <v>18</v>
      </c>
      <c r="C970" s="1" t="n">
        <v>1.6</v>
      </c>
      <c r="D970" s="1" t="n">
        <v>1.0141</v>
      </c>
      <c r="E970" s="1" t="n">
        <v>0.0560961</v>
      </c>
      <c r="F970" s="1" t="n">
        <v>0.000161239</v>
      </c>
      <c r="G970" s="1" t="s">
        <v>27</v>
      </c>
      <c r="H970" s="1" t="n">
        <v>34.2</v>
      </c>
      <c r="I970" s="1" t="n">
        <v>20.2</v>
      </c>
      <c r="J970" s="1" t="n">
        <v>0</v>
      </c>
      <c r="K970" s="1"/>
      <c r="L970" s="1" t="n">
        <v>0</v>
      </c>
      <c r="M970" s="1" t="n">
        <v>0</v>
      </c>
      <c r="N970" s="1" t="s">
        <v>555</v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Z970" s="0" t="n">
        <f aca="false">I970+65</f>
        <v>85.2</v>
      </c>
      <c r="AB970" s="0" t="n">
        <f aca="false">IF(Z970&gt;360,Z970-360,Z970+0)</f>
        <v>85.2</v>
      </c>
    </row>
    <row r="971" customFormat="false" ht="15.8" hidden="false" customHeight="false" outlineLevel="0" collapsed="false">
      <c r="A971" s="1" t="n">
        <v>19</v>
      </c>
      <c r="B971" s="1" t="n">
        <v>18</v>
      </c>
      <c r="C971" s="1" t="n">
        <v>2.4</v>
      </c>
      <c r="D971" s="1" t="n">
        <v>1.3027</v>
      </c>
      <c r="E971" s="1" t="n">
        <v>0.086977</v>
      </c>
      <c r="F971" s="1" t="n">
        <v>0.000250001</v>
      </c>
      <c r="G971" s="1" t="s">
        <v>27</v>
      </c>
      <c r="H971" s="1" t="n">
        <v>44.9</v>
      </c>
      <c r="I971" s="1" t="n">
        <v>308.8</v>
      </c>
      <c r="J971" s="1" t="n">
        <v>-39.3</v>
      </c>
      <c r="K971" s="1"/>
      <c r="L971" s="1" t="n">
        <v>0</v>
      </c>
      <c r="M971" s="1" t="n">
        <v>0</v>
      </c>
      <c r="N971" s="1" t="s">
        <v>555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Z971" s="0" t="n">
        <f aca="false">I971+65</f>
        <v>373.8</v>
      </c>
      <c r="AB971" s="0" t="n">
        <f aca="false">IF(Z971&gt;360,Z971-360,Z971+0)</f>
        <v>13.8</v>
      </c>
    </row>
    <row r="972" customFormat="false" ht="15.8" hidden="false" customHeight="false" outlineLevel="0" collapsed="false">
      <c r="A972" s="1" t="n">
        <v>19</v>
      </c>
      <c r="B972" s="1" t="n">
        <v>17</v>
      </c>
      <c r="C972" s="1" t="n">
        <v>3</v>
      </c>
      <c r="D972" s="1" t="n">
        <v>1.3718</v>
      </c>
      <c r="E972" s="1" t="n">
        <v>0.108575</v>
      </c>
      <c r="F972" s="1" t="n">
        <v>0.000312081</v>
      </c>
      <c r="G972" s="1" t="s">
        <v>37</v>
      </c>
      <c r="H972" s="1" t="n">
        <v>74</v>
      </c>
      <c r="I972" s="1" t="n">
        <v>347.4</v>
      </c>
      <c r="J972" s="1" t="n">
        <v>-10.3</v>
      </c>
      <c r="K972" s="1" t="n">
        <v>44.9</v>
      </c>
      <c r="L972" s="1" t="n">
        <v>0</v>
      </c>
      <c r="M972" s="1" t="n">
        <v>0</v>
      </c>
      <c r="N972" s="1" t="s">
        <v>556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Z972" s="0" t="n">
        <f aca="false">I972+65</f>
        <v>412.4</v>
      </c>
      <c r="AB972" s="0" t="n">
        <f aca="false">IF(Z972&gt;360,Z972-360,Z972+0)</f>
        <v>52.4</v>
      </c>
    </row>
    <row r="973" customFormat="false" ht="15.8" hidden="false" customHeight="false" outlineLevel="0" collapsed="false">
      <c r="A973" s="1" t="n">
        <v>19</v>
      </c>
      <c r="B973" s="1" t="n">
        <v>18</v>
      </c>
      <c r="C973" s="1" t="n">
        <v>1.3</v>
      </c>
      <c r="D973" s="1" t="n">
        <v>1.1528</v>
      </c>
      <c r="E973" s="1" t="n">
        <v>0.0462804</v>
      </c>
      <c r="F973" s="1" t="n">
        <v>0.000133025</v>
      </c>
      <c r="G973" s="1" t="s">
        <v>27</v>
      </c>
      <c r="H973" s="1" t="n">
        <v>45.1</v>
      </c>
      <c r="I973" s="1" t="n">
        <v>44.1</v>
      </c>
      <c r="J973" s="1" t="n">
        <v>-20.5</v>
      </c>
      <c r="K973" s="1"/>
      <c r="L973" s="1" t="n">
        <v>0</v>
      </c>
      <c r="M973" s="1" t="n">
        <v>0</v>
      </c>
      <c r="N973" s="1" t="s">
        <v>557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Z973" s="0" t="n">
        <f aca="false">I973+65</f>
        <v>109.1</v>
      </c>
      <c r="AB973" s="0" t="n">
        <f aca="false">IF(Z973&gt;360,Z973-360,Z973+0)</f>
        <v>109.1</v>
      </c>
    </row>
    <row r="974" customFormat="false" ht="15.8" hidden="false" customHeight="false" outlineLevel="0" collapsed="false">
      <c r="A974" s="1" t="n">
        <v>19</v>
      </c>
      <c r="B974" s="1" t="n">
        <v>18</v>
      </c>
      <c r="C974" s="1" t="n">
        <v>2.9</v>
      </c>
      <c r="D974" s="1" t="n">
        <v>1.2157</v>
      </c>
      <c r="E974" s="1" t="n">
        <v>0.105795</v>
      </c>
      <c r="F974" s="1" t="n">
        <v>0.00030409</v>
      </c>
      <c r="G974" s="1" t="s">
        <v>27</v>
      </c>
      <c r="H974" s="1" t="n">
        <v>62.1</v>
      </c>
      <c r="I974" s="1" t="n">
        <v>351.3</v>
      </c>
      <c r="J974" s="1" t="n">
        <v>29.1</v>
      </c>
      <c r="K974" s="1"/>
      <c r="L974" s="1" t="n">
        <v>0</v>
      </c>
      <c r="M974" s="1" t="n">
        <v>0</v>
      </c>
      <c r="N974" s="1" t="s">
        <v>557</v>
      </c>
      <c r="O974" s="1"/>
      <c r="P974" s="1"/>
      <c r="Q974" s="1"/>
      <c r="R974" s="1"/>
      <c r="S974" s="1"/>
      <c r="T974" s="1"/>
      <c r="U974" s="1"/>
      <c r="V974" s="1"/>
      <c r="W974" s="1"/>
      <c r="X974" s="1"/>
      <c r="Z974" s="0" t="n">
        <f aca="false">I974+65</f>
        <v>416.3</v>
      </c>
      <c r="AB974" s="0" t="n">
        <f aca="false">IF(Z974&gt;360,Z974-360,Z974+0)</f>
        <v>56.3</v>
      </c>
    </row>
    <row r="975" customFormat="false" ht="15.8" hidden="false" customHeight="false" outlineLevel="0" collapsed="false">
      <c r="A975" s="1" t="n">
        <v>19</v>
      </c>
      <c r="B975" s="1" t="n">
        <v>17</v>
      </c>
      <c r="C975" s="1" t="n">
        <v>10</v>
      </c>
      <c r="D975" s="1" t="n">
        <v>1.3512</v>
      </c>
      <c r="E975" s="1" t="n">
        <v>0.361339</v>
      </c>
      <c r="F975" s="1" t="n">
        <v>0.00103861</v>
      </c>
      <c r="G975" s="1" t="s">
        <v>37</v>
      </c>
      <c r="H975" s="1" t="n">
        <v>14.5</v>
      </c>
      <c r="I975" s="1" t="n">
        <v>60.5</v>
      </c>
      <c r="J975" s="1" t="n">
        <v>21.6</v>
      </c>
      <c r="K975" s="1" t="n">
        <v>62.1</v>
      </c>
      <c r="L975" s="1" t="n">
        <v>0</v>
      </c>
      <c r="M975" s="1" t="n">
        <v>0</v>
      </c>
      <c r="N975" s="1" t="s">
        <v>556</v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Z975" s="0" t="n">
        <f aca="false">I975+65</f>
        <v>125.5</v>
      </c>
      <c r="AB975" s="0" t="n">
        <f aca="false">IF(Z975&gt;360,Z975-360,Z975+0)</f>
        <v>125.5</v>
      </c>
    </row>
    <row r="976" customFormat="false" ht="15.8" hidden="false" customHeight="false" outlineLevel="0" collapsed="false">
      <c r="A976" s="1" t="n">
        <v>19</v>
      </c>
      <c r="B976" s="1" t="n">
        <v>16</v>
      </c>
      <c r="C976" s="1" t="n">
        <v>0.8</v>
      </c>
      <c r="D976" s="1" t="n">
        <v>1.1577</v>
      </c>
      <c r="E976" s="1" t="n">
        <v>0.0297928</v>
      </c>
      <c r="F976" s="1" t="n">
        <v>8.56344E-005</v>
      </c>
      <c r="G976" s="1" t="s">
        <v>37</v>
      </c>
      <c r="H976" s="1" t="n">
        <v>44.4</v>
      </c>
      <c r="I976" s="1" t="n">
        <v>50.5</v>
      </c>
      <c r="J976" s="1" t="n">
        <v>33.2</v>
      </c>
      <c r="K976" s="1" t="n">
        <v>74</v>
      </c>
      <c r="L976" s="1" t="n">
        <v>0</v>
      </c>
      <c r="M976" s="1" t="n">
        <v>0</v>
      </c>
      <c r="N976" s="1" t="s">
        <v>554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Z976" s="0" t="n">
        <f aca="false">I976+65</f>
        <v>115.5</v>
      </c>
      <c r="AB976" s="0" t="n">
        <f aca="false">IF(Z976&gt;360,Z976-360,Z976+0)</f>
        <v>115.5</v>
      </c>
    </row>
    <row r="977" customFormat="false" ht="15.8" hidden="false" customHeight="false" outlineLevel="0" collapsed="false">
      <c r="A977" s="1" t="n">
        <v>19</v>
      </c>
      <c r="B977" s="1" t="n">
        <v>15</v>
      </c>
      <c r="C977" s="1" t="n">
        <v>2.4</v>
      </c>
      <c r="D977" s="1" t="n">
        <v>1.1757</v>
      </c>
      <c r="E977" s="1" t="n">
        <v>0.0872045</v>
      </c>
      <c r="F977" s="1" t="n">
        <v>0.000250655</v>
      </c>
      <c r="G977" s="1" t="s">
        <v>37</v>
      </c>
      <c r="H977" s="1" t="n">
        <v>22</v>
      </c>
      <c r="I977" s="1" t="n">
        <v>45</v>
      </c>
      <c r="J977" s="1" t="n">
        <v>-10.9</v>
      </c>
      <c r="K977" s="1" t="n">
        <v>97.5</v>
      </c>
      <c r="L977" s="1" t="n">
        <v>0</v>
      </c>
      <c r="M977" s="1" t="n">
        <v>0</v>
      </c>
      <c r="N977" s="1" t="s">
        <v>552</v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Z977" s="0" t="n">
        <f aca="false">I977+65</f>
        <v>110</v>
      </c>
      <c r="AB977" s="0" t="n">
        <f aca="false">IF(Z977&gt;360,Z977-360,Z977+0)</f>
        <v>110</v>
      </c>
    </row>
    <row r="978" customFormat="false" ht="15.8" hidden="false" customHeight="false" outlineLevel="0" collapsed="false">
      <c r="A978" s="1" t="n">
        <v>19</v>
      </c>
      <c r="B978" s="1" t="n">
        <v>14</v>
      </c>
      <c r="C978" s="1" t="n">
        <v>1.1</v>
      </c>
      <c r="D978" s="1" t="n">
        <v>1.0705</v>
      </c>
      <c r="E978" s="1" t="n">
        <v>0.0396999</v>
      </c>
      <c r="F978" s="1" t="n">
        <v>0.000114111</v>
      </c>
      <c r="G978" s="1" t="s">
        <v>37</v>
      </c>
      <c r="H978" s="1" t="n">
        <v>96.2</v>
      </c>
      <c r="I978" s="1" t="n">
        <v>25.8</v>
      </c>
      <c r="J978" s="1" t="n">
        <v>0</v>
      </c>
      <c r="K978" s="1" t="n">
        <v>69.3</v>
      </c>
      <c r="L978" s="1" t="n">
        <v>0</v>
      </c>
      <c r="M978" s="1" t="n">
        <v>0</v>
      </c>
      <c r="N978" s="1" t="s">
        <v>549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Z978" s="0" t="n">
        <f aca="false">I978+65</f>
        <v>90.8</v>
      </c>
      <c r="AB978" s="0" t="n">
        <f aca="false">IF(Z978&gt;360,Z978-360,Z978+0)</f>
        <v>90.8</v>
      </c>
    </row>
    <row r="979" customFormat="false" ht="15.8" hidden="false" customHeight="false" outlineLevel="0" collapsed="false">
      <c r="A979" s="1" t="n">
        <v>19</v>
      </c>
      <c r="B979" s="1" t="n">
        <v>13</v>
      </c>
      <c r="C979" s="1" t="n">
        <v>2.3</v>
      </c>
      <c r="D979" s="1" t="n">
        <v>1.115</v>
      </c>
      <c r="E979" s="1" t="n">
        <v>0.0820632</v>
      </c>
      <c r="F979" s="1" t="n">
        <v>0.000235877</v>
      </c>
      <c r="G979" s="1" t="s">
        <v>37</v>
      </c>
      <c r="H979" s="1" t="n">
        <v>47.4</v>
      </c>
      <c r="I979" s="1" t="n">
        <v>289.5</v>
      </c>
      <c r="J979" s="1" t="n">
        <v>-11</v>
      </c>
      <c r="K979" s="1" t="n">
        <v>96.2</v>
      </c>
      <c r="L979" s="1" t="n">
        <v>0</v>
      </c>
      <c r="M979" s="1" t="n">
        <v>0</v>
      </c>
      <c r="N979" s="1" t="s">
        <v>546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Z979" s="0" t="n">
        <f aca="false">I979+65</f>
        <v>354.5</v>
      </c>
      <c r="AB979" s="0" t="n">
        <f aca="false">IF(Z979&gt;360,Z979-360,Z979+0)</f>
        <v>354.5</v>
      </c>
    </row>
    <row r="980" customFormat="false" ht="15.8" hidden="false" customHeight="false" outlineLevel="0" collapsed="false">
      <c r="A980" s="1" t="n">
        <v>19</v>
      </c>
      <c r="B980" s="1" t="n">
        <v>12</v>
      </c>
      <c r="C980" s="1" t="n">
        <v>0.9</v>
      </c>
      <c r="D980" s="1" t="n">
        <v>1.174</v>
      </c>
      <c r="E980" s="1" t="n">
        <v>0.0322793</v>
      </c>
      <c r="F980" s="1" t="n">
        <v>9.27816E-005</v>
      </c>
      <c r="G980" s="1" t="s">
        <v>37</v>
      </c>
      <c r="H980" s="1" t="n">
        <v>60.4</v>
      </c>
      <c r="I980" s="1" t="n">
        <v>336.1</v>
      </c>
      <c r="J980" s="1" t="n">
        <v>-30.8</v>
      </c>
      <c r="K980" s="1" t="n">
        <v>102.1</v>
      </c>
      <c r="L980" s="1" t="n">
        <v>0</v>
      </c>
      <c r="M980" s="1" t="n">
        <v>0</v>
      </c>
      <c r="N980" s="1" t="s">
        <v>541</v>
      </c>
      <c r="O980" s="1"/>
      <c r="P980" s="1"/>
      <c r="Q980" s="1"/>
      <c r="R980" s="1"/>
      <c r="S980" s="1"/>
      <c r="T980" s="1"/>
      <c r="U980" s="1"/>
      <c r="V980" s="1"/>
      <c r="W980" s="1"/>
      <c r="X980" s="1"/>
      <c r="Z980" s="0" t="n">
        <f aca="false">I980+65</f>
        <v>401.1</v>
      </c>
      <c r="AB980" s="0" t="n">
        <f aca="false">IF(Z980&gt;360,Z980-360,Z980+0)</f>
        <v>41.1</v>
      </c>
    </row>
    <row r="981" customFormat="false" ht="15.8" hidden="false" customHeight="false" outlineLevel="0" collapsed="false">
      <c r="A981" s="1" t="n">
        <v>19</v>
      </c>
      <c r="B981" s="1" t="n">
        <v>11</v>
      </c>
      <c r="C981" s="1" t="n">
        <v>0.7</v>
      </c>
      <c r="D981" s="1" t="n">
        <v>1.012</v>
      </c>
      <c r="E981" s="1" t="n">
        <v>0.0245043</v>
      </c>
      <c r="F981" s="1" t="n">
        <v>7.04335E-005</v>
      </c>
      <c r="G981" s="1" t="s">
        <v>37</v>
      </c>
      <c r="H981" s="1" t="n">
        <v>59</v>
      </c>
      <c r="I981" s="1" t="n">
        <v>31</v>
      </c>
      <c r="J981" s="1" t="n">
        <v>0</v>
      </c>
      <c r="K981" s="1" t="n">
        <v>60.4</v>
      </c>
      <c r="L981" s="1" t="n">
        <v>0</v>
      </c>
      <c r="M981" s="1" t="n">
        <v>0</v>
      </c>
      <c r="N981" s="1" t="s">
        <v>540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Z981" s="0" t="n">
        <f aca="false">I981+65</f>
        <v>96</v>
      </c>
      <c r="AB981" s="0" t="n">
        <f aca="false">IF(Z981&gt;360,Z981-360,Z981+0)</f>
        <v>96</v>
      </c>
    </row>
    <row r="982" customFormat="false" ht="15.8" hidden="false" customHeight="false" outlineLevel="0" collapsed="false">
      <c r="A982" s="1" t="n">
        <v>19</v>
      </c>
      <c r="B982" s="1" t="n">
        <v>10</v>
      </c>
      <c r="C982" s="1" t="n">
        <v>2.2</v>
      </c>
      <c r="D982" s="1" t="n">
        <v>1.1703</v>
      </c>
      <c r="E982" s="1" t="n">
        <v>0.0803645</v>
      </c>
      <c r="F982" s="1" t="n">
        <v>0.000230995</v>
      </c>
      <c r="G982" s="1" t="s">
        <v>37</v>
      </c>
      <c r="H982" s="1" t="n">
        <v>70.8</v>
      </c>
      <c r="I982" s="1" t="n">
        <v>335.3</v>
      </c>
      <c r="J982" s="1" t="n">
        <v>-24.2</v>
      </c>
      <c r="K982" s="1" t="n">
        <v>105</v>
      </c>
      <c r="L982" s="1" t="n">
        <v>0</v>
      </c>
      <c r="M982" s="1" t="n">
        <v>0</v>
      </c>
      <c r="N982" s="1" t="s">
        <v>525</v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Z982" s="0" t="n">
        <f aca="false">I982+65</f>
        <v>400.3</v>
      </c>
      <c r="AB982" s="0" t="n">
        <f aca="false">IF(Z982&gt;360,Z982-360,Z982+0)</f>
        <v>40.3</v>
      </c>
    </row>
    <row r="983" customFormat="false" ht="15.8" hidden="false" customHeight="false" outlineLevel="0" collapsed="false">
      <c r="A983" s="1" t="n">
        <v>19</v>
      </c>
      <c r="B983" s="1" t="n">
        <v>9</v>
      </c>
      <c r="C983" s="1" t="n">
        <v>3.4</v>
      </c>
      <c r="D983" s="1" t="n">
        <v>1.2703</v>
      </c>
      <c r="E983" s="1" t="n">
        <v>0.123228</v>
      </c>
      <c r="F983" s="1" t="n">
        <v>0.0003542</v>
      </c>
      <c r="G983" s="1" t="s">
        <v>37</v>
      </c>
      <c r="H983" s="1" t="n">
        <v>53.9</v>
      </c>
      <c r="I983" s="1" t="n">
        <v>338.1</v>
      </c>
      <c r="J983" s="1" t="n">
        <v>46.6</v>
      </c>
      <c r="K983" s="1" t="n">
        <v>95.3</v>
      </c>
      <c r="L983" s="1" t="n">
        <v>0</v>
      </c>
      <c r="M983" s="1" t="n">
        <v>0</v>
      </c>
      <c r="N983" s="1" t="s">
        <v>524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Z983" s="0" t="n">
        <f aca="false">I983+65</f>
        <v>403.1</v>
      </c>
      <c r="AB983" s="0" t="n">
        <f aca="false">IF(Z983&gt;360,Z983-360,Z983+0)</f>
        <v>43.1</v>
      </c>
    </row>
    <row r="984" customFormat="false" ht="15.8" hidden="false" customHeight="false" outlineLevel="0" collapsed="false">
      <c r="A984" s="1" t="n">
        <v>19</v>
      </c>
      <c r="B984" s="1" t="n">
        <v>9</v>
      </c>
      <c r="C984" s="1" t="n">
        <v>1.7</v>
      </c>
      <c r="D984" s="1" t="n">
        <v>1.128</v>
      </c>
      <c r="E984" s="1" t="n">
        <v>0.0611846</v>
      </c>
      <c r="F984" s="1" t="n">
        <v>0.000175865</v>
      </c>
      <c r="G984" s="1" t="s">
        <v>27</v>
      </c>
      <c r="H984" s="1" t="n">
        <v>89.3</v>
      </c>
      <c r="I984" s="1" t="n">
        <v>357.3</v>
      </c>
      <c r="J984" s="1" t="n">
        <v>15.1</v>
      </c>
      <c r="K984" s="1"/>
      <c r="L984" s="1" t="n">
        <v>0</v>
      </c>
      <c r="M984" s="1" t="n">
        <v>0</v>
      </c>
      <c r="N984" s="1" t="s">
        <v>524</v>
      </c>
      <c r="O984" s="1"/>
      <c r="P984" s="1"/>
      <c r="Q984" s="1"/>
      <c r="R984" s="1"/>
      <c r="S984" s="1"/>
      <c r="T984" s="1"/>
      <c r="U984" s="1"/>
      <c r="V984" s="1"/>
      <c r="W984" s="1"/>
      <c r="X984" s="1"/>
      <c r="Z984" s="0" t="n">
        <f aca="false">I984+65</f>
        <v>422.3</v>
      </c>
      <c r="AB984" s="0" t="n">
        <f aca="false">IF(Z984&gt;360,Z984-360,Z984+0)</f>
        <v>62.3</v>
      </c>
    </row>
    <row r="985" customFormat="false" ht="15.8" hidden="false" customHeight="false" outlineLevel="0" collapsed="false">
      <c r="A985" s="1" t="n">
        <v>19</v>
      </c>
      <c r="B985" s="1" t="n">
        <v>10</v>
      </c>
      <c r="C985" s="1" t="n">
        <v>4.1</v>
      </c>
      <c r="D985" s="1" t="n">
        <v>2.548</v>
      </c>
      <c r="E985" s="1" t="n">
        <v>0.147264</v>
      </c>
      <c r="F985" s="1" t="n">
        <v>0.000423286</v>
      </c>
      <c r="G985" s="1" t="s">
        <v>27</v>
      </c>
      <c r="H985" s="1" t="n">
        <v>65.1</v>
      </c>
      <c r="I985" s="1" t="n">
        <v>160.3</v>
      </c>
      <c r="J985" s="1" t="n">
        <v>0</v>
      </c>
      <c r="K985" s="1"/>
      <c r="L985" s="1" t="n">
        <v>0</v>
      </c>
      <c r="M985" s="1" t="n">
        <v>0</v>
      </c>
      <c r="N985" s="1" t="s">
        <v>558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Z985" s="0" t="n">
        <f aca="false">I985+65</f>
        <v>225.3</v>
      </c>
      <c r="AB985" s="0" t="n">
        <f aca="false">IF(Z985&gt;360,Z985-360,Z985+0)</f>
        <v>225.3</v>
      </c>
    </row>
    <row r="986" customFormat="false" ht="15.8" hidden="false" customHeight="false" outlineLevel="0" collapsed="false">
      <c r="A986" s="1" t="n">
        <v>19</v>
      </c>
      <c r="B986" s="1" t="n">
        <v>10</v>
      </c>
      <c r="C986" s="1" t="n">
        <v>5.2</v>
      </c>
      <c r="D986" s="1" t="n">
        <v>1.2877</v>
      </c>
      <c r="E986" s="1" t="n">
        <v>0.187655</v>
      </c>
      <c r="F986" s="1" t="n">
        <v>0.000539383</v>
      </c>
      <c r="G986" s="1" t="s">
        <v>27</v>
      </c>
      <c r="H986" s="1" t="n">
        <v>53.7</v>
      </c>
      <c r="I986" s="1" t="n">
        <v>84</v>
      </c>
      <c r="J986" s="1" t="n">
        <v>16.9</v>
      </c>
      <c r="K986" s="1"/>
      <c r="L986" s="1" t="n">
        <v>0</v>
      </c>
      <c r="M986" s="1" t="n">
        <v>0</v>
      </c>
      <c r="N986" s="1" t="s">
        <v>558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Z986" s="0" t="n">
        <f aca="false">I986+65</f>
        <v>149</v>
      </c>
      <c r="AB986" s="0" t="n">
        <f aca="false">IF(Z986&gt;360,Z986-360,Z986+0)</f>
        <v>149</v>
      </c>
    </row>
    <row r="987" customFormat="false" ht="15.8" hidden="false" customHeight="false" outlineLevel="0" collapsed="false">
      <c r="A987" s="1" t="n">
        <v>19</v>
      </c>
      <c r="B987" s="1" t="n">
        <v>12</v>
      </c>
      <c r="C987" s="1" t="n">
        <v>1.6</v>
      </c>
      <c r="D987" s="1" t="n">
        <v>1.2144</v>
      </c>
      <c r="E987" s="1" t="n">
        <v>0.0576248</v>
      </c>
      <c r="F987" s="1" t="n">
        <v>0.000165633</v>
      </c>
      <c r="G987" s="1" t="s">
        <v>27</v>
      </c>
      <c r="H987" s="1" t="n">
        <v>84.2</v>
      </c>
      <c r="I987" s="1" t="n">
        <v>272.6</v>
      </c>
      <c r="J987" s="1" t="n">
        <v>-17.3</v>
      </c>
      <c r="K987" s="1"/>
      <c r="L987" s="1" t="n">
        <v>0</v>
      </c>
      <c r="M987" s="1" t="n">
        <v>0</v>
      </c>
      <c r="N987" s="1" t="s">
        <v>559</v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Z987" s="0" t="n">
        <f aca="false">I987+65</f>
        <v>337.6</v>
      </c>
      <c r="AB987" s="0" t="n">
        <f aca="false">IF(Z987&gt;360,Z987-360,Z987+0)</f>
        <v>337.6</v>
      </c>
    </row>
    <row r="988" customFormat="false" ht="15.8" hidden="false" customHeight="false" outlineLevel="0" collapsed="false">
      <c r="A988" s="1" t="n">
        <v>19</v>
      </c>
      <c r="B988" s="1" t="n">
        <v>12</v>
      </c>
      <c r="C988" s="1" t="n">
        <v>1.3</v>
      </c>
      <c r="D988" s="1" t="n">
        <v>1.2989</v>
      </c>
      <c r="E988" s="1" t="n">
        <v>0.0458178</v>
      </c>
      <c r="F988" s="1" t="n">
        <v>0.000131696</v>
      </c>
      <c r="G988" s="1" t="s">
        <v>27</v>
      </c>
      <c r="H988" s="1" t="n">
        <v>56.2</v>
      </c>
      <c r="I988" s="1" t="n">
        <v>120.6</v>
      </c>
      <c r="J988" s="1" t="n">
        <v>53</v>
      </c>
      <c r="K988" s="1"/>
      <c r="L988" s="1" t="n">
        <v>0</v>
      </c>
      <c r="M988" s="1" t="n">
        <v>0</v>
      </c>
      <c r="N988" s="1" t="s">
        <v>559</v>
      </c>
      <c r="O988" s="1"/>
      <c r="P988" s="1"/>
      <c r="Q988" s="1"/>
      <c r="R988" s="1"/>
      <c r="S988" s="1"/>
      <c r="T988" s="1"/>
      <c r="U988" s="1"/>
      <c r="V988" s="1"/>
      <c r="W988" s="1"/>
      <c r="X988" s="1"/>
      <c r="Z988" s="0" t="n">
        <f aca="false">I988+65</f>
        <v>185.6</v>
      </c>
      <c r="AB988" s="0" t="n">
        <f aca="false">IF(Z988&gt;360,Z988-360,Z988+0)</f>
        <v>185.6</v>
      </c>
    </row>
    <row r="989" customFormat="false" ht="15.8" hidden="false" customHeight="false" outlineLevel="0" collapsed="false">
      <c r="A989" s="1" t="n">
        <v>19</v>
      </c>
      <c r="B989" s="1" t="n">
        <v>11</v>
      </c>
      <c r="C989" s="1" t="n">
        <v>2</v>
      </c>
      <c r="D989" s="1" t="n">
        <v>1.7499</v>
      </c>
      <c r="E989" s="1" t="n">
        <v>0.0738142</v>
      </c>
      <c r="F989" s="1" t="n">
        <v>0.000212167</v>
      </c>
      <c r="G989" s="1" t="s">
        <v>37</v>
      </c>
      <c r="H989" s="1" t="n">
        <v>26.6</v>
      </c>
      <c r="I989" s="1" t="n">
        <v>207.6</v>
      </c>
      <c r="J989" s="1" t="n">
        <v>41.9</v>
      </c>
      <c r="K989" s="1" t="n">
        <v>84.2</v>
      </c>
      <c r="L989" s="1" t="n">
        <v>0</v>
      </c>
      <c r="M989" s="1" t="n">
        <v>0</v>
      </c>
      <c r="N989" s="1" t="s">
        <v>560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Z989" s="0" t="n">
        <f aca="false">I989+65</f>
        <v>272.6</v>
      </c>
      <c r="AB989" s="0" t="n">
        <f aca="false">IF(Z989&gt;360,Z989-360,Z989+0)</f>
        <v>272.6</v>
      </c>
    </row>
    <row r="990" customFormat="false" ht="15.8" hidden="false" customHeight="false" outlineLevel="0" collapsed="false">
      <c r="A990" s="1" t="n">
        <v>19</v>
      </c>
      <c r="B990" s="1" t="n">
        <v>13</v>
      </c>
      <c r="C990" s="1" t="n">
        <v>1.2</v>
      </c>
      <c r="D990" s="1" t="n">
        <v>1.1844</v>
      </c>
      <c r="E990" s="1" t="n">
        <v>0.0424581</v>
      </c>
      <c r="F990" s="1" t="n">
        <v>0.000122039</v>
      </c>
      <c r="G990" s="1" t="s">
        <v>27</v>
      </c>
      <c r="H990" s="1" t="n">
        <v>114.3</v>
      </c>
      <c r="I990" s="1" t="n">
        <v>289.1</v>
      </c>
      <c r="J990" s="1" t="n">
        <v>-23.1</v>
      </c>
      <c r="K990" s="1"/>
      <c r="L990" s="1" t="n">
        <v>0</v>
      </c>
      <c r="M990" s="1" t="n">
        <v>0</v>
      </c>
      <c r="N990" s="1" t="s">
        <v>561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Z990" s="0" t="n">
        <f aca="false">I990+65</f>
        <v>354.1</v>
      </c>
      <c r="AB990" s="0" t="n">
        <f aca="false">IF(Z990&gt;360,Z990-360,Z990+0)</f>
        <v>354.1</v>
      </c>
    </row>
    <row r="991" customFormat="false" ht="15.8" hidden="false" customHeight="false" outlineLevel="0" collapsed="false">
      <c r="A991" s="1" t="n">
        <v>19</v>
      </c>
      <c r="B991" s="1" t="n">
        <v>13</v>
      </c>
      <c r="C991" s="1" t="n">
        <v>1.2</v>
      </c>
      <c r="D991" s="1" t="n">
        <v>1.1998</v>
      </c>
      <c r="E991" s="1" t="n">
        <v>0.04501</v>
      </c>
      <c r="F991" s="1" t="n">
        <v>0.000129374</v>
      </c>
      <c r="G991" s="1" t="s">
        <v>27</v>
      </c>
      <c r="H991" s="1" t="n">
        <v>16.1</v>
      </c>
      <c r="I991" s="1" t="n">
        <v>172.5</v>
      </c>
      <c r="J991" s="1" t="n">
        <v>22.1</v>
      </c>
      <c r="K991" s="1"/>
      <c r="L991" s="1" t="n">
        <v>0</v>
      </c>
      <c r="M991" s="1" t="n">
        <v>0</v>
      </c>
      <c r="N991" s="1" t="s">
        <v>561</v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Z991" s="0" t="n">
        <f aca="false">I991+65</f>
        <v>237.5</v>
      </c>
      <c r="AB991" s="0" t="n">
        <f aca="false">IF(Z991&gt;360,Z991-360,Z991+0)</f>
        <v>237.5</v>
      </c>
    </row>
    <row r="992" customFormat="false" ht="15.8" hidden="false" customHeight="false" outlineLevel="0" collapsed="false">
      <c r="A992" s="1" t="n">
        <v>19</v>
      </c>
      <c r="B992" s="1" t="n">
        <v>12</v>
      </c>
      <c r="C992" s="1" t="n">
        <v>2.9</v>
      </c>
      <c r="D992" s="1" t="n">
        <v>1.4104</v>
      </c>
      <c r="E992" s="1" t="n">
        <v>0.106401</v>
      </c>
      <c r="F992" s="1" t="n">
        <v>0.000305833</v>
      </c>
      <c r="G992" s="1" t="s">
        <v>37</v>
      </c>
      <c r="H992" s="1" t="n">
        <v>41.9</v>
      </c>
      <c r="I992" s="1" t="n">
        <v>184.6</v>
      </c>
      <c r="J992" s="1" t="n">
        <v>34.1</v>
      </c>
      <c r="K992" s="1" t="n">
        <v>114.3</v>
      </c>
      <c r="L992" s="1" t="n">
        <v>0</v>
      </c>
      <c r="M992" s="1" t="n">
        <v>0</v>
      </c>
      <c r="N992" s="1" t="s">
        <v>562</v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Z992" s="0" t="n">
        <f aca="false">I992+65</f>
        <v>249.6</v>
      </c>
      <c r="AB992" s="0" t="n">
        <f aca="false">IF(Z992&gt;360,Z992-360,Z992+0)</f>
        <v>249.6</v>
      </c>
    </row>
    <row r="993" customFormat="false" ht="15.8" hidden="false" customHeight="false" outlineLevel="0" collapsed="false">
      <c r="A993" s="1" t="n">
        <v>19</v>
      </c>
      <c r="B993" s="1" t="n">
        <v>12</v>
      </c>
      <c r="C993" s="1" t="n">
        <v>2.4</v>
      </c>
      <c r="D993" s="1" t="n">
        <v>1.1391</v>
      </c>
      <c r="E993" s="1" t="n">
        <v>0.0869154</v>
      </c>
      <c r="F993" s="1" t="n">
        <v>0.000249824</v>
      </c>
      <c r="G993" s="1" t="s">
        <v>27</v>
      </c>
      <c r="H993" s="1" t="n">
        <v>56.5</v>
      </c>
      <c r="I993" s="1" t="n">
        <v>214.4</v>
      </c>
      <c r="J993" s="1" t="n">
        <v>10.6</v>
      </c>
      <c r="K993" s="1"/>
      <c r="L993" s="1" t="n">
        <v>0</v>
      </c>
      <c r="M993" s="1" t="n">
        <v>0</v>
      </c>
      <c r="N993" s="1" t="s">
        <v>562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Z993" s="0" t="n">
        <f aca="false">I993+65</f>
        <v>279.4</v>
      </c>
      <c r="AB993" s="0" t="n">
        <f aca="false">IF(Z993&gt;360,Z993-360,Z993+0)</f>
        <v>279.4</v>
      </c>
    </row>
    <row r="994" customFormat="false" ht="15.8" hidden="false" customHeight="false" outlineLevel="0" collapsed="false">
      <c r="A994" s="1" t="n">
        <v>19</v>
      </c>
      <c r="B994" s="1" t="n">
        <v>11</v>
      </c>
      <c r="C994" s="1" t="n">
        <v>1.1</v>
      </c>
      <c r="D994" s="1" t="n">
        <v>1.1614</v>
      </c>
      <c r="E994" s="1" t="n">
        <v>0.0409342</v>
      </c>
      <c r="F994" s="1" t="n">
        <v>0.000117658</v>
      </c>
      <c r="G994" s="1" t="s">
        <v>37</v>
      </c>
      <c r="H994" s="1" t="n">
        <v>40.3</v>
      </c>
      <c r="I994" s="1" t="n">
        <v>158.6</v>
      </c>
      <c r="J994" s="1" t="n">
        <v>0</v>
      </c>
      <c r="K994" s="1" t="n">
        <v>56.5</v>
      </c>
      <c r="L994" s="1" t="n">
        <v>0</v>
      </c>
      <c r="M994" s="1" t="n">
        <v>0</v>
      </c>
      <c r="N994" s="1" t="s">
        <v>560</v>
      </c>
      <c r="O994" s="1"/>
      <c r="P994" s="1"/>
      <c r="Q994" s="1"/>
      <c r="R994" s="1"/>
      <c r="S994" s="1"/>
      <c r="T994" s="1"/>
      <c r="U994" s="1"/>
      <c r="V994" s="1"/>
      <c r="W994" s="1"/>
      <c r="X994" s="1"/>
      <c r="Z994" s="0" t="n">
        <f aca="false">I994+65</f>
        <v>223.6</v>
      </c>
      <c r="AB994" s="0" t="n">
        <f aca="false">IF(Z994&gt;360,Z994-360,Z994+0)</f>
        <v>223.6</v>
      </c>
    </row>
    <row r="995" customFormat="false" ht="15.8" hidden="false" customHeight="false" outlineLevel="0" collapsed="false">
      <c r="A995" s="1" t="n">
        <v>19</v>
      </c>
      <c r="B995" s="1" t="n">
        <v>10</v>
      </c>
      <c r="C995" s="1" t="n">
        <v>3.2</v>
      </c>
      <c r="D995" s="1" t="n">
        <v>1.2452</v>
      </c>
      <c r="E995" s="1" t="n">
        <v>0.113808</v>
      </c>
      <c r="F995" s="1" t="n">
        <v>0.000327123</v>
      </c>
      <c r="G995" s="1" t="s">
        <v>37</v>
      </c>
      <c r="H995" s="1" t="n">
        <v>35.7</v>
      </c>
      <c r="I995" s="1" t="n">
        <v>173</v>
      </c>
      <c r="J995" s="1" t="n">
        <v>38.1</v>
      </c>
      <c r="K995" s="1" t="n">
        <v>40.3</v>
      </c>
      <c r="L995" s="1" t="n">
        <v>0</v>
      </c>
      <c r="M995" s="1" t="n">
        <v>0</v>
      </c>
      <c r="N995" s="1" t="s">
        <v>558</v>
      </c>
      <c r="O995" s="1"/>
      <c r="P995" s="1"/>
      <c r="Q995" s="1"/>
      <c r="R995" s="1"/>
      <c r="S995" s="1"/>
      <c r="T995" s="1"/>
      <c r="U995" s="1"/>
      <c r="V995" s="1"/>
      <c r="W995" s="1"/>
      <c r="X995" s="1"/>
      <c r="Z995" s="0" t="n">
        <f aca="false">I995+65</f>
        <v>238</v>
      </c>
      <c r="AB995" s="0" t="n">
        <f aca="false">IF(Z995&gt;360,Z995-360,Z995+0)</f>
        <v>238</v>
      </c>
    </row>
    <row r="996" customFormat="false" ht="15.8" hidden="false" customHeight="false" outlineLevel="0" collapsed="false">
      <c r="A996" s="1" t="n">
        <v>19</v>
      </c>
      <c r="B996" s="1" t="n">
        <v>9</v>
      </c>
      <c r="C996" s="1" t="n">
        <v>2.2</v>
      </c>
      <c r="D996" s="1" t="n">
        <v>1.2095</v>
      </c>
      <c r="E996" s="1" t="n">
        <v>0.0785148</v>
      </c>
      <c r="F996" s="1" t="n">
        <v>0.000225678</v>
      </c>
      <c r="G996" s="1" t="s">
        <v>37</v>
      </c>
      <c r="H996" s="1" t="n">
        <v>45.8</v>
      </c>
      <c r="I996" s="1" t="n">
        <v>128.2</v>
      </c>
      <c r="J996" s="1" t="n">
        <v>60.2</v>
      </c>
      <c r="K996" s="1" t="n">
        <v>65.1</v>
      </c>
      <c r="L996" s="1" t="n">
        <v>0</v>
      </c>
      <c r="M996" s="1" t="n">
        <v>0</v>
      </c>
      <c r="N996" s="1" t="s">
        <v>524</v>
      </c>
      <c r="O996" s="1"/>
      <c r="P996" s="1"/>
      <c r="Q996" s="1"/>
      <c r="R996" s="1"/>
      <c r="S996" s="1"/>
      <c r="T996" s="1"/>
      <c r="U996" s="1"/>
      <c r="V996" s="1"/>
      <c r="W996" s="1"/>
      <c r="X996" s="1"/>
      <c r="Z996" s="0" t="n">
        <f aca="false">I996+65</f>
        <v>193.2</v>
      </c>
      <c r="AB996" s="0" t="n">
        <f aca="false">IF(Z996&gt;360,Z996-360,Z996+0)</f>
        <v>193.2</v>
      </c>
    </row>
    <row r="997" customFormat="false" ht="15.8" hidden="false" customHeight="false" outlineLevel="0" collapsed="false">
      <c r="A997" s="1" t="n">
        <v>19</v>
      </c>
      <c r="B997" s="1" t="n">
        <v>8</v>
      </c>
      <c r="C997" s="1" t="n">
        <v>1.4</v>
      </c>
      <c r="D997" s="1" t="n">
        <v>1.0738</v>
      </c>
      <c r="E997" s="1" t="n">
        <v>0.0509933</v>
      </c>
      <c r="F997" s="1" t="n">
        <v>0.000146572</v>
      </c>
      <c r="G997" s="1" t="s">
        <v>37</v>
      </c>
      <c r="H997" s="1" t="n">
        <v>60.8</v>
      </c>
      <c r="I997" s="1" t="n">
        <v>237.5</v>
      </c>
      <c r="J997" s="1" t="n">
        <v>62.9</v>
      </c>
      <c r="K997" s="1" t="n">
        <v>89.3</v>
      </c>
      <c r="L997" s="1" t="n">
        <v>0</v>
      </c>
      <c r="M997" s="1" t="n">
        <v>0</v>
      </c>
      <c r="N997" s="1" t="s">
        <v>523</v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Z997" s="0" t="n">
        <f aca="false">I997+65</f>
        <v>302.5</v>
      </c>
      <c r="AB997" s="0" t="n">
        <f aca="false">IF(Z997&gt;360,Z997-360,Z997+0)</f>
        <v>302.5</v>
      </c>
    </row>
    <row r="998" customFormat="false" ht="15.8" hidden="false" customHeight="false" outlineLevel="0" collapsed="false">
      <c r="A998" s="1" t="n">
        <v>19</v>
      </c>
      <c r="B998" s="1" t="n">
        <v>7</v>
      </c>
      <c r="C998" s="1" t="n">
        <v>1.7</v>
      </c>
      <c r="D998" s="1" t="n">
        <v>1.1125</v>
      </c>
      <c r="E998" s="1" t="n">
        <v>0.0626633</v>
      </c>
      <c r="F998" s="1" t="n">
        <v>0.000180115</v>
      </c>
      <c r="G998" s="1" t="s">
        <v>37</v>
      </c>
      <c r="H998" s="1" t="n">
        <v>37.4</v>
      </c>
      <c r="I998" s="1" t="n">
        <v>290.5</v>
      </c>
      <c r="J998" s="1" t="n">
        <v>14.5</v>
      </c>
      <c r="K998" s="1" t="n">
        <v>84.6</v>
      </c>
      <c r="L998" s="1" t="n">
        <v>0</v>
      </c>
      <c r="M998" s="1" t="n">
        <v>0</v>
      </c>
      <c r="N998" s="1" t="s">
        <v>520</v>
      </c>
      <c r="O998" s="1"/>
      <c r="P998" s="1"/>
      <c r="Q998" s="1"/>
      <c r="R998" s="1"/>
      <c r="S998" s="1"/>
      <c r="T998" s="1"/>
      <c r="U998" s="1"/>
      <c r="V998" s="1"/>
      <c r="W998" s="1"/>
      <c r="X998" s="1"/>
      <c r="Z998" s="0" t="n">
        <f aca="false">I998+65</f>
        <v>355.5</v>
      </c>
      <c r="AB998" s="0" t="n">
        <f aca="false">IF(Z998&gt;360,Z998-360,Z998+0)</f>
        <v>355.5</v>
      </c>
    </row>
    <row r="999" customFormat="false" ht="15.8" hidden="false" customHeight="false" outlineLevel="0" collapsed="false">
      <c r="A999" s="1" t="n">
        <v>19</v>
      </c>
      <c r="B999" s="1" t="n">
        <v>6</v>
      </c>
      <c r="C999" s="1" t="n">
        <v>1.1</v>
      </c>
      <c r="D999" s="1" t="n">
        <v>1.0914</v>
      </c>
      <c r="E999" s="1" t="n">
        <v>0.0399976</v>
      </c>
      <c r="F999" s="1" t="n">
        <v>0.000114967</v>
      </c>
      <c r="G999" s="1" t="s">
        <v>37</v>
      </c>
      <c r="H999" s="1" t="n">
        <v>19.6</v>
      </c>
      <c r="I999" s="1" t="n">
        <v>277.1</v>
      </c>
      <c r="J999" s="1" t="n">
        <v>50.2</v>
      </c>
      <c r="K999" s="1" t="n">
        <v>97.1</v>
      </c>
      <c r="L999" s="1" t="n">
        <v>0</v>
      </c>
      <c r="M999" s="1" t="n">
        <v>0</v>
      </c>
      <c r="N999" s="1" t="s">
        <v>563</v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Z999" s="0" t="n">
        <f aca="false">I999+65</f>
        <v>342.1</v>
      </c>
      <c r="AB999" s="0" t="n">
        <f aca="false">IF(Z999&gt;360,Z999-360,Z999+0)</f>
        <v>342.1</v>
      </c>
    </row>
    <row r="1000" customFormat="false" ht="15.8" hidden="false" customHeight="false" outlineLevel="0" collapsed="false">
      <c r="A1000" s="1" t="n">
        <v>19</v>
      </c>
      <c r="B1000" s="1" t="n">
        <v>8</v>
      </c>
      <c r="C1000" s="1" t="n">
        <v>1.3</v>
      </c>
      <c r="D1000" s="1" t="n">
        <v>1.0738</v>
      </c>
      <c r="E1000" s="1" t="n">
        <v>0.045213</v>
      </c>
      <c r="F1000" s="1" t="n">
        <v>0.000129957</v>
      </c>
      <c r="G1000" s="1" t="s">
        <v>27</v>
      </c>
      <c r="H1000" s="1" t="n">
        <v>63</v>
      </c>
      <c r="I1000" s="1" t="n">
        <v>255.1</v>
      </c>
      <c r="J1000" s="1" t="n">
        <v>0</v>
      </c>
      <c r="K1000" s="1"/>
      <c r="L1000" s="1" t="n">
        <v>0</v>
      </c>
      <c r="M1000" s="1" t="n">
        <v>0</v>
      </c>
      <c r="N1000" s="1" t="s">
        <v>564</v>
      </c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Z1000" s="0" t="n">
        <f aca="false">I1000+65</f>
        <v>320.1</v>
      </c>
      <c r="AB1000" s="0" t="n">
        <f aca="false">IF(Z1000&gt;360,Z1000-360,Z1000+0)</f>
        <v>320.1</v>
      </c>
    </row>
    <row r="1001" customFormat="false" ht="15.8" hidden="false" customHeight="false" outlineLevel="0" collapsed="false">
      <c r="A1001" s="1" t="n">
        <v>19</v>
      </c>
      <c r="B1001" s="1" t="n">
        <v>8</v>
      </c>
      <c r="C1001" s="1" t="n">
        <v>1.1</v>
      </c>
      <c r="D1001" s="1" t="n">
        <v>1.1458</v>
      </c>
      <c r="E1001" s="1" t="n">
        <v>0.0387388</v>
      </c>
      <c r="F1001" s="1" t="n">
        <v>0.000111348</v>
      </c>
      <c r="G1001" s="1" t="s">
        <v>27</v>
      </c>
      <c r="H1001" s="1" t="n">
        <v>53.2</v>
      </c>
      <c r="I1001" s="1" t="n">
        <v>323.1</v>
      </c>
      <c r="J1001" s="1" t="n">
        <v>56.4</v>
      </c>
      <c r="K1001" s="1"/>
      <c r="L1001" s="1" t="n">
        <v>0</v>
      </c>
      <c r="M1001" s="1" t="n">
        <v>0</v>
      </c>
      <c r="N1001" s="1" t="s">
        <v>564</v>
      </c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Z1001" s="0" t="n">
        <f aca="false">I1001+65</f>
        <v>388.1</v>
      </c>
      <c r="AB1001" s="0" t="n">
        <f aca="false">IF(Z1001&gt;360,Z1001-360,Z1001+0)</f>
        <v>28.1</v>
      </c>
    </row>
    <row r="1002" customFormat="false" ht="15.8" hidden="false" customHeight="false" outlineLevel="0" collapsed="false">
      <c r="A1002" s="1" t="n">
        <v>19</v>
      </c>
      <c r="B1002" s="1" t="n">
        <v>8</v>
      </c>
      <c r="C1002" s="1" t="n">
        <v>1.5</v>
      </c>
      <c r="D1002" s="1" t="n">
        <v>1.1398</v>
      </c>
      <c r="E1002" s="1" t="n">
        <v>0.0545477</v>
      </c>
      <c r="F1002" s="1" t="n">
        <v>0.000156788</v>
      </c>
      <c r="G1002" s="1" t="s">
        <v>27</v>
      </c>
      <c r="H1002" s="1" t="n">
        <v>105.8</v>
      </c>
      <c r="I1002" s="1" t="n">
        <v>57.6</v>
      </c>
      <c r="J1002" s="1" t="n">
        <v>17.1</v>
      </c>
      <c r="K1002" s="1"/>
      <c r="L1002" s="1" t="n">
        <v>0</v>
      </c>
      <c r="M1002" s="1" t="n">
        <v>0</v>
      </c>
      <c r="N1002" s="1" t="s">
        <v>564</v>
      </c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Z1002" s="0" t="n">
        <f aca="false">I1002+65</f>
        <v>122.6</v>
      </c>
      <c r="AB1002" s="0" t="n">
        <f aca="false">IF(Z1002&gt;360,Z1002-360,Z1002+0)</f>
        <v>122.6</v>
      </c>
    </row>
    <row r="1003" customFormat="false" ht="15.8" hidden="false" customHeight="false" outlineLevel="0" collapsed="false">
      <c r="A1003" s="1" t="n">
        <v>19</v>
      </c>
      <c r="B1003" s="1" t="n">
        <v>7</v>
      </c>
      <c r="C1003" s="1" t="n">
        <v>1.5</v>
      </c>
      <c r="D1003" s="1" t="n">
        <v>1.5371</v>
      </c>
      <c r="E1003" s="1" t="n">
        <v>0.0527728</v>
      </c>
      <c r="F1003" s="1" t="n">
        <v>0.000151687</v>
      </c>
      <c r="G1003" s="1" t="s">
        <v>37</v>
      </c>
      <c r="H1003" s="1" t="n">
        <v>110.1</v>
      </c>
      <c r="I1003" s="1" t="n">
        <v>217.7</v>
      </c>
      <c r="J1003" s="1" t="n">
        <v>55.1</v>
      </c>
      <c r="K1003" s="1" t="n">
        <v>105.8</v>
      </c>
      <c r="L1003" s="1" t="n">
        <v>0</v>
      </c>
      <c r="M1003" s="1" t="n">
        <v>0</v>
      </c>
      <c r="N1003" s="1" t="s">
        <v>565</v>
      </c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Z1003" s="0" t="n">
        <f aca="false">I1003+65</f>
        <v>282.7</v>
      </c>
      <c r="AB1003" s="0" t="n">
        <f aca="false">IF(Z1003&gt;360,Z1003-360,Z1003+0)</f>
        <v>282.7</v>
      </c>
    </row>
    <row r="1004" customFormat="false" ht="15.8" hidden="false" customHeight="false" outlineLevel="0" collapsed="false">
      <c r="A1004" s="1" t="n">
        <v>19</v>
      </c>
      <c r="B1004" s="1" t="n">
        <v>8</v>
      </c>
      <c r="C1004" s="1" t="n">
        <v>5.8</v>
      </c>
      <c r="D1004" s="1" t="n">
        <v>1.2272</v>
      </c>
      <c r="E1004" s="1" t="n">
        <v>0.209885</v>
      </c>
      <c r="F1004" s="1" t="n">
        <v>0.00060328</v>
      </c>
      <c r="G1004" s="1" t="s">
        <v>27</v>
      </c>
      <c r="H1004" s="1" t="n">
        <v>111.5</v>
      </c>
      <c r="I1004" s="1" t="n">
        <v>267.3</v>
      </c>
      <c r="J1004" s="1" t="n">
        <v>-4.7</v>
      </c>
      <c r="K1004" s="1"/>
      <c r="L1004" s="1" t="n">
        <v>0</v>
      </c>
      <c r="M1004" s="1" t="n">
        <v>0</v>
      </c>
      <c r="N1004" s="1" t="s">
        <v>566</v>
      </c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Z1004" s="0" t="n">
        <f aca="false">I1004+65</f>
        <v>332.3</v>
      </c>
      <c r="AB1004" s="0" t="n">
        <f aca="false">IF(Z1004&gt;360,Z1004-360,Z1004+0)</f>
        <v>332.3</v>
      </c>
    </row>
    <row r="1005" customFormat="false" ht="15.8" hidden="false" customHeight="false" outlineLevel="0" collapsed="false">
      <c r="A1005" s="1" t="n">
        <v>19</v>
      </c>
      <c r="B1005" s="1" t="n">
        <v>9</v>
      </c>
      <c r="C1005" s="1" t="n">
        <v>1.1</v>
      </c>
      <c r="D1005" s="1" t="n">
        <v>1.1459</v>
      </c>
      <c r="E1005" s="1" t="n">
        <v>0.0407036</v>
      </c>
      <c r="F1005" s="1" t="n">
        <v>0.000116996</v>
      </c>
      <c r="G1005" s="1" t="s">
        <v>27</v>
      </c>
      <c r="H1005" s="1" t="n">
        <v>137.2</v>
      </c>
      <c r="I1005" s="1" t="n">
        <v>263.4</v>
      </c>
      <c r="J1005" s="1" t="n">
        <v>-23.4</v>
      </c>
      <c r="K1005" s="1"/>
      <c r="L1005" s="1" t="n">
        <v>0</v>
      </c>
      <c r="M1005" s="1" t="n">
        <v>0</v>
      </c>
      <c r="N1005" s="1" t="s">
        <v>567</v>
      </c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Z1005" s="0" t="n">
        <f aca="false">I1005+65</f>
        <v>328.4</v>
      </c>
      <c r="AB1005" s="0" t="n">
        <f aca="false">IF(Z1005&gt;360,Z1005-360,Z1005+0)</f>
        <v>328.4</v>
      </c>
    </row>
    <row r="1006" customFormat="false" ht="15.8" hidden="false" customHeight="false" outlineLevel="0" collapsed="false">
      <c r="A1006" s="1" t="n">
        <v>19</v>
      </c>
      <c r="B1006" s="1" t="n">
        <v>9</v>
      </c>
      <c r="C1006" s="1" t="n">
        <v>4.7</v>
      </c>
      <c r="D1006" s="1" t="n">
        <v>1.2878</v>
      </c>
      <c r="E1006" s="1" t="n">
        <v>0.169523</v>
      </c>
      <c r="F1006" s="1" t="n">
        <v>0.000487266</v>
      </c>
      <c r="G1006" s="1" t="s">
        <v>27</v>
      </c>
      <c r="H1006" s="1" t="n">
        <v>41.3</v>
      </c>
      <c r="I1006" s="1" t="n">
        <v>358.2</v>
      </c>
      <c r="J1006" s="1" t="n">
        <v>6.1</v>
      </c>
      <c r="K1006" s="1"/>
      <c r="L1006" s="1" t="n">
        <v>0</v>
      </c>
      <c r="M1006" s="1" t="n">
        <v>0</v>
      </c>
      <c r="N1006" s="1" t="s">
        <v>567</v>
      </c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Z1006" s="0" t="n">
        <f aca="false">I1006+65</f>
        <v>423.2</v>
      </c>
      <c r="AB1006" s="0" t="n">
        <f aca="false">IF(Z1006&gt;360,Z1006-360,Z1006+0)</f>
        <v>63.2</v>
      </c>
    </row>
    <row r="1007" customFormat="false" ht="15.8" hidden="false" customHeight="false" outlineLevel="0" collapsed="false">
      <c r="A1007" s="1" t="n">
        <v>19</v>
      </c>
      <c r="B1007" s="1" t="n">
        <v>8</v>
      </c>
      <c r="C1007" s="1" t="n">
        <v>4</v>
      </c>
      <c r="D1007" s="1" t="n">
        <v>1.1467</v>
      </c>
      <c r="E1007" s="1" t="n">
        <v>0.144392</v>
      </c>
      <c r="F1007" s="1" t="n">
        <v>0.00041503</v>
      </c>
      <c r="G1007" s="1" t="s">
        <v>37</v>
      </c>
      <c r="H1007" s="1" t="n">
        <v>31.1</v>
      </c>
      <c r="I1007" s="1" t="n">
        <v>39.5</v>
      </c>
      <c r="J1007" s="1" t="n">
        <v>12.9</v>
      </c>
      <c r="K1007" s="1" t="n">
        <v>137.2</v>
      </c>
      <c r="L1007" s="1" t="n">
        <v>0</v>
      </c>
      <c r="M1007" s="1" t="n">
        <v>0</v>
      </c>
      <c r="N1007" s="1" t="s">
        <v>566</v>
      </c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Z1007" s="0" t="n">
        <f aca="false">I1007+65</f>
        <v>104.5</v>
      </c>
      <c r="AB1007" s="0" t="n">
        <f aca="false">IF(Z1007&gt;360,Z1007-360,Z1007+0)</f>
        <v>104.5</v>
      </c>
    </row>
    <row r="1008" customFormat="false" ht="15.8" hidden="false" customHeight="false" outlineLevel="0" collapsed="false">
      <c r="A1008" s="1" t="n">
        <v>19</v>
      </c>
      <c r="B1008" s="1" t="n">
        <v>7</v>
      </c>
      <c r="C1008" s="1" t="n">
        <v>2.1</v>
      </c>
      <c r="D1008" s="1" t="n">
        <v>1.1093</v>
      </c>
      <c r="E1008" s="1" t="n">
        <v>0.0766723</v>
      </c>
      <c r="F1008" s="1" t="n">
        <v>0.000220382</v>
      </c>
      <c r="G1008" s="1" t="s">
        <v>37</v>
      </c>
      <c r="H1008" s="1" t="n">
        <v>25.8</v>
      </c>
      <c r="I1008" s="1" t="n">
        <v>20.5</v>
      </c>
      <c r="J1008" s="1" t="n">
        <v>-11.8</v>
      </c>
      <c r="K1008" s="1" t="n">
        <v>111.5</v>
      </c>
      <c r="L1008" s="1" t="n">
        <v>0</v>
      </c>
      <c r="M1008" s="1" t="n">
        <v>0</v>
      </c>
      <c r="N1008" s="1" t="s">
        <v>565</v>
      </c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Z1008" s="0" t="n">
        <f aca="false">I1008+65</f>
        <v>85.5</v>
      </c>
      <c r="AB1008" s="0" t="n">
        <f aca="false">IF(Z1008&gt;360,Z1008-360,Z1008+0)</f>
        <v>85.5</v>
      </c>
    </row>
    <row r="1009" customFormat="false" ht="15.8" hidden="false" customHeight="false" outlineLevel="0" collapsed="false">
      <c r="A1009" s="1" t="n">
        <v>19</v>
      </c>
      <c r="B1009" s="1" t="n">
        <v>6</v>
      </c>
      <c r="C1009" s="1" t="n">
        <v>3.7</v>
      </c>
      <c r="D1009" s="1" t="n">
        <v>1.5596</v>
      </c>
      <c r="E1009" s="1" t="n">
        <v>0.132325</v>
      </c>
      <c r="F1009" s="1" t="n">
        <v>0.000380347</v>
      </c>
      <c r="G1009" s="1" t="s">
        <v>37</v>
      </c>
      <c r="H1009" s="1" t="n">
        <v>68.3</v>
      </c>
      <c r="I1009" s="1" t="n">
        <v>5.9</v>
      </c>
      <c r="J1009" s="1" t="n">
        <v>9.6</v>
      </c>
      <c r="K1009" s="1" t="n">
        <v>110.1</v>
      </c>
      <c r="L1009" s="1" t="n">
        <v>0</v>
      </c>
      <c r="M1009" s="1" t="n">
        <v>0</v>
      </c>
      <c r="N1009" s="1" t="s">
        <v>563</v>
      </c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Z1009" s="0" t="n">
        <f aca="false">I1009+65</f>
        <v>70.9</v>
      </c>
      <c r="AB1009" s="0" t="n">
        <f aca="false">IF(Z1009&gt;360,Z1009-360,Z1009+0)</f>
        <v>70.9</v>
      </c>
    </row>
    <row r="1010" customFormat="false" ht="15.8" hidden="false" customHeight="false" outlineLevel="0" collapsed="false">
      <c r="A1010" s="1" t="n">
        <v>19</v>
      </c>
      <c r="B1010" s="1" t="n">
        <v>5</v>
      </c>
      <c r="C1010" s="1" t="n">
        <v>2.5</v>
      </c>
      <c r="D1010" s="1" t="n">
        <v>1.2405</v>
      </c>
      <c r="E1010" s="1" t="n">
        <v>0.0891555</v>
      </c>
      <c r="F1010" s="1" t="n">
        <v>0.000256263</v>
      </c>
      <c r="G1010" s="1" t="s">
        <v>37</v>
      </c>
      <c r="H1010" s="1" t="n">
        <v>42.5</v>
      </c>
      <c r="I1010" s="1" t="n">
        <v>295.8</v>
      </c>
      <c r="J1010" s="1" t="n">
        <v>36</v>
      </c>
      <c r="K1010" s="1" t="n">
        <v>68.3</v>
      </c>
      <c r="L1010" s="1" t="n">
        <v>0</v>
      </c>
      <c r="M1010" s="1" t="n">
        <v>0</v>
      </c>
      <c r="N1010" s="1" t="s">
        <v>568</v>
      </c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Z1010" s="0" t="n">
        <f aca="false">I1010+65</f>
        <v>360.8</v>
      </c>
      <c r="AB1010" s="0" t="n">
        <f aca="false">IF(Z1010&gt;360,Z1010-360,Z1010+0)</f>
        <v>0.800000000000011</v>
      </c>
    </row>
    <row r="1011" customFormat="false" ht="15.8" hidden="false" customHeight="false" outlineLevel="0" collapsed="false">
      <c r="A1011" s="1" t="n">
        <v>19</v>
      </c>
      <c r="B1011" s="1" t="n">
        <v>6</v>
      </c>
      <c r="C1011" s="1" t="n">
        <v>0.7</v>
      </c>
      <c r="D1011" s="1" t="n">
        <v>1.1551</v>
      </c>
      <c r="E1011" s="1" t="n">
        <v>0.0240798</v>
      </c>
      <c r="F1011" s="1" t="n">
        <v>6.92133E-005</v>
      </c>
      <c r="G1011" s="1" t="s">
        <v>27</v>
      </c>
      <c r="H1011" s="1" t="n">
        <v>134.5</v>
      </c>
      <c r="I1011" s="1" t="n">
        <v>0</v>
      </c>
      <c r="J1011" s="1" t="n">
        <v>-42.5</v>
      </c>
      <c r="K1011" s="1"/>
      <c r="L1011" s="1" t="n">
        <v>0</v>
      </c>
      <c r="M1011" s="1" t="n">
        <v>0</v>
      </c>
      <c r="N1011" s="1" t="s">
        <v>569</v>
      </c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Z1011" s="0" t="n">
        <f aca="false">I1011+65</f>
        <v>65</v>
      </c>
      <c r="AB1011" s="0" t="n">
        <f aca="false">IF(Z1011&gt;360,Z1011-360,Z1011+0)</f>
        <v>65</v>
      </c>
    </row>
    <row r="1012" customFormat="false" ht="15.8" hidden="false" customHeight="false" outlineLevel="0" collapsed="false">
      <c r="A1012" s="1" t="n">
        <v>19</v>
      </c>
      <c r="B1012" s="1" t="n">
        <v>9</v>
      </c>
      <c r="C1012" s="1" t="n">
        <v>1.5</v>
      </c>
      <c r="D1012" s="1" t="n">
        <v>1.1311</v>
      </c>
      <c r="E1012" s="1" t="n">
        <v>0.0535509</v>
      </c>
      <c r="F1012" s="1" t="n">
        <v>0.000153923</v>
      </c>
      <c r="G1012" s="1" t="s">
        <v>27</v>
      </c>
      <c r="H1012" s="1" t="n">
        <v>86.7</v>
      </c>
      <c r="I1012" s="1" t="n">
        <v>52.9</v>
      </c>
      <c r="J1012" s="1" t="n">
        <v>-63.2</v>
      </c>
      <c r="K1012" s="1"/>
      <c r="L1012" s="1" t="n">
        <v>0</v>
      </c>
      <c r="M1012" s="1" t="n">
        <v>0</v>
      </c>
      <c r="N1012" s="1" t="s">
        <v>570</v>
      </c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Z1012" s="0" t="n">
        <f aca="false">I1012+65</f>
        <v>117.9</v>
      </c>
      <c r="AB1012" s="0" t="n">
        <f aca="false">IF(Z1012&gt;360,Z1012-360,Z1012+0)</f>
        <v>117.9</v>
      </c>
    </row>
    <row r="1013" customFormat="false" ht="15.8" hidden="false" customHeight="false" outlineLevel="0" collapsed="false">
      <c r="A1013" s="1" t="n">
        <v>19</v>
      </c>
      <c r="B1013" s="1" t="n">
        <v>9</v>
      </c>
      <c r="C1013" s="1" t="n">
        <v>1.2</v>
      </c>
      <c r="D1013" s="1" t="n">
        <v>1.1102</v>
      </c>
      <c r="E1013" s="1" t="n">
        <v>0.0418047</v>
      </c>
      <c r="F1013" s="1" t="n">
        <v>0.000120161</v>
      </c>
      <c r="G1013" s="1" t="s">
        <v>27</v>
      </c>
      <c r="H1013" s="1" t="n">
        <v>53.3</v>
      </c>
      <c r="I1013" s="1" t="n">
        <v>277</v>
      </c>
      <c r="J1013" s="1" t="n">
        <v>0</v>
      </c>
      <c r="K1013" s="1"/>
      <c r="L1013" s="1" t="n">
        <v>0</v>
      </c>
      <c r="M1013" s="1" t="n">
        <v>0</v>
      </c>
      <c r="N1013" s="1" t="s">
        <v>570</v>
      </c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Z1013" s="0" t="n">
        <f aca="false">I1013+65</f>
        <v>342</v>
      </c>
      <c r="AB1013" s="0" t="n">
        <f aca="false">IF(Z1013&gt;360,Z1013-360,Z1013+0)</f>
        <v>342</v>
      </c>
    </row>
    <row r="1014" customFormat="false" ht="15.8" hidden="false" customHeight="false" outlineLevel="0" collapsed="false">
      <c r="A1014" s="1" t="n">
        <v>19</v>
      </c>
      <c r="B1014" s="1" t="n">
        <v>8</v>
      </c>
      <c r="C1014" s="1" t="n">
        <v>1.6</v>
      </c>
      <c r="D1014" s="1" t="n">
        <v>1.5823</v>
      </c>
      <c r="E1014" s="1" t="n">
        <v>0.0582734</v>
      </c>
      <c r="F1014" s="1" t="n">
        <v>0.000167497</v>
      </c>
      <c r="G1014" s="1" t="s">
        <v>37</v>
      </c>
      <c r="H1014" s="1" t="n">
        <v>72.5</v>
      </c>
      <c r="I1014" s="1" t="n">
        <v>330.3</v>
      </c>
      <c r="J1014" s="1" t="n">
        <v>0</v>
      </c>
      <c r="K1014" s="1" t="n">
        <v>86.7</v>
      </c>
      <c r="L1014" s="1" t="n">
        <v>0</v>
      </c>
      <c r="M1014" s="1" t="n">
        <v>0</v>
      </c>
      <c r="N1014" s="1" t="s">
        <v>571</v>
      </c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Z1014" s="0" t="n">
        <f aca="false">I1014+65</f>
        <v>395.3</v>
      </c>
      <c r="AB1014" s="0" t="n">
        <f aca="false">IF(Z1014&gt;360,Z1014-360,Z1014+0)</f>
        <v>35.3</v>
      </c>
    </row>
    <row r="1015" customFormat="false" ht="15.8" hidden="false" customHeight="false" outlineLevel="0" collapsed="false">
      <c r="A1015" s="1" t="n">
        <v>19</v>
      </c>
      <c r="B1015" s="1" t="n">
        <v>8</v>
      </c>
      <c r="C1015" s="1" t="n">
        <v>4.4</v>
      </c>
      <c r="D1015" s="1" t="n">
        <v>1.6163</v>
      </c>
      <c r="E1015" s="1" t="n">
        <v>0.158515</v>
      </c>
      <c r="F1015" s="1" t="n">
        <v>0.000455625</v>
      </c>
      <c r="G1015" s="1" t="s">
        <v>27</v>
      </c>
      <c r="H1015" s="1" t="n">
        <v>82</v>
      </c>
      <c r="I1015" s="1" t="n">
        <v>181.9</v>
      </c>
      <c r="J1015" s="1" t="n">
        <v>25.5</v>
      </c>
      <c r="K1015" s="1"/>
      <c r="L1015" s="1" t="n">
        <v>0</v>
      </c>
      <c r="M1015" s="1" t="n">
        <v>0</v>
      </c>
      <c r="N1015" s="1" t="s">
        <v>571</v>
      </c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Z1015" s="0" t="n">
        <f aca="false">I1015+65</f>
        <v>246.9</v>
      </c>
      <c r="AB1015" s="0" t="n">
        <f aca="false">IF(Z1015&gt;360,Z1015-360,Z1015+0)</f>
        <v>246.9</v>
      </c>
    </row>
    <row r="1016" customFormat="false" ht="15.8" hidden="false" customHeight="false" outlineLevel="0" collapsed="false">
      <c r="A1016" s="1" t="n">
        <v>19</v>
      </c>
      <c r="B1016" s="1" t="n">
        <v>7</v>
      </c>
      <c r="C1016" s="1" t="n">
        <v>5.3</v>
      </c>
      <c r="D1016" s="1" t="n">
        <v>1.1357</v>
      </c>
      <c r="E1016" s="1" t="n">
        <v>0.189754</v>
      </c>
      <c r="F1016" s="1" t="n">
        <v>0.000545417</v>
      </c>
      <c r="G1016" s="1" t="s">
        <v>37</v>
      </c>
      <c r="H1016" s="1" t="n">
        <v>12.8</v>
      </c>
      <c r="I1016" s="1" t="n">
        <v>258.1</v>
      </c>
      <c r="J1016" s="1" t="n">
        <v>-9.7</v>
      </c>
      <c r="K1016" s="1" t="n">
        <v>82</v>
      </c>
      <c r="L1016" s="1" t="n">
        <v>0</v>
      </c>
      <c r="M1016" s="1" t="n">
        <v>0</v>
      </c>
      <c r="N1016" s="1" t="s">
        <v>572</v>
      </c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Z1016" s="0" t="n">
        <f aca="false">I1016+65</f>
        <v>323.1</v>
      </c>
      <c r="AB1016" s="0" t="n">
        <f aca="false">IF(Z1016&gt;360,Z1016-360,Z1016+0)</f>
        <v>323.1</v>
      </c>
    </row>
    <row r="1017" customFormat="false" ht="15.8" hidden="false" customHeight="false" outlineLevel="0" collapsed="false">
      <c r="A1017" s="1" t="n">
        <v>19</v>
      </c>
      <c r="B1017" s="1" t="n">
        <v>8</v>
      </c>
      <c r="C1017" s="1" t="n">
        <v>2.1</v>
      </c>
      <c r="D1017" s="1" t="n">
        <v>1.422</v>
      </c>
      <c r="E1017" s="1" t="n">
        <v>0.0750042</v>
      </c>
      <c r="F1017" s="1" t="n">
        <v>0.000215587</v>
      </c>
      <c r="G1017" s="1" t="s">
        <v>27</v>
      </c>
      <c r="H1017" s="1" t="n">
        <v>59.1</v>
      </c>
      <c r="I1017" s="1" t="n">
        <v>302.6</v>
      </c>
      <c r="J1017" s="1" t="n">
        <v>53.2</v>
      </c>
      <c r="K1017" s="1"/>
      <c r="L1017" s="1" t="n">
        <v>0</v>
      </c>
      <c r="M1017" s="1" t="n">
        <v>0</v>
      </c>
      <c r="N1017" s="1" t="s">
        <v>573</v>
      </c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Z1017" s="0" t="n">
        <f aca="false">I1017+65</f>
        <v>367.6</v>
      </c>
      <c r="AB1017" s="0" t="n">
        <f aca="false">IF(Z1017&gt;360,Z1017-360,Z1017+0)</f>
        <v>7.60000000000002</v>
      </c>
    </row>
    <row r="1018" customFormat="false" ht="15.8" hidden="false" customHeight="false" outlineLevel="0" collapsed="false">
      <c r="A1018" s="1" t="n">
        <v>19</v>
      </c>
      <c r="B1018" s="1" t="n">
        <v>9</v>
      </c>
      <c r="C1018" s="1" t="n">
        <v>3.1</v>
      </c>
      <c r="D1018" s="1" t="n">
        <v>1.1281</v>
      </c>
      <c r="E1018" s="1" t="n">
        <v>0.113164</v>
      </c>
      <c r="F1018" s="1" t="n">
        <v>0.000325271</v>
      </c>
      <c r="G1018" s="1" t="s">
        <v>27</v>
      </c>
      <c r="H1018" s="1" t="n">
        <v>88.5</v>
      </c>
      <c r="I1018" s="1" t="n">
        <v>187.7</v>
      </c>
      <c r="J1018" s="1" t="n">
        <v>-8.1</v>
      </c>
      <c r="K1018" s="1"/>
      <c r="L1018" s="1" t="n">
        <v>0</v>
      </c>
      <c r="M1018" s="1" t="n">
        <v>0</v>
      </c>
      <c r="N1018" s="1" t="s">
        <v>574</v>
      </c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Z1018" s="0" t="n">
        <f aca="false">I1018+65</f>
        <v>252.7</v>
      </c>
      <c r="AB1018" s="0" t="n">
        <f aca="false">IF(Z1018&gt;360,Z1018-360,Z1018+0)</f>
        <v>252.7</v>
      </c>
    </row>
    <row r="1019" customFormat="false" ht="15.8" hidden="false" customHeight="false" outlineLevel="0" collapsed="false">
      <c r="A1019" s="1" t="n">
        <v>19</v>
      </c>
      <c r="B1019" s="1" t="n">
        <v>11</v>
      </c>
      <c r="C1019" s="1" t="n">
        <v>1.5</v>
      </c>
      <c r="D1019" s="1" t="n">
        <v>1.2268</v>
      </c>
      <c r="E1019" s="1" t="n">
        <v>0.0542282</v>
      </c>
      <c r="F1019" s="1" t="n">
        <v>0.00015587</v>
      </c>
      <c r="G1019" s="1" t="s">
        <v>27</v>
      </c>
      <c r="H1019" s="1" t="n">
        <v>63.5</v>
      </c>
      <c r="I1019" s="1" t="n">
        <v>268.6</v>
      </c>
      <c r="J1019" s="1" t="n">
        <v>-39.6</v>
      </c>
      <c r="K1019" s="1"/>
      <c r="L1019" s="1" t="n">
        <v>0</v>
      </c>
      <c r="M1019" s="1" t="n">
        <v>0</v>
      </c>
      <c r="N1019" s="1" t="s">
        <v>575</v>
      </c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Z1019" s="0" t="n">
        <f aca="false">I1019+65</f>
        <v>333.6</v>
      </c>
      <c r="AB1019" s="0" t="n">
        <f aca="false">IF(Z1019&gt;360,Z1019-360,Z1019+0)</f>
        <v>333.6</v>
      </c>
    </row>
    <row r="1020" customFormat="false" ht="15.8" hidden="false" customHeight="false" outlineLevel="0" collapsed="false">
      <c r="A1020" s="1" t="n">
        <v>19</v>
      </c>
      <c r="B1020" s="1" t="n">
        <v>11</v>
      </c>
      <c r="C1020" s="1" t="n">
        <v>1.7</v>
      </c>
      <c r="D1020" s="1" t="n">
        <v>1.286</v>
      </c>
      <c r="E1020" s="1" t="n">
        <v>0.0599011</v>
      </c>
      <c r="F1020" s="1" t="n">
        <v>0.000172176</v>
      </c>
      <c r="G1020" s="1" t="s">
        <v>27</v>
      </c>
      <c r="H1020" s="1" t="n">
        <v>76</v>
      </c>
      <c r="I1020" s="1" t="n">
        <v>111.7</v>
      </c>
      <c r="J1020" s="1" t="n">
        <v>-37.2</v>
      </c>
      <c r="K1020" s="1"/>
      <c r="L1020" s="1" t="n">
        <v>0</v>
      </c>
      <c r="M1020" s="1" t="n">
        <v>0</v>
      </c>
      <c r="N1020" s="1" t="s">
        <v>575</v>
      </c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Z1020" s="0" t="n">
        <f aca="false">I1020+65</f>
        <v>176.7</v>
      </c>
      <c r="AB1020" s="0" t="n">
        <f aca="false">IF(Z1020&gt;360,Z1020-360,Z1020+0)</f>
        <v>176.7</v>
      </c>
    </row>
    <row r="1021" customFormat="false" ht="15.8" hidden="false" customHeight="false" outlineLevel="0" collapsed="false">
      <c r="A1021" s="1" t="n">
        <v>19</v>
      </c>
      <c r="B1021" s="1" t="n">
        <v>10</v>
      </c>
      <c r="C1021" s="1" t="n">
        <v>2.6</v>
      </c>
      <c r="D1021" s="1" t="n">
        <v>1.2102</v>
      </c>
      <c r="E1021" s="1" t="n">
        <v>0.0937459</v>
      </c>
      <c r="F1021" s="1" t="n">
        <v>0.000269457</v>
      </c>
      <c r="G1021" s="1" t="s">
        <v>37</v>
      </c>
      <c r="H1021" s="1" t="n">
        <v>92.2</v>
      </c>
      <c r="I1021" s="1" t="n">
        <v>0.4</v>
      </c>
      <c r="J1021" s="1" t="n">
        <v>-46.7</v>
      </c>
      <c r="K1021" s="1" t="n">
        <v>76</v>
      </c>
      <c r="L1021" s="1" t="n">
        <v>0</v>
      </c>
      <c r="M1021" s="1" t="n">
        <v>0</v>
      </c>
      <c r="N1021" s="1" t="s">
        <v>576</v>
      </c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Z1021" s="0" t="n">
        <f aca="false">I1021+65</f>
        <v>65.4</v>
      </c>
      <c r="AB1021" s="0" t="n">
        <f aca="false">IF(Z1021&gt;360,Z1021-360,Z1021+0)</f>
        <v>65.4</v>
      </c>
    </row>
    <row r="1022" customFormat="false" ht="15.8" hidden="false" customHeight="false" outlineLevel="0" collapsed="false">
      <c r="A1022" s="1" t="n">
        <v>19</v>
      </c>
      <c r="B1022" s="1" t="n">
        <v>12</v>
      </c>
      <c r="C1022" s="1" t="n">
        <v>2.8</v>
      </c>
      <c r="D1022" s="1" t="n">
        <v>1.205</v>
      </c>
      <c r="E1022" s="1" t="n">
        <v>0.101258</v>
      </c>
      <c r="F1022" s="1" t="n">
        <v>0.000291048</v>
      </c>
      <c r="G1022" s="1" t="s">
        <v>27</v>
      </c>
      <c r="H1022" s="1" t="n">
        <v>79</v>
      </c>
      <c r="I1022" s="1" t="n">
        <v>346</v>
      </c>
      <c r="J1022" s="1" t="n">
        <v>19.6</v>
      </c>
      <c r="K1022" s="1"/>
      <c r="L1022" s="1" t="n">
        <v>0</v>
      </c>
      <c r="M1022" s="1" t="n">
        <v>0</v>
      </c>
      <c r="N1022" s="1" t="s">
        <v>577</v>
      </c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Z1022" s="0" t="n">
        <f aca="false">I1022+65</f>
        <v>411</v>
      </c>
      <c r="AB1022" s="0" t="n">
        <f aca="false">IF(Z1022&gt;360,Z1022-360,Z1022+0)</f>
        <v>51</v>
      </c>
    </row>
    <row r="1023" customFormat="false" ht="15.8" hidden="false" customHeight="false" outlineLevel="0" collapsed="false">
      <c r="A1023" s="1" t="n">
        <v>19</v>
      </c>
      <c r="B1023" s="1" t="n">
        <v>12</v>
      </c>
      <c r="C1023" s="1" t="n">
        <v>1.6</v>
      </c>
      <c r="D1023" s="1" t="n">
        <v>1.2273</v>
      </c>
      <c r="E1023" s="1" t="n">
        <v>0.0587793</v>
      </c>
      <c r="F1023" s="1" t="n">
        <v>0.000168951</v>
      </c>
      <c r="G1023" s="1" t="s">
        <v>27</v>
      </c>
      <c r="H1023" s="1" t="n">
        <v>36.1</v>
      </c>
      <c r="I1023" s="1" t="n">
        <v>265.7</v>
      </c>
      <c r="J1023" s="1" t="n">
        <v>-36</v>
      </c>
      <c r="K1023" s="1"/>
      <c r="L1023" s="1" t="n">
        <v>0</v>
      </c>
      <c r="M1023" s="1" t="n">
        <v>0</v>
      </c>
      <c r="N1023" s="1" t="s">
        <v>577</v>
      </c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Z1023" s="0" t="n">
        <f aca="false">I1023+65</f>
        <v>330.7</v>
      </c>
      <c r="AB1023" s="0" t="n">
        <f aca="false">IF(Z1023&gt;360,Z1023-360,Z1023+0)</f>
        <v>330.7</v>
      </c>
    </row>
    <row r="1024" customFormat="false" ht="15.8" hidden="false" customHeight="false" outlineLevel="0" collapsed="false">
      <c r="A1024" s="1" t="n">
        <v>19</v>
      </c>
      <c r="B1024" s="1" t="n">
        <v>12</v>
      </c>
      <c r="C1024" s="1" t="n">
        <v>1.7</v>
      </c>
      <c r="D1024" s="1" t="n">
        <v>1.2385</v>
      </c>
      <c r="E1024" s="1" t="n">
        <v>0.0604541</v>
      </c>
      <c r="F1024" s="1" t="n">
        <v>0.000173765</v>
      </c>
      <c r="G1024" s="1" t="s">
        <v>27</v>
      </c>
      <c r="H1024" s="1" t="n">
        <v>82.3</v>
      </c>
      <c r="I1024" s="1" t="n">
        <v>342.2</v>
      </c>
      <c r="J1024" s="1" t="n">
        <v>-60</v>
      </c>
      <c r="K1024" s="1"/>
      <c r="L1024" s="1" t="n">
        <v>0</v>
      </c>
      <c r="M1024" s="1" t="n">
        <v>0</v>
      </c>
      <c r="N1024" s="1" t="s">
        <v>577</v>
      </c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Z1024" s="0" t="n">
        <f aca="false">I1024+65</f>
        <v>407.2</v>
      </c>
      <c r="AB1024" s="0" t="n">
        <f aca="false">IF(Z1024&gt;360,Z1024-360,Z1024+0)</f>
        <v>47.2</v>
      </c>
    </row>
    <row r="1025" customFormat="false" ht="15.8" hidden="false" customHeight="false" outlineLevel="0" collapsed="false">
      <c r="A1025" s="1" t="n">
        <v>19</v>
      </c>
      <c r="B1025" s="1" t="n">
        <v>11</v>
      </c>
      <c r="C1025" s="1" t="n">
        <v>1.2</v>
      </c>
      <c r="D1025" s="1" t="n">
        <v>1.08</v>
      </c>
      <c r="E1025" s="1" t="n">
        <v>0.0448865</v>
      </c>
      <c r="F1025" s="1" t="n">
        <v>0.000129019</v>
      </c>
      <c r="G1025" s="1" t="s">
        <v>37</v>
      </c>
      <c r="H1025" s="1" t="n">
        <v>20.2</v>
      </c>
      <c r="I1025" s="1" t="n">
        <v>267.7</v>
      </c>
      <c r="J1025" s="1" t="n">
        <v>0</v>
      </c>
      <c r="K1025" s="1" t="n">
        <v>82.3</v>
      </c>
      <c r="L1025" s="1" t="n">
        <v>0</v>
      </c>
      <c r="M1025" s="1" t="n">
        <v>0</v>
      </c>
      <c r="N1025" s="1" t="s">
        <v>578</v>
      </c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Z1025" s="0" t="n">
        <f aca="false">I1025+65</f>
        <v>332.7</v>
      </c>
      <c r="AB1025" s="0" t="n">
        <f aca="false">IF(Z1025&gt;360,Z1025-360,Z1025+0)</f>
        <v>332.7</v>
      </c>
    </row>
    <row r="1026" customFormat="false" ht="15.8" hidden="false" customHeight="false" outlineLevel="0" collapsed="false">
      <c r="A1026" s="1" t="n">
        <v>19</v>
      </c>
      <c r="B1026" s="1" t="n">
        <v>12</v>
      </c>
      <c r="C1026" s="1" t="n">
        <v>1.5</v>
      </c>
      <c r="D1026" s="1" t="n">
        <v>1.095</v>
      </c>
      <c r="E1026" s="1" t="n">
        <v>0.0545323</v>
      </c>
      <c r="F1026" s="1" t="n">
        <v>0.000156744</v>
      </c>
      <c r="G1026" s="1" t="s">
        <v>27</v>
      </c>
      <c r="H1026" s="1" t="n">
        <v>153.8</v>
      </c>
      <c r="I1026" s="1" t="n">
        <v>65.4</v>
      </c>
      <c r="J1026" s="1" t="n">
        <v>0</v>
      </c>
      <c r="K1026" s="1"/>
      <c r="L1026" s="1" t="n">
        <v>0</v>
      </c>
      <c r="M1026" s="1" t="n">
        <v>0</v>
      </c>
      <c r="N1026" s="1" t="s">
        <v>579</v>
      </c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Z1026" s="0" t="n">
        <f aca="false">I1026+65</f>
        <v>130.4</v>
      </c>
      <c r="AB1026" s="0" t="n">
        <f aca="false">IF(Z1026&gt;360,Z1026-360,Z1026+0)</f>
        <v>130.4</v>
      </c>
    </row>
    <row r="1027" customFormat="false" ht="15.8" hidden="false" customHeight="false" outlineLevel="0" collapsed="false">
      <c r="A1027" s="1" t="n">
        <v>19</v>
      </c>
      <c r="B1027" s="1" t="n">
        <v>12</v>
      </c>
      <c r="C1027" s="1" t="n">
        <v>1.9</v>
      </c>
      <c r="D1027" s="1" t="n">
        <v>1.2374</v>
      </c>
      <c r="E1027" s="1" t="n">
        <v>0.067271</v>
      </c>
      <c r="F1027" s="1" t="n">
        <v>0.000193359</v>
      </c>
      <c r="G1027" s="1" t="s">
        <v>27</v>
      </c>
      <c r="H1027" s="1" t="n">
        <v>80.6</v>
      </c>
      <c r="I1027" s="1" t="n">
        <v>294.4</v>
      </c>
      <c r="J1027" s="1" t="n">
        <v>-51</v>
      </c>
      <c r="K1027" s="1"/>
      <c r="L1027" s="1" t="n">
        <v>0</v>
      </c>
      <c r="M1027" s="1" t="n">
        <v>0</v>
      </c>
      <c r="N1027" s="1" t="s">
        <v>579</v>
      </c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Z1027" s="0" t="n">
        <f aca="false">I1027+65</f>
        <v>359.4</v>
      </c>
      <c r="AB1027" s="0" t="n">
        <f aca="false">IF(Z1027&gt;360,Z1027-360,Z1027+0)</f>
        <v>359.4</v>
      </c>
    </row>
    <row r="1028" customFormat="false" ht="15.8" hidden="false" customHeight="false" outlineLevel="0" collapsed="false">
      <c r="A1028" s="1" t="n">
        <v>19</v>
      </c>
      <c r="B1028" s="1" t="n">
        <v>13</v>
      </c>
      <c r="C1028" s="1" t="n">
        <v>1</v>
      </c>
      <c r="D1028" s="1" t="n">
        <v>1.1855</v>
      </c>
      <c r="E1028" s="1" t="n">
        <v>0.0344112</v>
      </c>
      <c r="F1028" s="1" t="n">
        <v>9.89092E-005</v>
      </c>
      <c r="G1028" s="1" t="s">
        <v>27</v>
      </c>
      <c r="H1028" s="1" t="n">
        <v>21.6</v>
      </c>
      <c r="I1028" s="1" t="n">
        <v>186</v>
      </c>
      <c r="J1028" s="1" t="n">
        <v>29</v>
      </c>
      <c r="K1028" s="1"/>
      <c r="L1028" s="1" t="n">
        <v>0</v>
      </c>
      <c r="M1028" s="1" t="n">
        <v>0</v>
      </c>
      <c r="N1028" s="1" t="s">
        <v>580</v>
      </c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Z1028" s="0" t="n">
        <f aca="false">I1028+65</f>
        <v>251</v>
      </c>
      <c r="AB1028" s="0" t="n">
        <f aca="false">IF(Z1028&gt;360,Z1028-360,Z1028+0)</f>
        <v>251</v>
      </c>
    </row>
    <row r="1029" customFormat="false" ht="15.8" hidden="false" customHeight="false" outlineLevel="0" collapsed="false">
      <c r="A1029" s="1" t="n">
        <v>19</v>
      </c>
      <c r="B1029" s="1" t="n">
        <v>13</v>
      </c>
      <c r="C1029" s="1" t="n">
        <v>1.7</v>
      </c>
      <c r="D1029" s="1" t="n">
        <v>1.1944</v>
      </c>
      <c r="E1029" s="1" t="n">
        <v>0.0610726</v>
      </c>
      <c r="F1029" s="1" t="n">
        <v>0.000175543</v>
      </c>
      <c r="G1029" s="1" t="s">
        <v>27</v>
      </c>
      <c r="H1029" s="1" t="n">
        <v>82.7</v>
      </c>
      <c r="I1029" s="1" t="n">
        <v>283.7</v>
      </c>
      <c r="J1029" s="1" t="n">
        <v>-16</v>
      </c>
      <c r="K1029" s="1"/>
      <c r="L1029" s="1" t="n">
        <v>0</v>
      </c>
      <c r="M1029" s="1" t="n">
        <v>0</v>
      </c>
      <c r="N1029" s="1" t="s">
        <v>580</v>
      </c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Z1029" s="0" t="n">
        <f aca="false">I1029+65</f>
        <v>348.7</v>
      </c>
      <c r="AB1029" s="0" t="n">
        <f aca="false">IF(Z1029&gt;360,Z1029-360,Z1029+0)</f>
        <v>348.7</v>
      </c>
    </row>
    <row r="1030" customFormat="false" ht="15.8" hidden="false" customHeight="false" outlineLevel="0" collapsed="false">
      <c r="A1030" s="1" t="n">
        <v>19</v>
      </c>
      <c r="B1030" s="1" t="n">
        <v>13</v>
      </c>
      <c r="C1030" s="1" t="n">
        <v>1.4</v>
      </c>
      <c r="D1030" s="1" t="n">
        <v>1.2166</v>
      </c>
      <c r="E1030" s="1" t="n">
        <v>0.0500431</v>
      </c>
      <c r="F1030" s="1" t="n">
        <v>0.000143841</v>
      </c>
      <c r="G1030" s="1" t="s">
        <v>27</v>
      </c>
      <c r="H1030" s="1" t="n">
        <v>96.1</v>
      </c>
      <c r="I1030" s="1" t="n">
        <v>86</v>
      </c>
      <c r="J1030" s="1" t="n">
        <v>43.2</v>
      </c>
      <c r="K1030" s="1"/>
      <c r="L1030" s="1" t="n">
        <v>0</v>
      </c>
      <c r="M1030" s="1" t="n">
        <v>0</v>
      </c>
      <c r="N1030" s="1" t="s">
        <v>580</v>
      </c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Z1030" s="0" t="n">
        <f aca="false">I1030+65</f>
        <v>151</v>
      </c>
      <c r="AB1030" s="0" t="n">
        <f aca="false">IF(Z1030&gt;360,Z1030-360,Z1030+0)</f>
        <v>151</v>
      </c>
    </row>
    <row r="1031" customFormat="false" ht="15.8" hidden="false" customHeight="false" outlineLevel="0" collapsed="false">
      <c r="A1031" s="1" t="n">
        <v>19</v>
      </c>
      <c r="B1031" s="1" t="n">
        <v>12</v>
      </c>
      <c r="C1031" s="1" t="n">
        <v>1.2</v>
      </c>
      <c r="D1031" s="1" t="n">
        <v>1.2017</v>
      </c>
      <c r="E1031" s="1" t="n">
        <v>0.0448581</v>
      </c>
      <c r="F1031" s="1" t="n">
        <v>0.000128937</v>
      </c>
      <c r="G1031" s="1" t="s">
        <v>37</v>
      </c>
      <c r="H1031" s="1" t="n">
        <v>45.6</v>
      </c>
      <c r="I1031" s="1" t="n">
        <v>208.7</v>
      </c>
      <c r="J1031" s="1" t="n">
        <v>22.2</v>
      </c>
      <c r="K1031" s="1" t="n">
        <v>96.1</v>
      </c>
      <c r="L1031" s="1" t="n">
        <v>0</v>
      </c>
      <c r="M1031" s="1" t="n">
        <v>0</v>
      </c>
      <c r="N1031" s="1" t="s">
        <v>579</v>
      </c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Z1031" s="0" t="n">
        <f aca="false">I1031+65</f>
        <v>273.7</v>
      </c>
      <c r="AB1031" s="0" t="n">
        <f aca="false">IF(Z1031&gt;360,Z1031-360,Z1031+0)</f>
        <v>273.7</v>
      </c>
    </row>
    <row r="1032" customFormat="false" ht="15.8" hidden="false" customHeight="false" outlineLevel="0" collapsed="false">
      <c r="A1032" s="1" t="n">
        <v>19</v>
      </c>
      <c r="B1032" s="1" t="n">
        <v>11</v>
      </c>
      <c r="C1032" s="1" t="n">
        <v>7.4</v>
      </c>
      <c r="D1032" s="1" t="n">
        <v>1.2333</v>
      </c>
      <c r="E1032" s="1" t="n">
        <v>0.266523</v>
      </c>
      <c r="F1032" s="1" t="n">
        <v>0.000766077</v>
      </c>
      <c r="G1032" s="1" t="s">
        <v>37</v>
      </c>
      <c r="H1032" s="1" t="n">
        <v>44.7</v>
      </c>
      <c r="I1032" s="1" t="n">
        <v>258.3</v>
      </c>
      <c r="J1032" s="1" t="n">
        <v>23</v>
      </c>
      <c r="K1032" s="1" t="n">
        <v>153.8</v>
      </c>
      <c r="L1032" s="1" t="n">
        <v>0</v>
      </c>
      <c r="M1032" s="1" t="n">
        <v>0</v>
      </c>
      <c r="N1032" s="1" t="s">
        <v>578</v>
      </c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Z1032" s="0" t="n">
        <f aca="false">I1032+65</f>
        <v>323.3</v>
      </c>
      <c r="AB1032" s="0" t="n">
        <f aca="false">IF(Z1032&gt;360,Z1032-360,Z1032+0)</f>
        <v>323.3</v>
      </c>
    </row>
    <row r="1033" customFormat="false" ht="15.8" hidden="false" customHeight="false" outlineLevel="0" collapsed="false">
      <c r="A1033" s="1" t="n">
        <v>19</v>
      </c>
      <c r="B1033" s="1" t="n">
        <v>12</v>
      </c>
      <c r="C1033" s="1" t="n">
        <v>1.3</v>
      </c>
      <c r="D1033" s="1" t="n">
        <v>1.1576</v>
      </c>
      <c r="E1033" s="1" t="n">
        <v>0.0468448</v>
      </c>
      <c r="F1033" s="1" t="n">
        <v>0.000134648</v>
      </c>
      <c r="G1033" s="1" t="s">
        <v>27</v>
      </c>
      <c r="H1033" s="1" t="n">
        <v>49.6</v>
      </c>
      <c r="I1033" s="1" t="n">
        <v>265</v>
      </c>
      <c r="J1033" s="1" t="n">
        <v>-20.4</v>
      </c>
      <c r="K1033" s="1"/>
      <c r="L1033" s="1" t="n">
        <v>0</v>
      </c>
      <c r="M1033" s="1" t="n">
        <v>0</v>
      </c>
      <c r="N1033" s="1" t="s">
        <v>581</v>
      </c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Z1033" s="0" t="n">
        <f aca="false">I1033+65</f>
        <v>330</v>
      </c>
      <c r="AB1033" s="0" t="n">
        <f aca="false">IF(Z1033&gt;360,Z1033-360,Z1033+0)</f>
        <v>330</v>
      </c>
    </row>
    <row r="1034" customFormat="false" ht="15.8" hidden="false" customHeight="false" outlineLevel="0" collapsed="false">
      <c r="A1034" s="1" t="n">
        <v>19</v>
      </c>
      <c r="B1034" s="1" t="n">
        <v>13</v>
      </c>
      <c r="C1034" s="1" t="n">
        <v>1.5</v>
      </c>
      <c r="D1034" s="1" t="n">
        <v>1.1266</v>
      </c>
      <c r="E1034" s="1" t="n">
        <v>0.0529475</v>
      </c>
      <c r="F1034" s="1" t="n">
        <v>0.000152189</v>
      </c>
      <c r="G1034" s="1" t="s">
        <v>27</v>
      </c>
      <c r="H1034" s="1" t="n">
        <v>91.7</v>
      </c>
      <c r="I1034" s="1" t="n">
        <v>74.4</v>
      </c>
      <c r="J1034" s="1" t="n">
        <v>-17.4</v>
      </c>
      <c r="K1034" s="1"/>
      <c r="L1034" s="1" t="n">
        <v>0</v>
      </c>
      <c r="M1034" s="1" t="n">
        <v>0</v>
      </c>
      <c r="N1034" s="1" t="s">
        <v>582</v>
      </c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Z1034" s="0" t="n">
        <f aca="false">I1034+65</f>
        <v>139.4</v>
      </c>
      <c r="AB1034" s="0" t="n">
        <f aca="false">IF(Z1034&gt;360,Z1034-360,Z1034+0)</f>
        <v>139.4</v>
      </c>
    </row>
    <row r="1035" customFormat="false" ht="15.8" hidden="false" customHeight="false" outlineLevel="0" collapsed="false">
      <c r="A1035" s="1" t="n">
        <v>19</v>
      </c>
      <c r="B1035" s="1" t="n">
        <v>13</v>
      </c>
      <c r="C1035" s="1" t="n">
        <v>5</v>
      </c>
      <c r="D1035" s="1" t="n">
        <v>1.4942</v>
      </c>
      <c r="E1035" s="1" t="n">
        <v>0.179492</v>
      </c>
      <c r="F1035" s="1" t="n">
        <v>0.000515921</v>
      </c>
      <c r="G1035" s="1" t="s">
        <v>27</v>
      </c>
      <c r="H1035" s="1" t="n">
        <v>59.8</v>
      </c>
      <c r="I1035" s="1" t="n">
        <v>299.4</v>
      </c>
      <c r="J1035" s="1" t="n">
        <v>13.6</v>
      </c>
      <c r="K1035" s="1"/>
      <c r="L1035" s="1" t="n">
        <v>0</v>
      </c>
      <c r="M1035" s="1" t="n">
        <v>0</v>
      </c>
      <c r="N1035" s="1" t="s">
        <v>582</v>
      </c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Z1035" s="0" t="n">
        <f aca="false">I1035+65</f>
        <v>364.4</v>
      </c>
      <c r="AB1035" s="0" t="n">
        <f aca="false">IF(Z1035&gt;360,Z1035-360,Z1035+0)</f>
        <v>4.39999999999998</v>
      </c>
    </row>
    <row r="1036" customFormat="false" ht="15.8" hidden="false" customHeight="false" outlineLevel="0" collapsed="false">
      <c r="A1036" s="1" t="n">
        <v>19</v>
      </c>
      <c r="B1036" s="1" t="n">
        <v>12</v>
      </c>
      <c r="C1036" s="1" t="n">
        <v>0.6</v>
      </c>
      <c r="D1036" s="1" t="n">
        <v>1.1646</v>
      </c>
      <c r="E1036" s="1" t="n">
        <v>0.0232269</v>
      </c>
      <c r="F1036" s="1" t="n">
        <v>6.67618E-005</v>
      </c>
      <c r="G1036" s="1" t="s">
        <v>37</v>
      </c>
      <c r="H1036" s="1" t="n">
        <v>63.6</v>
      </c>
      <c r="I1036" s="1" t="n">
        <v>0</v>
      </c>
      <c r="J1036" s="1" t="n">
        <v>44.9</v>
      </c>
      <c r="K1036" s="1" t="n">
        <v>91.7</v>
      </c>
      <c r="L1036" s="1" t="n">
        <v>0</v>
      </c>
      <c r="M1036" s="1" t="n">
        <v>0</v>
      </c>
      <c r="N1036" s="1" t="s">
        <v>581</v>
      </c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Z1036" s="0" t="n">
        <f aca="false">I1036+65</f>
        <v>65</v>
      </c>
      <c r="AB1036" s="0" t="n">
        <f aca="false">IF(Z1036&gt;360,Z1036-360,Z1036+0)</f>
        <v>65</v>
      </c>
    </row>
    <row r="1037" customFormat="false" ht="15.8" hidden="false" customHeight="false" outlineLevel="0" collapsed="false">
      <c r="A1037" s="1" t="n">
        <v>19</v>
      </c>
      <c r="B1037" s="1" t="n">
        <v>11</v>
      </c>
      <c r="C1037" s="1" t="n">
        <v>12.9</v>
      </c>
      <c r="D1037" s="1" t="n">
        <v>1.5813</v>
      </c>
      <c r="E1037" s="1" t="n">
        <v>0.467631</v>
      </c>
      <c r="F1037" s="1" t="n">
        <v>0.00134413</v>
      </c>
      <c r="G1037" s="1" t="s">
        <v>37</v>
      </c>
      <c r="H1037" s="1" t="n">
        <v>35.9</v>
      </c>
      <c r="I1037" s="1" t="n">
        <v>312.5</v>
      </c>
      <c r="J1037" s="1" t="n">
        <v>-2.7</v>
      </c>
      <c r="K1037" s="1" t="n">
        <v>63.6</v>
      </c>
      <c r="L1037" s="1" t="n">
        <v>0</v>
      </c>
      <c r="M1037" s="1" t="n">
        <v>0</v>
      </c>
      <c r="N1037" s="1" t="s">
        <v>578</v>
      </c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Z1037" s="0" t="n">
        <f aca="false">I1037+65</f>
        <v>377.5</v>
      </c>
      <c r="AB1037" s="0" t="n">
        <f aca="false">IF(Z1037&gt;360,Z1037-360,Z1037+0)</f>
        <v>17.5</v>
      </c>
    </row>
    <row r="1038" customFormat="false" ht="15.8" hidden="false" customHeight="false" outlineLevel="0" collapsed="false">
      <c r="A1038" s="1" t="n">
        <v>19</v>
      </c>
      <c r="B1038" s="1" t="n">
        <v>10</v>
      </c>
      <c r="C1038" s="1" t="n">
        <v>4.8</v>
      </c>
      <c r="D1038" s="1" t="n">
        <v>1.1813</v>
      </c>
      <c r="E1038" s="1" t="n">
        <v>0.171781</v>
      </c>
      <c r="F1038" s="1" t="n">
        <v>0.000493755</v>
      </c>
      <c r="G1038" s="1" t="s">
        <v>37</v>
      </c>
      <c r="H1038" s="1" t="n">
        <v>37.2</v>
      </c>
      <c r="I1038" s="1" t="n">
        <v>278.9</v>
      </c>
      <c r="J1038" s="1" t="n">
        <v>-16.9</v>
      </c>
      <c r="K1038" s="1" t="n">
        <v>44.7</v>
      </c>
      <c r="L1038" s="1" t="n">
        <v>0</v>
      </c>
      <c r="M1038" s="1" t="n">
        <v>0</v>
      </c>
      <c r="N1038" s="1" t="s">
        <v>576</v>
      </c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Z1038" s="0" t="n">
        <f aca="false">I1038+65</f>
        <v>343.9</v>
      </c>
      <c r="AB1038" s="0" t="n">
        <f aca="false">IF(Z1038&gt;360,Z1038-360,Z1038+0)</f>
        <v>343.9</v>
      </c>
    </row>
    <row r="1039" customFormat="false" ht="15.8" hidden="false" customHeight="false" outlineLevel="0" collapsed="false">
      <c r="A1039" s="1" t="n">
        <v>19</v>
      </c>
      <c r="B1039" s="1" t="n">
        <v>9</v>
      </c>
      <c r="C1039" s="1" t="n">
        <v>1.4</v>
      </c>
      <c r="D1039" s="1" t="n">
        <v>1.1434</v>
      </c>
      <c r="E1039" s="1" t="n">
        <v>0.0492563</v>
      </c>
      <c r="F1039" s="1" t="n">
        <v>0.000141579</v>
      </c>
      <c r="G1039" s="1" t="s">
        <v>37</v>
      </c>
      <c r="H1039" s="1" t="n">
        <v>27.6</v>
      </c>
      <c r="I1039" s="1" t="n">
        <v>288.4</v>
      </c>
      <c r="J1039" s="1" t="n">
        <v>19.1</v>
      </c>
      <c r="K1039" s="1" t="n">
        <v>92.2</v>
      </c>
      <c r="L1039" s="1" t="n">
        <v>0</v>
      </c>
      <c r="M1039" s="1" t="n">
        <v>0</v>
      </c>
      <c r="N1039" s="1" t="s">
        <v>574</v>
      </c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Z1039" s="0" t="n">
        <f aca="false">I1039+65</f>
        <v>353.4</v>
      </c>
      <c r="AB1039" s="0" t="n">
        <f aca="false">IF(Z1039&gt;360,Z1039-360,Z1039+0)</f>
        <v>353.4</v>
      </c>
    </row>
    <row r="1040" customFormat="false" ht="15.8" hidden="false" customHeight="false" outlineLevel="0" collapsed="false">
      <c r="A1040" s="1" t="n">
        <v>19</v>
      </c>
      <c r="B1040" s="1" t="n">
        <v>8</v>
      </c>
      <c r="C1040" s="1" t="n">
        <v>4.5</v>
      </c>
      <c r="D1040" s="1" t="n">
        <v>1.21</v>
      </c>
      <c r="E1040" s="1" t="n">
        <v>0.161392</v>
      </c>
      <c r="F1040" s="1" t="n">
        <v>0.000463896</v>
      </c>
      <c r="G1040" s="1" t="s">
        <v>37</v>
      </c>
      <c r="H1040" s="1" t="n">
        <v>24.6</v>
      </c>
      <c r="I1040" s="1" t="n">
        <v>277</v>
      </c>
      <c r="J1040" s="1" t="n">
        <v>-6.1</v>
      </c>
      <c r="K1040" s="1" t="n">
        <v>88.5</v>
      </c>
      <c r="L1040" s="1" t="n">
        <v>0</v>
      </c>
      <c r="M1040" s="1" t="n">
        <v>0</v>
      </c>
      <c r="N1040" s="1" t="s">
        <v>573</v>
      </c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Z1040" s="0" t="n">
        <f aca="false">I1040+65</f>
        <v>342</v>
      </c>
      <c r="AB1040" s="0" t="n">
        <f aca="false">IF(Z1040&gt;360,Z1040-360,Z1040+0)</f>
        <v>342</v>
      </c>
    </row>
    <row r="1041" customFormat="false" ht="15.8" hidden="false" customHeight="false" outlineLevel="0" collapsed="false">
      <c r="A1041" s="1" t="n">
        <v>19</v>
      </c>
      <c r="B1041" s="1" t="n">
        <v>7</v>
      </c>
      <c r="C1041" s="1" t="n">
        <v>4.3</v>
      </c>
      <c r="D1041" s="1" t="n">
        <v>1.1199</v>
      </c>
      <c r="E1041" s="1" t="n">
        <v>0.15389</v>
      </c>
      <c r="F1041" s="1" t="n">
        <v>0.000442331</v>
      </c>
      <c r="G1041" s="1" t="s">
        <v>37</v>
      </c>
      <c r="H1041" s="1" t="n">
        <v>39.6</v>
      </c>
      <c r="I1041" s="1" t="n">
        <v>301.7</v>
      </c>
      <c r="J1041" s="1" t="n">
        <v>-5.9</v>
      </c>
      <c r="K1041" s="1" t="n">
        <v>59.1</v>
      </c>
      <c r="L1041" s="1" t="n">
        <v>0</v>
      </c>
      <c r="M1041" s="1" t="n">
        <v>0</v>
      </c>
      <c r="N1041" s="1" t="s">
        <v>572</v>
      </c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Z1041" s="0" t="n">
        <f aca="false">I1041+65</f>
        <v>366.7</v>
      </c>
      <c r="AB1041" s="0" t="n">
        <f aca="false">IF(Z1041&gt;360,Z1041-360,Z1041+0)</f>
        <v>6.69999999999999</v>
      </c>
    </row>
    <row r="1042" customFormat="false" ht="15.8" hidden="false" customHeight="false" outlineLevel="0" collapsed="false">
      <c r="A1042" s="1" t="n">
        <v>19</v>
      </c>
      <c r="B1042" s="1" t="n">
        <v>6</v>
      </c>
      <c r="C1042" s="1" t="n">
        <v>10.9</v>
      </c>
      <c r="D1042" s="1" t="n">
        <v>1.0645</v>
      </c>
      <c r="E1042" s="1" t="n">
        <v>0.392681</v>
      </c>
      <c r="F1042" s="1" t="n">
        <v>0.0011287</v>
      </c>
      <c r="G1042" s="1" t="s">
        <v>37</v>
      </c>
      <c r="H1042" s="1" t="n">
        <v>37.8</v>
      </c>
      <c r="I1042" s="1" t="n">
        <v>262.9</v>
      </c>
      <c r="J1042" s="1" t="n">
        <v>2.2</v>
      </c>
      <c r="K1042" s="1" t="n">
        <v>39.6</v>
      </c>
      <c r="L1042" s="1" t="n">
        <v>0</v>
      </c>
      <c r="M1042" s="1" t="n">
        <v>0</v>
      </c>
      <c r="N1042" s="1" t="s">
        <v>569</v>
      </c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Z1042" s="0" t="n">
        <f aca="false">I1042+65</f>
        <v>327.9</v>
      </c>
      <c r="AB1042" s="0" t="n">
        <f aca="false">IF(Z1042&gt;360,Z1042-360,Z1042+0)</f>
        <v>327.9</v>
      </c>
    </row>
    <row r="1043" customFormat="false" ht="15.8" hidden="false" customHeight="false" outlineLevel="0" collapsed="false">
      <c r="A1043" s="1" t="n">
        <v>19</v>
      </c>
      <c r="B1043" s="1" t="n">
        <v>5</v>
      </c>
      <c r="C1043" s="1" t="n">
        <v>5</v>
      </c>
      <c r="D1043" s="1" t="n">
        <v>1.182</v>
      </c>
      <c r="E1043" s="1" t="n">
        <v>0.180385</v>
      </c>
      <c r="F1043" s="1" t="n">
        <v>0.000518487</v>
      </c>
      <c r="G1043" s="1" t="s">
        <v>37</v>
      </c>
      <c r="H1043" s="1" t="n">
        <v>45.7</v>
      </c>
      <c r="I1043" s="1" t="n">
        <v>233.5</v>
      </c>
      <c r="J1043" s="1" t="n">
        <v>27.5</v>
      </c>
      <c r="K1043" s="1" t="n">
        <v>134.5</v>
      </c>
      <c r="L1043" s="1" t="n">
        <v>0</v>
      </c>
      <c r="M1043" s="1" t="n">
        <v>0</v>
      </c>
      <c r="N1043" s="1" t="s">
        <v>568</v>
      </c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Z1043" s="0" t="n">
        <f aca="false">I1043+65</f>
        <v>298.5</v>
      </c>
      <c r="AB1043" s="0" t="n">
        <f aca="false">IF(Z1043&gt;360,Z1043-360,Z1043+0)</f>
        <v>298.5</v>
      </c>
    </row>
    <row r="1044" customFormat="false" ht="15.8" hidden="false" customHeight="false" outlineLevel="0" collapsed="false">
      <c r="A1044" s="1" t="n">
        <v>19</v>
      </c>
      <c r="B1044" s="1" t="n">
        <v>4</v>
      </c>
      <c r="C1044" s="1" t="n">
        <v>0.4</v>
      </c>
      <c r="D1044" s="1" t="n">
        <v>1.0045</v>
      </c>
      <c r="E1044" s="1" t="n">
        <v>0.0150217</v>
      </c>
      <c r="F1044" s="1" t="n">
        <v>4.31775E-005</v>
      </c>
      <c r="G1044" s="1" t="s">
        <v>37</v>
      </c>
      <c r="H1044" s="1" t="n">
        <v>68.1</v>
      </c>
      <c r="I1044" s="1" t="n">
        <v>271.6</v>
      </c>
      <c r="J1044" s="1" t="n">
        <v>0</v>
      </c>
      <c r="K1044" s="1" t="n">
        <v>45.7</v>
      </c>
      <c r="L1044" s="1" t="n">
        <v>0</v>
      </c>
      <c r="M1044" s="1" t="n">
        <v>0</v>
      </c>
      <c r="N1044" s="1" t="s">
        <v>519</v>
      </c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Z1044" s="0" t="n">
        <f aca="false">I1044+65</f>
        <v>336.6</v>
      </c>
      <c r="AB1044" s="0" t="n">
        <f aca="false">IF(Z1044&gt;360,Z1044-360,Z1044+0)</f>
        <v>336.6</v>
      </c>
    </row>
    <row r="1045" customFormat="false" ht="15.8" hidden="false" customHeight="false" outlineLevel="0" collapsed="false">
      <c r="A1045" s="1" t="n">
        <v>19</v>
      </c>
      <c r="B1045" s="1" t="n">
        <v>3</v>
      </c>
      <c r="C1045" s="1" t="n">
        <v>2.3</v>
      </c>
      <c r="D1045" s="1" t="n">
        <v>1.2368</v>
      </c>
      <c r="E1045" s="1" t="n">
        <v>0.0840666</v>
      </c>
      <c r="F1045" s="1" t="n">
        <v>0.000241636</v>
      </c>
      <c r="G1045" s="1" t="s">
        <v>37</v>
      </c>
      <c r="H1045" s="1" t="n">
        <v>14.9</v>
      </c>
      <c r="I1045" s="1" t="n">
        <v>336.4</v>
      </c>
      <c r="J1045" s="1" t="n">
        <v>28.9</v>
      </c>
      <c r="K1045" s="1" t="n">
        <v>91.4</v>
      </c>
      <c r="L1045" s="1" t="n">
        <v>0</v>
      </c>
      <c r="M1045" s="1" t="n">
        <v>0</v>
      </c>
      <c r="N1045" s="1" t="s">
        <v>518</v>
      </c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Z1045" s="0" t="n">
        <f aca="false">I1045+65</f>
        <v>401.4</v>
      </c>
      <c r="AB1045" s="0" t="n">
        <f aca="false">IF(Z1045&gt;360,Z1045-360,Z1045+0)</f>
        <v>41.4</v>
      </c>
    </row>
    <row r="1046" customFormat="false" ht="15.8" hidden="false" customHeight="false" outlineLevel="0" collapsed="false">
      <c r="A1046" s="1" t="n">
        <v>19</v>
      </c>
      <c r="B1046" s="1" t="n">
        <v>16</v>
      </c>
      <c r="C1046" s="1" t="n">
        <v>1.5</v>
      </c>
      <c r="D1046" s="1" t="n">
        <v>1.5501</v>
      </c>
      <c r="E1046" s="1" t="n">
        <v>0.0559271</v>
      </c>
      <c r="F1046" s="1" t="n">
        <v>0.000160753</v>
      </c>
      <c r="G1046" s="1" t="s">
        <v>27</v>
      </c>
      <c r="H1046" s="1" t="n">
        <v>54.9</v>
      </c>
      <c r="I1046" s="1" t="n">
        <v>12</v>
      </c>
      <c r="J1046" s="1" t="n">
        <v>0</v>
      </c>
      <c r="K1046" s="1"/>
      <c r="L1046" s="1" t="n">
        <v>0</v>
      </c>
      <c r="M1046" s="1" t="n">
        <v>0</v>
      </c>
      <c r="N1046" s="1" t="s">
        <v>583</v>
      </c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Z1046" s="0" t="n">
        <f aca="false">I1046+65</f>
        <v>77</v>
      </c>
      <c r="AB1046" s="0" t="n">
        <f aca="false">IF(Z1046&gt;360,Z1046-360,Z1046+0)</f>
        <v>77</v>
      </c>
    </row>
    <row r="1047" customFormat="false" ht="15.8" hidden="false" customHeight="false" outlineLevel="0" collapsed="false">
      <c r="A1047" s="1" t="n">
        <v>19</v>
      </c>
      <c r="B1047" s="1" t="n">
        <v>16</v>
      </c>
      <c r="C1047" s="1" t="n">
        <v>2.3</v>
      </c>
      <c r="D1047" s="1" t="n">
        <v>1.1772</v>
      </c>
      <c r="E1047" s="1" t="n">
        <v>0.0846739</v>
      </c>
      <c r="F1047" s="1" t="n">
        <v>0.000243381</v>
      </c>
      <c r="G1047" s="1" t="s">
        <v>27</v>
      </c>
      <c r="H1047" s="1" t="n">
        <v>30.7</v>
      </c>
      <c r="I1047" s="1" t="n">
        <v>343.3</v>
      </c>
      <c r="J1047" s="1" t="n">
        <v>-23.1</v>
      </c>
      <c r="K1047" s="1"/>
      <c r="L1047" s="1" t="n">
        <v>0</v>
      </c>
      <c r="M1047" s="1" t="n">
        <v>0</v>
      </c>
      <c r="N1047" s="1" t="s">
        <v>583</v>
      </c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Z1047" s="0" t="n">
        <f aca="false">I1047+65</f>
        <v>408.3</v>
      </c>
      <c r="AB1047" s="0" t="n">
        <f aca="false">IF(Z1047&gt;360,Z1047-360,Z1047+0)</f>
        <v>48.3</v>
      </c>
    </row>
    <row r="1048" customFormat="false" ht="15.8" hidden="false" customHeight="false" outlineLevel="0" collapsed="false">
      <c r="A1048" s="1" t="n">
        <v>19</v>
      </c>
      <c r="B1048" s="1" t="n">
        <v>15</v>
      </c>
      <c r="C1048" s="1" t="n">
        <v>5.1</v>
      </c>
      <c r="D1048" s="1" t="n">
        <v>1.2504</v>
      </c>
      <c r="E1048" s="1" t="n">
        <v>0.185112</v>
      </c>
      <c r="F1048" s="1" t="n">
        <v>0.000532074</v>
      </c>
      <c r="G1048" s="1" t="s">
        <v>37</v>
      </c>
      <c r="H1048" s="1" t="n">
        <v>6.3</v>
      </c>
      <c r="I1048" s="1" t="n">
        <v>317.2</v>
      </c>
      <c r="J1048" s="1" t="n">
        <v>-5.5</v>
      </c>
      <c r="K1048" s="1" t="n">
        <v>54.9</v>
      </c>
      <c r="L1048" s="1" t="n">
        <v>0</v>
      </c>
      <c r="M1048" s="1" t="n">
        <v>0</v>
      </c>
      <c r="N1048" s="1" t="s">
        <v>584</v>
      </c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Z1048" s="0" t="n">
        <f aca="false">I1048+65</f>
        <v>382.2</v>
      </c>
      <c r="AB1048" s="0" t="n">
        <f aca="false">IF(Z1048&gt;360,Z1048-360,Z1048+0)</f>
        <v>22.2</v>
      </c>
    </row>
    <row r="1049" customFormat="false" ht="15.8" hidden="false" customHeight="false" outlineLevel="0" collapsed="false">
      <c r="A1049" s="1" t="n">
        <v>19</v>
      </c>
      <c r="B1049" s="1" t="n">
        <v>15</v>
      </c>
      <c r="C1049" s="1" t="n">
        <v>1.9</v>
      </c>
      <c r="D1049" s="1" t="n">
        <v>1.4754</v>
      </c>
      <c r="E1049" s="1" t="n">
        <v>0.068459</v>
      </c>
      <c r="F1049" s="1" t="n">
        <v>0.000196774</v>
      </c>
      <c r="G1049" s="1" t="s">
        <v>27</v>
      </c>
      <c r="H1049" s="1" t="n">
        <v>66.6</v>
      </c>
      <c r="I1049" s="1" t="n">
        <v>330.1</v>
      </c>
      <c r="J1049" s="1" t="n">
        <v>-65.6</v>
      </c>
      <c r="K1049" s="1"/>
      <c r="L1049" s="1" t="n">
        <v>0</v>
      </c>
      <c r="M1049" s="1" t="n">
        <v>0</v>
      </c>
      <c r="N1049" s="1" t="s">
        <v>584</v>
      </c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Z1049" s="0" t="n">
        <f aca="false">I1049+65</f>
        <v>395.1</v>
      </c>
      <c r="AB1049" s="0" t="n">
        <f aca="false">IF(Z1049&gt;360,Z1049-360,Z1049+0)</f>
        <v>35.1</v>
      </c>
    </row>
    <row r="1050" customFormat="false" ht="15.8" hidden="false" customHeight="false" outlineLevel="0" collapsed="false">
      <c r="A1050" s="1" t="n">
        <v>19</v>
      </c>
      <c r="B1050" s="1" t="n">
        <v>15</v>
      </c>
      <c r="C1050" s="1" t="n">
        <v>1.4</v>
      </c>
      <c r="D1050" s="1" t="n">
        <v>1.1615</v>
      </c>
      <c r="E1050" s="1" t="n">
        <v>0.0517954</v>
      </c>
      <c r="F1050" s="1" t="n">
        <v>0.000148877</v>
      </c>
      <c r="G1050" s="1" t="s">
        <v>27</v>
      </c>
      <c r="H1050" s="1" t="n">
        <v>85.9</v>
      </c>
      <c r="I1050" s="1" t="n">
        <v>38.7</v>
      </c>
      <c r="J1050" s="1" t="n">
        <v>-39.2</v>
      </c>
      <c r="K1050" s="1"/>
      <c r="L1050" s="1" t="n">
        <v>0</v>
      </c>
      <c r="M1050" s="1" t="n">
        <v>0</v>
      </c>
      <c r="N1050" s="1" t="s">
        <v>584</v>
      </c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Z1050" s="0" t="n">
        <f aca="false">I1050+65</f>
        <v>103.7</v>
      </c>
      <c r="AB1050" s="0" t="n">
        <f aca="false">IF(Z1050&gt;360,Z1050-360,Z1050+0)</f>
        <v>103.7</v>
      </c>
    </row>
    <row r="1051" customFormat="false" ht="15.8" hidden="false" customHeight="false" outlineLevel="0" collapsed="false">
      <c r="A1051" s="1" t="n">
        <v>19</v>
      </c>
      <c r="B1051" s="1" t="n">
        <v>14</v>
      </c>
      <c r="C1051" s="1" t="n">
        <v>1.9</v>
      </c>
      <c r="D1051" s="1" t="n">
        <v>1.3819</v>
      </c>
      <c r="E1051" s="1" t="n">
        <v>0.0702111</v>
      </c>
      <c r="F1051" s="1" t="n">
        <v>0.00020181</v>
      </c>
      <c r="G1051" s="1" t="s">
        <v>37</v>
      </c>
      <c r="H1051" s="1" t="n">
        <v>16.9</v>
      </c>
      <c r="I1051" s="1" t="n">
        <v>314</v>
      </c>
      <c r="J1051" s="1" t="n">
        <v>0</v>
      </c>
      <c r="K1051" s="1" t="n">
        <v>85.9</v>
      </c>
      <c r="L1051" s="1" t="n">
        <v>0</v>
      </c>
      <c r="M1051" s="1" t="n">
        <v>0</v>
      </c>
      <c r="N1051" s="1" t="s">
        <v>585</v>
      </c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Z1051" s="0" t="n">
        <f aca="false">I1051+65</f>
        <v>379</v>
      </c>
      <c r="AB1051" s="0" t="n">
        <f aca="false">IF(Z1051&gt;360,Z1051-360,Z1051+0)</f>
        <v>19</v>
      </c>
    </row>
    <row r="1052" customFormat="false" ht="15.8" hidden="false" customHeight="false" outlineLevel="0" collapsed="false">
      <c r="A1052" s="1" t="n">
        <v>19</v>
      </c>
      <c r="B1052" s="1" t="n">
        <v>14</v>
      </c>
      <c r="C1052" s="1" t="n">
        <v>0.7</v>
      </c>
      <c r="D1052" s="1" t="n">
        <v>1.0082</v>
      </c>
      <c r="E1052" s="1" t="n">
        <v>0.0248706</v>
      </c>
      <c r="F1052" s="1" t="n">
        <v>7.14864E-005</v>
      </c>
      <c r="G1052" s="1" t="s">
        <v>27</v>
      </c>
      <c r="H1052" s="1" t="n">
        <v>96.3</v>
      </c>
      <c r="I1052" s="1" t="n">
        <v>36.1</v>
      </c>
      <c r="J1052" s="1" t="n">
        <v>0</v>
      </c>
      <c r="K1052" s="1"/>
      <c r="L1052" s="1" t="n">
        <v>0</v>
      </c>
      <c r="M1052" s="1" t="n">
        <v>0</v>
      </c>
      <c r="N1052" s="1" t="s">
        <v>585</v>
      </c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Z1052" s="0" t="n">
        <f aca="false">I1052+65</f>
        <v>101.1</v>
      </c>
      <c r="AB1052" s="0" t="n">
        <f aca="false">IF(Z1052&gt;360,Z1052-360,Z1052+0)</f>
        <v>101.1</v>
      </c>
    </row>
    <row r="1053" customFormat="false" ht="15.8" hidden="false" customHeight="false" outlineLevel="0" collapsed="false">
      <c r="A1053" s="1" t="n">
        <v>19</v>
      </c>
      <c r="B1053" s="1" t="n">
        <v>13</v>
      </c>
      <c r="C1053" s="1" t="n">
        <v>3.2</v>
      </c>
      <c r="D1053" s="1" t="n">
        <v>1.2939</v>
      </c>
      <c r="E1053" s="1" t="n">
        <v>0.114103</v>
      </c>
      <c r="F1053" s="1" t="n">
        <v>0.00032797</v>
      </c>
      <c r="G1053" s="1" t="s">
        <v>37</v>
      </c>
      <c r="H1053" s="1" t="n">
        <v>16.9</v>
      </c>
      <c r="I1053" s="1" t="n">
        <v>299.7</v>
      </c>
      <c r="J1053" s="1" t="n">
        <v>9.2</v>
      </c>
      <c r="K1053" s="1" t="n">
        <v>96.3</v>
      </c>
      <c r="L1053" s="1" t="n">
        <v>0</v>
      </c>
      <c r="M1053" s="1" t="n">
        <v>0</v>
      </c>
      <c r="N1053" s="1" t="s">
        <v>586</v>
      </c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Z1053" s="0" t="n">
        <f aca="false">I1053+65</f>
        <v>364.7</v>
      </c>
      <c r="AB1053" s="0" t="n">
        <f aca="false">IF(Z1053&gt;360,Z1053-360,Z1053+0)</f>
        <v>4.69999999999999</v>
      </c>
    </row>
    <row r="1054" customFormat="false" ht="15.8" hidden="false" customHeight="false" outlineLevel="0" collapsed="false">
      <c r="A1054" s="1" t="n">
        <v>19</v>
      </c>
      <c r="B1054" s="1" t="n">
        <v>13</v>
      </c>
      <c r="C1054" s="1" t="n">
        <v>1.7</v>
      </c>
      <c r="D1054" s="1" t="n">
        <v>1.1489</v>
      </c>
      <c r="E1054" s="1" t="n">
        <v>0.061584</v>
      </c>
      <c r="F1054" s="1" t="n">
        <v>0.000177013</v>
      </c>
      <c r="G1054" s="1" t="s">
        <v>27</v>
      </c>
      <c r="H1054" s="1" t="n">
        <v>135.7</v>
      </c>
      <c r="I1054" s="1" t="n">
        <v>67.2</v>
      </c>
      <c r="J1054" s="1" t="n">
        <v>0</v>
      </c>
      <c r="K1054" s="1"/>
      <c r="L1054" s="1" t="n">
        <v>0</v>
      </c>
      <c r="M1054" s="1" t="n">
        <v>0</v>
      </c>
      <c r="N1054" s="1" t="s">
        <v>586</v>
      </c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Z1054" s="0" t="n">
        <f aca="false">I1054+65</f>
        <v>132.2</v>
      </c>
      <c r="AB1054" s="0" t="n">
        <f aca="false">IF(Z1054&gt;360,Z1054-360,Z1054+0)</f>
        <v>132.2</v>
      </c>
    </row>
    <row r="1055" customFormat="false" ht="15.8" hidden="false" customHeight="false" outlineLevel="0" collapsed="false">
      <c r="A1055" s="1" t="n">
        <v>19</v>
      </c>
      <c r="B1055" s="1" t="n">
        <v>12</v>
      </c>
      <c r="C1055" s="1" t="n">
        <v>5.6</v>
      </c>
      <c r="D1055" s="1" t="n">
        <v>1.3394</v>
      </c>
      <c r="E1055" s="1" t="n">
        <v>0.200764</v>
      </c>
      <c r="F1055" s="1" t="n">
        <v>0.000577063</v>
      </c>
      <c r="G1055" s="1" t="s">
        <v>37</v>
      </c>
      <c r="H1055" s="1" t="n">
        <v>17.9</v>
      </c>
      <c r="I1055" s="1" t="n">
        <v>291.2</v>
      </c>
      <c r="J1055" s="1" t="n">
        <v>-5.4</v>
      </c>
      <c r="K1055" s="1" t="n">
        <v>135.7</v>
      </c>
      <c r="L1055" s="1" t="n">
        <v>0</v>
      </c>
      <c r="M1055" s="1" t="n">
        <v>0</v>
      </c>
      <c r="N1055" s="1" t="s">
        <v>587</v>
      </c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Z1055" s="0" t="n">
        <f aca="false">I1055+65</f>
        <v>356.2</v>
      </c>
      <c r="AB1055" s="0" t="n">
        <f aca="false">IF(Z1055&gt;360,Z1055-360,Z1055+0)</f>
        <v>356.2</v>
      </c>
    </row>
    <row r="1056" customFormat="false" ht="15.8" hidden="false" customHeight="false" outlineLevel="0" collapsed="false">
      <c r="A1056" s="1" t="n">
        <v>19</v>
      </c>
      <c r="B1056" s="1" t="n">
        <v>12</v>
      </c>
      <c r="C1056" s="1" t="n">
        <v>2.5</v>
      </c>
      <c r="D1056" s="1" t="n">
        <v>1.3639</v>
      </c>
      <c r="E1056" s="1" t="n">
        <v>0.0906824</v>
      </c>
      <c r="F1056" s="1" t="n">
        <v>0.000260651</v>
      </c>
      <c r="G1056" s="1" t="s">
        <v>27</v>
      </c>
      <c r="H1056" s="1" t="n">
        <v>55.5</v>
      </c>
      <c r="I1056" s="1" t="n">
        <v>351.1</v>
      </c>
      <c r="J1056" s="1" t="n">
        <v>-39.5</v>
      </c>
      <c r="K1056" s="1"/>
      <c r="L1056" s="1" t="n">
        <v>0</v>
      </c>
      <c r="M1056" s="1" t="n">
        <v>0</v>
      </c>
      <c r="N1056" s="1" t="s">
        <v>587</v>
      </c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Z1056" s="0" t="n">
        <f aca="false">I1056+65</f>
        <v>416.1</v>
      </c>
      <c r="AB1056" s="0" t="n">
        <f aca="false">IF(Z1056&gt;360,Z1056-360,Z1056+0)</f>
        <v>56.1</v>
      </c>
    </row>
    <row r="1057" customFormat="false" ht="15.8" hidden="false" customHeight="false" outlineLevel="0" collapsed="false">
      <c r="A1057" s="1" t="n">
        <v>19</v>
      </c>
      <c r="B1057" s="1" t="n">
        <v>11</v>
      </c>
      <c r="C1057" s="1" t="n">
        <v>0.6</v>
      </c>
      <c r="D1057" s="1" t="n">
        <v>1.0104</v>
      </c>
      <c r="E1057" s="1" t="n">
        <v>0.0230022</v>
      </c>
      <c r="F1057" s="1" t="n">
        <v>6.6116E-005</v>
      </c>
      <c r="G1057" s="1" t="s">
        <v>37</v>
      </c>
      <c r="H1057" s="1" t="n">
        <v>75</v>
      </c>
      <c r="I1057" s="1" t="n">
        <v>308.3</v>
      </c>
      <c r="J1057" s="1" t="n">
        <v>0</v>
      </c>
      <c r="K1057" s="1" t="n">
        <v>55.5</v>
      </c>
      <c r="L1057" s="1" t="n">
        <v>0</v>
      </c>
      <c r="M1057" s="1" t="n">
        <v>0</v>
      </c>
      <c r="N1057" s="1" t="s">
        <v>588</v>
      </c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Z1057" s="0" t="n">
        <f aca="false">I1057+65</f>
        <v>373.3</v>
      </c>
      <c r="AB1057" s="0" t="n">
        <f aca="false">IF(Z1057&gt;360,Z1057-360,Z1057+0)</f>
        <v>13.3</v>
      </c>
    </row>
    <row r="1058" customFormat="false" ht="15.8" hidden="false" customHeight="false" outlineLevel="0" collapsed="false">
      <c r="A1058" s="1" t="n">
        <v>19</v>
      </c>
      <c r="B1058" s="1" t="n">
        <v>11</v>
      </c>
      <c r="C1058" s="1" t="n">
        <v>2.8</v>
      </c>
      <c r="D1058" s="1" t="n">
        <v>3.253</v>
      </c>
      <c r="E1058" s="1" t="n">
        <v>0.102895</v>
      </c>
      <c r="F1058" s="1" t="n">
        <v>0.000295756</v>
      </c>
      <c r="G1058" s="1" t="s">
        <v>27</v>
      </c>
      <c r="H1058" s="1" t="n">
        <v>27.1</v>
      </c>
      <c r="I1058" s="1" t="n">
        <v>356.2</v>
      </c>
      <c r="J1058" s="1" t="n">
        <v>0</v>
      </c>
      <c r="K1058" s="1"/>
      <c r="L1058" s="1" t="n">
        <v>0</v>
      </c>
      <c r="M1058" s="1" t="n">
        <v>0</v>
      </c>
      <c r="N1058" s="1" t="s">
        <v>588</v>
      </c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Z1058" s="0" t="n">
        <f aca="false">I1058+65</f>
        <v>421.2</v>
      </c>
      <c r="AB1058" s="0" t="n">
        <f aca="false">IF(Z1058&gt;360,Z1058-360,Z1058+0)</f>
        <v>61.2</v>
      </c>
    </row>
    <row r="1059" customFormat="false" ht="15.8" hidden="false" customHeight="false" outlineLevel="0" collapsed="false">
      <c r="A1059" s="1" t="n">
        <v>19</v>
      </c>
      <c r="B1059" s="1" t="n">
        <v>10</v>
      </c>
      <c r="C1059" s="1" t="n">
        <v>1.4</v>
      </c>
      <c r="D1059" s="1" t="n">
        <v>1.1027</v>
      </c>
      <c r="E1059" s="1" t="n">
        <v>0.0508718</v>
      </c>
      <c r="F1059" s="1" t="n">
        <v>0.000146223</v>
      </c>
      <c r="G1059" s="1" t="s">
        <v>37</v>
      </c>
      <c r="H1059" s="1" t="n">
        <v>42.2</v>
      </c>
      <c r="I1059" s="1" t="n">
        <v>23.3</v>
      </c>
      <c r="J1059" s="1" t="n">
        <v>0</v>
      </c>
      <c r="K1059" s="1" t="n">
        <v>75</v>
      </c>
      <c r="L1059" s="1" t="n">
        <v>0</v>
      </c>
      <c r="M1059" s="1" t="n">
        <v>0</v>
      </c>
      <c r="N1059" s="1" t="s">
        <v>589</v>
      </c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Z1059" s="0" t="n">
        <f aca="false">I1059+65</f>
        <v>88.3</v>
      </c>
      <c r="AB1059" s="0" t="n">
        <f aca="false">IF(Z1059&gt;360,Z1059-360,Z1059+0)</f>
        <v>88.3</v>
      </c>
    </row>
    <row r="1060" customFormat="false" ht="15.8" hidden="false" customHeight="false" outlineLevel="0" collapsed="false">
      <c r="A1060" s="1" t="n">
        <v>19</v>
      </c>
      <c r="B1060" s="1" t="n">
        <v>10</v>
      </c>
      <c r="C1060" s="1" t="n">
        <v>1.1</v>
      </c>
      <c r="D1060" s="1" t="n">
        <v>1.1566</v>
      </c>
      <c r="E1060" s="1" t="n">
        <v>0.0400006</v>
      </c>
      <c r="F1060" s="1" t="n">
        <v>0.000114975</v>
      </c>
      <c r="G1060" s="1" t="s">
        <v>27</v>
      </c>
      <c r="H1060" s="1" t="n">
        <v>103.4</v>
      </c>
      <c r="I1060" s="1" t="n">
        <v>320.9</v>
      </c>
      <c r="J1060" s="1" t="n">
        <v>-24</v>
      </c>
      <c r="K1060" s="1"/>
      <c r="L1060" s="1" t="n">
        <v>0</v>
      </c>
      <c r="M1060" s="1" t="n">
        <v>0</v>
      </c>
      <c r="N1060" s="1" t="s">
        <v>589</v>
      </c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Z1060" s="0" t="n">
        <f aca="false">I1060+65</f>
        <v>385.9</v>
      </c>
      <c r="AB1060" s="0" t="n">
        <f aca="false">IF(Z1060&gt;360,Z1060-360,Z1060+0)</f>
        <v>25.9</v>
      </c>
    </row>
    <row r="1061" customFormat="false" ht="15.8" hidden="false" customHeight="false" outlineLevel="0" collapsed="false">
      <c r="A1061" s="1" t="n">
        <v>19</v>
      </c>
      <c r="B1061" s="1" t="n">
        <v>9</v>
      </c>
      <c r="C1061" s="1" t="n">
        <v>1.7</v>
      </c>
      <c r="D1061" s="1" t="n">
        <v>1.1178</v>
      </c>
      <c r="E1061" s="1" t="n">
        <v>0.061696</v>
      </c>
      <c r="F1061" s="1" t="n">
        <v>0.000177335</v>
      </c>
      <c r="G1061" s="1" t="s">
        <v>37</v>
      </c>
      <c r="H1061" s="1" t="n">
        <v>5.7</v>
      </c>
      <c r="I1061" s="1" t="n">
        <v>65.6</v>
      </c>
      <c r="J1061" s="1" t="n">
        <v>0</v>
      </c>
      <c r="K1061" s="1" t="n">
        <v>103.4</v>
      </c>
      <c r="L1061" s="1" t="n">
        <v>0</v>
      </c>
      <c r="M1061" s="1" t="n">
        <v>0</v>
      </c>
      <c r="N1061" s="1" t="s">
        <v>590</v>
      </c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Z1061" s="0" t="n">
        <f aca="false">I1061+65</f>
        <v>130.6</v>
      </c>
      <c r="AB1061" s="0" t="n">
        <f aca="false">IF(Z1061&gt;360,Z1061-360,Z1061+0)</f>
        <v>130.6</v>
      </c>
    </row>
    <row r="1062" customFormat="false" ht="15.8" hidden="false" customHeight="false" outlineLevel="0" collapsed="false">
      <c r="A1062" s="1" t="n">
        <v>19</v>
      </c>
      <c r="B1062" s="1" t="n">
        <v>10</v>
      </c>
      <c r="C1062" s="1" t="n">
        <v>4.5</v>
      </c>
      <c r="D1062" s="1" t="n">
        <v>1.2639</v>
      </c>
      <c r="E1062" s="1" t="n">
        <v>0.164307</v>
      </c>
      <c r="F1062" s="1" t="n">
        <v>0.000472273</v>
      </c>
      <c r="G1062" s="1" t="s">
        <v>27</v>
      </c>
      <c r="H1062" s="1" t="n">
        <v>46.1</v>
      </c>
      <c r="I1062" s="1" t="n">
        <v>311.6</v>
      </c>
      <c r="J1062" s="1" t="n">
        <v>-25.7</v>
      </c>
      <c r="K1062" s="1"/>
      <c r="L1062" s="1" t="n">
        <v>0</v>
      </c>
      <c r="M1062" s="1" t="n">
        <v>0</v>
      </c>
      <c r="N1062" s="1" t="s">
        <v>591</v>
      </c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Z1062" s="0" t="n">
        <f aca="false">I1062+65</f>
        <v>376.6</v>
      </c>
      <c r="AB1062" s="0" t="n">
        <f aca="false">IF(Z1062&gt;360,Z1062-360,Z1062+0)</f>
        <v>16.6</v>
      </c>
    </row>
    <row r="1063" customFormat="false" ht="15.8" hidden="false" customHeight="false" outlineLevel="0" collapsed="false">
      <c r="A1063" s="1" t="n">
        <v>19</v>
      </c>
      <c r="B1063" s="1" t="n">
        <v>10</v>
      </c>
      <c r="C1063" s="1" t="n">
        <v>0.5</v>
      </c>
      <c r="D1063" s="1" t="n">
        <v>1.0037</v>
      </c>
      <c r="E1063" s="1" t="n">
        <v>0.0191236</v>
      </c>
      <c r="F1063" s="1" t="n">
        <v>5.49676E-005</v>
      </c>
      <c r="G1063" s="1" t="s">
        <v>27</v>
      </c>
      <c r="H1063" s="1" t="n">
        <v>72.4</v>
      </c>
      <c r="I1063" s="1" t="n">
        <v>73.5</v>
      </c>
      <c r="J1063" s="1" t="n">
        <v>0</v>
      </c>
      <c r="K1063" s="1"/>
      <c r="L1063" s="1" t="n">
        <v>0</v>
      </c>
      <c r="M1063" s="1" t="n">
        <v>0</v>
      </c>
      <c r="N1063" s="1" t="s">
        <v>591</v>
      </c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Z1063" s="0" t="n">
        <f aca="false">I1063+65</f>
        <v>138.5</v>
      </c>
      <c r="AB1063" s="0" t="n">
        <f aca="false">IF(Z1063&gt;360,Z1063-360,Z1063+0)</f>
        <v>138.5</v>
      </c>
    </row>
    <row r="1064" customFormat="false" ht="15.8" hidden="false" customHeight="false" outlineLevel="0" collapsed="false">
      <c r="A1064" s="1" t="n">
        <v>19</v>
      </c>
      <c r="B1064" s="1" t="n">
        <v>9</v>
      </c>
      <c r="C1064" s="1" t="n">
        <v>1</v>
      </c>
      <c r="D1064" s="1" t="n">
        <v>1.1677</v>
      </c>
      <c r="E1064" s="1" t="n">
        <v>0.0351775</v>
      </c>
      <c r="F1064" s="1" t="n">
        <v>0.000101112</v>
      </c>
      <c r="G1064" s="1" t="s">
        <v>37</v>
      </c>
      <c r="H1064" s="1" t="n">
        <v>70.4</v>
      </c>
      <c r="I1064" s="1" t="n">
        <v>3.6</v>
      </c>
      <c r="J1064" s="1" t="n">
        <v>-27.9</v>
      </c>
      <c r="K1064" s="1" t="n">
        <v>72.4</v>
      </c>
      <c r="L1064" s="1" t="n">
        <v>0</v>
      </c>
      <c r="M1064" s="1" t="n">
        <v>0</v>
      </c>
      <c r="N1064" s="1" t="s">
        <v>590</v>
      </c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Z1064" s="0" t="n">
        <f aca="false">I1064+65</f>
        <v>68.6</v>
      </c>
      <c r="AB1064" s="0" t="n">
        <f aca="false">IF(Z1064&gt;360,Z1064-360,Z1064+0)</f>
        <v>68.6</v>
      </c>
    </row>
    <row r="1065" customFormat="false" ht="15.8" hidden="false" customHeight="false" outlineLevel="0" collapsed="false">
      <c r="A1065" s="1" t="n">
        <v>19</v>
      </c>
      <c r="B1065" s="1" t="n">
        <v>8</v>
      </c>
      <c r="C1065" s="1" t="n">
        <v>4.1</v>
      </c>
      <c r="D1065" s="1" t="n">
        <v>1.2492</v>
      </c>
      <c r="E1065" s="1" t="n">
        <v>0.146854</v>
      </c>
      <c r="F1065" s="1" t="n">
        <v>0.000422107</v>
      </c>
      <c r="G1065" s="1" t="s">
        <v>37</v>
      </c>
      <c r="H1065" s="1" t="n">
        <v>32.1</v>
      </c>
      <c r="I1065" s="1" t="n">
        <v>71.3</v>
      </c>
      <c r="J1065" s="1" t="n">
        <v>0</v>
      </c>
      <c r="K1065" s="1" t="n">
        <v>70.4</v>
      </c>
      <c r="L1065" s="1" t="n">
        <v>0</v>
      </c>
      <c r="M1065" s="1" t="n">
        <v>0</v>
      </c>
      <c r="N1065" s="1" t="s">
        <v>592</v>
      </c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Z1065" s="0" t="n">
        <f aca="false">I1065+65</f>
        <v>136.3</v>
      </c>
      <c r="AB1065" s="0" t="n">
        <f aca="false">IF(Z1065&gt;360,Z1065-360,Z1065+0)</f>
        <v>136.3</v>
      </c>
    </row>
    <row r="1066" customFormat="false" ht="15.8" hidden="false" customHeight="false" outlineLevel="0" collapsed="false">
      <c r="A1066" s="1" t="n">
        <v>19</v>
      </c>
      <c r="B1066" s="1" t="n">
        <v>9</v>
      </c>
      <c r="C1066" s="1" t="n">
        <v>1.6</v>
      </c>
      <c r="D1066" s="1" t="n">
        <v>1.2658</v>
      </c>
      <c r="E1066" s="1" t="n">
        <v>0.0592192</v>
      </c>
      <c r="F1066" s="1" t="n">
        <v>0.000170216</v>
      </c>
      <c r="G1066" s="1" t="s">
        <v>27</v>
      </c>
      <c r="H1066" s="1" t="n">
        <v>94.1</v>
      </c>
      <c r="I1066" s="1" t="n">
        <v>228.2</v>
      </c>
      <c r="J1066" s="1" t="n">
        <v>37</v>
      </c>
      <c r="K1066" s="1"/>
      <c r="L1066" s="1" t="n">
        <v>0</v>
      </c>
      <c r="M1066" s="1" t="n">
        <v>0</v>
      </c>
      <c r="N1066" s="1" t="s">
        <v>593</v>
      </c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Z1066" s="0" t="n">
        <f aca="false">I1066+65</f>
        <v>293.2</v>
      </c>
      <c r="AB1066" s="0" t="n">
        <f aca="false">IF(Z1066&gt;360,Z1066-360,Z1066+0)</f>
        <v>293.2</v>
      </c>
    </row>
    <row r="1067" customFormat="false" ht="15.8" hidden="false" customHeight="false" outlineLevel="0" collapsed="false">
      <c r="A1067" s="1" t="n">
        <v>19</v>
      </c>
      <c r="B1067" s="1" t="n">
        <v>10</v>
      </c>
      <c r="C1067" s="1" t="n">
        <v>8</v>
      </c>
      <c r="D1067" s="1" t="n">
        <v>1.3188</v>
      </c>
      <c r="E1067" s="1" t="n">
        <v>0.28934</v>
      </c>
      <c r="F1067" s="1" t="n">
        <v>0.000831659</v>
      </c>
      <c r="G1067" s="1" t="s">
        <v>27</v>
      </c>
      <c r="H1067" s="1" t="n">
        <v>69.9</v>
      </c>
      <c r="I1067" s="1" t="n">
        <v>94.5</v>
      </c>
      <c r="J1067" s="1" t="n">
        <v>-14.9</v>
      </c>
      <c r="K1067" s="1"/>
      <c r="L1067" s="1" t="n">
        <v>0</v>
      </c>
      <c r="M1067" s="1" t="n">
        <v>0</v>
      </c>
      <c r="N1067" s="1" t="s">
        <v>594</v>
      </c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Z1067" s="0" t="n">
        <f aca="false">I1067+65</f>
        <v>159.5</v>
      </c>
      <c r="AB1067" s="0" t="n">
        <f aca="false">IF(Z1067&gt;360,Z1067-360,Z1067+0)</f>
        <v>159.5</v>
      </c>
    </row>
    <row r="1068" customFormat="false" ht="15.8" hidden="false" customHeight="false" outlineLevel="0" collapsed="false">
      <c r="A1068" s="1" t="n">
        <v>19</v>
      </c>
      <c r="B1068" s="1" t="n">
        <v>10</v>
      </c>
      <c r="C1068" s="1" t="n">
        <v>2.5</v>
      </c>
      <c r="D1068" s="1" t="n">
        <v>1.3597</v>
      </c>
      <c r="E1068" s="1" t="n">
        <v>0.0899624</v>
      </c>
      <c r="F1068" s="1" t="n">
        <v>0.000258582</v>
      </c>
      <c r="G1068" s="1" t="s">
        <v>27</v>
      </c>
      <c r="H1068" s="1" t="n">
        <v>25</v>
      </c>
      <c r="I1068" s="1" t="n">
        <v>56.3</v>
      </c>
      <c r="J1068" s="1" t="n">
        <v>39.7</v>
      </c>
      <c r="K1068" s="1"/>
      <c r="L1068" s="1" t="n">
        <v>0</v>
      </c>
      <c r="M1068" s="1" t="n">
        <v>0</v>
      </c>
      <c r="N1068" s="1" t="s">
        <v>594</v>
      </c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Z1068" s="0" t="n">
        <f aca="false">I1068+65</f>
        <v>121.3</v>
      </c>
      <c r="AB1068" s="0" t="n">
        <f aca="false">IF(Z1068&gt;360,Z1068-360,Z1068+0)</f>
        <v>121.3</v>
      </c>
    </row>
    <row r="1069" customFormat="false" ht="15.8" hidden="false" customHeight="false" outlineLevel="0" collapsed="false">
      <c r="A1069" s="1" t="n">
        <v>19</v>
      </c>
      <c r="B1069" s="1" t="n">
        <v>9</v>
      </c>
      <c r="C1069" s="1" t="n">
        <v>1.1</v>
      </c>
      <c r="D1069" s="1" t="n">
        <v>1.1547</v>
      </c>
      <c r="E1069" s="1" t="n">
        <v>0.0398775</v>
      </c>
      <c r="F1069" s="1" t="n">
        <v>0.000114621</v>
      </c>
      <c r="G1069" s="1" t="s">
        <v>37</v>
      </c>
      <c r="H1069" s="1" t="n">
        <v>24.1</v>
      </c>
      <c r="I1069" s="1" t="n">
        <v>86.4</v>
      </c>
      <c r="J1069" s="1" t="n">
        <v>54.7</v>
      </c>
      <c r="K1069" s="1" t="n">
        <v>69.9</v>
      </c>
      <c r="L1069" s="1" t="n">
        <v>0</v>
      </c>
      <c r="M1069" s="1" t="n">
        <v>0</v>
      </c>
      <c r="N1069" s="1" t="s">
        <v>593</v>
      </c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Z1069" s="0" t="n">
        <f aca="false">I1069+65</f>
        <v>151.4</v>
      </c>
      <c r="AB1069" s="0" t="n">
        <f aca="false">IF(Z1069&gt;360,Z1069-360,Z1069+0)</f>
        <v>151.4</v>
      </c>
    </row>
    <row r="1070" customFormat="false" ht="15.8" hidden="false" customHeight="false" outlineLevel="0" collapsed="false">
      <c r="A1070" s="1" t="n">
        <v>19</v>
      </c>
      <c r="B1070" s="1" t="n">
        <v>8</v>
      </c>
      <c r="C1070" s="1" t="n">
        <v>4.3</v>
      </c>
      <c r="D1070" s="1" t="n">
        <v>1.2105</v>
      </c>
      <c r="E1070" s="1" t="n">
        <v>0.156576</v>
      </c>
      <c r="F1070" s="1" t="n">
        <v>0.000450052</v>
      </c>
      <c r="G1070" s="1" t="s">
        <v>37</v>
      </c>
      <c r="H1070" s="1" t="n">
        <v>14.1</v>
      </c>
      <c r="I1070" s="1" t="n">
        <v>101.5</v>
      </c>
      <c r="J1070" s="1" t="n">
        <v>33</v>
      </c>
      <c r="K1070" s="1" t="n">
        <v>94.1</v>
      </c>
      <c r="L1070" s="1" t="n">
        <v>0</v>
      </c>
      <c r="M1070" s="1" t="n">
        <v>0</v>
      </c>
      <c r="N1070" s="1" t="s">
        <v>592</v>
      </c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Z1070" s="0" t="n">
        <f aca="false">I1070+65</f>
        <v>166.5</v>
      </c>
      <c r="AB1070" s="0" t="n">
        <f aca="false">IF(Z1070&gt;360,Z1070-360,Z1070+0)</f>
        <v>166.5</v>
      </c>
    </row>
    <row r="1071" customFormat="false" ht="15.8" hidden="false" customHeight="false" outlineLevel="0" collapsed="false">
      <c r="A1071" s="1" t="n">
        <v>19</v>
      </c>
      <c r="B1071" s="1" t="n">
        <v>8</v>
      </c>
      <c r="C1071" s="1" t="n">
        <v>1.6</v>
      </c>
      <c r="D1071" s="1" t="n">
        <v>1.2116</v>
      </c>
      <c r="E1071" s="1" t="n">
        <v>0.0585941</v>
      </c>
      <c r="F1071" s="1" t="n">
        <v>0.000168419</v>
      </c>
      <c r="G1071" s="1" t="s">
        <v>27</v>
      </c>
      <c r="H1071" s="1" t="n">
        <v>66.8</v>
      </c>
      <c r="I1071" s="1" t="n">
        <v>168.1</v>
      </c>
      <c r="J1071" s="1" t="n">
        <v>16.9</v>
      </c>
      <c r="K1071" s="1"/>
      <c r="L1071" s="1" t="n">
        <v>0</v>
      </c>
      <c r="M1071" s="1" t="n">
        <v>0</v>
      </c>
      <c r="N1071" s="1" t="s">
        <v>592</v>
      </c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Z1071" s="0" t="n">
        <f aca="false">I1071+65</f>
        <v>233.1</v>
      </c>
      <c r="AB1071" s="0" t="n">
        <f aca="false">IF(Z1071&gt;360,Z1071-360,Z1071+0)</f>
        <v>233.1</v>
      </c>
    </row>
    <row r="1072" customFormat="false" ht="15.8" hidden="false" customHeight="false" outlineLevel="0" collapsed="false">
      <c r="A1072" s="1" t="n">
        <v>19</v>
      </c>
      <c r="B1072" s="1" t="n">
        <v>7</v>
      </c>
      <c r="C1072" s="1" t="n">
        <v>4.5</v>
      </c>
      <c r="D1072" s="1" t="n">
        <v>1.2769</v>
      </c>
      <c r="E1072" s="1" t="n">
        <v>0.162656</v>
      </c>
      <c r="F1072" s="1" t="n">
        <v>0.000467528</v>
      </c>
      <c r="G1072" s="1" t="s">
        <v>37</v>
      </c>
      <c r="H1072" s="1" t="n">
        <v>30.3</v>
      </c>
      <c r="I1072" s="1" t="n">
        <v>97.3</v>
      </c>
      <c r="J1072" s="1" t="n">
        <v>19.4</v>
      </c>
      <c r="K1072" s="1" t="n">
        <v>66.8</v>
      </c>
      <c r="L1072" s="1" t="n">
        <v>0</v>
      </c>
      <c r="M1072" s="1" t="n">
        <v>0</v>
      </c>
      <c r="N1072" s="1" t="s">
        <v>595</v>
      </c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Z1072" s="0" t="n">
        <f aca="false">I1072+65</f>
        <v>162.3</v>
      </c>
      <c r="AB1072" s="0" t="n">
        <f aca="false">IF(Z1072&gt;360,Z1072-360,Z1072+0)</f>
        <v>162.3</v>
      </c>
    </row>
    <row r="1073" customFormat="false" ht="15.8" hidden="false" customHeight="false" outlineLevel="0" collapsed="false">
      <c r="A1073" s="1" t="n">
        <v>19</v>
      </c>
      <c r="B1073" s="1" t="n">
        <v>7</v>
      </c>
      <c r="C1073" s="1" t="n">
        <v>4.1</v>
      </c>
      <c r="D1073" s="1" t="n">
        <v>1.4353</v>
      </c>
      <c r="E1073" s="1" t="n">
        <v>0.147045</v>
      </c>
      <c r="F1073" s="1" t="n">
        <v>0.000422658</v>
      </c>
      <c r="G1073" s="1" t="s">
        <v>27</v>
      </c>
      <c r="H1073" s="1" t="n">
        <v>71</v>
      </c>
      <c r="I1073" s="1" t="n">
        <v>4.6</v>
      </c>
      <c r="J1073" s="1" t="n">
        <v>-24.4</v>
      </c>
      <c r="K1073" s="1"/>
      <c r="L1073" s="1" t="n">
        <v>0</v>
      </c>
      <c r="M1073" s="1" t="n">
        <v>0</v>
      </c>
      <c r="N1073" s="1" t="s">
        <v>595</v>
      </c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Z1073" s="0" t="n">
        <f aca="false">I1073+65</f>
        <v>69.6</v>
      </c>
      <c r="AB1073" s="0" t="n">
        <f aca="false">IF(Z1073&gt;360,Z1073-360,Z1073+0)</f>
        <v>69.6</v>
      </c>
    </row>
    <row r="1074" customFormat="false" ht="15.8" hidden="false" customHeight="false" outlineLevel="0" collapsed="false">
      <c r="A1074" s="1" t="n">
        <v>19</v>
      </c>
      <c r="B1074" s="1" t="n">
        <v>6</v>
      </c>
      <c r="C1074" s="1" t="n">
        <v>1.7</v>
      </c>
      <c r="D1074" s="1" t="n">
        <v>1.0119</v>
      </c>
      <c r="E1074" s="1" t="n">
        <v>0.0626274</v>
      </c>
      <c r="F1074" s="1" t="n">
        <v>0.000180012</v>
      </c>
      <c r="G1074" s="1" t="s">
        <v>37</v>
      </c>
      <c r="H1074" s="1" t="n">
        <v>90.7</v>
      </c>
      <c r="I1074" s="1" t="n">
        <v>73.6</v>
      </c>
      <c r="J1074" s="1" t="n">
        <v>0</v>
      </c>
      <c r="K1074" s="1" t="n">
        <v>71</v>
      </c>
      <c r="L1074" s="1" t="n">
        <v>0</v>
      </c>
      <c r="M1074" s="1" t="n">
        <v>0</v>
      </c>
      <c r="N1074" s="1" t="s">
        <v>596</v>
      </c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Z1074" s="0" t="n">
        <f aca="false">I1074+65</f>
        <v>138.6</v>
      </c>
      <c r="AB1074" s="0" t="n">
        <f aca="false">IF(Z1074&gt;360,Z1074-360,Z1074+0)</f>
        <v>138.6</v>
      </c>
    </row>
    <row r="1075" customFormat="false" ht="15.8" hidden="false" customHeight="false" outlineLevel="0" collapsed="false">
      <c r="A1075" s="1" t="n">
        <v>19</v>
      </c>
      <c r="B1075" s="1" t="n">
        <v>8</v>
      </c>
      <c r="C1075" s="1" t="n">
        <v>1</v>
      </c>
      <c r="D1075" s="1" t="n">
        <v>1.105</v>
      </c>
      <c r="E1075" s="1" t="n">
        <v>0.0347471</v>
      </c>
      <c r="F1075" s="1" t="n">
        <v>9.98748E-005</v>
      </c>
      <c r="G1075" s="1" t="s">
        <v>27</v>
      </c>
      <c r="H1075" s="1" t="n">
        <v>63.4</v>
      </c>
      <c r="I1075" s="1" t="n">
        <v>33.7</v>
      </c>
      <c r="J1075" s="1" t="n">
        <v>0</v>
      </c>
      <c r="K1075" s="1"/>
      <c r="L1075" s="1" t="n">
        <v>0</v>
      </c>
      <c r="M1075" s="1" t="n">
        <v>0</v>
      </c>
      <c r="N1075" s="1" t="s">
        <v>597</v>
      </c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Z1075" s="0" t="n">
        <f aca="false">I1075+65</f>
        <v>98.7</v>
      </c>
      <c r="AB1075" s="0" t="n">
        <f aca="false">IF(Z1075&gt;360,Z1075-360,Z1075+0)</f>
        <v>98.7</v>
      </c>
    </row>
    <row r="1076" customFormat="false" ht="15.8" hidden="false" customHeight="false" outlineLevel="0" collapsed="false">
      <c r="A1076" s="1" t="n">
        <v>19</v>
      </c>
      <c r="B1076" s="1" t="n">
        <v>8</v>
      </c>
      <c r="C1076" s="1" t="n">
        <v>4.2</v>
      </c>
      <c r="D1076" s="1" t="n">
        <v>1.2162</v>
      </c>
      <c r="E1076" s="1" t="n">
        <v>0.151476</v>
      </c>
      <c r="F1076" s="1" t="n">
        <v>0.000435392</v>
      </c>
      <c r="G1076" s="1" t="s">
        <v>27</v>
      </c>
      <c r="H1076" s="1" t="n">
        <v>6</v>
      </c>
      <c r="I1076" s="1" t="n">
        <v>97.9</v>
      </c>
      <c r="J1076" s="1" t="n">
        <v>34.4</v>
      </c>
      <c r="K1076" s="1"/>
      <c r="L1076" s="1" t="n">
        <v>0</v>
      </c>
      <c r="M1076" s="1" t="n">
        <v>0</v>
      </c>
      <c r="N1076" s="1" t="s">
        <v>597</v>
      </c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Z1076" s="0" t="n">
        <f aca="false">I1076+65</f>
        <v>162.9</v>
      </c>
      <c r="AB1076" s="0" t="n">
        <f aca="false">IF(Z1076&gt;360,Z1076-360,Z1076+0)</f>
        <v>162.9</v>
      </c>
    </row>
    <row r="1077" customFormat="false" ht="15.8" hidden="false" customHeight="false" outlineLevel="0" collapsed="false">
      <c r="A1077" s="1" t="n">
        <v>19</v>
      </c>
      <c r="B1077" s="1" t="n">
        <v>7</v>
      </c>
      <c r="C1077" s="1" t="n">
        <v>2.8</v>
      </c>
      <c r="D1077" s="1" t="n">
        <v>1.211</v>
      </c>
      <c r="E1077" s="1" t="n">
        <v>0.100132</v>
      </c>
      <c r="F1077" s="1" t="n">
        <v>0.000287813</v>
      </c>
      <c r="G1077" s="1" t="s">
        <v>37</v>
      </c>
      <c r="H1077" s="1" t="n">
        <v>65.4</v>
      </c>
      <c r="I1077" s="1" t="n">
        <v>92.3</v>
      </c>
      <c r="J1077" s="1" t="n">
        <v>30.7</v>
      </c>
      <c r="K1077" s="1" t="n">
        <v>63.4</v>
      </c>
      <c r="L1077" s="1" t="n">
        <v>0</v>
      </c>
      <c r="M1077" s="1" t="n">
        <v>0</v>
      </c>
      <c r="N1077" s="1" t="s">
        <v>598</v>
      </c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Z1077" s="0" t="n">
        <f aca="false">I1077+65</f>
        <v>157.3</v>
      </c>
      <c r="AB1077" s="0" t="n">
        <f aca="false">IF(Z1077&gt;360,Z1077-360,Z1077+0)</f>
        <v>157.3</v>
      </c>
    </row>
    <row r="1078" customFormat="false" ht="15.8" hidden="false" customHeight="false" outlineLevel="0" collapsed="false">
      <c r="A1078" s="1" t="n">
        <v>19</v>
      </c>
      <c r="B1078" s="1" t="n">
        <v>7</v>
      </c>
      <c r="C1078" s="1" t="n">
        <v>4.7</v>
      </c>
      <c r="D1078" s="1" t="n">
        <v>1.2297</v>
      </c>
      <c r="E1078" s="1" t="n">
        <v>0.168568</v>
      </c>
      <c r="F1078" s="1" t="n">
        <v>0.000484521</v>
      </c>
      <c r="G1078" s="1" t="s">
        <v>27</v>
      </c>
      <c r="H1078" s="1" t="n">
        <v>53.7</v>
      </c>
      <c r="I1078" s="1" t="n">
        <v>232.8</v>
      </c>
      <c r="J1078" s="1" t="n">
        <v>18</v>
      </c>
      <c r="K1078" s="1"/>
      <c r="L1078" s="1" t="n">
        <v>0</v>
      </c>
      <c r="M1078" s="1" t="n">
        <v>0</v>
      </c>
      <c r="N1078" s="1" t="s">
        <v>598</v>
      </c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Z1078" s="0" t="n">
        <f aca="false">I1078+65</f>
        <v>297.8</v>
      </c>
      <c r="AB1078" s="0" t="n">
        <f aca="false">IF(Z1078&gt;360,Z1078-360,Z1078+0)</f>
        <v>297.8</v>
      </c>
    </row>
    <row r="1079" customFormat="false" ht="15.8" hidden="false" customHeight="false" outlineLevel="0" collapsed="false">
      <c r="A1079" s="1" t="n">
        <v>19</v>
      </c>
      <c r="B1079" s="1" t="n">
        <v>6</v>
      </c>
      <c r="C1079" s="1" t="n">
        <v>4.1</v>
      </c>
      <c r="D1079" s="1" t="n">
        <v>1.1317</v>
      </c>
      <c r="E1079" s="1" t="n">
        <v>0.147296</v>
      </c>
      <c r="F1079" s="1" t="n">
        <v>0.000423377</v>
      </c>
      <c r="G1079" s="1" t="s">
        <v>37</v>
      </c>
      <c r="H1079" s="1" t="n">
        <v>20.4</v>
      </c>
      <c r="I1079" s="1" t="n">
        <v>185.9</v>
      </c>
      <c r="J1079" s="1" t="n">
        <v>60</v>
      </c>
      <c r="K1079" s="1" t="n">
        <v>65.4</v>
      </c>
      <c r="L1079" s="1" t="n">
        <v>0</v>
      </c>
      <c r="M1079" s="1" t="n">
        <v>0</v>
      </c>
      <c r="N1079" s="1" t="s">
        <v>596</v>
      </c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Z1079" s="0" t="n">
        <f aca="false">I1079+65</f>
        <v>250.9</v>
      </c>
      <c r="AB1079" s="0" t="n">
        <f aca="false">IF(Z1079&gt;360,Z1079-360,Z1079+0)</f>
        <v>250.9</v>
      </c>
    </row>
    <row r="1080" customFormat="false" ht="15.8" hidden="false" customHeight="false" outlineLevel="0" collapsed="false">
      <c r="A1080" s="1" t="n">
        <v>19</v>
      </c>
      <c r="B1080" s="1" t="n">
        <v>6</v>
      </c>
      <c r="C1080" s="1" t="n">
        <v>2.1</v>
      </c>
      <c r="D1080" s="1" t="n">
        <v>1.478</v>
      </c>
      <c r="E1080" s="1" t="n">
        <v>0.0772742</v>
      </c>
      <c r="F1080" s="1" t="n">
        <v>0.000222112</v>
      </c>
      <c r="G1080" s="1" t="s">
        <v>27</v>
      </c>
      <c r="H1080" s="1" t="n">
        <v>131.8</v>
      </c>
      <c r="I1080" s="1" t="n">
        <v>321.5</v>
      </c>
      <c r="J1080" s="1" t="n">
        <v>-32.6</v>
      </c>
      <c r="K1080" s="1"/>
      <c r="L1080" s="1" t="n">
        <v>0</v>
      </c>
      <c r="M1080" s="1" t="n">
        <v>0</v>
      </c>
      <c r="N1080" s="1" t="s">
        <v>596</v>
      </c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Z1080" s="0" t="n">
        <f aca="false">I1080+65</f>
        <v>386.5</v>
      </c>
      <c r="AB1080" s="0" t="n">
        <f aca="false">IF(Z1080&gt;360,Z1080-360,Z1080+0)</f>
        <v>26.5</v>
      </c>
    </row>
    <row r="1081" customFormat="false" ht="15.8" hidden="false" customHeight="false" outlineLevel="0" collapsed="false">
      <c r="A1081" s="1" t="n">
        <v>19</v>
      </c>
      <c r="B1081" s="1" t="n">
        <v>5</v>
      </c>
      <c r="C1081" s="1" t="n">
        <v>1.2</v>
      </c>
      <c r="D1081" s="1" t="n">
        <v>1.0196</v>
      </c>
      <c r="E1081" s="1" t="n">
        <v>0.0438103</v>
      </c>
      <c r="F1081" s="1" t="n">
        <v>0.000125925</v>
      </c>
      <c r="G1081" s="1" t="s">
        <v>37</v>
      </c>
      <c r="H1081" s="1" t="n">
        <v>50.8</v>
      </c>
      <c r="I1081" s="1" t="n">
        <v>167.7</v>
      </c>
      <c r="J1081" s="1" t="n">
        <v>79.6</v>
      </c>
      <c r="K1081" s="1" t="n">
        <v>131.8</v>
      </c>
      <c r="L1081" s="1" t="n">
        <v>0</v>
      </c>
      <c r="M1081" s="1" t="n">
        <v>0</v>
      </c>
      <c r="N1081" s="1" t="s">
        <v>599</v>
      </c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Z1081" s="0" t="n">
        <f aca="false">I1081+65</f>
        <v>232.7</v>
      </c>
      <c r="AB1081" s="0" t="n">
        <f aca="false">IF(Z1081&gt;360,Z1081-360,Z1081+0)</f>
        <v>232.7</v>
      </c>
    </row>
    <row r="1082" customFormat="false" ht="15.8" hidden="false" customHeight="false" outlineLevel="0" collapsed="false">
      <c r="A1082" s="1" t="n">
        <v>19</v>
      </c>
      <c r="B1082" s="1" t="n">
        <v>5</v>
      </c>
      <c r="C1082" s="1" t="n">
        <v>4.6</v>
      </c>
      <c r="D1082" s="1" t="n">
        <v>1.2519</v>
      </c>
      <c r="E1082" s="1" t="n">
        <v>0.167326</v>
      </c>
      <c r="F1082" s="1" t="n">
        <v>0.000480952</v>
      </c>
      <c r="G1082" s="1" t="s">
        <v>27</v>
      </c>
      <c r="H1082" s="1" t="n">
        <v>72.6</v>
      </c>
      <c r="I1082" s="1" t="n">
        <v>66.1</v>
      </c>
      <c r="J1082" s="1" t="n">
        <v>-31.8</v>
      </c>
      <c r="K1082" s="1"/>
      <c r="L1082" s="1" t="n">
        <v>0</v>
      </c>
      <c r="M1082" s="1" t="n">
        <v>0</v>
      </c>
      <c r="N1082" s="1" t="s">
        <v>599</v>
      </c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Z1082" s="0" t="n">
        <f aca="false">I1082+65</f>
        <v>131.1</v>
      </c>
      <c r="AB1082" s="0" t="n">
        <f aca="false">IF(Z1082&gt;360,Z1082-360,Z1082+0)</f>
        <v>131.1</v>
      </c>
    </row>
    <row r="1083" customFormat="false" ht="15.8" hidden="false" customHeight="false" outlineLevel="0" collapsed="false">
      <c r="A1083" s="1" t="n">
        <v>19</v>
      </c>
      <c r="B1083" s="1" t="n">
        <v>4</v>
      </c>
      <c r="C1083" s="1" t="n">
        <v>1.6</v>
      </c>
      <c r="D1083" s="1" t="n">
        <v>1.3016</v>
      </c>
      <c r="E1083" s="1" t="n">
        <v>0.0578912</v>
      </c>
      <c r="F1083" s="1" t="n">
        <v>0.000166399</v>
      </c>
      <c r="G1083" s="1" t="s">
        <v>37</v>
      </c>
      <c r="H1083" s="1" t="n">
        <v>31.5</v>
      </c>
      <c r="I1083" s="1" t="n">
        <v>81.7</v>
      </c>
      <c r="J1083" s="1" t="n">
        <v>39.3</v>
      </c>
      <c r="K1083" s="1" t="n">
        <v>72.6</v>
      </c>
      <c r="L1083" s="1" t="n">
        <v>0</v>
      </c>
      <c r="M1083" s="1" t="n">
        <v>0</v>
      </c>
      <c r="N1083" s="1" t="s">
        <v>600</v>
      </c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Z1083" s="0" t="n">
        <f aca="false">I1083+65</f>
        <v>146.7</v>
      </c>
      <c r="AB1083" s="0" t="n">
        <f aca="false">IF(Z1083&gt;360,Z1083-360,Z1083+0)</f>
        <v>146.7</v>
      </c>
    </row>
    <row r="1084" customFormat="false" ht="15.8" hidden="false" customHeight="false" outlineLevel="0" collapsed="false">
      <c r="A1084" s="1" t="n">
        <v>19</v>
      </c>
      <c r="B1084" s="1" t="n">
        <v>4</v>
      </c>
      <c r="C1084" s="1" t="n">
        <v>1</v>
      </c>
      <c r="D1084" s="1" t="n">
        <v>1.044</v>
      </c>
      <c r="E1084" s="1" t="n">
        <v>0.0363381</v>
      </c>
      <c r="F1084" s="1" t="n">
        <v>0.000104448</v>
      </c>
      <c r="G1084" s="1" t="s">
        <v>27</v>
      </c>
      <c r="H1084" s="1" t="n">
        <v>49.9</v>
      </c>
      <c r="I1084" s="1" t="n">
        <v>160.5</v>
      </c>
      <c r="J1084" s="1" t="n">
        <v>0</v>
      </c>
      <c r="K1084" s="1"/>
      <c r="L1084" s="1" t="n">
        <v>0</v>
      </c>
      <c r="M1084" s="1" t="n">
        <v>0</v>
      </c>
      <c r="N1084" s="1" t="s">
        <v>600</v>
      </c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Z1084" s="0" t="n">
        <f aca="false">I1084+65</f>
        <v>225.5</v>
      </c>
      <c r="AB1084" s="0" t="n">
        <f aca="false">IF(Z1084&gt;360,Z1084-360,Z1084+0)</f>
        <v>225.5</v>
      </c>
    </row>
    <row r="1085" customFormat="false" ht="15.8" hidden="false" customHeight="false" outlineLevel="0" collapsed="false">
      <c r="A1085" s="1" t="n">
        <v>19</v>
      </c>
      <c r="B1085" s="1" t="n">
        <v>3</v>
      </c>
      <c r="C1085" s="1" t="n">
        <v>4.1</v>
      </c>
      <c r="D1085" s="1" t="n">
        <v>1.1859</v>
      </c>
      <c r="E1085" s="1" t="n">
        <v>0.147709</v>
      </c>
      <c r="F1085" s="1" t="n">
        <v>0.000424564</v>
      </c>
      <c r="G1085" s="1" t="s">
        <v>37</v>
      </c>
      <c r="H1085" s="1" t="n">
        <v>99.9</v>
      </c>
      <c r="I1085" s="1" t="n">
        <v>118.2</v>
      </c>
      <c r="J1085" s="1" t="n">
        <v>29.3</v>
      </c>
      <c r="K1085" s="1" t="n">
        <v>49.9</v>
      </c>
      <c r="L1085" s="1" t="n">
        <v>0</v>
      </c>
      <c r="M1085" s="1" t="n">
        <v>0</v>
      </c>
      <c r="N1085" s="1" t="s">
        <v>518</v>
      </c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Z1085" s="0" t="n">
        <f aca="false">I1085+65</f>
        <v>183.2</v>
      </c>
      <c r="AB1085" s="0" t="n">
        <f aca="false">IF(Z1085&gt;360,Z1085-360,Z1085+0)</f>
        <v>183.2</v>
      </c>
    </row>
    <row r="1086" customFormat="false" ht="15.8" hidden="false" customHeight="false" outlineLevel="0" collapsed="false">
      <c r="A1086" s="1" t="n">
        <v>19</v>
      </c>
      <c r="B1086" s="1" t="n">
        <v>2</v>
      </c>
      <c r="C1086" s="1" t="n">
        <v>5.3</v>
      </c>
      <c r="D1086" s="1" t="n">
        <v>1.5719</v>
      </c>
      <c r="E1086" s="1" t="n">
        <v>0.192215</v>
      </c>
      <c r="F1086" s="1" t="n">
        <v>0.000552489</v>
      </c>
      <c r="G1086" s="1" t="s">
        <v>37</v>
      </c>
      <c r="H1086" s="1" t="n">
        <v>57.9</v>
      </c>
      <c r="I1086" s="1" t="n">
        <v>334</v>
      </c>
      <c r="J1086" s="1" t="n">
        <v>43.7</v>
      </c>
      <c r="K1086" s="1" t="n">
        <v>99.9</v>
      </c>
      <c r="L1086" s="1" t="n">
        <v>0</v>
      </c>
      <c r="M1086" s="1" t="n">
        <v>0</v>
      </c>
      <c r="N1086" s="1" t="s">
        <v>601</v>
      </c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Z1086" s="0" t="n">
        <f aca="false">I1086+65</f>
        <v>399</v>
      </c>
      <c r="AB1086" s="0" t="n">
        <f aca="false">IF(Z1086&gt;360,Z1086-360,Z1086+0)</f>
        <v>39</v>
      </c>
    </row>
    <row r="1087" customFormat="false" ht="15.8" hidden="false" customHeight="false" outlineLevel="0" collapsed="false">
      <c r="A1087" s="1" t="n">
        <v>19</v>
      </c>
      <c r="B1087" s="1" t="n">
        <v>5</v>
      </c>
      <c r="C1087" s="1" t="n">
        <v>1.1</v>
      </c>
      <c r="D1087" s="1" t="n">
        <v>1.1664</v>
      </c>
      <c r="E1087" s="1" t="n">
        <v>0.0381431</v>
      </c>
      <c r="F1087" s="1" t="n">
        <v>0.000109636</v>
      </c>
      <c r="G1087" s="1" t="s">
        <v>27</v>
      </c>
      <c r="H1087" s="1" t="n">
        <v>80.6</v>
      </c>
      <c r="I1087" s="1" t="n">
        <v>267.6</v>
      </c>
      <c r="J1087" s="1" t="n">
        <v>-25.5</v>
      </c>
      <c r="K1087" s="1"/>
      <c r="L1087" s="1" t="n">
        <v>0</v>
      </c>
      <c r="M1087" s="1" t="n">
        <v>0</v>
      </c>
      <c r="N1087" s="1" t="s">
        <v>602</v>
      </c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Z1087" s="0" t="n">
        <f aca="false">I1087+65</f>
        <v>332.6</v>
      </c>
      <c r="AB1087" s="0" t="n">
        <f aca="false">IF(Z1087&gt;360,Z1087-360,Z1087+0)</f>
        <v>332.6</v>
      </c>
    </row>
    <row r="1088" customFormat="false" ht="15.8" hidden="false" customHeight="false" outlineLevel="0" collapsed="false">
      <c r="A1088" s="1" t="n">
        <v>19</v>
      </c>
      <c r="B1088" s="1" t="n">
        <v>5</v>
      </c>
      <c r="C1088" s="1" t="n">
        <v>1.8</v>
      </c>
      <c r="D1088" s="1" t="n">
        <v>1.1622</v>
      </c>
      <c r="E1088" s="1" t="n">
        <v>0.0632913</v>
      </c>
      <c r="F1088" s="1" t="n">
        <v>0.00018192</v>
      </c>
      <c r="G1088" s="1" t="s">
        <v>27</v>
      </c>
      <c r="H1088" s="1" t="n">
        <v>58.2</v>
      </c>
      <c r="I1088" s="1" t="n">
        <v>95.9</v>
      </c>
      <c r="J1088" s="1" t="n">
        <v>-15</v>
      </c>
      <c r="K1088" s="1"/>
      <c r="L1088" s="1" t="n">
        <v>0</v>
      </c>
      <c r="M1088" s="1" t="n">
        <v>0</v>
      </c>
      <c r="N1088" s="1" t="s">
        <v>602</v>
      </c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Z1088" s="0" t="n">
        <f aca="false">I1088+65</f>
        <v>160.9</v>
      </c>
      <c r="AB1088" s="0" t="n">
        <f aca="false">IF(Z1088&gt;360,Z1088-360,Z1088+0)</f>
        <v>160.9</v>
      </c>
    </row>
    <row r="1089" customFormat="false" ht="15.8" hidden="false" customHeight="false" outlineLevel="0" collapsed="false">
      <c r="A1089" s="1" t="n">
        <v>19</v>
      </c>
      <c r="B1089" s="1" t="n">
        <v>6</v>
      </c>
      <c r="C1089" s="1" t="n">
        <v>2.5</v>
      </c>
      <c r="D1089" s="1" t="n">
        <v>1.2667</v>
      </c>
      <c r="E1089" s="1" t="n">
        <v>0.0914664</v>
      </c>
      <c r="F1089" s="1" t="n">
        <v>0.000262905</v>
      </c>
      <c r="G1089" s="1" t="s">
        <v>27</v>
      </c>
      <c r="H1089" s="1" t="n">
        <v>62.5</v>
      </c>
      <c r="I1089" s="1" t="n">
        <v>58.3</v>
      </c>
      <c r="J1089" s="1" t="n">
        <v>-35.8</v>
      </c>
      <c r="K1089" s="1"/>
      <c r="L1089" s="1" t="n">
        <v>0</v>
      </c>
      <c r="M1089" s="1" t="n">
        <v>0</v>
      </c>
      <c r="N1089" s="1" t="s">
        <v>603</v>
      </c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Z1089" s="0" t="n">
        <f aca="false">I1089+65</f>
        <v>123.3</v>
      </c>
      <c r="AB1089" s="0" t="n">
        <f aca="false">IF(Z1089&gt;360,Z1089-360,Z1089+0)</f>
        <v>123.3</v>
      </c>
    </row>
    <row r="1090" customFormat="false" ht="15.8" hidden="false" customHeight="false" outlineLevel="0" collapsed="false">
      <c r="A1090" s="1" t="n">
        <v>19</v>
      </c>
      <c r="B1090" s="1" t="n">
        <v>8</v>
      </c>
      <c r="C1090" s="1" t="n">
        <v>1.9</v>
      </c>
      <c r="D1090" s="1" t="n">
        <v>1.1816</v>
      </c>
      <c r="E1090" s="1" t="n">
        <v>0.0691419</v>
      </c>
      <c r="F1090" s="1" t="n">
        <v>0.000198737</v>
      </c>
      <c r="G1090" s="1" t="s">
        <v>27</v>
      </c>
      <c r="H1090" s="1" t="n">
        <v>116.1</v>
      </c>
      <c r="I1090" s="1" t="n">
        <v>276.5</v>
      </c>
      <c r="J1090" s="1" t="n">
        <v>0</v>
      </c>
      <c r="K1090" s="1"/>
      <c r="L1090" s="1" t="n">
        <v>0</v>
      </c>
      <c r="M1090" s="1" t="n">
        <v>0</v>
      </c>
      <c r="N1090" s="1" t="s">
        <v>604</v>
      </c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Z1090" s="0" t="n">
        <f aca="false">I1090+65</f>
        <v>341.5</v>
      </c>
      <c r="AB1090" s="0" t="n">
        <f aca="false">IF(Z1090&gt;360,Z1090-360,Z1090+0)</f>
        <v>341.5</v>
      </c>
    </row>
    <row r="1091" customFormat="false" ht="15.8" hidden="false" customHeight="false" outlineLevel="0" collapsed="false">
      <c r="A1091" s="1" t="n">
        <v>19</v>
      </c>
      <c r="B1091" s="1" t="n">
        <v>10</v>
      </c>
      <c r="C1091" s="1" t="n">
        <v>0.8</v>
      </c>
      <c r="D1091" s="1" t="n">
        <v>1.0006</v>
      </c>
      <c r="E1091" s="1" t="n">
        <v>0.0292751</v>
      </c>
      <c r="F1091" s="1" t="n">
        <v>8.41464E-005</v>
      </c>
      <c r="G1091" s="1" t="s">
        <v>27</v>
      </c>
      <c r="H1091" s="1" t="n">
        <v>41.9</v>
      </c>
      <c r="I1091" s="1" t="n">
        <v>6.5</v>
      </c>
      <c r="J1091" s="1" t="n">
        <v>0</v>
      </c>
      <c r="K1091" s="1"/>
      <c r="L1091" s="1" t="n">
        <v>0</v>
      </c>
      <c r="M1091" s="1" t="n">
        <v>0</v>
      </c>
      <c r="N1091" s="1" t="s">
        <v>605</v>
      </c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Z1091" s="0" t="n">
        <f aca="false">I1091+65</f>
        <v>71.5</v>
      </c>
      <c r="AB1091" s="0" t="n">
        <f aca="false">IF(Z1091&gt;360,Z1091-360,Z1091+0)</f>
        <v>71.5</v>
      </c>
    </row>
    <row r="1092" customFormat="false" ht="15.8" hidden="false" customHeight="false" outlineLevel="0" collapsed="false">
      <c r="A1092" s="1" t="n">
        <v>19</v>
      </c>
      <c r="B1092" s="1" t="n">
        <v>10</v>
      </c>
      <c r="C1092" s="1" t="n">
        <v>3.2</v>
      </c>
      <c r="D1092" s="1" t="n">
        <v>1.7612</v>
      </c>
      <c r="E1092" s="1" t="n">
        <v>0.117195</v>
      </c>
      <c r="F1092" s="1" t="n">
        <v>0.000336858</v>
      </c>
      <c r="G1092" s="1" t="s">
        <v>27</v>
      </c>
      <c r="H1092" s="1" t="n">
        <v>13.3</v>
      </c>
      <c r="I1092" s="1" t="n">
        <v>339.8</v>
      </c>
      <c r="J1092" s="1" t="n">
        <v>-12.2</v>
      </c>
      <c r="K1092" s="1"/>
      <c r="L1092" s="1" t="n">
        <v>0</v>
      </c>
      <c r="M1092" s="1" t="n">
        <v>0</v>
      </c>
      <c r="N1092" s="1" t="s">
        <v>605</v>
      </c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Z1092" s="0" t="n">
        <f aca="false">I1092+65</f>
        <v>404.8</v>
      </c>
      <c r="AB1092" s="0" t="n">
        <f aca="false">IF(Z1092&gt;360,Z1092-360,Z1092+0)</f>
        <v>44.8</v>
      </c>
    </row>
    <row r="1093" customFormat="false" ht="15.8" hidden="false" customHeight="false" outlineLevel="0" collapsed="false">
      <c r="A1093" s="1" t="n">
        <v>19</v>
      </c>
      <c r="B1093" s="1" t="n">
        <v>9</v>
      </c>
      <c r="C1093" s="1" t="n">
        <v>2.7</v>
      </c>
      <c r="D1093" s="1" t="n">
        <v>1.5122</v>
      </c>
      <c r="E1093" s="1" t="n">
        <v>0.0983108</v>
      </c>
      <c r="F1093" s="1" t="n">
        <v>0.000282578</v>
      </c>
      <c r="G1093" s="1" t="s">
        <v>37</v>
      </c>
      <c r="H1093" s="1" t="n">
        <v>103.6</v>
      </c>
      <c r="I1093" s="1" t="n">
        <v>326.2</v>
      </c>
      <c r="J1093" s="1" t="n">
        <v>-12.5</v>
      </c>
      <c r="K1093" s="1" t="n">
        <v>41.9</v>
      </c>
      <c r="L1093" s="1" t="n">
        <v>0</v>
      </c>
      <c r="M1093" s="1" t="n">
        <v>0</v>
      </c>
      <c r="N1093" s="1" t="s">
        <v>606</v>
      </c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Z1093" s="0" t="n">
        <f aca="false">I1093+65</f>
        <v>391.2</v>
      </c>
      <c r="AB1093" s="0" t="n">
        <f aca="false">IF(Z1093&gt;360,Z1093-360,Z1093+0)</f>
        <v>31.2</v>
      </c>
    </row>
    <row r="1094" customFormat="false" ht="15.8" hidden="false" customHeight="false" outlineLevel="0" collapsed="false">
      <c r="A1094" s="1" t="n">
        <v>19</v>
      </c>
      <c r="B1094" s="1" t="n">
        <v>9</v>
      </c>
      <c r="C1094" s="1" t="n">
        <v>2.6</v>
      </c>
      <c r="D1094" s="1" t="n">
        <v>1.2351</v>
      </c>
      <c r="E1094" s="1" t="n">
        <v>0.0928701</v>
      </c>
      <c r="F1094" s="1" t="n">
        <v>0.00026694</v>
      </c>
      <c r="G1094" s="1" t="s">
        <v>27</v>
      </c>
      <c r="H1094" s="1" t="n">
        <v>68.6</v>
      </c>
      <c r="I1094" s="1" t="n">
        <v>105.2</v>
      </c>
      <c r="J1094" s="1" t="n">
        <v>22</v>
      </c>
      <c r="K1094" s="1"/>
      <c r="L1094" s="1" t="n">
        <v>0</v>
      </c>
      <c r="M1094" s="1" t="n">
        <v>0</v>
      </c>
      <c r="N1094" s="1" t="s">
        <v>606</v>
      </c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Z1094" s="0" t="n">
        <f aca="false">I1094+65</f>
        <v>170.2</v>
      </c>
      <c r="AB1094" s="0" t="n">
        <f aca="false">IF(Z1094&gt;360,Z1094-360,Z1094+0)</f>
        <v>170.2</v>
      </c>
    </row>
    <row r="1095" customFormat="false" ht="15.8" hidden="false" customHeight="false" outlineLevel="0" collapsed="false">
      <c r="A1095" s="1" t="n">
        <v>19</v>
      </c>
      <c r="B1095" s="1" t="n">
        <v>10</v>
      </c>
      <c r="C1095" s="1" t="n">
        <v>1.5</v>
      </c>
      <c r="D1095" s="1" t="n">
        <v>1.2266</v>
      </c>
      <c r="E1095" s="1" t="n">
        <v>0.0558074</v>
      </c>
      <c r="F1095" s="1" t="n">
        <v>0.000160409</v>
      </c>
      <c r="G1095" s="1" t="s">
        <v>27</v>
      </c>
      <c r="H1095" s="1" t="n">
        <v>55.8</v>
      </c>
      <c r="I1095" s="1" t="n">
        <v>144.5</v>
      </c>
      <c r="J1095" s="1" t="n">
        <v>38.3</v>
      </c>
      <c r="K1095" s="1"/>
      <c r="L1095" s="1" t="n">
        <v>0</v>
      </c>
      <c r="M1095" s="1" t="n">
        <v>0</v>
      </c>
      <c r="N1095" s="1" t="s">
        <v>607</v>
      </c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Z1095" s="0" t="n">
        <f aca="false">I1095+65</f>
        <v>209.5</v>
      </c>
      <c r="AB1095" s="0" t="n">
        <f aca="false">IF(Z1095&gt;360,Z1095-360,Z1095+0)</f>
        <v>209.5</v>
      </c>
    </row>
    <row r="1096" customFormat="false" ht="15.8" hidden="false" customHeight="false" outlineLevel="0" collapsed="false">
      <c r="A1096" s="1" t="n">
        <v>19</v>
      </c>
      <c r="B1096" s="1" t="n">
        <v>10</v>
      </c>
      <c r="C1096" s="1" t="n">
        <v>4.7</v>
      </c>
      <c r="D1096" s="1" t="n">
        <v>1.3006</v>
      </c>
      <c r="E1096" s="1" t="n">
        <v>0.169471</v>
      </c>
      <c r="F1096" s="1" t="n">
        <v>0.000487116</v>
      </c>
      <c r="G1096" s="1" t="s">
        <v>27</v>
      </c>
      <c r="H1096" s="1" t="n">
        <v>116</v>
      </c>
      <c r="I1096" s="1" t="n">
        <v>249.9</v>
      </c>
      <c r="J1096" s="1" t="n">
        <v>6.2</v>
      </c>
      <c r="K1096" s="1"/>
      <c r="L1096" s="1" t="n">
        <v>0</v>
      </c>
      <c r="M1096" s="1" t="n">
        <v>0</v>
      </c>
      <c r="N1096" s="1" t="s">
        <v>607</v>
      </c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Z1096" s="0" t="n">
        <f aca="false">I1096+65</f>
        <v>314.9</v>
      </c>
      <c r="AB1096" s="0" t="n">
        <f aca="false">IF(Z1096&gt;360,Z1096-360,Z1096+0)</f>
        <v>314.9</v>
      </c>
    </row>
    <row r="1097" customFormat="false" ht="15.8" hidden="false" customHeight="false" outlineLevel="0" collapsed="false">
      <c r="A1097" s="1" t="n">
        <v>19</v>
      </c>
      <c r="B1097" s="1" t="n">
        <v>11</v>
      </c>
      <c r="C1097" s="1" t="n">
        <v>3.2</v>
      </c>
      <c r="D1097" s="1" t="n">
        <v>1.18</v>
      </c>
      <c r="E1097" s="1" t="n">
        <v>0.115624</v>
      </c>
      <c r="F1097" s="1" t="n">
        <v>0.000332343</v>
      </c>
      <c r="G1097" s="1" t="s">
        <v>27</v>
      </c>
      <c r="H1097" s="1" t="n">
        <v>80.6</v>
      </c>
      <c r="I1097" s="1" t="n">
        <v>128.3</v>
      </c>
      <c r="J1097" s="1" t="n">
        <v>25.6</v>
      </c>
      <c r="K1097" s="1"/>
      <c r="L1097" s="1" t="n">
        <v>0</v>
      </c>
      <c r="M1097" s="1" t="n">
        <v>0</v>
      </c>
      <c r="N1097" s="1" t="s">
        <v>608</v>
      </c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Z1097" s="0" t="n">
        <f aca="false">I1097+65</f>
        <v>193.3</v>
      </c>
      <c r="AB1097" s="0" t="n">
        <f aca="false">IF(Z1097&gt;360,Z1097-360,Z1097+0)</f>
        <v>193.3</v>
      </c>
    </row>
    <row r="1098" customFormat="false" ht="15.8" hidden="false" customHeight="false" outlineLevel="0" collapsed="false">
      <c r="A1098" s="1" t="n">
        <v>19</v>
      </c>
      <c r="B1098" s="1" t="n">
        <v>11</v>
      </c>
      <c r="C1098" s="1" t="n">
        <v>1.3</v>
      </c>
      <c r="D1098" s="1" t="n">
        <v>1.2652</v>
      </c>
      <c r="E1098" s="1" t="n">
        <v>0.0453209</v>
      </c>
      <c r="F1098" s="1" t="n">
        <v>0.000130268</v>
      </c>
      <c r="G1098" s="1" t="s">
        <v>27</v>
      </c>
      <c r="H1098" s="1" t="n">
        <v>98</v>
      </c>
      <c r="I1098" s="1" t="n">
        <v>311.9</v>
      </c>
      <c r="J1098" s="1" t="n">
        <v>-23.2</v>
      </c>
      <c r="K1098" s="1"/>
      <c r="L1098" s="1" t="n">
        <v>0</v>
      </c>
      <c r="M1098" s="1" t="n">
        <v>0</v>
      </c>
      <c r="N1098" s="1" t="s">
        <v>608</v>
      </c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Z1098" s="0" t="n">
        <f aca="false">I1098+65</f>
        <v>376.9</v>
      </c>
      <c r="AB1098" s="0" t="n">
        <f aca="false">IF(Z1098&gt;360,Z1098-360,Z1098+0)</f>
        <v>16.9</v>
      </c>
    </row>
    <row r="1099" customFormat="false" ht="15.8" hidden="false" customHeight="false" outlineLevel="0" collapsed="false">
      <c r="A1099" s="1" t="n">
        <v>19</v>
      </c>
      <c r="B1099" s="1" t="n">
        <v>12</v>
      </c>
      <c r="C1099" s="1" t="n">
        <v>1.8</v>
      </c>
      <c r="D1099" s="1" t="n">
        <v>1.3251</v>
      </c>
      <c r="E1099" s="1" t="n">
        <v>0.0637934</v>
      </c>
      <c r="F1099" s="1" t="n">
        <v>0.000183364</v>
      </c>
      <c r="G1099" s="1" t="s">
        <v>27</v>
      </c>
      <c r="H1099" s="1" t="n">
        <v>31.2</v>
      </c>
      <c r="I1099" s="1" t="n">
        <v>77</v>
      </c>
      <c r="J1099" s="1" t="n">
        <v>-17</v>
      </c>
      <c r="K1099" s="1"/>
      <c r="L1099" s="1" t="n">
        <v>0</v>
      </c>
      <c r="M1099" s="1" t="n">
        <v>0</v>
      </c>
      <c r="N1099" s="1" t="s">
        <v>609</v>
      </c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Z1099" s="0" t="n">
        <f aca="false">I1099+65</f>
        <v>142</v>
      </c>
      <c r="AB1099" s="0" t="n">
        <f aca="false">IF(Z1099&gt;360,Z1099-360,Z1099+0)</f>
        <v>142</v>
      </c>
    </row>
    <row r="1100" customFormat="false" ht="15.8" hidden="false" customHeight="false" outlineLevel="0" collapsed="false">
      <c r="A1100" s="1" t="n">
        <v>19</v>
      </c>
      <c r="B1100" s="1" t="n">
        <v>12</v>
      </c>
      <c r="C1100" s="1" t="n">
        <v>3</v>
      </c>
      <c r="D1100" s="1" t="n">
        <v>1.3288</v>
      </c>
      <c r="E1100" s="1" t="n">
        <v>0.109302</v>
      </c>
      <c r="F1100" s="1" t="n">
        <v>0.000314172</v>
      </c>
      <c r="G1100" s="1" t="s">
        <v>27</v>
      </c>
      <c r="H1100" s="1" t="n">
        <v>64.6</v>
      </c>
      <c r="I1100" s="1" t="n">
        <v>333.4</v>
      </c>
      <c r="J1100" s="1" t="n">
        <v>-30.9</v>
      </c>
      <c r="K1100" s="1"/>
      <c r="L1100" s="1" t="n">
        <v>0</v>
      </c>
      <c r="M1100" s="1" t="n">
        <v>0</v>
      </c>
      <c r="N1100" s="1" t="s">
        <v>609</v>
      </c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Z1100" s="0" t="n">
        <f aca="false">I1100+65</f>
        <v>398.4</v>
      </c>
      <c r="AB1100" s="0" t="n">
        <f aca="false">IF(Z1100&gt;360,Z1100-360,Z1100+0)</f>
        <v>38.4</v>
      </c>
    </row>
    <row r="1101" customFormat="false" ht="15.8" hidden="false" customHeight="false" outlineLevel="0" collapsed="false">
      <c r="A1101" s="1" t="n">
        <v>19</v>
      </c>
      <c r="B1101" s="1" t="n">
        <v>11</v>
      </c>
      <c r="C1101" s="1" t="n">
        <v>1.4</v>
      </c>
      <c r="D1101" s="1" t="n">
        <v>1.2233</v>
      </c>
      <c r="E1101" s="1" t="n">
        <v>0.0508157</v>
      </c>
      <c r="F1101" s="1" t="n">
        <v>0.000146061</v>
      </c>
      <c r="G1101" s="1" t="s">
        <v>37</v>
      </c>
      <c r="H1101" s="1" t="n">
        <v>17.5</v>
      </c>
      <c r="I1101" s="1" t="n">
        <v>56.1</v>
      </c>
      <c r="J1101" s="1" t="n">
        <v>-42.7</v>
      </c>
      <c r="K1101" s="1" t="n">
        <v>64.6</v>
      </c>
      <c r="L1101" s="1" t="n">
        <v>0</v>
      </c>
      <c r="M1101" s="1" t="n">
        <v>0</v>
      </c>
      <c r="N1101" s="1" t="s">
        <v>608</v>
      </c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Z1101" s="0" t="n">
        <f aca="false">I1101+65</f>
        <v>121.1</v>
      </c>
      <c r="AB1101" s="0" t="n">
        <f aca="false">IF(Z1101&gt;360,Z1101-360,Z1101+0)</f>
        <v>121.1</v>
      </c>
    </row>
    <row r="1102" customFormat="false" ht="15.8" hidden="false" customHeight="false" outlineLevel="0" collapsed="false">
      <c r="A1102" s="1" t="n">
        <v>19</v>
      </c>
      <c r="B1102" s="1" t="n">
        <v>10</v>
      </c>
      <c r="C1102" s="1" t="n">
        <v>2.3</v>
      </c>
      <c r="D1102" s="1" t="n">
        <v>1.3465</v>
      </c>
      <c r="E1102" s="1" t="n">
        <v>0.08453</v>
      </c>
      <c r="F1102" s="1" t="n">
        <v>0.000242967</v>
      </c>
      <c r="G1102" s="1" t="s">
        <v>37</v>
      </c>
      <c r="H1102" s="1" t="n">
        <v>65.1</v>
      </c>
      <c r="I1102" s="1" t="n">
        <v>64.6</v>
      </c>
      <c r="J1102" s="1" t="n">
        <v>-26.7</v>
      </c>
      <c r="K1102" s="1" t="n">
        <v>98</v>
      </c>
      <c r="L1102" s="1" t="n">
        <v>0</v>
      </c>
      <c r="M1102" s="1" t="n">
        <v>0</v>
      </c>
      <c r="N1102" s="1" t="s">
        <v>607</v>
      </c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Z1102" s="0" t="n">
        <f aca="false">I1102+65</f>
        <v>129.6</v>
      </c>
      <c r="AB1102" s="0" t="n">
        <f aca="false">IF(Z1102&gt;360,Z1102-360,Z1102+0)</f>
        <v>129.6</v>
      </c>
    </row>
    <row r="1103" customFormat="false" ht="15.8" hidden="false" customHeight="false" outlineLevel="0" collapsed="false">
      <c r="A1103" s="1" t="n">
        <v>19</v>
      </c>
      <c r="B1103" s="1" t="n">
        <v>9</v>
      </c>
      <c r="C1103" s="1" t="n">
        <v>2.2</v>
      </c>
      <c r="D1103" s="1" t="n">
        <v>1.6152</v>
      </c>
      <c r="E1103" s="1" t="n">
        <v>0.0787722</v>
      </c>
      <c r="F1103" s="1" t="n">
        <v>0.000226418</v>
      </c>
      <c r="G1103" s="1" t="s">
        <v>37</v>
      </c>
      <c r="H1103" s="1" t="n">
        <v>46.3</v>
      </c>
      <c r="I1103" s="1" t="n">
        <v>134.6</v>
      </c>
      <c r="J1103" s="1" t="n">
        <v>-16.8</v>
      </c>
      <c r="K1103" s="1" t="n">
        <v>116</v>
      </c>
      <c r="L1103" s="1" t="n">
        <v>0</v>
      </c>
      <c r="M1103" s="1" t="n">
        <v>0</v>
      </c>
      <c r="N1103" s="1" t="s">
        <v>606</v>
      </c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Z1103" s="0" t="n">
        <f aca="false">I1103+65</f>
        <v>199.6</v>
      </c>
      <c r="AB1103" s="0" t="n">
        <f aca="false">IF(Z1103&gt;360,Z1103-360,Z1103+0)</f>
        <v>199.6</v>
      </c>
    </row>
    <row r="1104" customFormat="false" ht="15.8" hidden="false" customHeight="false" outlineLevel="0" collapsed="false">
      <c r="A1104" s="1" t="n">
        <v>19</v>
      </c>
      <c r="B1104" s="1" t="n">
        <v>8</v>
      </c>
      <c r="C1104" s="1" t="n">
        <v>2.7</v>
      </c>
      <c r="D1104" s="1" t="n">
        <v>1.2299</v>
      </c>
      <c r="E1104" s="1" t="n">
        <v>0.097408</v>
      </c>
      <c r="F1104" s="1" t="n">
        <v>0.000279983</v>
      </c>
      <c r="G1104" s="1" t="s">
        <v>37</v>
      </c>
      <c r="H1104" s="1" t="n">
        <v>21.2</v>
      </c>
      <c r="I1104" s="1" t="n">
        <v>90.9</v>
      </c>
      <c r="J1104" s="1" t="n">
        <v>-45.4</v>
      </c>
      <c r="K1104" s="1" t="n">
        <v>103.6</v>
      </c>
      <c r="L1104" s="1" t="n">
        <v>0</v>
      </c>
      <c r="M1104" s="1" t="n">
        <v>0</v>
      </c>
      <c r="N1104" s="1" t="s">
        <v>604</v>
      </c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Z1104" s="0" t="n">
        <f aca="false">I1104+65</f>
        <v>155.9</v>
      </c>
      <c r="AB1104" s="0" t="n">
        <f aca="false">IF(Z1104&gt;360,Z1104-360,Z1104+0)</f>
        <v>155.9</v>
      </c>
    </row>
    <row r="1105" customFormat="false" ht="15.8" hidden="false" customHeight="false" outlineLevel="0" collapsed="false">
      <c r="A1105" s="1" t="n">
        <v>19</v>
      </c>
      <c r="B1105" s="1" t="n">
        <v>7</v>
      </c>
      <c r="C1105" s="1" t="n">
        <v>1.6</v>
      </c>
      <c r="D1105" s="1" t="n">
        <v>1.1785</v>
      </c>
      <c r="E1105" s="1" t="n">
        <v>0.0559989</v>
      </c>
      <c r="F1105" s="1" t="n">
        <v>0.000160959</v>
      </c>
      <c r="G1105" s="1" t="s">
        <v>37</v>
      </c>
      <c r="H1105" s="1" t="n">
        <v>10.2</v>
      </c>
      <c r="I1105" s="1" t="n">
        <v>112</v>
      </c>
      <c r="J1105" s="1" t="n">
        <v>-62.8</v>
      </c>
      <c r="K1105" s="1" t="n">
        <v>116.1</v>
      </c>
      <c r="L1105" s="1" t="n">
        <v>0</v>
      </c>
      <c r="M1105" s="1" t="n">
        <v>0</v>
      </c>
      <c r="N1105" s="1" t="s">
        <v>610</v>
      </c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Z1105" s="0" t="n">
        <f aca="false">I1105+65</f>
        <v>177</v>
      </c>
      <c r="AB1105" s="0" t="n">
        <f aca="false">IF(Z1105&gt;360,Z1105-360,Z1105+0)</f>
        <v>177</v>
      </c>
    </row>
    <row r="1106" customFormat="false" ht="15.8" hidden="false" customHeight="false" outlineLevel="0" collapsed="false">
      <c r="A1106" s="1" t="n">
        <v>19</v>
      </c>
      <c r="B1106" s="1" t="n">
        <v>7</v>
      </c>
      <c r="C1106" s="1" t="n">
        <v>3.4</v>
      </c>
      <c r="D1106" s="1" t="n">
        <v>1.3954</v>
      </c>
      <c r="E1106" s="1" t="n">
        <v>0.105641</v>
      </c>
      <c r="F1106" s="1" t="n">
        <v>0.000259092</v>
      </c>
      <c r="G1106" s="1" t="s">
        <v>27</v>
      </c>
      <c r="H1106" s="1" t="n">
        <v>93.1</v>
      </c>
      <c r="I1106" s="1" t="n">
        <v>348.7</v>
      </c>
      <c r="J1106" s="1" t="n">
        <v>-9.1</v>
      </c>
      <c r="K1106" s="1"/>
      <c r="L1106" s="1" t="n">
        <v>0</v>
      </c>
      <c r="M1106" s="1" t="n">
        <v>0</v>
      </c>
      <c r="N1106" s="1" t="s">
        <v>610</v>
      </c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Z1106" s="0" t="n">
        <f aca="false">I1106+65</f>
        <v>413.7</v>
      </c>
      <c r="AB1106" s="0" t="n">
        <f aca="false">IF(Z1106&gt;360,Z1106-360,Z1106+0)</f>
        <v>53.7</v>
      </c>
    </row>
    <row r="1107" customFormat="false" ht="15.8" hidden="false" customHeight="false" outlineLevel="0" collapsed="false">
      <c r="A1107" s="1" t="n">
        <v>19</v>
      </c>
      <c r="B1107" s="1" t="n">
        <v>6</v>
      </c>
      <c r="C1107" s="1" t="n">
        <v>6.6</v>
      </c>
      <c r="D1107" s="1" t="n">
        <v>1.5423</v>
      </c>
      <c r="E1107" s="1" t="n">
        <v>0.216854</v>
      </c>
      <c r="F1107" s="1" t="n">
        <v>0.000572908</v>
      </c>
      <c r="G1107" s="1" t="s">
        <v>37</v>
      </c>
      <c r="H1107" s="1" t="n">
        <v>47.8</v>
      </c>
      <c r="I1107" s="1" t="n">
        <v>98</v>
      </c>
      <c r="J1107" s="1" t="n">
        <v>-55.4</v>
      </c>
      <c r="K1107" s="1" t="n">
        <v>93.1</v>
      </c>
      <c r="L1107" s="1" t="n">
        <v>0</v>
      </c>
      <c r="M1107" s="1" t="n">
        <v>0</v>
      </c>
      <c r="N1107" s="1" t="s">
        <v>603</v>
      </c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Z1107" s="0" t="n">
        <f aca="false">I1107+65</f>
        <v>163</v>
      </c>
      <c r="AB1107" s="0" t="n">
        <f aca="false">IF(Z1107&gt;360,Z1107-360,Z1107+0)</f>
        <v>163</v>
      </c>
    </row>
    <row r="1108" customFormat="false" ht="15.8" hidden="false" customHeight="false" outlineLevel="0" collapsed="false">
      <c r="A1108" s="1" t="n">
        <v>19</v>
      </c>
      <c r="B1108" s="1" t="n">
        <v>5</v>
      </c>
      <c r="C1108" s="1" t="n">
        <v>2.5</v>
      </c>
      <c r="D1108" s="1" t="n">
        <v>1.2512</v>
      </c>
      <c r="E1108" s="1" t="n">
        <v>0.0850074</v>
      </c>
      <c r="F1108" s="1" t="n">
        <v>0.000234596</v>
      </c>
      <c r="G1108" s="1" t="s">
        <v>37</v>
      </c>
      <c r="H1108" s="1" t="n">
        <v>34.7</v>
      </c>
      <c r="I1108" s="1" t="n">
        <v>293.9</v>
      </c>
      <c r="J1108" s="1" t="n">
        <v>-76.4</v>
      </c>
      <c r="K1108" s="1" t="n">
        <v>62.5</v>
      </c>
      <c r="L1108" s="1" t="n">
        <v>0</v>
      </c>
      <c r="M1108" s="1" t="n">
        <v>0</v>
      </c>
      <c r="N1108" s="1" t="s">
        <v>602</v>
      </c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Z1108" s="0" t="n">
        <f aca="false">I1108+65</f>
        <v>358.9</v>
      </c>
      <c r="AB1108" s="0" t="n">
        <f aca="false">IF(Z1108&gt;360,Z1108-360,Z1108+0)</f>
        <v>358.9</v>
      </c>
    </row>
    <row r="1109" customFormat="false" ht="15.8" hidden="false" customHeight="false" outlineLevel="0" collapsed="false">
      <c r="A1109" s="1" t="n">
        <v>19</v>
      </c>
      <c r="B1109" s="1" t="n">
        <v>4</v>
      </c>
      <c r="C1109" s="1" t="n">
        <v>5</v>
      </c>
      <c r="D1109" s="1" t="n">
        <v>1.4768</v>
      </c>
      <c r="E1109" s="1" t="n">
        <v>0.178972</v>
      </c>
      <c r="F1109" s="1" t="n">
        <v>0.000514426</v>
      </c>
      <c r="G1109" s="1" t="s">
        <v>37</v>
      </c>
      <c r="H1109" s="1" t="n">
        <v>96.5</v>
      </c>
      <c r="I1109" s="1" t="n">
        <v>132.1</v>
      </c>
      <c r="J1109" s="1" t="n">
        <v>-68.4</v>
      </c>
      <c r="K1109" s="1" t="n">
        <v>80.6</v>
      </c>
      <c r="L1109" s="1" t="n">
        <v>0</v>
      </c>
      <c r="M1109" s="1" t="n">
        <v>0</v>
      </c>
      <c r="N1109" s="1" t="s">
        <v>611</v>
      </c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Z1109" s="0" t="n">
        <f aca="false">I1109+65</f>
        <v>197.1</v>
      </c>
      <c r="AB1109" s="0" t="n">
        <f aca="false">IF(Z1109&gt;360,Z1109-360,Z1109+0)</f>
        <v>197.1</v>
      </c>
    </row>
    <row r="1110" customFormat="false" ht="15.8" hidden="false" customHeight="false" outlineLevel="0" collapsed="false">
      <c r="A1110" s="1" t="n">
        <v>19</v>
      </c>
      <c r="B1110" s="1" t="n">
        <v>6</v>
      </c>
      <c r="C1110" s="1" t="n">
        <v>1.3</v>
      </c>
      <c r="D1110" s="1" t="n">
        <v>1.1678</v>
      </c>
      <c r="E1110" s="1" t="n">
        <v>0.0470866</v>
      </c>
      <c r="F1110" s="1" t="n">
        <v>0.000135343</v>
      </c>
      <c r="G1110" s="1" t="s">
        <v>27</v>
      </c>
      <c r="H1110" s="1" t="n">
        <v>67.2</v>
      </c>
      <c r="I1110" s="1" t="n">
        <v>247.1</v>
      </c>
      <c r="J1110" s="1" t="n">
        <v>-44.3</v>
      </c>
      <c r="K1110" s="1"/>
      <c r="L1110" s="1" t="n">
        <v>0</v>
      </c>
      <c r="M1110" s="1" t="n">
        <v>0</v>
      </c>
      <c r="N1110" s="1" t="s">
        <v>612</v>
      </c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Z1110" s="0" t="n">
        <f aca="false">I1110+65</f>
        <v>312.1</v>
      </c>
      <c r="AB1110" s="0" t="n">
        <f aca="false">IF(Z1110&gt;360,Z1110-360,Z1110+0)</f>
        <v>312.1</v>
      </c>
    </row>
    <row r="1111" customFormat="false" ht="15.8" hidden="false" customHeight="false" outlineLevel="0" collapsed="false">
      <c r="A1111" s="1" t="n">
        <v>19</v>
      </c>
      <c r="B1111" s="1" t="n">
        <v>7</v>
      </c>
      <c r="C1111" s="1" t="n">
        <v>1.2</v>
      </c>
      <c r="D1111" s="1" t="n">
        <v>1.1791</v>
      </c>
      <c r="E1111" s="1" t="n">
        <v>0.0430871</v>
      </c>
      <c r="F1111" s="1" t="n">
        <v>0.000123847</v>
      </c>
      <c r="G1111" s="1" t="s">
        <v>27</v>
      </c>
      <c r="H1111" s="1" t="n">
        <v>51.9</v>
      </c>
      <c r="I1111" s="1" t="n">
        <v>272</v>
      </c>
      <c r="J1111" s="1" t="n">
        <v>50.4</v>
      </c>
      <c r="K1111" s="1"/>
      <c r="L1111" s="1" t="n">
        <v>0</v>
      </c>
      <c r="M1111" s="1" t="n">
        <v>0</v>
      </c>
      <c r="N1111" s="1" t="s">
        <v>613</v>
      </c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Z1111" s="0" t="n">
        <f aca="false">I1111+65</f>
        <v>337</v>
      </c>
      <c r="AB1111" s="0" t="n">
        <f aca="false">IF(Z1111&gt;360,Z1111-360,Z1111+0)</f>
        <v>337</v>
      </c>
    </row>
    <row r="1112" customFormat="false" ht="15.8" hidden="false" customHeight="false" outlineLevel="0" collapsed="false">
      <c r="A1112" s="1" t="n">
        <v>19</v>
      </c>
      <c r="B1112" s="1" t="n">
        <v>8</v>
      </c>
      <c r="C1112" s="1" t="n">
        <v>2.3</v>
      </c>
      <c r="D1112" s="1" t="n">
        <v>1.2305</v>
      </c>
      <c r="E1112" s="1" t="n">
        <v>0.0829871</v>
      </c>
      <c r="F1112" s="1" t="n">
        <v>0.000238533</v>
      </c>
      <c r="G1112" s="1" t="s">
        <v>27</v>
      </c>
      <c r="H1112" s="1" t="n">
        <v>129.2</v>
      </c>
      <c r="I1112" s="1" t="n">
        <v>124.2</v>
      </c>
      <c r="J1112" s="1" t="n">
        <v>-24.7</v>
      </c>
      <c r="K1112" s="1"/>
      <c r="L1112" s="1" t="n">
        <v>0</v>
      </c>
      <c r="M1112" s="1" t="n">
        <v>0</v>
      </c>
      <c r="N1112" s="1" t="s">
        <v>614</v>
      </c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Z1112" s="0" t="n">
        <f aca="false">I1112+65</f>
        <v>189.2</v>
      </c>
      <c r="AB1112" s="0" t="n">
        <f aca="false">IF(Z1112&gt;360,Z1112-360,Z1112+0)</f>
        <v>189.2</v>
      </c>
    </row>
    <row r="1113" customFormat="false" ht="15.8" hidden="false" customHeight="false" outlineLevel="0" collapsed="false">
      <c r="A1113" s="1" t="n">
        <v>19</v>
      </c>
      <c r="B1113" s="1" t="n">
        <v>9</v>
      </c>
      <c r="C1113" s="1" t="n">
        <v>1.2</v>
      </c>
      <c r="D1113" s="1" t="n">
        <v>1.0088</v>
      </c>
      <c r="E1113" s="1" t="n">
        <v>0.0428402</v>
      </c>
      <c r="F1113" s="1" t="n">
        <v>0.000123137</v>
      </c>
      <c r="G1113" s="1" t="s">
        <v>27</v>
      </c>
      <c r="H1113" s="1" t="n">
        <v>30.7</v>
      </c>
      <c r="I1113" s="1" t="n">
        <v>279</v>
      </c>
      <c r="J1113" s="1" t="n">
        <v>0</v>
      </c>
      <c r="K1113" s="1"/>
      <c r="L1113" s="1" t="n">
        <v>0</v>
      </c>
      <c r="M1113" s="1" t="n">
        <v>0</v>
      </c>
      <c r="N1113" s="1" t="s">
        <v>615</v>
      </c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Z1113" s="0" t="n">
        <f aca="false">I1113+65</f>
        <v>344</v>
      </c>
      <c r="AB1113" s="0" t="n">
        <f aca="false">IF(Z1113&gt;360,Z1113-360,Z1113+0)</f>
        <v>344</v>
      </c>
    </row>
    <row r="1114" customFormat="false" ht="15.8" hidden="false" customHeight="false" outlineLevel="0" collapsed="false">
      <c r="A1114" s="1" t="n">
        <v>19</v>
      </c>
      <c r="B1114" s="1" t="n">
        <v>9</v>
      </c>
      <c r="C1114" s="1" t="n">
        <v>2.6</v>
      </c>
      <c r="D1114" s="1" t="n">
        <v>1.1991</v>
      </c>
      <c r="E1114" s="1" t="n">
        <v>0.0925573</v>
      </c>
      <c r="F1114" s="1" t="n">
        <v>0.000266041</v>
      </c>
      <c r="G1114" s="1" t="s">
        <v>27</v>
      </c>
      <c r="H1114" s="1" t="n">
        <v>48.8</v>
      </c>
      <c r="I1114" s="1" t="n">
        <v>347.8</v>
      </c>
      <c r="J1114" s="1" t="n">
        <v>-33.2</v>
      </c>
      <c r="K1114" s="1"/>
      <c r="L1114" s="1" t="n">
        <v>0</v>
      </c>
      <c r="M1114" s="1" t="n">
        <v>0</v>
      </c>
      <c r="N1114" s="1" t="s">
        <v>615</v>
      </c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Z1114" s="0" t="n">
        <f aca="false">I1114+65</f>
        <v>412.8</v>
      </c>
      <c r="AB1114" s="0" t="n">
        <f aca="false">IF(Z1114&gt;360,Z1114-360,Z1114+0)</f>
        <v>52.8</v>
      </c>
    </row>
    <row r="1115" customFormat="false" ht="15.8" hidden="false" customHeight="false" outlineLevel="0" collapsed="false">
      <c r="A1115" s="1" t="n">
        <v>19</v>
      </c>
      <c r="B1115" s="1" t="n">
        <v>8</v>
      </c>
      <c r="C1115" s="1" t="n">
        <v>1.2</v>
      </c>
      <c r="D1115" s="1" t="n">
        <v>1.0159</v>
      </c>
      <c r="E1115" s="1" t="n">
        <v>0.0449425</v>
      </c>
      <c r="F1115" s="1" t="n">
        <v>0.00012918</v>
      </c>
      <c r="G1115" s="1" t="s">
        <v>37</v>
      </c>
      <c r="H1115" s="1" t="n">
        <v>34.1</v>
      </c>
      <c r="I1115" s="1" t="n">
        <v>309.7</v>
      </c>
      <c r="J1115" s="1" t="n">
        <v>0</v>
      </c>
      <c r="K1115" s="1" t="n">
        <v>48.8</v>
      </c>
      <c r="L1115" s="1" t="n">
        <v>0</v>
      </c>
      <c r="M1115" s="1" t="n">
        <v>0</v>
      </c>
      <c r="N1115" s="1" t="s">
        <v>614</v>
      </c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Z1115" s="0" t="n">
        <f aca="false">I1115+65</f>
        <v>374.7</v>
      </c>
      <c r="AB1115" s="0" t="n">
        <f aca="false">IF(Z1115&gt;360,Z1115-360,Z1115+0)</f>
        <v>14.7</v>
      </c>
    </row>
    <row r="1116" customFormat="false" ht="15.8" hidden="false" customHeight="false" outlineLevel="0" collapsed="false">
      <c r="A1116" s="1" t="n">
        <v>19</v>
      </c>
      <c r="B1116" s="1" t="n">
        <v>7</v>
      </c>
      <c r="C1116" s="1" t="n">
        <v>2.6</v>
      </c>
      <c r="D1116" s="1" t="n">
        <v>1.1452</v>
      </c>
      <c r="E1116" s="1" t="n">
        <v>0.0946371</v>
      </c>
      <c r="F1116" s="1" t="n">
        <v>0.000272019</v>
      </c>
      <c r="G1116" s="1" t="s">
        <v>37</v>
      </c>
      <c r="H1116" s="1" t="n">
        <v>34.5</v>
      </c>
      <c r="I1116" s="1" t="n">
        <v>342.5</v>
      </c>
      <c r="J1116" s="1" t="n">
        <v>-9.8</v>
      </c>
      <c r="K1116" s="1" t="n">
        <v>129.2</v>
      </c>
      <c r="L1116" s="1" t="n">
        <v>0</v>
      </c>
      <c r="M1116" s="1" t="n">
        <v>0</v>
      </c>
      <c r="N1116" s="1" t="s">
        <v>613</v>
      </c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Z1116" s="0" t="n">
        <f aca="false">I1116+65</f>
        <v>407.5</v>
      </c>
      <c r="AB1116" s="0" t="n">
        <f aca="false">IF(Z1116&gt;360,Z1116-360,Z1116+0)</f>
        <v>47.5</v>
      </c>
    </row>
    <row r="1117" customFormat="false" ht="15.8" hidden="false" customHeight="false" outlineLevel="0" collapsed="false">
      <c r="A1117" s="1" t="n">
        <v>19</v>
      </c>
      <c r="B1117" s="1" t="n">
        <v>6</v>
      </c>
      <c r="C1117" s="1" t="n">
        <v>2.2</v>
      </c>
      <c r="D1117" s="1" t="n">
        <v>1.2835</v>
      </c>
      <c r="E1117" s="1" t="n">
        <v>0.0790141</v>
      </c>
      <c r="F1117" s="1" t="n">
        <v>0.000227113</v>
      </c>
      <c r="G1117" s="1" t="s">
        <v>37</v>
      </c>
      <c r="H1117" s="1" t="n">
        <v>36.2</v>
      </c>
      <c r="I1117" s="1" t="n">
        <v>316.7</v>
      </c>
      <c r="J1117" s="1" t="n">
        <v>13.2</v>
      </c>
      <c r="K1117" s="1" t="n">
        <v>51.9</v>
      </c>
      <c r="L1117" s="1" t="n">
        <v>0</v>
      </c>
      <c r="M1117" s="1" t="n">
        <v>0</v>
      </c>
      <c r="N1117" s="1" t="s">
        <v>612</v>
      </c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Z1117" s="0" t="n">
        <f aca="false">I1117+65</f>
        <v>381.7</v>
      </c>
      <c r="AB1117" s="0" t="n">
        <f aca="false">IF(Z1117&gt;360,Z1117-360,Z1117+0)</f>
        <v>21.7</v>
      </c>
    </row>
    <row r="1118" customFormat="false" ht="15.8" hidden="false" customHeight="false" outlineLevel="0" collapsed="false">
      <c r="A1118" s="1" t="n">
        <v>19</v>
      </c>
      <c r="B1118" s="1" t="n">
        <v>5</v>
      </c>
      <c r="C1118" s="1" t="n">
        <v>3.5</v>
      </c>
      <c r="D1118" s="1" t="n">
        <v>1.2381</v>
      </c>
      <c r="E1118" s="1" t="n">
        <v>0.125811</v>
      </c>
      <c r="F1118" s="1" t="n">
        <v>0.000361622</v>
      </c>
      <c r="G1118" s="1" t="s">
        <v>37</v>
      </c>
      <c r="H1118" s="1" t="n">
        <v>93.9</v>
      </c>
      <c r="I1118" s="1" t="n">
        <v>279.3</v>
      </c>
      <c r="J1118" s="1" t="n">
        <v>16.1</v>
      </c>
      <c r="K1118" s="1" t="n">
        <v>67.2</v>
      </c>
      <c r="L1118" s="1" t="n">
        <v>0</v>
      </c>
      <c r="M1118" s="1" t="n">
        <v>0</v>
      </c>
      <c r="N1118" s="1" t="s">
        <v>616</v>
      </c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Z1118" s="0" t="n">
        <f aca="false">I1118+65</f>
        <v>344.3</v>
      </c>
      <c r="AB1118" s="0" t="n">
        <f aca="false">IF(Z1118&gt;360,Z1118-360,Z1118+0)</f>
        <v>344.3</v>
      </c>
    </row>
    <row r="1119" customFormat="false" ht="15.8" hidden="false" customHeight="false" outlineLevel="0" collapsed="false">
      <c r="A1119" s="1" t="n">
        <v>19</v>
      </c>
      <c r="B1119" s="1" t="n">
        <v>7</v>
      </c>
      <c r="C1119" s="1" t="n">
        <v>0.6</v>
      </c>
      <c r="D1119" s="1" t="n">
        <v>1.0461</v>
      </c>
      <c r="E1119" s="1" t="n">
        <v>0.0215739</v>
      </c>
      <c r="F1119" s="1" t="n">
        <v>6.20107E-005</v>
      </c>
      <c r="G1119" s="1" t="s">
        <v>27</v>
      </c>
      <c r="H1119" s="1" t="n">
        <v>77.9</v>
      </c>
      <c r="I1119" s="1" t="n">
        <v>335</v>
      </c>
      <c r="J1119" s="1" t="n">
        <v>0</v>
      </c>
      <c r="K1119" s="1"/>
      <c r="L1119" s="1" t="n">
        <v>0</v>
      </c>
      <c r="M1119" s="1" t="n">
        <v>0</v>
      </c>
      <c r="N1119" s="1" t="s">
        <v>617</v>
      </c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Z1119" s="0" t="n">
        <f aca="false">I1119+65</f>
        <v>400</v>
      </c>
      <c r="AB1119" s="0" t="n">
        <f aca="false">IF(Z1119&gt;360,Z1119-360,Z1119+0)</f>
        <v>40</v>
      </c>
    </row>
    <row r="1120" customFormat="false" ht="15.8" hidden="false" customHeight="false" outlineLevel="0" collapsed="false">
      <c r="A1120" s="1" t="n">
        <v>19</v>
      </c>
      <c r="B1120" s="1" t="n">
        <v>10</v>
      </c>
      <c r="C1120" s="1" t="n">
        <v>1.2</v>
      </c>
      <c r="D1120" s="1" t="n">
        <v>1.2033</v>
      </c>
      <c r="E1120" s="1" t="n">
        <v>0.0426165</v>
      </c>
      <c r="F1120" s="1" t="n">
        <v>0.000122494</v>
      </c>
      <c r="G1120" s="1" t="s">
        <v>27</v>
      </c>
      <c r="H1120" s="1" t="n">
        <v>39.4</v>
      </c>
      <c r="I1120" s="1" t="n">
        <v>308.8</v>
      </c>
      <c r="J1120" s="1" t="n">
        <v>-23.4</v>
      </c>
      <c r="K1120" s="1"/>
      <c r="L1120" s="1" t="n">
        <v>0</v>
      </c>
      <c r="M1120" s="1" t="n">
        <v>0</v>
      </c>
      <c r="N1120" s="1" t="s">
        <v>618</v>
      </c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Z1120" s="0" t="n">
        <f aca="false">I1120+65</f>
        <v>373.8</v>
      </c>
      <c r="AB1120" s="0" t="n">
        <f aca="false">IF(Z1120&gt;360,Z1120-360,Z1120+0)</f>
        <v>13.8</v>
      </c>
    </row>
    <row r="1121" customFormat="false" ht="15.8" hidden="false" customHeight="false" outlineLevel="0" collapsed="false">
      <c r="A1121" s="1" t="n">
        <v>19</v>
      </c>
      <c r="B1121" s="1" t="n">
        <v>10</v>
      </c>
      <c r="C1121" s="1" t="n">
        <v>2.6</v>
      </c>
      <c r="D1121" s="1" t="n">
        <v>1.1491</v>
      </c>
      <c r="E1121" s="1" t="n">
        <v>0.0949975</v>
      </c>
      <c r="F1121" s="1" t="n">
        <v>0.000273055</v>
      </c>
      <c r="G1121" s="1" t="s">
        <v>27</v>
      </c>
      <c r="H1121" s="1" t="n">
        <v>134.2</v>
      </c>
      <c r="I1121" s="1" t="n">
        <v>106.6</v>
      </c>
      <c r="J1121" s="1" t="n">
        <v>9.8</v>
      </c>
      <c r="K1121" s="1"/>
      <c r="L1121" s="1" t="n">
        <v>0</v>
      </c>
      <c r="M1121" s="1" t="n">
        <v>0</v>
      </c>
      <c r="N1121" s="1" t="s">
        <v>618</v>
      </c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Z1121" s="0" t="n">
        <f aca="false">I1121+65</f>
        <v>171.6</v>
      </c>
      <c r="AB1121" s="0" t="n">
        <f aca="false">IF(Z1121&gt;360,Z1121-360,Z1121+0)</f>
        <v>171.6</v>
      </c>
    </row>
    <row r="1122" customFormat="false" ht="15.8" hidden="false" customHeight="false" outlineLevel="0" collapsed="false">
      <c r="A1122" s="1" t="n">
        <v>19</v>
      </c>
      <c r="B1122" s="1" t="n">
        <v>9</v>
      </c>
      <c r="C1122" s="1" t="n">
        <v>6.7</v>
      </c>
      <c r="D1122" s="1" t="n">
        <v>2.3325</v>
      </c>
      <c r="E1122" s="1" t="n">
        <v>0.240948</v>
      </c>
      <c r="F1122" s="1" t="n">
        <v>0.000692565</v>
      </c>
      <c r="G1122" s="1" t="s">
        <v>37</v>
      </c>
      <c r="H1122" s="1" t="n">
        <v>69.9</v>
      </c>
      <c r="I1122" s="1" t="n">
        <v>276.8</v>
      </c>
      <c r="J1122" s="1" t="n">
        <v>-54.9</v>
      </c>
      <c r="K1122" s="1" t="n">
        <v>134.2</v>
      </c>
      <c r="L1122" s="1" t="n">
        <v>0</v>
      </c>
      <c r="M1122" s="1" t="n">
        <v>0</v>
      </c>
      <c r="N1122" s="1" t="s">
        <v>619</v>
      </c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Z1122" s="0" t="n">
        <f aca="false">I1122+65</f>
        <v>341.8</v>
      </c>
      <c r="AB1122" s="0" t="n">
        <f aca="false">IF(Z1122&gt;360,Z1122-360,Z1122+0)</f>
        <v>341.8</v>
      </c>
    </row>
    <row r="1123" customFormat="false" ht="15.8" hidden="false" customHeight="false" outlineLevel="0" collapsed="false">
      <c r="A1123" s="1" t="n">
        <v>19</v>
      </c>
      <c r="B1123" s="1" t="n">
        <v>10</v>
      </c>
      <c r="C1123" s="1" t="n">
        <v>1.1</v>
      </c>
      <c r="D1123" s="1" t="n">
        <v>1.0042</v>
      </c>
      <c r="E1123" s="1" t="n">
        <v>0.0400535</v>
      </c>
      <c r="F1123" s="1" t="n">
        <v>0.000115127</v>
      </c>
      <c r="G1123" s="1" t="s">
        <v>27</v>
      </c>
      <c r="H1123" s="1" t="n">
        <v>82.6</v>
      </c>
      <c r="I1123" s="1" t="n">
        <v>148.6</v>
      </c>
      <c r="J1123" s="1" t="n">
        <v>0</v>
      </c>
      <c r="K1123" s="1"/>
      <c r="L1123" s="1" t="n">
        <v>0</v>
      </c>
      <c r="M1123" s="1" t="n">
        <v>0</v>
      </c>
      <c r="N1123" s="1" t="s">
        <v>620</v>
      </c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Z1123" s="0" t="n">
        <f aca="false">I1123+65</f>
        <v>213.6</v>
      </c>
      <c r="AB1123" s="0" t="n">
        <f aca="false">IF(Z1123&gt;360,Z1123-360,Z1123+0)</f>
        <v>213.6</v>
      </c>
    </row>
    <row r="1124" customFormat="false" ht="15.8" hidden="false" customHeight="false" outlineLevel="0" collapsed="false">
      <c r="A1124" s="1" t="n">
        <v>19</v>
      </c>
      <c r="B1124" s="1" t="n">
        <v>10</v>
      </c>
      <c r="C1124" s="1" t="n">
        <v>8</v>
      </c>
      <c r="D1124" s="1" t="n">
        <v>1.2905</v>
      </c>
      <c r="E1124" s="1" t="n">
        <v>0.287329</v>
      </c>
      <c r="F1124" s="1" t="n">
        <v>0.000825878</v>
      </c>
      <c r="G1124" s="1" t="s">
        <v>27</v>
      </c>
      <c r="H1124" s="1" t="n">
        <v>65.4</v>
      </c>
      <c r="I1124" s="1" t="n">
        <v>52.4</v>
      </c>
      <c r="J1124" s="1" t="n">
        <v>-18.4</v>
      </c>
      <c r="K1124" s="1"/>
      <c r="L1124" s="1" t="n">
        <v>0</v>
      </c>
      <c r="M1124" s="1" t="n">
        <v>0</v>
      </c>
      <c r="N1124" s="1" t="s">
        <v>620</v>
      </c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Z1124" s="0" t="n">
        <f aca="false">I1124+65</f>
        <v>117.4</v>
      </c>
      <c r="AB1124" s="0" t="n">
        <f aca="false">IF(Z1124&gt;360,Z1124-360,Z1124+0)</f>
        <v>117.4</v>
      </c>
    </row>
    <row r="1125" customFormat="false" ht="15.8" hidden="false" customHeight="false" outlineLevel="0" collapsed="false">
      <c r="A1125" s="1" t="n">
        <v>19</v>
      </c>
      <c r="B1125" s="1" t="n">
        <v>9</v>
      </c>
      <c r="C1125" s="1" t="n">
        <v>1.3</v>
      </c>
      <c r="D1125" s="1" t="n">
        <v>1.1945</v>
      </c>
      <c r="E1125" s="1" t="n">
        <v>0.0474446</v>
      </c>
      <c r="F1125" s="1" t="n">
        <v>0.000136372</v>
      </c>
      <c r="G1125" s="1" t="s">
        <v>37</v>
      </c>
      <c r="H1125" s="1" t="n">
        <v>90.3</v>
      </c>
      <c r="I1125" s="1" t="n">
        <v>69.1</v>
      </c>
      <c r="J1125" s="1" t="n">
        <v>45.2</v>
      </c>
      <c r="K1125" s="1" t="n">
        <v>82.6</v>
      </c>
      <c r="L1125" s="1" t="n">
        <v>0</v>
      </c>
      <c r="M1125" s="1" t="n">
        <v>0</v>
      </c>
      <c r="N1125" s="1" t="s">
        <v>619</v>
      </c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Z1125" s="0" t="n">
        <f aca="false">I1125+65</f>
        <v>134.1</v>
      </c>
      <c r="AB1125" s="0" t="n">
        <f aca="false">IF(Z1125&gt;360,Z1125-360,Z1125+0)</f>
        <v>134.1</v>
      </c>
    </row>
    <row r="1126" customFormat="false" ht="15.8" hidden="false" customHeight="false" outlineLevel="0" collapsed="false">
      <c r="A1126" s="1" t="n">
        <v>19</v>
      </c>
      <c r="B1126" s="1" t="n">
        <v>8</v>
      </c>
      <c r="C1126" s="1" t="n">
        <v>10.4</v>
      </c>
      <c r="D1126" s="1" t="n">
        <v>1.3268</v>
      </c>
      <c r="E1126" s="1" t="n">
        <v>0.377171</v>
      </c>
      <c r="F1126" s="1" t="n">
        <v>0.00108412</v>
      </c>
      <c r="G1126" s="1" t="s">
        <v>37</v>
      </c>
      <c r="H1126" s="1" t="n">
        <v>84.4</v>
      </c>
      <c r="I1126" s="1" t="n">
        <v>0.5</v>
      </c>
      <c r="J1126" s="1" t="n">
        <v>-20.3</v>
      </c>
      <c r="K1126" s="1" t="n">
        <v>90.3</v>
      </c>
      <c r="L1126" s="1" t="n">
        <v>0</v>
      </c>
      <c r="M1126" s="1" t="n">
        <v>0</v>
      </c>
      <c r="N1126" s="1" t="s">
        <v>621</v>
      </c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Z1126" s="0" t="n">
        <f aca="false">I1126+65</f>
        <v>65.5</v>
      </c>
      <c r="AB1126" s="0" t="n">
        <f aca="false">IF(Z1126&gt;360,Z1126-360,Z1126+0)</f>
        <v>65.5</v>
      </c>
    </row>
    <row r="1127" customFormat="false" ht="15.8" hidden="false" customHeight="false" outlineLevel="0" collapsed="false">
      <c r="A1127" s="1" t="n">
        <v>19</v>
      </c>
      <c r="B1127" s="1" t="n">
        <v>8</v>
      </c>
      <c r="C1127" s="1" t="n">
        <v>2</v>
      </c>
      <c r="D1127" s="1" t="n">
        <v>1.4335</v>
      </c>
      <c r="E1127" s="1" t="n">
        <v>0.0719411</v>
      </c>
      <c r="F1127" s="1" t="n">
        <v>0.000206783</v>
      </c>
      <c r="G1127" s="1" t="s">
        <v>27</v>
      </c>
      <c r="H1127" s="1" t="n">
        <v>50.2</v>
      </c>
      <c r="I1127" s="1" t="n">
        <v>28</v>
      </c>
      <c r="J1127" s="1" t="n">
        <v>57.4</v>
      </c>
      <c r="K1127" s="1"/>
      <c r="L1127" s="1" t="n">
        <v>0</v>
      </c>
      <c r="M1127" s="1" t="n">
        <v>0</v>
      </c>
      <c r="N1127" s="1" t="s">
        <v>621</v>
      </c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Z1127" s="0" t="n">
        <f aca="false">I1127+65</f>
        <v>93</v>
      </c>
      <c r="AB1127" s="0" t="n">
        <f aca="false">IF(Z1127&gt;360,Z1127-360,Z1127+0)</f>
        <v>93</v>
      </c>
    </row>
    <row r="1128" customFormat="false" ht="15.8" hidden="false" customHeight="false" outlineLevel="0" collapsed="false">
      <c r="A1128" s="1" t="n">
        <v>19</v>
      </c>
      <c r="B1128" s="1" t="n">
        <v>8</v>
      </c>
      <c r="C1128" s="1" t="n">
        <v>0.7</v>
      </c>
      <c r="D1128" s="1" t="n">
        <v>1.0176</v>
      </c>
      <c r="E1128" s="1" t="n">
        <v>0.0263545</v>
      </c>
      <c r="F1128" s="1" t="n">
        <v>7.57516E-005</v>
      </c>
      <c r="G1128" s="1" t="s">
        <v>27</v>
      </c>
      <c r="H1128" s="1" t="n">
        <v>129.8</v>
      </c>
      <c r="I1128" s="1" t="n">
        <v>209.2</v>
      </c>
      <c r="J1128" s="1" t="n">
        <v>0</v>
      </c>
      <c r="K1128" s="1"/>
      <c r="L1128" s="1" t="n">
        <v>0</v>
      </c>
      <c r="M1128" s="1" t="n">
        <v>0</v>
      </c>
      <c r="N1128" s="1" t="s">
        <v>621</v>
      </c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Z1128" s="0" t="n">
        <f aca="false">I1128+65</f>
        <v>274.2</v>
      </c>
      <c r="AB1128" s="0" t="n">
        <f aca="false">IF(Z1128&gt;360,Z1128-360,Z1128+0)</f>
        <v>274.2</v>
      </c>
    </row>
    <row r="1129" customFormat="false" ht="15.8" hidden="false" customHeight="false" outlineLevel="0" collapsed="false">
      <c r="A1129" s="1" t="n">
        <v>19</v>
      </c>
      <c r="B1129" s="1" t="n">
        <v>7</v>
      </c>
      <c r="C1129" s="1" t="n">
        <v>2.6</v>
      </c>
      <c r="D1129" s="1" t="n">
        <v>1.1873</v>
      </c>
      <c r="E1129" s="1" t="n">
        <v>0.0931527</v>
      </c>
      <c r="F1129" s="1" t="n">
        <v>0.000267752</v>
      </c>
      <c r="G1129" s="1" t="s">
        <v>37</v>
      </c>
      <c r="H1129" s="1" t="n">
        <v>40.8</v>
      </c>
      <c r="I1129" s="1" t="n">
        <v>75.9</v>
      </c>
      <c r="J1129" s="1" t="n">
        <v>21</v>
      </c>
      <c r="K1129" s="1" t="n">
        <v>129.8</v>
      </c>
      <c r="L1129" s="1" t="n">
        <v>0</v>
      </c>
      <c r="M1129" s="1" t="n">
        <v>0</v>
      </c>
      <c r="N1129" s="1" t="s">
        <v>617</v>
      </c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Z1129" s="0" t="n">
        <f aca="false">I1129+65</f>
        <v>140.9</v>
      </c>
      <c r="AB1129" s="0" t="n">
        <f aca="false">IF(Z1129&gt;360,Z1129-360,Z1129+0)</f>
        <v>140.9</v>
      </c>
    </row>
    <row r="1130" customFormat="false" ht="15.8" hidden="false" customHeight="false" outlineLevel="0" collapsed="false">
      <c r="A1130" s="1" t="n">
        <v>19</v>
      </c>
      <c r="B1130" s="1" t="n">
        <v>6</v>
      </c>
      <c r="C1130" s="1" t="n">
        <v>1.9</v>
      </c>
      <c r="D1130" s="1" t="n">
        <v>1.1032</v>
      </c>
      <c r="E1130" s="1" t="n">
        <v>0.0703671</v>
      </c>
      <c r="F1130" s="1" t="n">
        <v>0.000202259</v>
      </c>
      <c r="G1130" s="1" t="s">
        <v>37</v>
      </c>
      <c r="H1130" s="1" t="n">
        <v>67.3</v>
      </c>
      <c r="I1130" s="1" t="n">
        <v>52.6</v>
      </c>
      <c r="J1130" s="1" t="n">
        <v>-12.8</v>
      </c>
      <c r="K1130" s="1" t="n">
        <v>77.9</v>
      </c>
      <c r="L1130" s="1" t="n">
        <v>0</v>
      </c>
      <c r="M1130" s="1" t="n">
        <v>0</v>
      </c>
      <c r="N1130" s="1" t="s">
        <v>622</v>
      </c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Z1130" s="0" t="n">
        <f aca="false">I1130+65</f>
        <v>117.6</v>
      </c>
      <c r="AB1130" s="0" t="n">
        <f aca="false">IF(Z1130&gt;360,Z1130-360,Z1130+0)</f>
        <v>117.6</v>
      </c>
    </row>
    <row r="1131" customFormat="false" ht="15.8" hidden="false" customHeight="false" outlineLevel="0" collapsed="false">
      <c r="A1131" s="1" t="n">
        <v>19</v>
      </c>
      <c r="B1131" s="1" t="n">
        <v>6</v>
      </c>
      <c r="C1131" s="1" t="n">
        <v>0.9</v>
      </c>
      <c r="D1131" s="1" t="n">
        <v>1.1887</v>
      </c>
      <c r="E1131" s="1" t="n">
        <v>0.0325752</v>
      </c>
      <c r="F1131" s="1" t="n">
        <v>9.36321E-005</v>
      </c>
      <c r="G1131" s="1" t="s">
        <v>27</v>
      </c>
      <c r="H1131" s="1" t="n">
        <v>75.2</v>
      </c>
      <c r="I1131" s="1" t="n">
        <v>328</v>
      </c>
      <c r="J1131" s="1" t="n">
        <v>-30.9</v>
      </c>
      <c r="K1131" s="1"/>
      <c r="L1131" s="1" t="n">
        <v>0</v>
      </c>
      <c r="M1131" s="1" t="n">
        <v>0</v>
      </c>
      <c r="N1131" s="1" t="s">
        <v>622</v>
      </c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Z1131" s="0" t="n">
        <f aca="false">I1131+65</f>
        <v>393</v>
      </c>
      <c r="AB1131" s="0" t="n">
        <f aca="false">IF(Z1131&gt;360,Z1131-360,Z1131+0)</f>
        <v>33</v>
      </c>
    </row>
    <row r="1132" customFormat="false" ht="15.8" hidden="false" customHeight="false" outlineLevel="0" collapsed="false">
      <c r="A1132" s="1" t="n">
        <v>19</v>
      </c>
      <c r="B1132" s="1" t="n">
        <v>5</v>
      </c>
      <c r="C1132" s="1" t="n">
        <v>0.7</v>
      </c>
      <c r="D1132" s="1" t="n">
        <v>1.1302</v>
      </c>
      <c r="E1132" s="1" t="n">
        <v>0.0268631</v>
      </c>
      <c r="F1132" s="1" t="n">
        <v>7.72134E-005</v>
      </c>
      <c r="G1132" s="1" t="s">
        <v>37</v>
      </c>
      <c r="H1132" s="1" t="n">
        <v>57.6</v>
      </c>
      <c r="I1132" s="1" t="n">
        <v>3.7</v>
      </c>
      <c r="J1132" s="1" t="n">
        <v>36.3</v>
      </c>
      <c r="K1132" s="1" t="n">
        <v>75.2</v>
      </c>
      <c r="L1132" s="1" t="n">
        <v>0</v>
      </c>
      <c r="M1132" s="1" t="n">
        <v>0</v>
      </c>
      <c r="N1132" s="1" t="s">
        <v>616</v>
      </c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Z1132" s="0" t="n">
        <f aca="false">I1132+65</f>
        <v>68.7</v>
      </c>
      <c r="AB1132" s="0" t="n">
        <f aca="false">IF(Z1132&gt;360,Z1132-360,Z1132+0)</f>
        <v>68.7</v>
      </c>
    </row>
    <row r="1133" customFormat="false" ht="15.8" hidden="false" customHeight="false" outlineLevel="0" collapsed="false">
      <c r="A1133" s="1" t="n">
        <v>19</v>
      </c>
      <c r="B1133" s="1" t="n">
        <v>4</v>
      </c>
      <c r="C1133" s="1" t="n">
        <v>1.3</v>
      </c>
      <c r="D1133" s="1" t="n">
        <v>1.2461</v>
      </c>
      <c r="E1133" s="1" t="n">
        <v>0.0486526</v>
      </c>
      <c r="F1133" s="1" t="n">
        <v>0.000139844</v>
      </c>
      <c r="G1133" s="1" t="s">
        <v>37</v>
      </c>
      <c r="H1133" s="1" t="n">
        <v>17.7</v>
      </c>
      <c r="I1133" s="1" t="n">
        <v>7.2</v>
      </c>
      <c r="J1133" s="1" t="n">
        <v>-21.1</v>
      </c>
      <c r="K1133" s="1" t="n">
        <v>93.9</v>
      </c>
      <c r="L1133" s="1" t="n">
        <v>0</v>
      </c>
      <c r="M1133" s="1" t="n">
        <v>0</v>
      </c>
      <c r="N1133" s="1" t="s">
        <v>611</v>
      </c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Z1133" s="0" t="n">
        <f aca="false">I1133+65</f>
        <v>72.2</v>
      </c>
      <c r="AB1133" s="0" t="n">
        <f aca="false">IF(Z1133&gt;360,Z1133-360,Z1133+0)</f>
        <v>72.2</v>
      </c>
    </row>
    <row r="1134" customFormat="false" ht="15.8" hidden="false" customHeight="false" outlineLevel="0" collapsed="false">
      <c r="A1134" s="1" t="n">
        <v>19</v>
      </c>
      <c r="B1134" s="1" t="n">
        <v>3</v>
      </c>
      <c r="C1134" s="1" t="n">
        <v>6.2</v>
      </c>
      <c r="D1134" s="1" t="n">
        <v>1.7609</v>
      </c>
      <c r="E1134" s="1" t="n">
        <v>0.225265</v>
      </c>
      <c r="F1134" s="1" t="n">
        <v>0.000647486</v>
      </c>
      <c r="G1134" s="1" t="s">
        <v>37</v>
      </c>
      <c r="H1134" s="1" t="n">
        <v>55.6</v>
      </c>
      <c r="I1134" s="1" t="n">
        <v>12.4</v>
      </c>
      <c r="J1134" s="1" t="n">
        <v>-4.2</v>
      </c>
      <c r="K1134" s="1" t="n">
        <v>96.5</v>
      </c>
      <c r="L1134" s="1" t="n">
        <v>0</v>
      </c>
      <c r="M1134" s="1" t="n">
        <v>0</v>
      </c>
      <c r="N1134" s="1" t="s">
        <v>623</v>
      </c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Z1134" s="0" t="n">
        <f aca="false">I1134+65</f>
        <v>77.4</v>
      </c>
      <c r="AB1134" s="0" t="n">
        <f aca="false">IF(Z1134&gt;360,Z1134-360,Z1134+0)</f>
        <v>77.4</v>
      </c>
    </row>
    <row r="1135" customFormat="false" ht="15.8" hidden="false" customHeight="false" outlineLevel="0" collapsed="false">
      <c r="A1135" s="1" t="n">
        <v>19</v>
      </c>
      <c r="B1135" s="1" t="n">
        <v>4</v>
      </c>
      <c r="C1135" s="1" t="n">
        <v>0.3</v>
      </c>
      <c r="D1135" s="1" t="n">
        <v>1</v>
      </c>
      <c r="E1135" s="1" t="n">
        <v>0.0116353</v>
      </c>
      <c r="F1135" s="1" t="n">
        <v>3.34437E-005</v>
      </c>
      <c r="G1135" s="1" t="s">
        <v>27</v>
      </c>
      <c r="H1135" s="1" t="n">
        <v>65.7</v>
      </c>
      <c r="I1135" s="1" t="n">
        <v>214.8</v>
      </c>
      <c r="J1135" s="1" t="n">
        <v>0</v>
      </c>
      <c r="K1135" s="1"/>
      <c r="L1135" s="1" t="n">
        <v>0</v>
      </c>
      <c r="M1135" s="1" t="n">
        <v>0</v>
      </c>
      <c r="N1135" s="1" t="s">
        <v>624</v>
      </c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Z1135" s="0" t="n">
        <f aca="false">I1135+65</f>
        <v>279.8</v>
      </c>
      <c r="AB1135" s="0" t="n">
        <f aca="false">IF(Z1135&gt;360,Z1135-360,Z1135+0)</f>
        <v>279.8</v>
      </c>
    </row>
    <row r="1136" customFormat="false" ht="15.8" hidden="false" customHeight="false" outlineLevel="0" collapsed="false">
      <c r="A1136" s="1" t="n">
        <v>19</v>
      </c>
      <c r="B1136" s="1" t="n">
        <v>7</v>
      </c>
      <c r="C1136" s="1" t="n">
        <v>5.5</v>
      </c>
      <c r="D1136" s="1" t="n">
        <v>1.1556</v>
      </c>
      <c r="E1136" s="1" t="n">
        <v>0.197604</v>
      </c>
      <c r="F1136" s="1" t="n">
        <v>0.000567979</v>
      </c>
      <c r="G1136" s="1" t="s">
        <v>27</v>
      </c>
      <c r="H1136" s="1" t="n">
        <v>34.6</v>
      </c>
      <c r="I1136" s="1" t="n">
        <v>302.1</v>
      </c>
      <c r="J1136" s="1" t="n">
        <v>14.3</v>
      </c>
      <c r="K1136" s="1"/>
      <c r="L1136" s="1" t="n">
        <v>0</v>
      </c>
      <c r="M1136" s="1" t="n">
        <v>0</v>
      </c>
      <c r="N1136" s="1" t="s">
        <v>625</v>
      </c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Z1136" s="0" t="n">
        <f aca="false">I1136+65</f>
        <v>367.1</v>
      </c>
      <c r="AB1136" s="0" t="n">
        <f aca="false">IF(Z1136&gt;360,Z1136-360,Z1136+0)</f>
        <v>7.10000000000002</v>
      </c>
    </row>
    <row r="1137" customFormat="false" ht="15.8" hidden="false" customHeight="false" outlineLevel="0" collapsed="false">
      <c r="A1137" s="1" t="n">
        <v>19</v>
      </c>
      <c r="B1137" s="1" t="n">
        <v>7</v>
      </c>
      <c r="C1137" s="1" t="n">
        <v>1.5</v>
      </c>
      <c r="D1137" s="1" t="n">
        <v>1.3389</v>
      </c>
      <c r="E1137" s="1" t="n">
        <v>0.0548319</v>
      </c>
      <c r="F1137" s="1" t="n">
        <v>0.000157605</v>
      </c>
      <c r="G1137" s="1" t="s">
        <v>27</v>
      </c>
      <c r="H1137" s="1" t="n">
        <v>56.2</v>
      </c>
      <c r="I1137" s="1" t="n">
        <v>27.7</v>
      </c>
      <c r="J1137" s="1" t="n">
        <v>-20.1</v>
      </c>
      <c r="K1137" s="1"/>
      <c r="L1137" s="1" t="n">
        <v>0</v>
      </c>
      <c r="M1137" s="1" t="n">
        <v>0</v>
      </c>
      <c r="N1137" s="1" t="s">
        <v>625</v>
      </c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Z1137" s="0" t="n">
        <f aca="false">I1137+65</f>
        <v>92.7</v>
      </c>
      <c r="AB1137" s="0" t="n">
        <f aca="false">IF(Z1137&gt;360,Z1137-360,Z1137+0)</f>
        <v>92.7</v>
      </c>
    </row>
    <row r="1138" customFormat="false" ht="15.8" hidden="false" customHeight="false" outlineLevel="0" collapsed="false">
      <c r="A1138" s="1" t="n">
        <v>19</v>
      </c>
      <c r="B1138" s="1" t="n">
        <v>6</v>
      </c>
      <c r="C1138" s="1" t="n">
        <v>1.1</v>
      </c>
      <c r="D1138" s="1" t="n">
        <v>1.0125</v>
      </c>
      <c r="E1138" s="1" t="n">
        <v>0.0402413</v>
      </c>
      <c r="F1138" s="1" t="n">
        <v>0.000115667</v>
      </c>
      <c r="G1138" s="1" t="s">
        <v>37</v>
      </c>
      <c r="H1138" s="1" t="n">
        <v>2.3</v>
      </c>
      <c r="I1138" s="1" t="n">
        <v>334</v>
      </c>
      <c r="J1138" s="1" t="n">
        <v>0</v>
      </c>
      <c r="K1138" s="1" t="n">
        <v>56.2</v>
      </c>
      <c r="L1138" s="1" t="n">
        <v>0</v>
      </c>
      <c r="M1138" s="1" t="n">
        <v>0</v>
      </c>
      <c r="N1138" s="1" t="s">
        <v>626</v>
      </c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Z1138" s="0" t="n">
        <f aca="false">I1138+65</f>
        <v>399</v>
      </c>
      <c r="AB1138" s="0" t="n">
        <f aca="false">IF(Z1138&gt;360,Z1138-360,Z1138+0)</f>
        <v>39</v>
      </c>
    </row>
    <row r="1139" customFormat="false" ht="15.8" hidden="false" customHeight="false" outlineLevel="0" collapsed="false">
      <c r="A1139" s="1" t="n">
        <v>19</v>
      </c>
      <c r="B1139" s="1" t="n">
        <v>6</v>
      </c>
      <c r="C1139" s="1" t="n">
        <v>1.7</v>
      </c>
      <c r="D1139" s="1" t="n">
        <v>1.1059</v>
      </c>
      <c r="E1139" s="1" t="n">
        <v>0.0617279</v>
      </c>
      <c r="F1139" s="1" t="n">
        <v>0.000177427</v>
      </c>
      <c r="G1139" s="1" t="s">
        <v>27</v>
      </c>
      <c r="H1139" s="1" t="n">
        <v>74.6</v>
      </c>
      <c r="I1139" s="1" t="n">
        <v>257.6</v>
      </c>
      <c r="J1139" s="1" t="n">
        <v>-14.6</v>
      </c>
      <c r="K1139" s="1"/>
      <c r="L1139" s="1" t="n">
        <v>0</v>
      </c>
      <c r="M1139" s="1" t="n">
        <v>0</v>
      </c>
      <c r="N1139" s="1" t="s">
        <v>626</v>
      </c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Z1139" s="0" t="n">
        <f aca="false">I1139+65</f>
        <v>322.6</v>
      </c>
      <c r="AB1139" s="0" t="n">
        <f aca="false">IF(Z1139&gt;360,Z1139-360,Z1139+0)</f>
        <v>322.6</v>
      </c>
    </row>
    <row r="1140" customFormat="false" ht="15.8" hidden="false" customHeight="false" outlineLevel="0" collapsed="false">
      <c r="A1140" s="1" t="n">
        <v>19</v>
      </c>
      <c r="B1140" s="1" t="n">
        <v>5</v>
      </c>
      <c r="C1140" s="1" t="n">
        <v>0.7</v>
      </c>
      <c r="D1140" s="1" t="n">
        <v>1.0035</v>
      </c>
      <c r="E1140" s="1" t="n">
        <v>0.0236836</v>
      </c>
      <c r="F1140" s="1" t="n">
        <v>6.80745E-005</v>
      </c>
      <c r="G1140" s="1" t="s">
        <v>37</v>
      </c>
      <c r="H1140" s="1" t="n">
        <v>55.6</v>
      </c>
      <c r="I1140" s="1" t="n">
        <v>331.6</v>
      </c>
      <c r="J1140" s="1" t="n">
        <v>0</v>
      </c>
      <c r="K1140" s="1" t="n">
        <v>74.6</v>
      </c>
      <c r="L1140" s="1" t="n">
        <v>0</v>
      </c>
      <c r="M1140" s="1" t="n">
        <v>0</v>
      </c>
      <c r="N1140" s="1" t="s">
        <v>627</v>
      </c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Z1140" s="0" t="n">
        <f aca="false">I1140+65</f>
        <v>396.6</v>
      </c>
      <c r="AB1140" s="0" t="n">
        <f aca="false">IF(Z1140&gt;360,Z1140-360,Z1140+0)</f>
        <v>36.6</v>
      </c>
    </row>
    <row r="1141" customFormat="false" ht="15.8" hidden="false" customHeight="false" outlineLevel="0" collapsed="false">
      <c r="A1141" s="1" t="n">
        <v>19</v>
      </c>
      <c r="B1141" s="1" t="n">
        <v>13</v>
      </c>
      <c r="C1141" s="1" t="n">
        <v>6.3</v>
      </c>
      <c r="D1141" s="1" t="n">
        <v>1.183</v>
      </c>
      <c r="E1141" s="1" t="n">
        <v>0.227983</v>
      </c>
      <c r="F1141" s="1" t="n">
        <v>0.000655299</v>
      </c>
      <c r="G1141" s="1" t="s">
        <v>27</v>
      </c>
      <c r="H1141" s="1" t="n">
        <v>61.2</v>
      </c>
      <c r="I1141" s="1" t="n">
        <v>142.3</v>
      </c>
      <c r="J1141" s="1" t="n">
        <v>0</v>
      </c>
      <c r="K1141" s="1"/>
      <c r="L1141" s="1" t="n">
        <v>0</v>
      </c>
      <c r="M1141" s="1" t="n">
        <v>0</v>
      </c>
      <c r="N1141" s="1" t="s">
        <v>628</v>
      </c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Z1141" s="0" t="n">
        <f aca="false">I1141+65</f>
        <v>207.3</v>
      </c>
      <c r="AB1141" s="0" t="n">
        <f aca="false">IF(Z1141&gt;360,Z1141-360,Z1141+0)</f>
        <v>207.3</v>
      </c>
    </row>
    <row r="1142" customFormat="false" ht="15.8" hidden="false" customHeight="false" outlineLevel="0" collapsed="false">
      <c r="A1142" s="1" t="n">
        <v>19</v>
      </c>
      <c r="B1142" s="1" t="n">
        <v>16</v>
      </c>
      <c r="C1142" s="1" t="n">
        <v>1.6</v>
      </c>
      <c r="D1142" s="1" t="n">
        <v>1.0728</v>
      </c>
      <c r="E1142" s="1" t="n">
        <v>0.0576738</v>
      </c>
      <c r="F1142" s="1" t="n">
        <v>0.000165774</v>
      </c>
      <c r="G1142" s="1" t="s">
        <v>27</v>
      </c>
      <c r="H1142" s="1" t="n">
        <v>88.1</v>
      </c>
      <c r="I1142" s="1" t="n">
        <v>110.8</v>
      </c>
      <c r="J1142" s="1" t="n">
        <v>0</v>
      </c>
      <c r="K1142" s="1"/>
      <c r="L1142" s="1" t="n">
        <v>0</v>
      </c>
      <c r="M1142" s="1" t="n">
        <v>0</v>
      </c>
      <c r="N1142" s="1" t="s">
        <v>629</v>
      </c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Z1142" s="0" t="n">
        <f aca="false">I1142+65</f>
        <v>175.8</v>
      </c>
      <c r="AB1142" s="0" t="n">
        <f aca="false">IF(Z1142&gt;360,Z1142-360,Z1142+0)</f>
        <v>175.8</v>
      </c>
    </row>
    <row r="1143" customFormat="false" ht="15.8" hidden="false" customHeight="false" outlineLevel="0" collapsed="false">
      <c r="A1143" s="1" t="n">
        <v>19</v>
      </c>
      <c r="B1143" s="1" t="n">
        <v>16</v>
      </c>
      <c r="C1143" s="1" t="n">
        <v>1</v>
      </c>
      <c r="D1143" s="1" t="n">
        <v>1.0352</v>
      </c>
      <c r="E1143" s="1" t="n">
        <v>0.0359627</v>
      </c>
      <c r="F1143" s="1" t="n">
        <v>0.000103369</v>
      </c>
      <c r="G1143" s="1" t="s">
        <v>27</v>
      </c>
      <c r="H1143" s="1" t="n">
        <v>86.1</v>
      </c>
      <c r="I1143" s="1" t="n">
        <v>297.8</v>
      </c>
      <c r="J1143" s="1" t="n">
        <v>0</v>
      </c>
      <c r="K1143" s="1"/>
      <c r="L1143" s="1" t="n">
        <v>0</v>
      </c>
      <c r="M1143" s="1" t="n">
        <v>0</v>
      </c>
      <c r="N1143" s="1" t="s">
        <v>629</v>
      </c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Z1143" s="0" t="n">
        <f aca="false">I1143+65</f>
        <v>362.8</v>
      </c>
      <c r="AB1143" s="0" t="n">
        <f aca="false">IF(Z1143&gt;360,Z1143-360,Z1143+0)</f>
        <v>2.80000000000001</v>
      </c>
    </row>
    <row r="1144" customFormat="false" ht="15.8" hidden="false" customHeight="false" outlineLevel="0" collapsed="false">
      <c r="A1144" s="1" t="n">
        <v>19</v>
      </c>
      <c r="B1144" s="1" t="n">
        <v>15</v>
      </c>
      <c r="C1144" s="1" t="n">
        <v>1.8</v>
      </c>
      <c r="D1144" s="1" t="n">
        <v>1.2959</v>
      </c>
      <c r="E1144" s="1" t="n">
        <v>0.0659984</v>
      </c>
      <c r="F1144" s="1" t="n">
        <v>0.000189702</v>
      </c>
      <c r="G1144" s="1" t="s">
        <v>37</v>
      </c>
      <c r="H1144" s="1" t="n">
        <v>79.5</v>
      </c>
      <c r="I1144" s="1" t="n">
        <v>23.1</v>
      </c>
      <c r="J1144" s="1" t="n">
        <v>33.6</v>
      </c>
      <c r="K1144" s="1" t="n">
        <v>88.1</v>
      </c>
      <c r="L1144" s="1" t="n">
        <v>0</v>
      </c>
      <c r="M1144" s="1" t="n">
        <v>0</v>
      </c>
      <c r="N1144" s="1" t="s">
        <v>630</v>
      </c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Z1144" s="0" t="n">
        <f aca="false">I1144+65</f>
        <v>88.1</v>
      </c>
      <c r="AB1144" s="0" t="n">
        <f aca="false">IF(Z1144&gt;360,Z1144-360,Z1144+0)</f>
        <v>88.1</v>
      </c>
    </row>
    <row r="1145" customFormat="false" ht="15.8" hidden="false" customHeight="false" outlineLevel="0" collapsed="false">
      <c r="A1145" s="1" t="n">
        <v>19</v>
      </c>
      <c r="B1145" s="1" t="n">
        <v>15</v>
      </c>
      <c r="C1145" s="1" t="n">
        <v>3.8</v>
      </c>
      <c r="D1145" s="1" t="n">
        <v>1.6089</v>
      </c>
      <c r="E1145" s="1" t="n">
        <v>0.2211</v>
      </c>
      <c r="F1145" s="1" t="n">
        <v>0.0011059</v>
      </c>
      <c r="G1145" s="1" t="s">
        <v>27</v>
      </c>
      <c r="H1145" s="1" t="n">
        <v>119.4</v>
      </c>
      <c r="I1145" s="1" t="n">
        <v>141.7</v>
      </c>
      <c r="J1145" s="1" t="n">
        <v>-46</v>
      </c>
      <c r="K1145" s="1"/>
      <c r="L1145" s="1" t="n">
        <v>0</v>
      </c>
      <c r="M1145" s="1" t="n">
        <v>0</v>
      </c>
      <c r="N1145" s="1" t="s">
        <v>630</v>
      </c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Z1145" s="0" t="n">
        <f aca="false">I1145+65</f>
        <v>206.7</v>
      </c>
      <c r="AB1145" s="0" t="n">
        <f aca="false">IF(Z1145&gt;360,Z1145-360,Z1145+0)</f>
        <v>206.7</v>
      </c>
    </row>
    <row r="1146" customFormat="false" ht="15.8" hidden="false" customHeight="false" outlineLevel="0" collapsed="false">
      <c r="A1146" s="1" t="n">
        <v>19</v>
      </c>
      <c r="B1146" s="1" t="n">
        <v>14</v>
      </c>
      <c r="C1146" s="1" t="n">
        <v>3.7</v>
      </c>
      <c r="D1146" s="1" t="n">
        <v>1.1851</v>
      </c>
      <c r="E1146" s="1" t="n">
        <v>0.134065</v>
      </c>
      <c r="F1146" s="1" t="n">
        <v>0.000385347</v>
      </c>
      <c r="G1146" s="1" t="s">
        <v>37</v>
      </c>
      <c r="H1146" s="1" t="n">
        <v>46.6</v>
      </c>
      <c r="I1146" s="1" t="n">
        <v>316.4</v>
      </c>
      <c r="J1146" s="1" t="n">
        <v>-14.4</v>
      </c>
      <c r="K1146" s="1" t="n">
        <v>119.4</v>
      </c>
      <c r="L1146" s="1" t="n">
        <v>0</v>
      </c>
      <c r="M1146" s="1" t="n">
        <v>0</v>
      </c>
      <c r="N1146" s="1" t="s">
        <v>631</v>
      </c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Z1146" s="0" t="n">
        <f aca="false">I1146+65</f>
        <v>381.4</v>
      </c>
      <c r="AB1146" s="0" t="n">
        <f aca="false">IF(Z1146&gt;360,Z1146-360,Z1146+0)</f>
        <v>21.4</v>
      </c>
    </row>
    <row r="1147" customFormat="false" ht="15.8" hidden="false" customHeight="false" outlineLevel="0" collapsed="false">
      <c r="A1147" s="1" t="n">
        <v>19</v>
      </c>
      <c r="B1147" s="1" t="n">
        <v>15</v>
      </c>
      <c r="C1147" s="1" t="n">
        <v>1.5</v>
      </c>
      <c r="D1147" s="1" t="n">
        <v>1.1757</v>
      </c>
      <c r="E1147" s="1" t="n">
        <v>0.0542065</v>
      </c>
      <c r="F1147" s="1" t="n">
        <v>0.000155808</v>
      </c>
      <c r="G1147" s="1" t="s">
        <v>27</v>
      </c>
      <c r="H1147" s="1" t="n">
        <v>33.9</v>
      </c>
      <c r="I1147" s="1" t="n">
        <v>190.4</v>
      </c>
      <c r="J1147" s="1" t="n">
        <v>-17.8</v>
      </c>
      <c r="K1147" s="1"/>
      <c r="L1147" s="1" t="n">
        <v>0</v>
      </c>
      <c r="M1147" s="1" t="n">
        <v>0</v>
      </c>
      <c r="N1147" s="1" t="s">
        <v>632</v>
      </c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Z1147" s="0" t="n">
        <f aca="false">I1147+65</f>
        <v>255.4</v>
      </c>
      <c r="AB1147" s="0" t="n">
        <f aca="false">IF(Z1147&gt;360,Z1147-360,Z1147+0)</f>
        <v>255.4</v>
      </c>
    </row>
    <row r="1148" customFormat="false" ht="15.8" hidden="false" customHeight="false" outlineLevel="0" collapsed="false">
      <c r="A1148" s="1" t="n">
        <v>19</v>
      </c>
      <c r="B1148" s="1" t="n">
        <v>15</v>
      </c>
      <c r="C1148" s="1" t="n">
        <v>1</v>
      </c>
      <c r="D1148" s="1" t="n">
        <v>1.0052</v>
      </c>
      <c r="E1148" s="1" t="n">
        <v>0.0359696</v>
      </c>
      <c r="F1148" s="1" t="n">
        <v>0.000103389</v>
      </c>
      <c r="G1148" s="1" t="s">
        <v>27</v>
      </c>
      <c r="H1148" s="1" t="n">
        <v>25.9</v>
      </c>
      <c r="I1148" s="1" t="n">
        <v>248.2</v>
      </c>
      <c r="J1148" s="1" t="n">
        <v>0</v>
      </c>
      <c r="K1148" s="1"/>
      <c r="L1148" s="1" t="n">
        <v>0</v>
      </c>
      <c r="M1148" s="1" t="n">
        <v>0</v>
      </c>
      <c r="N1148" s="1" t="s">
        <v>632</v>
      </c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Z1148" s="0" t="n">
        <f aca="false">I1148+65</f>
        <v>313.2</v>
      </c>
      <c r="AB1148" s="0" t="n">
        <f aca="false">IF(Z1148&gt;360,Z1148-360,Z1148+0)</f>
        <v>313.2</v>
      </c>
    </row>
    <row r="1149" customFormat="false" ht="15.8" hidden="false" customHeight="false" outlineLevel="0" collapsed="false">
      <c r="A1149" s="1" t="n">
        <v>19</v>
      </c>
      <c r="B1149" s="1" t="n">
        <v>14</v>
      </c>
      <c r="C1149" s="1" t="n">
        <v>4.7</v>
      </c>
      <c r="D1149" s="1" t="n">
        <v>1.3244</v>
      </c>
      <c r="E1149" s="1" t="n">
        <v>0.170303</v>
      </c>
      <c r="F1149" s="1" t="n">
        <v>0.000489508</v>
      </c>
      <c r="G1149" s="1" t="s">
        <v>37</v>
      </c>
      <c r="H1149" s="1" t="n">
        <v>47.5</v>
      </c>
      <c r="I1149" s="1" t="n">
        <v>223</v>
      </c>
      <c r="J1149" s="1" t="n">
        <v>-6.3</v>
      </c>
      <c r="K1149" s="1" t="n">
        <v>33.9</v>
      </c>
      <c r="L1149" s="1" t="n">
        <v>0</v>
      </c>
      <c r="M1149" s="1" t="n">
        <v>0</v>
      </c>
      <c r="N1149" s="1" t="s">
        <v>631</v>
      </c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Z1149" s="0" t="n">
        <f aca="false">I1149+65</f>
        <v>288</v>
      </c>
      <c r="AB1149" s="0" t="n">
        <f aca="false">IF(Z1149&gt;360,Z1149-360,Z1149+0)</f>
        <v>288</v>
      </c>
    </row>
    <row r="1150" customFormat="false" ht="15.8" hidden="false" customHeight="false" outlineLevel="0" collapsed="false">
      <c r="A1150" s="1" t="n">
        <v>19</v>
      </c>
      <c r="B1150" s="1" t="n">
        <v>13</v>
      </c>
      <c r="C1150" s="1" t="n">
        <v>8.3</v>
      </c>
      <c r="D1150" s="1" t="n">
        <v>1.1141</v>
      </c>
      <c r="E1150" s="1" t="n">
        <v>0.299819</v>
      </c>
      <c r="F1150" s="1" t="n">
        <v>0.000861781</v>
      </c>
      <c r="G1150" s="1" t="s">
        <v>37</v>
      </c>
      <c r="H1150" s="1" t="n">
        <v>71</v>
      </c>
      <c r="I1150" s="1" t="n">
        <v>270.6</v>
      </c>
      <c r="J1150" s="1" t="n">
        <v>-3</v>
      </c>
      <c r="K1150" s="1" t="n">
        <v>47.5</v>
      </c>
      <c r="L1150" s="1" t="n">
        <v>0</v>
      </c>
      <c r="M1150" s="1" t="n">
        <v>0</v>
      </c>
      <c r="N1150" s="1" t="s">
        <v>628</v>
      </c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Z1150" s="0" t="n">
        <f aca="false">I1150+65</f>
        <v>335.6</v>
      </c>
      <c r="AB1150" s="0" t="n">
        <f aca="false">IF(Z1150&gt;360,Z1150-360,Z1150+0)</f>
        <v>335.6</v>
      </c>
    </row>
    <row r="1151" customFormat="false" ht="15.8" hidden="false" customHeight="false" outlineLevel="0" collapsed="false">
      <c r="A1151" s="1" t="n">
        <v>19</v>
      </c>
      <c r="B1151" s="1" t="n">
        <v>12</v>
      </c>
      <c r="C1151" s="1" t="n">
        <v>2.3</v>
      </c>
      <c r="D1151" s="1" t="n">
        <v>1.2547</v>
      </c>
      <c r="E1151" s="1" t="n">
        <v>0.0833649</v>
      </c>
      <c r="F1151" s="1" t="n">
        <v>0.000239619</v>
      </c>
      <c r="G1151" s="1" t="s">
        <v>37</v>
      </c>
      <c r="H1151" s="1" t="n">
        <v>48.1</v>
      </c>
      <c r="I1151" s="1" t="n">
        <v>200.2</v>
      </c>
      <c r="J1151" s="1" t="n">
        <v>-25.1</v>
      </c>
      <c r="K1151" s="1" t="n">
        <v>71</v>
      </c>
      <c r="L1151" s="1" t="n">
        <v>0</v>
      </c>
      <c r="M1151" s="1" t="n">
        <v>0</v>
      </c>
      <c r="N1151" s="1" t="s">
        <v>633</v>
      </c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Z1151" s="0" t="n">
        <f aca="false">I1151+65</f>
        <v>265.2</v>
      </c>
      <c r="AB1151" s="0" t="n">
        <f aca="false">IF(Z1151&gt;360,Z1151-360,Z1151+0)</f>
        <v>265.2</v>
      </c>
    </row>
    <row r="1152" customFormat="false" ht="15.8" hidden="false" customHeight="false" outlineLevel="0" collapsed="false">
      <c r="A1152" s="1" t="n">
        <v>19</v>
      </c>
      <c r="B1152" s="1" t="n">
        <v>12</v>
      </c>
      <c r="C1152" s="1" t="n">
        <v>1.8</v>
      </c>
      <c r="D1152" s="1" t="n">
        <v>1.2335</v>
      </c>
      <c r="E1152" s="1" t="n">
        <v>0.0661622</v>
      </c>
      <c r="F1152" s="1" t="n">
        <v>0.000190172</v>
      </c>
      <c r="G1152" s="1" t="s">
        <v>27</v>
      </c>
      <c r="H1152" s="1" t="n">
        <v>66.4</v>
      </c>
      <c r="I1152" s="1" t="n">
        <v>308.2</v>
      </c>
      <c r="J1152" s="1" t="n">
        <v>-15.2</v>
      </c>
      <c r="K1152" s="1"/>
      <c r="L1152" s="1" t="n">
        <v>0</v>
      </c>
      <c r="M1152" s="1" t="n">
        <v>0</v>
      </c>
      <c r="N1152" s="1" t="s">
        <v>633</v>
      </c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Z1152" s="0" t="n">
        <f aca="false">I1152+65</f>
        <v>373.2</v>
      </c>
      <c r="AB1152" s="0" t="n">
        <f aca="false">IF(Z1152&gt;360,Z1152-360,Z1152+0)</f>
        <v>13.2</v>
      </c>
    </row>
    <row r="1153" customFormat="false" ht="15.8" hidden="false" customHeight="false" outlineLevel="0" collapsed="false">
      <c r="A1153" s="1" t="n">
        <v>19</v>
      </c>
      <c r="B1153" s="1" t="n">
        <v>11</v>
      </c>
      <c r="C1153" s="1" t="n">
        <v>2.3</v>
      </c>
      <c r="D1153" s="1" t="n">
        <v>1.0159</v>
      </c>
      <c r="E1153" s="1" t="n">
        <v>0.0835929</v>
      </c>
      <c r="F1153" s="1" t="n">
        <v>0.000240274</v>
      </c>
      <c r="G1153" s="1" t="s">
        <v>37</v>
      </c>
      <c r="H1153" s="1" t="n">
        <v>93.2</v>
      </c>
      <c r="I1153" s="1" t="n">
        <v>242.7</v>
      </c>
      <c r="J1153" s="1" t="n">
        <v>0</v>
      </c>
      <c r="K1153" s="1" t="n">
        <v>66.4</v>
      </c>
      <c r="L1153" s="1" t="n">
        <v>0</v>
      </c>
      <c r="M1153" s="1" t="n">
        <v>0</v>
      </c>
      <c r="N1153" s="1" t="s">
        <v>634</v>
      </c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Z1153" s="0" t="n">
        <f aca="false">I1153+65</f>
        <v>307.7</v>
      </c>
      <c r="AB1153" s="0" t="n">
        <f aca="false">IF(Z1153&gt;360,Z1153-360,Z1153+0)</f>
        <v>307.7</v>
      </c>
    </row>
    <row r="1154" customFormat="false" ht="15.8" hidden="false" customHeight="false" outlineLevel="0" collapsed="false">
      <c r="A1154" s="1" t="n">
        <v>19</v>
      </c>
      <c r="B1154" s="1" t="n">
        <v>12</v>
      </c>
      <c r="C1154" s="1" t="n">
        <v>8.8</v>
      </c>
      <c r="D1154" s="1" t="n">
        <v>2.2556</v>
      </c>
      <c r="E1154" s="1" t="n">
        <v>0.319641</v>
      </c>
      <c r="F1154" s="1" t="n">
        <v>0.000918755</v>
      </c>
      <c r="G1154" s="1" t="s">
        <v>27</v>
      </c>
      <c r="H1154" s="1" t="n">
        <v>58.5</v>
      </c>
      <c r="I1154" s="1" t="n">
        <v>158.8</v>
      </c>
      <c r="J1154" s="1" t="n">
        <v>-23.4</v>
      </c>
      <c r="K1154" s="1"/>
      <c r="L1154" s="1" t="n">
        <v>0</v>
      </c>
      <c r="M1154" s="1" t="n">
        <v>0</v>
      </c>
      <c r="N1154" s="1" t="s">
        <v>635</v>
      </c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Z1154" s="0" t="n">
        <f aca="false">I1154+65</f>
        <v>223.8</v>
      </c>
      <c r="AB1154" s="0" t="n">
        <f aca="false">IF(Z1154&gt;360,Z1154-360,Z1154+0)</f>
        <v>223.8</v>
      </c>
    </row>
    <row r="1155" customFormat="false" ht="15.8" hidden="false" customHeight="false" outlineLevel="0" collapsed="false">
      <c r="A1155" s="1" t="n">
        <v>19</v>
      </c>
      <c r="B1155" s="1" t="n">
        <v>13</v>
      </c>
      <c r="C1155" s="1" t="n">
        <v>0.8</v>
      </c>
      <c r="D1155" s="1" t="n">
        <v>1.0053</v>
      </c>
      <c r="E1155" s="1" t="n">
        <v>0.0283958</v>
      </c>
      <c r="F1155" s="1" t="n">
        <v>8.1619E-005</v>
      </c>
      <c r="G1155" s="1" t="s">
        <v>27</v>
      </c>
      <c r="H1155" s="1" t="n">
        <v>53.1</v>
      </c>
      <c r="I1155" s="1" t="n">
        <v>131.4</v>
      </c>
      <c r="J1155" s="1" t="n">
        <v>0</v>
      </c>
      <c r="K1155" s="1"/>
      <c r="L1155" s="1" t="n">
        <v>0</v>
      </c>
      <c r="M1155" s="1" t="n">
        <v>0</v>
      </c>
      <c r="N1155" s="1" t="s">
        <v>636</v>
      </c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Z1155" s="0" t="n">
        <f aca="false">I1155+65</f>
        <v>196.4</v>
      </c>
      <c r="AB1155" s="0" t="n">
        <f aca="false">IF(Z1155&gt;360,Z1155-360,Z1155+0)</f>
        <v>196.4</v>
      </c>
    </row>
    <row r="1156" customFormat="false" ht="15.8" hidden="false" customHeight="false" outlineLevel="0" collapsed="false">
      <c r="A1156" s="1" t="n">
        <v>19</v>
      </c>
      <c r="B1156" s="1" t="n">
        <v>13</v>
      </c>
      <c r="C1156" s="1" t="n">
        <v>0.8</v>
      </c>
      <c r="D1156" s="1" t="n">
        <v>1.0137</v>
      </c>
      <c r="E1156" s="1" t="n">
        <v>0.027886</v>
      </c>
      <c r="F1156" s="1" t="n">
        <v>8.01537E-005</v>
      </c>
      <c r="G1156" s="1" t="s">
        <v>27</v>
      </c>
      <c r="H1156" s="1" t="n">
        <v>109.5</v>
      </c>
      <c r="I1156" s="1" t="n">
        <v>331.1</v>
      </c>
      <c r="J1156" s="1" t="n">
        <v>0</v>
      </c>
      <c r="K1156" s="1"/>
      <c r="L1156" s="1" t="n">
        <v>0</v>
      </c>
      <c r="M1156" s="1" t="n">
        <v>0</v>
      </c>
      <c r="N1156" s="1" t="s">
        <v>636</v>
      </c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Z1156" s="0" t="n">
        <f aca="false">I1156+65</f>
        <v>396.1</v>
      </c>
      <c r="AB1156" s="0" t="n">
        <f aca="false">IF(Z1156&gt;360,Z1156-360,Z1156+0)</f>
        <v>36.1</v>
      </c>
    </row>
    <row r="1157" customFormat="false" ht="15.8" hidden="false" customHeight="false" outlineLevel="0" collapsed="false">
      <c r="A1157" s="1" t="n">
        <v>19</v>
      </c>
      <c r="B1157" s="1" t="n">
        <v>12</v>
      </c>
      <c r="C1157" s="1" t="n">
        <v>5.9</v>
      </c>
      <c r="D1157" s="1" t="n">
        <v>1.5562</v>
      </c>
      <c r="E1157" s="1" t="n">
        <v>0.214275</v>
      </c>
      <c r="F1157" s="1" t="n">
        <v>0.000615899</v>
      </c>
      <c r="G1157" s="1" t="s">
        <v>37</v>
      </c>
      <c r="H1157" s="1" t="n">
        <v>31.6</v>
      </c>
      <c r="I1157" s="1" t="n">
        <v>82.6</v>
      </c>
      <c r="J1157" s="1" t="n">
        <v>-24.2</v>
      </c>
      <c r="K1157" s="1" t="n">
        <v>109.5</v>
      </c>
      <c r="L1157" s="1" t="n">
        <v>0</v>
      </c>
      <c r="M1157" s="1" t="n">
        <v>0</v>
      </c>
      <c r="N1157" s="1" t="s">
        <v>635</v>
      </c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Z1157" s="0" t="n">
        <f aca="false">I1157+65</f>
        <v>147.6</v>
      </c>
      <c r="AB1157" s="0" t="n">
        <f aca="false">IF(Z1157&gt;360,Z1157-360,Z1157+0)</f>
        <v>147.6</v>
      </c>
    </row>
    <row r="1158" customFormat="false" ht="15.8" hidden="false" customHeight="false" outlineLevel="0" collapsed="false">
      <c r="A1158" s="1" t="n">
        <v>19</v>
      </c>
      <c r="B1158" s="1" t="n">
        <v>11</v>
      </c>
      <c r="C1158" s="1" t="n">
        <v>1.8</v>
      </c>
      <c r="D1158" s="1" t="n">
        <v>1.0157</v>
      </c>
      <c r="E1158" s="1" t="n">
        <v>0.0663988</v>
      </c>
      <c r="F1158" s="1" t="n">
        <v>0.000190852</v>
      </c>
      <c r="G1158" s="1" t="s">
        <v>37</v>
      </c>
      <c r="H1158" s="1" t="n">
        <v>45.9</v>
      </c>
      <c r="I1158" s="1" t="n">
        <v>103.6</v>
      </c>
      <c r="J1158" s="1" t="n">
        <v>0</v>
      </c>
      <c r="K1158" s="1" t="n">
        <v>58.5</v>
      </c>
      <c r="L1158" s="1" t="n">
        <v>0</v>
      </c>
      <c r="M1158" s="1" t="n">
        <v>0</v>
      </c>
      <c r="N1158" s="1" t="s">
        <v>634</v>
      </c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Z1158" s="0" t="n">
        <f aca="false">I1158+65</f>
        <v>168.6</v>
      </c>
      <c r="AB1158" s="0" t="n">
        <f aca="false">IF(Z1158&gt;360,Z1158-360,Z1158+0)</f>
        <v>168.6</v>
      </c>
    </row>
    <row r="1159" customFormat="false" ht="15.8" hidden="false" customHeight="false" outlineLevel="0" collapsed="false">
      <c r="A1159" s="1" t="n">
        <v>19</v>
      </c>
      <c r="B1159" s="1" t="n">
        <v>10</v>
      </c>
      <c r="C1159" s="1" t="n">
        <v>3.9</v>
      </c>
      <c r="D1159" s="1" t="n">
        <v>1.103</v>
      </c>
      <c r="E1159" s="1" t="n">
        <v>0.139839</v>
      </c>
      <c r="F1159" s="1" t="n">
        <v>0.000401945</v>
      </c>
      <c r="G1159" s="1" t="s">
        <v>37</v>
      </c>
      <c r="H1159" s="1" t="n">
        <v>35.8</v>
      </c>
      <c r="I1159" s="1" t="n">
        <v>149.5</v>
      </c>
      <c r="J1159" s="1" t="n">
        <v>0</v>
      </c>
      <c r="K1159" s="1" t="n">
        <v>93.2</v>
      </c>
      <c r="L1159" s="1" t="n">
        <v>0</v>
      </c>
      <c r="M1159" s="1" t="n">
        <v>0</v>
      </c>
      <c r="N1159" s="1" t="s">
        <v>637</v>
      </c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Z1159" s="0" t="n">
        <f aca="false">I1159+65</f>
        <v>214.5</v>
      </c>
      <c r="AB1159" s="0" t="n">
        <f aca="false">IF(Z1159&gt;360,Z1159-360,Z1159+0)</f>
        <v>214.5</v>
      </c>
    </row>
    <row r="1160" customFormat="false" ht="15.8" hidden="false" customHeight="false" outlineLevel="0" collapsed="false">
      <c r="A1160" s="1" t="n">
        <v>19</v>
      </c>
      <c r="B1160" s="1" t="n">
        <v>10</v>
      </c>
      <c r="C1160" s="1" t="n">
        <v>3.6</v>
      </c>
      <c r="D1160" s="1" t="n">
        <v>1.5414</v>
      </c>
      <c r="E1160" s="1" t="n">
        <v>0.131654</v>
      </c>
      <c r="F1160" s="1" t="n">
        <v>0.000378418</v>
      </c>
      <c r="G1160" s="1" t="s">
        <v>27</v>
      </c>
      <c r="H1160" s="1" t="n">
        <v>129.2</v>
      </c>
      <c r="I1160" s="1" t="n">
        <v>12.3</v>
      </c>
      <c r="J1160" s="1" t="n">
        <v>-41.3</v>
      </c>
      <c r="K1160" s="1"/>
      <c r="L1160" s="1" t="n">
        <v>0</v>
      </c>
      <c r="M1160" s="1" t="n">
        <v>0</v>
      </c>
      <c r="N1160" s="1" t="s">
        <v>637</v>
      </c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Z1160" s="0" t="n">
        <f aca="false">I1160+65</f>
        <v>77.3</v>
      </c>
      <c r="AB1160" s="0" t="n">
        <f aca="false">IF(Z1160&gt;360,Z1160-360,Z1160+0)</f>
        <v>77.3</v>
      </c>
    </row>
    <row r="1161" customFormat="false" ht="15.8" hidden="false" customHeight="false" outlineLevel="0" collapsed="false">
      <c r="A1161" s="1" t="n">
        <v>19</v>
      </c>
      <c r="B1161" s="1" t="n">
        <v>10</v>
      </c>
      <c r="C1161" s="1" t="n">
        <v>2.9</v>
      </c>
      <c r="D1161" s="1" t="n">
        <v>1.6918</v>
      </c>
      <c r="E1161" s="1" t="n">
        <v>0.106337</v>
      </c>
      <c r="F1161" s="1" t="n">
        <v>0.000305648</v>
      </c>
      <c r="G1161" s="1" t="s">
        <v>27</v>
      </c>
      <c r="H1161" s="1" t="n">
        <v>88.8</v>
      </c>
      <c r="I1161" s="1" t="n">
        <v>290.1</v>
      </c>
      <c r="J1161" s="1" t="n">
        <v>-63.7</v>
      </c>
      <c r="K1161" s="1"/>
      <c r="L1161" s="1" t="n">
        <v>0</v>
      </c>
      <c r="M1161" s="1" t="n">
        <v>0</v>
      </c>
      <c r="N1161" s="1" t="s">
        <v>637</v>
      </c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Z1161" s="0" t="n">
        <f aca="false">I1161+65</f>
        <v>355.1</v>
      </c>
      <c r="AB1161" s="0" t="n">
        <f aca="false">IF(Z1161&gt;360,Z1161-360,Z1161+0)</f>
        <v>355.1</v>
      </c>
    </row>
    <row r="1162" customFormat="false" ht="15.8" hidden="false" customHeight="false" outlineLevel="0" collapsed="false">
      <c r="A1162" s="1" t="n">
        <v>19</v>
      </c>
      <c r="B1162" s="1" t="n">
        <v>9</v>
      </c>
      <c r="C1162" s="1" t="n">
        <v>2.9</v>
      </c>
      <c r="D1162" s="1" t="n">
        <v>1.143</v>
      </c>
      <c r="E1162" s="1" t="n">
        <v>0.103125</v>
      </c>
      <c r="F1162" s="1" t="n">
        <v>0.000296416</v>
      </c>
      <c r="G1162" s="1" t="s">
        <v>37</v>
      </c>
      <c r="H1162" s="1" t="n">
        <v>79.8</v>
      </c>
      <c r="I1162" s="1" t="n">
        <v>184.3</v>
      </c>
      <c r="J1162" s="1" t="n">
        <v>-9</v>
      </c>
      <c r="K1162" s="1" t="n">
        <v>129.2</v>
      </c>
      <c r="L1162" s="1" t="n">
        <v>0</v>
      </c>
      <c r="M1162" s="1" t="n">
        <v>0</v>
      </c>
      <c r="N1162" s="1" t="s">
        <v>638</v>
      </c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Z1162" s="0" t="n">
        <f aca="false">I1162+65</f>
        <v>249.3</v>
      </c>
      <c r="AB1162" s="0" t="n">
        <f aca="false">IF(Z1162&gt;360,Z1162-360,Z1162+0)</f>
        <v>249.3</v>
      </c>
    </row>
    <row r="1163" customFormat="false" ht="15.8" hidden="false" customHeight="false" outlineLevel="0" collapsed="false">
      <c r="A1163" s="1" t="n">
        <v>19</v>
      </c>
      <c r="B1163" s="1" t="n">
        <v>12</v>
      </c>
      <c r="C1163" s="1" t="n">
        <v>2.2</v>
      </c>
      <c r="D1163" s="1" t="n">
        <v>1.2346</v>
      </c>
      <c r="E1163" s="1" t="n">
        <v>0.0787251</v>
      </c>
      <c r="F1163" s="1" t="n">
        <v>0.000226282</v>
      </c>
      <c r="G1163" s="1" t="s">
        <v>27</v>
      </c>
      <c r="H1163" s="1" t="n">
        <v>46.7</v>
      </c>
      <c r="I1163" s="1" t="n">
        <v>103.1</v>
      </c>
      <c r="J1163" s="1" t="n">
        <v>41.5</v>
      </c>
      <c r="K1163" s="1"/>
      <c r="L1163" s="1" t="n">
        <v>0</v>
      </c>
      <c r="M1163" s="1" t="n">
        <v>0</v>
      </c>
      <c r="N1163" s="1" t="s">
        <v>639</v>
      </c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Z1163" s="0" t="n">
        <f aca="false">I1163+65</f>
        <v>168.1</v>
      </c>
      <c r="AB1163" s="0" t="n">
        <f aca="false">IF(Z1163&gt;360,Z1163-360,Z1163+0)</f>
        <v>168.1</v>
      </c>
    </row>
    <row r="1164" customFormat="false" ht="15.8" hidden="false" customHeight="false" outlineLevel="0" collapsed="false">
      <c r="A1164" s="1" t="n">
        <v>19</v>
      </c>
      <c r="B1164" s="1" t="n">
        <v>12</v>
      </c>
      <c r="C1164" s="1" t="n">
        <v>1.7</v>
      </c>
      <c r="D1164" s="1" t="n">
        <v>1.1345</v>
      </c>
      <c r="E1164" s="1" t="n">
        <v>0.0622765</v>
      </c>
      <c r="F1164" s="1" t="n">
        <v>0.000179003</v>
      </c>
      <c r="G1164" s="1" t="s">
        <v>27</v>
      </c>
      <c r="H1164" s="1" t="n">
        <v>50.2</v>
      </c>
      <c r="I1164" s="1" t="n">
        <v>84.9</v>
      </c>
      <c r="J1164" s="1" t="n">
        <v>-30.9</v>
      </c>
      <c r="K1164" s="1"/>
      <c r="L1164" s="1" t="n">
        <v>0</v>
      </c>
      <c r="M1164" s="1" t="n">
        <v>0</v>
      </c>
      <c r="N1164" s="1" t="s">
        <v>639</v>
      </c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Z1164" s="0" t="n">
        <f aca="false">I1164+65</f>
        <v>149.9</v>
      </c>
      <c r="AB1164" s="0" t="n">
        <f aca="false">IF(Z1164&gt;360,Z1164-360,Z1164+0)</f>
        <v>149.9</v>
      </c>
    </row>
    <row r="1165" customFormat="false" ht="15.8" hidden="false" customHeight="false" outlineLevel="0" collapsed="false">
      <c r="A1165" s="1" t="n">
        <v>19</v>
      </c>
      <c r="B1165" s="1" t="n">
        <v>11</v>
      </c>
      <c r="C1165" s="1" t="n">
        <v>3.6</v>
      </c>
      <c r="D1165" s="1" t="n">
        <v>1.1959</v>
      </c>
      <c r="E1165" s="1" t="n">
        <v>0.128834</v>
      </c>
      <c r="F1165" s="1" t="n">
        <v>0.000370311</v>
      </c>
      <c r="G1165" s="1" t="s">
        <v>37</v>
      </c>
      <c r="H1165" s="1" t="n">
        <v>53</v>
      </c>
      <c r="I1165" s="1" t="n">
        <v>126.7</v>
      </c>
      <c r="J1165" s="1" t="n">
        <v>0</v>
      </c>
      <c r="K1165" s="1" t="n">
        <v>50.2</v>
      </c>
      <c r="L1165" s="1" t="n">
        <v>0</v>
      </c>
      <c r="M1165" s="1" t="n">
        <v>0</v>
      </c>
      <c r="N1165" s="1" t="s">
        <v>640</v>
      </c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Z1165" s="0" t="n">
        <f aca="false">I1165+65</f>
        <v>191.7</v>
      </c>
      <c r="AB1165" s="0" t="n">
        <f aca="false">IF(Z1165&gt;360,Z1165-360,Z1165+0)</f>
        <v>191.7</v>
      </c>
    </row>
    <row r="1166" customFormat="false" ht="15.8" hidden="false" customHeight="false" outlineLevel="0" collapsed="false">
      <c r="A1166" s="1" t="n">
        <v>19</v>
      </c>
      <c r="B1166" s="1" t="n">
        <v>12</v>
      </c>
      <c r="C1166" s="1" t="n">
        <v>1.7</v>
      </c>
      <c r="D1166" s="1" t="n">
        <v>1.1249</v>
      </c>
      <c r="E1166" s="1" t="n">
        <v>0.0602053</v>
      </c>
      <c r="F1166" s="1" t="n">
        <v>0.00017305</v>
      </c>
      <c r="G1166" s="1" t="s">
        <v>27</v>
      </c>
      <c r="H1166" s="1" t="n">
        <v>94.7</v>
      </c>
      <c r="I1166" s="1" t="n">
        <v>73.2</v>
      </c>
      <c r="J1166" s="1" t="n">
        <v>-15.3</v>
      </c>
      <c r="K1166" s="1"/>
      <c r="L1166" s="1" t="n">
        <v>0</v>
      </c>
      <c r="M1166" s="1" t="n">
        <v>0</v>
      </c>
      <c r="N1166" s="1" t="s">
        <v>641</v>
      </c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Z1166" s="0" t="n">
        <f aca="false">I1166+65</f>
        <v>138.2</v>
      </c>
      <c r="AB1166" s="0" t="n">
        <f aca="false">IF(Z1166&gt;360,Z1166-360,Z1166+0)</f>
        <v>138.2</v>
      </c>
    </row>
    <row r="1167" customFormat="false" ht="15.8" hidden="false" customHeight="false" outlineLevel="0" collapsed="false">
      <c r="A1167" s="1" t="n">
        <v>19</v>
      </c>
      <c r="B1167" s="1" t="n">
        <v>12</v>
      </c>
      <c r="C1167" s="1" t="n">
        <v>0.5</v>
      </c>
      <c r="D1167" s="1" t="n">
        <v>1.0015</v>
      </c>
      <c r="E1167" s="1" t="n">
        <v>0.0192655</v>
      </c>
      <c r="F1167" s="1" t="n">
        <v>5.53755E-005</v>
      </c>
      <c r="G1167" s="1" t="s">
        <v>27</v>
      </c>
      <c r="H1167" s="1" t="n">
        <v>61.1</v>
      </c>
      <c r="I1167" s="1" t="n">
        <v>283.7</v>
      </c>
      <c r="J1167" s="1" t="n">
        <v>0</v>
      </c>
      <c r="K1167" s="1"/>
      <c r="L1167" s="1" t="n">
        <v>0</v>
      </c>
      <c r="M1167" s="1" t="n">
        <v>0</v>
      </c>
      <c r="N1167" s="1" t="s">
        <v>641</v>
      </c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Z1167" s="0" t="n">
        <f aca="false">I1167+65</f>
        <v>348.7</v>
      </c>
      <c r="AB1167" s="0" t="n">
        <f aca="false">IF(Z1167&gt;360,Z1167-360,Z1167+0)</f>
        <v>348.7</v>
      </c>
    </row>
    <row r="1168" customFormat="false" ht="15.8" hidden="false" customHeight="false" outlineLevel="0" collapsed="false">
      <c r="A1168" s="1" t="n">
        <v>19</v>
      </c>
      <c r="B1168" s="1" t="n">
        <v>11</v>
      </c>
      <c r="C1168" s="1" t="n">
        <v>2.9</v>
      </c>
      <c r="D1168" s="1" t="n">
        <v>1.175</v>
      </c>
      <c r="E1168" s="1" t="n">
        <v>0.106246</v>
      </c>
      <c r="F1168" s="1" t="n">
        <v>0.000305386</v>
      </c>
      <c r="G1168" s="1" t="s">
        <v>37</v>
      </c>
      <c r="H1168" s="1" t="n">
        <v>94.2</v>
      </c>
      <c r="I1168" s="1" t="n">
        <v>343.1</v>
      </c>
      <c r="J1168" s="1" t="n">
        <v>18.2</v>
      </c>
      <c r="K1168" s="1" t="n">
        <v>94.7</v>
      </c>
      <c r="L1168" s="1" t="n">
        <v>0</v>
      </c>
      <c r="M1168" s="1" t="n">
        <v>0</v>
      </c>
      <c r="N1168" s="1" t="s">
        <v>640</v>
      </c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Z1168" s="0" t="n">
        <f aca="false">I1168+65</f>
        <v>408.1</v>
      </c>
      <c r="AB1168" s="0" t="n">
        <f aca="false">IF(Z1168&gt;360,Z1168-360,Z1168+0)</f>
        <v>48.1</v>
      </c>
    </row>
    <row r="1169" customFormat="false" ht="15.8" hidden="false" customHeight="false" outlineLevel="0" collapsed="false">
      <c r="A1169" s="1" t="n">
        <v>19</v>
      </c>
      <c r="B1169" s="1" t="n">
        <v>10</v>
      </c>
      <c r="C1169" s="1" t="n">
        <v>10.4</v>
      </c>
      <c r="D1169" s="1" t="n">
        <v>1.1391</v>
      </c>
      <c r="E1169" s="1" t="n">
        <v>0.377316</v>
      </c>
      <c r="F1169" s="1" t="n">
        <v>0.00108453</v>
      </c>
      <c r="G1169" s="1" t="s">
        <v>37</v>
      </c>
      <c r="H1169" s="1" t="n">
        <v>32.6</v>
      </c>
      <c r="I1169" s="1" t="n">
        <v>74.4</v>
      </c>
      <c r="J1169" s="1" t="n">
        <v>-9.8</v>
      </c>
      <c r="K1169" s="1" t="n">
        <v>94.2</v>
      </c>
      <c r="L1169" s="1" t="n">
        <v>0</v>
      </c>
      <c r="M1169" s="1" t="n">
        <v>0</v>
      </c>
      <c r="N1169" s="1" t="s">
        <v>642</v>
      </c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Z1169" s="0" t="n">
        <f aca="false">I1169+65</f>
        <v>139.4</v>
      </c>
      <c r="AB1169" s="0" t="n">
        <f aca="false">IF(Z1169&gt;360,Z1169-360,Z1169+0)</f>
        <v>139.4</v>
      </c>
    </row>
    <row r="1170" customFormat="false" ht="15.8" hidden="false" customHeight="false" outlineLevel="0" collapsed="false">
      <c r="A1170" s="1" t="n">
        <v>19</v>
      </c>
      <c r="B1170" s="1" t="n">
        <v>11</v>
      </c>
      <c r="C1170" s="1" t="n">
        <v>5.9</v>
      </c>
      <c r="D1170" s="1" t="n">
        <v>1.4631</v>
      </c>
      <c r="E1170" s="1" t="n">
        <v>0.214373</v>
      </c>
      <c r="F1170" s="1" t="n">
        <v>0.000616179</v>
      </c>
      <c r="G1170" s="1" t="s">
        <v>27</v>
      </c>
      <c r="H1170" s="1" t="n">
        <v>33.7</v>
      </c>
      <c r="I1170" s="1" t="n">
        <v>304.7</v>
      </c>
      <c r="J1170" s="1" t="n">
        <v>-35.2</v>
      </c>
      <c r="K1170" s="1"/>
      <c r="L1170" s="1" t="n">
        <v>0</v>
      </c>
      <c r="M1170" s="1" t="n">
        <v>0</v>
      </c>
      <c r="N1170" s="1" t="s">
        <v>643</v>
      </c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Z1170" s="0" t="n">
        <f aca="false">I1170+65</f>
        <v>369.7</v>
      </c>
      <c r="AB1170" s="0" t="n">
        <f aca="false">IF(Z1170&gt;360,Z1170-360,Z1170+0)</f>
        <v>9.69999999999999</v>
      </c>
    </row>
    <row r="1171" customFormat="false" ht="15.8" hidden="false" customHeight="false" outlineLevel="0" collapsed="false">
      <c r="A1171" s="1" t="n">
        <v>19</v>
      </c>
      <c r="B1171" s="1" t="n">
        <v>11</v>
      </c>
      <c r="C1171" s="1" t="n">
        <v>10.5</v>
      </c>
      <c r="D1171" s="1" t="n">
        <v>1.2418</v>
      </c>
      <c r="E1171" s="1" t="n">
        <v>0.378115</v>
      </c>
      <c r="F1171" s="1" t="n">
        <v>0.00108683</v>
      </c>
      <c r="G1171" s="1" t="s">
        <v>27</v>
      </c>
      <c r="H1171" s="1" t="n">
        <v>27.9</v>
      </c>
      <c r="I1171" s="1" t="n">
        <v>314</v>
      </c>
      <c r="J1171" s="1" t="n">
        <v>16.1</v>
      </c>
      <c r="K1171" s="1"/>
      <c r="L1171" s="1" t="n">
        <v>0</v>
      </c>
      <c r="M1171" s="1" t="n">
        <v>0</v>
      </c>
      <c r="N1171" s="1" t="s">
        <v>643</v>
      </c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Z1171" s="0" t="n">
        <f aca="false">I1171+65</f>
        <v>379</v>
      </c>
      <c r="AB1171" s="0" t="n">
        <f aca="false">IF(Z1171&gt;360,Z1171-360,Z1171+0)</f>
        <v>19</v>
      </c>
    </row>
    <row r="1172" customFormat="false" ht="15.8" hidden="false" customHeight="false" outlineLevel="0" collapsed="false">
      <c r="A1172" s="1" t="n">
        <v>19</v>
      </c>
      <c r="B1172" s="1" t="n">
        <v>10</v>
      </c>
      <c r="C1172" s="1" t="n">
        <v>8.7</v>
      </c>
      <c r="D1172" s="1" t="n">
        <v>1.2214</v>
      </c>
      <c r="E1172" s="1" t="n">
        <v>0.312574</v>
      </c>
      <c r="F1172" s="1" t="n">
        <v>0.000898443</v>
      </c>
      <c r="G1172" s="1" t="s">
        <v>37</v>
      </c>
      <c r="H1172" s="1" t="n">
        <v>109.5</v>
      </c>
      <c r="I1172" s="1" t="n">
        <v>293.6</v>
      </c>
      <c r="J1172" s="1" t="n">
        <v>-3.2</v>
      </c>
      <c r="K1172" s="1" t="n">
        <v>33.7</v>
      </c>
      <c r="L1172" s="1" t="n">
        <v>0</v>
      </c>
      <c r="M1172" s="1" t="n">
        <v>0</v>
      </c>
      <c r="N1172" s="1" t="s">
        <v>642</v>
      </c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Z1172" s="0" t="n">
        <f aca="false">I1172+65</f>
        <v>358.6</v>
      </c>
      <c r="AB1172" s="0" t="n">
        <f aca="false">IF(Z1172&gt;360,Z1172-360,Z1172+0)</f>
        <v>358.6</v>
      </c>
    </row>
    <row r="1173" customFormat="false" ht="15.8" hidden="false" customHeight="false" outlineLevel="0" collapsed="false">
      <c r="A1173" s="1" t="n">
        <v>19</v>
      </c>
      <c r="B1173" s="1" t="n">
        <v>9</v>
      </c>
      <c r="C1173" s="1" t="n">
        <v>1.8</v>
      </c>
      <c r="D1173" s="1" t="n">
        <v>1.1999</v>
      </c>
      <c r="E1173" s="1" t="n">
        <v>0.0648682</v>
      </c>
      <c r="F1173" s="1" t="n">
        <v>0.000186453</v>
      </c>
      <c r="G1173" s="1" t="s">
        <v>37</v>
      </c>
      <c r="H1173" s="1" t="n">
        <v>85.7</v>
      </c>
      <c r="I1173" s="1" t="n">
        <v>43.1</v>
      </c>
      <c r="J1173" s="1" t="n">
        <v>0</v>
      </c>
      <c r="K1173" s="1" t="n">
        <v>109.5</v>
      </c>
      <c r="L1173" s="1" t="n">
        <v>0</v>
      </c>
      <c r="M1173" s="1" t="n">
        <v>0</v>
      </c>
      <c r="N1173" s="1" t="s">
        <v>638</v>
      </c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Z1173" s="0" t="n">
        <f aca="false">I1173+65</f>
        <v>108.1</v>
      </c>
      <c r="AB1173" s="0" t="n">
        <f aca="false">IF(Z1173&gt;360,Z1173-360,Z1173+0)</f>
        <v>108.1</v>
      </c>
    </row>
    <row r="1174" customFormat="false" ht="15.8" hidden="false" customHeight="false" outlineLevel="0" collapsed="false">
      <c r="A1174" s="1" t="n">
        <v>19</v>
      </c>
      <c r="B1174" s="1" t="n">
        <v>8</v>
      </c>
      <c r="C1174" s="1" t="n">
        <v>0.9</v>
      </c>
      <c r="D1174" s="1" t="n">
        <v>1.1434</v>
      </c>
      <c r="E1174" s="1" t="n">
        <v>0.032591</v>
      </c>
      <c r="F1174" s="1" t="n">
        <v>9.36774E-005</v>
      </c>
      <c r="G1174" s="1" t="s">
        <v>37</v>
      </c>
      <c r="H1174" s="1" t="n">
        <v>75</v>
      </c>
      <c r="I1174" s="1" t="n">
        <v>103.3</v>
      </c>
      <c r="J1174" s="1" t="n">
        <v>-81.3</v>
      </c>
      <c r="K1174" s="1" t="n">
        <v>85.7</v>
      </c>
      <c r="L1174" s="1" t="n">
        <v>0</v>
      </c>
      <c r="M1174" s="1" t="n">
        <v>0</v>
      </c>
      <c r="N1174" s="1" t="s">
        <v>644</v>
      </c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Z1174" s="0" t="n">
        <f aca="false">I1174+65</f>
        <v>168.3</v>
      </c>
      <c r="AB1174" s="0" t="n">
        <f aca="false">IF(Z1174&gt;360,Z1174-360,Z1174+0)</f>
        <v>168.3</v>
      </c>
    </row>
    <row r="1175" customFormat="false" ht="15.8" hidden="false" customHeight="false" outlineLevel="0" collapsed="false">
      <c r="A1175" s="1" t="n">
        <v>19</v>
      </c>
      <c r="B1175" s="1" t="n">
        <v>10</v>
      </c>
      <c r="C1175" s="1" t="n">
        <v>2.6</v>
      </c>
      <c r="D1175" s="1" t="n">
        <v>1.3851</v>
      </c>
      <c r="E1175" s="1" t="n">
        <v>0.0940639</v>
      </c>
      <c r="F1175" s="1" t="n">
        <v>0.000270371</v>
      </c>
      <c r="G1175" s="1" t="s">
        <v>27</v>
      </c>
      <c r="H1175" s="1" t="n">
        <v>44.9</v>
      </c>
      <c r="I1175" s="1" t="n">
        <v>250.3</v>
      </c>
      <c r="J1175" s="1" t="n">
        <v>0</v>
      </c>
      <c r="K1175" s="1"/>
      <c r="L1175" s="1" t="n">
        <v>0</v>
      </c>
      <c r="M1175" s="1" t="n">
        <v>0</v>
      </c>
      <c r="N1175" s="1" t="s">
        <v>645</v>
      </c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Z1175" s="0" t="n">
        <f aca="false">I1175+65</f>
        <v>315.3</v>
      </c>
      <c r="AB1175" s="0" t="n">
        <f aca="false">IF(Z1175&gt;360,Z1175-360,Z1175+0)</f>
        <v>315.3</v>
      </c>
    </row>
    <row r="1176" customFormat="false" ht="15.8" hidden="false" customHeight="false" outlineLevel="0" collapsed="false">
      <c r="A1176" s="1" t="n">
        <v>19</v>
      </c>
      <c r="B1176" s="1" t="n">
        <v>13</v>
      </c>
      <c r="C1176" s="1" t="n">
        <v>2.1</v>
      </c>
      <c r="D1176" s="1" t="n">
        <v>1.1004</v>
      </c>
      <c r="E1176" s="1" t="n">
        <v>0.0763951</v>
      </c>
      <c r="F1176" s="1" t="n">
        <v>0.000219585</v>
      </c>
      <c r="G1176" s="1" t="s">
        <v>27</v>
      </c>
      <c r="H1176" s="1" t="n">
        <v>26.6</v>
      </c>
      <c r="I1176" s="1" t="n">
        <v>228.4</v>
      </c>
      <c r="J1176" s="1" t="n">
        <v>0</v>
      </c>
      <c r="K1176" s="1"/>
      <c r="L1176" s="1" t="n">
        <v>0</v>
      </c>
      <c r="M1176" s="1" t="n">
        <v>0</v>
      </c>
      <c r="N1176" s="1" t="s">
        <v>646</v>
      </c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Z1176" s="0" t="n">
        <f aca="false">I1176+65</f>
        <v>293.4</v>
      </c>
      <c r="AB1176" s="0" t="n">
        <f aca="false">IF(Z1176&gt;360,Z1176-360,Z1176+0)</f>
        <v>293.4</v>
      </c>
    </row>
    <row r="1177" customFormat="false" ht="15.8" hidden="false" customHeight="false" outlineLevel="0" collapsed="false">
      <c r="A1177" s="1" t="n">
        <v>19</v>
      </c>
      <c r="B1177" s="1" t="n">
        <v>13</v>
      </c>
      <c r="C1177" s="1" t="n">
        <v>1.1</v>
      </c>
      <c r="D1177" s="1" t="n">
        <v>1.1187</v>
      </c>
      <c r="E1177" s="1" t="n">
        <v>0.0413813</v>
      </c>
      <c r="F1177" s="1" t="n">
        <v>0.000118944</v>
      </c>
      <c r="G1177" s="1" t="s">
        <v>27</v>
      </c>
      <c r="H1177" s="1" t="n">
        <v>90.6</v>
      </c>
      <c r="I1177" s="1" t="n">
        <v>346</v>
      </c>
      <c r="J1177" s="1" t="n">
        <v>-49.6</v>
      </c>
      <c r="K1177" s="1"/>
      <c r="L1177" s="1" t="n">
        <v>0</v>
      </c>
      <c r="M1177" s="1" t="n">
        <v>0</v>
      </c>
      <c r="N1177" s="1" t="s">
        <v>646</v>
      </c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Z1177" s="0" t="n">
        <f aca="false">I1177+65</f>
        <v>411</v>
      </c>
      <c r="AB1177" s="0" t="n">
        <f aca="false">IF(Z1177&gt;360,Z1177-360,Z1177+0)</f>
        <v>51</v>
      </c>
    </row>
    <row r="1178" customFormat="false" ht="15.8" hidden="false" customHeight="false" outlineLevel="0" collapsed="false">
      <c r="A1178" s="1" t="n">
        <v>19</v>
      </c>
      <c r="B1178" s="1" t="n">
        <v>12</v>
      </c>
      <c r="C1178" s="1" t="n">
        <v>2.8</v>
      </c>
      <c r="D1178" s="1" t="n">
        <v>1.0511</v>
      </c>
      <c r="E1178" s="1" t="n">
        <v>0.101222</v>
      </c>
      <c r="F1178" s="1" t="n">
        <v>0.000290945</v>
      </c>
      <c r="G1178" s="1" t="s">
        <v>37</v>
      </c>
      <c r="H1178" s="1" t="n">
        <v>8.3</v>
      </c>
      <c r="I1178" s="1" t="n">
        <v>255</v>
      </c>
      <c r="J1178" s="1" t="n">
        <v>0</v>
      </c>
      <c r="K1178" s="1" t="n">
        <v>90.6</v>
      </c>
      <c r="L1178" s="1" t="n">
        <v>0</v>
      </c>
      <c r="M1178" s="1" t="n">
        <v>0</v>
      </c>
      <c r="N1178" s="1" t="s">
        <v>647</v>
      </c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Z1178" s="0" t="n">
        <f aca="false">I1178+65</f>
        <v>320</v>
      </c>
      <c r="AB1178" s="0" t="n">
        <f aca="false">IF(Z1178&gt;360,Z1178-360,Z1178+0)</f>
        <v>320</v>
      </c>
    </row>
    <row r="1179" customFormat="false" ht="15.8" hidden="false" customHeight="false" outlineLevel="0" collapsed="false">
      <c r="A1179" s="1" t="n">
        <v>19</v>
      </c>
      <c r="B1179" s="1" t="n">
        <v>12</v>
      </c>
      <c r="C1179" s="1" t="n">
        <v>0.9</v>
      </c>
      <c r="D1179" s="1" t="n">
        <v>1.1516</v>
      </c>
      <c r="E1179" s="1" t="n">
        <v>0.0335742</v>
      </c>
      <c r="F1179" s="1" t="n">
        <v>9.65034E-005</v>
      </c>
      <c r="G1179" s="1" t="s">
        <v>27</v>
      </c>
      <c r="H1179" s="1" t="n">
        <v>113.5</v>
      </c>
      <c r="I1179" s="1" t="n">
        <v>22</v>
      </c>
      <c r="J1179" s="1" t="n">
        <v>28.9</v>
      </c>
      <c r="K1179" s="1"/>
      <c r="L1179" s="1" t="n">
        <v>0</v>
      </c>
      <c r="M1179" s="1" t="n">
        <v>0</v>
      </c>
      <c r="N1179" s="1" t="s">
        <v>647</v>
      </c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Z1179" s="0" t="n">
        <f aca="false">I1179+65</f>
        <v>87</v>
      </c>
      <c r="AB1179" s="0" t="n">
        <f aca="false">IF(Z1179&gt;360,Z1179-360,Z1179+0)</f>
        <v>87</v>
      </c>
    </row>
    <row r="1180" customFormat="false" ht="15.8" hidden="false" customHeight="false" outlineLevel="0" collapsed="false">
      <c r="A1180" s="1" t="n">
        <v>19</v>
      </c>
      <c r="B1180" s="1" t="n">
        <v>11</v>
      </c>
      <c r="C1180" s="1" t="n">
        <v>4.5</v>
      </c>
      <c r="D1180" s="1" t="n">
        <v>1.0768</v>
      </c>
      <c r="E1180" s="1" t="n">
        <v>0.161285</v>
      </c>
      <c r="F1180" s="1" t="n">
        <v>0.000463587</v>
      </c>
      <c r="G1180" s="1" t="s">
        <v>37</v>
      </c>
      <c r="H1180" s="1" t="n">
        <v>38</v>
      </c>
      <c r="I1180" s="1" t="n">
        <v>261.4</v>
      </c>
      <c r="J1180" s="1" t="n">
        <v>5.4</v>
      </c>
      <c r="K1180" s="1" t="n">
        <v>113.5</v>
      </c>
      <c r="L1180" s="1" t="n">
        <v>0</v>
      </c>
      <c r="M1180" s="1" t="n">
        <v>0</v>
      </c>
      <c r="N1180" s="1" t="s">
        <v>648</v>
      </c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Z1180" s="0" t="n">
        <f aca="false">I1180+65</f>
        <v>326.4</v>
      </c>
      <c r="AB1180" s="0" t="n">
        <f aca="false">IF(Z1180&gt;360,Z1180-360,Z1180+0)</f>
        <v>326.4</v>
      </c>
    </row>
    <row r="1181" customFormat="false" ht="15.8" hidden="false" customHeight="false" outlineLevel="0" collapsed="false">
      <c r="A1181" s="1" t="n">
        <v>19</v>
      </c>
      <c r="B1181" s="1" t="n">
        <v>11</v>
      </c>
      <c r="C1181" s="1" t="n">
        <v>1.6</v>
      </c>
      <c r="D1181" s="1" t="n">
        <v>1.2215</v>
      </c>
      <c r="E1181" s="1" t="n">
        <v>0.0563374</v>
      </c>
      <c r="F1181" s="1" t="n">
        <v>0.000161932</v>
      </c>
      <c r="G1181" s="1" t="s">
        <v>27</v>
      </c>
      <c r="H1181" s="1" t="n">
        <v>24.4</v>
      </c>
      <c r="I1181" s="1" t="n">
        <v>316.3</v>
      </c>
      <c r="J1181" s="1" t="n">
        <v>-17.8</v>
      </c>
      <c r="K1181" s="1"/>
      <c r="L1181" s="1" t="n">
        <v>0</v>
      </c>
      <c r="M1181" s="1" t="n">
        <v>0</v>
      </c>
      <c r="N1181" s="1" t="s">
        <v>648</v>
      </c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Z1181" s="0" t="n">
        <f aca="false">I1181+65</f>
        <v>381.3</v>
      </c>
      <c r="AB1181" s="0" t="n">
        <f aca="false">IF(Z1181&gt;360,Z1181-360,Z1181+0)</f>
        <v>21.3</v>
      </c>
    </row>
    <row r="1182" customFormat="false" ht="15.8" hidden="false" customHeight="false" outlineLevel="0" collapsed="false">
      <c r="A1182" s="1" t="n">
        <v>19</v>
      </c>
      <c r="B1182" s="1" t="n">
        <v>10</v>
      </c>
      <c r="C1182" s="1" t="n">
        <v>5.8</v>
      </c>
      <c r="D1182" s="1" t="n">
        <v>1.2303</v>
      </c>
      <c r="E1182" s="1" t="n">
        <v>0.208403</v>
      </c>
      <c r="F1182" s="1" t="n">
        <v>0.00059902</v>
      </c>
      <c r="G1182" s="1" t="s">
        <v>37</v>
      </c>
      <c r="H1182" s="1" t="n">
        <v>20</v>
      </c>
      <c r="I1182" s="1" t="n">
        <v>290.6</v>
      </c>
      <c r="J1182" s="1" t="n">
        <v>-19.4</v>
      </c>
      <c r="K1182" s="1" t="n">
        <v>38</v>
      </c>
      <c r="L1182" s="1" t="n">
        <v>0</v>
      </c>
      <c r="M1182" s="1" t="n">
        <v>0</v>
      </c>
      <c r="N1182" s="1" t="s">
        <v>645</v>
      </c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Z1182" s="0" t="n">
        <f aca="false">I1182+65</f>
        <v>355.6</v>
      </c>
      <c r="AB1182" s="0" t="n">
        <f aca="false">IF(Z1182&gt;360,Z1182-360,Z1182+0)</f>
        <v>355.6</v>
      </c>
    </row>
    <row r="1183" customFormat="false" ht="15.8" hidden="false" customHeight="false" outlineLevel="0" collapsed="false">
      <c r="A1183" s="1" t="n">
        <v>19</v>
      </c>
      <c r="B1183" s="1" t="n">
        <v>9</v>
      </c>
      <c r="C1183" s="1" t="n">
        <v>4.7</v>
      </c>
      <c r="D1183" s="1" t="n">
        <v>1.3498</v>
      </c>
      <c r="E1183" s="1" t="n">
        <v>0.169252</v>
      </c>
      <c r="F1183" s="1" t="n">
        <v>0.000486485</v>
      </c>
      <c r="G1183" s="1" t="s">
        <v>37</v>
      </c>
      <c r="H1183" s="1" t="n">
        <v>50.1</v>
      </c>
      <c r="I1183" s="1" t="n">
        <v>295.3</v>
      </c>
      <c r="J1183" s="1" t="n">
        <v>0</v>
      </c>
      <c r="K1183" s="1" t="n">
        <v>44.9</v>
      </c>
      <c r="L1183" s="1" t="n">
        <v>0</v>
      </c>
      <c r="M1183" s="1" t="n">
        <v>0</v>
      </c>
      <c r="N1183" s="1" t="s">
        <v>649</v>
      </c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Z1183" s="0" t="n">
        <f aca="false">I1183+65</f>
        <v>360.3</v>
      </c>
      <c r="AB1183" s="0" t="n">
        <f aca="false">IF(Z1183&gt;360,Z1183-360,Z1183+0)</f>
        <v>0.300000000000011</v>
      </c>
    </row>
    <row r="1184" customFormat="false" ht="15.8" hidden="false" customHeight="false" outlineLevel="0" collapsed="false">
      <c r="A1184" s="1" t="n">
        <v>19</v>
      </c>
      <c r="B1184" s="1" t="n">
        <v>9</v>
      </c>
      <c r="C1184" s="1" t="n">
        <v>2.9</v>
      </c>
      <c r="D1184" s="1" t="n">
        <v>1.3472</v>
      </c>
      <c r="E1184" s="1" t="n">
        <v>0.106307</v>
      </c>
      <c r="F1184" s="1" t="n">
        <v>0.000305561</v>
      </c>
      <c r="G1184" s="1" t="s">
        <v>27</v>
      </c>
      <c r="H1184" s="1" t="n">
        <v>113.9</v>
      </c>
      <c r="I1184" s="1" t="n">
        <v>110.8</v>
      </c>
      <c r="J1184" s="1" t="n">
        <v>32.4</v>
      </c>
      <c r="K1184" s="1"/>
      <c r="L1184" s="1" t="n">
        <v>0</v>
      </c>
      <c r="M1184" s="1" t="n">
        <v>0</v>
      </c>
      <c r="N1184" s="1" t="s">
        <v>649</v>
      </c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Z1184" s="0" t="n">
        <f aca="false">I1184+65</f>
        <v>175.8</v>
      </c>
      <c r="AB1184" s="0" t="n">
        <f aca="false">IF(Z1184&gt;360,Z1184-360,Z1184+0)</f>
        <v>175.8</v>
      </c>
    </row>
    <row r="1185" customFormat="false" ht="15.8" hidden="false" customHeight="false" outlineLevel="0" collapsed="false">
      <c r="A1185" s="1" t="n">
        <v>19</v>
      </c>
      <c r="B1185" s="1" t="n">
        <v>8</v>
      </c>
      <c r="C1185" s="1" t="n">
        <v>5.7</v>
      </c>
      <c r="D1185" s="1" t="n">
        <v>1.2358</v>
      </c>
      <c r="E1185" s="1" t="n">
        <v>0.206053</v>
      </c>
      <c r="F1185" s="1" t="n">
        <v>0.000592266</v>
      </c>
      <c r="G1185" s="1" t="s">
        <v>37</v>
      </c>
      <c r="H1185" s="1" t="n">
        <v>42.9</v>
      </c>
      <c r="I1185" s="1" t="n">
        <v>248.3</v>
      </c>
      <c r="J1185" s="1" t="n">
        <v>19.8</v>
      </c>
      <c r="K1185" s="1" t="n">
        <v>113.9</v>
      </c>
      <c r="L1185" s="1" t="n">
        <v>0</v>
      </c>
      <c r="M1185" s="1" t="n">
        <v>0</v>
      </c>
      <c r="N1185" s="1" t="s">
        <v>644</v>
      </c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Z1185" s="0" t="n">
        <f aca="false">I1185+65</f>
        <v>313.3</v>
      </c>
      <c r="AB1185" s="0" t="n">
        <f aca="false">IF(Z1185&gt;360,Z1185-360,Z1185+0)</f>
        <v>313.3</v>
      </c>
    </row>
    <row r="1186" customFormat="false" ht="15.8" hidden="false" customHeight="false" outlineLevel="0" collapsed="false">
      <c r="A1186" s="1" t="n">
        <v>19</v>
      </c>
      <c r="B1186" s="1" t="n">
        <v>8</v>
      </c>
      <c r="C1186" s="1" t="n">
        <v>3.8</v>
      </c>
      <c r="D1186" s="1" t="n">
        <v>1.1594</v>
      </c>
      <c r="E1186" s="1" t="n">
        <v>0.137479</v>
      </c>
      <c r="F1186" s="1" t="n">
        <v>0.00039516</v>
      </c>
      <c r="G1186" s="1" t="s">
        <v>27</v>
      </c>
      <c r="H1186" s="1" t="n">
        <v>108.6</v>
      </c>
      <c r="I1186" s="1" t="n">
        <v>149.9</v>
      </c>
      <c r="J1186" s="1" t="n">
        <v>13.7</v>
      </c>
      <c r="K1186" s="1"/>
      <c r="L1186" s="1" t="n">
        <v>0</v>
      </c>
      <c r="M1186" s="1" t="n">
        <v>0</v>
      </c>
      <c r="N1186" s="1" t="s">
        <v>644</v>
      </c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Z1186" s="0" t="n">
        <f aca="false">I1186+65</f>
        <v>214.9</v>
      </c>
      <c r="AB1186" s="0" t="n">
        <f aca="false">IF(Z1186&gt;360,Z1186-360,Z1186+0)</f>
        <v>214.9</v>
      </c>
    </row>
    <row r="1187" customFormat="false" ht="15.8" hidden="false" customHeight="false" outlineLevel="0" collapsed="false">
      <c r="A1187" s="1" t="n">
        <v>19</v>
      </c>
      <c r="B1187" s="1" t="n">
        <v>7</v>
      </c>
      <c r="C1187" s="1" t="n">
        <v>3.9</v>
      </c>
      <c r="D1187" s="1" t="n">
        <v>1.2927</v>
      </c>
      <c r="E1187" s="1" t="n">
        <v>0.141695</v>
      </c>
      <c r="F1187" s="1" t="n">
        <v>0.000407278</v>
      </c>
      <c r="G1187" s="1" t="s">
        <v>37</v>
      </c>
      <c r="H1187" s="1" t="n">
        <v>10.6</v>
      </c>
      <c r="I1187" s="1" t="n">
        <v>254.7</v>
      </c>
      <c r="J1187" s="1" t="n">
        <v>-22.7</v>
      </c>
      <c r="K1187" s="1" t="n">
        <v>108.6</v>
      </c>
      <c r="L1187" s="1" t="n">
        <v>0</v>
      </c>
      <c r="M1187" s="1" t="n">
        <v>0</v>
      </c>
      <c r="N1187" s="1" t="s">
        <v>650</v>
      </c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Z1187" s="0" t="n">
        <f aca="false">I1187+65</f>
        <v>319.7</v>
      </c>
      <c r="AB1187" s="0" t="n">
        <f aca="false">IF(Z1187&gt;360,Z1187-360,Z1187+0)</f>
        <v>319.7</v>
      </c>
    </row>
    <row r="1188" customFormat="false" ht="15.8" hidden="false" customHeight="false" outlineLevel="0" collapsed="false">
      <c r="A1188" s="1" t="n">
        <v>19</v>
      </c>
      <c r="B1188" s="1" t="n">
        <v>7</v>
      </c>
      <c r="C1188" s="1" t="n">
        <v>6.4</v>
      </c>
      <c r="D1188" s="1" t="n">
        <v>1.1452</v>
      </c>
      <c r="E1188" s="1" t="n">
        <v>0.232084</v>
      </c>
      <c r="F1188" s="1" t="n">
        <v>0.000667088</v>
      </c>
      <c r="G1188" s="1" t="s">
        <v>27</v>
      </c>
      <c r="H1188" s="1" t="n">
        <v>58.2</v>
      </c>
      <c r="I1188" s="1" t="n">
        <v>324</v>
      </c>
      <c r="J1188" s="1" t="n">
        <v>-8</v>
      </c>
      <c r="K1188" s="1"/>
      <c r="L1188" s="1" t="n">
        <v>0</v>
      </c>
      <c r="M1188" s="1" t="n">
        <v>0</v>
      </c>
      <c r="N1188" s="1" t="s">
        <v>650</v>
      </c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Z1188" s="0" t="n">
        <f aca="false">I1188+65</f>
        <v>389</v>
      </c>
      <c r="AB1188" s="0" t="n">
        <f aca="false">IF(Z1188&gt;360,Z1188-360,Z1188+0)</f>
        <v>29</v>
      </c>
    </row>
    <row r="1189" customFormat="false" ht="15.8" hidden="false" customHeight="false" outlineLevel="0" collapsed="false">
      <c r="A1189" s="1" t="n">
        <v>19</v>
      </c>
      <c r="B1189" s="1" t="n">
        <v>6</v>
      </c>
      <c r="C1189" s="1" t="n">
        <v>2.9</v>
      </c>
      <c r="D1189" s="1" t="n">
        <v>1.1552</v>
      </c>
      <c r="E1189" s="1" t="n">
        <v>0.103502</v>
      </c>
      <c r="F1189" s="1" t="n">
        <v>0.0002975</v>
      </c>
      <c r="G1189" s="1" t="s">
        <v>37</v>
      </c>
      <c r="H1189" s="1" t="n">
        <v>24.6</v>
      </c>
      <c r="I1189" s="1" t="n">
        <v>265</v>
      </c>
      <c r="J1189" s="1" t="n">
        <v>-18.3</v>
      </c>
      <c r="K1189" s="1" t="n">
        <v>58.2</v>
      </c>
      <c r="L1189" s="1" t="n">
        <v>0</v>
      </c>
      <c r="M1189" s="1" t="n">
        <v>0</v>
      </c>
      <c r="N1189" s="1" t="s">
        <v>651</v>
      </c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Z1189" s="0" t="n">
        <f aca="false">I1189+65</f>
        <v>330</v>
      </c>
      <c r="AB1189" s="0" t="n">
        <f aca="false">IF(Z1189&gt;360,Z1189-360,Z1189+0)</f>
        <v>330</v>
      </c>
    </row>
    <row r="1190" customFormat="false" ht="15.8" hidden="false" customHeight="false" outlineLevel="0" collapsed="false">
      <c r="A1190" s="1" t="n">
        <v>19</v>
      </c>
      <c r="B1190" s="1" t="n">
        <v>6</v>
      </c>
      <c r="C1190" s="1" t="n">
        <v>2.3</v>
      </c>
      <c r="D1190" s="1" t="n">
        <v>1.4557</v>
      </c>
      <c r="E1190" s="1" t="n">
        <v>0.0834509</v>
      </c>
      <c r="F1190" s="1" t="n">
        <v>0.000239866</v>
      </c>
      <c r="G1190" s="1" t="s">
        <v>27</v>
      </c>
      <c r="H1190" s="1" t="n">
        <v>109.6</v>
      </c>
      <c r="I1190" s="1" t="n">
        <v>135.7</v>
      </c>
      <c r="J1190" s="1" t="n">
        <v>-29.4</v>
      </c>
      <c r="K1190" s="1"/>
      <c r="L1190" s="1" t="n">
        <v>0</v>
      </c>
      <c r="M1190" s="1" t="n">
        <v>0</v>
      </c>
      <c r="N1190" s="1" t="s">
        <v>651</v>
      </c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Z1190" s="0" t="n">
        <f aca="false">I1190+65</f>
        <v>200.7</v>
      </c>
      <c r="AB1190" s="0" t="n">
        <f aca="false">IF(Z1190&gt;360,Z1190-360,Z1190+0)</f>
        <v>200.7</v>
      </c>
    </row>
    <row r="1191" customFormat="false" ht="15.8" hidden="false" customHeight="false" outlineLevel="0" collapsed="false">
      <c r="A1191" s="1" t="n">
        <v>19</v>
      </c>
      <c r="B1191" s="1" t="n">
        <v>5</v>
      </c>
      <c r="C1191" s="1" t="n">
        <v>2.1</v>
      </c>
      <c r="D1191" s="1" t="n">
        <v>1.0127</v>
      </c>
      <c r="E1191" s="1" t="n">
        <v>0.0751929</v>
      </c>
      <c r="F1191" s="1" t="n">
        <v>0.000216129</v>
      </c>
      <c r="G1191" s="1" t="s">
        <v>37</v>
      </c>
      <c r="H1191" s="1" t="n">
        <v>28</v>
      </c>
      <c r="I1191" s="1" t="n">
        <v>248.3</v>
      </c>
      <c r="J1191" s="1" t="n">
        <v>0</v>
      </c>
      <c r="K1191" s="1" t="n">
        <v>109.6</v>
      </c>
      <c r="L1191" s="1" t="n">
        <v>0</v>
      </c>
      <c r="M1191" s="1" t="n">
        <v>0</v>
      </c>
      <c r="N1191" s="1" t="s">
        <v>627</v>
      </c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Z1191" s="0" t="n">
        <f aca="false">I1191+65</f>
        <v>313.3</v>
      </c>
      <c r="AB1191" s="0" t="n">
        <f aca="false">IF(Z1191&gt;360,Z1191-360,Z1191+0)</f>
        <v>313.3</v>
      </c>
    </row>
    <row r="1192" customFormat="false" ht="15.8" hidden="false" customHeight="false" outlineLevel="0" collapsed="false">
      <c r="A1192" s="1" t="n">
        <v>19</v>
      </c>
      <c r="B1192" s="1" t="n">
        <v>4</v>
      </c>
      <c r="C1192" s="1" t="n">
        <v>2.4</v>
      </c>
      <c r="D1192" s="1" t="n">
        <v>1.1124</v>
      </c>
      <c r="E1192" s="1" t="n">
        <v>0.0860315</v>
      </c>
      <c r="F1192" s="1" t="n">
        <v>0.000247283</v>
      </c>
      <c r="G1192" s="1" t="s">
        <v>37</v>
      </c>
      <c r="H1192" s="1" t="n">
        <v>5.6</v>
      </c>
      <c r="I1192" s="1" t="n">
        <v>276.1</v>
      </c>
      <c r="J1192" s="1" t="n">
        <v>3.5</v>
      </c>
      <c r="K1192" s="1" t="n">
        <v>55.6</v>
      </c>
      <c r="L1192" s="1" t="n">
        <v>0</v>
      </c>
      <c r="M1192" s="1" t="n">
        <v>0</v>
      </c>
      <c r="N1192" s="1" t="s">
        <v>624</v>
      </c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Z1192" s="0" t="n">
        <f aca="false">I1192+65</f>
        <v>341.1</v>
      </c>
      <c r="AB1192" s="0" t="n">
        <f aca="false">IF(Z1192&gt;360,Z1192-360,Z1192+0)</f>
        <v>341.1</v>
      </c>
    </row>
    <row r="1193" customFormat="false" ht="15.8" hidden="false" customHeight="false" outlineLevel="0" collapsed="false">
      <c r="A1193" s="1" t="n">
        <v>19</v>
      </c>
      <c r="B1193" s="1" t="n">
        <v>3</v>
      </c>
      <c r="C1193" s="1" t="n">
        <v>0.6</v>
      </c>
      <c r="D1193" s="1" t="n">
        <v>1.0254</v>
      </c>
      <c r="E1193" s="1" t="n">
        <v>0.0233859</v>
      </c>
      <c r="F1193" s="1" t="n">
        <v>6.72188E-005</v>
      </c>
      <c r="G1193" s="1" t="s">
        <v>37</v>
      </c>
      <c r="H1193" s="1" t="n">
        <v>36.4</v>
      </c>
      <c r="I1193" s="1" t="n">
        <v>280.5</v>
      </c>
      <c r="J1193" s="1" t="n">
        <v>0</v>
      </c>
      <c r="K1193" s="1" t="n">
        <v>65.7</v>
      </c>
      <c r="L1193" s="1" t="n">
        <v>0</v>
      </c>
      <c r="M1193" s="1" t="n">
        <v>0</v>
      </c>
      <c r="N1193" s="1" t="s">
        <v>623</v>
      </c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Z1193" s="0" t="n">
        <f aca="false">I1193+65</f>
        <v>345.5</v>
      </c>
      <c r="AB1193" s="0" t="n">
        <f aca="false">IF(Z1193&gt;360,Z1193-360,Z1193+0)</f>
        <v>345.5</v>
      </c>
    </row>
    <row r="1194" customFormat="false" ht="15.8" hidden="false" customHeight="false" outlineLevel="0" collapsed="false">
      <c r="A1194" s="1" t="n">
        <v>19</v>
      </c>
      <c r="B1194" s="1" t="n">
        <v>2</v>
      </c>
      <c r="C1194" s="1" t="n">
        <v>1.5</v>
      </c>
      <c r="D1194" s="1" t="n">
        <v>1.0092</v>
      </c>
      <c r="E1194" s="1" t="n">
        <v>0.0551483</v>
      </c>
      <c r="F1194" s="1" t="n">
        <v>0.000158515</v>
      </c>
      <c r="G1194" s="1" t="s">
        <v>37</v>
      </c>
      <c r="H1194" s="1" t="n">
        <v>34.7</v>
      </c>
      <c r="I1194" s="1" t="n">
        <v>316.8</v>
      </c>
      <c r="J1194" s="1" t="n">
        <v>0</v>
      </c>
      <c r="K1194" s="1" t="n">
        <v>55.6</v>
      </c>
      <c r="L1194" s="1" t="n">
        <v>0</v>
      </c>
      <c r="M1194" s="1" t="n">
        <v>0</v>
      </c>
      <c r="N1194" s="1" t="s">
        <v>601</v>
      </c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Z1194" s="0" t="n">
        <f aca="false">I1194+65</f>
        <v>381.8</v>
      </c>
      <c r="AB1194" s="0" t="n">
        <f aca="false">IF(Z1194&gt;360,Z1194-360,Z1194+0)</f>
        <v>21.8</v>
      </c>
    </row>
    <row r="1195" customFormat="false" ht="15.8" hidden="false" customHeight="false" outlineLevel="0" collapsed="false">
      <c r="A1195" s="1" t="n">
        <v>19</v>
      </c>
      <c r="B1195" s="1" t="n">
        <v>1</v>
      </c>
      <c r="C1195" s="1" t="n">
        <v>3.5</v>
      </c>
      <c r="D1195" s="1" t="n">
        <v>1.089</v>
      </c>
      <c r="E1195" s="1" t="n">
        <v>0.127972</v>
      </c>
      <c r="F1195" s="1" t="n">
        <v>0.000367835</v>
      </c>
      <c r="G1195" s="1" t="s">
        <v>37</v>
      </c>
      <c r="H1195" s="1"/>
      <c r="I1195" s="1" t="n">
        <v>282.7</v>
      </c>
      <c r="J1195" s="1" t="n">
        <v>6.9</v>
      </c>
      <c r="K1195" s="1" t="n">
        <v>57.9</v>
      </c>
      <c r="L1195" s="1" t="n">
        <v>0</v>
      </c>
      <c r="M1195" s="1" t="n">
        <v>0</v>
      </c>
      <c r="N1195" s="1" t="s">
        <v>652</v>
      </c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Z1195" s="0" t="n">
        <f aca="false">I1195+65</f>
        <v>347.7</v>
      </c>
      <c r="AB1195" s="0" t="n">
        <f aca="false">IF(Z1195&gt;360,Z1195-360,Z1195+0)</f>
        <v>347.7</v>
      </c>
    </row>
    <row r="1196" customFormat="false" ht="15.8" hidden="false" customHeight="false" outlineLevel="0" collapsed="false">
      <c r="A1196" s="1" t="n">
        <v>20</v>
      </c>
      <c r="B1196" s="1" t="n">
        <v>2</v>
      </c>
      <c r="C1196" s="1" t="n">
        <v>1.1</v>
      </c>
      <c r="D1196" s="1" t="n">
        <v>1.022</v>
      </c>
      <c r="E1196" s="1" t="n">
        <v>0.0393537</v>
      </c>
      <c r="F1196" s="1" t="n">
        <v>0.000113116</v>
      </c>
      <c r="G1196" s="1" t="s">
        <v>27</v>
      </c>
      <c r="H1196" s="1" t="n">
        <v>107.7</v>
      </c>
      <c r="I1196" s="1" t="n">
        <v>163.7</v>
      </c>
      <c r="J1196" s="1" t="n">
        <v>0</v>
      </c>
      <c r="K1196" s="1"/>
      <c r="L1196" s="1" t="n">
        <v>0</v>
      </c>
      <c r="M1196" s="1" t="n">
        <v>0</v>
      </c>
      <c r="N1196" s="1" t="s">
        <v>653</v>
      </c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Z1196" s="0" t="n">
        <f aca="false">I1196+65</f>
        <v>228.7</v>
      </c>
      <c r="AB1196" s="0" t="n">
        <f aca="false">IF(Z1196&gt;360,Z1196-360,Z1196+0)</f>
        <v>228.7</v>
      </c>
    </row>
    <row r="1197" customFormat="false" ht="15.8" hidden="false" customHeight="false" outlineLevel="0" collapsed="false">
      <c r="A1197" s="1" t="n">
        <v>20</v>
      </c>
      <c r="B1197" s="1" t="n">
        <v>2</v>
      </c>
      <c r="C1197" s="1" t="n">
        <v>1.5</v>
      </c>
      <c r="D1197" s="1" t="n">
        <v>1.1879</v>
      </c>
      <c r="E1197" s="1" t="n">
        <v>0.0557819</v>
      </c>
      <c r="F1197" s="1" t="n">
        <v>0.000160336</v>
      </c>
      <c r="G1197" s="1" t="s">
        <v>27</v>
      </c>
      <c r="H1197" s="1" t="n">
        <v>72.8</v>
      </c>
      <c r="I1197" s="1" t="n">
        <v>349.3</v>
      </c>
      <c r="J1197" s="1" t="n">
        <v>17.5</v>
      </c>
      <c r="K1197" s="1"/>
      <c r="L1197" s="1" t="n">
        <v>0</v>
      </c>
      <c r="M1197" s="1" t="n">
        <v>0</v>
      </c>
      <c r="N1197" s="1" t="s">
        <v>653</v>
      </c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Z1197" s="0" t="n">
        <f aca="false">I1197+65</f>
        <v>414.3</v>
      </c>
      <c r="AB1197" s="0" t="n">
        <f aca="false">IF(Z1197&gt;360,Z1197-360,Z1197+0)</f>
        <v>54.3</v>
      </c>
    </row>
    <row r="1198" customFormat="false" ht="15.8" hidden="false" customHeight="false" outlineLevel="0" collapsed="false">
      <c r="A1198" s="1" t="n">
        <v>20</v>
      </c>
      <c r="B1198" s="1" t="n">
        <v>2</v>
      </c>
      <c r="C1198" s="1" t="n">
        <v>5.3</v>
      </c>
      <c r="D1198" s="1" t="n">
        <v>1.1615</v>
      </c>
      <c r="E1198" s="1" t="n">
        <v>0.190005</v>
      </c>
      <c r="F1198" s="1" t="n">
        <v>0.000546138</v>
      </c>
      <c r="G1198" s="1" t="s">
        <v>27</v>
      </c>
      <c r="H1198" s="1" t="n">
        <v>8.2</v>
      </c>
      <c r="I1198" s="1" t="n">
        <v>269.6</v>
      </c>
      <c r="J1198" s="1" t="n">
        <v>9.9</v>
      </c>
      <c r="K1198" s="1"/>
      <c r="L1198" s="1" t="n">
        <v>0</v>
      </c>
      <c r="M1198" s="1" t="n">
        <v>0</v>
      </c>
      <c r="N1198" s="1" t="s">
        <v>653</v>
      </c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Z1198" s="0" t="n">
        <f aca="false">I1198+65</f>
        <v>334.6</v>
      </c>
      <c r="AB1198" s="0" t="n">
        <f aca="false">IF(Z1198&gt;360,Z1198-360,Z1198+0)</f>
        <v>334.6</v>
      </c>
    </row>
    <row r="1199" customFormat="false" ht="15.8" hidden="false" customHeight="false" outlineLevel="0" collapsed="false">
      <c r="A1199" s="1" t="n">
        <v>20</v>
      </c>
      <c r="B1199" s="1" t="n">
        <v>1</v>
      </c>
      <c r="C1199" s="1" t="n">
        <v>4.6</v>
      </c>
      <c r="D1199" s="1" t="n">
        <v>1.1936</v>
      </c>
      <c r="E1199" s="1" t="n">
        <v>0.166091</v>
      </c>
      <c r="F1199" s="1" t="n">
        <v>0.0004774</v>
      </c>
      <c r="G1199" s="1" t="s">
        <v>37</v>
      </c>
      <c r="H1199" s="1"/>
      <c r="I1199" s="1" t="n">
        <v>272.3</v>
      </c>
      <c r="J1199" s="1" t="n">
        <v>17.7</v>
      </c>
      <c r="K1199" s="1" t="n">
        <v>107.7</v>
      </c>
      <c r="L1199" s="1" t="n">
        <v>0</v>
      </c>
      <c r="M1199" s="1" t="n">
        <v>0</v>
      </c>
      <c r="N1199" s="1" t="s">
        <v>654</v>
      </c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Z1199" s="0" t="n">
        <f aca="false">I1199+65</f>
        <v>337.3</v>
      </c>
      <c r="AB1199" s="0" t="n">
        <f aca="false">IF(Z1199&gt;360,Z1199-360,Z1199+0)</f>
        <v>337.3</v>
      </c>
    </row>
    <row r="1200" customFormat="false" ht="15.8" hidden="false" customHeight="false" outlineLevel="0" collapsed="false">
      <c r="A1200" s="1" t="n">
        <v>21</v>
      </c>
      <c r="B1200" s="1" t="n">
        <v>2</v>
      </c>
      <c r="C1200" s="1" t="n">
        <v>0.8</v>
      </c>
      <c r="D1200" s="1" t="n">
        <v>1.1576</v>
      </c>
      <c r="E1200" s="1" t="n">
        <v>0.0297987</v>
      </c>
      <c r="F1200" s="1" t="n">
        <v>8.56514E-005</v>
      </c>
      <c r="G1200" s="1" t="s">
        <v>27</v>
      </c>
      <c r="H1200" s="1" t="n">
        <v>83</v>
      </c>
      <c r="I1200" s="1" t="n">
        <v>27.6</v>
      </c>
      <c r="J1200" s="1" t="n">
        <v>33.2</v>
      </c>
      <c r="K1200" s="1"/>
      <c r="L1200" s="1" t="n">
        <v>0</v>
      </c>
      <c r="M1200" s="1" t="n">
        <v>0</v>
      </c>
      <c r="N1200" s="1" t="s">
        <v>655</v>
      </c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Z1200" s="0" t="n">
        <f aca="false">I1200+65</f>
        <v>92.6</v>
      </c>
      <c r="AB1200" s="0" t="n">
        <f aca="false">IF(Z1200&gt;360,Z1200-360,Z1200+0)</f>
        <v>92.6</v>
      </c>
    </row>
    <row r="1201" customFormat="false" ht="15.8" hidden="false" customHeight="false" outlineLevel="0" collapsed="false">
      <c r="A1201" s="1" t="n">
        <v>21</v>
      </c>
      <c r="B1201" s="1" t="n">
        <v>3</v>
      </c>
      <c r="C1201" s="1" t="n">
        <v>1.1</v>
      </c>
      <c r="D1201" s="1" t="n">
        <v>1.0142</v>
      </c>
      <c r="E1201" s="1" t="n">
        <v>0.0392538</v>
      </c>
      <c r="F1201" s="1" t="n">
        <v>0.000112829</v>
      </c>
      <c r="G1201" s="1" t="s">
        <v>27</v>
      </c>
      <c r="H1201" s="1" t="n">
        <v>51.3</v>
      </c>
      <c r="I1201" s="1" t="n">
        <v>356.3</v>
      </c>
      <c r="J1201" s="1" t="n">
        <v>0</v>
      </c>
      <c r="K1201" s="1"/>
      <c r="L1201" s="1" t="n">
        <v>0</v>
      </c>
      <c r="M1201" s="1" t="n">
        <v>0</v>
      </c>
      <c r="N1201" s="1" t="s">
        <v>656</v>
      </c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Z1201" s="0" t="n">
        <f aca="false">I1201+65</f>
        <v>421.3</v>
      </c>
      <c r="AB1201" s="0" t="n">
        <f aca="false">IF(Z1201&gt;360,Z1201-360,Z1201+0)</f>
        <v>61.3</v>
      </c>
    </row>
    <row r="1202" customFormat="false" ht="15.8" hidden="false" customHeight="false" outlineLevel="0" collapsed="false">
      <c r="A1202" s="1" t="n">
        <v>21</v>
      </c>
      <c r="B1202" s="1" t="n">
        <v>3</v>
      </c>
      <c r="C1202" s="1" t="n">
        <v>1.5</v>
      </c>
      <c r="D1202" s="1" t="n">
        <v>1.1604</v>
      </c>
      <c r="E1202" s="1" t="n">
        <v>0.0539675</v>
      </c>
      <c r="F1202" s="1" t="n">
        <v>0.000155121</v>
      </c>
      <c r="G1202" s="1" t="s">
        <v>27</v>
      </c>
      <c r="H1202" s="1" t="n">
        <v>49.1</v>
      </c>
      <c r="I1202" s="1" t="n">
        <v>257</v>
      </c>
      <c r="J1202" s="1" t="n">
        <v>17.6</v>
      </c>
      <c r="K1202" s="1"/>
      <c r="L1202" s="1" t="n">
        <v>0</v>
      </c>
      <c r="M1202" s="1" t="n">
        <v>0</v>
      </c>
      <c r="N1202" s="1" t="s">
        <v>656</v>
      </c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Z1202" s="0" t="n">
        <f aca="false">I1202+65</f>
        <v>322</v>
      </c>
      <c r="AB1202" s="0" t="n">
        <f aca="false">IF(Z1202&gt;360,Z1202-360,Z1202+0)</f>
        <v>322</v>
      </c>
    </row>
    <row r="1203" customFormat="false" ht="15.8" hidden="false" customHeight="false" outlineLevel="0" collapsed="false">
      <c r="A1203" s="1" t="n">
        <v>21</v>
      </c>
      <c r="B1203" s="1" t="n">
        <v>2</v>
      </c>
      <c r="C1203" s="1" t="n">
        <v>2.3</v>
      </c>
      <c r="D1203" s="1" t="n">
        <v>1.2055</v>
      </c>
      <c r="E1203" s="1" t="n">
        <v>0.083671</v>
      </c>
      <c r="F1203" s="1" t="n">
        <v>0.000240498</v>
      </c>
      <c r="G1203" s="1" t="s">
        <v>37</v>
      </c>
      <c r="H1203" s="1" t="n">
        <v>24.2</v>
      </c>
      <c r="I1203" s="1" t="n">
        <v>309.4</v>
      </c>
      <c r="J1203" s="1" t="n">
        <v>23.9</v>
      </c>
      <c r="K1203" s="1" t="n">
        <v>51.3</v>
      </c>
      <c r="L1203" s="1" t="n">
        <v>0</v>
      </c>
      <c r="M1203" s="1" t="n">
        <v>0</v>
      </c>
      <c r="N1203" s="1" t="s">
        <v>655</v>
      </c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Z1203" s="0" t="n">
        <f aca="false">I1203+65</f>
        <v>374.4</v>
      </c>
      <c r="AB1203" s="0" t="n">
        <f aca="false">IF(Z1203&gt;360,Z1203-360,Z1203+0)</f>
        <v>14.4</v>
      </c>
    </row>
    <row r="1204" customFormat="false" ht="15.8" hidden="false" customHeight="false" outlineLevel="0" collapsed="false">
      <c r="A1204" s="1" t="n">
        <v>21</v>
      </c>
      <c r="B1204" s="1" t="n">
        <v>1</v>
      </c>
      <c r="C1204" s="1" t="n">
        <v>2</v>
      </c>
      <c r="D1204" s="1" t="n">
        <v>1.0217</v>
      </c>
      <c r="E1204" s="1" t="n">
        <v>0.0738363</v>
      </c>
      <c r="F1204" s="1" t="n">
        <v>0.00021223</v>
      </c>
      <c r="G1204" s="1" t="s">
        <v>37</v>
      </c>
      <c r="H1204" s="1"/>
      <c r="I1204" s="1" t="n">
        <v>305.9</v>
      </c>
      <c r="J1204" s="1" t="n">
        <v>0</v>
      </c>
      <c r="K1204" s="1" t="n">
        <v>83</v>
      </c>
      <c r="L1204" s="1" t="n">
        <v>0</v>
      </c>
      <c r="M1204" s="1" t="n">
        <v>0</v>
      </c>
      <c r="N1204" s="1" t="s">
        <v>657</v>
      </c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Z1204" s="0" t="n">
        <f aca="false">I1204+65</f>
        <v>370.9</v>
      </c>
      <c r="AB1204" s="0" t="n">
        <f aca="false">IF(Z1204&gt;360,Z1204-360,Z1204+0)</f>
        <v>10.9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16544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2017-05-18T20:40:56Z</dcterms:created>
  <dc:language>en-US</dc:language>
  <dcterms:modified xsi:type="dcterms:W3CDTF">2017-09-27T21:48:44Z</dcterms:modified>
  <cp:revision>7</cp:revision>
</cp:coreProperties>
</file>