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<sst xmlns="http://schemas.openxmlformats.org/spreadsheetml/2006/main" count="1404" uniqueCount="412">
  <si>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</si>
  <si>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</si>
  <si>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</si>
  <si>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</si>
  <si>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</si>
  <si>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</si>
  <si>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</si>
  <si>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</si>
  <si>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</si>
  <si>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</si>
  <si>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</si>
  <si>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</si>
  <si>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</si>
  <si>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</si>
  <si>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</si>
  <si>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</si>
  <si>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</si>
  <si>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</si>
  <si>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</si>
  <si>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</si>
  <si>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</si>
  <si>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</si>
  <si>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</si>
  <si>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</si>
  <si>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</si>
  <si>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</si>
  <si>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</si>
  <si>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</si>
  <si>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(36.13, -41.88, -26.13)</t>
  </si>
  <si>
    <t>[90:75]</t>
  </si>
  <si>
    <t>&gt;75 R</t>
  </si>
  <si>
    <t>-75,-90 R</t>
  </si>
  <si>
    <t>[0:15)</t>
  </si>
  <si>
    <t>(34.77, -41.13, -27.30)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</si>
  <si>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</si>
  <si>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</si>
  <si>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</si>
  <si>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</si>
  <si>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</si>
  <si>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</si>
  <si>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</si>
  <si>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</si>
  <si>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</si>
  <si>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[45:30]</t>
  </si>
  <si>
    <t>&gt;30 R</t>
  </si>
  <si>
    <t>-45,-30 R</t>
  </si>
  <si>
    <t>[45:60)</t>
  </si>
  <si>
    <t>(42.55, -45.38, -24.18)</t>
  </si>
  <si>
    <t>[30:15]</t>
  </si>
  <si>
    <t>&gt;15 R</t>
  </si>
  <si>
    <t>-30,-15 R</t>
  </si>
  <si>
    <t>[60:75)</t>
  </si>
  <si>
    <t>(43.66, -42.44, -24.18)</t>
  </si>
  <si>
    <t>[15:0]</t>
  </si>
  <si>
    <t>&gt;0 R</t>
  </si>
  <si>
    <t>-15,0 R</t>
  </si>
  <si>
    <t>[75:90)</t>
  </si>
  <si>
    <t>(39.40, -39.89, -24.57)</t>
  </si>
  <si>
    <t>[0]</t>
  </si>
  <si>
    <t>&gt;-15 R</t>
  </si>
  <si>
    <t>0,15 R</t>
  </si>
  <si>
    <t>[0:15]</t>
  </si>
  <si>
    <t>&gt;-30 R</t>
  </si>
  <si>
    <t>15,30 R</t>
  </si>
  <si>
    <t>Sum</t>
  </si>
  <si>
    <t>(42.32, -41.58, -24.18)</t>
  </si>
  <si>
    <t>[15:30]</t>
  </si>
  <si>
    <t>&gt;-45 R</t>
  </si>
  <si>
    <t>30,45 R</t>
  </si>
  <si>
    <t>(39.87, -40.73, -23.40)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</si>
  <si>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</si>
  <si>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</si>
  <si>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</si>
  <si>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</si>
  <si>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</si>
  <si>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</si>
  <si>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</si>
  <si>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</si>
  <si>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</si>
  <si>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</si>
  <si>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</si>
  <si>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</si>
  <si>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(45.07, -43.22, -24.18)</t>
  </si>
  <si>
    <t>&gt;-75 L</t>
  </si>
  <si>
    <t>75,60 L</t>
  </si>
  <si>
    <t>(56.10, -49.00, -33.93)</t>
  </si>
  <si>
    <t>&gt;-60 L</t>
  </si>
  <si>
    <t>60,45 L</t>
  </si>
  <si>
    <t>&gt;-45 L</t>
  </si>
  <si>
    <t>45,30 L</t>
  </si>
  <si>
    <t>(54.94, -46.72, -28.86)</t>
  </si>
  <si>
    <t>&gt;-30 L</t>
  </si>
  <si>
    <t>30,15 L</t>
  </si>
  <si>
    <t>&gt;-15 L</t>
  </si>
  <si>
    <t>15,0 L</t>
  </si>
  <si>
    <t>(52.87, -46.78, -27.69)</t>
  </si>
  <si>
    <t>&gt;0 L</t>
  </si>
  <si>
    <t>0,-15 L</t>
  </si>
  <si>
    <t>(63.62, -41.74, -17.94)</t>
  </si>
  <si>
    <t>&gt;15 L</t>
  </si>
  <si>
    <t>-15,-30 L</t>
  </si>
  <si>
    <t>&gt;30 L</t>
  </si>
  <si>
    <t>-30,-45 L</t>
  </si>
  <si>
    <t>(69.57, -40.38, -14.04)</t>
  </si>
  <si>
    <t>&gt;45 L</t>
  </si>
  <si>
    <t>-45,-60 L</t>
  </si>
  <si>
    <t>&gt;60 L</t>
  </si>
  <si>
    <t>-60,-75 L</t>
  </si>
  <si>
    <t>(67.61, -41.44, -14.04)</t>
  </si>
  <si>
    <t>&gt;75 L</t>
  </si>
  <si>
    <t>-75,-90 L</t>
  </si>
  <si>
    <t>Total</t>
  </si>
  <si>
    <t>Count</t>
  </si>
  <si>
    <t>Total L</t>
  </si>
  <si>
    <t>(62.02, -41.61, -19.11)</t>
  </si>
  <si>
    <t>(54.71, -37.68, -26.91)</t>
  </si>
  <si>
    <t>(52.50, -37.96, -24.96)</t>
  </si>
  <si>
    <t>(54.05, -38.62, -23.01)</t>
  </si>
  <si>
    <t>(56.24, -38.78, -23.79)</t>
  </si>
  <si>
    <t>(61.53, -40.97, -19.89)</t>
  </si>
  <si>
    <t>(61.44, -42.09, -18.33)</t>
  </si>
  <si>
    <t>(56.86, -42.48, -19.11)</t>
  </si>
  <si>
    <t>(56.31, -42.32, -19.50)</t>
  </si>
  <si>
    <t>(54.24, -43.44, -19.89)</t>
  </si>
  <si>
    <t>(51.71, -44.25, -21.06)</t>
  </si>
  <si>
    <t>(52.10, -45.18, -21.06)</t>
  </si>
  <si>
    <t>(49.68, -47.45, -21.06)</t>
  </si>
  <si>
    <t>(31.09, -45.61, -21.84)</t>
  </si>
  <si>
    <t>(32.49, -44.45, -21.84)</t>
  </si>
  <si>
    <t>(31.50, -43.65, -23.01)</t>
  </si>
  <si>
    <t>(36.61, -44.38, -21.45)</t>
  </si>
  <si>
    <t>(36.99, -45.28, -23.01)</t>
  </si>
  <si>
    <t>(33.03, -43.43, -25.74)</t>
  </si>
  <si>
    <t>(33.42, -44.00, -25.74)</t>
  </si>
  <si>
    <t>(33.89, -44.38, -24.96)</t>
  </si>
  <si>
    <t>(37.59, -45.36, -22.62)</t>
  </si>
  <si>
    <t>(35.04, -48.62, -19.11)</t>
  </si>
  <si>
    <t>(33.71, -46.87, -21.45)</t>
  </si>
  <si>
    <t>(34.84, -46.57, -22.62)</t>
  </si>
  <si>
    <t>(38.88, -46.04, -23.40)</t>
  </si>
  <si>
    <t>(39.92, -47.11, -23.40)</t>
  </si>
  <si>
    <t>(35.18, -51.53, -21.06)</t>
  </si>
  <si>
    <t>(36.03, -50.68, -21.84)</t>
  </si>
  <si>
    <t>(35.81, -49.39, -21.84)</t>
  </si>
  <si>
    <t>(35.79, -49.05, -22.62)</t>
  </si>
  <si>
    <t>(41.04, -47.16, -24.18)</t>
  </si>
  <si>
    <t>(46.06, -48.88, -16.38)</t>
  </si>
  <si>
    <t>(44.71, -48.11, -17.55)</t>
  </si>
  <si>
    <t>(42.41, -46.83, -20.28)</t>
  </si>
  <si>
    <t>(44.81, -47.23, -20.28)</t>
  </si>
  <si>
    <t>(41.78, -46.83, -20.28)</t>
  </si>
  <si>
    <t>(41.34, -46.83, -19.89)</t>
  </si>
  <si>
    <t>(41.21, -46.52, -17.16)</t>
  </si>
  <si>
    <t>(41.52, -47.00, -24.18)</t>
  </si>
  <si>
    <t>(49.99, -47.62, -28.08)</t>
  </si>
  <si>
    <t>(47.92, -48.52, -28.86)</t>
  </si>
  <si>
    <t>(58.72, -45.91, -11.70)</t>
  </si>
  <si>
    <t>(58.04, -46.31, -12.09)</t>
  </si>
  <si>
    <t>(58.50, -46.60, -13.26)</t>
  </si>
  <si>
    <t>(58.20, -47.24, -14.04)</t>
  </si>
  <si>
    <t>(58.21, -47.73, -13.65)</t>
  </si>
  <si>
    <t>(68.93, -50.92, -10.53)</t>
  </si>
  <si>
    <t>(70.24, -50.74, -10.53)</t>
  </si>
  <si>
    <t>(70.70, -50.80, -10.92)</t>
  </si>
  <si>
    <t>(62.69, -48.68, -13.65)</t>
  </si>
  <si>
    <t>(69.99, -48.34, -10.92)</t>
  </si>
  <si>
    <t>(65.78, -49.51, -12.48)</t>
  </si>
  <si>
    <t>(64.84, -50.62, -10.53)</t>
  </si>
  <si>
    <t>(65.33, -49.41, -12.48)</t>
  </si>
  <si>
    <t>(67.44, -46.57, -14.43)</t>
  </si>
  <si>
    <t>(52.84, -48.35, -17.16)</t>
  </si>
  <si>
    <t>(55.68, -49.45, -11.70)</t>
  </si>
  <si>
    <t>(61.67, -48.11, -5.07)</t>
  </si>
  <si>
    <t>(55.11, -49.58, -12.48)</t>
  </si>
  <si>
    <t>(56.00, -51.48, -11.31)</t>
  </si>
  <si>
    <t>(58.07, -51.06, -11.31)</t>
  </si>
  <si>
    <t>(51.85, -48.81, -20.67)</t>
  </si>
  <si>
    <t>(55.59, -48.39, -17.94)</t>
  </si>
  <si>
    <t>(59.21, -48.13, -19.50)</t>
  </si>
  <si>
    <t>(58.37, -48.25, -18.33)</t>
  </si>
  <si>
    <t>(61.52, -48.17, -15.60)</t>
  </si>
  <si>
    <t>(60.11, -47.50, -16.77)</t>
  </si>
  <si>
    <t>(68.10, -43.98, -10.53)</t>
  </si>
  <si>
    <t>(53.07, -49.40, -19.11)</t>
  </si>
  <si>
    <t>(54.37, -50.26, -20.28)</t>
  </si>
  <si>
    <t>(56.69, -51.57, -23.40)</t>
  </si>
  <si>
    <t>(55.97, -51.42, -21.84)</t>
  </si>
  <si>
    <t>(60.38, -52.06, -23.40)</t>
  </si>
  <si>
    <t>(51.13, -48.22, -21.06)</t>
  </si>
  <si>
    <t>(47.55, -46.93, -20.67)</t>
  </si>
  <si>
    <t>(46.63, -41.67, -24.96)</t>
  </si>
  <si>
    <t>(59.52, -35.03, -15.60)</t>
  </si>
  <si>
    <t>(60.16, -35.18, -16.38)</t>
  </si>
  <si>
    <t>(59.17, -36.61, -16.77)</t>
  </si>
  <si>
    <t>(52.31, -36.82, -17.55)</t>
  </si>
  <si>
    <t>(43.30, -33.28, -17.55)</t>
  </si>
  <si>
    <t>(45.74, -34.25, -17.55)</t>
  </si>
  <si>
    <t>(46.85, -36.23, -17.55)</t>
  </si>
  <si>
    <t>(46.44, -36.58, -17.16)</t>
  </si>
  <si>
    <t>(47.21, -40.50, -26.13)</t>
  </si>
  <si>
    <t>(47.98, -38.76, -26.91)</t>
  </si>
  <si>
    <t>(49.07, -38.38, -26.52)</t>
  </si>
  <si>
    <t>(49.93, -37.92, -26.13)</t>
  </si>
  <si>
    <t>(50.53, -38.39, -30.03)</t>
  </si>
  <si>
    <t>(54.50, -37.03, -30.81)</t>
  </si>
  <si>
    <t>(56.31, -36.13, -30.42)</t>
  </si>
  <si>
    <t>(57.03, -35.56, -31.20)</t>
  </si>
  <si>
    <t>(61.63, -30.64, -36.27)</t>
  </si>
  <si>
    <t>(60.77, -31.39, -35.88)</t>
  </si>
  <si>
    <t>(60.34, -31.41, -36.27)</t>
  </si>
  <si>
    <t>(68.53, -35.47, -33.15)</t>
  </si>
  <si>
    <t>(69.67, -36.01, -33.15)</t>
  </si>
  <si>
    <t>(70.60, -36.55, -34.71)</t>
  </si>
  <si>
    <t>(62.03, -35.79, -31.98)</t>
  </si>
  <si>
    <t>(61.18, -36.00, -31.98)</t>
  </si>
  <si>
    <t>(61.14, -36.66, -33.54)</t>
  </si>
  <si>
    <t>(61.15, -36.22, -32.76)</t>
  </si>
  <si>
    <t>(52.76, -37.93, -30.42)</t>
  </si>
  <si>
    <t>(53.92, -37.88, -35.88)</t>
  </si>
  <si>
    <t>(53.27, -37.01, -35.10)</t>
  </si>
  <si>
    <t>(50.50, -35.46, -37.05)</t>
  </si>
  <si>
    <t>(45.55, -33.47, -42.90)</t>
  </si>
  <si>
    <t>(52.78, -35.85, -36.27)</t>
  </si>
  <si>
    <t>(55.91, -34.27, -36.66)</t>
  </si>
  <si>
    <t>(53.69, -35.05, -37.44)</t>
  </si>
  <si>
    <t>(53.23, -34.90, -37.44)</t>
  </si>
  <si>
    <t>(53.98, -33.63, -39.00)</t>
  </si>
  <si>
    <t>(54.12, -37.85, -32.37)</t>
  </si>
  <si>
    <t>(57.41, -36.86, -32.37)</t>
  </si>
  <si>
    <t>(43.20, -38.24, -27.30)</t>
  </si>
  <si>
    <t>(46.69, -38.02, -26.13)</t>
  </si>
  <si>
    <t>(32.81, -29.03, -22.23)</t>
  </si>
  <si>
    <t>(35.77, -27.54, -23.01)</t>
  </si>
  <si>
    <t>(42.80, -33.47, -21.84)</t>
  </si>
  <si>
    <t>(46.60, -35.86, -23.79)</t>
  </si>
  <si>
    <t>(46.01, -37.20, -26.13)</t>
  </si>
  <si>
    <t>(43.48, -37.41, -24.96)</t>
  </si>
  <si>
    <t>(40.10, -37.42, -24.96)</t>
  </si>
  <si>
    <t>(42.91, -34.90, -25.74)</t>
  </si>
  <si>
    <t>(52.35, -34.21, -29.64)</t>
  </si>
  <si>
    <t>(53.82, -34.59, -30.03)</t>
  </si>
  <si>
    <t>(53.46, -34.39, -29.64)</t>
  </si>
  <si>
    <t>(47.98, -33.59, -31.20)</t>
  </si>
  <si>
    <t>(38.66, -34.44, -28.47)</t>
  </si>
  <si>
    <t>(41.05, -34.27, -26.52)</t>
  </si>
  <si>
    <t>(41.90, -33.43, -27.30)</t>
  </si>
  <si>
    <t>(34.83, -35.11, -36.27)</t>
  </si>
  <si>
    <t>(34.55, -35.13, -35.49)</t>
  </si>
  <si>
    <t>(37.66, -31.18, -29.64)</t>
  </si>
  <si>
    <t>(35.69, -29.72, -30.42)</t>
  </si>
  <si>
    <t>(34.48, -26.62, -27.69)</t>
  </si>
  <si>
    <t>(34.79, -28.64, -31.98)</t>
  </si>
  <si>
    <t>(31.01, -25.97, -36.66)</t>
  </si>
  <si>
    <t>(29.04, -26.08, -37.83)</t>
  </si>
  <si>
    <t>(26.18, -26.40, -38.22)</t>
  </si>
  <si>
    <t>(45.23, -35.15, -25.74)</t>
  </si>
  <si>
    <t>(48.70, -32.10, -26.13)</t>
  </si>
  <si>
    <t>(41.44, -39.16, -26.13)</t>
  </si>
  <si>
    <t>(41.84, -39.31, -27.30)</t>
  </si>
  <si>
    <t>(42.11, -37.61, -27.69)</t>
  </si>
  <si>
    <t>(41.23, -37.06, -29.64)</t>
  </si>
  <si>
    <t>(40.83, -36.82, -30.42)</t>
  </si>
  <si>
    <t>(40.31, -36.46, -31.20)</t>
  </si>
  <si>
    <t>(42.34, -39.71, -27.30)</t>
  </si>
  <si>
    <t>(42.02, -40.31, -27.69)</t>
  </si>
  <si>
    <t>(39.42, -40.39, -27.69)</t>
  </si>
  <si>
    <t>(35.30, -39.50, -30.03)</t>
  </si>
  <si>
    <t>(48.53, -41.04, -24.96)</t>
  </si>
  <si>
    <t>(51.04, -41.40, -27.69)</t>
  </si>
  <si>
    <t>(51.27, -41.08, -26.52)</t>
  </si>
  <si>
    <t>(52.39, -41.10, -26.52)</t>
  </si>
  <si>
    <t>(50.19, -41.09, -25.74)</t>
  </si>
  <si>
    <t>(55.96, -42.96, -26.52)</t>
  </si>
  <si>
    <t>(59.13, -41.59, -24.96)</t>
  </si>
  <si>
    <t>(59.99, -40.40, -24.18)</t>
  </si>
  <si>
    <t>(60.28, -40.55, -24.18)</t>
  </si>
  <si>
    <t>(46.83, -42.68, -24.18)</t>
  </si>
  <si>
    <t>(48.57, -52.13, -37.05)</t>
  </si>
  <si>
    <t>(23.43, -43.08, -42.51)</t>
  </si>
  <si>
    <t>(26.59, -43.58, -41.34)</t>
  </si>
  <si>
    <t>(30.16, -44.43, -41.73)</t>
  </si>
  <si>
    <t>(46.31, -50.72, -38.22)</t>
  </si>
  <si>
    <t>(44.31, -51.34, -37.44)</t>
  </si>
  <si>
    <t>(47.23, -51.65, -38.22)</t>
  </si>
  <si>
    <t>(41.94, -51.56, -40.17)</t>
  </si>
  <si>
    <t>(38.47, -51.81, -40.95)</t>
  </si>
  <si>
    <t>(41.70, -52.23, -40.56)</t>
  </si>
  <si>
    <t>(53.41, -54.13, -40.95)</t>
  </si>
  <si>
    <t>(54.90, -54.33, -38.61)</t>
  </si>
  <si>
    <t>(57.34, -54.99, -38.22)</t>
  </si>
  <si>
    <t>(50.17, -54.23, -35.49)</t>
  </si>
  <si>
    <t>(44.19, -50.62, -33.93)</t>
  </si>
  <si>
    <t>(45.70, -49.96, -34.32)</t>
  </si>
  <si>
    <t>(46.87, -47.77, -32.76)</t>
  </si>
  <si>
    <t>(42.52, -50.93, -32.37)</t>
  </si>
  <si>
    <t>(48.68, -51.78, -34.32)</t>
  </si>
  <si>
    <t>(47.92, -52.08, -34.32)</t>
  </si>
  <si>
    <t>(41.65, -62.84, -34.32)</t>
  </si>
  <si>
    <t>(41.08, -61.93, -34.32)</t>
  </si>
  <si>
    <t>(39.48, -61.16, -34.71)</t>
  </si>
  <si>
    <t>(39.43, -59.65, -34.71)</t>
  </si>
  <si>
    <t>(44.49, -54.50, -33.93)</t>
  </si>
  <si>
    <t>(45.45, -54.88, -34.32)</t>
  </si>
  <si>
    <t>(45.04, -51.65, -33.54)</t>
  </si>
  <si>
    <t>(36.07, -56.22, -30.81)</t>
  </si>
  <si>
    <t>(37.79, -55.47, -31.20)</t>
  </si>
  <si>
    <t>(44.90, -52.43, -32.76)</t>
  </si>
  <si>
    <t>(42.78, -49.20, -29.25)</t>
  </si>
  <si>
    <t>(34.63, -45.54, -35.10)</t>
  </si>
  <si>
    <t>(33.54, -47.65, -34.71)</t>
  </si>
  <si>
    <t>(33.33, -46.80, -34.32)</t>
  </si>
  <si>
    <t>(37.36, -46.27, -33.93)</t>
  </si>
  <si>
    <t>(48.44, -43.04, -35.49)</t>
  </si>
  <si>
    <t>(41.72, -44.21, -33.93)</t>
  </si>
  <si>
    <t>(37.91, -47.42, -32.76)</t>
  </si>
  <si>
    <t>(38.63, -48.49, -30.81)</t>
  </si>
  <si>
    <t>(39.85, -50.10, -30.42)</t>
  </si>
  <si>
    <t>(36.11, -50.37, -28.08)</t>
  </si>
  <si>
    <t>(36.15, -51.30, -28.08)</t>
  </si>
  <si>
    <t>(37.03, -54.09, -24.96)</t>
  </si>
  <si>
    <t>(45.30, -54.83, -23.01)</t>
  </si>
  <si>
    <t>(42.41, -54.22, -20.28)</t>
  </si>
  <si>
    <t>(46.70, -54.03, -18.72)</t>
  </si>
  <si>
    <t>(40.08, -54.50, -20.28)</t>
  </si>
  <si>
    <t>(37.09, -55.15, -24.57)</t>
  </si>
  <si>
    <t>(36.87, -55.95, -23.40)</t>
  </si>
  <si>
    <t>(34.87, -55.11, -22.23)</t>
  </si>
  <si>
    <t>(35.02, -48.72, -27.69)</t>
  </si>
  <si>
    <t>(32.07, -49.00, -26.52)</t>
  </si>
  <si>
    <t>(23.06, -57.54, -39.00)</t>
  </si>
  <si>
    <t>(23.46, -56.33, -37.83)</t>
  </si>
  <si>
    <t>(31.52, -51.07, -35.10)</t>
  </si>
  <si>
    <t>(16.68, -46.74, -38.61)</t>
  </si>
  <si>
    <t>(18.02, -48.25, -39.78)</t>
  </si>
  <si>
    <t>(19.29, -48.41, -39.78)</t>
  </si>
  <si>
    <t>(20.32, -46.16, -39.39)</t>
  </si>
  <si>
    <t>(20.16, -47.94, -39.78)</t>
  </si>
  <si>
    <t>(20.30, -49.20, -39.78)</t>
  </si>
  <si>
    <t>(21.58, -49.36, -39.39)</t>
  </si>
  <si>
    <t>(23.06, -50.17, -39.39)</t>
  </si>
  <si>
    <t>(22.71, -51.80, -40.17)</t>
  </si>
  <si>
    <t>(27.79, -55.20, -39.78)</t>
  </si>
  <si>
    <t>(26.13, -54.36, -39.78)</t>
  </si>
  <si>
    <t>(24.79, -54.24, -40.56)</t>
  </si>
  <si>
    <t>(25.89, -55.20, -41.34)</t>
  </si>
  <si>
    <t>(23.76, -53.05, -40.17)</t>
  </si>
  <si>
    <t>(22.54, -51.48, -39.78)</t>
  </si>
  <si>
    <t>(22.41, -50.60, -39.39)</t>
  </si>
  <si>
    <t>(25.11, -50.49, -38.61)</t>
  </si>
  <si>
    <t>(26.67, -50.25, -37.44)</t>
  </si>
  <si>
    <t>(23.74, -48.60, -37.44)</t>
  </si>
  <si>
    <t>(12.25, -45.10, -35.10)</t>
  </si>
  <si>
    <t>(12.86, -47.22, -34.71)</t>
  </si>
  <si>
    <t>(14.58, -47.22, -35.10)</t>
  </si>
  <si>
    <t>(16.89, -47.56, -35.10)</t>
  </si>
  <si>
    <t>(17.45, -47.91, -34.71)</t>
  </si>
  <si>
    <t>(18.53, -47.63, -34.32)</t>
  </si>
  <si>
    <t>(18.85, -47.43, -34.32)</t>
  </si>
  <si>
    <t>(19.77, -47.05, -33.93)</t>
  </si>
  <si>
    <t>(18.86, -45.90, -31.98)</t>
  </si>
  <si>
    <t>(19.06, -46.12, -32.76)</t>
  </si>
  <si>
    <t>(22.21, -47.89, -35.49)</t>
  </si>
  <si>
    <t>(26.06, -48.68, -37.05)</t>
  </si>
  <si>
    <t>(33.20, -51.03, -33.93)</t>
  </si>
  <si>
    <t>(32.08, -52.42, -33.93)</t>
  </si>
  <si>
    <t>(36.77, -52.53, -31.59)</t>
  </si>
  <si>
    <t>(20.68, -56.10, -28.47)</t>
  </si>
  <si>
    <t>(23.80, -55.07, -30.03)</t>
  </si>
  <si>
    <t>(29.84, -53.40, -31.20)</t>
  </si>
  <si>
    <t>(25.50, -54.57, -31.20)</t>
  </si>
  <si>
    <t>(26.67, -53.39, -31.20)</t>
  </si>
  <si>
    <t>(31.59, -52.32, -30.81)</t>
  </si>
  <si>
    <t>(19.08, -52.18, -35.88)</t>
  </si>
  <si>
    <t>(25.72, -50.81, -31.98)</t>
  </si>
  <si>
    <t>(28.34, -50.56, -29.64)</t>
  </si>
  <si>
    <t>(30.90, -51.02, -29.64)</t>
  </si>
  <si>
    <t>(30.68, -50.45, -28.47)</t>
  </si>
  <si>
    <t>(33.36, -53.26, -31.20)</t>
  </si>
  <si>
    <t>(19.54, -56.71, -24.57)</t>
  </si>
  <si>
    <t>(26.21, -56.45, -29.64)</t>
  </si>
  <si>
    <t>(31.25, -54.82, -31.59)</t>
  </si>
  <si>
    <t>(31.40, -55.15, -31.98)</t>
  </si>
  <si>
    <t>(31.57, -55.40, -32.76)</t>
  </si>
  <si>
    <t>(32.94, -53.82, -31.20)</t>
  </si>
  <si>
    <t>(35.61, -52.95, -31.59)</t>
  </si>
  <si>
    <t>(27.85, -57.81, -31.20)</t>
  </si>
  <si>
    <t>(29.31, -56.92, -30.81)</t>
  </si>
  <si>
    <t>(31.00, -56.94, -32.37)</t>
  </si>
  <si>
    <t>(33.52, -56.15, -32.37)</t>
  </si>
  <si>
    <t>(35.79, -57.00, -34.32)</t>
  </si>
  <si>
    <t>(33.53, -56.85, -34.32)</t>
  </si>
  <si>
    <t>(34.35, -59.45, -37.44)</t>
  </si>
  <si>
    <t>(32.83, -57.30, -34.71)</t>
  </si>
  <si>
    <t>(25.42, -56.24, -35.49)</t>
  </si>
  <si>
    <t>(29.85, -57.60, -34.71)</t>
  </si>
  <si>
    <t>(30.02, -60.36, -35.88)</t>
  </si>
  <si>
    <t>(29.44, -58.70, -35.88)</t>
  </si>
  <si>
    <t>(28.22, -59.42, -36.66)</t>
  </si>
  <si>
    <t>(26.12, -62.72, -37.05)</t>
  </si>
  <si>
    <t>(27.39, -60.79, -37.05)</t>
  </si>
  <si>
    <t>(25.38, -59.82, -36.66)</t>
  </si>
  <si>
    <t>(24.49, -59.95, -36.66)</t>
  </si>
  <si>
    <t>(19.30, -58.02, -36.27)</t>
  </si>
  <si>
    <t>(19.65, -58.40, -37.44)</t>
  </si>
  <si>
    <t>(21.27, -57.14, -35.88)</t>
  </si>
  <si>
    <t>(21.51, -57.76, -35.88)</t>
  </si>
  <si>
    <t>(21.49, -58.93, -35.49)</t>
  </si>
  <si>
    <t>(20.65, -58.72, -34.71)</t>
  </si>
  <si>
    <t>(16.94, -59.84, -34.32)</t>
  </si>
  <si>
    <t>(22.88, -59.55, -36.66)</t>
  </si>
  <si>
    <t>(44.11, -48.44, -28.47)</t>
  </si>
  <si>
    <t>(45.50, -47.55, -27.30)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</si>
</sst>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6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0.4489795918367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1.2</v>
      </c>
      <c r="D2" s="1" t="n">
        <v>1.1852</v>
      </c>
      <c r="E2" s="1" t="n">
        <v>0.260895</v>
      </c>
      <c r="F2" s="1" t="n">
        <v>0.00454885</v>
      </c>
      <c r="G2" s="1" t="s">
        <v>27</v>
      </c>
      <c r="H2" s="1" t="n">
        <v>108.4</v>
      </c>
      <c r="I2" s="1" t="n">
        <v>299.4</v>
      </c>
      <c r="J2" s="1" t="n">
        <v>-50.9</v>
      </c>
      <c r="K2" s="1"/>
      <c r="L2" s="1" t="n">
        <v>0.1</v>
      </c>
      <c r="M2" s="1" t="n">
        <v>0.1</v>
      </c>
      <c r="N2" s="1" t="s">
        <v>28</v>
      </c>
      <c r="O2" s="1" t="n">
        <v>0</v>
      </c>
      <c r="P2" s="1" t="n">
        <f aca="false">COUNTIF(I$2:I$1500,"&lt;15")</f>
        <v>48</v>
      </c>
      <c r="Q2" s="1" t="s">
        <v>29</v>
      </c>
      <c r="R2" s="1" t="n">
        <f aca="false">COUNTIF(J$2:J$1500,"&lt;-75")</f>
        <v>2</v>
      </c>
      <c r="S2" s="2" t="s">
        <v>30</v>
      </c>
      <c r="T2" s="1" t="n">
        <f aca="false">COUNTIFS(J$2:J$1500, "&gt;75",I$2:I$1500, "&lt;180")</f>
        <v>2</v>
      </c>
      <c r="U2" s="1" t="n">
        <v>0</v>
      </c>
      <c r="V2" s="0" t="n">
        <f aca="false">SUMIFS(C$2:C$1500,C$2:C$1500, "&gt;=0",I$2:I$1500, "&lt;15")</f>
        <v>208.5</v>
      </c>
      <c r="W2" s="2" t="s">
        <v>31</v>
      </c>
      <c r="X2" s="0" t="n">
        <f aca="false">SUMIFS(C$2:C$1500,C$2:C$1500, "&gt;=0",J$2:J$1500, "&lt;-75",I$2:I$1500,"&lt;180")</f>
        <v>7.7</v>
      </c>
      <c r="Z2" s="0" t="n">
        <f aca="false">I2+0</f>
        <v>299.4</v>
      </c>
      <c r="AB2" s="0" t="n">
        <f aca="false">IF(Z2&gt;360,Z2-360,Z2+0)</f>
        <v>299.4</v>
      </c>
      <c r="AD2" s="1" t="n">
        <v>0</v>
      </c>
      <c r="AE2" s="1" t="n">
        <f aca="false">COUNTIF(AB$2:AB$1500,"&lt;15")</f>
        <v>48</v>
      </c>
      <c r="AF2" s="1"/>
      <c r="AG2" s="1" t="n">
        <v>0</v>
      </c>
      <c r="AH2" s="0" t="n">
        <f aca="false">SUMIFS(C$2:C$1500,C$2:C$1500, "&gt;=0",AB$2:AB$1500, "&lt;15")</f>
        <v>208.5</v>
      </c>
      <c r="AJ2" s="1" t="s">
        <v>29</v>
      </c>
      <c r="AK2" s="0" t="n">
        <f aca="false">SUMIF($J$2:$J$2000,"&lt;-75",$C$2:$C$2000)</f>
        <v>12.2</v>
      </c>
      <c r="AM2" s="1" t="s">
        <v>32</v>
      </c>
      <c r="AN2" s="0" t="n">
        <f aca="false">AE2+AE13+AE14+AE25</f>
        <v>174</v>
      </c>
      <c r="AO2" s="1" t="s">
        <v>32</v>
      </c>
      <c r="AP2" s="0" t="n">
        <f aca="false">R7+R8+R9</f>
        <v>229</v>
      </c>
      <c r="AR2" s="1" t="s">
        <v>32</v>
      </c>
      <c r="AS2" s="0" t="n">
        <f aca="false">AH2+AH13+AH14+AH25</f>
        <v>687.8</v>
      </c>
      <c r="AU2" s="0" t="n">
        <f aca="false">AK7+AK8+AK9</f>
        <v>707.300000000001</v>
      </c>
    </row>
    <row r="3" customFormat="false" ht="15.8" hidden="false" customHeight="false" outlineLevel="0" collapsed="false">
      <c r="A3" s="1" t="n">
        <v>1</v>
      </c>
      <c r="B3" s="1" t="n">
        <v>3</v>
      </c>
      <c r="C3" s="1" t="n">
        <v>0.8</v>
      </c>
      <c r="D3" s="1" t="n">
        <v>1.0269</v>
      </c>
      <c r="E3" s="1" t="n">
        <v>0.176212</v>
      </c>
      <c r="F3" s="1" t="n">
        <v>0.00307235</v>
      </c>
      <c r="G3" s="1" t="s">
        <v>27</v>
      </c>
      <c r="H3" s="1" t="n">
        <v>38.5</v>
      </c>
      <c r="I3" s="1" t="n">
        <v>139.8</v>
      </c>
      <c r="J3" s="1" t="n">
        <v>0</v>
      </c>
      <c r="K3" s="1"/>
      <c r="L3" s="1" t="n">
        <v>0.1</v>
      </c>
      <c r="M3" s="1" t="n">
        <v>0.1</v>
      </c>
      <c r="N3" s="1" t="s">
        <v>33</v>
      </c>
      <c r="O3" s="1" t="n">
        <v>15</v>
      </c>
      <c r="P3" s="1" t="n">
        <f aca="false">COUNTIF(I$2:I$1500,"&lt;30")-P2</f>
        <v>39</v>
      </c>
      <c r="Q3" s="1" t="s">
        <v>34</v>
      </c>
      <c r="R3" s="1" t="n">
        <f aca="false">COUNTIF(J$2:J$1500,"&lt;-60")-R2</f>
        <v>27</v>
      </c>
      <c r="S3" s="2" t="s">
        <v>35</v>
      </c>
      <c r="T3" s="1" t="n">
        <f aca="false">COUNTIFS(J$2:J$1500, "&gt;60",I$2:I$1500, "&lt;180")-T2</f>
        <v>11</v>
      </c>
      <c r="U3" s="1" t="n">
        <v>15</v>
      </c>
      <c r="V3" s="0" t="n">
        <f aca="false">SUMIFS(C$2:C$1500,C$2:C$1500, "&gt;=0",I$2:I$1500, "&lt;30",I$2:I$1500,"&gt;=15")</f>
        <v>141.1</v>
      </c>
      <c r="W3" s="2" t="s">
        <v>36</v>
      </c>
      <c r="X3" s="0" t="n">
        <f aca="false">SUMIFS(C$2:C$1500,C$2:C$1500, "&gt;=0",J$2:J$1500, "&lt;-60",J$2:J$1500,"&gt;=-75",I$2:I$1500,"&lt;180")</f>
        <v>43.4</v>
      </c>
      <c r="Z3" s="0" t="n">
        <f aca="false">I3+0</f>
        <v>139.8</v>
      </c>
      <c r="AB3" s="0" t="n">
        <f aca="false">IF(Z3&gt;360,Z3-360,Z3+0)</f>
        <v>139.8</v>
      </c>
      <c r="AD3" s="1" t="n">
        <v>15</v>
      </c>
      <c r="AE3" s="1" t="n">
        <f aca="false">COUNTIF(AB$2:AB$1500,"&lt;30")-AE2</f>
        <v>39</v>
      </c>
      <c r="AF3" s="1"/>
      <c r="AG3" s="1" t="n">
        <v>15</v>
      </c>
      <c r="AH3" s="0" t="n">
        <f aca="false">SUMIFS(C$2:C$1500,C$2:C$1500, "&gt;=0",AB$2:AB$1500, "&lt;30",AB$2:AB$1500,"&gt;=15")</f>
        <v>141.1</v>
      </c>
      <c r="AJ3" s="1" t="s">
        <v>34</v>
      </c>
      <c r="AK3" s="0" t="n">
        <f aca="false">SUMIF($J$2:$J$2000,"&lt;-60",$C$2:$C$2000)-$AK$2</f>
        <v>81</v>
      </c>
      <c r="AM3" s="1" t="s">
        <v>37</v>
      </c>
      <c r="AN3" s="0" t="n">
        <f aca="false">AE3+AE12+AE15+AE24</f>
        <v>154</v>
      </c>
      <c r="AO3" s="1" t="s">
        <v>37</v>
      </c>
      <c r="AP3" s="0" t="n">
        <f aca="false">R10+R6</f>
        <v>159</v>
      </c>
      <c r="AR3" s="1" t="s">
        <v>37</v>
      </c>
      <c r="AS3" s="0" t="n">
        <f aca="false">AH3+AH12+AH15+AH24</f>
        <v>590.9</v>
      </c>
      <c r="AU3" s="0" t="n">
        <f aca="false">AK10+AK6</f>
        <v>557.9</v>
      </c>
    </row>
    <row r="4" customFormat="false" ht="15.8" hidden="false" customHeight="false" outlineLevel="0" collapsed="false">
      <c r="A4" s="1" t="n">
        <v>1</v>
      </c>
      <c r="B4" s="1" t="n">
        <v>3</v>
      </c>
      <c r="C4" s="1" t="n">
        <v>1.3</v>
      </c>
      <c r="D4" s="1" t="n">
        <v>1.0299</v>
      </c>
      <c r="E4" s="1" t="n">
        <v>0.284975</v>
      </c>
      <c r="F4" s="1" t="n">
        <v>0.00496869</v>
      </c>
      <c r="G4" s="1" t="s">
        <v>27</v>
      </c>
      <c r="H4" s="1" t="n">
        <v>68</v>
      </c>
      <c r="I4" s="1" t="n">
        <v>213.1</v>
      </c>
      <c r="J4" s="1" t="n">
        <v>0</v>
      </c>
      <c r="K4" s="1"/>
      <c r="L4" s="1" t="n">
        <v>0.1</v>
      </c>
      <c r="M4" s="1" t="n">
        <v>0.1</v>
      </c>
      <c r="N4" s="1" t="s">
        <v>33</v>
      </c>
      <c r="O4" s="1" t="n">
        <v>30</v>
      </c>
      <c r="P4" s="1" t="n">
        <f aca="false">COUNTIF(I$2:I$1500,"&lt;45")-SUM(P2:P3)</f>
        <v>28</v>
      </c>
      <c r="Q4" s="4" t="s">
        <v>38</v>
      </c>
      <c r="R4" s="1" t="n">
        <f aca="false">COUNTIF(J$2:J$1500,"&lt;-45")-SUM(R2:R3)</f>
        <v>35</v>
      </c>
      <c r="S4" s="2" t="s">
        <v>39</v>
      </c>
      <c r="T4" s="1" t="n">
        <f aca="false">COUNTIFS(J$2:J$1500, "&gt;45",I$2:I$1500, "&lt;180")-SUM(T2:T3)</f>
        <v>23</v>
      </c>
      <c r="U4" s="1" t="n">
        <v>30</v>
      </c>
      <c r="V4" s="0" t="n">
        <f aca="false">SUMIFS(C$2:C$1500,C$2:C$1500, "&gt;=0",I$2:I$1500, "&lt;45",I$2:I$1500,"&gt;=30")</f>
        <v>90.9</v>
      </c>
      <c r="W4" s="2" t="s">
        <v>40</v>
      </c>
      <c r="X4" s="0" t="n">
        <f aca="false">SUMIFS(C$2:C$1500,C$2:C$1500, "&gt;=0",J$2:J$1500, "&lt;-45",J$2:J$1500,"&gt;=-60",I$2:I$1500,"&lt;180")</f>
        <v>52.7</v>
      </c>
      <c r="Z4" s="0" t="n">
        <f aca="false">I4+0</f>
        <v>213.1</v>
      </c>
      <c r="AB4" s="0" t="n">
        <f aca="false">IF(Z4&gt;360,Z4-360,Z4+0)</f>
        <v>213.1</v>
      </c>
      <c r="AD4" s="1" t="n">
        <v>30</v>
      </c>
      <c r="AE4" s="1" t="n">
        <f aca="false">COUNTIF(AB$2:AB$1500,"&lt;45")-SUM(AE2:AE3)</f>
        <v>28</v>
      </c>
      <c r="AF4" s="1"/>
      <c r="AG4" s="1" t="n">
        <v>30</v>
      </c>
      <c r="AH4" s="0" t="n">
        <f aca="false">SUMIFS(C$2:C$1500,C$2:C$1500, "&gt;=0",AB$2:AB$1500, "&lt;45",AB$2:AB$1500,"&gt;=30")</f>
        <v>90.9</v>
      </c>
      <c r="AJ4" s="4" t="s">
        <v>38</v>
      </c>
      <c r="AK4" s="0" t="n">
        <f aca="false">SUMIF($J$2:$J$2000,"&lt;-45",$C$2:$C$2000)-SUM($AK$2:$AK$3)</f>
        <v>109.7</v>
      </c>
      <c r="AM4" s="1" t="s">
        <v>41</v>
      </c>
      <c r="AN4" s="0" t="n">
        <f aca="false">AE4+AE11+AE16+AE23</f>
        <v>103</v>
      </c>
      <c r="AO4" s="1" t="s">
        <v>41</v>
      </c>
      <c r="AP4" s="0" t="n">
        <f aca="false">R11+R5</f>
        <v>128</v>
      </c>
      <c r="AR4" s="1" t="s">
        <v>41</v>
      </c>
      <c r="AS4" s="0" t="n">
        <f aca="false">AH4+AH11+AH16+AH23</f>
        <v>290.5</v>
      </c>
      <c r="AU4" s="0" t="n">
        <f aca="false">AK11+AK5</f>
        <v>375.9</v>
      </c>
    </row>
    <row r="5" customFormat="false" ht="15.8" hidden="false" customHeight="false" outlineLevel="0" collapsed="false">
      <c r="A5" s="1" t="n">
        <v>1</v>
      </c>
      <c r="B5" s="1" t="n">
        <v>2</v>
      </c>
      <c r="C5" s="1" t="n">
        <v>2.6</v>
      </c>
      <c r="D5" s="1" t="n">
        <v>1.3431</v>
      </c>
      <c r="E5" s="1" t="n">
        <v>0.571236</v>
      </c>
      <c r="F5" s="1" t="n">
        <v>0.00995982</v>
      </c>
      <c r="G5" s="1" t="s">
        <v>42</v>
      </c>
      <c r="H5" s="1" t="n">
        <v>22.1</v>
      </c>
      <c r="I5" s="1" t="n">
        <v>151.2</v>
      </c>
      <c r="J5" s="1" t="n">
        <v>-37.1</v>
      </c>
      <c r="K5" s="1" t="n">
        <v>68</v>
      </c>
      <c r="L5" s="1" t="n">
        <v>0.1</v>
      </c>
      <c r="M5" s="1" t="n">
        <v>0.1</v>
      </c>
      <c r="N5" s="1" t="s">
        <v>28</v>
      </c>
      <c r="O5" s="1" t="n">
        <v>45</v>
      </c>
      <c r="P5" s="1" t="n">
        <f aca="false">COUNTIF(I$2:I$1500,"&lt;60")-SUM(P2:P4)</f>
        <v>16</v>
      </c>
      <c r="Q5" s="1" t="s">
        <v>43</v>
      </c>
      <c r="R5" s="1" t="n">
        <f aca="false">COUNTIF(J$2:J$1500,"&lt;-30")-SUM(R2:R4)</f>
        <v>73</v>
      </c>
      <c r="S5" s="2" t="s">
        <v>44</v>
      </c>
      <c r="T5" s="1" t="n">
        <f aca="false">COUNTIFS(J$2:J$1500, "&gt;30",I$2:I$1500, "&lt;180")-SUM(T2:T4)</f>
        <v>31</v>
      </c>
      <c r="U5" s="1" t="n">
        <v>45</v>
      </c>
      <c r="V5" s="0" t="n">
        <f aca="false">SUMIFS(C$2:C$1500,C$2:C$1500, "&gt;=0",I$2:I$1500, "&lt;60",I$2:I$1500,"&gt;=45")</f>
        <v>49.4</v>
      </c>
      <c r="W5" s="2" t="s">
        <v>45</v>
      </c>
      <c r="X5" s="0" t="n">
        <f aca="false">SUMIFS(C$2:C$1500,C$2:C$1500, "&gt;=0",J$2:J$1500, "&lt;-30",J$2:J$1500,"&gt;=-45",I$2:I$1500,"&lt;180")</f>
        <v>127.8</v>
      </c>
      <c r="Z5" s="0" t="n">
        <f aca="false">I5+0</f>
        <v>151.2</v>
      </c>
      <c r="AB5" s="0" t="n">
        <f aca="false">IF(Z5&gt;360,Z5-360,Z5+0)</f>
        <v>151.2</v>
      </c>
      <c r="AD5" s="1" t="n">
        <v>45</v>
      </c>
      <c r="AE5" s="1" t="n">
        <f aca="false">COUNTIF(AB$2:AB$1500,"&lt;60")-SUM(AE2:AE4)</f>
        <v>16</v>
      </c>
      <c r="AF5" s="1"/>
      <c r="AG5" s="1" t="n">
        <v>45</v>
      </c>
      <c r="AH5" s="0" t="n">
        <f aca="false">SUMIFS(C$2:C$1500,C$2:C$1500, "&gt;=0",AB$2:AB$1500, "&lt;60",AB$2:AB$1500,"&gt;=45")</f>
        <v>49.4</v>
      </c>
      <c r="AJ5" s="1" t="s">
        <v>43</v>
      </c>
      <c r="AK5" s="0" t="n">
        <f aca="false">SUMIF($J$2:$J$2000,"&lt;-30",$C$2:$C$2000)-SUM($AK$2:$AK$4)</f>
        <v>215.6</v>
      </c>
      <c r="AM5" s="1" t="s">
        <v>46</v>
      </c>
      <c r="AN5" s="0" t="n">
        <f aca="false">AE5+AE10+AE17+AE22</f>
        <v>81</v>
      </c>
      <c r="AO5" s="1" t="s">
        <v>46</v>
      </c>
      <c r="AP5" s="0" t="n">
        <f aca="false">R12+R4</f>
        <v>67</v>
      </c>
      <c r="AR5" s="1" t="s">
        <v>46</v>
      </c>
      <c r="AS5" s="0" t="n">
        <f aca="false">AH5+AH10+AH17+AH22</f>
        <v>203.9</v>
      </c>
      <c r="AU5" s="0" t="n">
        <f aca="false">AK12+AK4</f>
        <v>214.5</v>
      </c>
    </row>
    <row r="6" customFormat="false" ht="15.8" hidden="false" customHeight="false" outlineLevel="0" collapsed="false">
      <c r="A6" s="1" t="n">
        <v>1</v>
      </c>
      <c r="B6" s="1" t="n">
        <v>1</v>
      </c>
      <c r="C6" s="1" t="n">
        <v>10.2</v>
      </c>
      <c r="D6" s="1" t="n">
        <v>1.3428</v>
      </c>
      <c r="E6" s="1" t="n">
        <v>2.22633</v>
      </c>
      <c r="F6" s="1" t="n">
        <v>0.0388173</v>
      </c>
      <c r="G6" s="1" t="s">
        <v>42</v>
      </c>
      <c r="H6" s="1"/>
      <c r="I6" s="1" t="n">
        <v>151.3</v>
      </c>
      <c r="J6" s="1" t="n">
        <v>-14.9</v>
      </c>
      <c r="K6" s="1" t="n">
        <v>108.4</v>
      </c>
      <c r="L6" s="1" t="n">
        <v>0.1</v>
      </c>
      <c r="M6" s="1" t="n">
        <v>0.1</v>
      </c>
      <c r="N6" s="1" t="s">
        <v>47</v>
      </c>
      <c r="O6" s="1" t="n">
        <v>60</v>
      </c>
      <c r="P6" s="1" t="n">
        <f aca="false">COUNTIF(I$2:I$1500,"&lt;75")-SUM(P2:P5)</f>
        <v>11</v>
      </c>
      <c r="Q6" s="1" t="s">
        <v>48</v>
      </c>
      <c r="R6" s="1" t="n">
        <f aca="false">COUNTIF(J$2:J$1500,"&lt;-15")-SUM(R2:R5)</f>
        <v>94</v>
      </c>
      <c r="S6" s="2" t="s">
        <v>49</v>
      </c>
      <c r="T6" s="1" t="n">
        <f aca="false">COUNTIFS(J$2:J$1500, "&gt;15",I$2:I$1500, "&lt;180")-SUM(T2:T5)</f>
        <v>39</v>
      </c>
      <c r="U6" s="1" t="n">
        <v>60</v>
      </c>
      <c r="V6" s="0" t="n">
        <f aca="false">SUMIFS(C$2:C$1500,C$2:C$1500, "&gt;=0",I$2:I$1500, "&lt;75",I$2:I$1500,"&gt;=60")</f>
        <v>27.7</v>
      </c>
      <c r="W6" s="2" t="s">
        <v>50</v>
      </c>
      <c r="X6" s="0" t="n">
        <f aca="false">SUMIFS(C$2:C$1500,C$2:C$1500, "&gt;=0",J$2:J$1500, "&lt;-15",J$2:J$1500,"&gt;=-30",I$2:I$1500,"&lt;180")</f>
        <v>198.6</v>
      </c>
      <c r="Z6" s="0" t="n">
        <f aca="false">I6+0</f>
        <v>151.3</v>
      </c>
      <c r="AB6" s="0" t="n">
        <f aca="false">IF(Z6&gt;360,Z6-360,Z6+0)</f>
        <v>151.3</v>
      </c>
      <c r="AD6" s="1" t="n">
        <v>60</v>
      </c>
      <c r="AE6" s="1" t="n">
        <f aca="false">COUNTIF(AB$2:AB$1500,"&lt;75")-SUM(AE2:AE5)</f>
        <v>11</v>
      </c>
      <c r="AF6" s="1"/>
      <c r="AG6" s="1" t="n">
        <v>60</v>
      </c>
      <c r="AH6" s="0" t="n">
        <f aca="false">SUMIFS(C$2:C$1500,C$2:C$1500, "&gt;=0",AB$2:AB$1500, "&lt;75",AB$2:AB$1500,"&gt;=60")</f>
        <v>27.7</v>
      </c>
      <c r="AJ6" s="1" t="s">
        <v>48</v>
      </c>
      <c r="AK6" s="0" t="n">
        <f aca="false">SUMIF($J$2:$J$2000,"&lt;-15",$C$2:$C$2000)-SUM($AK$2:$AK$5)</f>
        <v>351.4</v>
      </c>
      <c r="AM6" s="1" t="s">
        <v>51</v>
      </c>
      <c r="AN6" s="0" t="n">
        <f aca="false">AE6+AE9+AE18+AE21</f>
        <v>68</v>
      </c>
      <c r="AO6" s="1" t="s">
        <v>51</v>
      </c>
      <c r="AP6" s="0" t="n">
        <f aca="false">R13+R3</f>
        <v>46</v>
      </c>
      <c r="AR6" s="1" t="s">
        <v>51</v>
      </c>
      <c r="AS6" s="0" t="n">
        <f aca="false">AH6+AH9+AH18+AH21</f>
        <v>154.6</v>
      </c>
      <c r="AU6" s="0" t="n">
        <f aca="false">AK13+AK3</f>
        <v>154</v>
      </c>
    </row>
    <row r="7" customFormat="false" ht="15.8" hidden="false" customHeight="false" outlineLevel="0" collapsed="false">
      <c r="A7" s="1" t="n">
        <v>2</v>
      </c>
      <c r="B7" s="1" t="n">
        <v>2</v>
      </c>
      <c r="C7" s="1" t="n">
        <v>2.7</v>
      </c>
      <c r="D7" s="1" t="n">
        <v>1.173</v>
      </c>
      <c r="E7" s="1" t="n">
        <v>0.597741</v>
      </c>
      <c r="F7" s="1" t="n">
        <v>0.0104219</v>
      </c>
      <c r="G7" s="1" t="s">
        <v>27</v>
      </c>
      <c r="H7" s="1" t="n">
        <v>34.1</v>
      </c>
      <c r="I7" s="1" t="n">
        <v>183.7</v>
      </c>
      <c r="J7" s="1" t="n">
        <v>-9.7</v>
      </c>
      <c r="K7" s="1"/>
      <c r="L7" s="1" t="n">
        <v>0.1</v>
      </c>
      <c r="M7" s="1" t="n">
        <v>0.1</v>
      </c>
      <c r="N7" s="1" t="s">
        <v>52</v>
      </c>
      <c r="O7" s="1" t="n">
        <v>75</v>
      </c>
      <c r="P7" s="1" t="n">
        <f aca="false">COUNTIF(I$2:I$1500,"&lt;90")-SUM(P2:P6)</f>
        <v>14</v>
      </c>
      <c r="Q7" s="1" t="s">
        <v>53</v>
      </c>
      <c r="R7" s="1" t="n">
        <f aca="false">COUNTIF(J$2:J$1500,"&lt;0")-SUM(R2:R6)</f>
        <v>61</v>
      </c>
      <c r="S7" s="2" t="s">
        <v>54</v>
      </c>
      <c r="T7" s="1" t="n">
        <f aca="false">COUNTIFS(J$2:J$1500, "&gt;0",I$2:I$1500, "&lt;180")-SUM(T2:T6)</f>
        <v>20</v>
      </c>
      <c r="U7" s="1" t="n">
        <v>75</v>
      </c>
      <c r="V7" s="0" t="n">
        <f aca="false">SUMIFS(C$2:C$1500,C$2:C$1500, "&gt;=0",I$2:I$1500, "&lt;90",I$2:I$1500,"&gt;=75")</f>
        <v>25.7</v>
      </c>
      <c r="W7" s="2" t="s">
        <v>55</v>
      </c>
      <c r="X7" s="0" t="n">
        <f aca="false">SUMIFS(C$2:C$1500,C$2:C$1500, "&gt;=0",J$2:J$1500, "&lt;0",J$2:J$1500,"&gt;=-15",I$2:I$1500,"&lt;180")</f>
        <v>205.9</v>
      </c>
      <c r="Z7" s="0" t="n">
        <f aca="false">I7+0</f>
        <v>183.7</v>
      </c>
      <c r="AB7" s="0" t="n">
        <f aca="false">IF(Z7&gt;360,Z7-360,Z7+0)</f>
        <v>183.7</v>
      </c>
      <c r="AD7" s="1" t="n">
        <v>75</v>
      </c>
      <c r="AE7" s="1" t="n">
        <f aca="false">COUNTIF(AB$2:AB$1500,"&lt;90")-SUM(AE2:AE6)</f>
        <v>14</v>
      </c>
      <c r="AF7" s="1"/>
      <c r="AG7" s="1" t="n">
        <v>75</v>
      </c>
      <c r="AH7" s="0" t="n">
        <f aca="false">SUMIFS(C$2:C$1500,C$2:C$1500, "&gt;=0",AB$2:AB$1500, "&lt;90",AB$2:AB$1500,"&gt;=75")</f>
        <v>25.7</v>
      </c>
      <c r="AJ7" s="1" t="s">
        <v>53</v>
      </c>
      <c r="AK7" s="0" t="n">
        <f aca="false">SUMIF($J$2:$J$2000,"&lt;0",$C$2:$C$2000)-SUM($AK$2:$AK$6)</f>
        <v>308</v>
      </c>
      <c r="AM7" s="1" t="s">
        <v>56</v>
      </c>
      <c r="AN7" s="0" t="n">
        <f aca="false">AE7+AE8+AE19+AE20</f>
        <v>55</v>
      </c>
      <c r="AO7" s="1" t="s">
        <v>56</v>
      </c>
      <c r="AP7" s="0" t="n">
        <f aca="false">R14+R2</f>
        <v>6</v>
      </c>
      <c r="AR7" s="1" t="s">
        <v>56</v>
      </c>
      <c r="AS7" s="0" t="n">
        <f aca="false">AH7+AH8+AH19+AH20</f>
        <v>108.9</v>
      </c>
      <c r="AU7" s="0" t="n">
        <f aca="false">AK14+AK2</f>
        <v>27</v>
      </c>
    </row>
    <row r="8" customFormat="false" ht="15.8" hidden="false" customHeight="false" outlineLevel="0" collapsed="false">
      <c r="A8" s="1" t="n">
        <v>2</v>
      </c>
      <c r="B8" s="1" t="n">
        <v>4</v>
      </c>
      <c r="C8" s="1" t="n">
        <v>1.3</v>
      </c>
      <c r="D8" s="1" t="n">
        <v>1.0368</v>
      </c>
      <c r="E8" s="1" t="n">
        <v>0.282502</v>
      </c>
      <c r="F8" s="1" t="n">
        <v>0.00492558</v>
      </c>
      <c r="G8" s="1" t="s">
        <v>27</v>
      </c>
      <c r="H8" s="1" t="n">
        <v>27.6</v>
      </c>
      <c r="I8" s="1" t="n">
        <v>176.8</v>
      </c>
      <c r="J8" s="1" t="n">
        <v>0</v>
      </c>
      <c r="K8" s="1"/>
      <c r="L8" s="1" t="n">
        <v>0.1</v>
      </c>
      <c r="M8" s="1" t="n">
        <v>0.1</v>
      </c>
      <c r="N8" s="1" t="s">
        <v>57</v>
      </c>
      <c r="O8" s="1" t="n">
        <v>90</v>
      </c>
      <c r="P8" s="1" t="n">
        <f aca="false">COUNTIF(I$2:I$1500,"&lt;105")-SUM(P2:P7)</f>
        <v>12</v>
      </c>
      <c r="Q8" s="0" t="s">
        <v>58</v>
      </c>
      <c r="R8" s="1" t="n">
        <f aca="false">COUNTIF(J$2:J$1500,"=0")</f>
        <v>127</v>
      </c>
      <c r="S8" s="2" t="s">
        <v>59</v>
      </c>
      <c r="T8" s="1" t="n">
        <f aca="false">COUNTIFS(J$2:J$1500, "&gt;-15",I$2:I$1500, "&lt;180")-SUM(T2:T7)</f>
        <v>90</v>
      </c>
      <c r="U8" s="1" t="n">
        <v>90</v>
      </c>
      <c r="V8" s="0" t="n">
        <f aca="false">SUMIFS(C$2:C$1500,C$2:C$1500, "&gt;=0",I$2:I$1500, "&lt;105",I$2:I$1500,"&gt;=90")</f>
        <v>23.8</v>
      </c>
      <c r="W8" s="2" t="s">
        <v>60</v>
      </c>
      <c r="X8" s="0" t="n">
        <f aca="false">SUMIFS(C$2:C$1500,C$2:C$1500, "&gt;=0",J$2:J$1500, "&lt;15",J$2:J$1500,"&gt;=0",I$2:I$1500,"&lt;180")</f>
        <v>183.3</v>
      </c>
      <c r="Z8" s="0" t="n">
        <f aca="false">I8+0</f>
        <v>176.8</v>
      </c>
      <c r="AB8" s="0" t="n">
        <f aca="false">IF(Z8&gt;360,Z8-360,Z8+0)</f>
        <v>176.8</v>
      </c>
      <c r="AD8" s="1" t="n">
        <v>90</v>
      </c>
      <c r="AE8" s="1" t="n">
        <f aca="false">COUNTIF(AB$2:AB$1500,"&lt;105")-SUM(AE2:AE7)</f>
        <v>12</v>
      </c>
      <c r="AF8" s="1"/>
      <c r="AG8" s="1" t="n">
        <v>90</v>
      </c>
      <c r="AH8" s="0" t="n">
        <f aca="false">SUMIFS(C$2:C$1500,C$2:C$1500, "&gt;=0",AB$2:AB$1500, "&lt;105",AB$2:AB$1500,"&gt;=90")</f>
        <v>23.8</v>
      </c>
      <c r="AJ8" s="0" t="s">
        <v>58</v>
      </c>
      <c r="AK8" s="0" t="n">
        <f aca="false">SUMIF($J$2:$J$2000,"=0",$C$2:$C$2000)</f>
        <v>216.1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4</v>
      </c>
      <c r="C9" s="1" t="n">
        <v>4.8</v>
      </c>
      <c r="D9" s="1" t="n">
        <v>1.3143</v>
      </c>
      <c r="E9" s="1" t="n">
        <v>1.0529</v>
      </c>
      <c r="F9" s="1" t="n">
        <v>0.018358</v>
      </c>
      <c r="G9" s="1" t="s">
        <v>27</v>
      </c>
      <c r="H9" s="1" t="n">
        <v>19.9</v>
      </c>
      <c r="I9" s="1" t="n">
        <v>156.1</v>
      </c>
      <c r="J9" s="1" t="n">
        <v>12.3</v>
      </c>
      <c r="K9" s="1"/>
      <c r="L9" s="1" t="n">
        <v>0.1</v>
      </c>
      <c r="M9" s="1" t="n">
        <v>0.1</v>
      </c>
      <c r="N9" s="1" t="s">
        <v>57</v>
      </c>
      <c r="O9" s="1" t="n">
        <v>105</v>
      </c>
      <c r="P9" s="1" t="n">
        <f aca="false">COUNTIF(I$2:I$1500,"&lt;120")-SUM(P2:P8)</f>
        <v>21</v>
      </c>
      <c r="Q9" s="1" t="s">
        <v>61</v>
      </c>
      <c r="R9" s="1" t="n">
        <f aca="false">COUNTIF(J$2:J$1500,"&lt;15")-SUM(R2:R8)</f>
        <v>41</v>
      </c>
      <c r="S9" s="2" t="s">
        <v>62</v>
      </c>
      <c r="T9" s="1" t="n">
        <f aca="false">COUNTIFS(J$2:J$1500, "&gt;-30",I$2:I$1500, "&lt;180")-SUM(T2:T8)</f>
        <v>46</v>
      </c>
      <c r="U9" s="1" t="n">
        <v>105</v>
      </c>
      <c r="V9" s="0" t="n">
        <f aca="false">SUMIFS(C$2:C$1500,C$2:C$1500, "&gt;=0",I$2:I$1500, "&lt;120",I$2:I$1500,"&gt;=105")</f>
        <v>58.7</v>
      </c>
      <c r="W9" s="2" t="s">
        <v>63</v>
      </c>
      <c r="X9" s="0" t="n">
        <f aca="false">SUMIFS(C$2:C$1500,C$2:C$1500, "&gt;=0",J$2:J$1500, "&lt;30",J$2:J$1500,"&gt;=15",I$2:I$1500,"&lt;180")</f>
        <v>135.5</v>
      </c>
      <c r="Z9" s="0" t="n">
        <f aca="false">I9+0</f>
        <v>156.1</v>
      </c>
      <c r="AB9" s="0" t="n">
        <f aca="false">IF(Z9&gt;360,Z9-360,Z9+0)</f>
        <v>156.1</v>
      </c>
      <c r="AD9" s="1" t="n">
        <v>105</v>
      </c>
      <c r="AE9" s="1" t="n">
        <f aca="false">COUNTIF(AB$2:AB$1500,"&lt;120")-SUM(AE2:AE8)</f>
        <v>21</v>
      </c>
      <c r="AF9" s="1"/>
      <c r="AG9" s="1" t="n">
        <v>105</v>
      </c>
      <c r="AH9" s="0" t="n">
        <f aca="false">SUMIFS(C$2:C$1500,C$2:C$1500, "&gt;=0",AB$2:AB$1500, "&lt;120",AB$2:AB$1500,"&gt;=105")</f>
        <v>58.7</v>
      </c>
      <c r="AJ9" s="1" t="s">
        <v>61</v>
      </c>
      <c r="AK9" s="0" t="n">
        <f aca="false">SUMIF($J$2:$J$2000,"&lt;15",$C$2:$C$2000)-SUM($AK$2:$AK$8)</f>
        <v>183.2</v>
      </c>
      <c r="AM9" s="1" t="s">
        <v>64</v>
      </c>
      <c r="AN9" s="0" t="n">
        <f aca="false">SUM(AN2:AN7)</f>
        <v>635</v>
      </c>
      <c r="AO9" s="1" t="s">
        <v>64</v>
      </c>
      <c r="AP9" s="0" t="n">
        <f aca="false">SUM(AP2:AP7)</f>
        <v>635</v>
      </c>
      <c r="AR9" s="1" t="s">
        <v>64</v>
      </c>
      <c r="AS9" s="0" t="n">
        <f aca="false">SUM(AS2:AS7)</f>
        <v>2036.6</v>
      </c>
      <c r="AT9" s="1" t="s">
        <v>64</v>
      </c>
      <c r="AU9" s="0" t="n">
        <f aca="false">SUM(AU2:AU7)</f>
        <v>2036.6</v>
      </c>
    </row>
    <row r="10" customFormat="false" ht="15.8" hidden="false" customHeight="false" outlineLevel="0" collapsed="false">
      <c r="A10" s="1" t="n">
        <v>2</v>
      </c>
      <c r="B10" s="1" t="n">
        <v>3</v>
      </c>
      <c r="C10" s="1" t="n">
        <v>5.1</v>
      </c>
      <c r="D10" s="1" t="n">
        <v>1.5103</v>
      </c>
      <c r="E10" s="1" t="n">
        <v>1.12397</v>
      </c>
      <c r="F10" s="1" t="n">
        <v>0.019597</v>
      </c>
      <c r="G10" s="1" t="s">
        <v>42</v>
      </c>
      <c r="H10" s="1" t="n">
        <v>7.1</v>
      </c>
      <c r="I10" s="1" t="n">
        <v>149.9</v>
      </c>
      <c r="J10" s="1" t="n">
        <v>-6.6</v>
      </c>
      <c r="K10" s="1" t="n">
        <v>27.6</v>
      </c>
      <c r="L10" s="1" t="n">
        <v>0.1</v>
      </c>
      <c r="M10" s="1" t="n">
        <v>0.1</v>
      </c>
      <c r="N10" s="1" t="s">
        <v>65</v>
      </c>
      <c r="O10" s="1" t="n">
        <v>120</v>
      </c>
      <c r="P10" s="1" t="n">
        <f aca="false">COUNTIF(I$2:I$1500,"&lt;135")-SUM(P2:P9)</f>
        <v>18</v>
      </c>
      <c r="Q10" s="1" t="s">
        <v>66</v>
      </c>
      <c r="R10" s="1" t="n">
        <f aca="false">COUNTIF(J$2:J$1500,"&lt;30")-SUM(R2:R9)</f>
        <v>65</v>
      </c>
      <c r="S10" s="2" t="s">
        <v>67</v>
      </c>
      <c r="T10" s="1" t="n">
        <f aca="false">COUNTIFS(J$2:J$1500, "&gt;-45",I$2:I$1500, "&lt;180")-SUM(T2:T9)</f>
        <v>41</v>
      </c>
      <c r="U10" s="1" t="n">
        <v>120</v>
      </c>
      <c r="V10" s="0" t="n">
        <f aca="false">SUMIFS(C$2:C$1500,C$2:C$1500, "&gt;=0",I$2:I$1500, "&lt;135",I$2:I$1500,"&gt;=120")</f>
        <v>39.7</v>
      </c>
      <c r="W10" s="2" t="s">
        <v>68</v>
      </c>
      <c r="X10" s="0" t="n">
        <f aca="false">SUMIFS(C$2:C$1500,C$2:C$1500, "&gt;=0",J$2:J$1500, "&lt;45",J$2:J$1500,"&gt;=30",I$2:I$1500,"&lt;180")</f>
        <v>98.9</v>
      </c>
      <c r="Z10" s="0" t="n">
        <f aca="false">I10+0</f>
        <v>149.9</v>
      </c>
      <c r="AB10" s="0" t="n">
        <f aca="false">IF(Z10&gt;360,Z10-360,Z10+0)</f>
        <v>149.9</v>
      </c>
      <c r="AD10" s="1" t="n">
        <v>120</v>
      </c>
      <c r="AE10" s="1" t="n">
        <f aca="false">COUNTIF(AB$2:AB$1500,"&lt;135")-SUM(AE2:AE9)</f>
        <v>18</v>
      </c>
      <c r="AF10" s="1"/>
      <c r="AG10" s="1" t="n">
        <v>120</v>
      </c>
      <c r="AH10" s="0" t="n">
        <f aca="false">SUMIFS(C$2:C$1500,C$2:C$1500, "&gt;=0",AB$2:AB$1500, "&lt;135",AB$2:AB$1500,"&gt;=120")</f>
        <v>39.7</v>
      </c>
      <c r="AJ10" s="1" t="s">
        <v>66</v>
      </c>
      <c r="AK10" s="0" t="n">
        <f aca="false">SUMIF($J$2:$J$2000,"&lt;30",$C$2:$C$2000)-SUM($AK$2:$AK$9)</f>
        <v>206.5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4</v>
      </c>
      <c r="C11" s="1" t="n">
        <v>1.1</v>
      </c>
      <c r="D11" s="1" t="n">
        <v>1.0218</v>
      </c>
      <c r="E11" s="1" t="n">
        <v>0.237316</v>
      </c>
      <c r="F11" s="1" t="n">
        <v>0.00413773</v>
      </c>
      <c r="G11" s="1" t="s">
        <v>27</v>
      </c>
      <c r="H11" s="1" t="n">
        <v>118.8</v>
      </c>
      <c r="I11" s="1" t="n">
        <v>40.6</v>
      </c>
      <c r="J11" s="1" t="n">
        <v>0</v>
      </c>
      <c r="K11" s="1"/>
      <c r="L11" s="1" t="n">
        <v>0.1</v>
      </c>
      <c r="M11" s="1" t="n">
        <v>0.1</v>
      </c>
      <c r="N11" s="1" t="s">
        <v>69</v>
      </c>
      <c r="O11" s="1" t="n">
        <v>135</v>
      </c>
      <c r="P11" s="1" t="n">
        <f aca="false">COUNTIF(I$2:I$1500,"&lt;150")-SUM(P2:P10)</f>
        <v>27</v>
      </c>
      <c r="Q11" s="1" t="s">
        <v>70</v>
      </c>
      <c r="R11" s="1" t="n">
        <f aca="false">COUNTIF(J$2:J$1500,"&lt;45")-SUM(R2:R10)</f>
        <v>55</v>
      </c>
      <c r="S11" s="2" t="s">
        <v>71</v>
      </c>
      <c r="T11" s="1" t="n">
        <f aca="false">COUNTIFS(J$2:J$1500, "&gt;-60",I$2:I$1500, "&lt;180")-SUM(T2:T10)</f>
        <v>18</v>
      </c>
      <c r="U11" s="1" t="n">
        <v>135</v>
      </c>
      <c r="V11" s="0" t="n">
        <f aca="false">SUMIFS(C$2:C$1500,C$2:C$1500, "&gt;=0",I$2:I$1500, "&lt;150",I$2:I$1500,"&gt;=135")</f>
        <v>85</v>
      </c>
      <c r="W11" s="2" t="s">
        <v>72</v>
      </c>
      <c r="X11" s="0" t="n">
        <f aca="false">SUMIFS(C$2:C$1500,C$2:C$1500, "&gt;=0",J$2:J$1500, "&lt;60",J$2:J$1500,"&gt;=45",I$2:I$1500,"&lt;180")</f>
        <v>74.3</v>
      </c>
      <c r="Z11" s="0" t="n">
        <f aca="false">I11+0</f>
        <v>40.6</v>
      </c>
      <c r="AB11" s="0" t="n">
        <f aca="false">IF(Z11&gt;360,Z11-360,Z11+0)</f>
        <v>40.6</v>
      </c>
      <c r="AD11" s="1" t="n">
        <v>135</v>
      </c>
      <c r="AE11" s="1" t="n">
        <f aca="false">COUNTIF(AB$2:AB$1500,"&lt;150")-SUM(AE2:AE10)</f>
        <v>27</v>
      </c>
      <c r="AF11" s="1"/>
      <c r="AG11" s="1" t="n">
        <v>135</v>
      </c>
      <c r="AH11" s="0" t="n">
        <f aca="false">SUMIFS(C$2:C$1500,C$2:C$1500, "&gt;=0",AB$2:AB$1500, "&lt;150",AB$2:AB$1500,"&gt;=135")</f>
        <v>85</v>
      </c>
      <c r="AJ11" s="1" t="s">
        <v>70</v>
      </c>
      <c r="AK11" s="0" t="n">
        <f aca="false">SUMIF($J$2:$J$2000,"&lt;45",$C$2:$C$2000)-SUM($AK$2:$AK$10)</f>
        <v>160.3</v>
      </c>
    </row>
    <row r="12" customFormat="false" ht="15.8" hidden="false" customHeight="false" outlineLevel="0" collapsed="false">
      <c r="A12" s="1" t="n">
        <v>2</v>
      </c>
      <c r="B12" s="1" t="n">
        <v>4</v>
      </c>
      <c r="C12" s="1" t="n">
        <v>4.4</v>
      </c>
      <c r="D12" s="1" t="n">
        <v>1.0737</v>
      </c>
      <c r="E12" s="1" t="n">
        <v>0.953937</v>
      </c>
      <c r="F12" s="1" t="n">
        <v>0.0166324</v>
      </c>
      <c r="G12" s="1" t="s">
        <v>27</v>
      </c>
      <c r="H12" s="1" t="n">
        <v>16.9</v>
      </c>
      <c r="I12" s="1" t="n">
        <v>162.8</v>
      </c>
      <c r="J12" s="1" t="n">
        <v>0</v>
      </c>
      <c r="K12" s="1"/>
      <c r="L12" s="1" t="n">
        <v>0.1</v>
      </c>
      <c r="M12" s="1" t="n">
        <v>0.1</v>
      </c>
      <c r="N12" s="1" t="s">
        <v>69</v>
      </c>
      <c r="O12" s="1" t="n">
        <v>150</v>
      </c>
      <c r="P12" s="1" t="n">
        <f aca="false">COUNTIF(I$2:I$1500,"&lt;165")-SUM(P2:P11)</f>
        <v>46</v>
      </c>
      <c r="Q12" s="1" t="s">
        <v>73</v>
      </c>
      <c r="R12" s="1" t="n">
        <f aca="false">COUNTIF(J$2:J$1500,"&lt;60")-SUM(R2:R11)</f>
        <v>32</v>
      </c>
      <c r="S12" s="2" t="s">
        <v>74</v>
      </c>
      <c r="T12" s="1" t="n">
        <f aca="false">COUNTIFS(J$2:J$1500, "&gt;-75",I$2:I$1500, "&lt;180")-SUM(T2:T11)</f>
        <v>10</v>
      </c>
      <c r="U12" s="1" t="n">
        <v>150</v>
      </c>
      <c r="V12" s="0" t="n">
        <f aca="false">SUMIFS(C$2:C$1500,C$2:C$1500, "&gt;=0",I$2:I$1500, "&lt;165",I$2:I$1500,"&gt;=150")</f>
        <v>205.1</v>
      </c>
      <c r="W12" s="2" t="s">
        <v>75</v>
      </c>
      <c r="X12" s="0" t="n">
        <f aca="false">SUMIFS(C$2:C$1500,C$2:C$1500, "&gt;=0",J$2:J$1500, "&lt;75",J$2:J$1500,"&gt;=60",I$2:I$1500,"&lt;180")</f>
        <v>29.9</v>
      </c>
      <c r="Z12" s="0" t="n">
        <f aca="false">I12+0</f>
        <v>162.8</v>
      </c>
      <c r="AB12" s="0" t="n">
        <f aca="false">IF(Z12&gt;360,Z12-360,Z12+0)</f>
        <v>162.8</v>
      </c>
      <c r="AD12" s="1" t="n">
        <v>150</v>
      </c>
      <c r="AE12" s="1" t="n">
        <f aca="false">COUNTIF(AB$2:AB$1500,"&lt;165")-SUM(AE2:AE11)</f>
        <v>46</v>
      </c>
      <c r="AF12" s="1"/>
      <c r="AG12" s="1" t="n">
        <v>150</v>
      </c>
      <c r="AH12" s="0" t="n">
        <f aca="false">SUMIFS(C$2:C$1500,C$2:C$1500, "&gt;=0",AB$2:AB$1500, "&lt;165",AB$2:AB$1500,"&gt;=150")</f>
        <v>205.1</v>
      </c>
      <c r="AJ12" s="1" t="s">
        <v>73</v>
      </c>
      <c r="AK12" s="0" t="n">
        <f aca="false">SUMIF($J$2:$J$2000,"&lt;60",$C$2:$C$2000)-SUM($AK$2:$AK$11)</f>
        <v>104.8</v>
      </c>
    </row>
    <row r="13" customFormat="false" ht="15.8" hidden="false" customHeight="false" outlineLevel="0" collapsed="false">
      <c r="A13" s="1" t="n">
        <v>2</v>
      </c>
      <c r="B13" s="1" t="n">
        <v>3</v>
      </c>
      <c r="C13" s="1" t="n">
        <v>3.5</v>
      </c>
      <c r="D13" s="1" t="n">
        <v>1.2751</v>
      </c>
      <c r="E13" s="1" t="n">
        <v>0.756353</v>
      </c>
      <c r="F13" s="1" t="n">
        <v>0.0131874</v>
      </c>
      <c r="G13" s="1" t="s">
        <v>42</v>
      </c>
      <c r="H13" s="1" t="n">
        <v>21.4</v>
      </c>
      <c r="I13" s="1" t="n">
        <v>160.8</v>
      </c>
      <c r="J13" s="1" t="n">
        <v>16.7</v>
      </c>
      <c r="K13" s="1" t="n">
        <v>118.8</v>
      </c>
      <c r="L13" s="1" t="n">
        <v>0.1</v>
      </c>
      <c r="M13" s="1" t="n">
        <v>0.1</v>
      </c>
      <c r="N13" s="1" t="s">
        <v>65</v>
      </c>
      <c r="O13" s="1" t="n">
        <v>165</v>
      </c>
      <c r="P13" s="1" t="n">
        <f aca="false">COUNTIF(I$2:I$1500,"&lt;180")-SUM(P2:P12)</f>
        <v>52</v>
      </c>
      <c r="Q13" s="1" t="s">
        <v>76</v>
      </c>
      <c r="R13" s="1" t="n">
        <f aca="false">COUNTIF(J$2:J$1500,"&lt;75")-SUM(R2:R12)</f>
        <v>19</v>
      </c>
      <c r="S13" s="2" t="s">
        <v>77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209.7</v>
      </c>
      <c r="W13" s="2" t="s">
        <v>78</v>
      </c>
      <c r="X13" s="0" t="n">
        <f aca="false">SUMIFS(C$2:C$1500,C$2:C$1500, "&gt;=0",J$2:J$1500, "&lt;90",J$2:J$1500,"&gt;=75",I$2:I$1500,"&lt;180")</f>
        <v>7.3</v>
      </c>
      <c r="Z13" s="0" t="n">
        <f aca="false">I13+0</f>
        <v>160.8</v>
      </c>
      <c r="AB13" s="0" t="n">
        <f aca="false">IF(Z13&gt;360,Z13-360,Z13+0)</f>
        <v>160.8</v>
      </c>
      <c r="AD13" s="1" t="n">
        <v>165</v>
      </c>
      <c r="AE13" s="1" t="n">
        <f aca="false">COUNTIF(AB$2:AB$1500,"&lt;180")-SUM(AE2:AE12)</f>
        <v>52</v>
      </c>
      <c r="AF13" s="1"/>
      <c r="AG13" s="1" t="n">
        <v>165</v>
      </c>
      <c r="AH13" s="0" t="n">
        <f aca="false">SUMIFS(C$2:C$1500,C$2:C$1500, "&gt;=0",AB$2:AB$1500, "&lt;180",AB$2:AB$1500,"&gt;=165")</f>
        <v>209.7</v>
      </c>
      <c r="AJ13" s="1" t="s">
        <v>76</v>
      </c>
      <c r="AK13" s="0" t="n">
        <f aca="false">SUMIF($J$2:$J$2000,"&lt;75",$C$2:$C$2000)-SUM($AK$2:$AK$12)</f>
        <v>73.0000000000005</v>
      </c>
    </row>
    <row r="14" customFormat="false" ht="15.8" hidden="false" customHeight="false" outlineLevel="0" collapsed="false">
      <c r="A14" s="1" t="n">
        <v>2</v>
      </c>
      <c r="B14" s="1" t="n">
        <v>2</v>
      </c>
      <c r="C14" s="1" t="n">
        <v>1.8</v>
      </c>
      <c r="D14" s="1" t="n">
        <v>1.1481</v>
      </c>
      <c r="E14" s="1" t="n">
        <v>0.401922</v>
      </c>
      <c r="F14" s="1" t="n">
        <v>0.00700773</v>
      </c>
      <c r="G14" s="1" t="s">
        <v>42</v>
      </c>
      <c r="H14" s="1" t="n">
        <v>3.5</v>
      </c>
      <c r="I14" s="1" t="n">
        <v>147.3</v>
      </c>
      <c r="J14" s="1" t="n">
        <v>0</v>
      </c>
      <c r="K14" s="1" t="n">
        <v>21.4</v>
      </c>
      <c r="L14" s="1" t="n">
        <v>0.1</v>
      </c>
      <c r="M14" s="1" t="n">
        <v>0.1</v>
      </c>
      <c r="N14" s="1" t="s">
        <v>52</v>
      </c>
      <c r="O14" s="1" t="n">
        <v>180</v>
      </c>
      <c r="P14" s="1" t="n">
        <f aca="false">COUNTIF(I$2:I$1500,"&lt;195")-SUM(P2:P13)</f>
        <v>42</v>
      </c>
      <c r="Q14" s="1" t="s">
        <v>79</v>
      </c>
      <c r="R14" s="1" t="n">
        <f aca="false">COUNTIF(J$2:J$1500,"&lt;=90")-SUM(R2:R13)</f>
        <v>4</v>
      </c>
      <c r="S14" s="2" t="s">
        <v>80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153.9</v>
      </c>
      <c r="W14" s="2" t="s">
        <v>81</v>
      </c>
      <c r="X14" s="0" t="n">
        <f aca="false">SUMIFS(C$2:C$1500,C$2:C$1500, "&gt;=0",J$2:J$1500, "&lt;90",J$2:J$1500,"&gt;=75",I$2:I$1500,"&gt;=180")</f>
        <v>7.5</v>
      </c>
      <c r="Z14" s="0" t="n">
        <f aca="false">I14+0</f>
        <v>147.3</v>
      </c>
      <c r="AB14" s="0" t="n">
        <f aca="false">IF(Z14&gt;360,Z14-360,Z14+0)</f>
        <v>147.3</v>
      </c>
      <c r="AD14" s="1" t="n">
        <v>180</v>
      </c>
      <c r="AE14" s="1" t="n">
        <f aca="false">COUNTIF(AB$2:AB$1500,"&lt;195")-SUM(AE2:AE13)</f>
        <v>42</v>
      </c>
      <c r="AF14" s="1"/>
      <c r="AG14" s="1" t="n">
        <v>180</v>
      </c>
      <c r="AH14" s="0" t="n">
        <f aca="false">SUMIFS(C$2:C$1500,C$2:C$1500, "&gt;=0",AB$2:AB$1500, "&lt;195",AB$2:AB$1500,"&gt;=180")</f>
        <v>153.9</v>
      </c>
      <c r="AJ14" s="1" t="s">
        <v>79</v>
      </c>
      <c r="AK14" s="0" t="n">
        <f aca="false">SUMIF($J$2:$J$2000,"&lt;90",$C$2:$C$2000)-SUM($AK$2:$AK$13)</f>
        <v>14.8</v>
      </c>
    </row>
    <row r="15" customFormat="false" ht="15.8" hidden="false" customHeight="false" outlineLevel="0" collapsed="false">
      <c r="A15" s="1" t="n">
        <v>2</v>
      </c>
      <c r="B15" s="1" t="n">
        <v>1</v>
      </c>
      <c r="C15" s="1" t="n">
        <v>1.6</v>
      </c>
      <c r="D15" s="1" t="n">
        <v>1.016</v>
      </c>
      <c r="E15" s="1" t="n">
        <v>0.35748</v>
      </c>
      <c r="F15" s="1" t="n">
        <v>0.00623285</v>
      </c>
      <c r="G15" s="1" t="s">
        <v>42</v>
      </c>
      <c r="H15" s="1"/>
      <c r="I15" s="1" t="n">
        <v>150.9</v>
      </c>
      <c r="J15" s="1" t="n">
        <v>0</v>
      </c>
      <c r="K15" s="1" t="n">
        <v>34.1</v>
      </c>
      <c r="L15" s="1" t="n">
        <v>0.1</v>
      </c>
      <c r="M15" s="1" t="n">
        <v>0.1</v>
      </c>
      <c r="N15" s="1" t="s">
        <v>82</v>
      </c>
      <c r="O15" s="1" t="n">
        <v>195</v>
      </c>
      <c r="P15" s="1" t="n">
        <f aca="false">COUNTIF(I$2:I$1500,"&lt;210")-SUM(P2:P14)</f>
        <v>34</v>
      </c>
      <c r="R15" s="1"/>
      <c r="S15" s="2" t="s">
        <v>83</v>
      </c>
      <c r="T15" s="1" t="n">
        <f aca="false">COUNTIFS(J$2:J$1500, "&gt;-75",I$2:I$1500, "&gt;=180")-SUM(T16:T25)</f>
        <v>17</v>
      </c>
      <c r="U15" s="1" t="n">
        <v>195</v>
      </c>
      <c r="V15" s="0" t="n">
        <f aca="false">SUMIFS(C$2:C$1500,C$2:C$1500, "&gt;=0",I$2:I$1500, "&lt;210",I$2:I$1500,"&gt;=195")</f>
        <v>134.8</v>
      </c>
      <c r="W15" s="2" t="s">
        <v>84</v>
      </c>
      <c r="X15" s="0" t="n">
        <f aca="false">SUMIFS(C$2:C$1500,C$2:C$1500, "&gt;=0",J$2:J$1500, "&lt;75",J$2:J$1500,"&gt;=60",I$2:I$1500,"&gt;=180")</f>
        <v>43.1</v>
      </c>
      <c r="Z15" s="0" t="n">
        <f aca="false">I15+0</f>
        <v>150.9</v>
      </c>
      <c r="AB15" s="0" t="n">
        <f aca="false">IF(Z15&gt;360,Z15-360,Z15+0)</f>
        <v>150.9</v>
      </c>
      <c r="AD15" s="1" t="n">
        <v>195</v>
      </c>
      <c r="AE15" s="1" t="n">
        <f aca="false">COUNTIF(AB$2:AB$1500,"&lt;210")-SUM(AE2:AE14)</f>
        <v>34</v>
      </c>
      <c r="AF15" s="1"/>
      <c r="AG15" s="1" t="n">
        <v>195</v>
      </c>
      <c r="AH15" s="0" t="n">
        <f aca="false">SUMIFS(C$2:C$1500,C$2:C$1500, "&gt;=0",AB$2:AB$1500, "&lt;210",AB$2:AB$1500,"&gt;=195")</f>
        <v>134.8</v>
      </c>
    </row>
    <row r="16" customFormat="false" ht="15.8" hidden="false" customHeight="false" outlineLevel="0" collapsed="false">
      <c r="A16" s="1" t="n">
        <v>3</v>
      </c>
      <c r="B16" s="1" t="n">
        <v>3</v>
      </c>
      <c r="C16" s="1" t="n">
        <v>1</v>
      </c>
      <c r="D16" s="1" t="n">
        <v>1.1145</v>
      </c>
      <c r="E16" s="1" t="n">
        <v>0.0374499</v>
      </c>
      <c r="F16" s="1" t="n">
        <v>0.000107644</v>
      </c>
      <c r="G16" s="1" t="s">
        <v>27</v>
      </c>
      <c r="H16" s="1" t="n">
        <v>43.7</v>
      </c>
      <c r="I16" s="1" t="n">
        <v>33</v>
      </c>
      <c r="J16" s="1" t="n">
        <v>-57</v>
      </c>
      <c r="K16" s="1"/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25</v>
      </c>
      <c r="S16" s="2" t="s">
        <v>86</v>
      </c>
      <c r="T16" s="1" t="n">
        <f aca="false">COUNTIFS(J$2:J$1500, "&gt;-60",I$2:I$1500, "&gt;=180")-SUM(T17:T25)</f>
        <v>17</v>
      </c>
      <c r="U16" s="1" t="n">
        <v>210</v>
      </c>
      <c r="V16" s="0" t="n">
        <f aca="false">SUMIFS(C$2:C$1500,C$2:C$1500, "&gt;=0",I$2:I$1500, "&lt;225",I$2:I$1500,"&gt;=210")</f>
        <v>68.7</v>
      </c>
      <c r="W16" s="2" t="s">
        <v>87</v>
      </c>
      <c r="X16" s="0" t="n">
        <f aca="false">SUMIFS(C$2:C$1500,C$2:C$1500, "&gt;=0",J$2:J$1500, "&lt;60",J$2:J$1500,"&gt;=45",I$2:I$1500,"&gt;=180")</f>
        <v>30.5</v>
      </c>
      <c r="Z16" s="0" t="n">
        <f aca="false">I16+0</f>
        <v>33</v>
      </c>
      <c r="AB16" s="0" t="n">
        <f aca="false">IF(Z16&gt;360,Z16-360,Z16+0)</f>
        <v>33</v>
      </c>
      <c r="AD16" s="1" t="n">
        <v>210</v>
      </c>
      <c r="AE16" s="1" t="n">
        <f aca="false">COUNTIF(AB$2:AB$1500,"&lt;225")-SUM(AE2:AE15)</f>
        <v>25</v>
      </c>
      <c r="AF16" s="1"/>
      <c r="AG16" s="1" t="n">
        <v>210</v>
      </c>
      <c r="AH16" s="0" t="n">
        <f aca="false">SUMIFS(C$2:C$1500,C$2:C$1500, "&gt;=0",AB$2:AB$1500, "&lt;225",AB$2:AB$1500,"&gt;=210")</f>
        <v>68.7</v>
      </c>
    </row>
    <row r="17" customFormat="false" ht="15.8" hidden="false" customHeight="false" outlineLevel="0" collapsed="false">
      <c r="A17" s="1" t="n">
        <v>3</v>
      </c>
      <c r="B17" s="1" t="n">
        <v>3</v>
      </c>
      <c r="C17" s="1" t="n">
        <v>1.7</v>
      </c>
      <c r="D17" s="1" t="n">
        <v>1.0225</v>
      </c>
      <c r="E17" s="1" t="n">
        <v>0.0599539</v>
      </c>
      <c r="F17" s="1" t="n">
        <v>0.000172328</v>
      </c>
      <c r="G17" s="1" t="s">
        <v>27</v>
      </c>
      <c r="H17" s="1" t="n">
        <v>24.9</v>
      </c>
      <c r="I17" s="1" t="n">
        <v>230.2</v>
      </c>
      <c r="J17" s="1" t="n">
        <v>-73.9</v>
      </c>
      <c r="K17" s="1"/>
      <c r="L17" s="1" t="n">
        <v>0</v>
      </c>
      <c r="M17" s="1" t="n">
        <v>0</v>
      </c>
      <c r="N17" s="1" t="s">
        <v>85</v>
      </c>
      <c r="O17" s="1" t="n">
        <v>225</v>
      </c>
      <c r="P17" s="1" t="n">
        <f aca="false">COUNTIF(I$2:I$1500,"&lt;240")-SUM(P2:P16)</f>
        <v>23</v>
      </c>
      <c r="S17" s="2" t="s">
        <v>88</v>
      </c>
      <c r="T17" s="1" t="n">
        <f aca="false">COUNTIFS(J$2:J$1500, "&gt;-45",I$2:I$1500, "&gt;=180")-SUM(T18:T25)</f>
        <v>33</v>
      </c>
      <c r="U17" s="1" t="n">
        <v>225</v>
      </c>
      <c r="V17" s="0" t="n">
        <f aca="false">SUMIFS(C$2:C$1500,C$2:C$1500, "&gt;=0",I$2:I$1500, "&lt;240",I$2:I$1500,"&gt;=225")</f>
        <v>65</v>
      </c>
      <c r="W17" s="2" t="s">
        <v>89</v>
      </c>
      <c r="X17" s="0" t="n">
        <f aca="false">SUMIFS(C$2:C$1500,C$2:C$1500, "&gt;=0",J$2:J$1500, "&lt;45",J$2:J$1500,"&gt;=30",I$2:I$1500,"&gt;=180")</f>
        <v>61.4</v>
      </c>
      <c r="Z17" s="0" t="n">
        <f aca="false">I17+0</f>
        <v>230.2</v>
      </c>
      <c r="AB17" s="0" t="n">
        <f aca="false">IF(Z17&gt;360,Z17-360,Z17+0)</f>
        <v>230.2</v>
      </c>
      <c r="AD17" s="1" t="n">
        <v>225</v>
      </c>
      <c r="AE17" s="1" t="n">
        <f aca="false">COUNTIF(AB$2:AB$1500,"&lt;240")-SUM(AE2:AE16)</f>
        <v>23</v>
      </c>
      <c r="AF17" s="1"/>
      <c r="AG17" s="1" t="n">
        <v>225</v>
      </c>
      <c r="AH17" s="0" t="n">
        <f aca="false">SUMIFS(C$2:C$1500,C$2:C$1500, "&gt;=0",AB$2:AB$1500, "&lt;240",AB$2:AB$1500,"&gt;=225")</f>
        <v>65</v>
      </c>
    </row>
    <row r="18" customFormat="false" ht="15.8" hidden="false" customHeight="false" outlineLevel="0" collapsed="false">
      <c r="A18" s="1" t="n">
        <v>3</v>
      </c>
      <c r="B18" s="1" t="n">
        <v>2</v>
      </c>
      <c r="C18" s="1" t="n">
        <v>6.4</v>
      </c>
      <c r="D18" s="1" t="n">
        <v>1.1267</v>
      </c>
      <c r="E18" s="1" t="n">
        <v>0.231057</v>
      </c>
      <c r="F18" s="1" t="n">
        <v>0.000664135</v>
      </c>
      <c r="G18" s="1" t="s">
        <v>42</v>
      </c>
      <c r="H18" s="1" t="n">
        <v>52.6</v>
      </c>
      <c r="I18" s="1" t="n">
        <v>297</v>
      </c>
      <c r="J18" s="1" t="n">
        <v>-63.2</v>
      </c>
      <c r="K18" s="1" t="n">
        <v>43.7</v>
      </c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19</v>
      </c>
      <c r="S18" s="2" t="s">
        <v>91</v>
      </c>
      <c r="T18" s="1" t="n">
        <f aca="false">COUNTIFS(J$2:J$1500, "&gt;-30",I$2:I$1500, "&gt;=180")-SUM(T19:T25)</f>
        <v>51</v>
      </c>
      <c r="U18" s="1" t="n">
        <v>240</v>
      </c>
      <c r="V18" s="0" t="n">
        <f aca="false">SUMIFS(C$2:C$1500,C$2:C$1500, "&gt;=0",I$2:I$1500, "&lt;255",I$2:I$1500,"&gt;=240")</f>
        <v>34.2</v>
      </c>
      <c r="W18" s="2" t="s">
        <v>92</v>
      </c>
      <c r="X18" s="0" t="n">
        <f aca="false">SUMIFS(C$2:C$1500,C$2:C$1500, "&gt;=0",J$2:J$1500, "&lt;30",J$2:J$1500,"&gt;=15",I$2:I$1500,"&gt;=180")</f>
        <v>71</v>
      </c>
      <c r="Z18" s="0" t="n">
        <f aca="false">I18+0</f>
        <v>297</v>
      </c>
      <c r="AB18" s="0" t="n">
        <f aca="false">IF(Z18&gt;360,Z18-360,Z18+0)</f>
        <v>297</v>
      </c>
      <c r="AD18" s="1" t="n">
        <v>240</v>
      </c>
      <c r="AE18" s="1" t="n">
        <f aca="false">COUNTIF(AB$2:AB$1500,"&lt;255")-SUM(AE2:AE17)</f>
        <v>19</v>
      </c>
      <c r="AF18" s="1"/>
      <c r="AG18" s="1" t="n">
        <v>240</v>
      </c>
      <c r="AH18" s="0" t="n">
        <f aca="false">SUMIFS(C$2:C$1500,C$2:C$1500, "&gt;=0",AB$2:AB$1500, "&lt;255",AB$2:AB$1500,"&gt;=240")</f>
        <v>34.2</v>
      </c>
    </row>
    <row r="19" customFormat="false" ht="15.8" hidden="false" customHeight="false" outlineLevel="0" collapsed="false">
      <c r="A19" s="1" t="n">
        <v>3</v>
      </c>
      <c r="B19" s="1" t="n">
        <v>2</v>
      </c>
      <c r="C19" s="1" t="n">
        <v>1.3</v>
      </c>
      <c r="D19" s="1" t="n">
        <v>1.1934</v>
      </c>
      <c r="E19" s="1" t="n">
        <v>0.046918</v>
      </c>
      <c r="F19" s="1" t="n">
        <v>0.000134858</v>
      </c>
      <c r="G19" s="1" t="s">
        <v>27</v>
      </c>
      <c r="H19" s="1" t="n">
        <v>89.4</v>
      </c>
      <c r="I19" s="1" t="n">
        <v>54.9</v>
      </c>
      <c r="J19" s="1" t="n">
        <v>45.8</v>
      </c>
      <c r="K19" s="1"/>
      <c r="L19" s="1" t="n">
        <v>0</v>
      </c>
      <c r="M19" s="1" t="n">
        <v>0</v>
      </c>
      <c r="N19" s="1" t="s">
        <v>90</v>
      </c>
      <c r="O19" s="1" t="n">
        <v>255</v>
      </c>
      <c r="P19" s="1" t="n">
        <f aca="false">COUNTIF(I$2:I$1500,"&lt;270")-SUM(P2:P18)</f>
        <v>13</v>
      </c>
      <c r="S19" s="2" t="s">
        <v>93</v>
      </c>
      <c r="T19" s="1" t="n">
        <f aca="false">COUNTIFS(J$2:J$1500, "&gt;-15",I$2:I$1500, "&gt;=180")-SUM(T20:T25)</f>
        <v>94</v>
      </c>
      <c r="U19" s="1" t="n">
        <v>255</v>
      </c>
      <c r="V19" s="0" t="n">
        <f aca="false">SUMIFS(C$2:C$1500,C$2:C$1500, "&gt;=0",I$2:I$1500, "&lt;270",I$2:I$1500,"&gt;=255")</f>
        <v>28.3</v>
      </c>
      <c r="W19" s="2" t="s">
        <v>94</v>
      </c>
      <c r="X19" s="0" t="n">
        <f aca="false">SUMIFS(C$2:C$1500,C$2:C$1500, "&gt;=0",J$2:J$1500, "&lt;15",J$2:J$1500,"&gt;=0",I$2:I$1500,"&gt;=180")</f>
        <v>216</v>
      </c>
      <c r="Z19" s="0" t="n">
        <f aca="false">I19+0</f>
        <v>54.9</v>
      </c>
      <c r="AB19" s="0" t="n">
        <f aca="false">IF(Z19&gt;360,Z19-360,Z19+0)</f>
        <v>54.9</v>
      </c>
      <c r="AD19" s="1" t="n">
        <v>255</v>
      </c>
      <c r="AE19" s="1" t="n">
        <f aca="false">COUNTIF(AB$2:AB$1500,"&lt;270")-SUM(AE2:AE18)</f>
        <v>13</v>
      </c>
      <c r="AF19" s="1"/>
      <c r="AG19" s="1" t="n">
        <v>255</v>
      </c>
      <c r="AH19" s="0" t="n">
        <f aca="false">SUMIFS(C$2:C$1500,C$2:C$1500, "&gt;=0",AB$2:AB$1500, "&lt;270",AB$2:AB$1500,"&gt;=255")</f>
        <v>28.3</v>
      </c>
    </row>
    <row r="20" customFormat="false" ht="15.8" hidden="false" customHeight="false" outlineLevel="0" collapsed="false">
      <c r="A20" s="1" t="n">
        <v>3</v>
      </c>
      <c r="B20" s="1" t="n">
        <v>1</v>
      </c>
      <c r="C20" s="1" t="n">
        <v>3</v>
      </c>
      <c r="D20" s="1" t="n">
        <v>1.2673</v>
      </c>
      <c r="E20" s="1" t="n">
        <v>0.108852</v>
      </c>
      <c r="F20" s="1" t="n">
        <v>0.000312876</v>
      </c>
      <c r="G20" s="1" t="s">
        <v>42</v>
      </c>
      <c r="H20" s="1"/>
      <c r="I20" s="1" t="n">
        <v>1.6</v>
      </c>
      <c r="J20" s="1" t="n">
        <v>-29.5</v>
      </c>
      <c r="K20" s="1" t="n">
        <v>89.4</v>
      </c>
      <c r="L20" s="1" t="n">
        <v>0</v>
      </c>
      <c r="M20" s="1" t="n">
        <v>0</v>
      </c>
      <c r="N20" s="1" t="s">
        <v>95</v>
      </c>
      <c r="O20" s="1" t="n">
        <v>270</v>
      </c>
      <c r="P20" s="1" t="n">
        <f aca="false">COUNTIF(I$2:I$1500,"&lt;285")-SUM(P2:P19)</f>
        <v>16</v>
      </c>
      <c r="S20" s="2" t="s">
        <v>96</v>
      </c>
      <c r="T20" s="1" t="n">
        <f aca="false">COUNTIFS(J$2:J$1500, "&gt;0",I$2:I$1500, "&gt;=180")-SUM(T21:T25)</f>
        <v>21</v>
      </c>
      <c r="U20" s="1" t="n">
        <v>270</v>
      </c>
      <c r="V20" s="0" t="n">
        <f aca="false">SUMIFS(C$2:C$1500,C$2:C$1500, "&gt;=0",I$2:I$1500, "&lt;285",I$2:I$1500,"&gt;=270")</f>
        <v>31.1</v>
      </c>
      <c r="W20" s="2" t="s">
        <v>97</v>
      </c>
      <c r="X20" s="0" t="n">
        <f aca="false">SUMIFS(C$2:C$1500,C$2:C$1500, "&gt;=0",J$2:J$1500, "&lt;0",J$2:J$1500,"&gt;=-15",I$2:I$1500,"&gt;=180")</f>
        <v>102.1</v>
      </c>
      <c r="Z20" s="0" t="n">
        <f aca="false">I20+0</f>
        <v>1.6</v>
      </c>
      <c r="AB20" s="0" t="n">
        <f aca="false">IF(Z20&gt;360,Z20-360,Z20+0)</f>
        <v>1.6</v>
      </c>
      <c r="AD20" s="1" t="n">
        <v>270</v>
      </c>
      <c r="AE20" s="1" t="n">
        <f aca="false">COUNTIF(AB$2:AB$1500,"&lt;285")-SUM(AE2:AE19)</f>
        <v>16</v>
      </c>
      <c r="AF20" s="1"/>
      <c r="AG20" s="1" t="n">
        <v>270</v>
      </c>
      <c r="AH20" s="0" t="n">
        <f aca="false">SUMIFS(C$2:C$1500,C$2:C$1500, "&gt;=0",AB$2:AB$1500, "&lt;285",AB$2:AB$1500,"&gt;=270")</f>
        <v>31.1</v>
      </c>
    </row>
    <row r="21" customFormat="false" ht="15.8" hidden="false" customHeight="false" outlineLevel="0" collapsed="false">
      <c r="A21" s="1" t="n">
        <v>4</v>
      </c>
      <c r="B21" s="1" t="n">
        <v>7</v>
      </c>
      <c r="C21" s="1" t="n">
        <v>2.4</v>
      </c>
      <c r="D21" s="1" t="n">
        <v>1.4029</v>
      </c>
      <c r="E21" s="1" t="n">
        <v>0.0850432</v>
      </c>
      <c r="F21" s="1" t="n">
        <v>0.000244442</v>
      </c>
      <c r="G21" s="1" t="s">
        <v>27</v>
      </c>
      <c r="H21" s="1" t="n">
        <v>114.5</v>
      </c>
      <c r="I21" s="1" t="n">
        <v>190.7</v>
      </c>
      <c r="J21" s="1" t="n">
        <v>27.7</v>
      </c>
      <c r="K21" s="1"/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17</v>
      </c>
      <c r="S21" s="2" t="s">
        <v>99</v>
      </c>
      <c r="T21" s="1" t="n">
        <f aca="false">COUNTIFS(J$2:J$1500, "&gt;15",I$2:I$1500, "&gt;=180")-SUM(T22:T25)</f>
        <v>27</v>
      </c>
      <c r="U21" s="1" t="n">
        <v>285</v>
      </c>
      <c r="V21" s="0" t="n">
        <f aca="false">SUMIFS(C$2:C$1500,C$2:C$1500, "&gt;=0",I$2:I$1500, "&lt;300",I$2:I$1500,"&gt;=285")</f>
        <v>34</v>
      </c>
      <c r="W21" s="2" t="s">
        <v>100</v>
      </c>
      <c r="X21" s="0" t="n">
        <f aca="false">SUMIFS(C$2:C$1500,C$2:C$1500, "&gt;=0",J$2:J$1500, "&lt;-15",J$2:J$1500,"&gt;=-30",I$2:I$1500,"&gt;=180")</f>
        <v>152.8</v>
      </c>
      <c r="Z21" s="0" t="n">
        <f aca="false">I21+0</f>
        <v>190.7</v>
      </c>
      <c r="AB21" s="0" t="n">
        <f aca="false">IF(Z21&gt;360,Z21-360,Z21+0)</f>
        <v>190.7</v>
      </c>
      <c r="AD21" s="1" t="n">
        <v>285</v>
      </c>
      <c r="AE21" s="1" t="n">
        <f aca="false">COUNTIF(AB$2:AB$1500,"&lt;300")-SUM(AE2:AE20)</f>
        <v>17</v>
      </c>
      <c r="AF21" s="1"/>
      <c r="AG21" s="1" t="n">
        <v>285</v>
      </c>
      <c r="AH21" s="0" t="n">
        <f aca="false">SUMIFS(C$2:C$1500,C$2:C$1500, "&gt;=0",AB$2:AB$1500, "&lt;300",AB$2:AB$1500,"&gt;=285")</f>
        <v>34</v>
      </c>
    </row>
    <row r="22" customFormat="false" ht="15.8" hidden="false" customHeight="false" outlineLevel="0" collapsed="false">
      <c r="A22" s="1" t="n">
        <v>4</v>
      </c>
      <c r="B22" s="1" t="n">
        <v>7</v>
      </c>
      <c r="C22" s="1" t="n">
        <v>1.3</v>
      </c>
      <c r="D22" s="1" t="n">
        <v>1.2143</v>
      </c>
      <c r="E22" s="1" t="n">
        <v>0.0455614</v>
      </c>
      <c r="F22" s="1" t="n">
        <v>0.000130959</v>
      </c>
      <c r="G22" s="1" t="s">
        <v>27</v>
      </c>
      <c r="H22" s="1" t="n">
        <v>85.8</v>
      </c>
      <c r="I22" s="1" t="n">
        <v>129.6</v>
      </c>
      <c r="J22" s="1" t="n">
        <v>48.7</v>
      </c>
      <c r="K22" s="1"/>
      <c r="L22" s="1" t="n">
        <v>0</v>
      </c>
      <c r="M22" s="1" t="n">
        <v>0</v>
      </c>
      <c r="N22" s="1" t="s">
        <v>98</v>
      </c>
      <c r="O22" s="1" t="n">
        <v>300</v>
      </c>
      <c r="P22" s="1" t="n">
        <f aca="false">COUNTIF(I$2:I$1500,"&lt;315")-SUM(P2:P21)</f>
        <v>24</v>
      </c>
      <c r="S22" s="2" t="s">
        <v>101</v>
      </c>
      <c r="T22" s="1" t="n">
        <f aca="false">COUNTIFS(J$2:J$1500, "&gt;30",I$2:I$1500, "&gt;=180")-SUM(T23:T25)</f>
        <v>23</v>
      </c>
      <c r="U22" s="1" t="n">
        <v>300</v>
      </c>
      <c r="V22" s="0" t="n">
        <f aca="false">SUMIFS(C$2:C$1500,C$2:C$1500, "&gt;=0",I$2:I$1500, "&lt;315",I$2:I$1500,"&gt;=300")</f>
        <v>49.8</v>
      </c>
      <c r="W22" s="2" t="s">
        <v>102</v>
      </c>
      <c r="X22" s="0" t="n">
        <f aca="false">SUMIFS(C$2:C$1500,C$2:C$1500, "&gt;=0",J$2:J$1500, "&lt;-30",J$2:J$1500,"&gt;=-45",I$2:I$1500,"&gt;=180")</f>
        <v>87.8</v>
      </c>
      <c r="Z22" s="0" t="n">
        <f aca="false">I22+0</f>
        <v>129.6</v>
      </c>
      <c r="AB22" s="0" t="n">
        <f aca="false">IF(Z22&gt;360,Z22-360,Z22+0)</f>
        <v>129.6</v>
      </c>
      <c r="AD22" s="1" t="n">
        <v>300</v>
      </c>
      <c r="AE22" s="1" t="n">
        <f aca="false">COUNTIF(AB$2:AB$1500,"&lt;315")-SUM(AE2:AE21)</f>
        <v>24</v>
      </c>
      <c r="AF22" s="1"/>
      <c r="AG22" s="1" t="n">
        <v>300</v>
      </c>
      <c r="AH22" s="0" t="n">
        <f aca="false">SUMIFS(C$2:C$1500,C$2:C$1500, "&gt;=0",AB$2:AB$1500, "&lt;315",AB$2:AB$1500,"&gt;=300")</f>
        <v>49.8</v>
      </c>
    </row>
    <row r="23" customFormat="false" ht="15.8" hidden="false" customHeight="false" outlineLevel="0" collapsed="false">
      <c r="A23" s="1" t="n">
        <v>4</v>
      </c>
      <c r="B23" s="1" t="n">
        <v>9</v>
      </c>
      <c r="C23" s="1" t="n">
        <v>8.1</v>
      </c>
      <c r="D23" s="1" t="n">
        <v>1.6091</v>
      </c>
      <c r="E23" s="1" t="n">
        <v>0.292003</v>
      </c>
      <c r="F23" s="1" t="n">
        <v>0.000839314</v>
      </c>
      <c r="G23" s="1" t="s">
        <v>27</v>
      </c>
      <c r="H23" s="1" t="n">
        <v>28.4</v>
      </c>
      <c r="I23" s="1" t="n">
        <v>34.7</v>
      </c>
      <c r="J23" s="1" t="n">
        <v>-27.8</v>
      </c>
      <c r="K23" s="1"/>
      <c r="L23" s="1" t="n">
        <v>0</v>
      </c>
      <c r="M23" s="1" t="n">
        <v>0</v>
      </c>
      <c r="N23" s="1" t="s">
        <v>103</v>
      </c>
      <c r="O23" s="1" t="n">
        <v>315</v>
      </c>
      <c r="P23" s="1" t="n">
        <f aca="false">COUNTIF(I$2:I$1500,"&lt;330")-SUM(P2:P22)</f>
        <v>23</v>
      </c>
      <c r="S23" s="2" t="s">
        <v>104</v>
      </c>
      <c r="T23" s="1" t="n">
        <f aca="false">COUNTIFS(J$2:J$1500, "&gt;45",I$2:I$1500, "&gt;=180")-SUM(T24:T25)</f>
        <v>9</v>
      </c>
      <c r="U23" s="1" t="n">
        <v>315</v>
      </c>
      <c r="V23" s="0" t="n">
        <f aca="false">SUMIFS(C$2:C$1500,C$2:C$1500, "&gt;=0",I$2:I$1500, "&lt;330",I$2:I$1500,"&gt;=315")</f>
        <v>45.9</v>
      </c>
      <c r="W23" s="2" t="s">
        <v>105</v>
      </c>
      <c r="X23" s="0" t="n">
        <f aca="false">SUMIFS(C$2:C$1500,C$2:C$1500, "&gt;=0",J$2:J$1500, "&lt;-45",J$2:J$1500,"&gt;=-60",I$2:I$1500,"&gt;=180")</f>
        <v>57</v>
      </c>
      <c r="Z23" s="0" t="n">
        <f aca="false">I23+0</f>
        <v>34.7</v>
      </c>
      <c r="AB23" s="0" t="n">
        <f aca="false">IF(Z23&gt;360,Z23-360,Z23+0)</f>
        <v>34.7</v>
      </c>
      <c r="AD23" s="1" t="n">
        <v>315</v>
      </c>
      <c r="AE23" s="1" t="n">
        <f aca="false">COUNTIF(AB$2:AB$1500,"&lt;330")-SUM(AE2:AE22)</f>
        <v>23</v>
      </c>
      <c r="AF23" s="1"/>
      <c r="AG23" s="1" t="n">
        <v>315</v>
      </c>
      <c r="AH23" s="0" t="n">
        <f aca="false">SUMIFS(C$2:C$1500,C$2:C$1500, "&gt;=0",AB$2:AB$1500, "&lt;330",AB$2:AB$1500,"&gt;=315")</f>
        <v>45.9</v>
      </c>
    </row>
    <row r="24" customFormat="false" ht="15.8" hidden="false" customHeight="false" outlineLevel="0" collapsed="false">
      <c r="A24" s="1" t="n">
        <v>4</v>
      </c>
      <c r="B24" s="1" t="n">
        <v>9</v>
      </c>
      <c r="C24" s="1" t="n">
        <v>0.7</v>
      </c>
      <c r="D24" s="1" t="n">
        <v>1.0046</v>
      </c>
      <c r="E24" s="1" t="n">
        <v>0.0249543</v>
      </c>
      <c r="F24" s="1" t="n">
        <v>7.1727E-005</v>
      </c>
      <c r="G24" s="1" t="s">
        <v>27</v>
      </c>
      <c r="H24" s="1" t="n">
        <v>66.5</v>
      </c>
      <c r="I24" s="1" t="n">
        <v>321.8</v>
      </c>
      <c r="J24" s="1" t="n">
        <v>0</v>
      </c>
      <c r="K24" s="1"/>
      <c r="L24" s="1" t="n">
        <v>0</v>
      </c>
      <c r="M24" s="1" t="n">
        <v>0</v>
      </c>
      <c r="N24" s="1" t="s">
        <v>103</v>
      </c>
      <c r="O24" s="1" t="n">
        <v>330</v>
      </c>
      <c r="P24" s="1" t="n">
        <f aca="false">COUNTIF(I$2:I$1500,"&lt;345")-SUM(P2:P23)</f>
        <v>35</v>
      </c>
      <c r="S24" s="2" t="s">
        <v>106</v>
      </c>
      <c r="T24" s="1" t="n">
        <f aca="false">COUNTIFS(J$2:J$1500, "&gt;60",I$2:I$1500, "&gt;=180")-T25</f>
        <v>8</v>
      </c>
      <c r="U24" s="1" t="n">
        <v>330</v>
      </c>
      <c r="V24" s="0" t="n">
        <f aca="false">SUMIFS(C$2:C$1500,C$2:C$1500, "&gt;=0",I$2:I$1500, "&lt;345",I$2:I$1500,"&gt;=330")</f>
        <v>109.9</v>
      </c>
      <c r="W24" s="2" t="s">
        <v>107</v>
      </c>
      <c r="X24" s="0" t="n">
        <f aca="false">SUMIFS(C$2:C$1500,C$2:C$1500, "&gt;=0",J$2:J$1500, "&lt;-60",J$2:J$1500,"&gt;=-75",I$2:I$1500,"&gt;=180")</f>
        <v>37.6</v>
      </c>
      <c r="Z24" s="0" t="n">
        <f aca="false">I24+0</f>
        <v>321.8</v>
      </c>
      <c r="AB24" s="0" t="n">
        <f aca="false">IF(Z24&gt;360,Z24-360,Z24+0)</f>
        <v>321.8</v>
      </c>
      <c r="AD24" s="1" t="n">
        <v>330</v>
      </c>
      <c r="AE24" s="1" t="n">
        <f aca="false">COUNTIF(AB$2:AB$1500,"&lt;345")-SUM(AE2:AE23)</f>
        <v>35</v>
      </c>
      <c r="AF24" s="1"/>
      <c r="AG24" s="1" t="n">
        <v>330</v>
      </c>
      <c r="AH24" s="0" t="n">
        <f aca="false">SUMIFS(C$2:C$1500,C$2:C$1500, "&gt;=0",AB$2:AB$1500, "&lt;345",AB$2:AB$1500,"&gt;=330")</f>
        <v>109.9</v>
      </c>
    </row>
    <row r="25" customFormat="false" ht="15.8" hidden="false" customHeight="false" outlineLevel="0" collapsed="false">
      <c r="A25" s="1" t="n">
        <v>4</v>
      </c>
      <c r="B25" s="1" t="n">
        <v>8</v>
      </c>
      <c r="C25" s="1" t="n">
        <v>2.9</v>
      </c>
      <c r="D25" s="1" t="n">
        <v>1.2922</v>
      </c>
      <c r="E25" s="1" t="n">
        <v>0.1042</v>
      </c>
      <c r="F25" s="1" t="n">
        <v>0.000299506</v>
      </c>
      <c r="G25" s="1" t="s">
        <v>42</v>
      </c>
      <c r="H25" s="1" t="n">
        <v>49.1</v>
      </c>
      <c r="I25" s="1" t="n">
        <v>28.3</v>
      </c>
      <c r="J25" s="1" t="n">
        <v>0</v>
      </c>
      <c r="K25" s="1" t="n">
        <v>66.5</v>
      </c>
      <c r="L25" s="1" t="n">
        <v>0</v>
      </c>
      <c r="M25" s="1" t="n">
        <v>0</v>
      </c>
      <c r="N25" s="1" t="s">
        <v>108</v>
      </c>
      <c r="O25" s="1" t="n">
        <v>345</v>
      </c>
      <c r="P25" s="1" t="n">
        <f aca="false">COUNTIF(I$2:I$1500,"&lt;=360")-SUM(P2:P24)</f>
        <v>32</v>
      </c>
      <c r="S25" s="2" t="s">
        <v>109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115.7</v>
      </c>
      <c r="W25" s="2" t="s">
        <v>110</v>
      </c>
      <c r="X25" s="0" t="n">
        <f aca="false">SUMIFS(C$2:C$1500,C$2:C$1500, "&gt;=0",J$2:J$1500, "&lt;-75",J$2:J$1500,"&gt;=-90",I$2:I$1500,"&gt;=180")</f>
        <v>4.5</v>
      </c>
      <c r="Z25" s="0" t="n">
        <f aca="false">I25+0</f>
        <v>28.3</v>
      </c>
      <c r="AB25" s="0" t="n">
        <f aca="false">IF(Z25&gt;360,Z25-360,Z25+0)</f>
        <v>28.3</v>
      </c>
      <c r="AD25" s="1" t="n">
        <v>345</v>
      </c>
      <c r="AE25" s="1" t="n">
        <f aca="false">COUNTIF(AB$2:AB$1500,"&lt;=360")-SUM(AE2:AE24)</f>
        <v>32</v>
      </c>
      <c r="AF25" s="1"/>
      <c r="AG25" s="1" t="n">
        <v>345</v>
      </c>
      <c r="AH25" s="0" t="n">
        <f aca="false">SUMIFS(C$2:C$1500,C$2:C$1500, "&gt;=0",AB$2:AB$1500, "&lt;=360",AB$2:AB$1500,"&gt;=345")</f>
        <v>115.7</v>
      </c>
    </row>
    <row r="26" customFormat="false" ht="15.8" hidden="false" customHeight="false" outlineLevel="0" collapsed="false">
      <c r="A26" s="1" t="n">
        <v>4</v>
      </c>
      <c r="B26" s="1" t="n">
        <v>8</v>
      </c>
      <c r="C26" s="1" t="n">
        <v>4</v>
      </c>
      <c r="D26" s="1" t="n">
        <v>1.3155</v>
      </c>
      <c r="E26" s="1" t="n">
        <v>0.143653</v>
      </c>
      <c r="F26" s="1" t="n">
        <v>0.000412907</v>
      </c>
      <c r="G26" s="1" t="s">
        <v>27</v>
      </c>
      <c r="H26" s="1" t="n">
        <v>164.6</v>
      </c>
      <c r="I26" s="1" t="n">
        <v>204.4</v>
      </c>
      <c r="J26" s="1" t="n">
        <v>-40.2</v>
      </c>
      <c r="K26" s="1"/>
      <c r="L26" s="1" t="n">
        <v>0</v>
      </c>
      <c r="M26" s="1" t="n">
        <v>0</v>
      </c>
      <c r="N26" s="1" t="s">
        <v>108</v>
      </c>
      <c r="O26" s="1" t="s">
        <v>111</v>
      </c>
      <c r="P26" s="1" t="n">
        <f aca="false">SUM(P2:P25)</f>
        <v>635</v>
      </c>
      <c r="R26" s="1" t="n">
        <f aca="false">SUM(R2:R14)</f>
        <v>635</v>
      </c>
      <c r="S26" s="2"/>
      <c r="T26" s="1" t="n">
        <f aca="false">SUM(T2:T25)</f>
        <v>635</v>
      </c>
      <c r="U26" s="1" t="s">
        <v>111</v>
      </c>
      <c r="V26" s="0" t="n">
        <f aca="false">SUM(V2:V25)</f>
        <v>2036.6</v>
      </c>
      <c r="X26" s="0" t="n">
        <f aca="false">SUM(X2:X25)</f>
        <v>2036.6</v>
      </c>
      <c r="Z26" s="0" t="n">
        <f aca="false">I26+0</f>
        <v>204.4</v>
      </c>
      <c r="AB26" s="0" t="n">
        <f aca="false">IF(Z26&gt;360,Z26-360,Z26+0)</f>
        <v>204.4</v>
      </c>
      <c r="AD26" s="1" t="s">
        <v>111</v>
      </c>
      <c r="AE26" s="1" t="n">
        <f aca="false">SUM(AE2:AE25)</f>
        <v>635</v>
      </c>
      <c r="AF26" s="1"/>
      <c r="AG26" s="1" t="s">
        <v>111</v>
      </c>
      <c r="AH26" s="0" t="n">
        <f aca="false">SUM(AH2:AH25)</f>
        <v>2036.6</v>
      </c>
      <c r="AJ26" s="0" t="s">
        <v>64</v>
      </c>
      <c r="AK26" s="0" t="n">
        <f aca="false">SUM(AK2:AK14)</f>
        <v>2036.6</v>
      </c>
    </row>
    <row r="27" customFormat="false" ht="15.8" hidden="false" customHeight="false" outlineLevel="0" collapsed="false">
      <c r="A27" s="1" t="n">
        <v>4</v>
      </c>
      <c r="B27" s="1" t="n">
        <v>8</v>
      </c>
      <c r="C27" s="1" t="n">
        <v>0.8</v>
      </c>
      <c r="D27" s="1" t="n">
        <v>1.281</v>
      </c>
      <c r="E27" s="1" t="n">
        <v>0.0300736</v>
      </c>
      <c r="F27" s="1" t="n">
        <v>8.64417E-005</v>
      </c>
      <c r="G27" s="1" t="s">
        <v>27</v>
      </c>
      <c r="H27" s="1" t="n">
        <v>78.4</v>
      </c>
      <c r="I27" s="1" t="n">
        <v>252</v>
      </c>
      <c r="J27" s="1" t="n">
        <v>36.9</v>
      </c>
      <c r="K27" s="1"/>
      <c r="L27" s="1" t="n">
        <v>0</v>
      </c>
      <c r="M27" s="1" t="n">
        <v>0</v>
      </c>
      <c r="N27" s="1" t="s">
        <v>108</v>
      </c>
      <c r="O27" s="1" t="s">
        <v>112</v>
      </c>
      <c r="P27" s="1" t="n">
        <f aca="false">COUNT(I2:I1500)</f>
        <v>635</v>
      </c>
      <c r="R27" s="1" t="n">
        <f aca="false">COUNT(J2:J1500)</f>
        <v>635</v>
      </c>
      <c r="S27" s="2"/>
      <c r="U27" s="1" t="s">
        <v>113</v>
      </c>
      <c r="V27" s="0" t="n">
        <f aca="false">SUM(C2:C1204)</f>
        <v>2036.6</v>
      </c>
      <c r="Z27" s="0" t="n">
        <f aca="false">I27+0</f>
        <v>252</v>
      </c>
      <c r="AB27" s="0" t="n">
        <f aca="false">IF(Z27&gt;360,Z27-360,Z27+0)</f>
        <v>252</v>
      </c>
      <c r="AD27" s="1" t="s">
        <v>112</v>
      </c>
      <c r="AE27" s="1" t="n">
        <f aca="false">COUNT(Z2:Z1500)</f>
        <v>635</v>
      </c>
      <c r="AF27" s="1"/>
      <c r="AG27" s="1" t="s">
        <v>113</v>
      </c>
      <c r="AH27" s="0" t="n">
        <f aca="false">SUM(C2:C1500)</f>
        <v>2036.6</v>
      </c>
    </row>
    <row r="28" customFormat="false" ht="15.8" hidden="false" customHeight="false" outlineLevel="0" collapsed="false">
      <c r="A28" s="1" t="n">
        <v>4</v>
      </c>
      <c r="B28" s="1" t="n">
        <v>7</v>
      </c>
      <c r="C28" s="1" t="n">
        <v>7.9</v>
      </c>
      <c r="D28" s="1" t="n">
        <v>1.4097</v>
      </c>
      <c r="E28" s="1" t="n">
        <v>0.284489</v>
      </c>
      <c r="F28" s="1" t="n">
        <v>0.000817717</v>
      </c>
      <c r="G28" s="1" t="s">
        <v>42</v>
      </c>
      <c r="H28" s="1" t="n">
        <v>10.5</v>
      </c>
      <c r="I28" s="1" t="n">
        <v>4.3</v>
      </c>
      <c r="J28" s="1" t="n">
        <v>44.3</v>
      </c>
      <c r="K28" s="1" t="n">
        <v>164.6</v>
      </c>
      <c r="L28" s="1" t="n">
        <v>0</v>
      </c>
      <c r="M28" s="1" t="n">
        <v>0</v>
      </c>
      <c r="N28" s="1" t="s">
        <v>98</v>
      </c>
      <c r="O28" s="1"/>
      <c r="P28" s="1"/>
      <c r="Q28" s="1"/>
      <c r="R28" s="1"/>
      <c r="Z28" s="0" t="n">
        <f aca="false">I28+0</f>
        <v>4.3</v>
      </c>
      <c r="AB28" s="0" t="n">
        <f aca="false">IF(Z28&gt;360,Z28-360,Z28+0)</f>
        <v>4.3</v>
      </c>
    </row>
    <row r="29" customFormat="false" ht="15.8" hidden="false" customHeight="false" outlineLevel="0" collapsed="false">
      <c r="A29" s="1" t="n">
        <v>4</v>
      </c>
      <c r="B29" s="1" t="n">
        <v>6</v>
      </c>
      <c r="C29" s="1" t="n">
        <v>2.5</v>
      </c>
      <c r="D29" s="1" t="n">
        <v>1.2834</v>
      </c>
      <c r="E29" s="1" t="n">
        <v>0.0917466</v>
      </c>
      <c r="F29" s="1" t="n">
        <v>0.000263711</v>
      </c>
      <c r="G29" s="1" t="s">
        <v>42</v>
      </c>
      <c r="H29" s="1" t="n">
        <v>91.1</v>
      </c>
      <c r="I29" s="1" t="n">
        <v>355.4</v>
      </c>
      <c r="J29" s="1" t="n">
        <v>36.2</v>
      </c>
      <c r="K29" s="1" t="n">
        <v>114.5</v>
      </c>
      <c r="L29" s="1" t="n">
        <v>0</v>
      </c>
      <c r="M29" s="1" t="n">
        <v>0</v>
      </c>
      <c r="N29" s="1" t="s">
        <v>114</v>
      </c>
      <c r="O29" s="1"/>
      <c r="P29" s="1"/>
      <c r="Q29" s="1"/>
      <c r="R29" s="1"/>
      <c r="Z29" s="0" t="n">
        <f aca="false">I29+0</f>
        <v>355.4</v>
      </c>
      <c r="AB29" s="0" t="n">
        <f aca="false">IF(Z29&gt;360,Z29-360,Z29+0)</f>
        <v>355.4</v>
      </c>
    </row>
    <row r="30" customFormat="false" ht="15.8" hidden="false" customHeight="false" outlineLevel="0" collapsed="false">
      <c r="A30" s="1" t="n">
        <v>4</v>
      </c>
      <c r="B30" s="1" t="n">
        <v>11</v>
      </c>
      <c r="C30" s="1" t="n">
        <v>2.6</v>
      </c>
      <c r="D30" s="1" t="n">
        <v>1.206</v>
      </c>
      <c r="E30" s="1" t="n">
        <v>0.093282</v>
      </c>
      <c r="F30" s="1" t="n">
        <v>0.000268124</v>
      </c>
      <c r="G30" s="1" t="s">
        <v>27</v>
      </c>
      <c r="H30" s="1" t="n">
        <v>74.6</v>
      </c>
      <c r="I30" s="1" t="n">
        <v>0</v>
      </c>
      <c r="J30" s="1" t="n">
        <v>33.1</v>
      </c>
      <c r="K30" s="1"/>
      <c r="L30" s="1" t="n">
        <v>0</v>
      </c>
      <c r="M30" s="1" t="n">
        <v>0</v>
      </c>
      <c r="N30" s="1" t="s">
        <v>115</v>
      </c>
      <c r="O30" s="1"/>
      <c r="P30" s="1"/>
      <c r="Q30" s="1"/>
      <c r="R30" s="1"/>
      <c r="Z30" s="0" t="n">
        <f aca="false">I30+0</f>
        <v>0</v>
      </c>
      <c r="AB30" s="0" t="n">
        <f aca="false">IF(Z30&gt;360,Z30-360,Z30+0)</f>
        <v>0</v>
      </c>
    </row>
    <row r="31" customFormat="false" ht="15.8" hidden="false" customHeight="false" outlineLevel="0" collapsed="false">
      <c r="A31" s="1" t="n">
        <v>4</v>
      </c>
      <c r="B31" s="1" t="n">
        <v>11</v>
      </c>
      <c r="C31" s="1" t="n">
        <v>2.7</v>
      </c>
      <c r="D31" s="1" t="n">
        <v>1.2633</v>
      </c>
      <c r="E31" s="1" t="n">
        <v>0.0982486</v>
      </c>
      <c r="F31" s="1" t="n">
        <v>0.000282399</v>
      </c>
      <c r="G31" s="1" t="s">
        <v>27</v>
      </c>
      <c r="H31" s="1" t="n">
        <v>40.4</v>
      </c>
      <c r="I31" s="1" t="n">
        <v>310.6</v>
      </c>
      <c r="J31" s="1" t="n">
        <v>-46.4</v>
      </c>
      <c r="K31" s="1"/>
      <c r="L31" s="1" t="n">
        <v>0</v>
      </c>
      <c r="M31" s="1" t="n">
        <v>0</v>
      </c>
      <c r="N31" s="1" t="s">
        <v>115</v>
      </c>
      <c r="O31" s="1"/>
      <c r="P31" s="1"/>
      <c r="Q31" s="1"/>
      <c r="R31" s="1"/>
      <c r="Z31" s="0" t="n">
        <f aca="false">I31+0</f>
        <v>310.6</v>
      </c>
      <c r="AB31" s="0" t="n">
        <f aca="false">IF(Z31&gt;360,Z31-360,Z31+0)</f>
        <v>310.6</v>
      </c>
    </row>
    <row r="32" customFormat="false" ht="15.8" hidden="false" customHeight="false" outlineLevel="0" collapsed="false">
      <c r="A32" s="1" t="n">
        <v>4</v>
      </c>
      <c r="B32" s="1" t="n">
        <v>10</v>
      </c>
      <c r="C32" s="1" t="n">
        <v>3.6</v>
      </c>
      <c r="D32" s="1" t="n">
        <v>1.2239</v>
      </c>
      <c r="E32" s="1" t="n">
        <v>0.130828</v>
      </c>
      <c r="F32" s="1" t="n">
        <v>0.000376043</v>
      </c>
      <c r="G32" s="1" t="s">
        <v>42</v>
      </c>
      <c r="H32" s="1" t="n">
        <v>85.6</v>
      </c>
      <c r="I32" s="1" t="n">
        <v>7.4</v>
      </c>
      <c r="J32" s="1" t="n">
        <v>-41.2</v>
      </c>
      <c r="K32" s="1" t="n">
        <v>74.6</v>
      </c>
      <c r="L32" s="1" t="n">
        <v>0</v>
      </c>
      <c r="M32" s="1" t="n">
        <v>0</v>
      </c>
      <c r="N32" s="1" t="s">
        <v>116</v>
      </c>
      <c r="O32" s="1"/>
      <c r="P32" s="1"/>
      <c r="Q32" s="1"/>
      <c r="R32" s="1"/>
      <c r="Z32" s="0" t="n">
        <f aca="false">I32+0</f>
        <v>7.4</v>
      </c>
      <c r="AB32" s="0" t="n">
        <f aca="false">IF(Z32&gt;360,Z32-360,Z32+0)</f>
        <v>7.4</v>
      </c>
    </row>
    <row r="33" customFormat="false" ht="15.8" hidden="false" customHeight="false" outlineLevel="0" collapsed="false">
      <c r="A33" s="1" t="n">
        <v>4</v>
      </c>
      <c r="B33" s="1" t="n">
        <v>10</v>
      </c>
      <c r="C33" s="1" t="n">
        <v>0.7</v>
      </c>
      <c r="D33" s="1" t="n">
        <v>1.0003</v>
      </c>
      <c r="E33" s="1" t="n">
        <v>0.0241259</v>
      </c>
      <c r="F33" s="1" t="n">
        <v>6.9346E-005</v>
      </c>
      <c r="G33" s="1" t="s">
        <v>27</v>
      </c>
      <c r="H33" s="1" t="n">
        <v>54.2</v>
      </c>
      <c r="I33" s="1" t="n">
        <v>183</v>
      </c>
      <c r="J33" s="1" t="n">
        <v>0</v>
      </c>
      <c r="K33" s="1"/>
      <c r="L33" s="1" t="n">
        <v>0</v>
      </c>
      <c r="M33" s="1" t="n">
        <v>0</v>
      </c>
      <c r="N33" s="1" t="s">
        <v>116</v>
      </c>
      <c r="O33" s="1"/>
      <c r="P33" s="1"/>
      <c r="Q33" s="1"/>
      <c r="R33" s="1"/>
      <c r="Z33" s="0" t="n">
        <f aca="false">I33+0</f>
        <v>183</v>
      </c>
      <c r="AB33" s="0" t="n">
        <f aca="false">IF(Z33&gt;360,Z33-360,Z33+0)</f>
        <v>183</v>
      </c>
    </row>
    <row r="34" customFormat="false" ht="15.8" hidden="false" customHeight="false" outlineLevel="0" collapsed="false">
      <c r="A34" s="1" t="n">
        <v>4</v>
      </c>
      <c r="B34" s="1" t="n">
        <v>9</v>
      </c>
      <c r="C34" s="1" t="n">
        <v>3.2</v>
      </c>
      <c r="D34" s="1" t="n">
        <v>1.2432</v>
      </c>
      <c r="E34" s="1" t="n">
        <v>0.115413</v>
      </c>
      <c r="F34" s="1" t="n">
        <v>0.000331734</v>
      </c>
      <c r="G34" s="1" t="s">
        <v>42</v>
      </c>
      <c r="H34" s="1" t="n">
        <v>70.9</v>
      </c>
      <c r="I34" s="1" t="n">
        <v>157</v>
      </c>
      <c r="J34" s="1" t="n">
        <v>-49.4</v>
      </c>
      <c r="K34" s="1" t="n">
        <v>85.6</v>
      </c>
      <c r="L34" s="1" t="n">
        <v>0</v>
      </c>
      <c r="M34" s="1" t="n">
        <v>0</v>
      </c>
      <c r="N34" s="1" t="s">
        <v>117</v>
      </c>
      <c r="O34" s="1"/>
      <c r="P34" s="1"/>
      <c r="Q34" s="1"/>
      <c r="R34" s="1"/>
      <c r="Z34" s="0" t="n">
        <f aca="false">I34+0</f>
        <v>157</v>
      </c>
      <c r="AB34" s="0" t="n">
        <f aca="false">IF(Z34&gt;360,Z34-360,Z34+0)</f>
        <v>157</v>
      </c>
    </row>
    <row r="35" customFormat="false" ht="15.8" hidden="false" customHeight="false" outlineLevel="0" collapsed="false">
      <c r="A35" s="1" t="n">
        <v>4</v>
      </c>
      <c r="B35" s="1" t="n">
        <v>9</v>
      </c>
      <c r="C35" s="1" t="n">
        <v>11.1</v>
      </c>
      <c r="D35" s="1" t="n">
        <v>1.3948</v>
      </c>
      <c r="E35" s="1" t="n">
        <v>0.310736</v>
      </c>
      <c r="F35" s="1" t="n">
        <v>0.000759107</v>
      </c>
      <c r="G35" s="1" t="s">
        <v>27</v>
      </c>
      <c r="H35" s="1" t="n">
        <v>92.1</v>
      </c>
      <c r="I35" s="1" t="n">
        <v>359.5</v>
      </c>
      <c r="J35" s="1" t="n">
        <v>68.4</v>
      </c>
      <c r="K35" s="1"/>
      <c r="L35" s="1" t="n">
        <v>0</v>
      </c>
      <c r="M35" s="1" t="n">
        <v>0</v>
      </c>
      <c r="N35" s="1" t="s">
        <v>117</v>
      </c>
      <c r="O35" s="1"/>
      <c r="P35" s="1"/>
      <c r="Q35" s="1"/>
      <c r="R35" s="1"/>
      <c r="Z35" s="0" t="n">
        <f aca="false">I35+0</f>
        <v>359.5</v>
      </c>
      <c r="AB35" s="0" t="n">
        <f aca="false">IF(Z35&gt;360,Z35-360,Z35+0)</f>
        <v>359.5</v>
      </c>
    </row>
    <row r="36" customFormat="false" ht="15.8" hidden="false" customHeight="false" outlineLevel="0" collapsed="false">
      <c r="A36" s="1" t="n">
        <v>4</v>
      </c>
      <c r="B36" s="1" t="n">
        <v>8</v>
      </c>
      <c r="C36" s="1" t="n">
        <v>3</v>
      </c>
      <c r="D36" s="1" t="n">
        <v>1.2773</v>
      </c>
      <c r="E36" s="1" t="n">
        <v>0.10777</v>
      </c>
      <c r="F36" s="1" t="n">
        <v>0.000309767</v>
      </c>
      <c r="G36" s="1" t="s">
        <v>42</v>
      </c>
      <c r="H36" s="1" t="n">
        <v>56.5</v>
      </c>
      <c r="I36" s="1" t="n">
        <v>175.8</v>
      </c>
      <c r="J36" s="1" t="n">
        <v>19.5</v>
      </c>
      <c r="K36" s="1" t="n">
        <v>92.1</v>
      </c>
      <c r="L36" s="1" t="n">
        <v>0</v>
      </c>
      <c r="M36" s="1" t="n">
        <v>0</v>
      </c>
      <c r="N36" s="1" t="s">
        <v>118</v>
      </c>
      <c r="O36" s="1"/>
      <c r="P36" s="1"/>
      <c r="Q36" s="1"/>
      <c r="R36" s="1"/>
      <c r="Z36" s="0" t="n">
        <f aca="false">I36+0</f>
        <v>175.8</v>
      </c>
      <c r="AB36" s="0" t="n">
        <f aca="false">IF(Z36&gt;360,Z36-360,Z36+0)</f>
        <v>175.8</v>
      </c>
    </row>
    <row r="37" customFormat="false" ht="15.8" hidden="false" customHeight="false" outlineLevel="0" collapsed="false">
      <c r="A37" s="1" t="n">
        <v>4</v>
      </c>
      <c r="B37" s="1" t="n">
        <v>8</v>
      </c>
      <c r="C37" s="1" t="n">
        <v>1.2</v>
      </c>
      <c r="D37" s="1" t="n">
        <v>1.1151</v>
      </c>
      <c r="E37" s="1" t="n">
        <v>0.0420993</v>
      </c>
      <c r="F37" s="1" t="n">
        <v>0.000121007</v>
      </c>
      <c r="G37" s="1" t="s">
        <v>27</v>
      </c>
      <c r="H37" s="1" t="n">
        <v>37.9</v>
      </c>
      <c r="I37" s="1" t="n">
        <v>140.4</v>
      </c>
      <c r="J37" s="1" t="n">
        <v>0</v>
      </c>
      <c r="K37" s="1"/>
      <c r="L37" s="1" t="n">
        <v>0</v>
      </c>
      <c r="M37" s="1" t="n">
        <v>0</v>
      </c>
      <c r="N37" s="1" t="s">
        <v>118</v>
      </c>
      <c r="O37" s="1"/>
      <c r="P37" s="1"/>
      <c r="Q37" s="1"/>
      <c r="R37" s="1"/>
      <c r="Z37" s="0" t="n">
        <f aca="false">I37+0</f>
        <v>140.4</v>
      </c>
      <c r="AB37" s="0" t="n">
        <f aca="false">IF(Z37&gt;360,Z37-360,Z37+0)</f>
        <v>140.4</v>
      </c>
    </row>
    <row r="38" customFormat="false" ht="15.8" hidden="false" customHeight="false" outlineLevel="0" collapsed="false">
      <c r="A38" s="1" t="n">
        <v>4</v>
      </c>
      <c r="B38" s="1" t="n">
        <v>7</v>
      </c>
      <c r="C38" s="1" t="n">
        <v>9.2</v>
      </c>
      <c r="D38" s="1" t="n">
        <v>1.3354</v>
      </c>
      <c r="E38" s="1" t="n">
        <v>0.334016</v>
      </c>
      <c r="F38" s="1" t="n">
        <v>0.000960075</v>
      </c>
      <c r="G38" s="1" t="s">
        <v>42</v>
      </c>
      <c r="H38" s="1" t="n">
        <v>25</v>
      </c>
      <c r="I38" s="1" t="n">
        <v>157.6</v>
      </c>
      <c r="J38" s="1" t="n">
        <v>-34.3</v>
      </c>
      <c r="K38" s="1" t="n">
        <v>56.5</v>
      </c>
      <c r="L38" s="1" t="n">
        <v>0</v>
      </c>
      <c r="M38" s="1" t="n">
        <v>0</v>
      </c>
      <c r="N38" s="1" t="s">
        <v>119</v>
      </c>
      <c r="O38" s="1"/>
      <c r="P38" s="1"/>
      <c r="Q38" s="1"/>
      <c r="R38" s="1"/>
      <c r="Z38" s="0" t="n">
        <f aca="false">I38+0</f>
        <v>157.6</v>
      </c>
      <c r="AB38" s="0" t="n">
        <f aca="false">IF(Z38&gt;360,Z38-360,Z38+0)</f>
        <v>157.6</v>
      </c>
    </row>
    <row r="39" customFormat="false" ht="15.8" hidden="false" customHeight="false" outlineLevel="0" collapsed="false">
      <c r="A39" s="1" t="n">
        <v>4</v>
      </c>
      <c r="B39" s="1" t="n">
        <v>7</v>
      </c>
      <c r="C39" s="1" t="n">
        <v>4.6</v>
      </c>
      <c r="D39" s="1" t="n">
        <v>1.2656</v>
      </c>
      <c r="E39" s="1" t="n">
        <v>0.165109</v>
      </c>
      <c r="F39" s="1" t="n">
        <v>0.000474579</v>
      </c>
      <c r="G39" s="1" t="s">
        <v>27</v>
      </c>
      <c r="H39" s="1" t="n">
        <v>76.1</v>
      </c>
      <c r="I39" s="1" t="n">
        <v>24.8</v>
      </c>
      <c r="J39" s="1" t="n">
        <v>-32.7</v>
      </c>
      <c r="K39" s="1"/>
      <c r="L39" s="1" t="n">
        <v>0</v>
      </c>
      <c r="M39" s="1" t="n">
        <v>0</v>
      </c>
      <c r="N39" s="1" t="s">
        <v>119</v>
      </c>
      <c r="O39" s="1"/>
      <c r="P39" s="1"/>
      <c r="Q39" s="1"/>
      <c r="R39" s="1"/>
      <c r="Z39" s="0" t="n">
        <f aca="false">I39+0</f>
        <v>24.8</v>
      </c>
      <c r="AB39" s="0" t="n">
        <f aca="false">IF(Z39&gt;360,Z39-360,Z39+0)</f>
        <v>24.8</v>
      </c>
    </row>
    <row r="40" customFormat="false" ht="15.8" hidden="false" customHeight="false" outlineLevel="0" collapsed="false">
      <c r="A40" s="1" t="n">
        <v>4</v>
      </c>
      <c r="B40" s="1" t="n">
        <v>6</v>
      </c>
      <c r="C40" s="1" t="n">
        <v>1.5</v>
      </c>
      <c r="D40" s="1" t="n">
        <v>1.3643</v>
      </c>
      <c r="E40" s="1" t="n">
        <v>0.0554748</v>
      </c>
      <c r="F40" s="1" t="n">
        <v>0.000159453</v>
      </c>
      <c r="G40" s="1" t="s">
        <v>42</v>
      </c>
      <c r="H40" s="1" t="n">
        <v>59.1</v>
      </c>
      <c r="I40" s="1" t="n">
        <v>127.5</v>
      </c>
      <c r="J40" s="1" t="n">
        <v>-43.9</v>
      </c>
      <c r="K40" s="1" t="n">
        <v>76.1</v>
      </c>
      <c r="L40" s="1" t="n">
        <v>0</v>
      </c>
      <c r="M40" s="1" t="n">
        <v>0</v>
      </c>
      <c r="N40" s="1" t="s">
        <v>114</v>
      </c>
      <c r="O40" s="1"/>
      <c r="P40" s="1"/>
      <c r="Q40" s="1"/>
      <c r="R40" s="1"/>
      <c r="Z40" s="0" t="n">
        <f aca="false">I40+0</f>
        <v>127.5</v>
      </c>
      <c r="AB40" s="0" t="n">
        <f aca="false">IF(Z40&gt;360,Z40-360,Z40+0)</f>
        <v>127.5</v>
      </c>
    </row>
    <row r="41" customFormat="false" ht="15.8" hidden="false" customHeight="false" outlineLevel="0" collapsed="false">
      <c r="A41" s="1" t="n">
        <v>4</v>
      </c>
      <c r="B41" s="1" t="n">
        <v>5</v>
      </c>
      <c r="C41" s="1" t="n">
        <v>1.4</v>
      </c>
      <c r="D41" s="1" t="n">
        <v>1.2558</v>
      </c>
      <c r="E41" s="1" t="n">
        <v>0.0493862</v>
      </c>
      <c r="F41" s="1" t="n">
        <v>0.000141952</v>
      </c>
      <c r="G41" s="1" t="s">
        <v>42</v>
      </c>
      <c r="H41" s="1" t="n">
        <v>63.5</v>
      </c>
      <c r="I41" s="1" t="n">
        <v>39.5</v>
      </c>
      <c r="J41" s="1" t="n">
        <v>-45.8</v>
      </c>
      <c r="K41" s="1" t="n">
        <v>91.1</v>
      </c>
      <c r="L41" s="1" t="n">
        <v>0</v>
      </c>
      <c r="M41" s="1" t="n">
        <v>0</v>
      </c>
      <c r="N41" s="1" t="s">
        <v>120</v>
      </c>
      <c r="O41" s="1"/>
      <c r="P41" s="1"/>
      <c r="Q41" s="1"/>
      <c r="R41" s="1"/>
      <c r="Z41" s="0" t="n">
        <f aca="false">I41+0</f>
        <v>39.5</v>
      </c>
      <c r="AB41" s="0" t="n">
        <f aca="false">IF(Z41&gt;360,Z41-360,Z41+0)</f>
        <v>39.5</v>
      </c>
    </row>
    <row r="42" customFormat="false" ht="15.8" hidden="false" customHeight="false" outlineLevel="0" collapsed="false">
      <c r="A42" s="1" t="n">
        <v>4</v>
      </c>
      <c r="B42" s="1" t="n">
        <v>5</v>
      </c>
      <c r="C42" s="1" t="n">
        <v>2.2</v>
      </c>
      <c r="D42" s="1" t="n">
        <v>3.0559</v>
      </c>
      <c r="E42" s="1" t="n">
        <v>0.0787909</v>
      </c>
      <c r="F42" s="1" t="n">
        <v>0.000226471</v>
      </c>
      <c r="G42" s="1" t="s">
        <v>27</v>
      </c>
      <c r="H42" s="1" t="n">
        <v>28.6</v>
      </c>
      <c r="I42" s="1" t="n">
        <v>22.6</v>
      </c>
      <c r="J42" s="1" t="n">
        <v>33.1</v>
      </c>
      <c r="K42" s="1"/>
      <c r="L42" s="1" t="n">
        <v>0</v>
      </c>
      <c r="M42" s="1" t="n">
        <v>0</v>
      </c>
      <c r="N42" s="1" t="s">
        <v>120</v>
      </c>
      <c r="O42" s="1"/>
      <c r="P42" s="1"/>
      <c r="Q42" s="1"/>
      <c r="R42" s="1"/>
      <c r="Z42" s="0" t="n">
        <f aca="false">I42+0</f>
        <v>22.6</v>
      </c>
      <c r="AB42" s="0" t="n">
        <f aca="false">IF(Z42&gt;360,Z42-360,Z42+0)</f>
        <v>22.6</v>
      </c>
    </row>
    <row r="43" customFormat="false" ht="15.8" hidden="false" customHeight="false" outlineLevel="0" collapsed="false">
      <c r="A43" s="1" t="n">
        <v>4</v>
      </c>
      <c r="B43" s="1" t="n">
        <v>4</v>
      </c>
      <c r="C43" s="1" t="n">
        <v>5.2</v>
      </c>
      <c r="D43" s="1" t="n">
        <v>1.1218</v>
      </c>
      <c r="E43" s="1" t="n">
        <v>0.188753</v>
      </c>
      <c r="F43" s="1" t="n">
        <v>0.000542541</v>
      </c>
      <c r="G43" s="1" t="s">
        <v>42</v>
      </c>
      <c r="H43" s="1" t="n">
        <v>31.2</v>
      </c>
      <c r="I43" s="1" t="n">
        <v>4.9</v>
      </c>
      <c r="J43" s="1" t="n">
        <v>9.6</v>
      </c>
      <c r="K43" s="1" t="n">
        <v>63.5</v>
      </c>
      <c r="L43" s="1" t="n">
        <v>0</v>
      </c>
      <c r="M43" s="1" t="n">
        <v>0</v>
      </c>
      <c r="N43" s="1" t="s">
        <v>121</v>
      </c>
      <c r="O43" s="1"/>
      <c r="P43" s="1"/>
      <c r="Q43" s="1"/>
      <c r="R43" s="1"/>
      <c r="Z43" s="0" t="n">
        <f aca="false">I43+0</f>
        <v>4.9</v>
      </c>
      <c r="AB43" s="0" t="n">
        <f aca="false">IF(Z43&gt;360,Z43-360,Z43+0)</f>
        <v>4.9</v>
      </c>
    </row>
    <row r="44" customFormat="false" ht="15.8" hidden="false" customHeight="false" outlineLevel="0" collapsed="false">
      <c r="A44" s="1" t="n">
        <v>4</v>
      </c>
      <c r="B44" s="1" t="n">
        <v>4</v>
      </c>
      <c r="C44" s="1" t="n">
        <v>3.8</v>
      </c>
      <c r="D44" s="1" t="n">
        <v>1.6974</v>
      </c>
      <c r="E44" s="1" t="n">
        <v>0.135901</v>
      </c>
      <c r="F44" s="1" t="n">
        <v>0.000390626</v>
      </c>
      <c r="G44" s="1" t="s">
        <v>27</v>
      </c>
      <c r="H44" s="1" t="n">
        <v>31.1</v>
      </c>
      <c r="I44" s="1" t="n">
        <v>320.8</v>
      </c>
      <c r="J44" s="1" t="n">
        <v>61.6</v>
      </c>
      <c r="K44" s="1"/>
      <c r="L44" s="1" t="n">
        <v>0</v>
      </c>
      <c r="M44" s="1" t="n">
        <v>0</v>
      </c>
      <c r="N44" s="1" t="s">
        <v>121</v>
      </c>
      <c r="O44" s="1"/>
      <c r="P44" s="1"/>
      <c r="Q44" s="1"/>
      <c r="R44" s="1"/>
      <c r="Z44" s="0" t="n">
        <f aca="false">I44+0</f>
        <v>320.8</v>
      </c>
      <c r="AB44" s="0" t="n">
        <f aca="false">IF(Z44&gt;360,Z44-360,Z44+0)</f>
        <v>320.8</v>
      </c>
    </row>
    <row r="45" customFormat="false" ht="15.8" hidden="false" customHeight="false" outlineLevel="0" collapsed="false">
      <c r="A45" s="1" t="n">
        <v>4</v>
      </c>
      <c r="B45" s="1" t="n">
        <v>3</v>
      </c>
      <c r="C45" s="1" t="n">
        <v>0.8</v>
      </c>
      <c r="D45" s="1" t="n">
        <v>1.203</v>
      </c>
      <c r="E45" s="1" t="n">
        <v>0.0301853</v>
      </c>
      <c r="F45" s="1" t="n">
        <v>8.67626E-005</v>
      </c>
      <c r="G45" s="1" t="s">
        <v>42</v>
      </c>
      <c r="H45" s="1" t="n">
        <v>47.7</v>
      </c>
      <c r="I45" s="1" t="n">
        <v>343.7</v>
      </c>
      <c r="J45" s="1" t="n">
        <v>34.2</v>
      </c>
      <c r="K45" s="1" t="n">
        <v>31.2</v>
      </c>
      <c r="L45" s="1" t="n">
        <v>0</v>
      </c>
      <c r="M45" s="1" t="n">
        <v>0</v>
      </c>
      <c r="N45" s="1" t="s">
        <v>122</v>
      </c>
      <c r="O45" s="1"/>
      <c r="P45" s="1"/>
      <c r="Q45" s="1"/>
      <c r="R45" s="1"/>
      <c r="Z45" s="0" t="n">
        <f aca="false">I45+0</f>
        <v>343.7</v>
      </c>
      <c r="AB45" s="0" t="n">
        <f aca="false">IF(Z45&gt;360,Z45-360,Z45+0)</f>
        <v>343.7</v>
      </c>
    </row>
    <row r="46" customFormat="false" ht="15.8" hidden="false" customHeight="false" outlineLevel="0" collapsed="false">
      <c r="A46" s="1" t="n">
        <v>4</v>
      </c>
      <c r="B46" s="1" t="n">
        <v>3</v>
      </c>
      <c r="C46" s="1" t="n">
        <v>1.8</v>
      </c>
      <c r="D46" s="1" t="n">
        <v>1.1541</v>
      </c>
      <c r="E46" s="1" t="n">
        <v>0.0651554</v>
      </c>
      <c r="F46" s="1" t="n">
        <v>0.000187278</v>
      </c>
      <c r="G46" s="1" t="s">
        <v>27</v>
      </c>
      <c r="H46" s="1" t="n">
        <v>101.2</v>
      </c>
      <c r="I46" s="1" t="n">
        <v>132.5</v>
      </c>
      <c r="J46" s="1" t="n">
        <v>14.4</v>
      </c>
      <c r="K46" s="1"/>
      <c r="L46" s="1" t="n">
        <v>0</v>
      </c>
      <c r="M46" s="1" t="n">
        <v>0</v>
      </c>
      <c r="N46" s="1" t="s">
        <v>122</v>
      </c>
      <c r="O46" s="1"/>
      <c r="P46" s="1"/>
      <c r="Q46" s="1"/>
      <c r="R46" s="1"/>
      <c r="Z46" s="0" t="n">
        <f aca="false">I46+0</f>
        <v>132.5</v>
      </c>
      <c r="AB46" s="0" t="n">
        <f aca="false">IF(Z46&gt;360,Z46-360,Z46+0)</f>
        <v>132.5</v>
      </c>
    </row>
    <row r="47" customFormat="false" ht="15.8" hidden="false" customHeight="false" outlineLevel="0" collapsed="false">
      <c r="A47" s="1" t="n">
        <v>4</v>
      </c>
      <c r="B47" s="1" t="n">
        <v>2</v>
      </c>
      <c r="C47" s="1" t="n">
        <v>2.7</v>
      </c>
      <c r="D47" s="1" t="n">
        <v>1.1488</v>
      </c>
      <c r="E47" s="1" t="n">
        <v>0.0988853</v>
      </c>
      <c r="F47" s="1" t="n">
        <v>0.000284229</v>
      </c>
      <c r="G47" s="1" t="s">
        <v>42</v>
      </c>
      <c r="H47" s="1" t="n">
        <v>17.5</v>
      </c>
      <c r="I47" s="1" t="n">
        <v>28.3</v>
      </c>
      <c r="J47" s="1" t="n">
        <v>9.4</v>
      </c>
      <c r="K47" s="1" t="n">
        <v>101.2</v>
      </c>
      <c r="L47" s="1" t="n">
        <v>0</v>
      </c>
      <c r="M47" s="1" t="n">
        <v>0</v>
      </c>
      <c r="N47" s="1" t="s">
        <v>123</v>
      </c>
      <c r="O47" s="1"/>
      <c r="P47" s="1"/>
      <c r="Q47" s="1"/>
      <c r="R47" s="1"/>
      <c r="Z47" s="0" t="n">
        <f aca="false">I47+0</f>
        <v>28.3</v>
      </c>
      <c r="AB47" s="0" t="n">
        <f aca="false">IF(Z47&gt;360,Z47-360,Z47+0)</f>
        <v>28.3</v>
      </c>
    </row>
    <row r="48" customFormat="false" ht="15.8" hidden="false" customHeight="false" outlineLevel="0" collapsed="false">
      <c r="A48" s="1" t="n">
        <v>4</v>
      </c>
      <c r="B48" s="1" t="n">
        <v>2</v>
      </c>
      <c r="C48" s="1" t="n">
        <v>1</v>
      </c>
      <c r="D48" s="1" t="n">
        <v>1.2095</v>
      </c>
      <c r="E48" s="1" t="n">
        <v>0.0359723</v>
      </c>
      <c r="F48" s="1" t="n">
        <v>0.000103396</v>
      </c>
      <c r="G48" s="1" t="s">
        <v>27</v>
      </c>
      <c r="H48" s="1" t="n">
        <v>95.3</v>
      </c>
      <c r="I48" s="1" t="n">
        <v>267.3</v>
      </c>
      <c r="J48" s="1" t="n">
        <v>28.3</v>
      </c>
      <c r="K48" s="1"/>
      <c r="L48" s="1" t="n">
        <v>0</v>
      </c>
      <c r="M48" s="1" t="n">
        <v>0</v>
      </c>
      <c r="N48" s="1" t="s">
        <v>123</v>
      </c>
      <c r="O48" s="1"/>
      <c r="P48" s="1"/>
      <c r="Q48" s="1"/>
      <c r="R48" s="1"/>
      <c r="Z48" s="0" t="n">
        <f aca="false">I48+0</f>
        <v>267.3</v>
      </c>
      <c r="AB48" s="0" t="n">
        <f aca="false">IF(Z48&gt;360,Z48-360,Z48+0)</f>
        <v>267.3</v>
      </c>
    </row>
    <row r="49" customFormat="false" ht="15.8" hidden="false" customHeight="false" outlineLevel="0" collapsed="false">
      <c r="A49" s="1" t="n">
        <v>4</v>
      </c>
      <c r="B49" s="1" t="n">
        <v>1</v>
      </c>
      <c r="C49" s="1" t="n">
        <v>3.7</v>
      </c>
      <c r="D49" s="1" t="n">
        <v>1.2688</v>
      </c>
      <c r="E49" s="1" t="n">
        <v>0.133086</v>
      </c>
      <c r="F49" s="1" t="n">
        <v>0.000382534</v>
      </c>
      <c r="G49" s="1" t="s">
        <v>42</v>
      </c>
      <c r="H49" s="1"/>
      <c r="I49" s="1" t="n">
        <v>17.9</v>
      </c>
      <c r="J49" s="1" t="n">
        <v>23.8</v>
      </c>
      <c r="K49" s="1" t="n">
        <v>95.3</v>
      </c>
      <c r="L49" s="1" t="n">
        <v>0</v>
      </c>
      <c r="M49" s="1" t="n">
        <v>0</v>
      </c>
      <c r="N49" s="1" t="s">
        <v>124</v>
      </c>
      <c r="O49" s="1"/>
      <c r="P49" s="1"/>
      <c r="Q49" s="1"/>
      <c r="R49" s="1"/>
      <c r="Z49" s="0" t="n">
        <f aca="false">I49+0</f>
        <v>17.9</v>
      </c>
      <c r="AB49" s="0" t="n">
        <f aca="false">IF(Z49&gt;360,Z49-360,Z49+0)</f>
        <v>17.9</v>
      </c>
    </row>
    <row r="50" customFormat="false" ht="15.8" hidden="false" customHeight="false" outlineLevel="0" collapsed="false">
      <c r="A50" s="1" t="n">
        <v>5</v>
      </c>
      <c r="B50" s="1" t="n">
        <v>1</v>
      </c>
      <c r="C50" s="1" t="n">
        <v>3.8</v>
      </c>
      <c r="D50" s="1" t="n">
        <v>1.3372</v>
      </c>
      <c r="E50" s="1" t="n">
        <v>0.138199</v>
      </c>
      <c r="F50" s="1" t="n">
        <v>0.000397231</v>
      </c>
      <c r="G50" s="1" t="s">
        <v>27</v>
      </c>
      <c r="H50" s="1"/>
      <c r="I50" s="1" t="n">
        <v>318.8</v>
      </c>
      <c r="J50" s="1" t="n">
        <v>43</v>
      </c>
      <c r="K50" s="1"/>
      <c r="L50" s="1" t="n">
        <v>0</v>
      </c>
      <c r="M50" s="1" t="n">
        <v>0</v>
      </c>
      <c r="N50" s="1" t="s">
        <v>125</v>
      </c>
      <c r="O50" s="1"/>
      <c r="P50" s="1"/>
      <c r="Q50" s="1"/>
      <c r="R50" s="1"/>
      <c r="Z50" s="0" t="n">
        <f aca="false">I50+0</f>
        <v>318.8</v>
      </c>
      <c r="AB50" s="0" t="n">
        <f aca="false">IF(Z50&gt;360,Z50-360,Z50+0)</f>
        <v>318.8</v>
      </c>
    </row>
    <row r="51" customFormat="false" ht="15.8" hidden="false" customHeight="false" outlineLevel="0" collapsed="false">
      <c r="A51" s="1" t="n">
        <v>6</v>
      </c>
      <c r="B51" s="1" t="n">
        <v>1</v>
      </c>
      <c r="C51" s="1" t="n">
        <v>2.2</v>
      </c>
      <c r="D51" s="1" t="n">
        <v>1.5497</v>
      </c>
      <c r="E51" s="1" t="n">
        <v>0.0778345</v>
      </c>
      <c r="F51" s="1" t="n">
        <v>0.000223722</v>
      </c>
      <c r="G51" s="1" t="s">
        <v>27</v>
      </c>
      <c r="H51" s="1"/>
      <c r="I51" s="1" t="n">
        <v>87.1</v>
      </c>
      <c r="J51" s="1" t="n">
        <v>34.1</v>
      </c>
      <c r="K51" s="1"/>
      <c r="L51" s="1" t="n">
        <v>0</v>
      </c>
      <c r="M51" s="1" t="n">
        <v>0</v>
      </c>
      <c r="N51" s="1" t="s">
        <v>126</v>
      </c>
      <c r="O51" s="1"/>
      <c r="P51" s="1"/>
      <c r="Q51" s="1"/>
      <c r="R51" s="1"/>
      <c r="Z51" s="0" t="n">
        <f aca="false">I51+0</f>
        <v>87.1</v>
      </c>
      <c r="AB51" s="0" t="n">
        <f aca="false">IF(Z51&gt;360,Z51-360,Z51+0)</f>
        <v>87.1</v>
      </c>
    </row>
    <row r="52" customFormat="false" ht="15.8" hidden="false" customHeight="false" outlineLevel="0" collapsed="false">
      <c r="A52" s="1" t="n">
        <v>7</v>
      </c>
      <c r="B52" s="1" t="n">
        <v>9</v>
      </c>
      <c r="C52" s="1" t="n">
        <v>2.3</v>
      </c>
      <c r="D52" s="1" t="n">
        <v>1.3135</v>
      </c>
      <c r="E52" s="1" t="n">
        <v>0.0840067</v>
      </c>
      <c r="F52" s="1" t="n">
        <v>0.000241463</v>
      </c>
      <c r="G52" s="1" t="s">
        <v>27</v>
      </c>
      <c r="H52" s="1" t="n">
        <v>40</v>
      </c>
      <c r="I52" s="1" t="n">
        <v>179.6</v>
      </c>
      <c r="J52" s="1" t="n">
        <v>0</v>
      </c>
      <c r="K52" s="1"/>
      <c r="L52" s="1" t="n">
        <v>0</v>
      </c>
      <c r="M52" s="1" t="n">
        <v>0</v>
      </c>
      <c r="N52" s="1" t="s">
        <v>127</v>
      </c>
      <c r="O52" s="1"/>
      <c r="P52" s="1"/>
      <c r="Q52" s="1"/>
      <c r="R52" s="1"/>
      <c r="Z52" s="0" t="n">
        <f aca="false">I52+0</f>
        <v>179.6</v>
      </c>
      <c r="AB52" s="0" t="n">
        <f aca="false">IF(Z52&gt;360,Z52-360,Z52+0)</f>
        <v>179.6</v>
      </c>
    </row>
    <row r="53" customFormat="false" ht="15.8" hidden="false" customHeight="false" outlineLevel="0" collapsed="false">
      <c r="A53" s="1" t="n">
        <v>7</v>
      </c>
      <c r="B53" s="1" t="n">
        <v>9</v>
      </c>
      <c r="C53" s="1" t="n">
        <v>1</v>
      </c>
      <c r="D53" s="1" t="n">
        <v>1.2334</v>
      </c>
      <c r="E53" s="1" t="n">
        <v>0.0358821</v>
      </c>
      <c r="F53" s="1" t="n">
        <v>0.000103137</v>
      </c>
      <c r="G53" s="1" t="s">
        <v>27</v>
      </c>
      <c r="H53" s="1" t="n">
        <v>84.8</v>
      </c>
      <c r="I53" s="1" t="n">
        <v>303.7</v>
      </c>
      <c r="J53" s="1" t="n">
        <v>29</v>
      </c>
      <c r="K53" s="1"/>
      <c r="L53" s="1" t="n">
        <v>0</v>
      </c>
      <c r="M53" s="1" t="n">
        <v>0</v>
      </c>
      <c r="N53" s="1" t="s">
        <v>127</v>
      </c>
      <c r="O53" s="1"/>
      <c r="P53" s="1"/>
      <c r="Q53" s="1"/>
      <c r="R53" s="1"/>
      <c r="Z53" s="0" t="n">
        <f aca="false">I53+0</f>
        <v>303.7</v>
      </c>
      <c r="AB53" s="0" t="n">
        <f aca="false">IF(Z53&gt;360,Z53-360,Z53+0)</f>
        <v>303.7</v>
      </c>
    </row>
    <row r="54" customFormat="false" ht="15.8" hidden="false" customHeight="false" outlineLevel="0" collapsed="false">
      <c r="A54" s="1" t="n">
        <v>7</v>
      </c>
      <c r="B54" s="1" t="n">
        <v>8</v>
      </c>
      <c r="C54" s="1" t="n">
        <v>1.9</v>
      </c>
      <c r="D54" s="1" t="n">
        <v>1.0321</v>
      </c>
      <c r="E54" s="1" t="n">
        <v>0.0678848</v>
      </c>
      <c r="F54" s="1" t="n">
        <v>0.000195124</v>
      </c>
      <c r="G54" s="1" t="s">
        <v>42</v>
      </c>
      <c r="H54" s="1" t="n">
        <v>39</v>
      </c>
      <c r="I54" s="1" t="n">
        <v>219.6</v>
      </c>
      <c r="J54" s="1" t="n">
        <v>0</v>
      </c>
      <c r="K54" s="1" t="n">
        <v>84.8</v>
      </c>
      <c r="L54" s="1" t="n">
        <v>0</v>
      </c>
      <c r="M54" s="1" t="n">
        <v>0</v>
      </c>
      <c r="N54" s="1" t="s">
        <v>128</v>
      </c>
      <c r="O54" s="1"/>
      <c r="P54" s="1"/>
      <c r="Q54" s="1"/>
      <c r="R54" s="1"/>
      <c r="Z54" s="0" t="n">
        <f aca="false">I54+0</f>
        <v>219.6</v>
      </c>
      <c r="AB54" s="0" t="n">
        <f aca="false">IF(Z54&gt;360,Z54-360,Z54+0)</f>
        <v>219.6</v>
      </c>
    </row>
    <row r="55" customFormat="false" ht="15.8" hidden="false" customHeight="false" outlineLevel="0" collapsed="false">
      <c r="A55" s="1" t="n">
        <v>7</v>
      </c>
      <c r="B55" s="1" t="n">
        <v>9</v>
      </c>
      <c r="C55" s="1" t="n">
        <v>1.9</v>
      </c>
      <c r="D55" s="1" t="n">
        <v>1.2578</v>
      </c>
      <c r="E55" s="1" t="n">
        <v>0.0681349</v>
      </c>
      <c r="F55" s="1" t="n">
        <v>0.000195843</v>
      </c>
      <c r="G55" s="1" t="s">
        <v>27</v>
      </c>
      <c r="H55" s="1" t="n">
        <v>16</v>
      </c>
      <c r="I55" s="1" t="n">
        <v>160.7</v>
      </c>
      <c r="J55" s="1" t="n">
        <v>-51.3</v>
      </c>
      <c r="K55" s="1"/>
      <c r="L55" s="1" t="n">
        <v>0</v>
      </c>
      <c r="M55" s="1" t="n">
        <v>0</v>
      </c>
      <c r="N55" s="1" t="s">
        <v>129</v>
      </c>
      <c r="O55" s="1"/>
      <c r="P55" s="1"/>
      <c r="Q55" s="1"/>
      <c r="R55" s="1"/>
      <c r="Z55" s="0" t="n">
        <f aca="false">I55+0</f>
        <v>160.7</v>
      </c>
      <c r="AB55" s="0" t="n">
        <f aca="false">IF(Z55&gt;360,Z55-360,Z55+0)</f>
        <v>160.7</v>
      </c>
    </row>
    <row r="56" customFormat="false" ht="15.8" hidden="false" customHeight="false" outlineLevel="0" collapsed="false">
      <c r="A56" s="1" t="n">
        <v>7</v>
      </c>
      <c r="B56" s="1" t="n">
        <v>9</v>
      </c>
      <c r="C56" s="1" t="n">
        <v>0.9</v>
      </c>
      <c r="D56" s="1" t="n">
        <v>1.0077</v>
      </c>
      <c r="E56" s="1" t="n">
        <v>0.0330837</v>
      </c>
      <c r="F56" s="1" t="n">
        <v>9.50938E-005</v>
      </c>
      <c r="G56" s="1" t="s">
        <v>27</v>
      </c>
      <c r="H56" s="1" t="n">
        <v>78.2</v>
      </c>
      <c r="I56" s="1" t="n">
        <v>214.7</v>
      </c>
      <c r="J56" s="1" t="n">
        <v>0</v>
      </c>
      <c r="K56" s="1"/>
      <c r="L56" s="1" t="n">
        <v>0</v>
      </c>
      <c r="M56" s="1" t="n">
        <v>0</v>
      </c>
      <c r="N56" s="1" t="s">
        <v>129</v>
      </c>
      <c r="O56" s="1"/>
      <c r="P56" s="1"/>
      <c r="Q56" s="1"/>
      <c r="R56" s="1"/>
      <c r="Z56" s="0" t="n">
        <f aca="false">I56+0</f>
        <v>214.7</v>
      </c>
      <c r="AB56" s="0" t="n">
        <f aca="false">IF(Z56&gt;360,Z56-360,Z56+0)</f>
        <v>214.7</v>
      </c>
    </row>
    <row r="57" customFormat="false" ht="15.8" hidden="false" customHeight="false" outlineLevel="0" collapsed="false">
      <c r="A57" s="1" t="n">
        <v>7</v>
      </c>
      <c r="B57" s="1" t="n">
        <v>8</v>
      </c>
      <c r="C57" s="1" t="n">
        <v>2.1</v>
      </c>
      <c r="D57" s="1" t="n">
        <v>1.212</v>
      </c>
      <c r="E57" s="1" t="n">
        <v>0.0757533</v>
      </c>
      <c r="F57" s="1" t="n">
        <v>0.00021774</v>
      </c>
      <c r="G57" s="1" t="s">
        <v>42</v>
      </c>
      <c r="H57" s="1" t="n">
        <v>51.3</v>
      </c>
      <c r="I57" s="1" t="n">
        <v>140.9</v>
      </c>
      <c r="J57" s="1" t="n">
        <v>-42.5</v>
      </c>
      <c r="K57" s="1" t="n">
        <v>78.2</v>
      </c>
      <c r="L57" s="1" t="n">
        <v>0</v>
      </c>
      <c r="M57" s="1" t="n">
        <v>0</v>
      </c>
      <c r="N57" s="1" t="s">
        <v>128</v>
      </c>
      <c r="O57" s="1"/>
      <c r="P57" s="1"/>
      <c r="Q57" s="1"/>
      <c r="R57" s="1"/>
      <c r="Z57" s="0" t="n">
        <f aca="false">I57+0</f>
        <v>140.9</v>
      </c>
      <c r="AB57" s="0" t="n">
        <f aca="false">IF(Z57&gt;360,Z57-360,Z57+0)</f>
        <v>140.9</v>
      </c>
    </row>
    <row r="58" customFormat="false" ht="15.8" hidden="false" customHeight="false" outlineLevel="0" collapsed="false">
      <c r="A58" s="1" t="n">
        <v>7</v>
      </c>
      <c r="B58" s="1" t="n">
        <v>7</v>
      </c>
      <c r="C58" s="1" t="n">
        <v>5.1</v>
      </c>
      <c r="D58" s="1" t="n">
        <v>1.2436</v>
      </c>
      <c r="E58" s="1" t="n">
        <v>0.18574</v>
      </c>
      <c r="F58" s="1" t="n">
        <v>0.000533879</v>
      </c>
      <c r="G58" s="1" t="s">
        <v>42</v>
      </c>
      <c r="H58" s="1" t="n">
        <v>83.3</v>
      </c>
      <c r="I58" s="1" t="n">
        <v>181</v>
      </c>
      <c r="J58" s="1" t="n">
        <v>-5.4</v>
      </c>
      <c r="K58" s="1" t="n">
        <v>51.3</v>
      </c>
      <c r="L58" s="1" t="n">
        <v>0</v>
      </c>
      <c r="M58" s="1" t="n">
        <v>0</v>
      </c>
      <c r="N58" s="1" t="s">
        <v>130</v>
      </c>
      <c r="O58" s="1"/>
      <c r="P58" s="1"/>
      <c r="Q58" s="1"/>
      <c r="R58" s="1"/>
      <c r="Z58" s="0" t="n">
        <f aca="false">I58+0</f>
        <v>181</v>
      </c>
      <c r="AB58" s="0" t="n">
        <f aca="false">IF(Z58&gt;360,Z58-360,Z58+0)</f>
        <v>181</v>
      </c>
    </row>
    <row r="59" customFormat="false" ht="15.8" hidden="false" customHeight="false" outlineLevel="0" collapsed="false">
      <c r="A59" s="1" t="n">
        <v>7</v>
      </c>
      <c r="B59" s="1" t="n">
        <v>7</v>
      </c>
      <c r="C59" s="1" t="n">
        <v>1.4</v>
      </c>
      <c r="D59" s="1" t="n">
        <v>1.1046</v>
      </c>
      <c r="E59" s="1" t="n">
        <v>0.0521751</v>
      </c>
      <c r="F59" s="1" t="n">
        <v>0.000149969</v>
      </c>
      <c r="G59" s="1" t="s">
        <v>27</v>
      </c>
      <c r="H59" s="1" t="n">
        <v>35.6</v>
      </c>
      <c r="I59" s="1" t="n">
        <v>36.2</v>
      </c>
      <c r="J59" s="1" t="n">
        <v>63.5</v>
      </c>
      <c r="K59" s="1"/>
      <c r="L59" s="1" t="n">
        <v>0</v>
      </c>
      <c r="M59" s="1" t="n">
        <v>0</v>
      </c>
      <c r="N59" s="1" t="s">
        <v>130</v>
      </c>
      <c r="O59" s="1"/>
      <c r="P59" s="1"/>
      <c r="Q59" s="1"/>
      <c r="R59" s="1"/>
      <c r="Z59" s="0" t="n">
        <f aca="false">I59+0</f>
        <v>36.2</v>
      </c>
      <c r="AB59" s="0" t="n">
        <f aca="false">IF(Z59&gt;360,Z59-360,Z59+0)</f>
        <v>36.2</v>
      </c>
    </row>
    <row r="60" customFormat="false" ht="15.8" hidden="false" customHeight="false" outlineLevel="0" collapsed="false">
      <c r="A60" s="1" t="n">
        <v>7</v>
      </c>
      <c r="B60" s="1" t="n">
        <v>6</v>
      </c>
      <c r="C60" s="1" t="n">
        <v>2.4</v>
      </c>
      <c r="D60" s="1" t="n">
        <v>1.3002</v>
      </c>
      <c r="E60" s="1" t="n">
        <v>0.0863662</v>
      </c>
      <c r="F60" s="1" t="n">
        <v>0.000248245</v>
      </c>
      <c r="G60" s="1" t="s">
        <v>42</v>
      </c>
      <c r="H60" s="1" t="n">
        <v>103.5</v>
      </c>
      <c r="I60" s="1" t="n">
        <v>112.9</v>
      </c>
      <c r="J60" s="1" t="n">
        <v>58</v>
      </c>
      <c r="K60" s="1" t="n">
        <v>83.3</v>
      </c>
      <c r="L60" s="1" t="n">
        <v>0</v>
      </c>
      <c r="M60" s="1" t="n">
        <v>0</v>
      </c>
      <c r="N60" s="1" t="s">
        <v>131</v>
      </c>
      <c r="O60" s="1"/>
      <c r="P60" s="1"/>
      <c r="Q60" s="1"/>
      <c r="R60" s="1"/>
      <c r="Z60" s="0" t="n">
        <f aca="false">I60+0</f>
        <v>112.9</v>
      </c>
      <c r="AB60" s="0" t="n">
        <f aca="false">IF(Z60&gt;360,Z60-360,Z60+0)</f>
        <v>112.9</v>
      </c>
    </row>
    <row r="61" customFormat="false" ht="15.8" hidden="false" customHeight="false" outlineLevel="0" collapsed="false">
      <c r="A61" s="1" t="n">
        <v>7</v>
      </c>
      <c r="B61" s="1" t="n">
        <v>9</v>
      </c>
      <c r="C61" s="1" t="n">
        <v>5.9</v>
      </c>
      <c r="D61" s="1" t="n">
        <v>1.2928</v>
      </c>
      <c r="E61" s="1" t="n">
        <v>0.212395</v>
      </c>
      <c r="F61" s="1" t="n">
        <v>0.000610493</v>
      </c>
      <c r="G61" s="1" t="s">
        <v>27</v>
      </c>
      <c r="H61" s="1" t="n">
        <v>48.9</v>
      </c>
      <c r="I61" s="1" t="n">
        <v>167.6</v>
      </c>
      <c r="J61" s="1" t="n">
        <v>-25.4</v>
      </c>
      <c r="K61" s="1"/>
      <c r="L61" s="1" t="n">
        <v>0</v>
      </c>
      <c r="M61" s="1" t="n">
        <v>0</v>
      </c>
      <c r="N61" s="1" t="s">
        <v>132</v>
      </c>
      <c r="O61" s="1"/>
      <c r="P61" s="1"/>
      <c r="Q61" s="1"/>
      <c r="R61" s="1"/>
      <c r="Z61" s="0" t="n">
        <f aca="false">I61+0</f>
        <v>167.6</v>
      </c>
      <c r="AB61" s="0" t="n">
        <f aca="false">IF(Z61&gt;360,Z61-360,Z61+0)</f>
        <v>167.6</v>
      </c>
    </row>
    <row r="62" customFormat="false" ht="15.8" hidden="false" customHeight="false" outlineLevel="0" collapsed="false">
      <c r="A62" s="1" t="n">
        <v>7</v>
      </c>
      <c r="B62" s="1" t="n">
        <v>9</v>
      </c>
      <c r="C62" s="1" t="n">
        <v>0.7</v>
      </c>
      <c r="D62" s="1" t="n">
        <v>1.0204</v>
      </c>
      <c r="E62" s="1" t="n">
        <v>0.0248606</v>
      </c>
      <c r="F62" s="1" t="n">
        <v>7.14577E-005</v>
      </c>
      <c r="G62" s="1" t="s">
        <v>27</v>
      </c>
      <c r="H62" s="1" t="n">
        <v>63.8</v>
      </c>
      <c r="I62" s="1" t="n">
        <v>60.4</v>
      </c>
      <c r="J62" s="1" t="n">
        <v>0</v>
      </c>
      <c r="K62" s="1"/>
      <c r="L62" s="1" t="n">
        <v>0</v>
      </c>
      <c r="M62" s="1" t="n">
        <v>0</v>
      </c>
      <c r="N62" s="1" t="s">
        <v>132</v>
      </c>
      <c r="O62" s="1"/>
      <c r="P62" s="1"/>
      <c r="Q62" s="1"/>
      <c r="R62" s="1"/>
      <c r="Z62" s="0" t="n">
        <f aca="false">I62+0</f>
        <v>60.4</v>
      </c>
      <c r="AB62" s="0" t="n">
        <f aca="false">IF(Z62&gt;360,Z62-360,Z62+0)</f>
        <v>60.4</v>
      </c>
    </row>
    <row r="63" customFormat="false" ht="15.8" hidden="false" customHeight="false" outlineLevel="0" collapsed="false">
      <c r="A63" s="1" t="n">
        <v>7</v>
      </c>
      <c r="B63" s="1" t="n">
        <v>8</v>
      </c>
      <c r="C63" s="1" t="n">
        <v>0.7</v>
      </c>
      <c r="D63" s="1" t="n">
        <v>1.0586</v>
      </c>
      <c r="E63" s="1" t="n">
        <v>0.0265817</v>
      </c>
      <c r="F63" s="1" t="n">
        <v>7.64046E-005</v>
      </c>
      <c r="G63" s="1" t="s">
        <v>42</v>
      </c>
      <c r="H63" s="1" t="n">
        <v>54.1</v>
      </c>
      <c r="I63" s="1" t="n">
        <v>124.2</v>
      </c>
      <c r="J63" s="1" t="n">
        <v>0</v>
      </c>
      <c r="K63" s="1" t="n">
        <v>63.8</v>
      </c>
      <c r="L63" s="1" t="n">
        <v>0</v>
      </c>
      <c r="M63" s="1" t="n">
        <v>0</v>
      </c>
      <c r="N63" s="1" t="s">
        <v>133</v>
      </c>
      <c r="O63" s="1"/>
      <c r="P63" s="1"/>
      <c r="Q63" s="1"/>
      <c r="R63" s="1"/>
      <c r="Z63" s="0" t="n">
        <f aca="false">I63+0</f>
        <v>124.2</v>
      </c>
      <c r="AB63" s="0" t="n">
        <f aca="false">IF(Z63&gt;360,Z63-360,Z63+0)</f>
        <v>124.2</v>
      </c>
    </row>
    <row r="64" customFormat="false" ht="15.8" hidden="false" customHeight="false" outlineLevel="0" collapsed="false">
      <c r="A64" s="1" t="n">
        <v>7</v>
      </c>
      <c r="B64" s="1" t="n">
        <v>8</v>
      </c>
      <c r="C64" s="1" t="n">
        <v>0.9</v>
      </c>
      <c r="D64" s="1" t="n">
        <v>1.0267</v>
      </c>
      <c r="E64" s="1" t="n">
        <v>0.0319636</v>
      </c>
      <c r="F64" s="1" t="n">
        <v>9.1874E-005</v>
      </c>
      <c r="G64" s="1" t="s">
        <v>27</v>
      </c>
      <c r="H64" s="1" t="n">
        <v>86.9</v>
      </c>
      <c r="I64" s="1" t="n">
        <v>226.1</v>
      </c>
      <c r="J64" s="1" t="n">
        <v>0</v>
      </c>
      <c r="K64" s="1"/>
      <c r="L64" s="1" t="n">
        <v>0</v>
      </c>
      <c r="M64" s="1" t="n">
        <v>0</v>
      </c>
      <c r="N64" s="1" t="s">
        <v>133</v>
      </c>
      <c r="O64" s="1"/>
      <c r="P64" s="1"/>
      <c r="Q64" s="1"/>
      <c r="R64" s="1"/>
      <c r="Z64" s="0" t="n">
        <f aca="false">I64+0</f>
        <v>226.1</v>
      </c>
      <c r="AB64" s="0" t="n">
        <f aca="false">IF(Z64&gt;360,Z64-360,Z64+0)</f>
        <v>226.1</v>
      </c>
    </row>
    <row r="65" customFormat="false" ht="15.8" hidden="false" customHeight="false" outlineLevel="0" collapsed="false">
      <c r="A65" s="1" t="n">
        <v>7</v>
      </c>
      <c r="B65" s="1" t="n">
        <v>7</v>
      </c>
      <c r="C65" s="1" t="n">
        <v>1.2</v>
      </c>
      <c r="D65" s="1" t="n">
        <v>1.178</v>
      </c>
      <c r="E65" s="1" t="n">
        <v>0.0420059</v>
      </c>
      <c r="F65" s="1" t="n">
        <v>0.000120739</v>
      </c>
      <c r="G65" s="1" t="s">
        <v>42</v>
      </c>
      <c r="H65" s="1" t="n">
        <v>26.7</v>
      </c>
      <c r="I65" s="1" t="n">
        <v>141.2</v>
      </c>
      <c r="J65" s="1" t="n">
        <v>-52.2</v>
      </c>
      <c r="K65" s="1" t="n">
        <v>86.9</v>
      </c>
      <c r="L65" s="1" t="n">
        <v>0</v>
      </c>
      <c r="M65" s="1" t="n">
        <v>0</v>
      </c>
      <c r="N65" s="1" t="s">
        <v>134</v>
      </c>
      <c r="O65" s="1"/>
      <c r="P65" s="1"/>
      <c r="Q65" s="1"/>
      <c r="R65" s="1"/>
      <c r="Z65" s="0" t="n">
        <f aca="false">I65+0</f>
        <v>141.2</v>
      </c>
      <c r="AB65" s="0" t="n">
        <f aca="false">IF(Z65&gt;360,Z65-360,Z65+0)</f>
        <v>141.2</v>
      </c>
    </row>
    <row r="66" customFormat="false" ht="15.8" hidden="false" customHeight="false" outlineLevel="0" collapsed="false">
      <c r="A66" s="1" t="n">
        <v>7</v>
      </c>
      <c r="B66" s="1" t="n">
        <v>7</v>
      </c>
      <c r="C66" s="1" t="n">
        <v>1.9</v>
      </c>
      <c r="D66" s="1" t="n">
        <v>1.7194</v>
      </c>
      <c r="E66" s="1" t="n">
        <v>0.0688433</v>
      </c>
      <c r="F66" s="1" t="n">
        <v>0.000197879</v>
      </c>
      <c r="G66" s="1" t="s">
        <v>27</v>
      </c>
      <c r="H66" s="1" t="n">
        <v>102.4</v>
      </c>
      <c r="I66" s="1" t="n">
        <v>326.3</v>
      </c>
      <c r="J66" s="1" t="n">
        <v>-44.7</v>
      </c>
      <c r="K66" s="1"/>
      <c r="L66" s="1" t="n">
        <v>0</v>
      </c>
      <c r="M66" s="1" t="n">
        <v>0</v>
      </c>
      <c r="N66" s="1" t="s">
        <v>134</v>
      </c>
      <c r="O66" s="1"/>
      <c r="P66" s="1"/>
      <c r="Q66" s="1"/>
      <c r="R66" s="1"/>
      <c r="Z66" s="0" t="n">
        <f aca="false">I66+0</f>
        <v>326.3</v>
      </c>
      <c r="AB66" s="0" t="n">
        <f aca="false">IF(Z66&gt;360,Z66-360,Z66+0)</f>
        <v>326.3</v>
      </c>
    </row>
    <row r="67" customFormat="false" ht="15.8" hidden="false" customHeight="false" outlineLevel="0" collapsed="false">
      <c r="A67" s="1" t="n">
        <v>7</v>
      </c>
      <c r="B67" s="1" t="n">
        <v>6</v>
      </c>
      <c r="C67" s="1" t="n">
        <v>4.9</v>
      </c>
      <c r="D67" s="1" t="n">
        <v>1.2914</v>
      </c>
      <c r="E67" s="1" t="n">
        <v>0.175596</v>
      </c>
      <c r="F67" s="1" t="n">
        <v>0.000504723</v>
      </c>
      <c r="G67" s="1" t="s">
        <v>42</v>
      </c>
      <c r="H67" s="1" t="n">
        <v>7.4</v>
      </c>
      <c r="I67" s="1" t="n">
        <v>163.8</v>
      </c>
      <c r="J67" s="1" t="n">
        <v>-31.2</v>
      </c>
      <c r="K67" s="1" t="n">
        <v>102.4</v>
      </c>
      <c r="L67" s="1" t="n">
        <v>0</v>
      </c>
      <c r="M67" s="1" t="n">
        <v>0</v>
      </c>
      <c r="N67" s="1" t="s">
        <v>131</v>
      </c>
      <c r="O67" s="1"/>
      <c r="P67" s="1"/>
      <c r="Q67" s="1"/>
      <c r="R67" s="1"/>
      <c r="Z67" s="0" t="n">
        <f aca="false">I67+0</f>
        <v>163.8</v>
      </c>
      <c r="AB67" s="0" t="n">
        <f aca="false">IF(Z67&gt;360,Z67-360,Z67+0)</f>
        <v>163.8</v>
      </c>
    </row>
    <row r="68" customFormat="false" ht="15.8" hidden="false" customHeight="false" outlineLevel="0" collapsed="false">
      <c r="A68" s="1" t="n">
        <v>7</v>
      </c>
      <c r="B68" s="1" t="n">
        <v>5</v>
      </c>
      <c r="C68" s="1" t="n">
        <v>0.9</v>
      </c>
      <c r="D68" s="1" t="n">
        <v>1.1859</v>
      </c>
      <c r="E68" s="1" t="n">
        <v>0.0307691</v>
      </c>
      <c r="F68" s="1" t="n">
        <v>8.84408E-005</v>
      </c>
      <c r="G68" s="1" t="s">
        <v>42</v>
      </c>
      <c r="H68" s="1" t="n">
        <v>63.8</v>
      </c>
      <c r="I68" s="1" t="n">
        <v>172.3</v>
      </c>
      <c r="J68" s="1" t="n">
        <v>-32.9</v>
      </c>
      <c r="K68" s="1" t="n">
        <v>103.5</v>
      </c>
      <c r="L68" s="1" t="n">
        <v>0</v>
      </c>
      <c r="M68" s="1" t="n">
        <v>0</v>
      </c>
      <c r="N68" s="1" t="s">
        <v>135</v>
      </c>
      <c r="O68" s="1"/>
      <c r="P68" s="1"/>
      <c r="Q68" s="1"/>
      <c r="R68" s="1"/>
      <c r="Z68" s="0" t="n">
        <f aca="false">I68+0</f>
        <v>172.3</v>
      </c>
      <c r="AB68" s="0" t="n">
        <f aca="false">IF(Z68&gt;360,Z68-360,Z68+0)</f>
        <v>172.3</v>
      </c>
    </row>
    <row r="69" customFormat="false" ht="15.8" hidden="false" customHeight="false" outlineLevel="0" collapsed="false">
      <c r="A69" s="1" t="n">
        <v>7</v>
      </c>
      <c r="B69" s="1" t="n">
        <v>8</v>
      </c>
      <c r="C69" s="1" t="n">
        <v>2.8</v>
      </c>
      <c r="D69" s="1" t="n">
        <v>1.2895</v>
      </c>
      <c r="E69" s="1" t="n">
        <v>0.102634</v>
      </c>
      <c r="F69" s="1" t="n">
        <v>0.000295005</v>
      </c>
      <c r="G69" s="1" t="s">
        <v>27</v>
      </c>
      <c r="H69" s="1" t="n">
        <v>22.1</v>
      </c>
      <c r="I69" s="1" t="n">
        <v>328.9</v>
      </c>
      <c r="J69" s="1" t="n">
        <v>32.1</v>
      </c>
      <c r="K69" s="1"/>
      <c r="L69" s="1" t="n">
        <v>0</v>
      </c>
      <c r="M69" s="1" t="n">
        <v>0</v>
      </c>
      <c r="N69" s="1" t="s">
        <v>136</v>
      </c>
      <c r="O69" s="1"/>
      <c r="P69" s="1"/>
      <c r="Q69" s="1"/>
      <c r="R69" s="1"/>
      <c r="Z69" s="0" t="n">
        <f aca="false">I69+0</f>
        <v>328.9</v>
      </c>
      <c r="AB69" s="0" t="n">
        <f aca="false">IF(Z69&gt;360,Z69-360,Z69+0)</f>
        <v>328.9</v>
      </c>
    </row>
    <row r="70" customFormat="false" ht="15.8" hidden="false" customHeight="false" outlineLevel="0" collapsed="false">
      <c r="A70" s="1" t="n">
        <v>7</v>
      </c>
      <c r="B70" s="1" t="n">
        <v>8</v>
      </c>
      <c r="C70" s="1" t="n">
        <v>2</v>
      </c>
      <c r="D70" s="1" t="n">
        <v>1.1701</v>
      </c>
      <c r="E70" s="1" t="n">
        <v>0.0729719</v>
      </c>
      <c r="F70" s="1" t="n">
        <v>0.000209746</v>
      </c>
      <c r="G70" s="1" t="s">
        <v>27</v>
      </c>
      <c r="H70" s="1" t="n">
        <v>105.6</v>
      </c>
      <c r="I70" s="1" t="n">
        <v>208.1</v>
      </c>
      <c r="J70" s="1" t="n">
        <v>-13.1</v>
      </c>
      <c r="K70" s="1"/>
      <c r="L70" s="1" t="n">
        <v>0</v>
      </c>
      <c r="M70" s="1" t="n">
        <v>0</v>
      </c>
      <c r="N70" s="1" t="s">
        <v>136</v>
      </c>
      <c r="O70" s="1"/>
      <c r="P70" s="1"/>
      <c r="Q70" s="1"/>
      <c r="R70" s="1"/>
      <c r="Z70" s="0" t="n">
        <f aca="false">I70+0</f>
        <v>208.1</v>
      </c>
      <c r="AB70" s="0" t="n">
        <f aca="false">IF(Z70&gt;360,Z70-360,Z70+0)</f>
        <v>208.1</v>
      </c>
    </row>
    <row r="71" customFormat="false" ht="15.8" hidden="false" customHeight="false" outlineLevel="0" collapsed="false">
      <c r="A71" s="1" t="n">
        <v>7</v>
      </c>
      <c r="B71" s="1" t="n">
        <v>7</v>
      </c>
      <c r="C71" s="1" t="n">
        <v>4.8</v>
      </c>
      <c r="D71" s="1" t="n">
        <v>1.4974</v>
      </c>
      <c r="E71" s="1" t="n">
        <v>0.173989</v>
      </c>
      <c r="F71" s="1" t="n">
        <v>0.000500102</v>
      </c>
      <c r="G71" s="1" t="s">
        <v>42</v>
      </c>
      <c r="H71" s="1" t="n">
        <v>70.6</v>
      </c>
      <c r="I71" s="1" t="n">
        <v>307.2</v>
      </c>
      <c r="J71" s="1" t="n">
        <v>46.7</v>
      </c>
      <c r="K71" s="1" t="n">
        <v>105.6</v>
      </c>
      <c r="L71" s="1" t="n">
        <v>0</v>
      </c>
      <c r="M71" s="1" t="n">
        <v>0</v>
      </c>
      <c r="N71" s="1" t="s">
        <v>137</v>
      </c>
      <c r="O71" s="1"/>
      <c r="P71" s="1"/>
      <c r="Q71" s="1"/>
      <c r="R71" s="1"/>
      <c r="Z71" s="0" t="n">
        <f aca="false">I71+0</f>
        <v>307.2</v>
      </c>
      <c r="AB71" s="0" t="n">
        <f aca="false">IF(Z71&gt;360,Z71-360,Z71+0)</f>
        <v>307.2</v>
      </c>
    </row>
    <row r="72" customFormat="false" ht="15.8" hidden="false" customHeight="false" outlineLevel="0" collapsed="false">
      <c r="A72" s="1" t="n">
        <v>7</v>
      </c>
      <c r="B72" s="1" t="n">
        <v>7</v>
      </c>
      <c r="C72" s="1" t="n">
        <v>2.6</v>
      </c>
      <c r="D72" s="1" t="n">
        <v>1.1382</v>
      </c>
      <c r="E72" s="1" t="n">
        <v>0.0934764</v>
      </c>
      <c r="F72" s="1" t="n">
        <v>0.000268682</v>
      </c>
      <c r="G72" s="1" t="s">
        <v>27</v>
      </c>
      <c r="H72" s="1" t="n">
        <v>62.2</v>
      </c>
      <c r="I72" s="1" t="n">
        <v>162.7</v>
      </c>
      <c r="J72" s="1" t="n">
        <v>-9.9</v>
      </c>
      <c r="K72" s="1"/>
      <c r="L72" s="1" t="n">
        <v>0</v>
      </c>
      <c r="M72" s="1" t="n">
        <v>0</v>
      </c>
      <c r="N72" s="1" t="s">
        <v>137</v>
      </c>
      <c r="O72" s="1"/>
      <c r="P72" s="1"/>
      <c r="Q72" s="1"/>
      <c r="R72" s="1"/>
      <c r="Z72" s="0" t="n">
        <f aca="false">I72+0</f>
        <v>162.7</v>
      </c>
      <c r="AB72" s="0" t="n">
        <f aca="false">IF(Z72&gt;360,Z72-360,Z72+0)</f>
        <v>162.7</v>
      </c>
    </row>
    <row r="73" customFormat="false" ht="15.8" hidden="false" customHeight="false" outlineLevel="0" collapsed="false">
      <c r="A73" s="1" t="n">
        <v>7</v>
      </c>
      <c r="B73" s="1" t="n">
        <v>6</v>
      </c>
      <c r="C73" s="1" t="n">
        <v>2.2</v>
      </c>
      <c r="D73" s="1" t="n">
        <v>1.3413</v>
      </c>
      <c r="E73" s="1" t="n">
        <v>0.0800182</v>
      </c>
      <c r="F73" s="1" t="n">
        <v>0.000229999</v>
      </c>
      <c r="G73" s="1" t="s">
        <v>42</v>
      </c>
      <c r="H73" s="1" t="n">
        <v>45.8</v>
      </c>
      <c r="I73" s="1" t="n">
        <v>194.9</v>
      </c>
      <c r="J73" s="1" t="n">
        <v>45.1</v>
      </c>
      <c r="K73" s="1" t="n">
        <v>70.6</v>
      </c>
      <c r="L73" s="1" t="n">
        <v>0</v>
      </c>
      <c r="M73" s="1" t="n">
        <v>0</v>
      </c>
      <c r="N73" s="1" t="s">
        <v>138</v>
      </c>
      <c r="O73" s="1"/>
      <c r="P73" s="1"/>
      <c r="Q73" s="1"/>
      <c r="R73" s="1"/>
      <c r="Z73" s="0" t="n">
        <f aca="false">I73+0</f>
        <v>194.9</v>
      </c>
      <c r="AB73" s="0" t="n">
        <f aca="false">IF(Z73&gt;360,Z73-360,Z73+0)</f>
        <v>194.9</v>
      </c>
    </row>
    <row r="74" customFormat="false" ht="15.8" hidden="false" customHeight="false" outlineLevel="0" collapsed="false">
      <c r="A74" s="1" t="n">
        <v>7</v>
      </c>
      <c r="B74" s="1" t="n">
        <v>6</v>
      </c>
      <c r="C74" s="1" t="n">
        <v>6.4</v>
      </c>
      <c r="D74" s="1" t="n">
        <v>1.4309</v>
      </c>
      <c r="E74" s="1" t="n">
        <v>0.23141</v>
      </c>
      <c r="F74" s="1" t="n">
        <v>0.000665148</v>
      </c>
      <c r="G74" s="1" t="s">
        <v>27</v>
      </c>
      <c r="H74" s="1" t="n">
        <v>49.6</v>
      </c>
      <c r="I74" s="1" t="n">
        <v>159.8</v>
      </c>
      <c r="J74" s="1" t="n">
        <v>-25.8</v>
      </c>
      <c r="K74" s="1"/>
      <c r="L74" s="1" t="n">
        <v>0</v>
      </c>
      <c r="M74" s="1" t="n">
        <v>0</v>
      </c>
      <c r="N74" s="1" t="s">
        <v>138</v>
      </c>
      <c r="O74" s="1"/>
      <c r="P74" s="1"/>
      <c r="Q74" s="1"/>
      <c r="R74" s="1"/>
      <c r="Z74" s="0" t="n">
        <f aca="false">I74+0</f>
        <v>159.8</v>
      </c>
      <c r="AB74" s="0" t="n">
        <f aca="false">IF(Z74&gt;360,Z74-360,Z74+0)</f>
        <v>159.8</v>
      </c>
    </row>
    <row r="75" customFormat="false" ht="15.8" hidden="false" customHeight="false" outlineLevel="0" collapsed="false">
      <c r="A75" s="1" t="n">
        <v>7</v>
      </c>
      <c r="B75" s="1" t="n">
        <v>5</v>
      </c>
      <c r="C75" s="1" t="n">
        <v>4.7</v>
      </c>
      <c r="D75" s="1" t="n">
        <v>1.5665</v>
      </c>
      <c r="E75" s="1" t="n">
        <v>0.169823</v>
      </c>
      <c r="F75" s="1" t="n">
        <v>0.000488128</v>
      </c>
      <c r="G75" s="1" t="s">
        <v>42</v>
      </c>
      <c r="H75" s="1" t="n">
        <v>56.5</v>
      </c>
      <c r="I75" s="1" t="n">
        <v>203.7</v>
      </c>
      <c r="J75" s="1" t="n">
        <v>0</v>
      </c>
      <c r="K75" s="1" t="n">
        <v>49.6</v>
      </c>
      <c r="L75" s="1" t="n">
        <v>0</v>
      </c>
      <c r="M75" s="1" t="n">
        <v>0</v>
      </c>
      <c r="N75" s="1" t="s">
        <v>135</v>
      </c>
      <c r="O75" s="1"/>
      <c r="P75" s="1"/>
      <c r="Q75" s="1"/>
      <c r="R75" s="1"/>
      <c r="Z75" s="0" t="n">
        <f aca="false">I75+0</f>
        <v>203.7</v>
      </c>
      <c r="AB75" s="0" t="n">
        <f aca="false">IF(Z75&gt;360,Z75-360,Z75+0)</f>
        <v>203.7</v>
      </c>
    </row>
    <row r="76" customFormat="false" ht="15.8" hidden="false" customHeight="false" outlineLevel="0" collapsed="false">
      <c r="A76" s="1" t="n">
        <v>7</v>
      </c>
      <c r="B76" s="1" t="n">
        <v>5</v>
      </c>
      <c r="C76" s="1" t="n">
        <v>4.5</v>
      </c>
      <c r="D76" s="1" t="n">
        <v>1.2976</v>
      </c>
      <c r="E76" s="1" t="n">
        <v>0.162942</v>
      </c>
      <c r="F76" s="1" t="n">
        <v>0.000468349</v>
      </c>
      <c r="G76" s="1" t="s">
        <v>27</v>
      </c>
      <c r="H76" s="1" t="n">
        <v>87.6</v>
      </c>
      <c r="I76" s="1" t="n">
        <v>345.2</v>
      </c>
      <c r="J76" s="1" t="n">
        <v>63.8</v>
      </c>
      <c r="K76" s="1"/>
      <c r="L76" s="1" t="n">
        <v>0</v>
      </c>
      <c r="M76" s="1" t="n">
        <v>0</v>
      </c>
      <c r="N76" s="1" t="s">
        <v>135</v>
      </c>
      <c r="O76" s="1"/>
      <c r="P76" s="1"/>
      <c r="Q76" s="1"/>
      <c r="R76" s="1"/>
      <c r="Z76" s="0" t="n">
        <f aca="false">I76+0</f>
        <v>345.2</v>
      </c>
      <c r="AB76" s="0" t="n">
        <f aca="false">IF(Z76&gt;360,Z76-360,Z76+0)</f>
        <v>345.2</v>
      </c>
    </row>
    <row r="77" customFormat="false" ht="15.8" hidden="false" customHeight="false" outlineLevel="0" collapsed="false">
      <c r="A77" s="1" t="n">
        <v>7</v>
      </c>
      <c r="B77" s="1" t="n">
        <v>4</v>
      </c>
      <c r="C77" s="1" t="n">
        <v>1.9</v>
      </c>
      <c r="D77" s="1" t="n">
        <v>1.1672</v>
      </c>
      <c r="E77" s="1" t="n">
        <v>0.0699944</v>
      </c>
      <c r="F77" s="1" t="n">
        <v>0.000201187</v>
      </c>
      <c r="G77" s="1" t="s">
        <v>42</v>
      </c>
      <c r="H77" s="1" t="n">
        <v>33.1</v>
      </c>
      <c r="I77" s="1" t="n">
        <v>152.4</v>
      </c>
      <c r="J77" s="1" t="n">
        <v>28</v>
      </c>
      <c r="K77" s="1" t="n">
        <v>87.6</v>
      </c>
      <c r="L77" s="1" t="n">
        <v>0</v>
      </c>
      <c r="M77" s="1" t="n">
        <v>0</v>
      </c>
      <c r="N77" s="1" t="s">
        <v>139</v>
      </c>
      <c r="O77" s="1"/>
      <c r="P77" s="1"/>
      <c r="Q77" s="1"/>
      <c r="R77" s="1"/>
      <c r="Z77" s="0" t="n">
        <f aca="false">I77+0</f>
        <v>152.4</v>
      </c>
      <c r="AB77" s="0" t="n">
        <f aca="false">IF(Z77&gt;360,Z77-360,Z77+0)</f>
        <v>152.4</v>
      </c>
    </row>
    <row r="78" customFormat="false" ht="15.8" hidden="false" customHeight="false" outlineLevel="0" collapsed="false">
      <c r="A78" s="1" t="n">
        <v>7</v>
      </c>
      <c r="B78" s="1" t="n">
        <v>4</v>
      </c>
      <c r="C78" s="1" t="n">
        <v>2.1</v>
      </c>
      <c r="D78" s="1" t="n">
        <v>1.39</v>
      </c>
      <c r="E78" s="1" t="n">
        <v>0.0765533</v>
      </c>
      <c r="F78" s="1" t="n">
        <v>0.00022004</v>
      </c>
      <c r="G78" s="1" t="s">
        <v>27</v>
      </c>
      <c r="H78" s="1" t="n">
        <v>91.8</v>
      </c>
      <c r="I78" s="1" t="n">
        <v>41.2</v>
      </c>
      <c r="J78" s="1" t="n">
        <v>-50.1</v>
      </c>
      <c r="K78" s="1"/>
      <c r="L78" s="1" t="n">
        <v>0</v>
      </c>
      <c r="M78" s="1" t="n">
        <v>0</v>
      </c>
      <c r="N78" s="1" t="s">
        <v>139</v>
      </c>
      <c r="O78" s="1"/>
      <c r="P78" s="1"/>
      <c r="Q78" s="1"/>
      <c r="R78" s="1"/>
      <c r="Z78" s="0" t="n">
        <f aca="false">I78+0</f>
        <v>41.2</v>
      </c>
      <c r="AB78" s="0" t="n">
        <f aca="false">IF(Z78&gt;360,Z78-360,Z78+0)</f>
        <v>41.2</v>
      </c>
    </row>
    <row r="79" customFormat="false" ht="15.8" hidden="false" customHeight="false" outlineLevel="0" collapsed="false">
      <c r="A79" s="1" t="n">
        <v>7</v>
      </c>
      <c r="B79" s="1" t="n">
        <v>3</v>
      </c>
      <c r="C79" s="1" t="n">
        <v>2.1</v>
      </c>
      <c r="D79" s="1" t="n">
        <v>1.4015</v>
      </c>
      <c r="E79" s="1" t="n">
        <v>0.0753231</v>
      </c>
      <c r="F79" s="1" t="n">
        <v>0.000216504</v>
      </c>
      <c r="G79" s="1" t="s">
        <v>42</v>
      </c>
      <c r="H79" s="1" t="n">
        <v>53.1</v>
      </c>
      <c r="I79" s="1" t="n">
        <v>134.1</v>
      </c>
      <c r="J79" s="1" t="n">
        <v>0</v>
      </c>
      <c r="K79" s="1" t="n">
        <v>91.8</v>
      </c>
      <c r="L79" s="1" t="n">
        <v>0</v>
      </c>
      <c r="M79" s="1" t="n">
        <v>0</v>
      </c>
      <c r="N79" s="1" t="s">
        <v>140</v>
      </c>
      <c r="O79" s="1"/>
      <c r="P79" s="1"/>
      <c r="Q79" s="1"/>
      <c r="R79" s="1"/>
      <c r="Z79" s="0" t="n">
        <f aca="false">I79+0</f>
        <v>134.1</v>
      </c>
      <c r="AB79" s="0" t="n">
        <f aca="false">IF(Z79&gt;360,Z79-360,Z79+0)</f>
        <v>134.1</v>
      </c>
    </row>
    <row r="80" customFormat="false" ht="15.8" hidden="false" customHeight="false" outlineLevel="0" collapsed="false">
      <c r="A80" s="1" t="n">
        <v>7</v>
      </c>
      <c r="B80" s="1" t="n">
        <v>7</v>
      </c>
      <c r="C80" s="1" t="n">
        <v>8.2</v>
      </c>
      <c r="D80" s="1" t="n">
        <v>1.6089</v>
      </c>
      <c r="E80" s="1" t="n">
        <v>0.295091</v>
      </c>
      <c r="F80" s="1" t="n">
        <v>0.00084819</v>
      </c>
      <c r="G80" s="1" t="s">
        <v>27</v>
      </c>
      <c r="H80" s="1" t="n">
        <v>37.4</v>
      </c>
      <c r="I80" s="1" t="n">
        <v>199.1</v>
      </c>
      <c r="J80" s="1" t="n">
        <v>67.2</v>
      </c>
      <c r="K80" s="1"/>
      <c r="L80" s="1" t="n">
        <v>0</v>
      </c>
      <c r="M80" s="1" t="n">
        <v>0</v>
      </c>
      <c r="N80" s="1" t="s">
        <v>141</v>
      </c>
      <c r="O80" s="1"/>
      <c r="P80" s="1"/>
      <c r="Q80" s="1"/>
      <c r="R80" s="1"/>
      <c r="Z80" s="0" t="n">
        <f aca="false">I80+0</f>
        <v>199.1</v>
      </c>
      <c r="AB80" s="0" t="n">
        <f aca="false">IF(Z80&gt;360,Z80-360,Z80+0)</f>
        <v>199.1</v>
      </c>
    </row>
    <row r="81" customFormat="false" ht="15.8" hidden="false" customHeight="false" outlineLevel="0" collapsed="false">
      <c r="A81" s="1" t="n">
        <v>7</v>
      </c>
      <c r="B81" s="1" t="n">
        <v>7</v>
      </c>
      <c r="C81" s="1" t="n">
        <v>0.7</v>
      </c>
      <c r="D81" s="1" t="n">
        <v>1.0064</v>
      </c>
      <c r="E81" s="1" t="n">
        <v>0.0268651</v>
      </c>
      <c r="F81" s="1" t="n">
        <v>7.72194E-005</v>
      </c>
      <c r="G81" s="1" t="s">
        <v>27</v>
      </c>
      <c r="H81" s="1" t="n">
        <v>57.6</v>
      </c>
      <c r="I81" s="1" t="n">
        <v>174.6</v>
      </c>
      <c r="J81" s="1" t="n">
        <v>0</v>
      </c>
      <c r="K81" s="1"/>
      <c r="L81" s="1" t="n">
        <v>0</v>
      </c>
      <c r="M81" s="1" t="n">
        <v>0</v>
      </c>
      <c r="N81" s="1" t="s">
        <v>141</v>
      </c>
      <c r="O81" s="1"/>
      <c r="P81" s="1"/>
      <c r="Q81" s="1"/>
      <c r="R81" s="1"/>
      <c r="Z81" s="0" t="n">
        <f aca="false">I81+0</f>
        <v>174.6</v>
      </c>
      <c r="AB81" s="0" t="n">
        <f aca="false">IF(Z81&gt;360,Z81-360,Z81+0)</f>
        <v>174.6</v>
      </c>
    </row>
    <row r="82" customFormat="false" ht="15.8" hidden="false" customHeight="false" outlineLevel="0" collapsed="false">
      <c r="A82" s="1" t="n">
        <v>7</v>
      </c>
      <c r="B82" s="1" t="n">
        <v>6</v>
      </c>
      <c r="C82" s="1" t="n">
        <v>1.9</v>
      </c>
      <c r="D82" s="1" t="n">
        <v>1.3034</v>
      </c>
      <c r="E82" s="1" t="n">
        <v>0.067508</v>
      </c>
      <c r="F82" s="1" t="n">
        <v>0.00019404</v>
      </c>
      <c r="G82" s="1" t="s">
        <v>42</v>
      </c>
      <c r="H82" s="1" t="n">
        <v>60.9</v>
      </c>
      <c r="I82" s="1" t="n">
        <v>225</v>
      </c>
      <c r="J82" s="1" t="n">
        <v>33</v>
      </c>
      <c r="K82" s="1" t="n">
        <v>57.6</v>
      </c>
      <c r="L82" s="1" t="n">
        <v>0</v>
      </c>
      <c r="M82" s="1" t="n">
        <v>0</v>
      </c>
      <c r="N82" s="1" t="s">
        <v>142</v>
      </c>
      <c r="O82" s="1"/>
      <c r="P82" s="1"/>
      <c r="Q82" s="1"/>
      <c r="R82" s="1"/>
      <c r="Z82" s="0" t="n">
        <f aca="false">I82+0</f>
        <v>225</v>
      </c>
      <c r="AB82" s="0" t="n">
        <f aca="false">IF(Z82&gt;360,Z82-360,Z82+0)</f>
        <v>225</v>
      </c>
    </row>
    <row r="83" customFormat="false" ht="15.8" hidden="false" customHeight="false" outlineLevel="0" collapsed="false">
      <c r="A83" s="1" t="n">
        <v>7</v>
      </c>
      <c r="B83" s="1" t="n">
        <v>6</v>
      </c>
      <c r="C83" s="1" t="n">
        <v>4.2</v>
      </c>
      <c r="D83" s="1" t="n">
        <v>1.3259</v>
      </c>
      <c r="E83" s="1" t="n">
        <v>0.151367</v>
      </c>
      <c r="F83" s="1" t="n">
        <v>0.000435079</v>
      </c>
      <c r="G83" s="1" t="s">
        <v>27</v>
      </c>
      <c r="H83" s="1" t="n">
        <v>43.9</v>
      </c>
      <c r="I83" s="1" t="n">
        <v>313.6</v>
      </c>
      <c r="J83" s="1" t="n">
        <v>-29.6</v>
      </c>
      <c r="K83" s="1"/>
      <c r="L83" s="1" t="n">
        <v>0</v>
      </c>
      <c r="M83" s="1" t="n">
        <v>0</v>
      </c>
      <c r="N83" s="1" t="s">
        <v>142</v>
      </c>
      <c r="O83" s="1"/>
      <c r="P83" s="1"/>
      <c r="Q83" s="1"/>
      <c r="R83" s="1"/>
      <c r="Z83" s="0" t="n">
        <f aca="false">I83+0</f>
        <v>313.6</v>
      </c>
      <c r="AB83" s="0" t="n">
        <f aca="false">IF(Z83&gt;360,Z83-360,Z83+0)</f>
        <v>313.6</v>
      </c>
    </row>
    <row r="84" customFormat="false" ht="15.8" hidden="false" customHeight="false" outlineLevel="0" collapsed="false">
      <c r="A84" s="1" t="n">
        <v>7</v>
      </c>
      <c r="B84" s="1" t="n">
        <v>5</v>
      </c>
      <c r="C84" s="1" t="n">
        <v>1.5</v>
      </c>
      <c r="D84" s="1" t="n">
        <v>1.1844</v>
      </c>
      <c r="E84" s="1" t="n">
        <v>0.0558772</v>
      </c>
      <c r="F84" s="1" t="n">
        <v>0.00016061</v>
      </c>
      <c r="G84" s="1" t="s">
        <v>42</v>
      </c>
      <c r="H84" s="1" t="n">
        <v>66.2</v>
      </c>
      <c r="I84" s="1" t="n">
        <v>279.6</v>
      </c>
      <c r="J84" s="1" t="n">
        <v>0</v>
      </c>
      <c r="K84" s="1" t="n">
        <v>60.9</v>
      </c>
      <c r="L84" s="1" t="n">
        <v>0</v>
      </c>
      <c r="M84" s="1" t="n">
        <v>0</v>
      </c>
      <c r="N84" s="1" t="s">
        <v>143</v>
      </c>
      <c r="O84" s="1"/>
      <c r="P84" s="1"/>
      <c r="Q84" s="1"/>
      <c r="R84" s="1"/>
      <c r="Z84" s="0" t="n">
        <f aca="false">I84+0</f>
        <v>279.6</v>
      </c>
      <c r="AB84" s="0" t="n">
        <f aca="false">IF(Z84&gt;360,Z84-360,Z84+0)</f>
        <v>279.6</v>
      </c>
    </row>
    <row r="85" customFormat="false" ht="15.8" hidden="false" customHeight="false" outlineLevel="0" collapsed="false">
      <c r="A85" s="1" t="n">
        <v>7</v>
      </c>
      <c r="B85" s="1" t="n">
        <v>5</v>
      </c>
      <c r="C85" s="1" t="n">
        <v>1</v>
      </c>
      <c r="D85" s="1" t="n">
        <v>1.2638</v>
      </c>
      <c r="E85" s="1" t="n">
        <v>0.037567</v>
      </c>
      <c r="F85" s="1" t="n">
        <v>0.00010798</v>
      </c>
      <c r="G85" s="1" t="s">
        <v>27</v>
      </c>
      <c r="H85" s="1" t="n">
        <v>65.1</v>
      </c>
      <c r="I85" s="1" t="n">
        <v>181.8</v>
      </c>
      <c r="J85" s="1" t="n">
        <v>28.3</v>
      </c>
      <c r="K85" s="1"/>
      <c r="L85" s="1" t="n">
        <v>0</v>
      </c>
      <c r="M85" s="1" t="n">
        <v>0</v>
      </c>
      <c r="N85" s="1" t="s">
        <v>143</v>
      </c>
      <c r="O85" s="1"/>
      <c r="P85" s="1"/>
      <c r="Q85" s="1"/>
      <c r="R85" s="1"/>
      <c r="Z85" s="0" t="n">
        <f aca="false">I85+0</f>
        <v>181.8</v>
      </c>
      <c r="AB85" s="0" t="n">
        <f aca="false">IF(Z85&gt;360,Z85-360,Z85+0)</f>
        <v>181.8</v>
      </c>
    </row>
    <row r="86" customFormat="false" ht="15.8" hidden="false" customHeight="false" outlineLevel="0" collapsed="false">
      <c r="A86" s="1" t="n">
        <v>7</v>
      </c>
      <c r="B86" s="1" t="n">
        <v>4</v>
      </c>
      <c r="C86" s="1" t="n">
        <v>1</v>
      </c>
      <c r="D86" s="1" t="n">
        <v>1.1696</v>
      </c>
      <c r="E86" s="1" t="n">
        <v>0.0360417</v>
      </c>
      <c r="F86" s="1" t="n">
        <v>0.000103596</v>
      </c>
      <c r="G86" s="1" t="s">
        <v>42</v>
      </c>
      <c r="H86" s="1" t="n">
        <v>72.6</v>
      </c>
      <c r="I86" s="1" t="n">
        <v>273.8</v>
      </c>
      <c r="J86" s="1" t="n">
        <v>66.1</v>
      </c>
      <c r="K86" s="1" t="n">
        <v>66.2</v>
      </c>
      <c r="L86" s="1" t="n">
        <v>0</v>
      </c>
      <c r="M86" s="1" t="n">
        <v>0</v>
      </c>
      <c r="N86" s="1" t="s">
        <v>144</v>
      </c>
      <c r="O86" s="1"/>
      <c r="P86" s="1"/>
      <c r="Q86" s="1"/>
      <c r="R86" s="1"/>
      <c r="Z86" s="0" t="n">
        <f aca="false">I86+0</f>
        <v>273.8</v>
      </c>
      <c r="AB86" s="0" t="n">
        <f aca="false">IF(Z86&gt;360,Z86-360,Z86+0)</f>
        <v>273.8</v>
      </c>
    </row>
    <row r="87" customFormat="false" ht="15.8" hidden="false" customHeight="false" outlineLevel="0" collapsed="false">
      <c r="A87" s="1" t="n">
        <v>7</v>
      </c>
      <c r="B87" s="1" t="n">
        <v>4</v>
      </c>
      <c r="C87" s="1" t="n">
        <v>2.2</v>
      </c>
      <c r="D87" s="1" t="n">
        <v>1.1451</v>
      </c>
      <c r="E87" s="1" t="n">
        <v>0.0795056</v>
      </c>
      <c r="F87" s="1" t="n">
        <v>0.000228526</v>
      </c>
      <c r="G87" s="1" t="s">
        <v>27</v>
      </c>
      <c r="H87" s="1" t="n">
        <v>49.6</v>
      </c>
      <c r="I87" s="1" t="n">
        <v>154.7</v>
      </c>
      <c r="J87" s="1" t="n">
        <v>11.7</v>
      </c>
      <c r="K87" s="1"/>
      <c r="L87" s="1" t="n">
        <v>0</v>
      </c>
      <c r="M87" s="1" t="n">
        <v>0</v>
      </c>
      <c r="N87" s="1" t="s">
        <v>144</v>
      </c>
      <c r="O87" s="1"/>
      <c r="P87" s="1"/>
      <c r="Q87" s="1"/>
      <c r="R87" s="1"/>
      <c r="Z87" s="0" t="n">
        <f aca="false">I87+0</f>
        <v>154.7</v>
      </c>
      <c r="AB87" s="0" t="n">
        <f aca="false">IF(Z87&gt;360,Z87-360,Z87+0)</f>
        <v>154.7</v>
      </c>
    </row>
    <row r="88" customFormat="false" ht="15.8" hidden="false" customHeight="false" outlineLevel="0" collapsed="false">
      <c r="A88" s="1" t="n">
        <v>7</v>
      </c>
      <c r="B88" s="1" t="n">
        <v>3</v>
      </c>
      <c r="C88" s="1" t="n">
        <v>5.9</v>
      </c>
      <c r="D88" s="1" t="n">
        <v>1.2659</v>
      </c>
      <c r="E88" s="1" t="n">
        <v>0.21162</v>
      </c>
      <c r="F88" s="1" t="n">
        <v>0.000608267</v>
      </c>
      <c r="G88" s="1" t="s">
        <v>42</v>
      </c>
      <c r="H88" s="1" t="n">
        <v>35.9</v>
      </c>
      <c r="I88" s="1" t="n">
        <v>205.2</v>
      </c>
      <c r="J88" s="1" t="n">
        <v>9.7</v>
      </c>
      <c r="K88" s="1" t="n">
        <v>72.6</v>
      </c>
      <c r="L88" s="1" t="n">
        <v>0</v>
      </c>
      <c r="M88" s="1" t="n">
        <v>0</v>
      </c>
      <c r="N88" s="1" t="s">
        <v>140</v>
      </c>
      <c r="O88" s="1"/>
      <c r="P88" s="1"/>
      <c r="Q88" s="1"/>
      <c r="R88" s="1"/>
      <c r="Z88" s="0" t="n">
        <f aca="false">I88+0</f>
        <v>205.2</v>
      </c>
      <c r="AB88" s="0" t="n">
        <f aca="false">IF(Z88&gt;360,Z88-360,Z88+0)</f>
        <v>205.2</v>
      </c>
    </row>
    <row r="89" customFormat="false" ht="15.8" hidden="false" customHeight="false" outlineLevel="0" collapsed="false">
      <c r="A89" s="1" t="n">
        <v>7</v>
      </c>
      <c r="B89" s="1" t="n">
        <v>2</v>
      </c>
      <c r="C89" s="1" t="n">
        <v>1.6</v>
      </c>
      <c r="D89" s="1" t="n">
        <v>1.1708</v>
      </c>
      <c r="E89" s="1" t="n">
        <v>0.0578013</v>
      </c>
      <c r="F89" s="1" t="n">
        <v>0.00016614</v>
      </c>
      <c r="G89" s="1" t="s">
        <v>42</v>
      </c>
      <c r="H89" s="1" t="n">
        <v>40.1</v>
      </c>
      <c r="I89" s="1" t="n">
        <v>177.1</v>
      </c>
      <c r="J89" s="1" t="n">
        <v>34.8</v>
      </c>
      <c r="K89" s="1" t="n">
        <v>53.1</v>
      </c>
      <c r="L89" s="1" t="n">
        <v>0</v>
      </c>
      <c r="M89" s="1" t="n">
        <v>0</v>
      </c>
      <c r="N89" s="1" t="s">
        <v>145</v>
      </c>
      <c r="O89" s="1"/>
      <c r="P89" s="1"/>
      <c r="Q89" s="1"/>
      <c r="R89" s="1"/>
      <c r="Z89" s="0" t="n">
        <f aca="false">I89+0</f>
        <v>177.1</v>
      </c>
      <c r="AB89" s="0" t="n">
        <f aca="false">IF(Z89&gt;360,Z89-360,Z89+0)</f>
        <v>177.1</v>
      </c>
    </row>
    <row r="90" customFormat="false" ht="15.8" hidden="false" customHeight="false" outlineLevel="0" collapsed="false">
      <c r="A90" s="1" t="n">
        <v>7</v>
      </c>
      <c r="B90" s="1" t="n">
        <v>6</v>
      </c>
      <c r="C90" s="1" t="n">
        <v>1.2</v>
      </c>
      <c r="D90" s="1" t="n">
        <v>1.1544</v>
      </c>
      <c r="E90" s="1" t="n">
        <v>0.035094</v>
      </c>
      <c r="F90" s="1" t="n">
        <v>8.06974E-005</v>
      </c>
      <c r="G90" s="1" t="s">
        <v>27</v>
      </c>
      <c r="H90" s="1" t="n">
        <v>64.2</v>
      </c>
      <c r="I90" s="1" t="n">
        <v>303.1</v>
      </c>
      <c r="J90" s="1" t="n">
        <v>-21.8</v>
      </c>
      <c r="K90" s="1"/>
      <c r="L90" s="1" t="n">
        <v>0</v>
      </c>
      <c r="M90" s="1" t="n">
        <v>0</v>
      </c>
      <c r="N90" s="1" t="s">
        <v>146</v>
      </c>
      <c r="O90" s="1"/>
      <c r="P90" s="1"/>
      <c r="Q90" s="1"/>
      <c r="R90" s="1"/>
      <c r="Z90" s="0" t="n">
        <f aca="false">I90+0</f>
        <v>303.1</v>
      </c>
      <c r="AB90" s="0" t="n">
        <f aca="false">IF(Z90&gt;360,Z90-360,Z90+0)</f>
        <v>303.1</v>
      </c>
    </row>
    <row r="91" customFormat="false" ht="15.8" hidden="false" customHeight="false" outlineLevel="0" collapsed="false">
      <c r="A91" s="1" t="n">
        <v>7</v>
      </c>
      <c r="B91" s="1" t="n">
        <v>6</v>
      </c>
      <c r="C91" s="1" t="n">
        <v>1</v>
      </c>
      <c r="D91" s="1" t="n">
        <v>1.2105</v>
      </c>
      <c r="E91" s="1" t="n">
        <v>0.0287807</v>
      </c>
      <c r="F91" s="1" t="n">
        <v>6.61804E-005</v>
      </c>
      <c r="G91" s="1" t="s">
        <v>27</v>
      </c>
      <c r="H91" s="1" t="n">
        <v>104.4</v>
      </c>
      <c r="I91" s="1" t="n">
        <v>110</v>
      </c>
      <c r="J91" s="1" t="n">
        <v>28.3</v>
      </c>
      <c r="K91" s="1"/>
      <c r="L91" s="1" t="n">
        <v>0</v>
      </c>
      <c r="M91" s="1" t="n">
        <v>0</v>
      </c>
      <c r="N91" s="1" t="s">
        <v>146</v>
      </c>
      <c r="O91" s="1"/>
      <c r="P91" s="1"/>
      <c r="Q91" s="1"/>
      <c r="R91" s="1"/>
      <c r="Z91" s="0" t="n">
        <f aca="false">I91+0</f>
        <v>110</v>
      </c>
      <c r="AB91" s="0" t="n">
        <f aca="false">IF(Z91&gt;360,Z91-360,Z91+0)</f>
        <v>110</v>
      </c>
    </row>
    <row r="92" customFormat="false" ht="15.8" hidden="false" customHeight="false" outlineLevel="0" collapsed="false">
      <c r="A92" s="1" t="n">
        <v>7</v>
      </c>
      <c r="B92" s="1" t="n">
        <v>5</v>
      </c>
      <c r="C92" s="1" t="n">
        <v>2.8</v>
      </c>
      <c r="D92" s="1" t="n">
        <v>1.435</v>
      </c>
      <c r="E92" s="1" t="n">
        <v>0.080619</v>
      </c>
      <c r="F92" s="1" t="n">
        <v>0.000185381</v>
      </c>
      <c r="G92" s="1" t="s">
        <v>42</v>
      </c>
      <c r="H92" s="1" t="n">
        <v>9.1</v>
      </c>
      <c r="I92" s="1" t="n">
        <v>330.5</v>
      </c>
      <c r="J92" s="1" t="n">
        <v>37</v>
      </c>
      <c r="K92" s="1" t="n">
        <v>104.4</v>
      </c>
      <c r="L92" s="1" t="n">
        <v>0</v>
      </c>
      <c r="M92" s="1" t="n">
        <v>0</v>
      </c>
      <c r="N92" s="1" t="s">
        <v>147</v>
      </c>
      <c r="O92" s="1"/>
      <c r="P92" s="1"/>
      <c r="Q92" s="1"/>
      <c r="R92" s="1"/>
      <c r="Z92" s="0" t="n">
        <f aca="false">I92+0</f>
        <v>330.5</v>
      </c>
      <c r="AB92" s="0" t="n">
        <f aca="false">IF(Z92&gt;360,Z92-360,Z92+0)</f>
        <v>330.5</v>
      </c>
    </row>
    <row r="93" customFormat="false" ht="15.8" hidden="false" customHeight="false" outlineLevel="0" collapsed="false">
      <c r="A93" s="1" t="n">
        <v>7</v>
      </c>
      <c r="B93" s="1" t="n">
        <v>5</v>
      </c>
      <c r="C93" s="1" t="n">
        <v>1</v>
      </c>
      <c r="D93" s="1" t="n">
        <v>1.2003</v>
      </c>
      <c r="E93" s="1" t="n">
        <v>0.0285</v>
      </c>
      <c r="F93" s="1" t="n">
        <v>6.55348E-005</v>
      </c>
      <c r="G93" s="1" t="s">
        <v>27</v>
      </c>
      <c r="H93" s="1" t="n">
        <v>91.2</v>
      </c>
      <c r="I93" s="1" t="n">
        <v>97.3</v>
      </c>
      <c r="J93" s="1" t="n">
        <v>28.3</v>
      </c>
      <c r="K93" s="1"/>
      <c r="L93" s="1" t="n">
        <v>0</v>
      </c>
      <c r="M93" s="1" t="n">
        <v>0</v>
      </c>
      <c r="N93" s="1" t="s">
        <v>147</v>
      </c>
      <c r="O93" s="1"/>
      <c r="P93" s="1"/>
      <c r="Q93" s="1"/>
      <c r="R93" s="1"/>
      <c r="Z93" s="0" t="n">
        <f aca="false">I93+0</f>
        <v>97.3</v>
      </c>
      <c r="AB93" s="0" t="n">
        <f aca="false">IF(Z93&gt;360,Z93-360,Z93+0)</f>
        <v>97.3</v>
      </c>
    </row>
    <row r="94" customFormat="false" ht="15.8" hidden="false" customHeight="false" outlineLevel="0" collapsed="false">
      <c r="A94" s="1" t="n">
        <v>7</v>
      </c>
      <c r="B94" s="1" t="n">
        <v>4</v>
      </c>
      <c r="C94" s="1" t="n">
        <v>4.7</v>
      </c>
      <c r="D94" s="1" t="n">
        <v>1.2505</v>
      </c>
      <c r="E94" s="1" t="n">
        <v>0.166694</v>
      </c>
      <c r="F94" s="1" t="n">
        <v>0.000499985</v>
      </c>
      <c r="G94" s="1" t="s">
        <v>42</v>
      </c>
      <c r="H94" s="1" t="n">
        <v>52.6</v>
      </c>
      <c r="I94" s="1" t="n">
        <v>330.9</v>
      </c>
      <c r="J94" s="1" t="n">
        <v>46.1</v>
      </c>
      <c r="K94" s="1" t="n">
        <v>91.2</v>
      </c>
      <c r="L94" s="1" t="n">
        <v>0</v>
      </c>
      <c r="M94" s="1" t="n">
        <v>0</v>
      </c>
      <c r="N94" s="1" t="s">
        <v>148</v>
      </c>
      <c r="O94" s="1"/>
      <c r="P94" s="1"/>
      <c r="Q94" s="1"/>
      <c r="R94" s="1"/>
      <c r="Z94" s="0" t="n">
        <f aca="false">I94+0</f>
        <v>330.9</v>
      </c>
      <c r="AB94" s="0" t="n">
        <f aca="false">IF(Z94&gt;360,Z94-360,Z94+0)</f>
        <v>330.9</v>
      </c>
    </row>
    <row r="95" customFormat="false" ht="15.8" hidden="false" customHeight="false" outlineLevel="0" collapsed="false">
      <c r="A95" s="1" t="n">
        <v>7</v>
      </c>
      <c r="B95" s="1" t="n">
        <v>5</v>
      </c>
      <c r="C95" s="1" t="n">
        <v>3.4</v>
      </c>
      <c r="D95" s="1" t="n">
        <v>1.273</v>
      </c>
      <c r="E95" s="1" t="n">
        <v>0.123617</v>
      </c>
      <c r="F95" s="1" t="n">
        <v>0.000355317</v>
      </c>
      <c r="G95" s="1" t="s">
        <v>27</v>
      </c>
      <c r="H95" s="1" t="n">
        <v>119.5</v>
      </c>
      <c r="I95" s="1" t="n">
        <v>172</v>
      </c>
      <c r="J95" s="1" t="n">
        <v>-60.5</v>
      </c>
      <c r="K95" s="1"/>
      <c r="L95" s="1" t="n">
        <v>0</v>
      </c>
      <c r="M95" s="1" t="n">
        <v>0</v>
      </c>
      <c r="N95" s="1" t="s">
        <v>149</v>
      </c>
      <c r="O95" s="1"/>
      <c r="P95" s="1"/>
      <c r="Q95" s="1"/>
      <c r="R95" s="1"/>
      <c r="Z95" s="0" t="n">
        <f aca="false">I95+0</f>
        <v>172</v>
      </c>
      <c r="AB95" s="0" t="n">
        <f aca="false">IF(Z95&gt;360,Z95-360,Z95+0)</f>
        <v>172</v>
      </c>
    </row>
    <row r="96" customFormat="false" ht="15.8" hidden="false" customHeight="false" outlineLevel="0" collapsed="false">
      <c r="A96" s="1" t="n">
        <v>7</v>
      </c>
      <c r="B96" s="1" t="n">
        <v>5</v>
      </c>
      <c r="C96" s="1" t="n">
        <v>0.9</v>
      </c>
      <c r="D96" s="1" t="n">
        <v>1.3054</v>
      </c>
      <c r="E96" s="1" t="n">
        <v>0.0333641</v>
      </c>
      <c r="F96" s="1" t="n">
        <v>9.58996E-005</v>
      </c>
      <c r="G96" s="1" t="s">
        <v>27</v>
      </c>
      <c r="H96" s="1" t="n">
        <v>33.5</v>
      </c>
      <c r="I96" s="1" t="n">
        <v>353.3</v>
      </c>
      <c r="J96" s="1" t="n">
        <v>33.4</v>
      </c>
      <c r="K96" s="1"/>
      <c r="L96" s="1" t="n">
        <v>0</v>
      </c>
      <c r="M96" s="1" t="n">
        <v>0</v>
      </c>
      <c r="N96" s="1" t="s">
        <v>149</v>
      </c>
      <c r="O96" s="1"/>
      <c r="P96" s="1"/>
      <c r="Q96" s="1"/>
      <c r="R96" s="1"/>
      <c r="Z96" s="0" t="n">
        <f aca="false">I96+0</f>
        <v>353.3</v>
      </c>
      <c r="AB96" s="0" t="n">
        <f aca="false">IF(Z96&gt;360,Z96-360,Z96+0)</f>
        <v>353.3</v>
      </c>
    </row>
    <row r="97" customFormat="false" ht="15.8" hidden="false" customHeight="false" outlineLevel="0" collapsed="false">
      <c r="A97" s="1" t="n">
        <v>7</v>
      </c>
      <c r="B97" s="1" t="n">
        <v>4</v>
      </c>
      <c r="C97" s="1" t="n">
        <v>3.4</v>
      </c>
      <c r="D97" s="1" t="n">
        <v>1.4048</v>
      </c>
      <c r="E97" s="1" t="n">
        <v>0.123139</v>
      </c>
      <c r="F97" s="1" t="n">
        <v>0.000353944</v>
      </c>
      <c r="G97" s="1" t="s">
        <v>42</v>
      </c>
      <c r="H97" s="1" t="n">
        <v>9.2</v>
      </c>
      <c r="I97" s="1" t="n">
        <v>350.5</v>
      </c>
      <c r="J97" s="1" t="n">
        <v>0</v>
      </c>
      <c r="K97" s="1" t="n">
        <v>119.5</v>
      </c>
      <c r="L97" s="1" t="n">
        <v>0</v>
      </c>
      <c r="M97" s="1" t="n">
        <v>0</v>
      </c>
      <c r="N97" s="1" t="s">
        <v>148</v>
      </c>
      <c r="O97" s="1"/>
      <c r="P97" s="1"/>
      <c r="Q97" s="1"/>
      <c r="R97" s="1"/>
      <c r="Z97" s="0" t="n">
        <f aca="false">I97+0</f>
        <v>350.5</v>
      </c>
      <c r="AB97" s="0" t="n">
        <f aca="false">IF(Z97&gt;360,Z97-360,Z97+0)</f>
        <v>350.5</v>
      </c>
    </row>
    <row r="98" customFormat="false" ht="15.8" hidden="false" customHeight="false" outlineLevel="0" collapsed="false">
      <c r="A98" s="1" t="n">
        <v>7</v>
      </c>
      <c r="B98" s="1" t="n">
        <v>3</v>
      </c>
      <c r="C98" s="1" t="n">
        <v>0.6</v>
      </c>
      <c r="D98" s="1" t="n">
        <v>1.0161</v>
      </c>
      <c r="E98" s="1" t="n">
        <v>0.0233387</v>
      </c>
      <c r="F98" s="1" t="n">
        <v>6.70832E-005</v>
      </c>
      <c r="G98" s="1" t="s">
        <v>42</v>
      </c>
      <c r="H98" s="1" t="n">
        <v>79.4</v>
      </c>
      <c r="I98" s="1" t="n">
        <v>359.7</v>
      </c>
      <c r="J98" s="1" t="n">
        <v>0</v>
      </c>
      <c r="K98" s="1" t="n">
        <v>52.6</v>
      </c>
      <c r="L98" s="1" t="n">
        <v>0</v>
      </c>
      <c r="M98" s="1" t="n">
        <v>0</v>
      </c>
      <c r="N98" s="1" t="s">
        <v>150</v>
      </c>
      <c r="O98" s="1"/>
      <c r="P98" s="1"/>
      <c r="Q98" s="1"/>
      <c r="R98" s="1"/>
      <c r="Z98" s="0" t="n">
        <f aca="false">I98+0</f>
        <v>359.7</v>
      </c>
      <c r="AB98" s="0" t="n">
        <f aca="false">IF(Z98&gt;360,Z98-360,Z98+0)</f>
        <v>359.7</v>
      </c>
    </row>
    <row r="99" customFormat="false" ht="15.8" hidden="false" customHeight="false" outlineLevel="0" collapsed="false">
      <c r="A99" s="1" t="n">
        <v>7</v>
      </c>
      <c r="B99" s="1" t="n">
        <v>4</v>
      </c>
      <c r="C99" s="1" t="n">
        <v>2.8</v>
      </c>
      <c r="D99" s="1" t="n">
        <v>1.2211</v>
      </c>
      <c r="E99" s="1" t="n">
        <v>0.10128</v>
      </c>
      <c r="F99" s="1" t="n">
        <v>0.000291114</v>
      </c>
      <c r="G99" s="1" t="s">
        <v>27</v>
      </c>
      <c r="H99" s="1" t="n">
        <v>57.7</v>
      </c>
      <c r="I99" s="1" t="n">
        <v>152</v>
      </c>
      <c r="J99" s="1" t="n">
        <v>-9.8</v>
      </c>
      <c r="K99" s="1"/>
      <c r="L99" s="1" t="n">
        <v>0</v>
      </c>
      <c r="M99" s="1" t="n">
        <v>0</v>
      </c>
      <c r="N99" s="1" t="s">
        <v>151</v>
      </c>
      <c r="O99" s="1"/>
      <c r="P99" s="1"/>
      <c r="Q99" s="1"/>
      <c r="R99" s="1"/>
      <c r="Z99" s="0" t="n">
        <f aca="false">I99+0</f>
        <v>152</v>
      </c>
      <c r="AB99" s="0" t="n">
        <f aca="false">IF(Z99&gt;360,Z99-360,Z99+0)</f>
        <v>152</v>
      </c>
    </row>
    <row r="100" customFormat="false" ht="15.8" hidden="false" customHeight="false" outlineLevel="0" collapsed="false">
      <c r="A100" s="1" t="n">
        <v>7</v>
      </c>
      <c r="B100" s="1" t="n">
        <v>5</v>
      </c>
      <c r="C100" s="1" t="n">
        <v>2.2</v>
      </c>
      <c r="D100" s="1" t="n">
        <v>1.2233</v>
      </c>
      <c r="E100" s="1" t="n">
        <v>0.0805505</v>
      </c>
      <c r="F100" s="1" t="n">
        <v>0.000231529</v>
      </c>
      <c r="G100" s="1" t="s">
        <v>27</v>
      </c>
      <c r="H100" s="1" t="n">
        <v>125.7</v>
      </c>
      <c r="I100" s="1" t="n">
        <v>168.1</v>
      </c>
      <c r="J100" s="1" t="n">
        <v>-39.9</v>
      </c>
      <c r="K100" s="1"/>
      <c r="L100" s="1" t="n">
        <v>0</v>
      </c>
      <c r="M100" s="1" t="n">
        <v>0</v>
      </c>
      <c r="N100" s="1" t="s">
        <v>152</v>
      </c>
      <c r="O100" s="1"/>
      <c r="P100" s="1"/>
      <c r="Q100" s="1"/>
      <c r="R100" s="1"/>
      <c r="Z100" s="0" t="n">
        <f aca="false">I100+0</f>
        <v>168.1</v>
      </c>
      <c r="AB100" s="0" t="n">
        <f aca="false">IF(Z100&gt;360,Z100-360,Z100+0)</f>
        <v>168.1</v>
      </c>
    </row>
    <row r="101" customFormat="false" ht="15.8" hidden="false" customHeight="false" outlineLevel="0" collapsed="false">
      <c r="A101" s="1" t="n">
        <v>7</v>
      </c>
      <c r="B101" s="1" t="n">
        <v>5</v>
      </c>
      <c r="C101" s="1" t="n">
        <v>4.4</v>
      </c>
      <c r="D101" s="1" t="n">
        <v>1.3352</v>
      </c>
      <c r="E101" s="1" t="n">
        <v>0.160033</v>
      </c>
      <c r="F101" s="1" t="n">
        <v>0.000459988</v>
      </c>
      <c r="G101" s="1" t="s">
        <v>27</v>
      </c>
      <c r="H101" s="1" t="n">
        <v>28.2</v>
      </c>
      <c r="I101" s="1" t="n">
        <v>91.7</v>
      </c>
      <c r="J101" s="1" t="n">
        <v>55.4</v>
      </c>
      <c r="K101" s="1"/>
      <c r="L101" s="1" t="n">
        <v>0</v>
      </c>
      <c r="M101" s="1" t="n">
        <v>0</v>
      </c>
      <c r="N101" s="1" t="s">
        <v>152</v>
      </c>
      <c r="O101" s="1"/>
      <c r="P101" s="1"/>
      <c r="Q101" s="1"/>
      <c r="R101" s="1"/>
      <c r="Z101" s="0" t="n">
        <f aca="false">I101+0</f>
        <v>91.7</v>
      </c>
      <c r="AB101" s="0" t="n">
        <f aca="false">IF(Z101&gt;360,Z101-360,Z101+0)</f>
        <v>91.7</v>
      </c>
    </row>
    <row r="102" customFormat="false" ht="15.8" hidden="false" customHeight="false" outlineLevel="0" collapsed="false">
      <c r="A102" s="1" t="n">
        <v>7</v>
      </c>
      <c r="B102" s="1" t="n">
        <v>5</v>
      </c>
      <c r="C102" s="1" t="n">
        <v>1.5</v>
      </c>
      <c r="D102" s="1" t="n">
        <v>1.3583</v>
      </c>
      <c r="E102" s="1" t="n">
        <v>0.0558834</v>
      </c>
      <c r="F102" s="1" t="n">
        <v>0.000160628</v>
      </c>
      <c r="G102" s="1" t="s">
        <v>27</v>
      </c>
      <c r="H102" s="1" t="n">
        <v>52.9</v>
      </c>
      <c r="I102" s="1" t="n">
        <v>323.4</v>
      </c>
      <c r="J102" s="1" t="n">
        <v>43.2</v>
      </c>
      <c r="K102" s="1"/>
      <c r="L102" s="1" t="n">
        <v>0</v>
      </c>
      <c r="M102" s="1" t="n">
        <v>0</v>
      </c>
      <c r="N102" s="1" t="s">
        <v>152</v>
      </c>
      <c r="O102" s="1"/>
      <c r="P102" s="1"/>
      <c r="Q102" s="1"/>
      <c r="R102" s="1"/>
      <c r="Z102" s="0" t="n">
        <f aca="false">I102+0</f>
        <v>323.4</v>
      </c>
      <c r="AB102" s="0" t="n">
        <f aca="false">IF(Z102&gt;360,Z102-360,Z102+0)</f>
        <v>323.4</v>
      </c>
    </row>
    <row r="103" customFormat="false" ht="15.8" hidden="false" customHeight="false" outlineLevel="0" collapsed="false">
      <c r="A103" s="1" t="n">
        <v>7</v>
      </c>
      <c r="B103" s="1" t="n">
        <v>4</v>
      </c>
      <c r="C103" s="1" t="n">
        <v>2.9</v>
      </c>
      <c r="D103" s="1" t="n">
        <v>1.0517</v>
      </c>
      <c r="E103" s="1" t="n">
        <v>0.0864783</v>
      </c>
      <c r="F103" s="1" t="n">
        <v>0.000217499</v>
      </c>
      <c r="G103" s="1" t="s">
        <v>42</v>
      </c>
      <c r="H103" s="1" t="n">
        <v>46.1</v>
      </c>
      <c r="I103" s="1" t="n">
        <v>112.6</v>
      </c>
      <c r="J103" s="1" t="n">
        <v>83</v>
      </c>
      <c r="K103" s="1" t="n">
        <v>125.7</v>
      </c>
      <c r="L103" s="1" t="n">
        <v>0</v>
      </c>
      <c r="M103" s="1" t="n">
        <v>0</v>
      </c>
      <c r="N103" s="1" t="s">
        <v>151</v>
      </c>
      <c r="O103" s="1"/>
      <c r="P103" s="1"/>
      <c r="Q103" s="1"/>
      <c r="R103" s="1"/>
      <c r="Z103" s="0" t="n">
        <f aca="false">I103+0</f>
        <v>112.6</v>
      </c>
      <c r="AB103" s="0" t="n">
        <f aca="false">IF(Z103&gt;360,Z103-360,Z103+0)</f>
        <v>112.6</v>
      </c>
    </row>
    <row r="104" customFormat="false" ht="15.8" hidden="false" customHeight="false" outlineLevel="0" collapsed="false">
      <c r="A104" s="1" t="n">
        <v>7</v>
      </c>
      <c r="B104" s="1" t="n">
        <v>3</v>
      </c>
      <c r="C104" s="1" t="n">
        <v>0.8</v>
      </c>
      <c r="D104" s="1" t="n">
        <v>1.2848</v>
      </c>
      <c r="E104" s="1" t="n">
        <v>0.0272561</v>
      </c>
      <c r="F104" s="1" t="n">
        <v>7.83432E-005</v>
      </c>
      <c r="G104" s="1" t="s">
        <v>42</v>
      </c>
      <c r="H104" s="1" t="n">
        <v>59.2</v>
      </c>
      <c r="I104" s="1" t="n">
        <v>180.5</v>
      </c>
      <c r="J104" s="1" t="n">
        <v>41.6</v>
      </c>
      <c r="K104" s="1" t="n">
        <v>57.7</v>
      </c>
      <c r="L104" s="1" t="n">
        <v>0</v>
      </c>
      <c r="M104" s="1" t="n">
        <v>0</v>
      </c>
      <c r="N104" s="1" t="s">
        <v>150</v>
      </c>
      <c r="O104" s="1"/>
      <c r="P104" s="1"/>
      <c r="Q104" s="1"/>
      <c r="R104" s="1"/>
      <c r="Z104" s="0" t="n">
        <f aca="false">I104+0</f>
        <v>180.5</v>
      </c>
      <c r="AB104" s="0" t="n">
        <f aca="false">IF(Z104&gt;360,Z104-360,Z104+0)</f>
        <v>180.5</v>
      </c>
    </row>
    <row r="105" customFormat="false" ht="15.8" hidden="false" customHeight="false" outlineLevel="0" collapsed="false">
      <c r="A105" s="1" t="n">
        <v>7</v>
      </c>
      <c r="B105" s="1" t="n">
        <v>2</v>
      </c>
      <c r="C105" s="1" t="n">
        <v>4.4</v>
      </c>
      <c r="D105" s="1" t="n">
        <v>1.1034</v>
      </c>
      <c r="E105" s="1" t="n">
        <v>0.158732</v>
      </c>
      <c r="F105" s="1" t="n">
        <v>0.000456249</v>
      </c>
      <c r="G105" s="1" t="s">
        <v>42</v>
      </c>
      <c r="H105" s="1" t="n">
        <v>101.6</v>
      </c>
      <c r="I105" s="1" t="n">
        <v>24.4</v>
      </c>
      <c r="J105" s="1" t="n">
        <v>78.3</v>
      </c>
      <c r="K105" s="1" t="n">
        <v>79.4</v>
      </c>
      <c r="L105" s="1" t="n">
        <v>0</v>
      </c>
      <c r="M105" s="1" t="n">
        <v>0</v>
      </c>
      <c r="N105" s="1" t="s">
        <v>145</v>
      </c>
      <c r="O105" s="1"/>
      <c r="P105" s="1"/>
      <c r="Q105" s="1"/>
      <c r="R105" s="1"/>
      <c r="Z105" s="0" t="n">
        <f aca="false">I105+0</f>
        <v>24.4</v>
      </c>
      <c r="AB105" s="0" t="n">
        <f aca="false">IF(Z105&gt;360,Z105-360,Z105+0)</f>
        <v>24.4</v>
      </c>
    </row>
    <row r="106" customFormat="false" ht="15.8" hidden="false" customHeight="false" outlineLevel="0" collapsed="false">
      <c r="A106" s="1" t="n">
        <v>7</v>
      </c>
      <c r="B106" s="1" t="n">
        <v>1</v>
      </c>
      <c r="C106" s="1" t="n">
        <v>0.5</v>
      </c>
      <c r="D106" s="1" t="n">
        <v>1.0297</v>
      </c>
      <c r="E106" s="1" t="n">
        <v>0.0189322</v>
      </c>
      <c r="F106" s="1" t="n">
        <v>5.44176E-005</v>
      </c>
      <c r="G106" s="1" t="s">
        <v>42</v>
      </c>
      <c r="H106" s="1"/>
      <c r="I106" s="1" t="n">
        <v>198.4</v>
      </c>
      <c r="J106" s="1" t="n">
        <v>0</v>
      </c>
      <c r="K106" s="1" t="n">
        <v>101.6</v>
      </c>
      <c r="L106" s="1" t="n">
        <v>0</v>
      </c>
      <c r="M106" s="1" t="n">
        <v>0</v>
      </c>
      <c r="N106" s="1" t="s">
        <v>153</v>
      </c>
      <c r="O106" s="1"/>
      <c r="P106" s="1"/>
      <c r="Q106" s="1"/>
      <c r="R106" s="1"/>
      <c r="Z106" s="0" t="n">
        <f aca="false">I106+0</f>
        <v>198.4</v>
      </c>
      <c r="AB106" s="0" t="n">
        <f aca="false">IF(Z106&gt;360,Z106-360,Z106+0)</f>
        <v>198.4</v>
      </c>
    </row>
    <row r="107" customFormat="false" ht="15.8" hidden="false" customHeight="false" outlineLevel="0" collapsed="false">
      <c r="A107" s="1" t="n">
        <v>8</v>
      </c>
      <c r="B107" s="1" t="n">
        <v>1</v>
      </c>
      <c r="C107" s="1" t="n">
        <v>3.7</v>
      </c>
      <c r="D107" s="1" t="n">
        <v>1.2267</v>
      </c>
      <c r="E107" s="1" t="n">
        <v>0.134806</v>
      </c>
      <c r="F107" s="1" t="n">
        <v>0.000387476</v>
      </c>
      <c r="G107" s="1" t="s">
        <v>27</v>
      </c>
      <c r="H107" s="1"/>
      <c r="I107" s="1" t="n">
        <v>234.4</v>
      </c>
      <c r="J107" s="1" t="n">
        <v>-63.8</v>
      </c>
      <c r="K107" s="1"/>
      <c r="L107" s="1" t="n">
        <v>0</v>
      </c>
      <c r="M107" s="1" t="n">
        <v>0</v>
      </c>
      <c r="N107" s="1" t="s">
        <v>154</v>
      </c>
      <c r="O107" s="1"/>
      <c r="P107" s="1"/>
      <c r="Q107" s="1"/>
      <c r="R107" s="1"/>
      <c r="Z107" s="0" t="n">
        <f aca="false">I107+0</f>
        <v>234.4</v>
      </c>
      <c r="AB107" s="0" t="n">
        <f aca="false">IF(Z107&gt;360,Z107-360,Z107+0)</f>
        <v>234.4</v>
      </c>
    </row>
    <row r="108" customFormat="false" ht="15.8" hidden="false" customHeight="false" outlineLevel="0" collapsed="false">
      <c r="A108" s="1" t="n">
        <v>9</v>
      </c>
      <c r="B108" s="1" t="n">
        <v>1</v>
      </c>
      <c r="C108" s="1" t="n">
        <v>2.1</v>
      </c>
      <c r="D108" s="1" t="n">
        <v>1.279</v>
      </c>
      <c r="E108" s="1" t="n">
        <v>0.075422</v>
      </c>
      <c r="F108" s="1" t="n">
        <v>0.000216788</v>
      </c>
      <c r="G108" s="1" t="s">
        <v>27</v>
      </c>
      <c r="H108" s="1"/>
      <c r="I108" s="1" t="n">
        <v>286.4</v>
      </c>
      <c r="J108" s="1" t="n">
        <v>-45.8</v>
      </c>
      <c r="K108" s="1"/>
      <c r="L108" s="1" t="n">
        <v>0</v>
      </c>
      <c r="M108" s="1" t="n">
        <v>0</v>
      </c>
      <c r="N108" s="1" t="s">
        <v>155</v>
      </c>
      <c r="O108" s="1"/>
      <c r="P108" s="1"/>
      <c r="Q108" s="1"/>
      <c r="R108" s="1"/>
      <c r="Z108" s="0" t="n">
        <f aca="false">I108+0</f>
        <v>286.4</v>
      </c>
      <c r="AB108" s="0" t="n">
        <f aca="false">IF(Z108&gt;360,Z108-360,Z108+0)</f>
        <v>286.4</v>
      </c>
    </row>
    <row r="109" customFormat="false" ht="15.8" hidden="false" customHeight="false" outlineLevel="0" collapsed="false">
      <c r="A109" s="1" t="n">
        <v>10</v>
      </c>
      <c r="B109" s="1" t="n">
        <v>8</v>
      </c>
      <c r="C109" s="1" t="n">
        <v>4.3</v>
      </c>
      <c r="D109" s="1" t="n">
        <v>1.3785</v>
      </c>
      <c r="E109" s="1" t="n">
        <v>0.153536</v>
      </c>
      <c r="F109" s="1" t="n">
        <v>0.000441314</v>
      </c>
      <c r="G109" s="1" t="s">
        <v>27</v>
      </c>
      <c r="H109" s="1" t="n">
        <v>21.9</v>
      </c>
      <c r="I109" s="1" t="n">
        <v>6.2</v>
      </c>
      <c r="J109" s="1" t="n">
        <v>30.4</v>
      </c>
      <c r="K109" s="1"/>
      <c r="L109" s="1" t="n">
        <v>0</v>
      </c>
      <c r="M109" s="1" t="n">
        <v>0</v>
      </c>
      <c r="N109" s="1" t="s">
        <v>156</v>
      </c>
      <c r="O109" s="1"/>
      <c r="P109" s="1"/>
      <c r="Q109" s="1"/>
      <c r="R109" s="1"/>
      <c r="Z109" s="0" t="n">
        <f aca="false">I109+0</f>
        <v>6.2</v>
      </c>
      <c r="AB109" s="0" t="n">
        <f aca="false">IF(Z109&gt;360,Z109-360,Z109+0)</f>
        <v>6.2</v>
      </c>
    </row>
    <row r="110" customFormat="false" ht="15.8" hidden="false" customHeight="false" outlineLevel="0" collapsed="false">
      <c r="A110" s="1" t="n">
        <v>10</v>
      </c>
      <c r="B110" s="1" t="n">
        <v>8</v>
      </c>
      <c r="C110" s="1" t="n">
        <v>4.1</v>
      </c>
      <c r="D110" s="1" t="n">
        <v>1.3919</v>
      </c>
      <c r="E110" s="1" t="n">
        <v>0.147535</v>
      </c>
      <c r="F110" s="1" t="n">
        <v>0.000424065</v>
      </c>
      <c r="G110" s="1" t="s">
        <v>27</v>
      </c>
      <c r="H110" s="1" t="n">
        <v>29.6</v>
      </c>
      <c r="I110" s="1" t="n">
        <v>1.2</v>
      </c>
      <c r="J110" s="1" t="n">
        <v>15.4</v>
      </c>
      <c r="K110" s="1"/>
      <c r="L110" s="1" t="n">
        <v>0</v>
      </c>
      <c r="M110" s="1" t="n">
        <v>0</v>
      </c>
      <c r="N110" s="1" t="s">
        <v>156</v>
      </c>
      <c r="O110" s="1"/>
      <c r="P110" s="1"/>
      <c r="Q110" s="1"/>
      <c r="R110" s="1"/>
      <c r="Z110" s="0" t="n">
        <f aca="false">I110+0</f>
        <v>1.2</v>
      </c>
      <c r="AB110" s="0" t="n">
        <f aca="false">IF(Z110&gt;360,Z110-360,Z110+0)</f>
        <v>1.2</v>
      </c>
    </row>
    <row r="111" customFormat="false" ht="15.8" hidden="false" customHeight="false" outlineLevel="0" collapsed="false">
      <c r="A111" s="1" t="n">
        <v>10</v>
      </c>
      <c r="B111" s="1" t="n">
        <v>7</v>
      </c>
      <c r="C111" s="1" t="n">
        <v>1</v>
      </c>
      <c r="D111" s="1" t="n">
        <v>1.1919</v>
      </c>
      <c r="E111" s="1" t="n">
        <v>0.0378797</v>
      </c>
      <c r="F111" s="1" t="n">
        <v>0.000108879</v>
      </c>
      <c r="G111" s="1" t="s">
        <v>42</v>
      </c>
      <c r="H111" s="1" t="n">
        <v>76.8</v>
      </c>
      <c r="I111" s="1" t="n">
        <v>30.7</v>
      </c>
      <c r="J111" s="1" t="n">
        <v>26.3</v>
      </c>
      <c r="K111" s="1" t="n">
        <v>29.6</v>
      </c>
      <c r="L111" s="1" t="n">
        <v>0</v>
      </c>
      <c r="M111" s="1" t="n">
        <v>0</v>
      </c>
      <c r="N111" s="1" t="s">
        <v>157</v>
      </c>
      <c r="O111" s="1"/>
      <c r="P111" s="1"/>
      <c r="Q111" s="1"/>
      <c r="R111" s="1"/>
      <c r="Z111" s="0" t="n">
        <f aca="false">I111+0</f>
        <v>30.7</v>
      </c>
      <c r="AB111" s="0" t="n">
        <f aca="false">IF(Z111&gt;360,Z111-360,Z111+0)</f>
        <v>30.7</v>
      </c>
    </row>
    <row r="112" customFormat="false" ht="15.8" hidden="false" customHeight="false" outlineLevel="0" collapsed="false">
      <c r="A112" s="1" t="n">
        <v>10</v>
      </c>
      <c r="B112" s="1" t="n">
        <v>7</v>
      </c>
      <c r="C112" s="1" t="n">
        <v>3.5</v>
      </c>
      <c r="D112" s="1" t="n">
        <v>1.0595</v>
      </c>
      <c r="E112" s="1" t="n">
        <v>0.124862</v>
      </c>
      <c r="F112" s="1" t="n">
        <v>0.000358896</v>
      </c>
      <c r="G112" s="1" t="s">
        <v>27</v>
      </c>
      <c r="H112" s="1" t="n">
        <v>72.8</v>
      </c>
      <c r="I112" s="1" t="n">
        <v>193.4</v>
      </c>
      <c r="J112" s="1" t="n">
        <v>0</v>
      </c>
      <c r="K112" s="1"/>
      <c r="L112" s="1" t="n">
        <v>0</v>
      </c>
      <c r="M112" s="1" t="n">
        <v>0</v>
      </c>
      <c r="N112" s="1" t="s">
        <v>157</v>
      </c>
      <c r="O112" s="1"/>
      <c r="P112" s="1"/>
      <c r="Q112" s="1"/>
      <c r="R112" s="1"/>
      <c r="Z112" s="0" t="n">
        <f aca="false">I112+0</f>
        <v>193.4</v>
      </c>
      <c r="AB112" s="0" t="n">
        <f aca="false">IF(Z112&gt;360,Z112-360,Z112+0)</f>
        <v>193.4</v>
      </c>
    </row>
    <row r="113" customFormat="false" ht="15.8" hidden="false" customHeight="false" outlineLevel="0" collapsed="false">
      <c r="A113" s="1" t="n">
        <v>10</v>
      </c>
      <c r="B113" s="1" t="n">
        <v>6</v>
      </c>
      <c r="C113" s="1" t="n">
        <v>1.4</v>
      </c>
      <c r="D113" s="1" t="n">
        <v>1.1152</v>
      </c>
      <c r="E113" s="1" t="n">
        <v>0.0519448</v>
      </c>
      <c r="F113" s="1" t="n">
        <v>0.000149307</v>
      </c>
      <c r="G113" s="1" t="s">
        <v>42</v>
      </c>
      <c r="H113" s="1" t="n">
        <v>45.2</v>
      </c>
      <c r="I113" s="1" t="n">
        <v>148</v>
      </c>
      <c r="J113" s="1" t="n">
        <v>65.1</v>
      </c>
      <c r="K113" s="1" t="n">
        <v>76.8</v>
      </c>
      <c r="L113" s="1" t="n">
        <v>0</v>
      </c>
      <c r="M113" s="1" t="n">
        <v>0</v>
      </c>
      <c r="N113" s="1" t="s">
        <v>158</v>
      </c>
      <c r="O113" s="1"/>
      <c r="P113" s="1"/>
      <c r="Q113" s="1"/>
      <c r="R113" s="1"/>
      <c r="Z113" s="0" t="n">
        <f aca="false">I113+0</f>
        <v>148</v>
      </c>
      <c r="AB113" s="0" t="n">
        <f aca="false">IF(Z113&gt;360,Z113-360,Z113+0)</f>
        <v>148</v>
      </c>
    </row>
    <row r="114" customFormat="false" ht="15.8" hidden="false" customHeight="false" outlineLevel="0" collapsed="false">
      <c r="A114" s="1" t="n">
        <v>10</v>
      </c>
      <c r="B114" s="1" t="n">
        <v>6</v>
      </c>
      <c r="C114" s="1" t="n">
        <v>3.1</v>
      </c>
      <c r="D114" s="1" t="n">
        <v>1.3845</v>
      </c>
      <c r="E114" s="1" t="n">
        <v>0.111355</v>
      </c>
      <c r="F114" s="1" t="n">
        <v>0.00032007</v>
      </c>
      <c r="G114" s="1" t="s">
        <v>27</v>
      </c>
      <c r="H114" s="1" t="n">
        <v>122.6</v>
      </c>
      <c r="I114" s="1" t="n">
        <v>192.7</v>
      </c>
      <c r="J114" s="1" t="n">
        <v>-10.1</v>
      </c>
      <c r="K114" s="1"/>
      <c r="L114" s="1" t="n">
        <v>0</v>
      </c>
      <c r="M114" s="1" t="n">
        <v>0</v>
      </c>
      <c r="N114" s="1" t="s">
        <v>158</v>
      </c>
      <c r="O114" s="1"/>
      <c r="P114" s="1"/>
      <c r="Q114" s="1"/>
      <c r="R114" s="1"/>
      <c r="Z114" s="0" t="n">
        <f aca="false">I114+0</f>
        <v>192.7</v>
      </c>
      <c r="AB114" s="0" t="n">
        <f aca="false">IF(Z114&gt;360,Z114-360,Z114+0)</f>
        <v>192.7</v>
      </c>
    </row>
    <row r="115" customFormat="false" ht="15.8" hidden="false" customHeight="false" outlineLevel="0" collapsed="false">
      <c r="A115" s="1" t="n">
        <v>10</v>
      </c>
      <c r="B115" s="1" t="n">
        <v>6</v>
      </c>
      <c r="C115" s="1" t="n">
        <v>2.3</v>
      </c>
      <c r="D115" s="1" t="n">
        <v>1.0314</v>
      </c>
      <c r="E115" s="1" t="n">
        <v>0.0826051</v>
      </c>
      <c r="F115" s="1" t="n">
        <v>0.000237435</v>
      </c>
      <c r="G115" s="1" t="s">
        <v>27</v>
      </c>
      <c r="H115" s="1" t="n">
        <v>83.2</v>
      </c>
      <c r="I115" s="1" t="n">
        <v>344.7</v>
      </c>
      <c r="J115" s="1" t="n">
        <v>0</v>
      </c>
      <c r="K115" s="1"/>
      <c r="L115" s="1" t="n">
        <v>0</v>
      </c>
      <c r="M115" s="1" t="n">
        <v>0</v>
      </c>
      <c r="N115" s="1" t="s">
        <v>158</v>
      </c>
      <c r="O115" s="1"/>
      <c r="P115" s="1"/>
      <c r="Q115" s="1"/>
      <c r="R115" s="1"/>
      <c r="Z115" s="0" t="n">
        <f aca="false">I115+0</f>
        <v>344.7</v>
      </c>
      <c r="AB115" s="0" t="n">
        <f aca="false">IF(Z115&gt;360,Z115-360,Z115+0)</f>
        <v>344.7</v>
      </c>
    </row>
    <row r="116" customFormat="false" ht="15.8" hidden="false" customHeight="false" outlineLevel="0" collapsed="false">
      <c r="A116" s="1" t="n">
        <v>10</v>
      </c>
      <c r="B116" s="1" t="n">
        <v>5</v>
      </c>
      <c r="C116" s="1" t="n">
        <v>1.3</v>
      </c>
      <c r="D116" s="1" t="n">
        <v>1.2224</v>
      </c>
      <c r="E116" s="1" t="n">
        <v>0.0464588</v>
      </c>
      <c r="F116" s="1" t="n">
        <v>0.000133538</v>
      </c>
      <c r="G116" s="1" t="s">
        <v>42</v>
      </c>
      <c r="H116" s="1" t="n">
        <v>89.3</v>
      </c>
      <c r="I116" s="1" t="n">
        <v>64.5</v>
      </c>
      <c r="J116" s="1" t="n">
        <v>47.8</v>
      </c>
      <c r="K116" s="1" t="n">
        <v>122.6</v>
      </c>
      <c r="L116" s="1" t="n">
        <v>0</v>
      </c>
      <c r="M116" s="1" t="n">
        <v>0</v>
      </c>
      <c r="N116" s="1" t="s">
        <v>159</v>
      </c>
      <c r="O116" s="1"/>
      <c r="P116" s="1"/>
      <c r="Q116" s="1"/>
      <c r="R116" s="1"/>
      <c r="Z116" s="0" t="n">
        <f aca="false">I116+0</f>
        <v>64.5</v>
      </c>
      <c r="AB116" s="0" t="n">
        <f aca="false">IF(Z116&gt;360,Z116-360,Z116+0)</f>
        <v>64.5</v>
      </c>
    </row>
    <row r="117" customFormat="false" ht="15.8" hidden="false" customHeight="false" outlineLevel="0" collapsed="false">
      <c r="A117" s="1" t="n">
        <v>10</v>
      </c>
      <c r="B117" s="1" t="n">
        <v>5</v>
      </c>
      <c r="C117" s="1" t="n">
        <v>14.5</v>
      </c>
      <c r="D117" s="1" t="n">
        <v>1.4061</v>
      </c>
      <c r="E117" s="1" t="n">
        <v>0.523605</v>
      </c>
      <c r="F117" s="1" t="n">
        <v>0.00150502</v>
      </c>
      <c r="G117" s="1" t="s">
        <v>27</v>
      </c>
      <c r="H117" s="1" t="n">
        <v>65.1</v>
      </c>
      <c r="I117" s="1" t="n">
        <v>179.1</v>
      </c>
      <c r="J117" s="1" t="n">
        <v>-40</v>
      </c>
      <c r="K117" s="1"/>
      <c r="L117" s="1" t="n">
        <v>0</v>
      </c>
      <c r="M117" s="1" t="n">
        <v>0</v>
      </c>
      <c r="N117" s="1" t="s">
        <v>159</v>
      </c>
      <c r="O117" s="1"/>
      <c r="P117" s="1"/>
      <c r="Q117" s="1"/>
      <c r="R117" s="1"/>
      <c r="Z117" s="0" t="n">
        <f aca="false">I117+0</f>
        <v>179.1</v>
      </c>
      <c r="AB117" s="0" t="n">
        <f aca="false">IF(Z117&gt;360,Z117-360,Z117+0)</f>
        <v>179.1</v>
      </c>
    </row>
    <row r="118" customFormat="false" ht="15.8" hidden="false" customHeight="false" outlineLevel="0" collapsed="false">
      <c r="A118" s="1" t="n">
        <v>10</v>
      </c>
      <c r="B118" s="1" t="n">
        <v>5</v>
      </c>
      <c r="C118" s="1" t="n">
        <v>2.6</v>
      </c>
      <c r="D118" s="1" t="n">
        <v>1.8959</v>
      </c>
      <c r="E118" s="1" t="n">
        <v>0.0930113</v>
      </c>
      <c r="F118" s="1" t="n">
        <v>0.000267346</v>
      </c>
      <c r="G118" s="1" t="s">
        <v>27</v>
      </c>
      <c r="H118" s="1" t="n">
        <v>120.5</v>
      </c>
      <c r="I118" s="1" t="n">
        <v>295.7</v>
      </c>
      <c r="J118" s="1" t="n">
        <v>-16.7</v>
      </c>
      <c r="K118" s="1"/>
      <c r="L118" s="1" t="n">
        <v>0</v>
      </c>
      <c r="M118" s="1" t="n">
        <v>0</v>
      </c>
      <c r="N118" s="1" t="s">
        <v>159</v>
      </c>
      <c r="O118" s="1"/>
      <c r="P118" s="1"/>
      <c r="Q118" s="1"/>
      <c r="R118" s="1"/>
      <c r="Z118" s="0" t="n">
        <f aca="false">I118+0</f>
        <v>295.7</v>
      </c>
      <c r="AB118" s="0" t="n">
        <f aca="false">IF(Z118&gt;360,Z118-360,Z118+0)</f>
        <v>295.7</v>
      </c>
    </row>
    <row r="119" customFormat="false" ht="15.8" hidden="false" customHeight="false" outlineLevel="0" collapsed="false">
      <c r="A119" s="1" t="n">
        <v>10</v>
      </c>
      <c r="B119" s="1" t="n">
        <v>4</v>
      </c>
      <c r="C119" s="1" t="n">
        <v>0.8</v>
      </c>
      <c r="D119" s="1" t="n">
        <v>1.2517</v>
      </c>
      <c r="E119" s="1" t="n">
        <v>0.0284742</v>
      </c>
      <c r="F119" s="1" t="n">
        <v>8.18444E-005</v>
      </c>
      <c r="G119" s="1" t="s">
        <v>42</v>
      </c>
      <c r="H119" s="1" t="n">
        <v>106.1</v>
      </c>
      <c r="I119" s="1" t="n">
        <v>91.3</v>
      </c>
      <c r="J119" s="1" t="n">
        <v>-38.3</v>
      </c>
      <c r="K119" s="1" t="n">
        <v>120.5</v>
      </c>
      <c r="L119" s="1" t="n">
        <v>0</v>
      </c>
      <c r="M119" s="1" t="n">
        <v>0</v>
      </c>
      <c r="N119" s="1" t="s">
        <v>160</v>
      </c>
      <c r="O119" s="1"/>
      <c r="P119" s="1"/>
      <c r="Q119" s="1"/>
      <c r="R119" s="1"/>
      <c r="Z119" s="0" t="n">
        <f aca="false">I119+0</f>
        <v>91.3</v>
      </c>
      <c r="AB119" s="0" t="n">
        <f aca="false">IF(Z119&gt;360,Z119-360,Z119+0)</f>
        <v>91.3</v>
      </c>
    </row>
    <row r="120" customFormat="false" ht="15.8" hidden="false" customHeight="false" outlineLevel="0" collapsed="false">
      <c r="A120" s="1" t="n">
        <v>10</v>
      </c>
      <c r="B120" s="1" t="n">
        <v>6</v>
      </c>
      <c r="C120" s="1" t="n">
        <v>2</v>
      </c>
      <c r="D120" s="1" t="n">
        <v>1.2409</v>
      </c>
      <c r="E120" s="1" t="n">
        <v>0.0720764</v>
      </c>
      <c r="F120" s="1" t="n">
        <v>0.000207172</v>
      </c>
      <c r="G120" s="1" t="s">
        <v>27</v>
      </c>
      <c r="H120" s="1" t="n">
        <v>92.7</v>
      </c>
      <c r="I120" s="1" t="n">
        <v>240.4</v>
      </c>
      <c r="J120" s="1" t="n">
        <v>14</v>
      </c>
      <c r="K120" s="1"/>
      <c r="L120" s="1" t="n">
        <v>0</v>
      </c>
      <c r="M120" s="1" t="n">
        <v>0</v>
      </c>
      <c r="N120" s="1" t="s">
        <v>161</v>
      </c>
      <c r="O120" s="1"/>
      <c r="P120" s="1"/>
      <c r="Q120" s="1"/>
      <c r="R120" s="1"/>
      <c r="Z120" s="0" t="n">
        <f aca="false">I120+0</f>
        <v>240.4</v>
      </c>
      <c r="AB120" s="0" t="n">
        <f aca="false">IF(Z120&gt;360,Z120-360,Z120+0)</f>
        <v>240.4</v>
      </c>
    </row>
    <row r="121" customFormat="false" ht="15.8" hidden="false" customHeight="false" outlineLevel="0" collapsed="false">
      <c r="A121" s="1" t="n">
        <v>10</v>
      </c>
      <c r="B121" s="1" t="n">
        <v>7</v>
      </c>
      <c r="C121" s="1" t="n">
        <v>1.4</v>
      </c>
      <c r="D121" s="1" t="n">
        <v>1.1976</v>
      </c>
      <c r="E121" s="1" t="n">
        <v>0.050386</v>
      </c>
      <c r="F121" s="1" t="n">
        <v>0.000144826</v>
      </c>
      <c r="G121" s="1" t="s">
        <v>27</v>
      </c>
      <c r="H121" s="1" t="n">
        <v>118.4</v>
      </c>
      <c r="I121" s="1" t="n">
        <v>247.2</v>
      </c>
      <c r="J121" s="1" t="n">
        <v>-19.6</v>
      </c>
      <c r="K121" s="1"/>
      <c r="L121" s="1" t="n">
        <v>0</v>
      </c>
      <c r="M121" s="1" t="n">
        <v>0</v>
      </c>
      <c r="N121" s="1" t="s">
        <v>162</v>
      </c>
      <c r="O121" s="1"/>
      <c r="P121" s="1"/>
      <c r="Q121" s="1"/>
      <c r="R121" s="1"/>
      <c r="Z121" s="0" t="n">
        <f aca="false">I121+0</f>
        <v>247.2</v>
      </c>
      <c r="AB121" s="0" t="n">
        <f aca="false">IF(Z121&gt;360,Z121-360,Z121+0)</f>
        <v>247.2</v>
      </c>
    </row>
    <row r="122" customFormat="false" ht="15.8" hidden="false" customHeight="false" outlineLevel="0" collapsed="false">
      <c r="A122" s="1" t="n">
        <v>10</v>
      </c>
      <c r="B122" s="1" t="n">
        <v>8</v>
      </c>
      <c r="C122" s="1" t="n">
        <v>1.6</v>
      </c>
      <c r="D122" s="1" t="n">
        <v>1.0128</v>
      </c>
      <c r="E122" s="1" t="n">
        <v>0.0594898</v>
      </c>
      <c r="F122" s="1" t="n">
        <v>0.000170994</v>
      </c>
      <c r="G122" s="1" t="s">
        <v>27</v>
      </c>
      <c r="H122" s="1" t="n">
        <v>124.2</v>
      </c>
      <c r="I122" s="1" t="n">
        <v>67.9</v>
      </c>
      <c r="J122" s="1" t="n">
        <v>73.6</v>
      </c>
      <c r="K122" s="1"/>
      <c r="L122" s="1" t="n">
        <v>0</v>
      </c>
      <c r="M122" s="1" t="n">
        <v>0</v>
      </c>
      <c r="N122" s="1" t="s">
        <v>163</v>
      </c>
      <c r="O122" s="1"/>
      <c r="P122" s="1"/>
      <c r="Q122" s="1"/>
      <c r="R122" s="1"/>
      <c r="Z122" s="0" t="n">
        <f aca="false">I122+0</f>
        <v>67.9</v>
      </c>
      <c r="AB122" s="0" t="n">
        <f aca="false">IF(Z122&gt;360,Z122-360,Z122+0)</f>
        <v>67.9</v>
      </c>
    </row>
    <row r="123" customFormat="false" ht="15.8" hidden="false" customHeight="false" outlineLevel="0" collapsed="false">
      <c r="A123" s="1" t="n">
        <v>10</v>
      </c>
      <c r="B123" s="1" t="n">
        <v>8</v>
      </c>
      <c r="C123" s="1" t="n">
        <v>4.3</v>
      </c>
      <c r="D123" s="1" t="n">
        <v>1.2739</v>
      </c>
      <c r="E123" s="1" t="n">
        <v>0.155131</v>
      </c>
      <c r="F123" s="1" t="n">
        <v>0.000445899</v>
      </c>
      <c r="G123" s="1" t="s">
        <v>27</v>
      </c>
      <c r="H123" s="1" t="n">
        <v>20.8</v>
      </c>
      <c r="I123" s="1" t="n">
        <v>0.4</v>
      </c>
      <c r="J123" s="1" t="n">
        <v>-20.3</v>
      </c>
      <c r="K123" s="1"/>
      <c r="L123" s="1" t="n">
        <v>0</v>
      </c>
      <c r="M123" s="1" t="n">
        <v>0</v>
      </c>
      <c r="N123" s="1" t="s">
        <v>163</v>
      </c>
      <c r="O123" s="1"/>
      <c r="P123" s="1"/>
      <c r="Q123" s="1"/>
      <c r="R123" s="1"/>
      <c r="Z123" s="0" t="n">
        <f aca="false">I123+0</f>
        <v>0.4</v>
      </c>
      <c r="AB123" s="0" t="n">
        <f aca="false">IF(Z123&gt;360,Z123-360,Z123+0)</f>
        <v>0.4</v>
      </c>
    </row>
    <row r="124" customFormat="false" ht="15.8" hidden="false" customHeight="false" outlineLevel="0" collapsed="false">
      <c r="A124" s="1" t="n">
        <v>10</v>
      </c>
      <c r="B124" s="1" t="n">
        <v>7</v>
      </c>
      <c r="C124" s="1" t="n">
        <v>0.7</v>
      </c>
      <c r="D124" s="1" t="n">
        <v>1.1907</v>
      </c>
      <c r="E124" s="1" t="n">
        <v>0.0260504</v>
      </c>
      <c r="F124" s="1" t="n">
        <v>7.48775E-005</v>
      </c>
      <c r="G124" s="1" t="s">
        <v>42</v>
      </c>
      <c r="H124" s="1" t="n">
        <v>42.2</v>
      </c>
      <c r="I124" s="1" t="n">
        <v>352.9</v>
      </c>
      <c r="J124" s="1" t="n">
        <v>-40.1</v>
      </c>
      <c r="K124" s="1" t="n">
        <v>124.2</v>
      </c>
      <c r="L124" s="1" t="n">
        <v>0</v>
      </c>
      <c r="M124" s="1" t="n">
        <v>0</v>
      </c>
      <c r="N124" s="1" t="s">
        <v>162</v>
      </c>
      <c r="O124" s="1"/>
      <c r="P124" s="1"/>
      <c r="Q124" s="1"/>
      <c r="R124" s="1"/>
      <c r="Z124" s="0" t="n">
        <f aca="false">I124+0</f>
        <v>352.9</v>
      </c>
      <c r="AB124" s="0" t="n">
        <f aca="false">IF(Z124&gt;360,Z124-360,Z124+0)</f>
        <v>352.9</v>
      </c>
    </row>
    <row r="125" customFormat="false" ht="15.8" hidden="false" customHeight="false" outlineLevel="0" collapsed="false">
      <c r="A125" s="1" t="n">
        <v>10</v>
      </c>
      <c r="B125" s="1" t="n">
        <v>6</v>
      </c>
      <c r="C125" s="1" t="n">
        <v>1.4</v>
      </c>
      <c r="D125" s="1" t="n">
        <v>1.0283</v>
      </c>
      <c r="E125" s="1" t="n">
        <v>0.0490999</v>
      </c>
      <c r="F125" s="1" t="n">
        <v>0.000141129</v>
      </c>
      <c r="G125" s="1" t="s">
        <v>42</v>
      </c>
      <c r="H125" s="1" t="n">
        <v>36.4</v>
      </c>
      <c r="I125" s="1" t="n">
        <v>7.5</v>
      </c>
      <c r="J125" s="1" t="n">
        <v>0</v>
      </c>
      <c r="K125" s="1" t="n">
        <v>118.4</v>
      </c>
      <c r="L125" s="1" t="n">
        <v>0</v>
      </c>
      <c r="M125" s="1" t="n">
        <v>0</v>
      </c>
      <c r="N125" s="1" t="s">
        <v>161</v>
      </c>
      <c r="O125" s="1"/>
      <c r="P125" s="1"/>
      <c r="Q125" s="1"/>
      <c r="R125" s="1"/>
      <c r="Z125" s="0" t="n">
        <f aca="false">I125+0</f>
        <v>7.5</v>
      </c>
      <c r="AB125" s="0" t="n">
        <f aca="false">IF(Z125&gt;360,Z125-360,Z125+0)</f>
        <v>7.5</v>
      </c>
    </row>
    <row r="126" customFormat="false" ht="15.8" hidden="false" customHeight="false" outlineLevel="0" collapsed="false">
      <c r="A126" s="1" t="n">
        <v>10</v>
      </c>
      <c r="B126" s="1" t="n">
        <v>5</v>
      </c>
      <c r="C126" s="1" t="n">
        <v>9.1</v>
      </c>
      <c r="D126" s="1" t="n">
        <v>1.2463</v>
      </c>
      <c r="E126" s="1" t="n">
        <v>0.329388</v>
      </c>
      <c r="F126" s="1" t="n">
        <v>0.000946772</v>
      </c>
      <c r="G126" s="1" t="s">
        <v>42</v>
      </c>
      <c r="H126" s="1" t="n">
        <v>26.3</v>
      </c>
      <c r="I126" s="1" t="n">
        <v>340.3</v>
      </c>
      <c r="J126" s="1" t="n">
        <v>25.2</v>
      </c>
      <c r="K126" s="1" t="n">
        <v>92.7</v>
      </c>
      <c r="L126" s="1" t="n">
        <v>0</v>
      </c>
      <c r="M126" s="1" t="n">
        <v>0</v>
      </c>
      <c r="N126" s="1" t="s">
        <v>164</v>
      </c>
      <c r="O126" s="1"/>
      <c r="P126" s="1"/>
      <c r="Q126" s="1"/>
      <c r="R126" s="1"/>
      <c r="Z126" s="0" t="n">
        <f aca="false">I126+0</f>
        <v>340.3</v>
      </c>
      <c r="AB126" s="0" t="n">
        <f aca="false">IF(Z126&gt;360,Z126-360,Z126+0)</f>
        <v>340.3</v>
      </c>
    </row>
    <row r="127" customFormat="false" ht="15.8" hidden="false" customHeight="false" outlineLevel="0" collapsed="false">
      <c r="A127" s="1" t="n">
        <v>10</v>
      </c>
      <c r="B127" s="1" t="n">
        <v>8</v>
      </c>
      <c r="C127" s="1" t="n">
        <v>0.6</v>
      </c>
      <c r="D127" s="1" t="n">
        <v>1.0015</v>
      </c>
      <c r="E127" s="1" t="n">
        <v>0.020417</v>
      </c>
      <c r="F127" s="1" t="n">
        <v>5.86852E-005</v>
      </c>
      <c r="G127" s="1" t="s">
        <v>27</v>
      </c>
      <c r="H127" s="1" t="n">
        <v>107.9</v>
      </c>
      <c r="I127" s="1" t="n">
        <v>266.5</v>
      </c>
      <c r="J127" s="1" t="n">
        <v>0</v>
      </c>
      <c r="K127" s="1"/>
      <c r="L127" s="1" t="n">
        <v>0</v>
      </c>
      <c r="M127" s="1" t="n">
        <v>0</v>
      </c>
      <c r="N127" s="1" t="s">
        <v>165</v>
      </c>
      <c r="O127" s="1"/>
      <c r="P127" s="1"/>
      <c r="Q127" s="1"/>
      <c r="R127" s="1"/>
      <c r="Z127" s="0" t="n">
        <f aca="false">I127+0</f>
        <v>266.5</v>
      </c>
      <c r="AB127" s="0" t="n">
        <f aca="false">IF(Z127&gt;360,Z127-360,Z127+0)</f>
        <v>266.5</v>
      </c>
    </row>
    <row r="128" customFormat="false" ht="15.8" hidden="false" customHeight="false" outlineLevel="0" collapsed="false">
      <c r="A128" s="1" t="n">
        <v>10</v>
      </c>
      <c r="B128" s="1" t="n">
        <v>8</v>
      </c>
      <c r="C128" s="1" t="n">
        <v>8.8</v>
      </c>
      <c r="D128" s="1" t="n">
        <v>1.3122</v>
      </c>
      <c r="E128" s="1" t="n">
        <v>0.319064</v>
      </c>
      <c r="F128" s="1" t="n">
        <v>0.000917097</v>
      </c>
      <c r="G128" s="1" t="s">
        <v>27</v>
      </c>
      <c r="H128" s="1" t="n">
        <v>27.1</v>
      </c>
      <c r="I128" s="1" t="n">
        <v>8.6</v>
      </c>
      <c r="J128" s="1" t="n">
        <v>-6.7</v>
      </c>
      <c r="K128" s="1"/>
      <c r="L128" s="1" t="n">
        <v>0</v>
      </c>
      <c r="M128" s="1" t="n">
        <v>0</v>
      </c>
      <c r="N128" s="1" t="s">
        <v>165</v>
      </c>
      <c r="O128" s="1"/>
      <c r="P128" s="1"/>
      <c r="Q128" s="1"/>
      <c r="R128" s="1"/>
      <c r="Z128" s="0" t="n">
        <f aca="false">I128+0</f>
        <v>8.6</v>
      </c>
      <c r="AB128" s="0" t="n">
        <f aca="false">IF(Z128&gt;360,Z128-360,Z128+0)</f>
        <v>8.6</v>
      </c>
    </row>
    <row r="129" customFormat="false" ht="15.8" hidden="false" customHeight="false" outlineLevel="0" collapsed="false">
      <c r="A129" s="1" t="n">
        <v>10</v>
      </c>
      <c r="B129" s="1" t="n">
        <v>7</v>
      </c>
      <c r="C129" s="1" t="n">
        <v>6.5</v>
      </c>
      <c r="D129" s="1" t="n">
        <v>1.3914</v>
      </c>
      <c r="E129" s="1" t="n">
        <v>0.23364</v>
      </c>
      <c r="F129" s="1" t="n">
        <v>0.000671561</v>
      </c>
      <c r="G129" s="1" t="s">
        <v>42</v>
      </c>
      <c r="H129" s="1" t="n">
        <v>34.1</v>
      </c>
      <c r="I129" s="1" t="n">
        <v>15.5</v>
      </c>
      <c r="J129" s="1" t="n">
        <v>19.6</v>
      </c>
      <c r="K129" s="1" t="n">
        <v>107.9</v>
      </c>
      <c r="L129" s="1" t="n">
        <v>0</v>
      </c>
      <c r="M129" s="1" t="n">
        <v>0</v>
      </c>
      <c r="N129" s="1" t="s">
        <v>166</v>
      </c>
      <c r="O129" s="1"/>
      <c r="P129" s="1"/>
      <c r="Q129" s="1"/>
      <c r="R129" s="1"/>
      <c r="Z129" s="0" t="n">
        <f aca="false">I129+0</f>
        <v>15.5</v>
      </c>
      <c r="AB129" s="0" t="n">
        <f aca="false">IF(Z129&gt;360,Z129-360,Z129+0)</f>
        <v>15.5</v>
      </c>
    </row>
    <row r="130" customFormat="false" ht="15.8" hidden="false" customHeight="false" outlineLevel="0" collapsed="false">
      <c r="A130" s="1" t="n">
        <v>10</v>
      </c>
      <c r="B130" s="1" t="n">
        <v>8</v>
      </c>
      <c r="C130" s="1" t="n">
        <v>1.5</v>
      </c>
      <c r="D130" s="1" t="n">
        <v>1.2909</v>
      </c>
      <c r="E130" s="1" t="n">
        <v>0.0540865</v>
      </c>
      <c r="F130" s="1" t="n">
        <v>0.000155463</v>
      </c>
      <c r="G130" s="1" t="s">
        <v>27</v>
      </c>
      <c r="H130" s="1" t="n">
        <v>99.7</v>
      </c>
      <c r="I130" s="1" t="n">
        <v>262.3</v>
      </c>
      <c r="J130" s="1" t="n">
        <v>-42.3</v>
      </c>
      <c r="K130" s="1"/>
      <c r="L130" s="1" t="n">
        <v>0</v>
      </c>
      <c r="M130" s="1" t="n">
        <v>0</v>
      </c>
      <c r="N130" s="1" t="s">
        <v>167</v>
      </c>
      <c r="O130" s="1"/>
      <c r="P130" s="1"/>
      <c r="Q130" s="1"/>
      <c r="R130" s="1"/>
      <c r="Z130" s="0" t="n">
        <f aca="false">I130+0</f>
        <v>262.3</v>
      </c>
      <c r="AB130" s="0" t="n">
        <f aca="false">IF(Z130&gt;360,Z130-360,Z130+0)</f>
        <v>262.3</v>
      </c>
    </row>
    <row r="131" customFormat="false" ht="15.8" hidden="false" customHeight="false" outlineLevel="0" collapsed="false">
      <c r="A131" s="1" t="n">
        <v>10</v>
      </c>
      <c r="B131" s="1" t="n">
        <v>8</v>
      </c>
      <c r="C131" s="1" t="n">
        <v>1.1</v>
      </c>
      <c r="D131" s="1" t="n">
        <v>1.2028</v>
      </c>
      <c r="E131" s="1" t="n">
        <v>0.0398383</v>
      </c>
      <c r="F131" s="1" t="n">
        <v>0.000114509</v>
      </c>
      <c r="G131" s="1" t="s">
        <v>27</v>
      </c>
      <c r="H131" s="1" t="n">
        <v>108.5</v>
      </c>
      <c r="I131" s="1" t="n">
        <v>317.2</v>
      </c>
      <c r="J131" s="1" t="n">
        <v>-25.2</v>
      </c>
      <c r="K131" s="1"/>
      <c r="L131" s="1" t="n">
        <v>0</v>
      </c>
      <c r="M131" s="1" t="n">
        <v>0</v>
      </c>
      <c r="N131" s="1" t="s">
        <v>167</v>
      </c>
      <c r="O131" s="1"/>
      <c r="P131" s="1"/>
      <c r="Q131" s="1"/>
      <c r="R131" s="1"/>
      <c r="Z131" s="0" t="n">
        <f aca="false">I131+0</f>
        <v>317.2</v>
      </c>
      <c r="AB131" s="0" t="n">
        <f aca="false">IF(Z131&gt;360,Z131-360,Z131+0)</f>
        <v>317.2</v>
      </c>
    </row>
    <row r="132" customFormat="false" ht="15.8" hidden="false" customHeight="false" outlineLevel="0" collapsed="false">
      <c r="A132" s="1" t="n">
        <v>10</v>
      </c>
      <c r="B132" s="1" t="n">
        <v>8</v>
      </c>
      <c r="C132" s="1" t="n">
        <v>2.3</v>
      </c>
      <c r="D132" s="1" t="n">
        <v>1.3707</v>
      </c>
      <c r="E132" s="1" t="n">
        <v>0.0838294</v>
      </c>
      <c r="F132" s="1" t="n">
        <v>0.000240954</v>
      </c>
      <c r="G132" s="1" t="s">
        <v>27</v>
      </c>
      <c r="H132" s="1" t="n">
        <v>18.6</v>
      </c>
      <c r="I132" s="1" t="n">
        <v>205.6</v>
      </c>
      <c r="J132" s="1" t="n">
        <v>43.7</v>
      </c>
      <c r="K132" s="1"/>
      <c r="L132" s="1" t="n">
        <v>0</v>
      </c>
      <c r="M132" s="1" t="n">
        <v>0</v>
      </c>
      <c r="N132" s="1" t="s">
        <v>167</v>
      </c>
      <c r="O132" s="1"/>
      <c r="P132" s="1"/>
      <c r="Q132" s="1"/>
      <c r="R132" s="1"/>
      <c r="Z132" s="0" t="n">
        <f aca="false">I132+0</f>
        <v>205.6</v>
      </c>
      <c r="AB132" s="0" t="n">
        <f aca="false">IF(Z132&gt;360,Z132-360,Z132+0)</f>
        <v>205.6</v>
      </c>
    </row>
    <row r="133" customFormat="false" ht="15.8" hidden="false" customHeight="false" outlineLevel="0" collapsed="false">
      <c r="A133" s="1" t="n">
        <v>10</v>
      </c>
      <c r="B133" s="1" t="n">
        <v>7</v>
      </c>
      <c r="C133" s="1" t="n">
        <v>3.3</v>
      </c>
      <c r="D133" s="1" t="n">
        <v>1.3427</v>
      </c>
      <c r="E133" s="1" t="n">
        <v>0.117679</v>
      </c>
      <c r="F133" s="1" t="n">
        <v>0.000338248</v>
      </c>
      <c r="G133" s="1" t="s">
        <v>42</v>
      </c>
      <c r="H133" s="1" t="n">
        <v>105.8</v>
      </c>
      <c r="I133" s="1" t="n">
        <v>229.8</v>
      </c>
      <c r="J133" s="1" t="n">
        <v>53.5</v>
      </c>
      <c r="K133" s="1" t="n">
        <v>108.5</v>
      </c>
      <c r="L133" s="1" t="n">
        <v>0</v>
      </c>
      <c r="M133" s="1" t="n">
        <v>0</v>
      </c>
      <c r="N133" s="1" t="s">
        <v>166</v>
      </c>
      <c r="O133" s="1"/>
      <c r="P133" s="1"/>
      <c r="Q133" s="1"/>
      <c r="R133" s="1"/>
      <c r="Z133" s="0" t="n">
        <f aca="false">I133+0</f>
        <v>229.8</v>
      </c>
      <c r="AB133" s="0" t="n">
        <f aca="false">IF(Z133&gt;360,Z133-360,Z133+0)</f>
        <v>229.8</v>
      </c>
    </row>
    <row r="134" customFormat="false" ht="15.8" hidden="false" customHeight="false" outlineLevel="0" collapsed="false">
      <c r="A134" s="1" t="n">
        <v>10</v>
      </c>
      <c r="B134" s="1" t="n">
        <v>6</v>
      </c>
      <c r="C134" s="1" t="n">
        <v>0.5</v>
      </c>
      <c r="D134" s="1" t="n">
        <v>1.0234</v>
      </c>
      <c r="E134" s="1" t="n">
        <v>0.0170103</v>
      </c>
      <c r="F134" s="1" t="n">
        <v>4.88934E-005</v>
      </c>
      <c r="G134" s="1" t="s">
        <v>42</v>
      </c>
      <c r="H134" s="1" t="n">
        <v>23.3</v>
      </c>
      <c r="I134" s="1" t="n">
        <v>347</v>
      </c>
      <c r="J134" s="1" t="n">
        <v>0</v>
      </c>
      <c r="K134" s="1" t="n">
        <v>105.8</v>
      </c>
      <c r="L134" s="1" t="n">
        <v>0</v>
      </c>
      <c r="M134" s="1" t="n">
        <v>0</v>
      </c>
      <c r="N134" s="1" t="s">
        <v>168</v>
      </c>
      <c r="O134" s="1"/>
      <c r="P134" s="1"/>
      <c r="Q134" s="1"/>
      <c r="R134" s="1"/>
      <c r="Z134" s="0" t="n">
        <f aca="false">I134+0</f>
        <v>347</v>
      </c>
      <c r="AB134" s="0" t="n">
        <f aca="false">IF(Z134&gt;360,Z134-360,Z134+0)</f>
        <v>347</v>
      </c>
    </row>
    <row r="135" customFormat="false" ht="15.8" hidden="false" customHeight="false" outlineLevel="0" collapsed="false">
      <c r="A135" s="1" t="n">
        <v>10</v>
      </c>
      <c r="B135" s="1" t="n">
        <v>7</v>
      </c>
      <c r="C135" s="1" t="n">
        <v>2</v>
      </c>
      <c r="D135" s="1" t="n">
        <v>1.5843</v>
      </c>
      <c r="E135" s="1" t="n">
        <v>0.0733899</v>
      </c>
      <c r="F135" s="1" t="n">
        <v>0.000210947</v>
      </c>
      <c r="G135" s="1" t="s">
        <v>27</v>
      </c>
      <c r="H135" s="1" t="n">
        <v>63.2</v>
      </c>
      <c r="I135" s="1" t="n">
        <v>354.3</v>
      </c>
      <c r="J135" s="1" t="n">
        <v>0</v>
      </c>
      <c r="K135" s="1"/>
      <c r="L135" s="1" t="n">
        <v>0</v>
      </c>
      <c r="M135" s="1" t="n">
        <v>0</v>
      </c>
      <c r="N135" s="1" t="s">
        <v>169</v>
      </c>
      <c r="O135" s="1"/>
      <c r="P135" s="1"/>
      <c r="Q135" s="1"/>
      <c r="R135" s="1"/>
      <c r="Z135" s="0" t="n">
        <f aca="false">I135+0</f>
        <v>354.3</v>
      </c>
      <c r="AB135" s="0" t="n">
        <f aca="false">IF(Z135&gt;360,Z135-360,Z135+0)</f>
        <v>354.3</v>
      </c>
    </row>
    <row r="136" customFormat="false" ht="15.8" hidden="false" customHeight="false" outlineLevel="0" collapsed="false">
      <c r="A136" s="1" t="n">
        <v>10</v>
      </c>
      <c r="B136" s="1" t="n">
        <v>7</v>
      </c>
      <c r="C136" s="1" t="n">
        <v>2</v>
      </c>
      <c r="D136" s="1" t="n">
        <v>1.2547</v>
      </c>
      <c r="E136" s="1" t="n">
        <v>0.0723744</v>
      </c>
      <c r="F136" s="1" t="n">
        <v>0.000208028</v>
      </c>
      <c r="G136" s="1" t="s">
        <v>27</v>
      </c>
      <c r="H136" s="1" t="n">
        <v>54</v>
      </c>
      <c r="I136" s="1" t="n">
        <v>115.9</v>
      </c>
      <c r="J136" s="1" t="n">
        <v>-29.2</v>
      </c>
      <c r="K136" s="1"/>
      <c r="L136" s="1" t="n">
        <v>0</v>
      </c>
      <c r="M136" s="1" t="n">
        <v>0</v>
      </c>
      <c r="N136" s="1" t="s">
        <v>169</v>
      </c>
      <c r="O136" s="1"/>
      <c r="P136" s="1"/>
      <c r="Q136" s="1"/>
      <c r="R136" s="1"/>
      <c r="Z136" s="0" t="n">
        <f aca="false">I136+0</f>
        <v>115.9</v>
      </c>
      <c r="AB136" s="0" t="n">
        <f aca="false">IF(Z136&gt;360,Z136-360,Z136+0)</f>
        <v>115.9</v>
      </c>
    </row>
    <row r="137" customFormat="false" ht="15.8" hidden="false" customHeight="false" outlineLevel="0" collapsed="false">
      <c r="A137" s="1" t="n">
        <v>10</v>
      </c>
      <c r="B137" s="1" t="n">
        <v>6</v>
      </c>
      <c r="C137" s="1" t="n">
        <v>6.2</v>
      </c>
      <c r="D137" s="1" t="n">
        <v>1.54</v>
      </c>
      <c r="E137" s="1" t="n">
        <v>0.224862</v>
      </c>
      <c r="F137" s="1" t="n">
        <v>0.000646327</v>
      </c>
      <c r="G137" s="1" t="s">
        <v>42</v>
      </c>
      <c r="H137" s="1" t="n">
        <v>84.1</v>
      </c>
      <c r="I137" s="1" t="n">
        <v>53.3</v>
      </c>
      <c r="J137" s="1" t="n">
        <v>-28.8</v>
      </c>
      <c r="K137" s="1" t="n">
        <v>63.2</v>
      </c>
      <c r="L137" s="1" t="n">
        <v>0</v>
      </c>
      <c r="M137" s="1" t="n">
        <v>0</v>
      </c>
      <c r="N137" s="1" t="s">
        <v>168</v>
      </c>
      <c r="O137" s="1"/>
      <c r="P137" s="1"/>
      <c r="Q137" s="1"/>
      <c r="R137" s="1"/>
      <c r="Z137" s="0" t="n">
        <f aca="false">I137+0</f>
        <v>53.3</v>
      </c>
      <c r="AB137" s="0" t="n">
        <f aca="false">IF(Z137&gt;360,Z137-360,Z137+0)</f>
        <v>53.3</v>
      </c>
    </row>
    <row r="138" customFormat="false" ht="15.8" hidden="false" customHeight="false" outlineLevel="0" collapsed="false">
      <c r="A138" s="1" t="n">
        <v>10</v>
      </c>
      <c r="B138" s="1" t="n">
        <v>5</v>
      </c>
      <c r="C138" s="1" t="n">
        <v>3.5</v>
      </c>
      <c r="D138" s="1" t="n">
        <v>1.1946</v>
      </c>
      <c r="E138" s="1" t="n">
        <v>0.128184</v>
      </c>
      <c r="F138" s="1" t="n">
        <v>0.000368445</v>
      </c>
      <c r="G138" s="1" t="s">
        <v>42</v>
      </c>
      <c r="H138" s="1" t="n">
        <v>23.4</v>
      </c>
      <c r="I138" s="1" t="n">
        <v>344.6</v>
      </c>
      <c r="J138" s="1" t="n">
        <v>23.2</v>
      </c>
      <c r="K138" s="1" t="n">
        <v>84.1</v>
      </c>
      <c r="L138" s="1" t="n">
        <v>0</v>
      </c>
      <c r="M138" s="1" t="n">
        <v>0</v>
      </c>
      <c r="N138" s="1" t="s">
        <v>164</v>
      </c>
      <c r="O138" s="1"/>
      <c r="P138" s="1"/>
      <c r="Q138" s="1"/>
      <c r="R138" s="1"/>
      <c r="Z138" s="0" t="n">
        <f aca="false">I138+0</f>
        <v>344.6</v>
      </c>
      <c r="AB138" s="0" t="n">
        <f aca="false">IF(Z138&gt;360,Z138-360,Z138+0)</f>
        <v>344.6</v>
      </c>
    </row>
    <row r="139" customFormat="false" ht="15.8" hidden="false" customHeight="false" outlineLevel="0" collapsed="false">
      <c r="A139" s="1" t="n">
        <v>10</v>
      </c>
      <c r="B139" s="1" t="n">
        <v>4</v>
      </c>
      <c r="C139" s="1" t="n">
        <v>5.7</v>
      </c>
      <c r="D139" s="1" t="n">
        <v>1.2491</v>
      </c>
      <c r="E139" s="1" t="n">
        <v>0.206838</v>
      </c>
      <c r="F139" s="1" t="n">
        <v>0.000594521</v>
      </c>
      <c r="G139" s="1" t="s">
        <v>42</v>
      </c>
      <c r="H139" s="1" t="n">
        <v>37.4</v>
      </c>
      <c r="I139" s="1" t="n">
        <v>348</v>
      </c>
      <c r="J139" s="1" t="n">
        <v>0</v>
      </c>
      <c r="K139" s="1" t="n">
        <v>26.3</v>
      </c>
      <c r="L139" s="1" t="n">
        <v>0</v>
      </c>
      <c r="M139" s="1" t="n">
        <v>0</v>
      </c>
      <c r="N139" s="1" t="s">
        <v>160</v>
      </c>
      <c r="O139" s="1"/>
      <c r="P139" s="1"/>
      <c r="Q139" s="1"/>
      <c r="R139" s="1"/>
      <c r="Z139" s="0" t="n">
        <f aca="false">I139+0</f>
        <v>348</v>
      </c>
      <c r="AB139" s="0" t="n">
        <f aca="false">IF(Z139&gt;360,Z139-360,Z139+0)</f>
        <v>348</v>
      </c>
    </row>
    <row r="140" customFormat="false" ht="15.8" hidden="false" customHeight="false" outlineLevel="0" collapsed="false">
      <c r="A140" s="1" t="n">
        <v>10</v>
      </c>
      <c r="B140" s="1" t="n">
        <v>3</v>
      </c>
      <c r="C140" s="1" t="n">
        <v>8.1</v>
      </c>
      <c r="D140" s="1" t="n">
        <v>1.2531</v>
      </c>
      <c r="E140" s="1" t="n">
        <v>0.291704</v>
      </c>
      <c r="F140" s="1" t="n">
        <v>0.000838454</v>
      </c>
      <c r="G140" s="1" t="s">
        <v>42</v>
      </c>
      <c r="H140" s="1" t="n">
        <v>40.8</v>
      </c>
      <c r="I140" s="1" t="n">
        <v>6.6</v>
      </c>
      <c r="J140" s="1" t="n">
        <v>33</v>
      </c>
      <c r="K140" s="1" t="n">
        <v>106.1</v>
      </c>
      <c r="L140" s="1" t="n">
        <v>0</v>
      </c>
      <c r="M140" s="1" t="n">
        <v>0</v>
      </c>
      <c r="N140" s="1" t="s">
        <v>170</v>
      </c>
      <c r="O140" s="1"/>
      <c r="P140" s="1"/>
      <c r="Q140" s="1"/>
      <c r="R140" s="1"/>
      <c r="Z140" s="0" t="n">
        <f aca="false">I140+0</f>
        <v>6.6</v>
      </c>
      <c r="AB140" s="0" t="n">
        <f aca="false">IF(Z140&gt;360,Z140-360,Z140+0)</f>
        <v>6.6</v>
      </c>
    </row>
    <row r="141" customFormat="false" ht="15.8" hidden="false" customHeight="false" outlineLevel="0" collapsed="false">
      <c r="A141" s="1" t="n">
        <v>10</v>
      </c>
      <c r="B141" s="1" t="n">
        <v>5</v>
      </c>
      <c r="C141" s="1" t="n">
        <v>3.8</v>
      </c>
      <c r="D141" s="1" t="n">
        <v>1.355</v>
      </c>
      <c r="E141" s="1" t="n">
        <v>0.138989</v>
      </c>
      <c r="F141" s="1" t="n">
        <v>0.000399502</v>
      </c>
      <c r="G141" s="1" t="s">
        <v>27</v>
      </c>
      <c r="H141" s="1" t="n">
        <v>34.6</v>
      </c>
      <c r="I141" s="1" t="n">
        <v>38.1</v>
      </c>
      <c r="J141" s="1" t="n">
        <v>24.3</v>
      </c>
      <c r="K141" s="1"/>
      <c r="L141" s="1" t="n">
        <v>0</v>
      </c>
      <c r="M141" s="1" t="n">
        <v>0</v>
      </c>
      <c r="N141" s="1" t="s">
        <v>171</v>
      </c>
      <c r="O141" s="1"/>
      <c r="P141" s="1"/>
      <c r="Q141" s="1"/>
      <c r="R141" s="1"/>
      <c r="Z141" s="0" t="n">
        <f aca="false">I141+0</f>
        <v>38.1</v>
      </c>
      <c r="AB141" s="0" t="n">
        <f aca="false">IF(Z141&gt;360,Z141-360,Z141+0)</f>
        <v>38.1</v>
      </c>
    </row>
    <row r="142" customFormat="false" ht="15.8" hidden="false" customHeight="false" outlineLevel="0" collapsed="false">
      <c r="A142" s="1" t="n">
        <v>10</v>
      </c>
      <c r="B142" s="1" t="n">
        <v>6</v>
      </c>
      <c r="C142" s="1" t="n">
        <v>0.9</v>
      </c>
      <c r="D142" s="1" t="n">
        <v>1.2248</v>
      </c>
      <c r="E142" s="1" t="n">
        <v>0.0324708</v>
      </c>
      <c r="F142" s="1" t="n">
        <v>9.33319E-005</v>
      </c>
      <c r="G142" s="1" t="s">
        <v>27</v>
      </c>
      <c r="H142" s="1" t="n">
        <v>95.6</v>
      </c>
      <c r="I142" s="1" t="n">
        <v>160.6</v>
      </c>
      <c r="J142" s="1" t="n">
        <v>32.1</v>
      </c>
      <c r="K142" s="1"/>
      <c r="L142" s="1" t="n">
        <v>0</v>
      </c>
      <c r="M142" s="1" t="n">
        <v>0</v>
      </c>
      <c r="N142" s="1" t="s">
        <v>172</v>
      </c>
      <c r="O142" s="1"/>
      <c r="P142" s="1"/>
      <c r="Q142" s="1"/>
      <c r="R142" s="1"/>
      <c r="Z142" s="0" t="n">
        <f aca="false">I142+0</f>
        <v>160.6</v>
      </c>
      <c r="AB142" s="0" t="n">
        <f aca="false">IF(Z142&gt;360,Z142-360,Z142+0)</f>
        <v>160.6</v>
      </c>
    </row>
    <row r="143" customFormat="false" ht="15.8" hidden="false" customHeight="false" outlineLevel="0" collapsed="false">
      <c r="A143" s="1" t="n">
        <v>10</v>
      </c>
      <c r="B143" s="1" t="n">
        <v>6</v>
      </c>
      <c r="C143" s="1" t="n">
        <v>8.8</v>
      </c>
      <c r="D143" s="1" t="n">
        <v>1.2772</v>
      </c>
      <c r="E143" s="1" t="n">
        <v>0.317906</v>
      </c>
      <c r="F143" s="1" t="n">
        <v>0.000913768</v>
      </c>
      <c r="G143" s="1" t="s">
        <v>27</v>
      </c>
      <c r="H143" s="1" t="n">
        <v>23.9</v>
      </c>
      <c r="I143" s="1" t="n">
        <v>11.6</v>
      </c>
      <c r="J143" s="1" t="n">
        <v>23.3</v>
      </c>
      <c r="K143" s="1"/>
      <c r="L143" s="1" t="n">
        <v>0</v>
      </c>
      <c r="M143" s="1" t="n">
        <v>0</v>
      </c>
      <c r="N143" s="1" t="s">
        <v>172</v>
      </c>
      <c r="O143" s="1"/>
      <c r="P143" s="1"/>
      <c r="Q143" s="1"/>
      <c r="R143" s="1"/>
      <c r="Z143" s="0" t="n">
        <f aca="false">I143+0</f>
        <v>11.6</v>
      </c>
      <c r="AB143" s="0" t="n">
        <f aca="false">IF(Z143&gt;360,Z143-360,Z143+0)</f>
        <v>11.6</v>
      </c>
    </row>
    <row r="144" customFormat="false" ht="15.8" hidden="false" customHeight="false" outlineLevel="0" collapsed="false">
      <c r="A144" s="1" t="n">
        <v>10</v>
      </c>
      <c r="B144" s="1" t="n">
        <v>5</v>
      </c>
      <c r="C144" s="1" t="n">
        <v>11.9</v>
      </c>
      <c r="D144" s="1" t="n">
        <v>1.3189</v>
      </c>
      <c r="E144" s="1" t="n">
        <v>0.430469</v>
      </c>
      <c r="F144" s="1" t="n">
        <v>0.00123731</v>
      </c>
      <c r="G144" s="1" t="s">
        <v>42</v>
      </c>
      <c r="H144" s="1" t="n">
        <v>5.8</v>
      </c>
      <c r="I144" s="1" t="n">
        <v>12.7</v>
      </c>
      <c r="J144" s="1" t="n">
        <v>47.2</v>
      </c>
      <c r="K144" s="1" t="n">
        <v>95.6</v>
      </c>
      <c r="L144" s="1" t="n">
        <v>0</v>
      </c>
      <c r="M144" s="1" t="n">
        <v>0</v>
      </c>
      <c r="N144" s="1" t="s">
        <v>171</v>
      </c>
      <c r="O144" s="1"/>
      <c r="P144" s="1"/>
      <c r="Q144" s="1"/>
      <c r="R144" s="1"/>
      <c r="Z144" s="0" t="n">
        <f aca="false">I144+0</f>
        <v>12.7</v>
      </c>
      <c r="AB144" s="0" t="n">
        <f aca="false">IF(Z144&gt;360,Z144-360,Z144+0)</f>
        <v>12.7</v>
      </c>
    </row>
    <row r="145" customFormat="false" ht="15.8" hidden="false" customHeight="false" outlineLevel="0" collapsed="false">
      <c r="A145" s="1" t="n">
        <v>10</v>
      </c>
      <c r="B145" s="1" t="n">
        <v>4</v>
      </c>
      <c r="C145" s="1" t="n">
        <v>1.2</v>
      </c>
      <c r="D145" s="1" t="n">
        <v>1.2191</v>
      </c>
      <c r="E145" s="1" t="n">
        <v>0.0430275</v>
      </c>
      <c r="F145" s="1" t="n">
        <v>0.000123675</v>
      </c>
      <c r="G145" s="1" t="s">
        <v>42</v>
      </c>
      <c r="H145" s="1" t="n">
        <v>23.3</v>
      </c>
      <c r="I145" s="1" t="n">
        <v>12.4</v>
      </c>
      <c r="J145" s="1" t="n">
        <v>53</v>
      </c>
      <c r="K145" s="1" t="n">
        <v>34.6</v>
      </c>
      <c r="L145" s="1" t="n">
        <v>0</v>
      </c>
      <c r="M145" s="1" t="n">
        <v>0</v>
      </c>
      <c r="N145" s="1" t="s">
        <v>173</v>
      </c>
      <c r="O145" s="1"/>
      <c r="P145" s="1"/>
      <c r="Q145" s="1"/>
      <c r="R145" s="1"/>
      <c r="Z145" s="0" t="n">
        <f aca="false">I145+0</f>
        <v>12.4</v>
      </c>
      <c r="AB145" s="0" t="n">
        <f aca="false">IF(Z145&gt;360,Z145-360,Z145+0)</f>
        <v>12.4</v>
      </c>
    </row>
    <row r="146" customFormat="false" ht="15.8" hidden="false" customHeight="false" outlineLevel="0" collapsed="false">
      <c r="A146" s="1" t="n">
        <v>10</v>
      </c>
      <c r="B146" s="1" t="n">
        <v>5</v>
      </c>
      <c r="C146" s="1" t="n">
        <v>3.1</v>
      </c>
      <c r="D146" s="1" t="n">
        <v>1.3318</v>
      </c>
      <c r="E146" s="1" t="n">
        <v>0.111689</v>
      </c>
      <c r="F146" s="1" t="n">
        <v>0.00032103</v>
      </c>
      <c r="G146" s="1" t="s">
        <v>27</v>
      </c>
      <c r="H146" s="1" t="n">
        <v>35.4</v>
      </c>
      <c r="I146" s="1" t="n">
        <v>336.3</v>
      </c>
      <c r="J146" s="1" t="n">
        <v>42.2</v>
      </c>
      <c r="K146" s="1"/>
      <c r="L146" s="1" t="n">
        <v>0</v>
      </c>
      <c r="M146" s="1" t="n">
        <v>0</v>
      </c>
      <c r="N146" s="1" t="s">
        <v>174</v>
      </c>
      <c r="O146" s="1"/>
      <c r="P146" s="1"/>
      <c r="Q146" s="1"/>
      <c r="R146" s="1"/>
      <c r="Z146" s="0" t="n">
        <f aca="false">I146+0</f>
        <v>336.3</v>
      </c>
      <c r="AB146" s="0" t="n">
        <f aca="false">IF(Z146&gt;360,Z146-360,Z146+0)</f>
        <v>336.3</v>
      </c>
    </row>
    <row r="147" customFormat="false" ht="15.8" hidden="false" customHeight="false" outlineLevel="0" collapsed="false">
      <c r="A147" s="1" t="n">
        <v>10</v>
      </c>
      <c r="B147" s="1" t="n">
        <v>5</v>
      </c>
      <c r="C147" s="1" t="n">
        <v>3.2</v>
      </c>
      <c r="D147" s="1" t="n">
        <v>1.5871</v>
      </c>
      <c r="E147" s="1" t="n">
        <v>0.114671</v>
      </c>
      <c r="F147" s="1" t="n">
        <v>0.000329602</v>
      </c>
      <c r="G147" s="1" t="s">
        <v>27</v>
      </c>
      <c r="H147" s="1" t="n">
        <v>55.7</v>
      </c>
      <c r="I147" s="1" t="n">
        <v>225</v>
      </c>
      <c r="J147" s="1" t="n">
        <v>51.3</v>
      </c>
      <c r="K147" s="1"/>
      <c r="L147" s="1" t="n">
        <v>0</v>
      </c>
      <c r="M147" s="1" t="n">
        <v>0</v>
      </c>
      <c r="N147" s="1" t="s">
        <v>174</v>
      </c>
      <c r="O147" s="1"/>
      <c r="P147" s="1"/>
      <c r="Q147" s="1"/>
      <c r="R147" s="1"/>
      <c r="Z147" s="0" t="n">
        <f aca="false">I147+0</f>
        <v>225</v>
      </c>
      <c r="AB147" s="0" t="n">
        <f aca="false">IF(Z147&gt;360,Z147-360,Z147+0)</f>
        <v>225</v>
      </c>
    </row>
    <row r="148" customFormat="false" ht="15.8" hidden="false" customHeight="false" outlineLevel="0" collapsed="false">
      <c r="A148" s="1" t="n">
        <v>10</v>
      </c>
      <c r="B148" s="1" t="n">
        <v>6</v>
      </c>
      <c r="C148" s="1" t="n">
        <v>1.1</v>
      </c>
      <c r="D148" s="1" t="n">
        <v>1.242</v>
      </c>
      <c r="E148" s="1" t="n">
        <v>0.0390108</v>
      </c>
      <c r="F148" s="1" t="n">
        <v>0.00011213</v>
      </c>
      <c r="G148" s="1" t="s">
        <v>27</v>
      </c>
      <c r="H148" s="1" t="n">
        <v>86.7</v>
      </c>
      <c r="I148" s="1" t="n">
        <v>97.7</v>
      </c>
      <c r="J148" s="1" t="n">
        <v>26.6</v>
      </c>
      <c r="K148" s="1"/>
      <c r="L148" s="1" t="n">
        <v>0</v>
      </c>
      <c r="M148" s="1" t="n">
        <v>0</v>
      </c>
      <c r="N148" s="1" t="s">
        <v>175</v>
      </c>
      <c r="O148" s="1"/>
      <c r="P148" s="1"/>
      <c r="Q148" s="1"/>
      <c r="R148" s="1"/>
      <c r="Z148" s="0" t="n">
        <f aca="false">I148+0</f>
        <v>97.7</v>
      </c>
      <c r="AB148" s="0" t="n">
        <f aca="false">IF(Z148&gt;360,Z148-360,Z148+0)</f>
        <v>97.7</v>
      </c>
    </row>
    <row r="149" customFormat="false" ht="15.8" hidden="false" customHeight="false" outlineLevel="0" collapsed="false">
      <c r="A149" s="1" t="n">
        <v>10</v>
      </c>
      <c r="B149" s="1" t="n">
        <v>6</v>
      </c>
      <c r="C149" s="1" t="n">
        <v>8.2</v>
      </c>
      <c r="D149" s="1" t="n">
        <v>1.5183</v>
      </c>
      <c r="E149" s="1" t="n">
        <v>0.295714</v>
      </c>
      <c r="F149" s="1" t="n">
        <v>0.00084998</v>
      </c>
      <c r="G149" s="1" t="s">
        <v>27</v>
      </c>
      <c r="H149" s="1" t="n">
        <v>24.9</v>
      </c>
      <c r="I149" s="1" t="n">
        <v>358</v>
      </c>
      <c r="J149" s="1" t="n">
        <v>-21.2</v>
      </c>
      <c r="K149" s="1"/>
      <c r="L149" s="1" t="n">
        <v>0</v>
      </c>
      <c r="M149" s="1" t="n">
        <v>0</v>
      </c>
      <c r="N149" s="1" t="s">
        <v>175</v>
      </c>
      <c r="O149" s="1"/>
      <c r="P149" s="1"/>
      <c r="Q149" s="1"/>
      <c r="R149" s="1"/>
      <c r="Z149" s="0" t="n">
        <f aca="false">I149+0</f>
        <v>358</v>
      </c>
      <c r="AB149" s="0" t="n">
        <f aca="false">IF(Z149&gt;360,Z149-360,Z149+0)</f>
        <v>358</v>
      </c>
    </row>
    <row r="150" customFormat="false" ht="15.8" hidden="false" customHeight="false" outlineLevel="0" collapsed="false">
      <c r="A150" s="1" t="n">
        <v>10</v>
      </c>
      <c r="B150" s="1" t="n">
        <v>5</v>
      </c>
      <c r="C150" s="1" t="n">
        <v>2.7</v>
      </c>
      <c r="D150" s="1" t="n">
        <v>1.2932</v>
      </c>
      <c r="E150" s="1" t="n">
        <v>0.0985795</v>
      </c>
      <c r="F150" s="1" t="n">
        <v>0.00028335</v>
      </c>
      <c r="G150" s="1" t="s">
        <v>42</v>
      </c>
      <c r="H150" s="1" t="n">
        <v>77.8</v>
      </c>
      <c r="I150" s="1" t="n">
        <v>11.3</v>
      </c>
      <c r="J150" s="1" t="n">
        <v>0</v>
      </c>
      <c r="K150" s="1" t="n">
        <v>86.7</v>
      </c>
      <c r="L150" s="1" t="n">
        <v>0</v>
      </c>
      <c r="M150" s="1" t="n">
        <v>0</v>
      </c>
      <c r="N150" s="1" t="s">
        <v>174</v>
      </c>
      <c r="O150" s="1"/>
      <c r="P150" s="1"/>
      <c r="Q150" s="1"/>
      <c r="R150" s="1"/>
      <c r="Z150" s="0" t="n">
        <f aca="false">I150+0</f>
        <v>11.3</v>
      </c>
      <c r="AB150" s="0" t="n">
        <f aca="false">IF(Z150&gt;360,Z150-360,Z150+0)</f>
        <v>11.3</v>
      </c>
    </row>
    <row r="151" customFormat="false" ht="15.8" hidden="false" customHeight="false" outlineLevel="0" collapsed="false">
      <c r="A151" s="1" t="n">
        <v>10</v>
      </c>
      <c r="B151" s="1" t="n">
        <v>4</v>
      </c>
      <c r="C151" s="1" t="n">
        <v>3.1</v>
      </c>
      <c r="D151" s="1" t="n">
        <v>1.3013</v>
      </c>
      <c r="E151" s="1" t="n">
        <v>0.112927</v>
      </c>
      <c r="F151" s="1" t="n">
        <v>0.00032459</v>
      </c>
      <c r="G151" s="1" t="s">
        <v>42</v>
      </c>
      <c r="H151" s="1" t="n">
        <v>39.9</v>
      </c>
      <c r="I151" s="1" t="n">
        <v>295.3</v>
      </c>
      <c r="J151" s="1" t="n">
        <v>29.1</v>
      </c>
      <c r="K151" s="1" t="n">
        <v>77.8</v>
      </c>
      <c r="L151" s="1" t="n">
        <v>0</v>
      </c>
      <c r="M151" s="1" t="n">
        <v>0</v>
      </c>
      <c r="N151" s="1" t="s">
        <v>173</v>
      </c>
      <c r="O151" s="1"/>
      <c r="P151" s="1"/>
      <c r="Q151" s="1"/>
      <c r="R151" s="1"/>
      <c r="Z151" s="0" t="n">
        <f aca="false">I151+0</f>
        <v>295.3</v>
      </c>
      <c r="AB151" s="0" t="n">
        <f aca="false">IF(Z151&gt;360,Z151-360,Z151+0)</f>
        <v>295.3</v>
      </c>
    </row>
    <row r="152" customFormat="false" ht="15.8" hidden="false" customHeight="false" outlineLevel="0" collapsed="false">
      <c r="A152" s="1" t="n">
        <v>10</v>
      </c>
      <c r="B152" s="1" t="n">
        <v>3</v>
      </c>
      <c r="C152" s="1" t="n">
        <v>6.7</v>
      </c>
      <c r="D152" s="1" t="n">
        <v>1.2502</v>
      </c>
      <c r="E152" s="1" t="n">
        <v>0.241275</v>
      </c>
      <c r="F152" s="1" t="n">
        <v>0.000693504</v>
      </c>
      <c r="G152" s="1" t="s">
        <v>42</v>
      </c>
      <c r="H152" s="1" t="n">
        <v>22.7</v>
      </c>
      <c r="I152" s="1" t="n">
        <v>331.5</v>
      </c>
      <c r="J152" s="1" t="n">
        <v>61.2</v>
      </c>
      <c r="K152" s="1" t="n">
        <v>39.9</v>
      </c>
      <c r="L152" s="1" t="n">
        <v>0</v>
      </c>
      <c r="M152" s="1" t="n">
        <v>0</v>
      </c>
      <c r="N152" s="1" t="s">
        <v>170</v>
      </c>
      <c r="O152" s="1"/>
      <c r="P152" s="1"/>
      <c r="Q152" s="1"/>
      <c r="R152" s="1"/>
      <c r="Z152" s="0" t="n">
        <f aca="false">I152+0</f>
        <v>331.5</v>
      </c>
      <c r="AB152" s="0" t="n">
        <f aca="false">IF(Z152&gt;360,Z152-360,Z152+0)</f>
        <v>331.5</v>
      </c>
    </row>
    <row r="153" customFormat="false" ht="15.8" hidden="false" customHeight="false" outlineLevel="0" collapsed="false">
      <c r="A153" s="1" t="n">
        <v>10</v>
      </c>
      <c r="B153" s="1" t="n">
        <v>2</v>
      </c>
      <c r="C153" s="1" t="n">
        <v>4</v>
      </c>
      <c r="D153" s="1" t="n">
        <v>1.0874</v>
      </c>
      <c r="E153" s="1" t="n">
        <v>0.1444</v>
      </c>
      <c r="F153" s="1" t="n">
        <v>0.000415055</v>
      </c>
      <c r="G153" s="1" t="s">
        <v>42</v>
      </c>
      <c r="H153" s="1" t="n">
        <v>60.4</v>
      </c>
      <c r="I153" s="1" t="n">
        <v>24.5</v>
      </c>
      <c r="J153" s="1" t="n">
        <v>72.7</v>
      </c>
      <c r="K153" s="1" t="n">
        <v>40.8</v>
      </c>
      <c r="L153" s="1" t="n">
        <v>0</v>
      </c>
      <c r="M153" s="1" t="n">
        <v>0</v>
      </c>
      <c r="N153" s="1" t="s">
        <v>176</v>
      </c>
      <c r="O153" s="1"/>
      <c r="P153" s="1"/>
      <c r="Q153" s="1"/>
      <c r="R153" s="1"/>
      <c r="Z153" s="0" t="n">
        <f aca="false">I153+0</f>
        <v>24.5</v>
      </c>
      <c r="AB153" s="0" t="n">
        <f aca="false">IF(Z153&gt;360,Z153-360,Z153+0)</f>
        <v>24.5</v>
      </c>
    </row>
    <row r="154" customFormat="false" ht="15.8" hidden="false" customHeight="false" outlineLevel="0" collapsed="false">
      <c r="A154" s="1" t="n">
        <v>10</v>
      </c>
      <c r="B154" s="1" t="n">
        <v>4</v>
      </c>
      <c r="C154" s="1" t="n">
        <v>1.9</v>
      </c>
      <c r="D154" s="1" t="n">
        <v>1.4684</v>
      </c>
      <c r="E154" s="1" t="n">
        <v>0.0668673</v>
      </c>
      <c r="F154" s="1" t="n">
        <v>0.000192199</v>
      </c>
      <c r="G154" s="1" t="s">
        <v>27</v>
      </c>
      <c r="H154" s="1" t="n">
        <v>61.8</v>
      </c>
      <c r="I154" s="1" t="n">
        <v>93.3</v>
      </c>
      <c r="J154" s="1" t="n">
        <v>38.2</v>
      </c>
      <c r="K154" s="1"/>
      <c r="L154" s="1" t="n">
        <v>0</v>
      </c>
      <c r="M154" s="1" t="n">
        <v>0</v>
      </c>
      <c r="N154" s="1" t="s">
        <v>177</v>
      </c>
      <c r="O154" s="1"/>
      <c r="P154" s="1"/>
      <c r="Q154" s="1"/>
      <c r="R154" s="1"/>
      <c r="Z154" s="0" t="n">
        <f aca="false">I154+0</f>
        <v>93.3</v>
      </c>
      <c r="AB154" s="0" t="n">
        <f aca="false">IF(Z154&gt;360,Z154-360,Z154+0)</f>
        <v>93.3</v>
      </c>
    </row>
    <row r="155" customFormat="false" ht="15.8" hidden="false" customHeight="false" outlineLevel="0" collapsed="false">
      <c r="A155" s="1" t="n">
        <v>10</v>
      </c>
      <c r="B155" s="1" t="n">
        <v>6</v>
      </c>
      <c r="C155" s="1" t="n">
        <v>13.5</v>
      </c>
      <c r="D155" s="1" t="n">
        <v>1.4624</v>
      </c>
      <c r="E155" s="1" t="n">
        <v>0.487654</v>
      </c>
      <c r="F155" s="1" t="n">
        <v>0.00140168</v>
      </c>
      <c r="G155" s="1" t="s">
        <v>27</v>
      </c>
      <c r="H155" s="1" t="n">
        <v>15.6</v>
      </c>
      <c r="I155" s="1" t="n">
        <v>33.2</v>
      </c>
      <c r="J155" s="1" t="n">
        <v>-62.5</v>
      </c>
      <c r="K155" s="1"/>
      <c r="L155" s="1" t="n">
        <v>0</v>
      </c>
      <c r="M155" s="1" t="n">
        <v>0</v>
      </c>
      <c r="N155" s="1" t="s">
        <v>178</v>
      </c>
      <c r="O155" s="1"/>
      <c r="P155" s="1"/>
      <c r="Q155" s="1"/>
      <c r="R155" s="1"/>
      <c r="Z155" s="0" t="n">
        <f aca="false">I155+0</f>
        <v>33.2</v>
      </c>
      <c r="AB155" s="0" t="n">
        <f aca="false">IF(Z155&gt;360,Z155-360,Z155+0)</f>
        <v>33.2</v>
      </c>
    </row>
    <row r="156" customFormat="false" ht="15.8" hidden="false" customHeight="false" outlineLevel="0" collapsed="false">
      <c r="A156" s="1" t="n">
        <v>10</v>
      </c>
      <c r="B156" s="1" t="n">
        <v>6</v>
      </c>
      <c r="C156" s="1" t="n">
        <v>1.1</v>
      </c>
      <c r="D156" s="1" t="n">
        <v>1.0607</v>
      </c>
      <c r="E156" s="1" t="n">
        <v>0.0395996</v>
      </c>
      <c r="F156" s="1" t="n">
        <v>0.000113822</v>
      </c>
      <c r="G156" s="1" t="s">
        <v>27</v>
      </c>
      <c r="H156" s="1" t="n">
        <v>60.7</v>
      </c>
      <c r="I156" s="1" t="n">
        <v>334.3</v>
      </c>
      <c r="J156" s="1" t="n">
        <v>0</v>
      </c>
      <c r="K156" s="1"/>
      <c r="L156" s="1" t="n">
        <v>0</v>
      </c>
      <c r="M156" s="1" t="n">
        <v>0</v>
      </c>
      <c r="N156" s="1" t="s">
        <v>178</v>
      </c>
      <c r="O156" s="1"/>
      <c r="P156" s="1"/>
      <c r="Q156" s="1"/>
      <c r="R156" s="1"/>
      <c r="Z156" s="0" t="n">
        <f aca="false">I156+0</f>
        <v>334.3</v>
      </c>
      <c r="AB156" s="0" t="n">
        <f aca="false">IF(Z156&gt;360,Z156-360,Z156+0)</f>
        <v>334.3</v>
      </c>
    </row>
    <row r="157" customFormat="false" ht="15.8" hidden="false" customHeight="false" outlineLevel="0" collapsed="false">
      <c r="A157" s="1" t="n">
        <v>10</v>
      </c>
      <c r="B157" s="1" t="n">
        <v>5</v>
      </c>
      <c r="C157" s="1" t="n">
        <v>1.7</v>
      </c>
      <c r="D157" s="1" t="n">
        <v>1.1905</v>
      </c>
      <c r="E157" s="1" t="n">
        <v>0.0621127</v>
      </c>
      <c r="F157" s="1" t="n">
        <v>0.000178533</v>
      </c>
      <c r="G157" s="1" t="s">
        <v>42</v>
      </c>
      <c r="H157" s="1" t="n">
        <v>46.3</v>
      </c>
      <c r="I157" s="1" t="n">
        <v>7.8</v>
      </c>
      <c r="J157" s="1" t="n">
        <v>-54.1</v>
      </c>
      <c r="K157" s="1" t="n">
        <v>60.7</v>
      </c>
      <c r="L157" s="1" t="n">
        <v>0</v>
      </c>
      <c r="M157" s="1" t="n">
        <v>0</v>
      </c>
      <c r="N157" s="1" t="s">
        <v>179</v>
      </c>
      <c r="O157" s="1"/>
      <c r="P157" s="1"/>
      <c r="Q157" s="1"/>
      <c r="R157" s="1"/>
      <c r="Z157" s="0" t="n">
        <f aca="false">I157+0</f>
        <v>7.8</v>
      </c>
      <c r="AB157" s="0" t="n">
        <f aca="false">IF(Z157&gt;360,Z157-360,Z157+0)</f>
        <v>7.8</v>
      </c>
    </row>
    <row r="158" customFormat="false" ht="15.8" hidden="false" customHeight="false" outlineLevel="0" collapsed="false">
      <c r="A158" s="1" t="n">
        <v>10</v>
      </c>
      <c r="B158" s="1" t="n">
        <v>7</v>
      </c>
      <c r="C158" s="1" t="n">
        <v>2.4</v>
      </c>
      <c r="D158" s="1" t="n">
        <v>1.5379</v>
      </c>
      <c r="E158" s="1" t="n">
        <v>0.0880538</v>
      </c>
      <c r="F158" s="1" t="n">
        <v>0.000253096</v>
      </c>
      <c r="G158" s="1" t="s">
        <v>27</v>
      </c>
      <c r="H158" s="1" t="n">
        <v>29.5</v>
      </c>
      <c r="I158" s="1" t="n">
        <v>296.8</v>
      </c>
      <c r="J158" s="1" t="n">
        <v>47.6</v>
      </c>
      <c r="K158" s="1"/>
      <c r="L158" s="1" t="n">
        <v>0</v>
      </c>
      <c r="M158" s="1" t="n">
        <v>0</v>
      </c>
      <c r="N158" s="1" t="s">
        <v>180</v>
      </c>
      <c r="O158" s="1"/>
      <c r="P158" s="1"/>
      <c r="Q158" s="1"/>
      <c r="R158" s="1"/>
      <c r="Z158" s="0" t="n">
        <f aca="false">I158+0</f>
        <v>296.8</v>
      </c>
      <c r="AB158" s="0" t="n">
        <f aca="false">IF(Z158&gt;360,Z158-360,Z158+0)</f>
        <v>296.8</v>
      </c>
    </row>
    <row r="159" customFormat="false" ht="15.8" hidden="false" customHeight="false" outlineLevel="0" collapsed="false">
      <c r="A159" s="1" t="n">
        <v>10</v>
      </c>
      <c r="B159" s="1" t="n">
        <v>7</v>
      </c>
      <c r="C159" s="1" t="n">
        <v>6.3</v>
      </c>
      <c r="D159" s="1" t="n">
        <v>1.6043</v>
      </c>
      <c r="E159" s="1" t="n">
        <v>0.228211</v>
      </c>
      <c r="F159" s="1" t="n">
        <v>0.000655955</v>
      </c>
      <c r="G159" s="1" t="s">
        <v>27</v>
      </c>
      <c r="H159" s="1" t="n">
        <v>42.9</v>
      </c>
      <c r="I159" s="1" t="n">
        <v>330.3</v>
      </c>
      <c r="J159" s="1" t="n">
        <v>-5.7</v>
      </c>
      <c r="K159" s="1"/>
      <c r="L159" s="1" t="n">
        <v>0</v>
      </c>
      <c r="M159" s="1" t="n">
        <v>0</v>
      </c>
      <c r="N159" s="1" t="s">
        <v>180</v>
      </c>
      <c r="O159" s="1"/>
      <c r="P159" s="1"/>
      <c r="Q159" s="1"/>
      <c r="R159" s="1"/>
      <c r="Z159" s="0" t="n">
        <f aca="false">I159+0</f>
        <v>330.3</v>
      </c>
      <c r="AB159" s="0" t="n">
        <f aca="false">IF(Z159&gt;360,Z159-360,Z159+0)</f>
        <v>330.3</v>
      </c>
    </row>
    <row r="160" customFormat="false" ht="15.8" hidden="false" customHeight="false" outlineLevel="0" collapsed="false">
      <c r="A160" s="1" t="n">
        <v>10</v>
      </c>
      <c r="B160" s="1" t="n">
        <v>6</v>
      </c>
      <c r="C160" s="1" t="n">
        <v>2.8</v>
      </c>
      <c r="D160" s="1" t="n">
        <v>1.4637</v>
      </c>
      <c r="E160" s="1" t="n">
        <v>0.102802</v>
      </c>
      <c r="F160" s="1" t="n">
        <v>0.000295487</v>
      </c>
      <c r="G160" s="1" t="s">
        <v>42</v>
      </c>
      <c r="H160" s="1" t="n">
        <v>37.8</v>
      </c>
      <c r="I160" s="1" t="n">
        <v>334.6</v>
      </c>
      <c r="J160" s="1" t="n">
        <v>37</v>
      </c>
      <c r="K160" s="1" t="n">
        <v>42.9</v>
      </c>
      <c r="L160" s="1" t="n">
        <v>0</v>
      </c>
      <c r="M160" s="1" t="n">
        <v>0</v>
      </c>
      <c r="N160" s="1" t="s">
        <v>181</v>
      </c>
      <c r="O160" s="1"/>
      <c r="P160" s="1"/>
      <c r="Q160" s="1"/>
      <c r="R160" s="1"/>
      <c r="Z160" s="0" t="n">
        <f aca="false">I160+0</f>
        <v>334.6</v>
      </c>
      <c r="AB160" s="0" t="n">
        <f aca="false">IF(Z160&gt;360,Z160-360,Z160+0)</f>
        <v>334.6</v>
      </c>
    </row>
    <row r="161" customFormat="false" ht="15.8" hidden="false" customHeight="false" outlineLevel="0" collapsed="false">
      <c r="A161" s="1" t="n">
        <v>10</v>
      </c>
      <c r="B161" s="1" t="n">
        <v>7</v>
      </c>
      <c r="C161" s="1" t="n">
        <v>2.8</v>
      </c>
      <c r="D161" s="1" t="n">
        <v>1.1836</v>
      </c>
      <c r="E161" s="1" t="n">
        <v>0.100712</v>
      </c>
      <c r="F161" s="1" t="n">
        <v>0.00028948</v>
      </c>
      <c r="G161" s="1" t="s">
        <v>27</v>
      </c>
      <c r="H161" s="1" t="n">
        <v>46.2</v>
      </c>
      <c r="I161" s="1" t="n">
        <v>12.9</v>
      </c>
      <c r="J161" s="1" t="n">
        <v>-9.5</v>
      </c>
      <c r="K161" s="1"/>
      <c r="L161" s="1" t="n">
        <v>0</v>
      </c>
      <c r="M161" s="1" t="n">
        <v>0</v>
      </c>
      <c r="N161" s="1" t="s">
        <v>182</v>
      </c>
      <c r="O161" s="1"/>
      <c r="P161" s="1"/>
      <c r="Q161" s="1"/>
      <c r="R161" s="1"/>
      <c r="Z161" s="0" t="n">
        <f aca="false">I161+0</f>
        <v>12.9</v>
      </c>
      <c r="AB161" s="0" t="n">
        <f aca="false">IF(Z161&gt;360,Z161-360,Z161+0)</f>
        <v>12.9</v>
      </c>
    </row>
    <row r="162" customFormat="false" ht="15.8" hidden="false" customHeight="false" outlineLevel="0" collapsed="false">
      <c r="A162" s="1" t="n">
        <v>10</v>
      </c>
      <c r="B162" s="1" t="n">
        <v>7</v>
      </c>
      <c r="C162" s="1" t="n">
        <v>3.5</v>
      </c>
      <c r="D162" s="1" t="n">
        <v>1.4202</v>
      </c>
      <c r="E162" s="1" t="n">
        <v>0.127237</v>
      </c>
      <c r="F162" s="1" t="n">
        <v>0.000365723</v>
      </c>
      <c r="G162" s="1" t="s">
        <v>27</v>
      </c>
      <c r="H162" s="1" t="n">
        <v>31.8</v>
      </c>
      <c r="I162" s="1" t="n">
        <v>343.7</v>
      </c>
      <c r="J162" s="1" t="n">
        <v>39</v>
      </c>
      <c r="K162" s="1"/>
      <c r="L162" s="1" t="n">
        <v>0</v>
      </c>
      <c r="M162" s="1" t="n">
        <v>0</v>
      </c>
      <c r="N162" s="1" t="s">
        <v>182</v>
      </c>
      <c r="O162" s="1"/>
      <c r="P162" s="1"/>
      <c r="Q162" s="1"/>
      <c r="R162" s="1"/>
      <c r="Z162" s="0" t="n">
        <f aca="false">I162+0</f>
        <v>343.7</v>
      </c>
      <c r="AB162" s="0" t="n">
        <f aca="false">IF(Z162&gt;360,Z162-360,Z162+0)</f>
        <v>343.7</v>
      </c>
    </row>
    <row r="163" customFormat="false" ht="15.8" hidden="false" customHeight="false" outlineLevel="0" collapsed="false">
      <c r="A163" s="1" t="n">
        <v>10</v>
      </c>
      <c r="B163" s="1" t="n">
        <v>6</v>
      </c>
      <c r="C163" s="1" t="n">
        <v>14.3</v>
      </c>
      <c r="D163" s="1" t="n">
        <v>1.335</v>
      </c>
      <c r="E163" s="1" t="n">
        <v>0.517467</v>
      </c>
      <c r="F163" s="1" t="n">
        <v>0.00148737</v>
      </c>
      <c r="G163" s="1" t="s">
        <v>42</v>
      </c>
      <c r="H163" s="1" t="n">
        <v>3.9</v>
      </c>
      <c r="I163" s="1" t="n">
        <v>23.8</v>
      </c>
      <c r="J163" s="1" t="n">
        <v>35.6</v>
      </c>
      <c r="K163" s="1" t="n">
        <v>46.2</v>
      </c>
      <c r="L163" s="1" t="n">
        <v>0</v>
      </c>
      <c r="M163" s="1" t="n">
        <v>0</v>
      </c>
      <c r="N163" s="1" t="s">
        <v>181</v>
      </c>
      <c r="O163" s="1"/>
      <c r="P163" s="1"/>
      <c r="Q163" s="1"/>
      <c r="R163" s="1"/>
      <c r="Z163" s="0" t="n">
        <f aca="false">I163+0</f>
        <v>23.8</v>
      </c>
      <c r="AB163" s="0" t="n">
        <f aca="false">IF(Z163&gt;360,Z163-360,Z163+0)</f>
        <v>23.8</v>
      </c>
    </row>
    <row r="164" customFormat="false" ht="15.8" hidden="false" customHeight="false" outlineLevel="0" collapsed="false">
      <c r="A164" s="1" t="n">
        <v>10</v>
      </c>
      <c r="B164" s="1" t="n">
        <v>5</v>
      </c>
      <c r="C164" s="1" t="n">
        <v>3</v>
      </c>
      <c r="D164" s="1" t="n">
        <v>1.2128</v>
      </c>
      <c r="E164" s="1" t="n">
        <v>0.107718</v>
      </c>
      <c r="F164" s="1" t="n">
        <v>0.000309619</v>
      </c>
      <c r="G164" s="1" t="s">
        <v>42</v>
      </c>
      <c r="H164" s="1" t="n">
        <v>50.9</v>
      </c>
      <c r="I164" s="1" t="n">
        <v>23.2</v>
      </c>
      <c r="J164" s="1" t="n">
        <v>39.4</v>
      </c>
      <c r="K164" s="1" t="n">
        <v>37.8</v>
      </c>
      <c r="L164" s="1" t="n">
        <v>0</v>
      </c>
      <c r="M164" s="1" t="n">
        <v>0</v>
      </c>
      <c r="N164" s="1" t="s">
        <v>179</v>
      </c>
      <c r="O164" s="1"/>
      <c r="P164" s="1"/>
      <c r="Q164" s="1"/>
      <c r="R164" s="1"/>
      <c r="Z164" s="0" t="n">
        <f aca="false">I164+0</f>
        <v>23.2</v>
      </c>
      <c r="AB164" s="0" t="n">
        <f aca="false">IF(Z164&gt;360,Z164-360,Z164+0)</f>
        <v>23.2</v>
      </c>
    </row>
    <row r="165" customFormat="false" ht="15.8" hidden="false" customHeight="false" outlineLevel="0" collapsed="false">
      <c r="A165" s="1" t="n">
        <v>10</v>
      </c>
      <c r="B165" s="1" t="n">
        <v>4</v>
      </c>
      <c r="C165" s="1" t="n">
        <v>3.1</v>
      </c>
      <c r="D165" s="1" t="n">
        <v>1.1031</v>
      </c>
      <c r="E165" s="1" t="n">
        <v>0.111734</v>
      </c>
      <c r="F165" s="1" t="n">
        <v>0.00032116</v>
      </c>
      <c r="G165" s="1" t="s">
        <v>42</v>
      </c>
      <c r="H165" s="1" t="n">
        <v>36.2</v>
      </c>
      <c r="I165" s="1" t="n">
        <v>3</v>
      </c>
      <c r="J165" s="1" t="n">
        <v>-8</v>
      </c>
      <c r="K165" s="1" t="n">
        <v>50.9</v>
      </c>
      <c r="L165" s="1" t="n">
        <v>0</v>
      </c>
      <c r="M165" s="1" t="n">
        <v>0</v>
      </c>
      <c r="N165" s="1" t="s">
        <v>177</v>
      </c>
      <c r="O165" s="1"/>
      <c r="P165" s="1"/>
      <c r="Q165" s="1"/>
      <c r="R165" s="1"/>
      <c r="Z165" s="0" t="n">
        <f aca="false">I165+0</f>
        <v>3</v>
      </c>
      <c r="AB165" s="0" t="n">
        <f aca="false">IF(Z165&gt;360,Z165-360,Z165+0)</f>
        <v>3</v>
      </c>
    </row>
    <row r="166" customFormat="false" ht="15.8" hidden="false" customHeight="false" outlineLevel="0" collapsed="false">
      <c r="A166" s="1" t="n">
        <v>10</v>
      </c>
      <c r="B166" s="1" t="n">
        <v>3</v>
      </c>
      <c r="C166" s="1" t="n">
        <v>3.6</v>
      </c>
      <c r="D166" s="1" t="n">
        <v>1.2019</v>
      </c>
      <c r="E166" s="1" t="n">
        <v>0.128527</v>
      </c>
      <c r="F166" s="1" t="n">
        <v>0.00036943</v>
      </c>
      <c r="G166" s="1" t="s">
        <v>42</v>
      </c>
      <c r="H166" s="1" t="n">
        <v>45.1</v>
      </c>
      <c r="I166" s="1" t="n">
        <v>21.7</v>
      </c>
      <c r="J166" s="1" t="n">
        <v>23.3</v>
      </c>
      <c r="K166" s="1" t="n">
        <v>61.8</v>
      </c>
      <c r="L166" s="1" t="n">
        <v>0</v>
      </c>
      <c r="M166" s="1" t="n">
        <v>0</v>
      </c>
      <c r="N166" s="1" t="s">
        <v>183</v>
      </c>
      <c r="O166" s="1"/>
      <c r="P166" s="1"/>
      <c r="Q166" s="1"/>
      <c r="R166" s="1"/>
      <c r="Z166" s="0" t="n">
        <f aca="false">I166+0</f>
        <v>21.7</v>
      </c>
      <c r="AB166" s="0" t="n">
        <f aca="false">IF(Z166&gt;360,Z166-360,Z166+0)</f>
        <v>21.7</v>
      </c>
    </row>
    <row r="167" customFormat="false" ht="15.8" hidden="false" customHeight="false" outlineLevel="0" collapsed="false">
      <c r="A167" s="1" t="n">
        <v>10</v>
      </c>
      <c r="B167" s="1" t="n">
        <v>4</v>
      </c>
      <c r="C167" s="1" t="n">
        <v>1.2</v>
      </c>
      <c r="D167" s="1" t="n">
        <v>1.1825</v>
      </c>
      <c r="E167" s="1" t="n">
        <v>0.0417171</v>
      </c>
      <c r="F167" s="1" t="n">
        <v>0.000119909</v>
      </c>
      <c r="G167" s="1" t="s">
        <v>27</v>
      </c>
      <c r="H167" s="1" t="n">
        <v>44</v>
      </c>
      <c r="I167" s="1" t="n">
        <v>15.6</v>
      </c>
      <c r="J167" s="1" t="n">
        <v>-23.5</v>
      </c>
      <c r="K167" s="1"/>
      <c r="L167" s="1" t="n">
        <v>0</v>
      </c>
      <c r="M167" s="1" t="n">
        <v>0</v>
      </c>
      <c r="N167" s="1" t="s">
        <v>184</v>
      </c>
      <c r="O167" s="1"/>
      <c r="P167" s="1"/>
      <c r="Q167" s="1"/>
      <c r="R167" s="1"/>
      <c r="Z167" s="0" t="n">
        <f aca="false">I167+0</f>
        <v>15.6</v>
      </c>
      <c r="AB167" s="0" t="n">
        <f aca="false">IF(Z167&gt;360,Z167-360,Z167+0)</f>
        <v>15.6</v>
      </c>
    </row>
    <row r="168" customFormat="false" ht="15.8" hidden="false" customHeight="false" outlineLevel="0" collapsed="false">
      <c r="A168" s="1" t="n">
        <v>10</v>
      </c>
      <c r="B168" s="1" t="n">
        <v>6</v>
      </c>
      <c r="C168" s="1" t="n">
        <v>1.4</v>
      </c>
      <c r="D168" s="1" t="n">
        <v>1.12</v>
      </c>
      <c r="E168" s="1" t="n">
        <v>0.0519211</v>
      </c>
      <c r="F168" s="1" t="n">
        <v>0.000149239</v>
      </c>
      <c r="G168" s="1" t="s">
        <v>27</v>
      </c>
      <c r="H168" s="1" t="n">
        <v>36</v>
      </c>
      <c r="I168" s="1" t="n">
        <v>253.5</v>
      </c>
      <c r="J168" s="1" t="n">
        <v>-65.7</v>
      </c>
      <c r="K168" s="1"/>
      <c r="L168" s="1" t="n">
        <v>0</v>
      </c>
      <c r="M168" s="1" t="n">
        <v>0</v>
      </c>
      <c r="N168" s="1" t="s">
        <v>185</v>
      </c>
      <c r="O168" s="1"/>
      <c r="P168" s="1"/>
      <c r="Q168" s="1"/>
      <c r="R168" s="1"/>
      <c r="Z168" s="0" t="n">
        <f aca="false">I168+0</f>
        <v>253.5</v>
      </c>
      <c r="AB168" s="0" t="n">
        <f aca="false">IF(Z168&gt;360,Z168-360,Z168+0)</f>
        <v>253.5</v>
      </c>
    </row>
    <row r="169" customFormat="false" ht="15.8" hidden="false" customHeight="false" outlineLevel="0" collapsed="false">
      <c r="A169" s="1" t="n">
        <v>10</v>
      </c>
      <c r="B169" s="1" t="n">
        <v>6</v>
      </c>
      <c r="C169" s="1" t="n">
        <v>4.5</v>
      </c>
      <c r="D169" s="1" t="n">
        <v>1.1486</v>
      </c>
      <c r="E169" s="1" t="n">
        <v>0.161623</v>
      </c>
      <c r="F169" s="1" t="n">
        <v>0.000464558</v>
      </c>
      <c r="G169" s="1" t="s">
        <v>27</v>
      </c>
      <c r="H169" s="1" t="n">
        <v>60.3</v>
      </c>
      <c r="I169" s="1" t="n">
        <v>6.5</v>
      </c>
      <c r="J169" s="1" t="n">
        <v>-5.7</v>
      </c>
      <c r="K169" s="1"/>
      <c r="L169" s="1" t="n">
        <v>0</v>
      </c>
      <c r="M169" s="1" t="n">
        <v>0</v>
      </c>
      <c r="N169" s="1" t="s">
        <v>185</v>
      </c>
      <c r="O169" s="1"/>
      <c r="P169" s="1"/>
      <c r="Q169" s="1"/>
      <c r="R169" s="1"/>
      <c r="Z169" s="0" t="n">
        <f aca="false">I169+0</f>
        <v>6.5</v>
      </c>
      <c r="AB169" s="0" t="n">
        <f aca="false">IF(Z169&gt;360,Z169-360,Z169+0)</f>
        <v>6.5</v>
      </c>
    </row>
    <row r="170" customFormat="false" ht="15.8" hidden="false" customHeight="false" outlineLevel="0" collapsed="false">
      <c r="A170" s="1" t="n">
        <v>10</v>
      </c>
      <c r="B170" s="1" t="n">
        <v>5</v>
      </c>
      <c r="C170" s="1" t="n">
        <v>2.3</v>
      </c>
      <c r="D170" s="1" t="n">
        <v>1.3164</v>
      </c>
      <c r="E170" s="1" t="n">
        <v>0.082087</v>
      </c>
      <c r="F170" s="1" t="n">
        <v>0.000235946</v>
      </c>
      <c r="G170" s="1" t="s">
        <v>42</v>
      </c>
      <c r="H170" s="1" t="n">
        <v>30</v>
      </c>
      <c r="I170" s="1" t="n">
        <v>348.3</v>
      </c>
      <c r="J170" s="1" t="n">
        <v>-64.6</v>
      </c>
      <c r="K170" s="1" t="n">
        <v>60.3</v>
      </c>
      <c r="L170" s="1" t="n">
        <v>0</v>
      </c>
      <c r="M170" s="1" t="n">
        <v>0</v>
      </c>
      <c r="N170" s="1" t="s">
        <v>186</v>
      </c>
      <c r="O170" s="1"/>
      <c r="P170" s="1"/>
      <c r="Q170" s="1"/>
      <c r="R170" s="1"/>
      <c r="Z170" s="0" t="n">
        <f aca="false">I170+0</f>
        <v>348.3</v>
      </c>
      <c r="AB170" s="0" t="n">
        <f aca="false">IF(Z170&gt;360,Z170-360,Z170+0)</f>
        <v>348.3</v>
      </c>
    </row>
    <row r="171" customFormat="false" ht="15.8" hidden="false" customHeight="false" outlineLevel="0" collapsed="false">
      <c r="A171" s="1" t="n">
        <v>10</v>
      </c>
      <c r="B171" s="1" t="n">
        <v>6</v>
      </c>
      <c r="C171" s="1" t="n">
        <v>3.2</v>
      </c>
      <c r="D171" s="1" t="n">
        <v>1.538</v>
      </c>
      <c r="E171" s="1" t="n">
        <v>0.117367</v>
      </c>
      <c r="F171" s="1" t="n">
        <v>0.000337351</v>
      </c>
      <c r="G171" s="1" t="s">
        <v>27</v>
      </c>
      <c r="H171" s="1" t="n">
        <v>28.9</v>
      </c>
      <c r="I171" s="1" t="n">
        <v>323.5</v>
      </c>
      <c r="J171" s="1" t="n">
        <v>-33.6</v>
      </c>
      <c r="K171" s="1"/>
      <c r="L171" s="1" t="n">
        <v>0</v>
      </c>
      <c r="M171" s="1" t="n">
        <v>0</v>
      </c>
      <c r="N171" s="1" t="s">
        <v>187</v>
      </c>
      <c r="O171" s="1"/>
      <c r="P171" s="1"/>
      <c r="Q171" s="1"/>
      <c r="R171" s="1"/>
      <c r="Z171" s="0" t="n">
        <f aca="false">I171+0</f>
        <v>323.5</v>
      </c>
      <c r="AB171" s="0" t="n">
        <f aca="false">IF(Z171&gt;360,Z171-360,Z171+0)</f>
        <v>323.5</v>
      </c>
    </row>
    <row r="172" customFormat="false" ht="15.8" hidden="false" customHeight="false" outlineLevel="0" collapsed="false">
      <c r="A172" s="1" t="n">
        <v>10</v>
      </c>
      <c r="B172" s="1" t="n">
        <v>6</v>
      </c>
      <c r="C172" s="1" t="n">
        <v>3.6</v>
      </c>
      <c r="D172" s="1" t="n">
        <v>1.7249</v>
      </c>
      <c r="E172" s="1" t="n">
        <v>0.131495</v>
      </c>
      <c r="F172" s="1" t="n">
        <v>0.00037796</v>
      </c>
      <c r="G172" s="1" t="s">
        <v>27</v>
      </c>
      <c r="H172" s="1" t="n">
        <v>30.2</v>
      </c>
      <c r="I172" s="1" t="n">
        <v>23.9</v>
      </c>
      <c r="J172" s="1" t="n">
        <v>-21.7</v>
      </c>
      <c r="K172" s="1"/>
      <c r="L172" s="1" t="n">
        <v>0</v>
      </c>
      <c r="M172" s="1" t="n">
        <v>0</v>
      </c>
      <c r="N172" s="1" t="s">
        <v>187</v>
      </c>
      <c r="O172" s="1"/>
      <c r="P172" s="1"/>
      <c r="Q172" s="1"/>
      <c r="R172" s="1"/>
      <c r="Z172" s="0" t="n">
        <f aca="false">I172+0</f>
        <v>23.9</v>
      </c>
      <c r="AB172" s="0" t="n">
        <f aca="false">IF(Z172&gt;360,Z172-360,Z172+0)</f>
        <v>23.9</v>
      </c>
    </row>
    <row r="173" customFormat="false" ht="15.8" hidden="false" customHeight="false" outlineLevel="0" collapsed="false">
      <c r="A173" s="1" t="n">
        <v>10</v>
      </c>
      <c r="B173" s="1" t="n">
        <v>5</v>
      </c>
      <c r="C173" s="1" t="n">
        <v>5.7</v>
      </c>
      <c r="D173" s="1" t="n">
        <v>1.2155</v>
      </c>
      <c r="E173" s="1" t="n">
        <v>0.207508</v>
      </c>
      <c r="F173" s="1" t="n">
        <v>0.000596448</v>
      </c>
      <c r="G173" s="1" t="s">
        <v>42</v>
      </c>
      <c r="H173" s="1" t="n">
        <v>30.6</v>
      </c>
      <c r="I173" s="1" t="n">
        <v>351.7</v>
      </c>
      <c r="J173" s="1" t="n">
        <v>-19.3</v>
      </c>
      <c r="K173" s="1" t="n">
        <v>30.2</v>
      </c>
      <c r="L173" s="1" t="n">
        <v>0</v>
      </c>
      <c r="M173" s="1" t="n">
        <v>0</v>
      </c>
      <c r="N173" s="1" t="s">
        <v>186</v>
      </c>
      <c r="O173" s="1"/>
      <c r="P173" s="1"/>
      <c r="Q173" s="1"/>
      <c r="R173" s="1"/>
      <c r="Z173" s="0" t="n">
        <f aca="false">I173+0</f>
        <v>351.7</v>
      </c>
      <c r="AB173" s="0" t="n">
        <f aca="false">IF(Z173&gt;360,Z173-360,Z173+0)</f>
        <v>351.7</v>
      </c>
    </row>
    <row r="174" customFormat="false" ht="15.8" hidden="false" customHeight="false" outlineLevel="0" collapsed="false">
      <c r="A174" s="1" t="n">
        <v>10</v>
      </c>
      <c r="B174" s="1" t="n">
        <v>4</v>
      </c>
      <c r="C174" s="1" t="n">
        <v>3.1</v>
      </c>
      <c r="D174" s="1" t="n">
        <v>1.2356</v>
      </c>
      <c r="E174" s="1" t="n">
        <v>0.112341</v>
      </c>
      <c r="F174" s="1" t="n">
        <v>0.000322906</v>
      </c>
      <c r="G174" s="1" t="s">
        <v>42</v>
      </c>
      <c r="H174" s="1" t="n">
        <v>2.5</v>
      </c>
      <c r="I174" s="1" t="n">
        <v>324</v>
      </c>
      <c r="J174" s="1" t="n">
        <v>-38.3</v>
      </c>
      <c r="K174" s="1" t="n">
        <v>30.6</v>
      </c>
      <c r="L174" s="1" t="n">
        <v>0</v>
      </c>
      <c r="M174" s="1" t="n">
        <v>0</v>
      </c>
      <c r="N174" s="1" t="s">
        <v>184</v>
      </c>
      <c r="O174" s="1"/>
      <c r="P174" s="1"/>
      <c r="Q174" s="1"/>
      <c r="R174" s="1"/>
      <c r="Z174" s="0" t="n">
        <f aca="false">I174+0</f>
        <v>324</v>
      </c>
      <c r="AB174" s="0" t="n">
        <f aca="false">IF(Z174&gt;360,Z174-360,Z174+0)</f>
        <v>324</v>
      </c>
    </row>
    <row r="175" customFormat="false" ht="15.8" hidden="false" customHeight="false" outlineLevel="0" collapsed="false">
      <c r="A175" s="1" t="n">
        <v>10</v>
      </c>
      <c r="B175" s="1" t="n">
        <v>3</v>
      </c>
      <c r="C175" s="1" t="n">
        <v>2.4</v>
      </c>
      <c r="D175" s="1" t="n">
        <v>1.2245</v>
      </c>
      <c r="E175" s="1" t="n">
        <v>0.0863829</v>
      </c>
      <c r="F175" s="1" t="n">
        <v>0.000248293</v>
      </c>
      <c r="G175" s="1" t="s">
        <v>42</v>
      </c>
      <c r="H175" s="1" t="n">
        <v>86.1</v>
      </c>
      <c r="I175" s="1" t="n">
        <v>326.5</v>
      </c>
      <c r="J175" s="1" t="n">
        <v>-36.8</v>
      </c>
      <c r="K175" s="1" t="n">
        <v>44</v>
      </c>
      <c r="L175" s="1" t="n">
        <v>0</v>
      </c>
      <c r="M175" s="1" t="n">
        <v>0</v>
      </c>
      <c r="N175" s="1" t="s">
        <v>183</v>
      </c>
      <c r="O175" s="1"/>
      <c r="P175" s="1"/>
      <c r="Q175" s="1"/>
      <c r="R175" s="1"/>
      <c r="Z175" s="0" t="n">
        <f aca="false">I175+0</f>
        <v>326.5</v>
      </c>
      <c r="AB175" s="0" t="n">
        <f aca="false">IF(Z175&gt;360,Z175-360,Z175+0)</f>
        <v>326.5</v>
      </c>
    </row>
    <row r="176" customFormat="false" ht="15.8" hidden="false" customHeight="false" outlineLevel="0" collapsed="false">
      <c r="A176" s="1" t="n">
        <v>10</v>
      </c>
      <c r="B176" s="1" t="n">
        <v>2</v>
      </c>
      <c r="C176" s="1" t="n">
        <v>2.4</v>
      </c>
      <c r="D176" s="1" t="n">
        <v>1.1697</v>
      </c>
      <c r="E176" s="1" t="n">
        <v>0.0873308</v>
      </c>
      <c r="F176" s="1" t="n">
        <v>0.000251018</v>
      </c>
      <c r="G176" s="1" t="s">
        <v>42</v>
      </c>
      <c r="H176" s="1" t="n">
        <v>28.1</v>
      </c>
      <c r="I176" s="1" t="n">
        <v>334.2</v>
      </c>
      <c r="J176" s="1" t="n">
        <v>49</v>
      </c>
      <c r="K176" s="1" t="n">
        <v>86.1</v>
      </c>
      <c r="L176" s="1" t="n">
        <v>0</v>
      </c>
      <c r="M176" s="1" t="n">
        <v>0</v>
      </c>
      <c r="N176" s="1" t="s">
        <v>176</v>
      </c>
      <c r="O176" s="1"/>
      <c r="P176" s="1"/>
      <c r="Q176" s="1"/>
      <c r="R176" s="1"/>
      <c r="Z176" s="0" t="n">
        <f aca="false">I176+0</f>
        <v>334.2</v>
      </c>
      <c r="AB176" s="0" t="n">
        <f aca="false">IF(Z176&gt;360,Z176-360,Z176+0)</f>
        <v>334.2</v>
      </c>
    </row>
    <row r="177" customFormat="false" ht="15.8" hidden="false" customHeight="false" outlineLevel="0" collapsed="false">
      <c r="A177" s="1" t="n">
        <v>10</v>
      </c>
      <c r="B177" s="1" t="n">
        <v>1</v>
      </c>
      <c r="C177" s="1" t="n">
        <v>1.2</v>
      </c>
      <c r="D177" s="1" t="n">
        <v>1.1811</v>
      </c>
      <c r="E177" s="1" t="n">
        <v>0.0425893</v>
      </c>
      <c r="F177" s="1" t="n">
        <v>0.000122416</v>
      </c>
      <c r="G177" s="1" t="s">
        <v>42</v>
      </c>
      <c r="H177" s="1"/>
      <c r="I177" s="1" t="n">
        <v>320.7</v>
      </c>
      <c r="J177" s="1" t="n">
        <v>23</v>
      </c>
      <c r="K177" s="1" t="n">
        <v>60.4</v>
      </c>
      <c r="L177" s="1" t="n">
        <v>0</v>
      </c>
      <c r="M177" s="1" t="n">
        <v>0</v>
      </c>
      <c r="N177" s="1" t="s">
        <v>188</v>
      </c>
      <c r="O177" s="1"/>
      <c r="P177" s="1"/>
      <c r="Q177" s="1"/>
      <c r="R177" s="1"/>
      <c r="Z177" s="0" t="n">
        <f aca="false">I177+0</f>
        <v>320.7</v>
      </c>
      <c r="AB177" s="0" t="n">
        <f aca="false">IF(Z177&gt;360,Z177-360,Z177+0)</f>
        <v>320.7</v>
      </c>
    </row>
    <row r="178" customFormat="false" ht="15.8" hidden="false" customHeight="false" outlineLevel="0" collapsed="false">
      <c r="A178" s="1" t="n">
        <v>11</v>
      </c>
      <c r="B178" s="1" t="n">
        <v>1</v>
      </c>
      <c r="C178" s="1" t="n">
        <v>4.8</v>
      </c>
      <c r="D178" s="1" t="n">
        <v>1.2814</v>
      </c>
      <c r="E178" s="1" t="n">
        <v>0.174557</v>
      </c>
      <c r="F178" s="1" t="n">
        <v>0.000501734</v>
      </c>
      <c r="G178" s="1" t="s">
        <v>27</v>
      </c>
      <c r="H178" s="1"/>
      <c r="I178" s="1" t="n">
        <v>1</v>
      </c>
      <c r="J178" s="1" t="n">
        <v>68.5</v>
      </c>
      <c r="K178" s="1"/>
      <c r="L178" s="1" t="n">
        <v>0</v>
      </c>
      <c r="M178" s="1" t="n">
        <v>0</v>
      </c>
      <c r="N178" s="1" t="s">
        <v>189</v>
      </c>
      <c r="O178" s="1"/>
      <c r="P178" s="1"/>
      <c r="Q178" s="1"/>
      <c r="R178" s="1"/>
      <c r="Z178" s="0" t="n">
        <f aca="false">I178+0</f>
        <v>1</v>
      </c>
      <c r="AB178" s="0" t="n">
        <f aca="false">IF(Z178&gt;360,Z178-360,Z178+0)</f>
        <v>1</v>
      </c>
    </row>
    <row r="179" customFormat="false" ht="15.8" hidden="false" customHeight="false" outlineLevel="0" collapsed="false">
      <c r="A179" s="1" t="n">
        <v>12</v>
      </c>
      <c r="B179" s="1" t="n">
        <v>2</v>
      </c>
      <c r="C179" s="1" t="n">
        <v>16.6</v>
      </c>
      <c r="D179" s="1" t="n">
        <v>1.2882</v>
      </c>
      <c r="E179" s="1" t="n">
        <v>0.601043</v>
      </c>
      <c r="F179" s="1" t="n">
        <v>0.0017276</v>
      </c>
      <c r="G179" s="1" t="s">
        <v>27</v>
      </c>
      <c r="H179" s="1" t="n">
        <v>96</v>
      </c>
      <c r="I179" s="1" t="n">
        <v>178.9</v>
      </c>
      <c r="J179" s="1" t="n">
        <v>25</v>
      </c>
      <c r="K179" s="1"/>
      <c r="L179" s="1" t="n">
        <v>0</v>
      </c>
      <c r="M179" s="1" t="n">
        <v>0</v>
      </c>
      <c r="N179" s="1" t="s">
        <v>190</v>
      </c>
      <c r="O179" s="1"/>
      <c r="P179" s="1"/>
      <c r="Q179" s="1"/>
      <c r="R179" s="1"/>
      <c r="Z179" s="0" t="n">
        <f aca="false">I179+0</f>
        <v>178.9</v>
      </c>
      <c r="AB179" s="0" t="n">
        <f aca="false">IF(Z179&gt;360,Z179-360,Z179+0)</f>
        <v>178.9</v>
      </c>
    </row>
    <row r="180" customFormat="false" ht="15.8" hidden="false" customHeight="false" outlineLevel="0" collapsed="false">
      <c r="A180" s="1" t="n">
        <v>12</v>
      </c>
      <c r="B180" s="1" t="n">
        <v>7</v>
      </c>
      <c r="C180" s="1" t="n">
        <v>1.2</v>
      </c>
      <c r="D180" s="1" t="n">
        <v>1.192</v>
      </c>
      <c r="E180" s="1" t="n">
        <v>0.0348371</v>
      </c>
      <c r="F180" s="1" t="n">
        <v>8.21608E-005</v>
      </c>
      <c r="G180" s="1" t="s">
        <v>27</v>
      </c>
      <c r="H180" s="1" t="n">
        <v>77.8</v>
      </c>
      <c r="I180" s="1" t="n">
        <v>68</v>
      </c>
      <c r="J180" s="1" t="n">
        <v>23.3</v>
      </c>
      <c r="K180" s="1"/>
      <c r="L180" s="1" t="n">
        <v>0</v>
      </c>
      <c r="M180" s="1" t="n">
        <v>0</v>
      </c>
      <c r="N180" s="1" t="s">
        <v>191</v>
      </c>
      <c r="O180" s="1"/>
      <c r="P180" s="1"/>
      <c r="Q180" s="1"/>
      <c r="R180" s="1"/>
      <c r="Z180" s="0" t="n">
        <f aca="false">I180+0</f>
        <v>68</v>
      </c>
      <c r="AB180" s="0" t="n">
        <f aca="false">IF(Z180&gt;360,Z180-360,Z180+0)</f>
        <v>68</v>
      </c>
    </row>
    <row r="181" customFormat="false" ht="15.8" hidden="false" customHeight="false" outlineLevel="0" collapsed="false">
      <c r="A181" s="1" t="n">
        <v>12</v>
      </c>
      <c r="B181" s="1" t="n">
        <v>7</v>
      </c>
      <c r="C181" s="1" t="n">
        <v>1.9</v>
      </c>
      <c r="D181" s="1" t="n">
        <v>1.2988</v>
      </c>
      <c r="E181" s="1" t="n">
        <v>0.0561302</v>
      </c>
      <c r="F181" s="1" t="n">
        <v>0.000132379</v>
      </c>
      <c r="G181" s="1" t="s">
        <v>27</v>
      </c>
      <c r="H181" s="1" t="n">
        <v>98.3</v>
      </c>
      <c r="I181" s="1" t="n">
        <v>251.2</v>
      </c>
      <c r="J181" s="1" t="n">
        <v>-15.5</v>
      </c>
      <c r="K181" s="1"/>
      <c r="L181" s="1" t="n">
        <v>0</v>
      </c>
      <c r="M181" s="1" t="n">
        <v>0</v>
      </c>
      <c r="N181" s="1" t="s">
        <v>191</v>
      </c>
      <c r="O181" s="1"/>
      <c r="P181" s="1"/>
      <c r="Q181" s="1"/>
      <c r="R181" s="1"/>
      <c r="Z181" s="0" t="n">
        <f aca="false">I181+0</f>
        <v>251.2</v>
      </c>
      <c r="AB181" s="0" t="n">
        <f aca="false">IF(Z181&gt;360,Z181-360,Z181+0)</f>
        <v>251.2</v>
      </c>
    </row>
    <row r="182" customFormat="false" ht="15.8" hidden="false" customHeight="false" outlineLevel="0" collapsed="false">
      <c r="A182" s="1" t="n">
        <v>12</v>
      </c>
      <c r="B182" s="1" t="n">
        <v>6</v>
      </c>
      <c r="C182" s="1" t="n">
        <v>1.2</v>
      </c>
      <c r="D182" s="1" t="n">
        <v>1.2122</v>
      </c>
      <c r="E182" s="1" t="n">
        <v>0.0366862</v>
      </c>
      <c r="F182" s="1" t="n">
        <v>8.65218E-005</v>
      </c>
      <c r="G182" s="1" t="s">
        <v>42</v>
      </c>
      <c r="H182" s="1" t="n">
        <v>93.6</v>
      </c>
      <c r="I182" s="1" t="n">
        <v>166.8</v>
      </c>
      <c r="J182" s="1" t="n">
        <v>49.8</v>
      </c>
      <c r="K182" s="1" t="n">
        <v>98.3</v>
      </c>
      <c r="L182" s="1" t="n">
        <v>0</v>
      </c>
      <c r="M182" s="1" t="n">
        <v>0</v>
      </c>
      <c r="N182" s="1" t="s">
        <v>192</v>
      </c>
      <c r="O182" s="1"/>
      <c r="P182" s="1"/>
      <c r="Q182" s="1"/>
      <c r="R182" s="1"/>
      <c r="Z182" s="0" t="n">
        <f aca="false">I182+0</f>
        <v>166.8</v>
      </c>
      <c r="AB182" s="0" t="n">
        <f aca="false">IF(Z182&gt;360,Z182-360,Z182+0)</f>
        <v>166.8</v>
      </c>
    </row>
    <row r="183" customFormat="false" ht="15.8" hidden="false" customHeight="false" outlineLevel="0" collapsed="false">
      <c r="A183" s="1" t="n">
        <v>12</v>
      </c>
      <c r="B183" s="1" t="n">
        <v>6</v>
      </c>
      <c r="C183" s="1" t="n">
        <v>1.3</v>
      </c>
      <c r="D183" s="1" t="n">
        <v>1.2252</v>
      </c>
      <c r="E183" s="1" t="n">
        <v>0.0382158</v>
      </c>
      <c r="F183" s="1" t="n">
        <v>9.01292E-005</v>
      </c>
      <c r="G183" s="1" t="s">
        <v>27</v>
      </c>
      <c r="H183" s="1" t="n">
        <v>47.4</v>
      </c>
      <c r="I183" s="1" t="n">
        <v>22.1</v>
      </c>
      <c r="J183" s="1" t="n">
        <v>-21.8</v>
      </c>
      <c r="K183" s="1"/>
      <c r="L183" s="1" t="n">
        <v>0</v>
      </c>
      <c r="M183" s="1" t="n">
        <v>0</v>
      </c>
      <c r="N183" s="1" t="s">
        <v>192</v>
      </c>
      <c r="O183" s="1"/>
      <c r="P183" s="1"/>
      <c r="Q183" s="1"/>
      <c r="R183" s="1"/>
      <c r="Z183" s="0" t="n">
        <f aca="false">I183+0</f>
        <v>22.1</v>
      </c>
      <c r="AB183" s="0" t="n">
        <f aca="false">IF(Z183&gt;360,Z183-360,Z183+0)</f>
        <v>22.1</v>
      </c>
    </row>
    <row r="184" customFormat="false" ht="15.8" hidden="false" customHeight="false" outlineLevel="0" collapsed="false">
      <c r="A184" s="1" t="n">
        <v>12</v>
      </c>
      <c r="B184" s="1" t="n">
        <v>5</v>
      </c>
      <c r="C184" s="1" t="n">
        <v>2.3</v>
      </c>
      <c r="D184" s="1" t="n">
        <v>1.2741</v>
      </c>
      <c r="E184" s="1" t="n">
        <v>0.0674372</v>
      </c>
      <c r="F184" s="1" t="n">
        <v>0.000159046</v>
      </c>
      <c r="G184" s="1" t="s">
        <v>42</v>
      </c>
      <c r="H184" s="1" t="n">
        <v>53.2</v>
      </c>
      <c r="I184" s="1" t="n">
        <v>55.4</v>
      </c>
      <c r="J184" s="1" t="n">
        <v>12.6</v>
      </c>
      <c r="K184" s="1" t="n">
        <v>93.6</v>
      </c>
      <c r="L184" s="1" t="n">
        <v>0</v>
      </c>
      <c r="M184" s="1" t="n">
        <v>0</v>
      </c>
      <c r="N184" s="1" t="s">
        <v>193</v>
      </c>
      <c r="O184" s="1"/>
      <c r="P184" s="1"/>
      <c r="Q184" s="1"/>
      <c r="R184" s="1"/>
      <c r="Z184" s="0" t="n">
        <f aca="false">I184+0</f>
        <v>55.4</v>
      </c>
      <c r="AB184" s="0" t="n">
        <f aca="false">IF(Z184&gt;360,Z184-360,Z184+0)</f>
        <v>55.4</v>
      </c>
    </row>
    <row r="185" customFormat="false" ht="15.8" hidden="false" customHeight="false" outlineLevel="0" collapsed="false">
      <c r="A185" s="1" t="n">
        <v>12</v>
      </c>
      <c r="B185" s="1" t="n">
        <v>5</v>
      </c>
      <c r="C185" s="1" t="n">
        <v>3.2</v>
      </c>
      <c r="D185" s="1" t="n">
        <v>1.5655</v>
      </c>
      <c r="E185" s="1" t="n">
        <v>0.0947995</v>
      </c>
      <c r="F185" s="1" t="n">
        <v>0.000223578</v>
      </c>
      <c r="G185" s="1" t="s">
        <v>27</v>
      </c>
      <c r="H185" s="1" t="n">
        <v>50.1</v>
      </c>
      <c r="I185" s="1" t="n">
        <v>311.2</v>
      </c>
      <c r="J185" s="1" t="n">
        <v>11</v>
      </c>
      <c r="K185" s="1"/>
      <c r="L185" s="1" t="n">
        <v>0</v>
      </c>
      <c r="M185" s="1" t="n">
        <v>0</v>
      </c>
      <c r="N185" s="1" t="s">
        <v>193</v>
      </c>
      <c r="O185" s="1"/>
      <c r="P185" s="1"/>
      <c r="Q185" s="1"/>
      <c r="R185" s="1"/>
      <c r="Z185" s="0" t="n">
        <f aca="false">I185+0</f>
        <v>311.2</v>
      </c>
      <c r="AB185" s="0" t="n">
        <f aca="false">IF(Z185&gt;360,Z185-360,Z185+0)</f>
        <v>311.2</v>
      </c>
    </row>
    <row r="186" customFormat="false" ht="15.8" hidden="false" customHeight="false" outlineLevel="0" collapsed="false">
      <c r="A186" s="1" t="n">
        <v>12</v>
      </c>
      <c r="B186" s="1" t="n">
        <v>4</v>
      </c>
      <c r="C186" s="1" t="n">
        <v>8.3</v>
      </c>
      <c r="D186" s="1" t="n">
        <v>1.2075</v>
      </c>
      <c r="E186" s="1" t="n">
        <v>0.247696</v>
      </c>
      <c r="F186" s="1" t="n">
        <v>0.000585362</v>
      </c>
      <c r="G186" s="1" t="s">
        <v>42</v>
      </c>
      <c r="H186" s="1" t="n">
        <v>54.7</v>
      </c>
      <c r="I186" s="1" t="n">
        <v>1.7</v>
      </c>
      <c r="J186" s="1" t="n">
        <v>6.5</v>
      </c>
      <c r="K186" s="1" t="n">
        <v>53.2</v>
      </c>
      <c r="L186" s="1" t="n">
        <v>0</v>
      </c>
      <c r="M186" s="1" t="n">
        <v>0</v>
      </c>
      <c r="N186" s="1" t="s">
        <v>194</v>
      </c>
      <c r="O186" s="1"/>
      <c r="P186" s="1"/>
      <c r="Q186" s="1"/>
      <c r="R186" s="1"/>
      <c r="Z186" s="0" t="n">
        <f aca="false">I186+0</f>
        <v>1.7</v>
      </c>
      <c r="AB186" s="0" t="n">
        <f aca="false">IF(Z186&gt;360,Z186-360,Z186+0)</f>
        <v>1.7</v>
      </c>
    </row>
    <row r="187" customFormat="false" ht="15.8" hidden="false" customHeight="false" outlineLevel="0" collapsed="false">
      <c r="A187" s="1" t="n">
        <v>12</v>
      </c>
      <c r="B187" s="1" t="n">
        <v>7</v>
      </c>
      <c r="C187" s="1" t="n">
        <v>0.9</v>
      </c>
      <c r="D187" s="1" t="n">
        <v>1.0164</v>
      </c>
      <c r="E187" s="1" t="n">
        <v>0.0270942</v>
      </c>
      <c r="F187" s="1" t="n">
        <v>6.38997E-005</v>
      </c>
      <c r="G187" s="1" t="s">
        <v>27</v>
      </c>
      <c r="H187" s="1" t="n">
        <v>2.6</v>
      </c>
      <c r="I187" s="1" t="n">
        <v>155.9</v>
      </c>
      <c r="J187" s="1" t="n">
        <v>0</v>
      </c>
      <c r="K187" s="1"/>
      <c r="L187" s="1" t="n">
        <v>0</v>
      </c>
      <c r="M187" s="1" t="n">
        <v>0</v>
      </c>
      <c r="N187" s="1" t="s">
        <v>195</v>
      </c>
      <c r="O187" s="1"/>
      <c r="P187" s="1"/>
      <c r="Q187" s="1"/>
      <c r="R187" s="1"/>
      <c r="Z187" s="0" t="n">
        <f aca="false">I187+0</f>
        <v>155.9</v>
      </c>
      <c r="AB187" s="0" t="n">
        <f aca="false">IF(Z187&gt;360,Z187-360,Z187+0)</f>
        <v>155.9</v>
      </c>
    </row>
    <row r="188" customFormat="false" ht="15.8" hidden="false" customHeight="false" outlineLevel="0" collapsed="false">
      <c r="A188" s="1" t="n">
        <v>12</v>
      </c>
      <c r="B188" s="1" t="n">
        <v>7</v>
      </c>
      <c r="C188" s="1" t="n">
        <v>1.2</v>
      </c>
      <c r="D188" s="1" t="n">
        <v>1.1498</v>
      </c>
      <c r="E188" s="1" t="n">
        <v>0.0349773</v>
      </c>
      <c r="F188" s="1" t="n">
        <v>8.24914E-005</v>
      </c>
      <c r="G188" s="1" t="s">
        <v>27</v>
      </c>
      <c r="H188" s="1" t="n">
        <v>86.6</v>
      </c>
      <c r="I188" s="1" t="n">
        <v>244.7</v>
      </c>
      <c r="J188" s="1" t="n">
        <v>22.3</v>
      </c>
      <c r="K188" s="1"/>
      <c r="L188" s="1" t="n">
        <v>0</v>
      </c>
      <c r="M188" s="1" t="n">
        <v>0</v>
      </c>
      <c r="N188" s="1" t="s">
        <v>195</v>
      </c>
      <c r="O188" s="1"/>
      <c r="P188" s="1"/>
      <c r="Q188" s="1"/>
      <c r="R188" s="1"/>
      <c r="Z188" s="0" t="n">
        <f aca="false">I188+0</f>
        <v>244.7</v>
      </c>
      <c r="AB188" s="0" t="n">
        <f aca="false">IF(Z188&gt;360,Z188-360,Z188+0)</f>
        <v>244.7</v>
      </c>
    </row>
    <row r="189" customFormat="false" ht="15.8" hidden="false" customHeight="false" outlineLevel="0" collapsed="false">
      <c r="A189" s="1" t="n">
        <v>12</v>
      </c>
      <c r="B189" s="1" t="n">
        <v>6</v>
      </c>
      <c r="C189" s="1" t="n">
        <v>2.8</v>
      </c>
      <c r="D189" s="1" t="n">
        <v>1.052</v>
      </c>
      <c r="E189" s="1" t="n">
        <v>0.0816004</v>
      </c>
      <c r="F189" s="1" t="n">
        <v>0.000192449</v>
      </c>
      <c r="G189" s="1" t="s">
        <v>42</v>
      </c>
      <c r="H189" s="1" t="n">
        <v>39.1</v>
      </c>
      <c r="I189" s="1" t="n">
        <v>158.4</v>
      </c>
      <c r="J189" s="1" t="n">
        <v>0</v>
      </c>
      <c r="K189" s="1" t="n">
        <v>86.6</v>
      </c>
      <c r="L189" s="1" t="n">
        <v>0</v>
      </c>
      <c r="M189" s="1" t="n">
        <v>0</v>
      </c>
      <c r="N189" s="1" t="s">
        <v>196</v>
      </c>
      <c r="O189" s="1"/>
      <c r="P189" s="1"/>
      <c r="Q189" s="1"/>
      <c r="R189" s="1"/>
      <c r="Z189" s="0" t="n">
        <f aca="false">I189+0</f>
        <v>158.4</v>
      </c>
      <c r="AB189" s="0" t="n">
        <f aca="false">IF(Z189&gt;360,Z189-360,Z189+0)</f>
        <v>158.4</v>
      </c>
    </row>
    <row r="190" customFormat="false" ht="15.8" hidden="false" customHeight="false" outlineLevel="0" collapsed="false">
      <c r="A190" s="1" t="n">
        <v>12</v>
      </c>
      <c r="B190" s="1" t="n">
        <v>6</v>
      </c>
      <c r="C190" s="1" t="n">
        <v>1</v>
      </c>
      <c r="D190" s="1" t="n">
        <v>1.212</v>
      </c>
      <c r="E190" s="1" t="n">
        <v>0.0297229</v>
      </c>
      <c r="F190" s="1" t="n">
        <v>7.00993E-005</v>
      </c>
      <c r="G190" s="1" t="s">
        <v>27</v>
      </c>
      <c r="H190" s="1" t="n">
        <v>97</v>
      </c>
      <c r="I190" s="1" t="n">
        <v>7.9</v>
      </c>
      <c r="J190" s="1" t="n">
        <v>-70.5</v>
      </c>
      <c r="K190" s="1"/>
      <c r="L190" s="1" t="n">
        <v>0</v>
      </c>
      <c r="M190" s="1" t="n">
        <v>0</v>
      </c>
      <c r="N190" s="1" t="s">
        <v>196</v>
      </c>
      <c r="O190" s="1"/>
      <c r="P190" s="1"/>
      <c r="Q190" s="1"/>
      <c r="R190" s="1"/>
      <c r="Z190" s="0" t="n">
        <f aca="false">I190+0</f>
        <v>7.9</v>
      </c>
      <c r="AB190" s="0" t="n">
        <f aca="false">IF(Z190&gt;360,Z190-360,Z190+0)</f>
        <v>7.9</v>
      </c>
    </row>
    <row r="191" customFormat="false" ht="15.8" hidden="false" customHeight="false" outlineLevel="0" collapsed="false">
      <c r="A191" s="1" t="n">
        <v>12</v>
      </c>
      <c r="B191" s="1" t="n">
        <v>5</v>
      </c>
      <c r="C191" s="1" t="n">
        <v>2.5</v>
      </c>
      <c r="D191" s="1" t="n">
        <v>1.0956</v>
      </c>
      <c r="E191" s="1" t="n">
        <v>0.073788</v>
      </c>
      <c r="F191" s="1" t="n">
        <v>0.000174024</v>
      </c>
      <c r="G191" s="1" t="s">
        <v>42</v>
      </c>
      <c r="H191" s="1" t="n">
        <v>54.5</v>
      </c>
      <c r="I191" s="1" t="n">
        <v>119.3</v>
      </c>
      <c r="J191" s="1" t="n">
        <v>0</v>
      </c>
      <c r="K191" s="1" t="n">
        <v>97</v>
      </c>
      <c r="L191" s="1" t="n">
        <v>0</v>
      </c>
      <c r="M191" s="1" t="n">
        <v>0</v>
      </c>
      <c r="N191" s="1" t="s">
        <v>197</v>
      </c>
      <c r="O191" s="1"/>
      <c r="P191" s="1"/>
      <c r="Q191" s="1"/>
      <c r="R191" s="1"/>
      <c r="Z191" s="0" t="n">
        <f aca="false">I191+0</f>
        <v>119.3</v>
      </c>
      <c r="AB191" s="0" t="n">
        <f aca="false">IF(Z191&gt;360,Z191-360,Z191+0)</f>
        <v>119.3</v>
      </c>
    </row>
    <row r="192" customFormat="false" ht="15.8" hidden="false" customHeight="false" outlineLevel="0" collapsed="false">
      <c r="A192" s="1" t="n">
        <v>12</v>
      </c>
      <c r="B192" s="1" t="n">
        <v>6</v>
      </c>
      <c r="C192" s="1" t="n">
        <v>2.2</v>
      </c>
      <c r="D192" s="1" t="n">
        <v>1.2544</v>
      </c>
      <c r="E192" s="1" t="n">
        <v>0.0662858</v>
      </c>
      <c r="F192" s="1" t="n">
        <v>0.00015633</v>
      </c>
      <c r="G192" s="1" t="s">
        <v>27</v>
      </c>
      <c r="H192" s="1" t="n">
        <v>40.4</v>
      </c>
      <c r="I192" s="1" t="n">
        <v>173.9</v>
      </c>
      <c r="J192" s="1" t="n">
        <v>25.9</v>
      </c>
      <c r="K192" s="1"/>
      <c r="L192" s="1" t="n">
        <v>0</v>
      </c>
      <c r="M192" s="1" t="n">
        <v>0</v>
      </c>
      <c r="N192" s="1" t="s">
        <v>198</v>
      </c>
      <c r="O192" s="1"/>
      <c r="P192" s="1"/>
      <c r="Q192" s="1"/>
      <c r="R192" s="1"/>
      <c r="Z192" s="0" t="n">
        <f aca="false">I192+0</f>
        <v>173.9</v>
      </c>
      <c r="AB192" s="0" t="n">
        <f aca="false">IF(Z192&gt;360,Z192-360,Z192+0)</f>
        <v>173.9</v>
      </c>
    </row>
    <row r="193" customFormat="false" ht="15.8" hidden="false" customHeight="false" outlineLevel="0" collapsed="false">
      <c r="A193" s="1" t="n">
        <v>12</v>
      </c>
      <c r="B193" s="1" t="n">
        <v>6</v>
      </c>
      <c r="C193" s="1" t="n">
        <v>1.3</v>
      </c>
      <c r="D193" s="1" t="n">
        <v>1.4145</v>
      </c>
      <c r="E193" s="1" t="n">
        <v>0.0377492</v>
      </c>
      <c r="F193" s="1" t="n">
        <v>8.90288E-005</v>
      </c>
      <c r="G193" s="1" t="s">
        <v>27</v>
      </c>
      <c r="H193" s="1" t="n">
        <v>67.7</v>
      </c>
      <c r="I193" s="1" t="n">
        <v>250.3</v>
      </c>
      <c r="J193" s="1" t="n">
        <v>-25.7</v>
      </c>
      <c r="K193" s="1"/>
      <c r="L193" s="1" t="n">
        <v>0</v>
      </c>
      <c r="M193" s="1" t="n">
        <v>0</v>
      </c>
      <c r="N193" s="1" t="s">
        <v>198</v>
      </c>
      <c r="O193" s="1"/>
      <c r="P193" s="1"/>
      <c r="Q193" s="1"/>
      <c r="R193" s="1"/>
      <c r="Z193" s="0" t="n">
        <f aca="false">I193+0</f>
        <v>250.3</v>
      </c>
      <c r="AB193" s="0" t="n">
        <f aca="false">IF(Z193&gt;360,Z193-360,Z193+0)</f>
        <v>250.3</v>
      </c>
    </row>
    <row r="194" customFormat="false" ht="15.8" hidden="false" customHeight="false" outlineLevel="0" collapsed="false">
      <c r="A194" s="1" t="n">
        <v>12</v>
      </c>
      <c r="B194" s="1" t="n">
        <v>5</v>
      </c>
      <c r="C194" s="1" t="n">
        <v>0.7</v>
      </c>
      <c r="D194" s="1" t="n">
        <v>1.1175</v>
      </c>
      <c r="E194" s="1" t="n">
        <v>0.0221232</v>
      </c>
      <c r="F194" s="1" t="n">
        <v>5.21761E-005</v>
      </c>
      <c r="G194" s="1" t="s">
        <v>42</v>
      </c>
      <c r="H194" s="1" t="n">
        <v>55.9</v>
      </c>
      <c r="I194" s="1" t="n">
        <v>220.1</v>
      </c>
      <c r="J194" s="1" t="n">
        <v>35.7</v>
      </c>
      <c r="K194" s="1" t="n">
        <v>67.7</v>
      </c>
      <c r="L194" s="1" t="n">
        <v>0</v>
      </c>
      <c r="M194" s="1" t="n">
        <v>0</v>
      </c>
      <c r="N194" s="1" t="s">
        <v>197</v>
      </c>
      <c r="O194" s="1"/>
      <c r="P194" s="1"/>
      <c r="Q194" s="1"/>
      <c r="R194" s="1"/>
      <c r="Z194" s="0" t="n">
        <f aca="false">I194+0</f>
        <v>220.1</v>
      </c>
      <c r="AB194" s="0" t="n">
        <f aca="false">IF(Z194&gt;360,Z194-360,Z194+0)</f>
        <v>220.1</v>
      </c>
    </row>
    <row r="195" customFormat="false" ht="15.8" hidden="false" customHeight="false" outlineLevel="0" collapsed="false">
      <c r="A195" s="1" t="n">
        <v>12</v>
      </c>
      <c r="B195" s="1" t="n">
        <v>4</v>
      </c>
      <c r="C195" s="1" t="n">
        <v>5.7</v>
      </c>
      <c r="D195" s="1" t="n">
        <v>1.0292</v>
      </c>
      <c r="E195" s="1" t="n">
        <v>0.168628</v>
      </c>
      <c r="F195" s="1" t="n">
        <v>0.000400764</v>
      </c>
      <c r="G195" s="1" t="s">
        <v>42</v>
      </c>
      <c r="H195" s="1" t="n">
        <v>116.1</v>
      </c>
      <c r="I195" s="1" t="n">
        <v>173.8</v>
      </c>
      <c r="J195" s="1" t="n">
        <v>0</v>
      </c>
      <c r="K195" s="1" t="n">
        <v>55.9</v>
      </c>
      <c r="L195" s="1" t="n">
        <v>0</v>
      </c>
      <c r="M195" s="1" t="n">
        <v>0</v>
      </c>
      <c r="N195" s="1" t="s">
        <v>194</v>
      </c>
      <c r="O195" s="1"/>
      <c r="P195" s="1"/>
      <c r="Q195" s="1"/>
      <c r="R195" s="1"/>
      <c r="Z195" s="0" t="n">
        <f aca="false">I195+0</f>
        <v>173.8</v>
      </c>
      <c r="AB195" s="0" t="n">
        <f aca="false">IF(Z195&gt;360,Z195-360,Z195+0)</f>
        <v>173.8</v>
      </c>
    </row>
    <row r="196" customFormat="false" ht="15.8" hidden="false" customHeight="false" outlineLevel="0" collapsed="false">
      <c r="A196" s="1" t="n">
        <v>12</v>
      </c>
      <c r="B196" s="1" t="n">
        <v>3</v>
      </c>
      <c r="C196" s="1" t="n">
        <v>13.5</v>
      </c>
      <c r="D196" s="1" t="n">
        <v>1.2657</v>
      </c>
      <c r="E196" s="1" t="n">
        <v>0.486356</v>
      </c>
      <c r="F196" s="1" t="n">
        <v>0.00139795</v>
      </c>
      <c r="G196" s="1" t="s">
        <v>42</v>
      </c>
      <c r="H196" s="1" t="n">
        <v>98.6</v>
      </c>
      <c r="I196" s="1" t="n">
        <v>35.8</v>
      </c>
      <c r="J196" s="1" t="n">
        <v>53.8</v>
      </c>
      <c r="K196" s="1" t="n">
        <v>116.1</v>
      </c>
      <c r="L196" s="1" t="n">
        <v>0</v>
      </c>
      <c r="M196" s="1" t="n">
        <v>0</v>
      </c>
      <c r="N196" s="1" t="s">
        <v>199</v>
      </c>
      <c r="O196" s="1"/>
      <c r="P196" s="1"/>
      <c r="Q196" s="1"/>
      <c r="R196" s="1"/>
      <c r="Z196" s="0" t="n">
        <f aca="false">I196+0</f>
        <v>35.8</v>
      </c>
      <c r="AB196" s="0" t="n">
        <f aca="false">IF(Z196&gt;360,Z196-360,Z196+0)</f>
        <v>35.8</v>
      </c>
    </row>
    <row r="197" customFormat="false" ht="15.8" hidden="false" customHeight="false" outlineLevel="0" collapsed="false">
      <c r="A197" s="1" t="n">
        <v>12</v>
      </c>
      <c r="B197" s="1" t="n">
        <v>4</v>
      </c>
      <c r="C197" s="1" t="n">
        <v>4.1</v>
      </c>
      <c r="D197" s="1" t="n">
        <v>1.3083</v>
      </c>
      <c r="E197" s="1" t="n">
        <v>0.14719</v>
      </c>
      <c r="F197" s="1" t="n">
        <v>0.000423073</v>
      </c>
      <c r="G197" s="1" t="s">
        <v>27</v>
      </c>
      <c r="H197" s="1" t="n">
        <v>18.6</v>
      </c>
      <c r="I197" s="1" t="n">
        <v>76</v>
      </c>
      <c r="J197" s="1" t="n">
        <v>-38.8</v>
      </c>
      <c r="K197" s="1"/>
      <c r="L197" s="1" t="n">
        <v>0</v>
      </c>
      <c r="M197" s="1" t="n">
        <v>0</v>
      </c>
      <c r="N197" s="1" t="s">
        <v>200</v>
      </c>
      <c r="O197" s="1"/>
      <c r="P197" s="1"/>
      <c r="Q197" s="1"/>
      <c r="R197" s="1"/>
      <c r="Z197" s="0" t="n">
        <f aca="false">I197+0</f>
        <v>76</v>
      </c>
      <c r="AB197" s="0" t="n">
        <f aca="false">IF(Z197&gt;360,Z197-360,Z197+0)</f>
        <v>76</v>
      </c>
    </row>
    <row r="198" customFormat="false" ht="15.8" hidden="false" customHeight="false" outlineLevel="0" collapsed="false">
      <c r="A198" s="1" t="n">
        <v>12</v>
      </c>
      <c r="B198" s="1" t="n">
        <v>5</v>
      </c>
      <c r="C198" s="1" t="n">
        <v>1.5</v>
      </c>
      <c r="D198" s="1" t="n">
        <v>1.1656</v>
      </c>
      <c r="E198" s="1" t="n">
        <v>0.0558966</v>
      </c>
      <c r="F198" s="1" t="n">
        <v>0.000160666</v>
      </c>
      <c r="G198" s="1" t="s">
        <v>27</v>
      </c>
      <c r="H198" s="1" t="n">
        <v>37</v>
      </c>
      <c r="I198" s="1" t="n">
        <v>340.4</v>
      </c>
      <c r="J198" s="1" t="n">
        <v>17.1</v>
      </c>
      <c r="K198" s="1"/>
      <c r="L198" s="1" t="n">
        <v>0</v>
      </c>
      <c r="M198" s="1" t="n">
        <v>0</v>
      </c>
      <c r="N198" s="1" t="s">
        <v>201</v>
      </c>
      <c r="O198" s="1"/>
      <c r="P198" s="1"/>
      <c r="Q198" s="1"/>
      <c r="R198" s="1"/>
      <c r="Z198" s="0" t="n">
        <f aca="false">I198+0</f>
        <v>340.4</v>
      </c>
      <c r="AB198" s="0" t="n">
        <f aca="false">IF(Z198&gt;360,Z198-360,Z198+0)</f>
        <v>340.4</v>
      </c>
    </row>
    <row r="199" customFormat="false" ht="15.8" hidden="false" customHeight="false" outlineLevel="0" collapsed="false">
      <c r="A199" s="1" t="n">
        <v>12</v>
      </c>
      <c r="B199" s="1" t="n">
        <v>6</v>
      </c>
      <c r="C199" s="1" t="n">
        <v>2.8</v>
      </c>
      <c r="D199" s="1" t="n">
        <v>1.3892</v>
      </c>
      <c r="E199" s="1" t="n">
        <v>0.0999739</v>
      </c>
      <c r="F199" s="1" t="n">
        <v>0.000287359</v>
      </c>
      <c r="G199" s="1" t="s">
        <v>27</v>
      </c>
      <c r="H199" s="1" t="n">
        <v>29.9</v>
      </c>
      <c r="I199" s="1" t="n">
        <v>355.7</v>
      </c>
      <c r="J199" s="1" t="n">
        <v>23</v>
      </c>
      <c r="K199" s="1"/>
      <c r="L199" s="1" t="n">
        <v>0</v>
      </c>
      <c r="M199" s="1" t="n">
        <v>0</v>
      </c>
      <c r="N199" s="1" t="s">
        <v>202</v>
      </c>
      <c r="O199" s="1"/>
      <c r="P199" s="1"/>
      <c r="Q199" s="1"/>
      <c r="R199" s="1"/>
      <c r="Z199" s="0" t="n">
        <f aca="false">I199+0</f>
        <v>355.7</v>
      </c>
      <c r="AB199" s="0" t="n">
        <f aca="false">IF(Z199&gt;360,Z199-360,Z199+0)</f>
        <v>355.7</v>
      </c>
    </row>
    <row r="200" customFormat="false" ht="15.8" hidden="false" customHeight="false" outlineLevel="0" collapsed="false">
      <c r="A200" s="1" t="n">
        <v>12</v>
      </c>
      <c r="B200" s="1" t="n">
        <v>7</v>
      </c>
      <c r="C200" s="1" t="n">
        <v>1.2</v>
      </c>
      <c r="D200" s="1" t="n">
        <v>1.211</v>
      </c>
      <c r="E200" s="1" t="n">
        <v>0.0449051</v>
      </c>
      <c r="F200" s="1" t="n">
        <v>0.000129072</v>
      </c>
      <c r="G200" s="1" t="s">
        <v>27</v>
      </c>
      <c r="H200" s="1" t="n">
        <v>42.5</v>
      </c>
      <c r="I200" s="1" t="n">
        <v>227.8</v>
      </c>
      <c r="J200" s="1" t="n">
        <v>-49.4</v>
      </c>
      <c r="K200" s="1"/>
      <c r="L200" s="1" t="n">
        <v>0</v>
      </c>
      <c r="M200" s="1" t="n">
        <v>0</v>
      </c>
      <c r="N200" s="1" t="s">
        <v>203</v>
      </c>
      <c r="O200" s="1"/>
      <c r="P200" s="1"/>
      <c r="Q200" s="1"/>
      <c r="R200" s="1"/>
      <c r="Z200" s="0" t="n">
        <f aca="false">I200+0</f>
        <v>227.8</v>
      </c>
      <c r="AB200" s="0" t="n">
        <f aca="false">IF(Z200&gt;360,Z200-360,Z200+0)</f>
        <v>227.8</v>
      </c>
    </row>
    <row r="201" customFormat="false" ht="15.8" hidden="false" customHeight="false" outlineLevel="0" collapsed="false">
      <c r="A201" s="1" t="n">
        <v>12</v>
      </c>
      <c r="B201" s="1" t="n">
        <v>9</v>
      </c>
      <c r="C201" s="1" t="n">
        <v>0.8</v>
      </c>
      <c r="D201" s="1" t="n">
        <v>1.0288</v>
      </c>
      <c r="E201" s="1" t="n">
        <v>0.0281081</v>
      </c>
      <c r="F201" s="1" t="n">
        <v>8.0792E-005</v>
      </c>
      <c r="G201" s="1" t="s">
        <v>27</v>
      </c>
      <c r="H201" s="1" t="n">
        <v>47.7</v>
      </c>
      <c r="I201" s="1" t="n">
        <v>340.5</v>
      </c>
      <c r="J201" s="1" t="n">
        <v>0</v>
      </c>
      <c r="K201" s="1"/>
      <c r="L201" s="1" t="n">
        <v>0</v>
      </c>
      <c r="M201" s="1" t="n">
        <v>0</v>
      </c>
      <c r="N201" s="1" t="s">
        <v>204</v>
      </c>
      <c r="O201" s="1"/>
      <c r="P201" s="1"/>
      <c r="Q201" s="1"/>
      <c r="R201" s="1"/>
      <c r="Z201" s="0" t="n">
        <f aca="false">I201+0</f>
        <v>340.5</v>
      </c>
      <c r="AB201" s="0" t="n">
        <f aca="false">IF(Z201&gt;360,Z201-360,Z201+0)</f>
        <v>340.5</v>
      </c>
    </row>
    <row r="202" customFormat="false" ht="15.8" hidden="false" customHeight="false" outlineLevel="0" collapsed="false">
      <c r="A202" s="1" t="n">
        <v>12</v>
      </c>
      <c r="B202" s="1" t="n">
        <v>10</v>
      </c>
      <c r="C202" s="1" t="n">
        <v>2.6</v>
      </c>
      <c r="D202" s="1" t="n">
        <v>2.1589</v>
      </c>
      <c r="E202" s="1" t="n">
        <v>0.0944418</v>
      </c>
      <c r="F202" s="1" t="n">
        <v>0.000271457</v>
      </c>
      <c r="G202" s="1" t="s">
        <v>27</v>
      </c>
      <c r="H202" s="1" t="n">
        <v>55.8</v>
      </c>
      <c r="I202" s="1" t="n">
        <v>338.8</v>
      </c>
      <c r="J202" s="1" t="n">
        <v>-18.8</v>
      </c>
      <c r="K202" s="1"/>
      <c r="L202" s="1" t="n">
        <v>0</v>
      </c>
      <c r="M202" s="1" t="n">
        <v>0</v>
      </c>
      <c r="N202" s="1" t="s">
        <v>205</v>
      </c>
      <c r="O202" s="1"/>
      <c r="P202" s="1"/>
      <c r="Q202" s="1"/>
      <c r="R202" s="1"/>
      <c r="Z202" s="0" t="n">
        <f aca="false">I202+0</f>
        <v>338.8</v>
      </c>
      <c r="AB202" s="0" t="n">
        <f aca="false">IF(Z202&gt;360,Z202-360,Z202+0)</f>
        <v>338.8</v>
      </c>
    </row>
    <row r="203" customFormat="false" ht="15.8" hidden="false" customHeight="false" outlineLevel="0" collapsed="false">
      <c r="A203" s="1" t="n">
        <v>12</v>
      </c>
      <c r="B203" s="1" t="n">
        <v>11</v>
      </c>
      <c r="C203" s="1" t="n">
        <v>0.8</v>
      </c>
      <c r="D203" s="1" t="n">
        <v>1.0179</v>
      </c>
      <c r="E203" s="1" t="n">
        <v>0.0293164</v>
      </c>
      <c r="F203" s="1" t="n">
        <v>8.42652E-005</v>
      </c>
      <c r="G203" s="1" t="s">
        <v>27</v>
      </c>
      <c r="H203" s="1" t="n">
        <v>93.6</v>
      </c>
      <c r="I203" s="1" t="n">
        <v>132.7</v>
      </c>
      <c r="J203" s="1" t="n">
        <v>0</v>
      </c>
      <c r="K203" s="1"/>
      <c r="L203" s="1" t="n">
        <v>0</v>
      </c>
      <c r="M203" s="1" t="n">
        <v>0</v>
      </c>
      <c r="N203" s="1" t="s">
        <v>206</v>
      </c>
      <c r="O203" s="1"/>
      <c r="P203" s="1"/>
      <c r="Q203" s="1"/>
      <c r="R203" s="1"/>
      <c r="Z203" s="0" t="n">
        <f aca="false">I203+0</f>
        <v>132.7</v>
      </c>
      <c r="AB203" s="0" t="n">
        <f aca="false">IF(Z203&gt;360,Z203-360,Z203+0)</f>
        <v>132.7</v>
      </c>
    </row>
    <row r="204" customFormat="false" ht="15.8" hidden="false" customHeight="false" outlineLevel="0" collapsed="false">
      <c r="A204" s="1" t="n">
        <v>12</v>
      </c>
      <c r="B204" s="1" t="n">
        <v>13</v>
      </c>
      <c r="C204" s="1" t="n">
        <v>2.5</v>
      </c>
      <c r="D204" s="1" t="n">
        <v>1.2169</v>
      </c>
      <c r="E204" s="1" t="n">
        <v>0.091349</v>
      </c>
      <c r="F204" s="1" t="n">
        <v>0.000262568</v>
      </c>
      <c r="G204" s="1" t="s">
        <v>27</v>
      </c>
      <c r="H204" s="1" t="n">
        <v>15.9</v>
      </c>
      <c r="I204" s="1" t="n">
        <v>36.6</v>
      </c>
      <c r="J204" s="1" t="n">
        <v>-34.3</v>
      </c>
      <c r="K204" s="1"/>
      <c r="L204" s="1" t="n">
        <v>0</v>
      </c>
      <c r="M204" s="1" t="n">
        <v>0</v>
      </c>
      <c r="N204" s="1" t="s">
        <v>207</v>
      </c>
      <c r="O204" s="1"/>
      <c r="P204" s="1"/>
      <c r="Q204" s="1"/>
      <c r="R204" s="1"/>
      <c r="Z204" s="0" t="n">
        <f aca="false">I204+0</f>
        <v>36.6</v>
      </c>
      <c r="AB204" s="0" t="n">
        <f aca="false">IF(Z204&gt;360,Z204-360,Z204+0)</f>
        <v>36.6</v>
      </c>
    </row>
    <row r="205" customFormat="false" ht="15.8" hidden="false" customHeight="false" outlineLevel="0" collapsed="false">
      <c r="A205" s="1" t="n">
        <v>12</v>
      </c>
      <c r="B205" s="1" t="n">
        <v>13</v>
      </c>
      <c r="C205" s="1" t="n">
        <v>5</v>
      </c>
      <c r="D205" s="1" t="n">
        <v>1.2154</v>
      </c>
      <c r="E205" s="1" t="n">
        <v>0.179608</v>
      </c>
      <c r="F205" s="1" t="n">
        <v>0.000516254</v>
      </c>
      <c r="G205" s="1" t="s">
        <v>27</v>
      </c>
      <c r="H205" s="1" t="n">
        <v>50</v>
      </c>
      <c r="I205" s="1" t="n">
        <v>24.4</v>
      </c>
      <c r="J205" s="1" t="n">
        <v>28.5</v>
      </c>
      <c r="K205" s="1"/>
      <c r="L205" s="1" t="n">
        <v>0</v>
      </c>
      <c r="M205" s="1" t="n">
        <v>0</v>
      </c>
      <c r="N205" s="1" t="s">
        <v>207</v>
      </c>
      <c r="O205" s="1"/>
      <c r="P205" s="1"/>
      <c r="Q205" s="1"/>
      <c r="R205" s="1"/>
      <c r="Z205" s="0" t="n">
        <f aca="false">I205+0</f>
        <v>24.4</v>
      </c>
      <c r="AB205" s="0" t="n">
        <f aca="false">IF(Z205&gt;360,Z205-360,Z205+0)</f>
        <v>24.4</v>
      </c>
    </row>
    <row r="206" customFormat="false" ht="15.8" hidden="false" customHeight="false" outlineLevel="0" collapsed="false">
      <c r="A206" s="1" t="n">
        <v>12</v>
      </c>
      <c r="B206" s="1" t="n">
        <v>12</v>
      </c>
      <c r="C206" s="1" t="n">
        <v>1.4</v>
      </c>
      <c r="D206" s="1" t="n">
        <v>1.1825</v>
      </c>
      <c r="E206" s="1" t="n">
        <v>0.0515059</v>
      </c>
      <c r="F206" s="1" t="n">
        <v>0.000148045</v>
      </c>
      <c r="G206" s="1" t="s">
        <v>42</v>
      </c>
      <c r="H206" s="1" t="n">
        <v>21.9</v>
      </c>
      <c r="I206" s="1" t="n">
        <v>40.9</v>
      </c>
      <c r="J206" s="1" t="n">
        <v>-18.9</v>
      </c>
      <c r="K206" s="1" t="n">
        <v>50</v>
      </c>
      <c r="L206" s="1" t="n">
        <v>0</v>
      </c>
      <c r="M206" s="1" t="n">
        <v>0</v>
      </c>
      <c r="N206" s="1" t="s">
        <v>208</v>
      </c>
      <c r="O206" s="1"/>
      <c r="P206" s="1"/>
      <c r="Q206" s="1"/>
      <c r="R206" s="1"/>
      <c r="Z206" s="0" t="n">
        <f aca="false">I206+0</f>
        <v>40.9</v>
      </c>
      <c r="AB206" s="0" t="n">
        <f aca="false">IF(Z206&gt;360,Z206-360,Z206+0)</f>
        <v>40.9</v>
      </c>
    </row>
    <row r="207" customFormat="false" ht="15.8" hidden="false" customHeight="false" outlineLevel="0" collapsed="false">
      <c r="A207" s="1" t="n">
        <v>12</v>
      </c>
      <c r="B207" s="1" t="n">
        <v>13</v>
      </c>
      <c r="C207" s="1" t="n">
        <v>1</v>
      </c>
      <c r="D207" s="1" t="n">
        <v>1.1485</v>
      </c>
      <c r="E207" s="1" t="n">
        <v>0.0361084</v>
      </c>
      <c r="F207" s="1" t="n">
        <v>0.000103788</v>
      </c>
      <c r="G207" s="1" t="s">
        <v>27</v>
      </c>
      <c r="H207" s="1" t="n">
        <v>69.3</v>
      </c>
      <c r="I207" s="1" t="n">
        <v>323.5</v>
      </c>
      <c r="J207" s="1" t="n">
        <v>-63.7</v>
      </c>
      <c r="K207" s="1"/>
      <c r="L207" s="1" t="n">
        <v>0</v>
      </c>
      <c r="M207" s="1" t="n">
        <v>0</v>
      </c>
      <c r="N207" s="1" t="s">
        <v>209</v>
      </c>
      <c r="O207" s="1"/>
      <c r="P207" s="1"/>
      <c r="Q207" s="1"/>
      <c r="R207" s="1"/>
      <c r="Z207" s="0" t="n">
        <f aca="false">I207+0</f>
        <v>323.5</v>
      </c>
      <c r="AB207" s="0" t="n">
        <f aca="false">IF(Z207&gt;360,Z207-360,Z207+0)</f>
        <v>323.5</v>
      </c>
    </row>
    <row r="208" customFormat="false" ht="15.8" hidden="false" customHeight="false" outlineLevel="0" collapsed="false">
      <c r="A208" s="1" t="n">
        <v>12</v>
      </c>
      <c r="B208" s="1" t="n">
        <v>13</v>
      </c>
      <c r="C208" s="1" t="n">
        <v>2.8</v>
      </c>
      <c r="D208" s="1" t="n">
        <v>1.2393</v>
      </c>
      <c r="E208" s="1" t="n">
        <v>0.101382</v>
      </c>
      <c r="F208" s="1" t="n">
        <v>0.000291406</v>
      </c>
      <c r="G208" s="1" t="s">
        <v>27</v>
      </c>
      <c r="H208" s="1" t="n">
        <v>52.5</v>
      </c>
      <c r="I208" s="1" t="n">
        <v>178.8</v>
      </c>
      <c r="J208" s="1" t="n">
        <v>9.9</v>
      </c>
      <c r="K208" s="1"/>
      <c r="L208" s="1" t="n">
        <v>0</v>
      </c>
      <c r="M208" s="1" t="n">
        <v>0</v>
      </c>
      <c r="N208" s="1" t="s">
        <v>209</v>
      </c>
      <c r="O208" s="1"/>
      <c r="P208" s="1"/>
      <c r="Q208" s="1"/>
      <c r="R208" s="1"/>
      <c r="Z208" s="0" t="n">
        <f aca="false">I208+0</f>
        <v>178.8</v>
      </c>
      <c r="AB208" s="0" t="n">
        <f aca="false">IF(Z208&gt;360,Z208-360,Z208+0)</f>
        <v>178.8</v>
      </c>
    </row>
    <row r="209" customFormat="false" ht="15.8" hidden="false" customHeight="false" outlineLevel="0" collapsed="false">
      <c r="A209" s="1" t="n">
        <v>12</v>
      </c>
      <c r="B209" s="1" t="n">
        <v>12</v>
      </c>
      <c r="C209" s="1" t="n">
        <v>0.7</v>
      </c>
      <c r="D209" s="1" t="n">
        <v>1.295</v>
      </c>
      <c r="E209" s="1" t="n">
        <v>0.027016</v>
      </c>
      <c r="F209" s="1" t="n">
        <v>7.76529E-005</v>
      </c>
      <c r="G209" s="1" t="s">
        <v>42</v>
      </c>
      <c r="H209" s="1" t="n">
        <v>88.1</v>
      </c>
      <c r="I209" s="1" t="n">
        <v>183.1</v>
      </c>
      <c r="J209" s="1" t="n">
        <v>-42.5</v>
      </c>
      <c r="K209" s="1" t="n">
        <v>69.3</v>
      </c>
      <c r="L209" s="1" t="n">
        <v>0</v>
      </c>
      <c r="M209" s="1" t="n">
        <v>0</v>
      </c>
      <c r="N209" s="1" t="s">
        <v>208</v>
      </c>
      <c r="O209" s="1"/>
      <c r="P209" s="1"/>
      <c r="Q209" s="1"/>
      <c r="R209" s="1"/>
      <c r="Z209" s="0" t="n">
        <f aca="false">I209+0</f>
        <v>183.1</v>
      </c>
      <c r="AB209" s="0" t="n">
        <f aca="false">IF(Z209&gt;360,Z209-360,Z209+0)</f>
        <v>183.1</v>
      </c>
    </row>
    <row r="210" customFormat="false" ht="15.8" hidden="false" customHeight="false" outlineLevel="0" collapsed="false">
      <c r="A210" s="1" t="n">
        <v>12</v>
      </c>
      <c r="B210" s="1" t="n">
        <v>11</v>
      </c>
      <c r="C210" s="1" t="n">
        <v>9.7</v>
      </c>
      <c r="D210" s="1" t="n">
        <v>1.3259</v>
      </c>
      <c r="E210" s="1" t="n">
        <v>0.34958</v>
      </c>
      <c r="F210" s="1" t="n">
        <v>0.00100481</v>
      </c>
      <c r="G210" s="1" t="s">
        <v>42</v>
      </c>
      <c r="H210" s="1" t="n">
        <v>7.9</v>
      </c>
      <c r="I210" s="1" t="n">
        <v>48.2</v>
      </c>
      <c r="J210" s="1" t="n">
        <v>-39.9</v>
      </c>
      <c r="K210" s="1" t="n">
        <v>88.1</v>
      </c>
      <c r="L210" s="1" t="n">
        <v>0</v>
      </c>
      <c r="M210" s="1" t="n">
        <v>0</v>
      </c>
      <c r="N210" s="1" t="s">
        <v>206</v>
      </c>
      <c r="O210" s="1"/>
      <c r="P210" s="1"/>
      <c r="Q210" s="1"/>
      <c r="R210" s="1"/>
      <c r="Z210" s="0" t="n">
        <f aca="false">I210+0</f>
        <v>48.2</v>
      </c>
      <c r="AB210" s="0" t="n">
        <f aca="false">IF(Z210&gt;360,Z210-360,Z210+0)</f>
        <v>48.2</v>
      </c>
    </row>
    <row r="211" customFormat="false" ht="15.8" hidden="false" customHeight="false" outlineLevel="0" collapsed="false">
      <c r="A211" s="1" t="n">
        <v>12</v>
      </c>
      <c r="B211" s="1" t="n">
        <v>14</v>
      </c>
      <c r="C211" s="1" t="n">
        <v>3.4</v>
      </c>
      <c r="D211" s="1" t="n">
        <v>1.0308</v>
      </c>
      <c r="E211" s="1" t="n">
        <v>0.121456</v>
      </c>
      <c r="F211" s="1" t="n">
        <v>0.000349106</v>
      </c>
      <c r="G211" s="1" t="s">
        <v>27</v>
      </c>
      <c r="H211" s="1" t="n">
        <v>70.3</v>
      </c>
      <c r="I211" s="1" t="n">
        <v>72.8</v>
      </c>
      <c r="J211" s="1" t="n">
        <v>0</v>
      </c>
      <c r="K211" s="1"/>
      <c r="L211" s="1" t="n">
        <v>0</v>
      </c>
      <c r="M211" s="1" t="n">
        <v>0</v>
      </c>
      <c r="N211" s="1" t="s">
        <v>210</v>
      </c>
      <c r="O211" s="1"/>
      <c r="P211" s="1"/>
      <c r="Q211" s="1"/>
      <c r="R211" s="1"/>
      <c r="Z211" s="0" t="n">
        <f aca="false">I211+0</f>
        <v>72.8</v>
      </c>
      <c r="AB211" s="0" t="n">
        <f aca="false">IF(Z211&gt;360,Z211-360,Z211+0)</f>
        <v>72.8</v>
      </c>
    </row>
    <row r="212" customFormat="false" ht="15.8" hidden="false" customHeight="false" outlineLevel="0" collapsed="false">
      <c r="A212" s="1" t="n">
        <v>12</v>
      </c>
      <c r="B212" s="1" t="n">
        <v>15</v>
      </c>
      <c r="C212" s="1" t="n">
        <v>2.1</v>
      </c>
      <c r="D212" s="1" t="n">
        <v>1.3216</v>
      </c>
      <c r="E212" s="1" t="n">
        <v>0.0764771</v>
      </c>
      <c r="F212" s="1" t="n">
        <v>0.000219821</v>
      </c>
      <c r="G212" s="1" t="s">
        <v>27</v>
      </c>
      <c r="H212" s="1" t="n">
        <v>45.1</v>
      </c>
      <c r="I212" s="1" t="n">
        <v>298.5</v>
      </c>
      <c r="J212" s="1" t="n">
        <v>-29.1</v>
      </c>
      <c r="K212" s="1"/>
      <c r="L212" s="1" t="n">
        <v>0</v>
      </c>
      <c r="M212" s="1" t="n">
        <v>0</v>
      </c>
      <c r="N212" s="1" t="s">
        <v>211</v>
      </c>
      <c r="O212" s="1"/>
      <c r="P212" s="1"/>
      <c r="Q212" s="1"/>
      <c r="R212" s="1"/>
      <c r="Z212" s="0" t="n">
        <f aca="false">I212+0</f>
        <v>298.5</v>
      </c>
      <c r="AB212" s="0" t="n">
        <f aca="false">IF(Z212&gt;360,Z212-360,Z212+0)</f>
        <v>298.5</v>
      </c>
    </row>
    <row r="213" customFormat="false" ht="15.8" hidden="false" customHeight="false" outlineLevel="0" collapsed="false">
      <c r="A213" s="1" t="n">
        <v>12</v>
      </c>
      <c r="B213" s="1" t="n">
        <v>16</v>
      </c>
      <c r="C213" s="1" t="n">
        <v>1.2</v>
      </c>
      <c r="D213" s="1" t="n">
        <v>1.1396</v>
      </c>
      <c r="E213" s="1" t="n">
        <v>0.0430089</v>
      </c>
      <c r="F213" s="1" t="n">
        <v>0.000123622</v>
      </c>
      <c r="G213" s="1" t="s">
        <v>27</v>
      </c>
      <c r="H213" s="1" t="n">
        <v>67.7</v>
      </c>
      <c r="I213" s="1" t="n">
        <v>247.7</v>
      </c>
      <c r="J213" s="1" t="n">
        <v>-21.9</v>
      </c>
      <c r="K213" s="1"/>
      <c r="L213" s="1" t="n">
        <v>0</v>
      </c>
      <c r="M213" s="1" t="n">
        <v>0</v>
      </c>
      <c r="N213" s="1" t="s">
        <v>212</v>
      </c>
      <c r="O213" s="1"/>
      <c r="P213" s="1"/>
      <c r="Q213" s="1"/>
      <c r="R213" s="1"/>
      <c r="Z213" s="0" t="n">
        <f aca="false">I213+0</f>
        <v>247.7</v>
      </c>
      <c r="AB213" s="0" t="n">
        <f aca="false">IF(Z213&gt;360,Z213-360,Z213+0)</f>
        <v>247.7</v>
      </c>
    </row>
    <row r="214" customFormat="false" ht="15.8" hidden="false" customHeight="false" outlineLevel="0" collapsed="false">
      <c r="A214" s="1" t="n">
        <v>12</v>
      </c>
      <c r="B214" s="1" t="n">
        <v>16</v>
      </c>
      <c r="C214" s="1" t="n">
        <v>1.9</v>
      </c>
      <c r="D214" s="1" t="n">
        <v>1.1555</v>
      </c>
      <c r="E214" s="1" t="n">
        <v>0.0699772</v>
      </c>
      <c r="F214" s="1" t="n">
        <v>0.000201138</v>
      </c>
      <c r="G214" s="1" t="s">
        <v>27</v>
      </c>
      <c r="H214" s="1" t="n">
        <v>63</v>
      </c>
      <c r="I214" s="1" t="n">
        <v>31.4</v>
      </c>
      <c r="J214" s="1" t="n">
        <v>-13.5</v>
      </c>
      <c r="K214" s="1"/>
      <c r="L214" s="1" t="n">
        <v>0</v>
      </c>
      <c r="M214" s="1" t="n">
        <v>0</v>
      </c>
      <c r="N214" s="1" t="s">
        <v>212</v>
      </c>
      <c r="O214" s="1"/>
      <c r="P214" s="1"/>
      <c r="Q214" s="1"/>
      <c r="R214" s="1"/>
      <c r="Z214" s="0" t="n">
        <f aca="false">I214+0</f>
        <v>31.4</v>
      </c>
      <c r="AB214" s="0" t="n">
        <f aca="false">IF(Z214&gt;360,Z214-360,Z214+0)</f>
        <v>31.4</v>
      </c>
    </row>
    <row r="215" customFormat="false" ht="15.8" hidden="false" customHeight="false" outlineLevel="0" collapsed="false">
      <c r="A215" s="1" t="n">
        <v>12</v>
      </c>
      <c r="B215" s="1" t="n">
        <v>15</v>
      </c>
      <c r="C215" s="1" t="n">
        <v>2.3</v>
      </c>
      <c r="D215" s="1" t="n">
        <v>1.2085</v>
      </c>
      <c r="E215" s="1" t="n">
        <v>0.0827378</v>
      </c>
      <c r="F215" s="1" t="n">
        <v>0.000237816</v>
      </c>
      <c r="G215" s="1" t="s">
        <v>42</v>
      </c>
      <c r="H215" s="1" t="n">
        <v>55.5</v>
      </c>
      <c r="I215" s="1" t="n">
        <v>329.9</v>
      </c>
      <c r="J215" s="1" t="n">
        <v>-55.4</v>
      </c>
      <c r="K215" s="1" t="n">
        <v>67.7</v>
      </c>
      <c r="L215" s="1" t="n">
        <v>0</v>
      </c>
      <c r="M215" s="1" t="n">
        <v>0</v>
      </c>
      <c r="N215" s="1" t="s">
        <v>211</v>
      </c>
      <c r="O215" s="1"/>
      <c r="P215" s="1"/>
      <c r="Q215" s="1"/>
      <c r="R215" s="1"/>
      <c r="Z215" s="0" t="n">
        <f aca="false">I215+0</f>
        <v>329.9</v>
      </c>
      <c r="AB215" s="0" t="n">
        <f aca="false">IF(Z215&gt;360,Z215-360,Z215+0)</f>
        <v>329.9</v>
      </c>
    </row>
    <row r="216" customFormat="false" ht="15.8" hidden="false" customHeight="false" outlineLevel="0" collapsed="false">
      <c r="A216" s="1" t="n">
        <v>12</v>
      </c>
      <c r="B216" s="1" t="n">
        <v>14</v>
      </c>
      <c r="C216" s="1" t="n">
        <v>1.5</v>
      </c>
      <c r="D216" s="1" t="n">
        <v>1.1817</v>
      </c>
      <c r="E216" s="1" t="n">
        <v>0.0537795</v>
      </c>
      <c r="F216" s="1" t="n">
        <v>0.00015458</v>
      </c>
      <c r="G216" s="1" t="s">
        <v>42</v>
      </c>
      <c r="H216" s="1" t="n">
        <v>29.9</v>
      </c>
      <c r="I216" s="1" t="n">
        <v>334.6</v>
      </c>
      <c r="J216" s="1" t="n">
        <v>0</v>
      </c>
      <c r="K216" s="1" t="n">
        <v>55.5</v>
      </c>
      <c r="L216" s="1" t="n">
        <v>0</v>
      </c>
      <c r="M216" s="1" t="n">
        <v>0</v>
      </c>
      <c r="N216" s="1" t="s">
        <v>210</v>
      </c>
      <c r="O216" s="1"/>
      <c r="P216" s="1"/>
      <c r="Q216" s="1"/>
      <c r="R216" s="1"/>
      <c r="Z216" s="0" t="n">
        <f aca="false">I216+0</f>
        <v>334.6</v>
      </c>
      <c r="AB216" s="0" t="n">
        <f aca="false">IF(Z216&gt;360,Z216-360,Z216+0)</f>
        <v>334.6</v>
      </c>
    </row>
    <row r="217" customFormat="false" ht="15.8" hidden="false" customHeight="false" outlineLevel="0" collapsed="false">
      <c r="A217" s="1" t="n">
        <v>12</v>
      </c>
      <c r="B217" s="1" t="n">
        <v>13</v>
      </c>
      <c r="C217" s="1" t="n">
        <v>8.6</v>
      </c>
      <c r="D217" s="1" t="n">
        <v>1.3043</v>
      </c>
      <c r="E217" s="1" t="n">
        <v>0.311649</v>
      </c>
      <c r="F217" s="1" t="n">
        <v>0.000895783</v>
      </c>
      <c r="G217" s="1" t="s">
        <v>42</v>
      </c>
      <c r="H217" s="1" t="n">
        <v>14.8</v>
      </c>
      <c r="I217" s="1" t="n">
        <v>2.8</v>
      </c>
      <c r="J217" s="1" t="n">
        <v>-10.2</v>
      </c>
      <c r="K217" s="1" t="n">
        <v>70.3</v>
      </c>
      <c r="L217" s="1" t="n">
        <v>0</v>
      </c>
      <c r="M217" s="1" t="n">
        <v>0</v>
      </c>
      <c r="N217" s="1" t="s">
        <v>213</v>
      </c>
      <c r="O217" s="1"/>
      <c r="P217" s="1"/>
      <c r="Q217" s="1"/>
      <c r="R217" s="1"/>
      <c r="Z217" s="0" t="n">
        <f aca="false">I217+0</f>
        <v>2.8</v>
      </c>
      <c r="AB217" s="0" t="n">
        <f aca="false">IF(Z217&gt;360,Z217-360,Z217+0)</f>
        <v>2.8</v>
      </c>
    </row>
    <row r="218" customFormat="false" ht="15.8" hidden="false" customHeight="false" outlineLevel="0" collapsed="false">
      <c r="A218" s="1" t="n">
        <v>12</v>
      </c>
      <c r="B218" s="1" t="n">
        <v>13</v>
      </c>
      <c r="C218" s="1" t="n">
        <v>3.9</v>
      </c>
      <c r="D218" s="1" t="n">
        <v>1.1177</v>
      </c>
      <c r="E218" s="1" t="n">
        <v>0.13915</v>
      </c>
      <c r="F218" s="1" t="n">
        <v>0.000399963</v>
      </c>
      <c r="G218" s="1" t="s">
        <v>27</v>
      </c>
      <c r="H218" s="1" t="n">
        <v>19</v>
      </c>
      <c r="I218" s="1" t="n">
        <v>359.8</v>
      </c>
      <c r="J218" s="1" t="n">
        <v>-13.1</v>
      </c>
      <c r="K218" s="1"/>
      <c r="L218" s="1" t="n">
        <v>0</v>
      </c>
      <c r="M218" s="1" t="n">
        <v>0</v>
      </c>
      <c r="N218" s="1" t="s">
        <v>213</v>
      </c>
      <c r="O218" s="1"/>
      <c r="P218" s="1"/>
      <c r="Q218" s="1"/>
      <c r="R218" s="1"/>
      <c r="Z218" s="0" t="n">
        <f aca="false">I218+0</f>
        <v>359.8</v>
      </c>
      <c r="AB218" s="0" t="n">
        <f aca="false">IF(Z218&gt;360,Z218-360,Z218+0)</f>
        <v>359.8</v>
      </c>
    </row>
    <row r="219" customFormat="false" ht="15.8" hidden="false" customHeight="false" outlineLevel="0" collapsed="false">
      <c r="A219" s="1" t="n">
        <v>12</v>
      </c>
      <c r="B219" s="1" t="n">
        <v>12</v>
      </c>
      <c r="C219" s="1" t="n">
        <v>0.9</v>
      </c>
      <c r="D219" s="1" t="n">
        <v>1.0272</v>
      </c>
      <c r="E219" s="1" t="n">
        <v>0.0324889</v>
      </c>
      <c r="F219" s="1" t="n">
        <v>9.3384E-005</v>
      </c>
      <c r="G219" s="1" t="s">
        <v>42</v>
      </c>
      <c r="H219" s="1" t="n">
        <v>22.3</v>
      </c>
      <c r="I219" s="1" t="n">
        <v>13.7</v>
      </c>
      <c r="J219" s="1" t="n">
        <v>0</v>
      </c>
      <c r="K219" s="1" t="n">
        <v>19</v>
      </c>
      <c r="L219" s="1" t="n">
        <v>0</v>
      </c>
      <c r="M219" s="1" t="n">
        <v>0</v>
      </c>
      <c r="N219" s="1" t="s">
        <v>214</v>
      </c>
      <c r="O219" s="1"/>
      <c r="P219" s="1"/>
      <c r="Q219" s="1"/>
      <c r="R219" s="1"/>
      <c r="Z219" s="0" t="n">
        <f aca="false">I219+0</f>
        <v>13.7</v>
      </c>
      <c r="AB219" s="0" t="n">
        <f aca="false">IF(Z219&gt;360,Z219-360,Z219+0)</f>
        <v>13.7</v>
      </c>
    </row>
    <row r="220" customFormat="false" ht="15.8" hidden="false" customHeight="false" outlineLevel="0" collapsed="false">
      <c r="A220" s="1" t="n">
        <v>12</v>
      </c>
      <c r="B220" s="1" t="n">
        <v>14</v>
      </c>
      <c r="C220" s="1" t="n">
        <v>0.7</v>
      </c>
      <c r="D220" s="1" t="n">
        <v>1.0009</v>
      </c>
      <c r="E220" s="1" t="n">
        <v>0.0256116</v>
      </c>
      <c r="F220" s="1" t="n">
        <v>7.36163E-005</v>
      </c>
      <c r="G220" s="1" t="s">
        <v>27</v>
      </c>
      <c r="H220" s="1" t="n">
        <v>72.8</v>
      </c>
      <c r="I220" s="1" t="n">
        <v>215.8</v>
      </c>
      <c r="J220" s="1" t="n">
        <v>0</v>
      </c>
      <c r="K220" s="1"/>
      <c r="L220" s="1" t="n">
        <v>0</v>
      </c>
      <c r="M220" s="1" t="n">
        <v>0</v>
      </c>
      <c r="N220" s="1" t="s">
        <v>215</v>
      </c>
      <c r="O220" s="1"/>
      <c r="P220" s="1"/>
      <c r="Q220" s="1"/>
      <c r="R220" s="1"/>
      <c r="Z220" s="0" t="n">
        <f aca="false">I220+0</f>
        <v>215.8</v>
      </c>
      <c r="AB220" s="0" t="n">
        <f aca="false">IF(Z220&gt;360,Z220-360,Z220+0)</f>
        <v>215.8</v>
      </c>
    </row>
    <row r="221" customFormat="false" ht="15.8" hidden="false" customHeight="false" outlineLevel="0" collapsed="false">
      <c r="A221" s="1" t="n">
        <v>12</v>
      </c>
      <c r="B221" s="1" t="n">
        <v>14</v>
      </c>
      <c r="C221" s="1" t="n">
        <v>7.6</v>
      </c>
      <c r="D221" s="1" t="n">
        <v>1.4965</v>
      </c>
      <c r="E221" s="1" t="n">
        <v>0.274149</v>
      </c>
      <c r="F221" s="1" t="n">
        <v>0.000787997</v>
      </c>
      <c r="G221" s="1" t="s">
        <v>27</v>
      </c>
      <c r="H221" s="1" t="n">
        <v>10.5</v>
      </c>
      <c r="I221" s="1" t="n">
        <v>270.2</v>
      </c>
      <c r="J221" s="1" t="n">
        <v>-50.3</v>
      </c>
      <c r="K221" s="1"/>
      <c r="L221" s="1" t="n">
        <v>0</v>
      </c>
      <c r="M221" s="1" t="n">
        <v>0</v>
      </c>
      <c r="N221" s="1" t="s">
        <v>215</v>
      </c>
      <c r="O221" s="1"/>
      <c r="P221" s="1"/>
      <c r="Q221" s="1"/>
      <c r="R221" s="1"/>
      <c r="Z221" s="0" t="n">
        <f aca="false">I221+0</f>
        <v>270.2</v>
      </c>
      <c r="AB221" s="0" t="n">
        <f aca="false">IF(Z221&gt;360,Z221-360,Z221+0)</f>
        <v>270.2</v>
      </c>
    </row>
    <row r="222" customFormat="false" ht="15.8" hidden="false" customHeight="false" outlineLevel="0" collapsed="false">
      <c r="A222" s="1" t="n">
        <v>12</v>
      </c>
      <c r="B222" s="1" t="n">
        <v>13</v>
      </c>
      <c r="C222" s="1" t="n">
        <v>1</v>
      </c>
      <c r="D222" s="1" t="n">
        <v>1.1326</v>
      </c>
      <c r="E222" s="1" t="n">
        <v>0.0365765</v>
      </c>
      <c r="F222" s="1" t="n">
        <v>0.000105133</v>
      </c>
      <c r="G222" s="1" t="s">
        <v>42</v>
      </c>
      <c r="H222" s="1" t="n">
        <v>13.6</v>
      </c>
      <c r="I222" s="1" t="n">
        <v>268.5</v>
      </c>
      <c r="J222" s="1" t="n">
        <v>-60.7</v>
      </c>
      <c r="K222" s="1" t="n">
        <v>72.8</v>
      </c>
      <c r="L222" s="1" t="n">
        <v>0</v>
      </c>
      <c r="M222" s="1" t="n">
        <v>0</v>
      </c>
      <c r="N222" s="1" t="s">
        <v>216</v>
      </c>
      <c r="O222" s="1"/>
      <c r="P222" s="1"/>
      <c r="Q222" s="1"/>
      <c r="R222" s="1"/>
      <c r="Z222" s="0" t="n">
        <f aca="false">I222+0</f>
        <v>268.5</v>
      </c>
      <c r="AB222" s="0" t="n">
        <f aca="false">IF(Z222&gt;360,Z222-360,Z222+0)</f>
        <v>268.5</v>
      </c>
    </row>
    <row r="223" customFormat="false" ht="15.8" hidden="false" customHeight="false" outlineLevel="0" collapsed="false">
      <c r="A223" s="1" t="n">
        <v>12</v>
      </c>
      <c r="B223" s="1" t="n">
        <v>13</v>
      </c>
      <c r="C223" s="1" t="n">
        <v>3.6</v>
      </c>
      <c r="D223" s="1" t="n">
        <v>1.2831</v>
      </c>
      <c r="E223" s="1" t="n">
        <v>0.13027</v>
      </c>
      <c r="F223" s="1" t="n">
        <v>0.000374438</v>
      </c>
      <c r="G223" s="1" t="s">
        <v>27</v>
      </c>
      <c r="H223" s="1" t="n">
        <v>60.7</v>
      </c>
      <c r="I223" s="1" t="n">
        <v>162.5</v>
      </c>
      <c r="J223" s="1" t="n">
        <v>-33.7</v>
      </c>
      <c r="K223" s="1"/>
      <c r="L223" s="1" t="n">
        <v>0</v>
      </c>
      <c r="M223" s="1" t="n">
        <v>0</v>
      </c>
      <c r="N223" s="1" t="s">
        <v>216</v>
      </c>
      <c r="O223" s="1"/>
      <c r="P223" s="1"/>
      <c r="Q223" s="1"/>
      <c r="R223" s="1"/>
      <c r="Z223" s="0" t="n">
        <f aca="false">I223+0</f>
        <v>162.5</v>
      </c>
      <c r="AB223" s="0" t="n">
        <f aca="false">IF(Z223&gt;360,Z223-360,Z223+0)</f>
        <v>162.5</v>
      </c>
    </row>
    <row r="224" customFormat="false" ht="15.8" hidden="false" customHeight="false" outlineLevel="0" collapsed="false">
      <c r="A224" s="1" t="n">
        <v>12</v>
      </c>
      <c r="B224" s="1" t="n">
        <v>13</v>
      </c>
      <c r="C224" s="1" t="n">
        <v>1.4</v>
      </c>
      <c r="D224" s="1" t="n">
        <v>1.1436</v>
      </c>
      <c r="E224" s="1" t="n">
        <v>0.0496563</v>
      </c>
      <c r="F224" s="1" t="n">
        <v>0.000142729</v>
      </c>
      <c r="G224" s="1" t="s">
        <v>27</v>
      </c>
      <c r="H224" s="1" t="n">
        <v>56.5</v>
      </c>
      <c r="I224" s="1" t="n">
        <v>14.6</v>
      </c>
      <c r="J224" s="1" t="n">
        <v>-40.5</v>
      </c>
      <c r="K224" s="1"/>
      <c r="L224" s="1" t="n">
        <v>0</v>
      </c>
      <c r="M224" s="1" t="n">
        <v>0</v>
      </c>
      <c r="N224" s="1" t="s">
        <v>216</v>
      </c>
      <c r="O224" s="1"/>
      <c r="P224" s="1"/>
      <c r="Q224" s="1"/>
      <c r="R224" s="1"/>
      <c r="Z224" s="0" t="n">
        <f aca="false">I224+0</f>
        <v>14.6</v>
      </c>
      <c r="AB224" s="0" t="n">
        <f aca="false">IF(Z224&gt;360,Z224-360,Z224+0)</f>
        <v>14.6</v>
      </c>
    </row>
    <row r="225" customFormat="false" ht="15.8" hidden="false" customHeight="false" outlineLevel="0" collapsed="false">
      <c r="A225" s="1" t="n">
        <v>12</v>
      </c>
      <c r="B225" s="1" t="n">
        <v>12</v>
      </c>
      <c r="C225" s="1" t="n">
        <v>0.8</v>
      </c>
      <c r="D225" s="1" t="n">
        <v>1.0401</v>
      </c>
      <c r="E225" s="1" t="n">
        <v>0.030444</v>
      </c>
      <c r="F225" s="1" t="n">
        <v>8.75063E-005</v>
      </c>
      <c r="G225" s="1" t="s">
        <v>42</v>
      </c>
      <c r="H225" s="1" t="n">
        <v>79.8</v>
      </c>
      <c r="I225" s="1" t="n">
        <v>264</v>
      </c>
      <c r="J225" s="1" t="n">
        <v>-74.3</v>
      </c>
      <c r="K225" s="1" t="n">
        <v>60.7</v>
      </c>
      <c r="L225" s="1" t="n">
        <v>0</v>
      </c>
      <c r="M225" s="1" t="n">
        <v>0</v>
      </c>
      <c r="N225" s="1" t="s">
        <v>214</v>
      </c>
      <c r="O225" s="1"/>
      <c r="P225" s="1"/>
      <c r="Q225" s="1"/>
      <c r="R225" s="1"/>
      <c r="Z225" s="0" t="n">
        <f aca="false">I225+0</f>
        <v>264</v>
      </c>
      <c r="AB225" s="0" t="n">
        <f aca="false">IF(Z225&gt;360,Z225-360,Z225+0)</f>
        <v>264</v>
      </c>
    </row>
    <row r="226" customFormat="false" ht="15.8" hidden="false" customHeight="false" outlineLevel="0" collapsed="false">
      <c r="A226" s="1" t="n">
        <v>12</v>
      </c>
      <c r="B226" s="1" t="n">
        <v>11</v>
      </c>
      <c r="C226" s="1" t="n">
        <v>4.9</v>
      </c>
      <c r="D226" s="1" t="n">
        <v>1.1455</v>
      </c>
      <c r="E226" s="1" t="n">
        <v>0.175393</v>
      </c>
      <c r="F226" s="1" t="n">
        <v>0.000504138</v>
      </c>
      <c r="G226" s="1" t="s">
        <v>42</v>
      </c>
      <c r="H226" s="1" t="n">
        <v>48.8</v>
      </c>
      <c r="I226" s="1" t="n">
        <v>354</v>
      </c>
      <c r="J226" s="1" t="n">
        <v>-10.6</v>
      </c>
      <c r="K226" s="1" t="n">
        <v>79.8</v>
      </c>
      <c r="L226" s="1" t="n">
        <v>0</v>
      </c>
      <c r="M226" s="1" t="n">
        <v>0</v>
      </c>
      <c r="N226" s="1" t="s">
        <v>206</v>
      </c>
      <c r="O226" s="1"/>
      <c r="P226" s="1"/>
      <c r="Q226" s="1"/>
      <c r="R226" s="1"/>
      <c r="Z226" s="0" t="n">
        <f aca="false">I226+0</f>
        <v>354</v>
      </c>
      <c r="AB226" s="0" t="n">
        <f aca="false">IF(Z226&gt;360,Z226-360,Z226+0)</f>
        <v>354</v>
      </c>
    </row>
    <row r="227" customFormat="false" ht="15.8" hidden="false" customHeight="false" outlineLevel="0" collapsed="false">
      <c r="A227" s="1" t="n">
        <v>12</v>
      </c>
      <c r="B227" s="1" t="n">
        <v>10</v>
      </c>
      <c r="C227" s="1" t="n">
        <v>1.5</v>
      </c>
      <c r="D227" s="1" t="n">
        <v>1.2219</v>
      </c>
      <c r="E227" s="1" t="n">
        <v>0.0531522</v>
      </c>
      <c r="F227" s="1" t="n">
        <v>0.000152777</v>
      </c>
      <c r="G227" s="1" t="s">
        <v>42</v>
      </c>
      <c r="H227" s="1" t="n">
        <v>52.3</v>
      </c>
      <c r="I227" s="1" t="n">
        <v>37.9</v>
      </c>
      <c r="J227" s="1" t="n">
        <v>-40.4</v>
      </c>
      <c r="K227" s="1" t="n">
        <v>93.6</v>
      </c>
      <c r="L227" s="1" t="n">
        <v>0</v>
      </c>
      <c r="M227" s="1" t="n">
        <v>0</v>
      </c>
      <c r="N227" s="1" t="s">
        <v>205</v>
      </c>
      <c r="O227" s="1"/>
      <c r="P227" s="1"/>
      <c r="Q227" s="1"/>
      <c r="R227" s="1"/>
      <c r="Z227" s="0" t="n">
        <f aca="false">I227+0</f>
        <v>37.9</v>
      </c>
      <c r="AB227" s="0" t="n">
        <f aca="false">IF(Z227&gt;360,Z227-360,Z227+0)</f>
        <v>37.9</v>
      </c>
    </row>
    <row r="228" customFormat="false" ht="15.8" hidden="false" customHeight="false" outlineLevel="0" collapsed="false">
      <c r="A228" s="1" t="n">
        <v>12</v>
      </c>
      <c r="B228" s="1" t="n">
        <v>9</v>
      </c>
      <c r="C228" s="1" t="n">
        <v>2.9</v>
      </c>
      <c r="D228" s="1" t="n">
        <v>1.3884</v>
      </c>
      <c r="E228" s="1" t="n">
        <v>0.103205</v>
      </c>
      <c r="F228" s="1" t="n">
        <v>0.000296647</v>
      </c>
      <c r="G228" s="1" t="s">
        <v>42</v>
      </c>
      <c r="H228" s="1" t="n">
        <v>22.2</v>
      </c>
      <c r="I228" s="1" t="n">
        <v>26.7</v>
      </c>
      <c r="J228" s="1" t="n">
        <v>10.9</v>
      </c>
      <c r="K228" s="1" t="n">
        <v>55.8</v>
      </c>
      <c r="L228" s="1" t="n">
        <v>0</v>
      </c>
      <c r="M228" s="1" t="n">
        <v>0</v>
      </c>
      <c r="N228" s="1" t="s">
        <v>204</v>
      </c>
      <c r="O228" s="1"/>
      <c r="P228" s="1"/>
      <c r="Q228" s="1"/>
      <c r="R228" s="1"/>
      <c r="Z228" s="0" t="n">
        <f aca="false">I228+0</f>
        <v>26.7</v>
      </c>
      <c r="AB228" s="0" t="n">
        <f aca="false">IF(Z228&gt;360,Z228-360,Z228+0)</f>
        <v>26.7</v>
      </c>
    </row>
    <row r="229" customFormat="false" ht="15.8" hidden="false" customHeight="false" outlineLevel="0" collapsed="false">
      <c r="A229" s="1" t="n">
        <v>12</v>
      </c>
      <c r="B229" s="1" t="n">
        <v>8</v>
      </c>
      <c r="C229" s="1" t="n">
        <v>2.3</v>
      </c>
      <c r="D229" s="1" t="n">
        <v>1.1239</v>
      </c>
      <c r="E229" s="1" t="n">
        <v>0.0812933</v>
      </c>
      <c r="F229" s="1" t="n">
        <v>0.000233664</v>
      </c>
      <c r="G229" s="1" t="s">
        <v>42</v>
      </c>
      <c r="H229" s="1" t="n">
        <v>15.3</v>
      </c>
      <c r="I229" s="1" t="n">
        <v>27.2</v>
      </c>
      <c r="J229" s="1" t="n">
        <v>-11.2</v>
      </c>
      <c r="K229" s="1" t="n">
        <v>47.7</v>
      </c>
      <c r="L229" s="1" t="n">
        <v>0</v>
      </c>
      <c r="M229" s="1" t="n">
        <v>0</v>
      </c>
      <c r="N229" s="1" t="s">
        <v>217</v>
      </c>
      <c r="O229" s="1"/>
      <c r="P229" s="1"/>
      <c r="Q229" s="1"/>
      <c r="R229" s="1"/>
      <c r="Z229" s="0" t="n">
        <f aca="false">I229+0</f>
        <v>27.2</v>
      </c>
      <c r="AB229" s="0" t="n">
        <f aca="false">IF(Z229&gt;360,Z229-360,Z229+0)</f>
        <v>27.2</v>
      </c>
    </row>
    <row r="230" customFormat="false" ht="15.8" hidden="false" customHeight="false" outlineLevel="0" collapsed="false">
      <c r="A230" s="1" t="n">
        <v>12</v>
      </c>
      <c r="B230" s="1" t="n">
        <v>11</v>
      </c>
      <c r="C230" s="1" t="n">
        <v>2.1</v>
      </c>
      <c r="D230" s="1" t="n">
        <v>1.1323</v>
      </c>
      <c r="E230" s="1" t="n">
        <v>0.0757535</v>
      </c>
      <c r="F230" s="1" t="n">
        <v>0.000217741</v>
      </c>
      <c r="G230" s="1" t="s">
        <v>27</v>
      </c>
      <c r="H230" s="1" t="n">
        <v>94.6</v>
      </c>
      <c r="I230" s="1" t="n">
        <v>220.4</v>
      </c>
      <c r="J230" s="1" t="n">
        <v>12.2</v>
      </c>
      <c r="K230" s="1"/>
      <c r="L230" s="1" t="n">
        <v>0</v>
      </c>
      <c r="M230" s="1" t="n">
        <v>0</v>
      </c>
      <c r="N230" s="1" t="s">
        <v>218</v>
      </c>
      <c r="O230" s="1"/>
      <c r="P230" s="1"/>
      <c r="Q230" s="1"/>
      <c r="R230" s="1"/>
      <c r="Z230" s="0" t="n">
        <f aca="false">I230+0</f>
        <v>220.4</v>
      </c>
      <c r="AB230" s="0" t="n">
        <f aca="false">IF(Z230&gt;360,Z230-360,Z230+0)</f>
        <v>220.4</v>
      </c>
    </row>
    <row r="231" customFormat="false" ht="15.8" hidden="false" customHeight="false" outlineLevel="0" collapsed="false">
      <c r="A231" s="1" t="n">
        <v>12</v>
      </c>
      <c r="B231" s="1" t="n">
        <v>11</v>
      </c>
      <c r="C231" s="1" t="n">
        <v>8.9</v>
      </c>
      <c r="D231" s="1" t="n">
        <v>1.294</v>
      </c>
      <c r="E231" s="1" t="n">
        <v>0.322043</v>
      </c>
      <c r="F231" s="1" t="n">
        <v>0.00092566</v>
      </c>
      <c r="G231" s="1" t="s">
        <v>27</v>
      </c>
      <c r="H231" s="1" t="n">
        <v>55</v>
      </c>
      <c r="I231" s="1" t="n">
        <v>9.9</v>
      </c>
      <c r="J231" s="1" t="n">
        <v>-23.3</v>
      </c>
      <c r="K231" s="1"/>
      <c r="L231" s="1" t="n">
        <v>0</v>
      </c>
      <c r="M231" s="1" t="n">
        <v>0</v>
      </c>
      <c r="N231" s="1" t="s">
        <v>218</v>
      </c>
      <c r="O231" s="1"/>
      <c r="P231" s="1"/>
      <c r="Q231" s="1"/>
      <c r="R231" s="1"/>
      <c r="Z231" s="0" t="n">
        <f aca="false">I231+0</f>
        <v>9.9</v>
      </c>
      <c r="AB231" s="0" t="n">
        <f aca="false">IF(Z231&gt;360,Z231-360,Z231+0)</f>
        <v>9.9</v>
      </c>
    </row>
    <row r="232" customFormat="false" ht="15.8" hidden="false" customHeight="false" outlineLevel="0" collapsed="false">
      <c r="A232" s="1" t="n">
        <v>12</v>
      </c>
      <c r="B232" s="1" t="n">
        <v>10</v>
      </c>
      <c r="C232" s="1" t="n">
        <v>1.7</v>
      </c>
      <c r="D232" s="1" t="n">
        <v>1.2833</v>
      </c>
      <c r="E232" s="1" t="n">
        <v>0.0618689</v>
      </c>
      <c r="F232" s="1" t="n">
        <v>0.000177832</v>
      </c>
      <c r="G232" s="1" t="s">
        <v>42</v>
      </c>
      <c r="H232" s="1" t="n">
        <v>77.7</v>
      </c>
      <c r="I232" s="1" t="n">
        <v>307.2</v>
      </c>
      <c r="J232" s="1" t="n">
        <v>-35.8</v>
      </c>
      <c r="K232" s="1" t="n">
        <v>94.6</v>
      </c>
      <c r="L232" s="1" t="n">
        <v>0</v>
      </c>
      <c r="M232" s="1" t="n">
        <v>0</v>
      </c>
      <c r="N232" s="1" t="s">
        <v>219</v>
      </c>
      <c r="O232" s="1"/>
      <c r="P232" s="1"/>
      <c r="Q232" s="1"/>
      <c r="R232" s="1"/>
      <c r="Z232" s="0" t="n">
        <f aca="false">I232+0</f>
        <v>307.2</v>
      </c>
      <c r="AB232" s="0" t="n">
        <f aca="false">IF(Z232&gt;360,Z232-360,Z232+0)</f>
        <v>307.2</v>
      </c>
    </row>
    <row r="233" customFormat="false" ht="15.8" hidden="false" customHeight="false" outlineLevel="0" collapsed="false">
      <c r="A233" s="1" t="n">
        <v>12</v>
      </c>
      <c r="B233" s="1" t="n">
        <v>10</v>
      </c>
      <c r="C233" s="1" t="n">
        <v>1.5</v>
      </c>
      <c r="D233" s="1" t="n">
        <v>1.2081</v>
      </c>
      <c r="E233" s="1" t="n">
        <v>0.0545067</v>
      </c>
      <c r="F233" s="1" t="n">
        <v>0.00015667</v>
      </c>
      <c r="G233" s="1" t="s">
        <v>27</v>
      </c>
      <c r="H233" s="1" t="n">
        <v>112.7</v>
      </c>
      <c r="I233" s="1" t="n">
        <v>81.9</v>
      </c>
      <c r="J233" s="1" t="n">
        <v>38.6</v>
      </c>
      <c r="K233" s="1"/>
      <c r="L233" s="1" t="n">
        <v>0</v>
      </c>
      <c r="M233" s="1" t="n">
        <v>0</v>
      </c>
      <c r="N233" s="1" t="s">
        <v>219</v>
      </c>
      <c r="O233" s="1"/>
      <c r="P233" s="1"/>
      <c r="Q233" s="1"/>
      <c r="R233" s="1"/>
      <c r="Z233" s="0" t="n">
        <f aca="false">I233+0</f>
        <v>81.9</v>
      </c>
      <c r="AB233" s="0" t="n">
        <f aca="false">IF(Z233&gt;360,Z233-360,Z233+0)</f>
        <v>81.9</v>
      </c>
    </row>
    <row r="234" customFormat="false" ht="15.8" hidden="false" customHeight="false" outlineLevel="0" collapsed="false">
      <c r="A234" s="1" t="n">
        <v>12</v>
      </c>
      <c r="B234" s="1" t="n">
        <v>12</v>
      </c>
      <c r="C234" s="1" t="n">
        <v>2.3</v>
      </c>
      <c r="D234" s="1" t="n">
        <v>1.3256</v>
      </c>
      <c r="E234" s="1" t="n">
        <v>0.0842491</v>
      </c>
      <c r="F234" s="1" t="n">
        <v>0.00024216</v>
      </c>
      <c r="G234" s="1" t="s">
        <v>27</v>
      </c>
      <c r="H234" s="1" t="n">
        <v>17.7</v>
      </c>
      <c r="I234" s="1" t="n">
        <v>187.5</v>
      </c>
      <c r="J234" s="1" t="n">
        <v>-26.3</v>
      </c>
      <c r="K234" s="1"/>
      <c r="L234" s="1" t="n">
        <v>0</v>
      </c>
      <c r="M234" s="1" t="n">
        <v>0</v>
      </c>
      <c r="N234" s="1" t="s">
        <v>220</v>
      </c>
      <c r="O234" s="1"/>
      <c r="P234" s="1"/>
      <c r="Q234" s="1"/>
      <c r="R234" s="1"/>
      <c r="Z234" s="0" t="n">
        <f aca="false">I234+0</f>
        <v>187.5</v>
      </c>
      <c r="AB234" s="0" t="n">
        <f aca="false">IF(Z234&gt;360,Z234-360,Z234+0)</f>
        <v>187.5</v>
      </c>
    </row>
    <row r="235" customFormat="false" ht="15.8" hidden="false" customHeight="false" outlineLevel="0" collapsed="false">
      <c r="A235" s="1" t="n">
        <v>12</v>
      </c>
      <c r="B235" s="1" t="n">
        <v>13</v>
      </c>
      <c r="C235" s="1" t="n">
        <v>7.5</v>
      </c>
      <c r="D235" s="1" t="n">
        <v>1.4913</v>
      </c>
      <c r="E235" s="1" t="n">
        <v>0.27149</v>
      </c>
      <c r="F235" s="1" t="n">
        <v>0.000780354</v>
      </c>
      <c r="G235" s="1" t="s">
        <v>27</v>
      </c>
      <c r="H235" s="1" t="n">
        <v>50.9</v>
      </c>
      <c r="I235" s="1" t="n">
        <v>247.8</v>
      </c>
      <c r="J235" s="1" t="n">
        <v>-58.3</v>
      </c>
      <c r="K235" s="1"/>
      <c r="L235" s="1" t="n">
        <v>0</v>
      </c>
      <c r="M235" s="1" t="n">
        <v>0</v>
      </c>
      <c r="N235" s="1" t="s">
        <v>221</v>
      </c>
      <c r="O235" s="1"/>
      <c r="P235" s="1"/>
      <c r="Q235" s="1"/>
      <c r="R235" s="1"/>
      <c r="Z235" s="0" t="n">
        <f aca="false">I235+0</f>
        <v>247.8</v>
      </c>
      <c r="AB235" s="0" t="n">
        <f aca="false">IF(Z235&gt;360,Z235-360,Z235+0)</f>
        <v>247.8</v>
      </c>
    </row>
    <row r="236" customFormat="false" ht="15.8" hidden="false" customHeight="false" outlineLevel="0" collapsed="false">
      <c r="A236" s="1" t="n">
        <v>12</v>
      </c>
      <c r="B236" s="1" t="n">
        <v>13</v>
      </c>
      <c r="C236" s="1" t="n">
        <v>1.5</v>
      </c>
      <c r="D236" s="1" t="n">
        <v>1.19</v>
      </c>
      <c r="E236" s="1" t="n">
        <v>0.0527703</v>
      </c>
      <c r="F236" s="1" t="n">
        <v>0.00015168</v>
      </c>
      <c r="G236" s="1" t="s">
        <v>27</v>
      </c>
      <c r="H236" s="1" t="n">
        <v>84.2</v>
      </c>
      <c r="I236" s="1" t="n">
        <v>22.8</v>
      </c>
      <c r="J236" s="1" t="n">
        <v>-39.4</v>
      </c>
      <c r="K236" s="1"/>
      <c r="L236" s="1" t="n">
        <v>0</v>
      </c>
      <c r="M236" s="1" t="n">
        <v>0</v>
      </c>
      <c r="N236" s="1" t="s">
        <v>221</v>
      </c>
      <c r="O236" s="1"/>
      <c r="P236" s="1"/>
      <c r="Q236" s="1"/>
      <c r="R236" s="1"/>
      <c r="Z236" s="0" t="n">
        <f aca="false">I236+0</f>
        <v>22.8</v>
      </c>
      <c r="AB236" s="0" t="n">
        <f aca="false">IF(Z236&gt;360,Z236-360,Z236+0)</f>
        <v>22.8</v>
      </c>
    </row>
    <row r="237" customFormat="false" ht="15.8" hidden="false" customHeight="false" outlineLevel="0" collapsed="false">
      <c r="A237" s="1" t="n">
        <v>12</v>
      </c>
      <c r="B237" s="1" t="n">
        <v>12</v>
      </c>
      <c r="C237" s="1" t="n">
        <v>11.4</v>
      </c>
      <c r="D237" s="1" t="n">
        <v>1.4391</v>
      </c>
      <c r="E237" s="1" t="n">
        <v>0.411338</v>
      </c>
      <c r="F237" s="1" t="n">
        <v>0.00118232</v>
      </c>
      <c r="G237" s="1" t="s">
        <v>42</v>
      </c>
      <c r="H237" s="1" t="n">
        <v>30.8</v>
      </c>
      <c r="I237" s="1" t="n">
        <v>158.1</v>
      </c>
      <c r="J237" s="1" t="n">
        <v>-47.7</v>
      </c>
      <c r="K237" s="1" t="n">
        <v>84.2</v>
      </c>
      <c r="L237" s="1" t="n">
        <v>0</v>
      </c>
      <c r="M237" s="1" t="n">
        <v>0</v>
      </c>
      <c r="N237" s="1" t="s">
        <v>220</v>
      </c>
      <c r="O237" s="1"/>
      <c r="P237" s="1"/>
      <c r="Q237" s="1"/>
      <c r="R237" s="1"/>
      <c r="Z237" s="0" t="n">
        <f aca="false">I237+0</f>
        <v>158.1</v>
      </c>
      <c r="AB237" s="0" t="n">
        <f aca="false">IF(Z237&gt;360,Z237-360,Z237+0)</f>
        <v>158.1</v>
      </c>
    </row>
    <row r="238" customFormat="false" ht="15.8" hidden="false" customHeight="false" outlineLevel="0" collapsed="false">
      <c r="A238" s="1" t="n">
        <v>12</v>
      </c>
      <c r="B238" s="1" t="n">
        <v>11</v>
      </c>
      <c r="C238" s="1" t="n">
        <v>2.9</v>
      </c>
      <c r="D238" s="1" t="n">
        <v>1.1671</v>
      </c>
      <c r="E238" s="1" t="n">
        <v>0.103222</v>
      </c>
      <c r="F238" s="1" t="n">
        <v>0.000296695</v>
      </c>
      <c r="G238" s="1" t="s">
        <v>42</v>
      </c>
      <c r="H238" s="1" t="n">
        <v>54</v>
      </c>
      <c r="I238" s="1" t="n">
        <v>170.3</v>
      </c>
      <c r="J238" s="1" t="n">
        <v>-18.6</v>
      </c>
      <c r="K238" s="1" t="n">
        <v>30.8</v>
      </c>
      <c r="L238" s="1" t="n">
        <v>0</v>
      </c>
      <c r="M238" s="1" t="n">
        <v>0</v>
      </c>
      <c r="N238" s="1" t="s">
        <v>222</v>
      </c>
      <c r="O238" s="1"/>
      <c r="P238" s="1"/>
      <c r="Q238" s="1"/>
      <c r="R238" s="1"/>
      <c r="Z238" s="0" t="n">
        <f aca="false">I238+0</f>
        <v>170.3</v>
      </c>
      <c r="AB238" s="0" t="n">
        <f aca="false">IF(Z238&gt;360,Z238-360,Z238+0)</f>
        <v>170.3</v>
      </c>
    </row>
    <row r="239" customFormat="false" ht="15.8" hidden="false" customHeight="false" outlineLevel="0" collapsed="false">
      <c r="A239" s="1" t="n">
        <v>12</v>
      </c>
      <c r="B239" s="1" t="n">
        <v>14</v>
      </c>
      <c r="C239" s="1" t="n">
        <v>1.4</v>
      </c>
      <c r="D239" s="1" t="n">
        <v>1.153</v>
      </c>
      <c r="E239" s="1" t="n">
        <v>0.0492126</v>
      </c>
      <c r="F239" s="1" t="n">
        <v>0.000141454</v>
      </c>
      <c r="G239" s="1" t="s">
        <v>27</v>
      </c>
      <c r="H239" s="1" t="n">
        <v>41.7</v>
      </c>
      <c r="I239" s="1" t="n">
        <v>1.2</v>
      </c>
      <c r="J239" s="1" t="n">
        <v>-19.3</v>
      </c>
      <c r="K239" s="1"/>
      <c r="L239" s="1" t="n">
        <v>0</v>
      </c>
      <c r="M239" s="1" t="n">
        <v>0</v>
      </c>
      <c r="N239" s="1" t="s">
        <v>223</v>
      </c>
      <c r="O239" s="1"/>
      <c r="P239" s="1"/>
      <c r="Q239" s="1"/>
      <c r="R239" s="1"/>
      <c r="Z239" s="0" t="n">
        <f aca="false">I239+0</f>
        <v>1.2</v>
      </c>
      <c r="AB239" s="0" t="n">
        <f aca="false">IF(Z239&gt;360,Z239-360,Z239+0)</f>
        <v>1.2</v>
      </c>
    </row>
    <row r="240" customFormat="false" ht="15.8" hidden="false" customHeight="false" outlineLevel="0" collapsed="false">
      <c r="A240" s="1" t="n">
        <v>12</v>
      </c>
      <c r="B240" s="1" t="n">
        <v>14</v>
      </c>
      <c r="C240" s="1" t="n">
        <v>2</v>
      </c>
      <c r="D240" s="1" t="n">
        <v>1.2346</v>
      </c>
      <c r="E240" s="1" t="n">
        <v>0.0731987</v>
      </c>
      <c r="F240" s="1" t="n">
        <v>0.000210398</v>
      </c>
      <c r="G240" s="1" t="s">
        <v>27</v>
      </c>
      <c r="H240" s="1" t="n">
        <v>14.1</v>
      </c>
      <c r="I240" s="1" t="n">
        <v>33.2</v>
      </c>
      <c r="J240" s="1" t="n">
        <v>13.7</v>
      </c>
      <c r="K240" s="1"/>
      <c r="L240" s="1" t="n">
        <v>0</v>
      </c>
      <c r="M240" s="1" t="n">
        <v>0</v>
      </c>
      <c r="N240" s="1" t="s">
        <v>223</v>
      </c>
      <c r="O240" s="1"/>
      <c r="P240" s="1"/>
      <c r="Q240" s="1"/>
      <c r="R240" s="1"/>
      <c r="Z240" s="0" t="n">
        <f aca="false">I240+0</f>
        <v>33.2</v>
      </c>
      <c r="AB240" s="0" t="n">
        <f aca="false">IF(Z240&gt;360,Z240-360,Z240+0)</f>
        <v>33.2</v>
      </c>
    </row>
    <row r="241" customFormat="false" ht="15.8" hidden="false" customHeight="false" outlineLevel="0" collapsed="false">
      <c r="A241" s="1" t="n">
        <v>12</v>
      </c>
      <c r="B241" s="1" t="n">
        <v>13</v>
      </c>
      <c r="C241" s="1" t="n">
        <v>2.9</v>
      </c>
      <c r="D241" s="1" t="n">
        <v>1.1693</v>
      </c>
      <c r="E241" s="1" t="n">
        <v>0.104686</v>
      </c>
      <c r="F241" s="1" t="n">
        <v>0.000300902</v>
      </c>
      <c r="G241" s="1" t="s">
        <v>42</v>
      </c>
      <c r="H241" s="1" t="n">
        <v>41.1</v>
      </c>
      <c r="I241" s="1" t="n">
        <v>19.4</v>
      </c>
      <c r="J241" s="1" t="n">
        <v>18.3</v>
      </c>
      <c r="K241" s="1" t="n">
        <v>41.7</v>
      </c>
      <c r="L241" s="1" t="n">
        <v>0</v>
      </c>
      <c r="M241" s="1" t="n">
        <v>0</v>
      </c>
      <c r="N241" s="1" t="s">
        <v>224</v>
      </c>
      <c r="O241" s="1"/>
      <c r="P241" s="1"/>
      <c r="Q241" s="1"/>
      <c r="R241" s="1"/>
      <c r="Z241" s="0" t="n">
        <f aca="false">I241+0</f>
        <v>19.4</v>
      </c>
      <c r="AB241" s="0" t="n">
        <f aca="false">IF(Z241&gt;360,Z241-360,Z241+0)</f>
        <v>19.4</v>
      </c>
    </row>
    <row r="242" customFormat="false" ht="15.8" hidden="false" customHeight="false" outlineLevel="0" collapsed="false">
      <c r="A242" s="1" t="n">
        <v>12</v>
      </c>
      <c r="B242" s="1" t="n">
        <v>13</v>
      </c>
      <c r="C242" s="1" t="n">
        <v>3.2</v>
      </c>
      <c r="D242" s="1" t="n">
        <v>1.1823</v>
      </c>
      <c r="E242" s="1" t="n">
        <v>0.116679</v>
      </c>
      <c r="F242" s="1" t="n">
        <v>0.000335375</v>
      </c>
      <c r="G242" s="1" t="s">
        <v>27</v>
      </c>
      <c r="H242" s="1" t="n">
        <v>78</v>
      </c>
      <c r="I242" s="1" t="n">
        <v>54.8</v>
      </c>
      <c r="J242" s="1" t="n">
        <v>45.5</v>
      </c>
      <c r="K242" s="1"/>
      <c r="L242" s="1" t="n">
        <v>0</v>
      </c>
      <c r="M242" s="1" t="n">
        <v>0</v>
      </c>
      <c r="N242" s="1" t="s">
        <v>224</v>
      </c>
      <c r="O242" s="1"/>
      <c r="P242" s="1"/>
      <c r="Q242" s="1"/>
      <c r="R242" s="1"/>
      <c r="Z242" s="0" t="n">
        <f aca="false">I242+0</f>
        <v>54.8</v>
      </c>
      <c r="AB242" s="0" t="n">
        <f aca="false">IF(Z242&gt;360,Z242-360,Z242+0)</f>
        <v>54.8</v>
      </c>
    </row>
    <row r="243" customFormat="false" ht="15.8" hidden="false" customHeight="false" outlineLevel="0" collapsed="false">
      <c r="A243" s="1" t="n">
        <v>12</v>
      </c>
      <c r="B243" s="1" t="n">
        <v>12</v>
      </c>
      <c r="C243" s="1" t="n">
        <v>0.5</v>
      </c>
      <c r="D243" s="1" t="n">
        <v>1.0233</v>
      </c>
      <c r="E243" s="1" t="n">
        <v>0.0178728</v>
      </c>
      <c r="F243" s="1" t="n">
        <v>5.13725E-005</v>
      </c>
      <c r="G243" s="1" t="s">
        <v>42</v>
      </c>
      <c r="H243" s="1" t="n">
        <v>85.2</v>
      </c>
      <c r="I243" s="1" t="n">
        <v>342</v>
      </c>
      <c r="J243" s="1" t="n">
        <v>0</v>
      </c>
      <c r="K243" s="1" t="n">
        <v>78</v>
      </c>
      <c r="L243" s="1" t="n">
        <v>0</v>
      </c>
      <c r="M243" s="1" t="n">
        <v>0</v>
      </c>
      <c r="N243" s="1" t="s">
        <v>225</v>
      </c>
      <c r="O243" s="1"/>
      <c r="P243" s="1"/>
      <c r="Q243" s="1"/>
      <c r="R243" s="1"/>
      <c r="Z243" s="0" t="n">
        <f aca="false">I243+0</f>
        <v>342</v>
      </c>
      <c r="AB243" s="0" t="n">
        <f aca="false">IF(Z243&gt;360,Z243-360,Z243+0)</f>
        <v>342</v>
      </c>
    </row>
    <row r="244" customFormat="false" ht="15.8" hidden="false" customHeight="false" outlineLevel="0" collapsed="false">
      <c r="A244" s="1" t="n">
        <v>12</v>
      </c>
      <c r="B244" s="1" t="n">
        <v>13</v>
      </c>
      <c r="C244" s="1" t="n">
        <v>4</v>
      </c>
      <c r="D244" s="1" t="n">
        <v>1.2528</v>
      </c>
      <c r="E244" s="1" t="n">
        <v>0.144257</v>
      </c>
      <c r="F244" s="1" t="n">
        <v>0.000414642</v>
      </c>
      <c r="G244" s="1" t="s">
        <v>27</v>
      </c>
      <c r="H244" s="1" t="n">
        <v>45.5</v>
      </c>
      <c r="I244" s="1" t="n">
        <v>12.3</v>
      </c>
      <c r="J244" s="1" t="n">
        <v>-21.5</v>
      </c>
      <c r="K244" s="1"/>
      <c r="L244" s="1" t="n">
        <v>0</v>
      </c>
      <c r="M244" s="1" t="n">
        <v>0</v>
      </c>
      <c r="N244" s="1" t="s">
        <v>226</v>
      </c>
      <c r="O244" s="1"/>
      <c r="P244" s="1"/>
      <c r="Q244" s="1"/>
      <c r="R244" s="1"/>
      <c r="Z244" s="0" t="n">
        <f aca="false">I244+0</f>
        <v>12.3</v>
      </c>
      <c r="AB244" s="0" t="n">
        <f aca="false">IF(Z244&gt;360,Z244-360,Z244+0)</f>
        <v>12.3</v>
      </c>
    </row>
    <row r="245" customFormat="false" ht="15.8" hidden="false" customHeight="false" outlineLevel="0" collapsed="false">
      <c r="A245" s="1" t="n">
        <v>12</v>
      </c>
      <c r="B245" s="1" t="n">
        <v>13</v>
      </c>
      <c r="C245" s="1" t="n">
        <v>2.7</v>
      </c>
      <c r="D245" s="1" t="n">
        <v>1.1439</v>
      </c>
      <c r="E245" s="1" t="n">
        <v>0.0966391</v>
      </c>
      <c r="F245" s="1" t="n">
        <v>0.000277773</v>
      </c>
      <c r="G245" s="1" t="s">
        <v>27</v>
      </c>
      <c r="H245" s="1" t="n">
        <v>99.6</v>
      </c>
      <c r="I245" s="1" t="n">
        <v>163.4</v>
      </c>
      <c r="J245" s="1" t="n">
        <v>0</v>
      </c>
      <c r="K245" s="1"/>
      <c r="L245" s="1" t="n">
        <v>0</v>
      </c>
      <c r="M245" s="1" t="n">
        <v>0</v>
      </c>
      <c r="N245" s="1" t="s">
        <v>226</v>
      </c>
      <c r="O245" s="1"/>
      <c r="P245" s="1"/>
      <c r="Q245" s="1"/>
      <c r="R245" s="1"/>
      <c r="Z245" s="0" t="n">
        <f aca="false">I245+0</f>
        <v>163.4</v>
      </c>
      <c r="AB245" s="0" t="n">
        <f aca="false">IF(Z245&gt;360,Z245-360,Z245+0)</f>
        <v>163.4</v>
      </c>
    </row>
    <row r="246" customFormat="false" ht="15.8" hidden="false" customHeight="false" outlineLevel="0" collapsed="false">
      <c r="A246" s="1" t="n">
        <v>12</v>
      </c>
      <c r="B246" s="1" t="n">
        <v>12</v>
      </c>
      <c r="C246" s="1" t="n">
        <v>2.7</v>
      </c>
      <c r="D246" s="1" t="n">
        <v>1.2747</v>
      </c>
      <c r="E246" s="1" t="n">
        <v>0.098656</v>
      </c>
      <c r="F246" s="1" t="n">
        <v>0.00028357</v>
      </c>
      <c r="G246" s="1" t="s">
        <v>42</v>
      </c>
      <c r="H246" s="1" t="n">
        <v>3.9</v>
      </c>
      <c r="I246" s="1" t="n">
        <v>59.4</v>
      </c>
      <c r="J246" s="1" t="n">
        <v>-46.7</v>
      </c>
      <c r="K246" s="1" t="n">
        <v>99.6</v>
      </c>
      <c r="L246" s="1" t="n">
        <v>0</v>
      </c>
      <c r="M246" s="1" t="n">
        <v>0</v>
      </c>
      <c r="N246" s="1" t="s">
        <v>225</v>
      </c>
      <c r="O246" s="1"/>
      <c r="P246" s="1"/>
      <c r="Q246" s="1"/>
      <c r="R246" s="1"/>
      <c r="Z246" s="0" t="n">
        <f aca="false">I246+0</f>
        <v>59.4</v>
      </c>
      <c r="AB246" s="0" t="n">
        <f aca="false">IF(Z246&gt;360,Z246-360,Z246+0)</f>
        <v>59.4</v>
      </c>
    </row>
    <row r="247" customFormat="false" ht="15.8" hidden="false" customHeight="false" outlineLevel="0" collapsed="false">
      <c r="A247" s="1" t="n">
        <v>12</v>
      </c>
      <c r="B247" s="1" t="n">
        <v>11</v>
      </c>
      <c r="C247" s="1" t="n">
        <v>1.9</v>
      </c>
      <c r="D247" s="1" t="n">
        <v>1.2277</v>
      </c>
      <c r="E247" s="1" t="n">
        <v>0.0698402</v>
      </c>
      <c r="F247" s="1" t="n">
        <v>0.000200744</v>
      </c>
      <c r="G247" s="1" t="s">
        <v>42</v>
      </c>
      <c r="H247" s="1" t="n">
        <v>33.3</v>
      </c>
      <c r="I247" s="1" t="n">
        <v>64.8</v>
      </c>
      <c r="J247" s="1" t="n">
        <v>-48</v>
      </c>
      <c r="K247" s="1" t="n">
        <v>85.2</v>
      </c>
      <c r="L247" s="1" t="n">
        <v>0</v>
      </c>
      <c r="M247" s="1" t="n">
        <v>0</v>
      </c>
      <c r="N247" s="1" t="s">
        <v>222</v>
      </c>
      <c r="O247" s="1"/>
      <c r="P247" s="1"/>
      <c r="Q247" s="1"/>
      <c r="R247" s="1"/>
      <c r="Z247" s="0" t="n">
        <f aca="false">I247+0</f>
        <v>64.8</v>
      </c>
      <c r="AB247" s="0" t="n">
        <f aca="false">IF(Z247&gt;360,Z247-360,Z247+0)</f>
        <v>64.8</v>
      </c>
    </row>
    <row r="248" customFormat="false" ht="15.8" hidden="false" customHeight="false" outlineLevel="0" collapsed="false">
      <c r="A248" s="1" t="n">
        <v>12</v>
      </c>
      <c r="B248" s="1" t="n">
        <v>10</v>
      </c>
      <c r="C248" s="1" t="n">
        <v>2.3</v>
      </c>
      <c r="D248" s="1" t="n">
        <v>1.3605</v>
      </c>
      <c r="E248" s="1" t="n">
        <v>0.0844122</v>
      </c>
      <c r="F248" s="1" t="n">
        <v>0.000242629</v>
      </c>
      <c r="G248" s="1" t="s">
        <v>42</v>
      </c>
      <c r="H248" s="1" t="n">
        <v>26.5</v>
      </c>
      <c r="I248" s="1" t="n">
        <v>112.6</v>
      </c>
      <c r="J248" s="1" t="n">
        <v>-42.9</v>
      </c>
      <c r="K248" s="1" t="n">
        <v>54</v>
      </c>
      <c r="L248" s="1" t="n">
        <v>0</v>
      </c>
      <c r="M248" s="1" t="n">
        <v>0</v>
      </c>
      <c r="N248" s="1" t="s">
        <v>219</v>
      </c>
      <c r="O248" s="1"/>
      <c r="P248" s="1"/>
      <c r="Q248" s="1"/>
      <c r="R248" s="1"/>
      <c r="Z248" s="0" t="n">
        <f aca="false">I248+0</f>
        <v>112.6</v>
      </c>
      <c r="AB248" s="0" t="n">
        <f aca="false">IF(Z248&gt;360,Z248-360,Z248+0)</f>
        <v>112.6</v>
      </c>
    </row>
    <row r="249" customFormat="false" ht="15.8" hidden="false" customHeight="false" outlineLevel="0" collapsed="false">
      <c r="A249" s="1" t="n">
        <v>12</v>
      </c>
      <c r="B249" s="1" t="n">
        <v>9</v>
      </c>
      <c r="C249" s="1" t="n">
        <v>3.5</v>
      </c>
      <c r="D249" s="1" t="n">
        <v>1.1639</v>
      </c>
      <c r="E249" s="1" t="n">
        <v>0.125282</v>
      </c>
      <c r="F249" s="1" t="n">
        <v>0.000360101</v>
      </c>
      <c r="G249" s="1" t="s">
        <v>42</v>
      </c>
      <c r="H249" s="1" t="n">
        <v>53.4</v>
      </c>
      <c r="I249" s="1" t="n">
        <v>135.4</v>
      </c>
      <c r="J249" s="1" t="n">
        <v>-66.4</v>
      </c>
      <c r="K249" s="1" t="n">
        <v>112.7</v>
      </c>
      <c r="L249" s="1" t="n">
        <v>0</v>
      </c>
      <c r="M249" s="1" t="n">
        <v>0</v>
      </c>
      <c r="N249" s="1" t="s">
        <v>227</v>
      </c>
      <c r="O249" s="1"/>
      <c r="P249" s="1"/>
      <c r="Q249" s="1"/>
      <c r="R249" s="1"/>
      <c r="Z249" s="0" t="n">
        <f aca="false">I249+0</f>
        <v>135.4</v>
      </c>
      <c r="AB249" s="0" t="n">
        <f aca="false">IF(Z249&gt;360,Z249-360,Z249+0)</f>
        <v>135.4</v>
      </c>
    </row>
    <row r="250" customFormat="false" ht="15.8" hidden="false" customHeight="false" outlineLevel="0" collapsed="false">
      <c r="A250" s="1" t="n">
        <v>12</v>
      </c>
      <c r="B250" s="1" t="n">
        <v>10</v>
      </c>
      <c r="C250" s="1" t="n">
        <v>3.6</v>
      </c>
      <c r="D250" s="1" t="n">
        <v>1.2069</v>
      </c>
      <c r="E250" s="1" t="n">
        <v>0.131744</v>
      </c>
      <c r="F250" s="1" t="n">
        <v>0.000378677</v>
      </c>
      <c r="G250" s="1" t="s">
        <v>27</v>
      </c>
      <c r="H250" s="1" t="n">
        <v>26.2</v>
      </c>
      <c r="I250" s="1" t="n">
        <v>355</v>
      </c>
      <c r="J250" s="1" t="n">
        <v>-15</v>
      </c>
      <c r="K250" s="1"/>
      <c r="L250" s="1" t="n">
        <v>0</v>
      </c>
      <c r="M250" s="1" t="n">
        <v>0</v>
      </c>
      <c r="N250" s="1" t="s">
        <v>228</v>
      </c>
      <c r="O250" s="1"/>
      <c r="P250" s="1"/>
      <c r="Q250" s="1"/>
      <c r="R250" s="1"/>
      <c r="Z250" s="0" t="n">
        <f aca="false">I250+0</f>
        <v>355</v>
      </c>
      <c r="AB250" s="0" t="n">
        <f aca="false">IF(Z250&gt;360,Z250-360,Z250+0)</f>
        <v>355</v>
      </c>
    </row>
    <row r="251" customFormat="false" ht="15.8" hidden="false" customHeight="false" outlineLevel="0" collapsed="false">
      <c r="A251" s="1" t="n">
        <v>12</v>
      </c>
      <c r="B251" s="1" t="n">
        <v>10</v>
      </c>
      <c r="C251" s="1" t="n">
        <v>10.7</v>
      </c>
      <c r="D251" s="1" t="n">
        <v>1.2325</v>
      </c>
      <c r="E251" s="1" t="n">
        <v>0.387728</v>
      </c>
      <c r="F251" s="1" t="n">
        <v>0.00111446</v>
      </c>
      <c r="G251" s="1" t="s">
        <v>27</v>
      </c>
      <c r="H251" s="1" t="n">
        <v>5.1</v>
      </c>
      <c r="I251" s="1" t="n">
        <v>16.9</v>
      </c>
      <c r="J251" s="1" t="n">
        <v>-5.1</v>
      </c>
      <c r="K251" s="1"/>
      <c r="L251" s="1" t="n">
        <v>0</v>
      </c>
      <c r="M251" s="1" t="n">
        <v>0</v>
      </c>
      <c r="N251" s="1" t="s">
        <v>228</v>
      </c>
      <c r="O251" s="1"/>
      <c r="P251" s="1"/>
      <c r="Q251" s="1"/>
      <c r="R251" s="1"/>
      <c r="Z251" s="0" t="n">
        <f aca="false">I251+0</f>
        <v>16.9</v>
      </c>
      <c r="AB251" s="0" t="n">
        <f aca="false">IF(Z251&gt;360,Z251-360,Z251+0)</f>
        <v>16.9</v>
      </c>
    </row>
    <row r="252" customFormat="false" ht="15.8" hidden="false" customHeight="false" outlineLevel="0" collapsed="false">
      <c r="A252" s="1" t="n">
        <v>12</v>
      </c>
      <c r="B252" s="1" t="n">
        <v>9</v>
      </c>
      <c r="C252" s="1" t="n">
        <v>3.6</v>
      </c>
      <c r="D252" s="1" t="n">
        <v>1.0469</v>
      </c>
      <c r="E252" s="1" t="n">
        <v>0.129841</v>
      </c>
      <c r="F252" s="1" t="n">
        <v>0.000373206</v>
      </c>
      <c r="G252" s="1" t="s">
        <v>42</v>
      </c>
      <c r="H252" s="1" t="n">
        <v>56.1</v>
      </c>
      <c r="I252" s="1" t="n">
        <v>16.7</v>
      </c>
      <c r="J252" s="1" t="n">
        <v>0</v>
      </c>
      <c r="K252" s="1" t="n">
        <v>26.2</v>
      </c>
      <c r="L252" s="1" t="n">
        <v>0</v>
      </c>
      <c r="M252" s="1" t="n">
        <v>0</v>
      </c>
      <c r="N252" s="1" t="s">
        <v>227</v>
      </c>
      <c r="O252" s="1"/>
      <c r="P252" s="1"/>
      <c r="Q252" s="1"/>
      <c r="R252" s="1"/>
      <c r="Z252" s="0" t="n">
        <f aca="false">I252+0</f>
        <v>16.7</v>
      </c>
      <c r="AB252" s="0" t="n">
        <f aca="false">IF(Z252&gt;360,Z252-360,Z252+0)</f>
        <v>16.7</v>
      </c>
    </row>
    <row r="253" customFormat="false" ht="15.8" hidden="false" customHeight="false" outlineLevel="0" collapsed="false">
      <c r="A253" s="1" t="n">
        <v>12</v>
      </c>
      <c r="B253" s="1" t="n">
        <v>8</v>
      </c>
      <c r="C253" s="1" t="n">
        <v>2.9</v>
      </c>
      <c r="D253" s="1" t="n">
        <v>1.2313</v>
      </c>
      <c r="E253" s="1" t="n">
        <v>0.105823</v>
      </c>
      <c r="F253" s="1" t="n">
        <v>0.00030417</v>
      </c>
      <c r="G253" s="1" t="s">
        <v>42</v>
      </c>
      <c r="H253" s="1" t="n">
        <v>45.8</v>
      </c>
      <c r="I253" s="1" t="n">
        <v>3.3</v>
      </c>
      <c r="J253" s="1" t="n">
        <v>-55</v>
      </c>
      <c r="K253" s="1" t="n">
        <v>56.1</v>
      </c>
      <c r="L253" s="1" t="n">
        <v>0</v>
      </c>
      <c r="M253" s="1" t="n">
        <v>0</v>
      </c>
      <c r="N253" s="1" t="s">
        <v>217</v>
      </c>
      <c r="O253" s="1"/>
      <c r="P253" s="1"/>
      <c r="Q253" s="1"/>
      <c r="R253" s="1"/>
      <c r="Z253" s="0" t="n">
        <f aca="false">I253+0</f>
        <v>3.3</v>
      </c>
      <c r="AB253" s="0" t="n">
        <f aca="false">IF(Z253&gt;360,Z253-360,Z253+0)</f>
        <v>3.3</v>
      </c>
    </row>
    <row r="254" customFormat="false" ht="15.8" hidden="false" customHeight="false" outlineLevel="0" collapsed="false">
      <c r="A254" s="1" t="n">
        <v>12</v>
      </c>
      <c r="B254" s="1" t="n">
        <v>7</v>
      </c>
      <c r="C254" s="1" t="n">
        <v>3.2</v>
      </c>
      <c r="D254" s="1" t="n">
        <v>1.3725</v>
      </c>
      <c r="E254" s="1" t="n">
        <v>0.114549</v>
      </c>
      <c r="F254" s="1" t="n">
        <v>0.000329253</v>
      </c>
      <c r="G254" s="1" t="s">
        <v>42</v>
      </c>
      <c r="H254" s="1" t="n">
        <v>73.3</v>
      </c>
      <c r="I254" s="1" t="n">
        <v>11.6</v>
      </c>
      <c r="J254" s="1" t="n">
        <v>-9.7</v>
      </c>
      <c r="K254" s="1" t="n">
        <v>45.8</v>
      </c>
      <c r="L254" s="1" t="n">
        <v>0</v>
      </c>
      <c r="M254" s="1" t="n">
        <v>0</v>
      </c>
      <c r="N254" s="1" t="s">
        <v>203</v>
      </c>
      <c r="O254" s="1"/>
      <c r="P254" s="1"/>
      <c r="Q254" s="1"/>
      <c r="R254" s="1"/>
      <c r="Z254" s="0" t="n">
        <f aca="false">I254+0</f>
        <v>11.6</v>
      </c>
      <c r="AB254" s="0" t="n">
        <f aca="false">IF(Z254&gt;360,Z254-360,Z254+0)</f>
        <v>11.6</v>
      </c>
    </row>
    <row r="255" customFormat="false" ht="15.8" hidden="false" customHeight="false" outlineLevel="0" collapsed="false">
      <c r="A255" s="1" t="n">
        <v>12</v>
      </c>
      <c r="B255" s="1" t="n">
        <v>6</v>
      </c>
      <c r="C255" s="1" t="n">
        <v>4.5</v>
      </c>
      <c r="D255" s="1" t="n">
        <v>1.1417</v>
      </c>
      <c r="E255" s="1" t="n">
        <v>0.163871</v>
      </c>
      <c r="F255" s="1" t="n">
        <v>0.00047102</v>
      </c>
      <c r="G255" s="1" t="s">
        <v>42</v>
      </c>
      <c r="H255" s="1" t="n">
        <v>107</v>
      </c>
      <c r="I255" s="1" t="n">
        <v>321.7</v>
      </c>
      <c r="J255" s="1" t="n">
        <v>-79</v>
      </c>
      <c r="K255" s="1" t="n">
        <v>73.3</v>
      </c>
      <c r="L255" s="1" t="n">
        <v>0</v>
      </c>
      <c r="M255" s="1" t="n">
        <v>0</v>
      </c>
      <c r="N255" s="1" t="s">
        <v>202</v>
      </c>
      <c r="O255" s="1"/>
      <c r="P255" s="1"/>
      <c r="Q255" s="1"/>
      <c r="R255" s="1"/>
      <c r="Z255" s="0" t="n">
        <f aca="false">I255+0</f>
        <v>321.7</v>
      </c>
      <c r="AB255" s="0" t="n">
        <f aca="false">IF(Z255&gt;360,Z255-360,Z255+0)</f>
        <v>321.7</v>
      </c>
    </row>
    <row r="256" customFormat="false" ht="15.8" hidden="false" customHeight="false" outlineLevel="0" collapsed="false">
      <c r="A256" s="1" t="n">
        <v>12</v>
      </c>
      <c r="B256" s="1" t="n">
        <v>5</v>
      </c>
      <c r="C256" s="1" t="n">
        <v>1.2</v>
      </c>
      <c r="D256" s="1" t="n">
        <v>1.1182</v>
      </c>
      <c r="E256" s="1" t="n">
        <v>0.0424984</v>
      </c>
      <c r="F256" s="1" t="n">
        <v>0.000122155</v>
      </c>
      <c r="G256" s="1" t="s">
        <v>42</v>
      </c>
      <c r="H256" s="1" t="n">
        <v>8.7</v>
      </c>
      <c r="I256" s="1" t="n">
        <v>28.1</v>
      </c>
      <c r="J256" s="1" t="n">
        <v>21.8</v>
      </c>
      <c r="K256" s="1" t="n">
        <v>107</v>
      </c>
      <c r="L256" s="1" t="n">
        <v>0</v>
      </c>
      <c r="M256" s="1" t="n">
        <v>0</v>
      </c>
      <c r="N256" s="1" t="s">
        <v>201</v>
      </c>
      <c r="O256" s="1"/>
      <c r="P256" s="1"/>
      <c r="Q256" s="1"/>
      <c r="R256" s="1"/>
      <c r="Z256" s="0" t="n">
        <f aca="false">I256+0</f>
        <v>28.1</v>
      </c>
      <c r="AB256" s="0" t="n">
        <f aca="false">IF(Z256&gt;360,Z256-360,Z256+0)</f>
        <v>28.1</v>
      </c>
    </row>
    <row r="257" customFormat="false" ht="15.8" hidden="false" customHeight="false" outlineLevel="0" collapsed="false">
      <c r="A257" s="1" t="n">
        <v>12</v>
      </c>
      <c r="B257" s="1" t="n">
        <v>4</v>
      </c>
      <c r="C257" s="1" t="n">
        <v>1.4</v>
      </c>
      <c r="D257" s="1" t="n">
        <v>1.175</v>
      </c>
      <c r="E257" s="1" t="n">
        <v>0.0513541</v>
      </c>
      <c r="F257" s="1" t="n">
        <v>0.000147609</v>
      </c>
      <c r="G257" s="1" t="s">
        <v>42</v>
      </c>
      <c r="H257" s="1" t="n">
        <v>61.3</v>
      </c>
      <c r="I257" s="1" t="n">
        <v>19.3</v>
      </c>
      <c r="J257" s="1" t="n">
        <v>18.8</v>
      </c>
      <c r="K257" s="1" t="n">
        <v>37</v>
      </c>
      <c r="L257" s="1" t="n">
        <v>0</v>
      </c>
      <c r="M257" s="1" t="n">
        <v>0</v>
      </c>
      <c r="N257" s="1" t="s">
        <v>200</v>
      </c>
      <c r="O257" s="1"/>
      <c r="P257" s="1"/>
      <c r="Q257" s="1"/>
      <c r="R257" s="1"/>
      <c r="Z257" s="0" t="n">
        <f aca="false">I257+0</f>
        <v>19.3</v>
      </c>
      <c r="AB257" s="0" t="n">
        <f aca="false">IF(Z257&gt;360,Z257-360,Z257+0)</f>
        <v>19.3</v>
      </c>
    </row>
    <row r="258" customFormat="false" ht="15.8" hidden="false" customHeight="false" outlineLevel="0" collapsed="false">
      <c r="A258" s="1" t="n">
        <v>12</v>
      </c>
      <c r="B258" s="1" t="n">
        <v>6</v>
      </c>
      <c r="C258" s="1" t="n">
        <v>0.8</v>
      </c>
      <c r="D258" s="1" t="n">
        <v>1.0898</v>
      </c>
      <c r="E258" s="1" t="n">
        <v>0.0271233</v>
      </c>
      <c r="F258" s="1" t="n">
        <v>7.79614E-005</v>
      </c>
      <c r="G258" s="1" t="s">
        <v>27</v>
      </c>
      <c r="H258" s="1" t="n">
        <v>47.4</v>
      </c>
      <c r="I258" s="1" t="n">
        <v>234.1</v>
      </c>
      <c r="J258" s="1" t="n">
        <v>-34.5</v>
      </c>
      <c r="K258" s="1"/>
      <c r="L258" s="1" t="n">
        <v>0</v>
      </c>
      <c r="M258" s="1" t="n">
        <v>0</v>
      </c>
      <c r="N258" s="1" t="s">
        <v>229</v>
      </c>
      <c r="O258" s="1"/>
      <c r="P258" s="1"/>
      <c r="Q258" s="1"/>
      <c r="R258" s="1"/>
      <c r="Z258" s="0" t="n">
        <f aca="false">I258+0</f>
        <v>234.1</v>
      </c>
      <c r="AB258" s="0" t="n">
        <f aca="false">IF(Z258&gt;360,Z258-360,Z258+0)</f>
        <v>234.1</v>
      </c>
    </row>
    <row r="259" customFormat="false" ht="15.8" hidden="false" customHeight="false" outlineLevel="0" collapsed="false">
      <c r="A259" s="1" t="n">
        <v>12</v>
      </c>
      <c r="B259" s="1" t="n">
        <v>6</v>
      </c>
      <c r="C259" s="1" t="n">
        <v>1.4</v>
      </c>
      <c r="D259" s="1" t="n">
        <v>1.2098</v>
      </c>
      <c r="E259" s="1" t="n">
        <v>0.050738</v>
      </c>
      <c r="F259" s="1" t="n">
        <v>0.000145838</v>
      </c>
      <c r="G259" s="1" t="s">
        <v>27</v>
      </c>
      <c r="H259" s="1" t="n">
        <v>42.3</v>
      </c>
      <c r="I259" s="1" t="n">
        <v>142.1</v>
      </c>
      <c r="J259" s="1" t="n">
        <v>-42.2</v>
      </c>
      <c r="K259" s="1"/>
      <c r="L259" s="1" t="n">
        <v>0</v>
      </c>
      <c r="M259" s="1" t="n">
        <v>0</v>
      </c>
      <c r="N259" s="1" t="s">
        <v>229</v>
      </c>
      <c r="O259" s="1"/>
      <c r="P259" s="1"/>
      <c r="Q259" s="1"/>
      <c r="R259" s="1"/>
      <c r="Z259" s="0" t="n">
        <f aca="false">I259+0</f>
        <v>142.1</v>
      </c>
      <c r="AB259" s="0" t="n">
        <f aca="false">IF(Z259&gt;360,Z259-360,Z259+0)</f>
        <v>142.1</v>
      </c>
    </row>
    <row r="260" customFormat="false" ht="15.8" hidden="false" customHeight="false" outlineLevel="0" collapsed="false">
      <c r="A260" s="1" t="n">
        <v>12</v>
      </c>
      <c r="B260" s="1" t="n">
        <v>5</v>
      </c>
      <c r="C260" s="1" t="n">
        <v>5</v>
      </c>
      <c r="D260" s="1" t="n">
        <v>1.3716</v>
      </c>
      <c r="E260" s="1" t="n">
        <v>0.182392</v>
      </c>
      <c r="F260" s="1" t="n">
        <v>0.000524254</v>
      </c>
      <c r="G260" s="1" t="s">
        <v>42</v>
      </c>
      <c r="H260" s="1" t="n">
        <v>56.2</v>
      </c>
      <c r="I260" s="1" t="n">
        <v>183.6</v>
      </c>
      <c r="J260" s="1" t="n">
        <v>-18.5</v>
      </c>
      <c r="K260" s="1" t="n">
        <v>47.4</v>
      </c>
      <c r="L260" s="1" t="n">
        <v>0</v>
      </c>
      <c r="M260" s="1" t="n">
        <v>0</v>
      </c>
      <c r="N260" s="1" t="s">
        <v>230</v>
      </c>
      <c r="O260" s="1"/>
      <c r="P260" s="1"/>
      <c r="Q260" s="1"/>
      <c r="R260" s="1"/>
      <c r="Z260" s="0" t="n">
        <f aca="false">I260+0</f>
        <v>183.6</v>
      </c>
      <c r="AB260" s="0" t="n">
        <f aca="false">IF(Z260&gt;360,Z260-360,Z260+0)</f>
        <v>183.6</v>
      </c>
    </row>
    <row r="261" customFormat="false" ht="15.8" hidden="false" customHeight="false" outlineLevel="0" collapsed="false">
      <c r="A261" s="1" t="n">
        <v>12</v>
      </c>
      <c r="B261" s="1" t="n">
        <v>10</v>
      </c>
      <c r="C261" s="1" t="n">
        <v>4.7</v>
      </c>
      <c r="D261" s="1" t="n">
        <v>1.325</v>
      </c>
      <c r="E261" s="1" t="n">
        <v>0.169993</v>
      </c>
      <c r="F261" s="1" t="n">
        <v>0.000488617</v>
      </c>
      <c r="G261" s="1" t="s">
        <v>27</v>
      </c>
      <c r="H261" s="1" t="n">
        <v>72</v>
      </c>
      <c r="I261" s="1" t="n">
        <v>262.7</v>
      </c>
      <c r="J261" s="1" t="n">
        <v>81.2</v>
      </c>
      <c r="K261" s="1"/>
      <c r="L261" s="1" t="n">
        <v>0</v>
      </c>
      <c r="M261" s="1" t="n">
        <v>0</v>
      </c>
      <c r="N261" s="1" t="s">
        <v>231</v>
      </c>
      <c r="O261" s="1"/>
      <c r="P261" s="1"/>
      <c r="Q261" s="1"/>
      <c r="R261" s="1"/>
      <c r="Z261" s="0" t="n">
        <f aca="false">I261+0</f>
        <v>262.7</v>
      </c>
      <c r="AB261" s="0" t="n">
        <f aca="false">IF(Z261&gt;360,Z261-360,Z261+0)</f>
        <v>262.7</v>
      </c>
    </row>
    <row r="262" customFormat="false" ht="15.8" hidden="false" customHeight="false" outlineLevel="0" collapsed="false">
      <c r="A262" s="1" t="n">
        <v>12</v>
      </c>
      <c r="B262" s="1" t="n">
        <v>10</v>
      </c>
      <c r="C262" s="1" t="n">
        <v>0.9</v>
      </c>
      <c r="D262" s="1" t="n">
        <v>1.0167</v>
      </c>
      <c r="E262" s="1" t="n">
        <v>0.0334905</v>
      </c>
      <c r="F262" s="1" t="n">
        <v>9.62629E-005</v>
      </c>
      <c r="G262" s="1" t="s">
        <v>27</v>
      </c>
      <c r="H262" s="1" t="n">
        <v>15</v>
      </c>
      <c r="I262" s="1" t="n">
        <v>213.7</v>
      </c>
      <c r="J262" s="1" t="n">
        <v>0</v>
      </c>
      <c r="K262" s="1"/>
      <c r="L262" s="1" t="n">
        <v>0</v>
      </c>
      <c r="M262" s="1" t="n">
        <v>0</v>
      </c>
      <c r="N262" s="1" t="s">
        <v>231</v>
      </c>
      <c r="O262" s="1"/>
      <c r="P262" s="1"/>
      <c r="Q262" s="1"/>
      <c r="R262" s="1"/>
      <c r="Z262" s="0" t="n">
        <f aca="false">I262+0</f>
        <v>213.7</v>
      </c>
      <c r="AB262" s="0" t="n">
        <f aca="false">IF(Z262&gt;360,Z262-360,Z262+0)</f>
        <v>213.7</v>
      </c>
    </row>
    <row r="263" customFormat="false" ht="15.8" hidden="false" customHeight="false" outlineLevel="0" collapsed="false">
      <c r="A263" s="1" t="n">
        <v>12</v>
      </c>
      <c r="B263" s="1" t="n">
        <v>9</v>
      </c>
      <c r="C263" s="1" t="n">
        <v>4.4</v>
      </c>
      <c r="D263" s="1" t="n">
        <v>1.2838</v>
      </c>
      <c r="E263" s="1" t="n">
        <v>0.157984</v>
      </c>
      <c r="F263" s="1" t="n">
        <v>0.000454098</v>
      </c>
      <c r="G263" s="1" t="s">
        <v>42</v>
      </c>
      <c r="H263" s="1" t="n">
        <v>69.3</v>
      </c>
      <c r="I263" s="1" t="n">
        <v>206.6</v>
      </c>
      <c r="J263" s="1" t="n">
        <v>13.2</v>
      </c>
      <c r="K263" s="1" t="n">
        <v>72</v>
      </c>
      <c r="L263" s="1" t="n">
        <v>0</v>
      </c>
      <c r="M263" s="1" t="n">
        <v>0</v>
      </c>
      <c r="N263" s="1" t="s">
        <v>232</v>
      </c>
      <c r="O263" s="1"/>
      <c r="P263" s="1"/>
      <c r="Q263" s="1"/>
      <c r="R263" s="1"/>
      <c r="Z263" s="0" t="n">
        <f aca="false">I263+0</f>
        <v>206.6</v>
      </c>
      <c r="AB263" s="0" t="n">
        <f aca="false">IF(Z263&gt;360,Z263-360,Z263+0)</f>
        <v>206.6</v>
      </c>
    </row>
    <row r="264" customFormat="false" ht="15.8" hidden="false" customHeight="false" outlineLevel="0" collapsed="false">
      <c r="A264" s="1" t="n">
        <v>12</v>
      </c>
      <c r="B264" s="1" t="n">
        <v>9</v>
      </c>
      <c r="C264" s="1" t="n">
        <v>6.5</v>
      </c>
      <c r="D264" s="1" t="n">
        <v>1.3986</v>
      </c>
      <c r="E264" s="1" t="n">
        <v>0.236482</v>
      </c>
      <c r="F264" s="1" t="n">
        <v>0.000679728</v>
      </c>
      <c r="G264" s="1" t="s">
        <v>27</v>
      </c>
      <c r="H264" s="1" t="n">
        <v>23.9</v>
      </c>
      <c r="I264" s="1" t="n">
        <v>132</v>
      </c>
      <c r="J264" s="1" t="n">
        <v>-30</v>
      </c>
      <c r="K264" s="1"/>
      <c r="L264" s="1" t="n">
        <v>0</v>
      </c>
      <c r="M264" s="1" t="n">
        <v>0</v>
      </c>
      <c r="N264" s="1" t="s">
        <v>232</v>
      </c>
      <c r="O264" s="1"/>
      <c r="P264" s="1"/>
      <c r="Q264" s="1"/>
      <c r="R264" s="1"/>
      <c r="Z264" s="0" t="n">
        <f aca="false">I264+0</f>
        <v>132</v>
      </c>
      <c r="AB264" s="0" t="n">
        <f aca="false">IF(Z264&gt;360,Z264-360,Z264+0)</f>
        <v>132</v>
      </c>
    </row>
    <row r="265" customFormat="false" ht="15.8" hidden="false" customHeight="false" outlineLevel="0" collapsed="false">
      <c r="A265" s="1" t="n">
        <v>12</v>
      </c>
      <c r="B265" s="1" t="n">
        <v>8</v>
      </c>
      <c r="C265" s="1" t="n">
        <v>12.8</v>
      </c>
      <c r="D265" s="1" t="n">
        <v>1.3793</v>
      </c>
      <c r="E265" s="1" t="n">
        <v>0.410739</v>
      </c>
      <c r="F265" s="1" t="n">
        <v>0.00110495</v>
      </c>
      <c r="G265" s="1" t="s">
        <v>42</v>
      </c>
      <c r="H265" s="1" t="n">
        <v>31.7</v>
      </c>
      <c r="I265" s="1" t="n">
        <v>139.9</v>
      </c>
      <c r="J265" s="1" t="n">
        <v>-7.3</v>
      </c>
      <c r="K265" s="1" t="n">
        <v>69.3</v>
      </c>
      <c r="L265" s="1" t="n">
        <v>0</v>
      </c>
      <c r="M265" s="1" t="n">
        <v>0</v>
      </c>
      <c r="N265" s="1" t="s">
        <v>233</v>
      </c>
      <c r="O265" s="1"/>
      <c r="P265" s="1"/>
      <c r="Q265" s="1"/>
      <c r="R265" s="1"/>
      <c r="Z265" s="0" t="n">
        <f aca="false">I265+0</f>
        <v>139.9</v>
      </c>
      <c r="AB265" s="0" t="n">
        <f aca="false">IF(Z265&gt;360,Z265-360,Z265+0)</f>
        <v>139.9</v>
      </c>
    </row>
    <row r="266" customFormat="false" ht="15.8" hidden="false" customHeight="false" outlineLevel="0" collapsed="false">
      <c r="A266" s="1" t="n">
        <v>12</v>
      </c>
      <c r="B266" s="1" t="n">
        <v>8</v>
      </c>
      <c r="C266" s="1" t="n">
        <v>0.6</v>
      </c>
      <c r="D266" s="1" t="n">
        <v>1.0421</v>
      </c>
      <c r="E266" s="1" t="n">
        <v>0.0201888</v>
      </c>
      <c r="F266" s="1" t="n">
        <v>5.80293E-005</v>
      </c>
      <c r="G266" s="1" t="s">
        <v>27</v>
      </c>
      <c r="H266" s="1" t="n">
        <v>91.2</v>
      </c>
      <c r="I266" s="1" t="n">
        <v>239</v>
      </c>
      <c r="J266" s="1" t="n">
        <v>0</v>
      </c>
      <c r="K266" s="1"/>
      <c r="L266" s="1" t="n">
        <v>0</v>
      </c>
      <c r="M266" s="1" t="n">
        <v>0</v>
      </c>
      <c r="N266" s="1" t="s">
        <v>233</v>
      </c>
      <c r="O266" s="1"/>
      <c r="P266" s="1"/>
      <c r="Q266" s="1"/>
      <c r="R266" s="1"/>
      <c r="Z266" s="0" t="n">
        <f aca="false">I266+0</f>
        <v>239</v>
      </c>
      <c r="AB266" s="0" t="n">
        <f aca="false">IF(Z266&gt;360,Z266-360,Z266+0)</f>
        <v>239</v>
      </c>
    </row>
    <row r="267" customFormat="false" ht="15.8" hidden="false" customHeight="false" outlineLevel="0" collapsed="false">
      <c r="A267" s="1" t="n">
        <v>12</v>
      </c>
      <c r="B267" s="1" t="n">
        <v>7</v>
      </c>
      <c r="C267" s="1" t="n">
        <v>8.6</v>
      </c>
      <c r="D267" s="1" t="n">
        <v>1.7631</v>
      </c>
      <c r="E267" s="1" t="n">
        <v>0.311445</v>
      </c>
      <c r="F267" s="1" t="n">
        <v>0.000895197</v>
      </c>
      <c r="G267" s="1" t="s">
        <v>42</v>
      </c>
      <c r="H267" s="1" t="n">
        <v>65.8</v>
      </c>
      <c r="I267" s="1" t="n">
        <v>147.8</v>
      </c>
      <c r="J267" s="1" t="n">
        <v>23.5</v>
      </c>
      <c r="K267" s="1" t="n">
        <v>91.2</v>
      </c>
      <c r="L267" s="1" t="n">
        <v>0</v>
      </c>
      <c r="M267" s="1" t="n">
        <v>0</v>
      </c>
      <c r="N267" s="1" t="s">
        <v>234</v>
      </c>
      <c r="O267" s="1"/>
      <c r="P267" s="1"/>
      <c r="Q267" s="1"/>
      <c r="R267" s="1"/>
      <c r="Z267" s="0" t="n">
        <f aca="false">I267+0</f>
        <v>147.8</v>
      </c>
      <c r="AB267" s="0" t="n">
        <f aca="false">IF(Z267&gt;360,Z267-360,Z267+0)</f>
        <v>147.8</v>
      </c>
    </row>
    <row r="268" customFormat="false" ht="15.8" hidden="false" customHeight="false" outlineLevel="0" collapsed="false">
      <c r="A268" s="1" t="n">
        <v>12</v>
      </c>
      <c r="B268" s="1" t="n">
        <v>7</v>
      </c>
      <c r="C268" s="1" t="n">
        <v>0.4</v>
      </c>
      <c r="D268" s="1" t="n">
        <v>1.0555</v>
      </c>
      <c r="E268" s="1" t="n">
        <v>0.0148321</v>
      </c>
      <c r="F268" s="1" t="n">
        <v>4.26324E-005</v>
      </c>
      <c r="G268" s="1" t="s">
        <v>27</v>
      </c>
      <c r="H268" s="1" t="n">
        <v>113</v>
      </c>
      <c r="I268" s="1" t="n">
        <v>289</v>
      </c>
      <c r="J268" s="1" t="n">
        <v>0</v>
      </c>
      <c r="K268" s="1"/>
      <c r="L268" s="1" t="n">
        <v>0</v>
      </c>
      <c r="M268" s="1" t="n">
        <v>0</v>
      </c>
      <c r="N268" s="1" t="s">
        <v>234</v>
      </c>
      <c r="O268" s="1"/>
      <c r="P268" s="1"/>
      <c r="Q268" s="1"/>
      <c r="R268" s="1"/>
      <c r="Z268" s="0" t="n">
        <f aca="false">I268+0</f>
        <v>289</v>
      </c>
      <c r="AB268" s="0" t="n">
        <f aca="false">IF(Z268&gt;360,Z268-360,Z268+0)</f>
        <v>289</v>
      </c>
    </row>
    <row r="269" customFormat="false" ht="15.8" hidden="false" customHeight="false" outlineLevel="0" collapsed="false">
      <c r="A269" s="1" t="n">
        <v>12</v>
      </c>
      <c r="B269" s="1" t="n">
        <v>6</v>
      </c>
      <c r="C269" s="1" t="n">
        <v>3.8</v>
      </c>
      <c r="D269" s="1" t="n">
        <v>1.3611</v>
      </c>
      <c r="E269" s="1" t="n">
        <v>0.208167</v>
      </c>
      <c r="F269" s="1" t="n">
        <v>0.00150834</v>
      </c>
      <c r="G269" s="1" t="s">
        <v>42</v>
      </c>
      <c r="H269" s="1" t="n">
        <v>76.2</v>
      </c>
      <c r="I269" s="1" t="n">
        <v>66.3</v>
      </c>
      <c r="J269" s="1" t="n">
        <v>57.9</v>
      </c>
      <c r="K269" s="1" t="n">
        <v>113</v>
      </c>
      <c r="L269" s="1" t="n">
        <v>0.1</v>
      </c>
      <c r="M269" s="1" t="n">
        <v>0</v>
      </c>
      <c r="N269" s="1" t="s">
        <v>235</v>
      </c>
      <c r="O269" s="1"/>
      <c r="P269" s="1"/>
      <c r="Q269" s="1"/>
      <c r="R269" s="1"/>
      <c r="Z269" s="0" t="n">
        <f aca="false">I269+0</f>
        <v>66.3</v>
      </c>
      <c r="AB269" s="0" t="n">
        <f aca="false">IF(Z269&gt;360,Z269-360,Z269+0)</f>
        <v>66.3</v>
      </c>
    </row>
    <row r="270" customFormat="false" ht="15.8" hidden="false" customHeight="false" outlineLevel="0" collapsed="false">
      <c r="A270" s="1" t="n">
        <v>12</v>
      </c>
      <c r="B270" s="1" t="n">
        <v>7</v>
      </c>
      <c r="C270" s="1" t="n">
        <v>4.3</v>
      </c>
      <c r="D270" s="1" t="n">
        <v>1.3488</v>
      </c>
      <c r="E270" s="1" t="n">
        <v>0.946056</v>
      </c>
      <c r="F270" s="1" t="n">
        <v>0.016495</v>
      </c>
      <c r="G270" s="1" t="s">
        <v>27</v>
      </c>
      <c r="H270" s="1" t="n">
        <v>100.4</v>
      </c>
      <c r="I270" s="1" t="n">
        <v>57.4</v>
      </c>
      <c r="J270" s="1" t="n">
        <v>37.5</v>
      </c>
      <c r="K270" s="1"/>
      <c r="L270" s="1" t="n">
        <v>0.1</v>
      </c>
      <c r="M270" s="1" t="n">
        <v>0.1</v>
      </c>
      <c r="N270" s="1" t="s">
        <v>236</v>
      </c>
      <c r="O270" s="1"/>
      <c r="P270" s="1"/>
      <c r="Q270" s="1"/>
      <c r="R270" s="1"/>
      <c r="Z270" s="0" t="n">
        <f aca="false">I270+0</f>
        <v>57.4</v>
      </c>
      <c r="AB270" s="0" t="n">
        <f aca="false">IF(Z270&gt;360,Z270-360,Z270+0)</f>
        <v>57.4</v>
      </c>
    </row>
    <row r="271" customFormat="false" ht="15.8" hidden="false" customHeight="false" outlineLevel="0" collapsed="false">
      <c r="A271" s="1" t="n">
        <v>12</v>
      </c>
      <c r="B271" s="1" t="n">
        <v>8</v>
      </c>
      <c r="C271" s="1" t="n">
        <v>1.2</v>
      </c>
      <c r="D271" s="1" t="n">
        <v>1.2948</v>
      </c>
      <c r="E271" s="1" t="n">
        <v>0.265879</v>
      </c>
      <c r="F271" s="1" t="n">
        <v>0.00463574</v>
      </c>
      <c r="G271" s="1" t="s">
        <v>27</v>
      </c>
      <c r="H271" s="1" t="n">
        <v>103.4</v>
      </c>
      <c r="I271" s="1" t="n">
        <v>294.9</v>
      </c>
      <c r="J271" s="1" t="n">
        <v>-56.3</v>
      </c>
      <c r="K271" s="1"/>
      <c r="L271" s="1" t="n">
        <v>0.1</v>
      </c>
      <c r="M271" s="1" t="n">
        <v>0.1</v>
      </c>
      <c r="N271" s="1" t="s">
        <v>237</v>
      </c>
      <c r="O271" s="1"/>
      <c r="P271" s="1"/>
      <c r="Q271" s="1"/>
      <c r="R271" s="1"/>
      <c r="Z271" s="0" t="n">
        <f aca="false">I271+0</f>
        <v>294.9</v>
      </c>
      <c r="AB271" s="0" t="n">
        <f aca="false">IF(Z271&gt;360,Z271-360,Z271+0)</f>
        <v>294.9</v>
      </c>
    </row>
    <row r="272" customFormat="false" ht="15.8" hidden="false" customHeight="false" outlineLevel="0" collapsed="false">
      <c r="A272" s="1" t="n">
        <v>12</v>
      </c>
      <c r="B272" s="1" t="n">
        <v>8</v>
      </c>
      <c r="C272" s="1" t="n">
        <v>2.4</v>
      </c>
      <c r="D272" s="1" t="n">
        <v>1.2428</v>
      </c>
      <c r="E272" s="1" t="n">
        <v>0.523922</v>
      </c>
      <c r="F272" s="1" t="n">
        <v>0.00913486</v>
      </c>
      <c r="G272" s="1" t="s">
        <v>27</v>
      </c>
      <c r="H272" s="1" t="n">
        <v>37.9</v>
      </c>
      <c r="I272" s="1" t="n">
        <v>186.5</v>
      </c>
      <c r="J272" s="1" t="n">
        <v>-37.5</v>
      </c>
      <c r="K272" s="1"/>
      <c r="L272" s="1" t="n">
        <v>0.1</v>
      </c>
      <c r="M272" s="1" t="n">
        <v>0.1</v>
      </c>
      <c r="N272" s="1" t="s">
        <v>237</v>
      </c>
      <c r="O272" s="1"/>
      <c r="P272" s="1"/>
      <c r="Q272" s="1"/>
      <c r="R272" s="1"/>
      <c r="Z272" s="0" t="n">
        <f aca="false">I272+0</f>
        <v>186.5</v>
      </c>
      <c r="AB272" s="0" t="n">
        <f aca="false">IF(Z272&gt;360,Z272-360,Z272+0)</f>
        <v>186.5</v>
      </c>
    </row>
    <row r="273" customFormat="false" ht="15.8" hidden="false" customHeight="false" outlineLevel="0" collapsed="false">
      <c r="A273" s="1" t="n">
        <v>12</v>
      </c>
      <c r="B273" s="1" t="n">
        <v>7</v>
      </c>
      <c r="C273" s="1" t="n">
        <v>4.8</v>
      </c>
      <c r="D273" s="1" t="n">
        <v>1.4299</v>
      </c>
      <c r="E273" s="1" t="n">
        <v>1.05898</v>
      </c>
      <c r="F273" s="1" t="n">
        <v>0.0184639</v>
      </c>
      <c r="G273" s="1" t="s">
        <v>42</v>
      </c>
      <c r="H273" s="1" t="n">
        <v>25.1</v>
      </c>
      <c r="I273" s="1" t="n">
        <v>180.2</v>
      </c>
      <c r="J273" s="1" t="n">
        <v>0</v>
      </c>
      <c r="K273" s="1" t="n">
        <v>103.4</v>
      </c>
      <c r="L273" s="1" t="n">
        <v>0.1</v>
      </c>
      <c r="M273" s="1" t="n">
        <v>0.1</v>
      </c>
      <c r="N273" s="1" t="s">
        <v>236</v>
      </c>
      <c r="O273" s="1"/>
      <c r="P273" s="1"/>
      <c r="Q273" s="1"/>
      <c r="R273" s="1"/>
      <c r="Z273" s="0" t="n">
        <f aca="false">I273+0</f>
        <v>180.2</v>
      </c>
      <c r="AB273" s="0" t="n">
        <f aca="false">IF(Z273&gt;360,Z273-360,Z273+0)</f>
        <v>180.2</v>
      </c>
    </row>
    <row r="274" customFormat="false" ht="15.8" hidden="false" customHeight="false" outlineLevel="0" collapsed="false">
      <c r="A274" s="1" t="n">
        <v>12</v>
      </c>
      <c r="B274" s="1" t="n">
        <v>6</v>
      </c>
      <c r="C274" s="1" t="n">
        <v>3.5</v>
      </c>
      <c r="D274" s="1" t="n">
        <v>1.2488</v>
      </c>
      <c r="E274" s="1" t="n">
        <v>0.76462</v>
      </c>
      <c r="F274" s="1" t="n">
        <v>0.0133316</v>
      </c>
      <c r="G274" s="1" t="s">
        <v>42</v>
      </c>
      <c r="H274" s="1" t="n">
        <v>58.8</v>
      </c>
      <c r="I274" s="1" t="n">
        <v>184.7</v>
      </c>
      <c r="J274" s="1" t="n">
        <v>24.8</v>
      </c>
      <c r="K274" s="1" t="n">
        <v>100.4</v>
      </c>
      <c r="L274" s="1" t="n">
        <v>0.1</v>
      </c>
      <c r="M274" s="1" t="n">
        <v>0.1</v>
      </c>
      <c r="N274" s="1" t="s">
        <v>235</v>
      </c>
      <c r="O274" s="1"/>
      <c r="P274" s="1"/>
      <c r="Q274" s="1"/>
      <c r="R274" s="1"/>
      <c r="Z274" s="0" t="n">
        <f aca="false">I274+0</f>
        <v>184.7</v>
      </c>
      <c r="AB274" s="0" t="n">
        <f aca="false">IF(Z274&gt;360,Z274-360,Z274+0)</f>
        <v>184.7</v>
      </c>
    </row>
    <row r="275" customFormat="false" ht="15.8" hidden="false" customHeight="false" outlineLevel="0" collapsed="false">
      <c r="A275" s="1" t="n">
        <v>12</v>
      </c>
      <c r="B275" s="1" t="n">
        <v>8</v>
      </c>
      <c r="C275" s="1" t="n">
        <v>9.2</v>
      </c>
      <c r="D275" s="1" t="n">
        <v>1.3716</v>
      </c>
      <c r="E275" s="1" t="n">
        <v>1.63211</v>
      </c>
      <c r="F275" s="1" t="n">
        <v>0.0265953</v>
      </c>
      <c r="G275" s="1" t="s">
        <v>27</v>
      </c>
      <c r="H275" s="1" t="n">
        <v>12.2</v>
      </c>
      <c r="I275" s="1" t="n">
        <v>185.5</v>
      </c>
      <c r="J275" s="1" t="n">
        <v>3.3</v>
      </c>
      <c r="K275" s="1"/>
      <c r="L275" s="1" t="n">
        <v>0.1</v>
      </c>
      <c r="M275" s="1" t="n">
        <v>0.1</v>
      </c>
      <c r="N275" s="1" t="s">
        <v>238</v>
      </c>
      <c r="O275" s="1"/>
      <c r="P275" s="1"/>
      <c r="Q275" s="1"/>
      <c r="R275" s="1"/>
      <c r="Z275" s="0" t="n">
        <f aca="false">I275+0</f>
        <v>185.5</v>
      </c>
      <c r="AB275" s="0" t="n">
        <f aca="false">IF(Z275&gt;360,Z275-360,Z275+0)</f>
        <v>185.5</v>
      </c>
    </row>
    <row r="276" customFormat="false" ht="15.8" hidden="false" customHeight="false" outlineLevel="0" collapsed="false">
      <c r="A276" s="1" t="n">
        <v>12</v>
      </c>
      <c r="B276" s="1" t="n">
        <v>12</v>
      </c>
      <c r="C276" s="1" t="n">
        <v>2.7</v>
      </c>
      <c r="D276" s="1" t="n">
        <v>1.1595</v>
      </c>
      <c r="E276" s="1" t="n">
        <v>0.0766012</v>
      </c>
      <c r="F276" s="1" t="n">
        <v>0.000176142</v>
      </c>
      <c r="G276" s="1" t="s">
        <v>27</v>
      </c>
      <c r="H276" s="1" t="n">
        <v>115.7</v>
      </c>
      <c r="I276" s="1" t="n">
        <v>213.5</v>
      </c>
      <c r="J276" s="1" t="n">
        <v>30.8</v>
      </c>
      <c r="K276" s="1"/>
      <c r="L276" s="1" t="n">
        <v>0</v>
      </c>
      <c r="M276" s="1" t="n">
        <v>0</v>
      </c>
      <c r="N276" s="1" t="s">
        <v>239</v>
      </c>
      <c r="O276" s="1"/>
      <c r="P276" s="1"/>
      <c r="Q276" s="1"/>
      <c r="R276" s="1"/>
      <c r="Z276" s="0" t="n">
        <f aca="false">I276+0</f>
        <v>213.5</v>
      </c>
      <c r="AB276" s="0" t="n">
        <f aca="false">IF(Z276&gt;360,Z276-360,Z276+0)</f>
        <v>213.5</v>
      </c>
    </row>
    <row r="277" customFormat="false" ht="15.8" hidden="false" customHeight="false" outlineLevel="0" collapsed="false">
      <c r="A277" s="1" t="n">
        <v>12</v>
      </c>
      <c r="B277" s="1" t="n">
        <v>14</v>
      </c>
      <c r="C277" s="1" t="n">
        <v>3.9</v>
      </c>
      <c r="D277" s="1" t="n">
        <v>1.1351</v>
      </c>
      <c r="E277" s="1" t="n">
        <v>0.112688</v>
      </c>
      <c r="F277" s="1" t="n">
        <v>0.000259123</v>
      </c>
      <c r="G277" s="1" t="s">
        <v>27</v>
      </c>
      <c r="H277" s="1" t="n">
        <v>53</v>
      </c>
      <c r="I277" s="1" t="n">
        <v>236.2</v>
      </c>
      <c r="J277" s="1" t="n">
        <v>-65.2</v>
      </c>
      <c r="K277" s="1"/>
      <c r="L277" s="1" t="n">
        <v>0</v>
      </c>
      <c r="M277" s="1" t="n">
        <v>0</v>
      </c>
      <c r="N277" s="1" t="s">
        <v>240</v>
      </c>
      <c r="O277" s="1"/>
      <c r="P277" s="1"/>
      <c r="Q277" s="1"/>
      <c r="R277" s="1"/>
      <c r="Z277" s="0" t="n">
        <f aca="false">I277+0</f>
        <v>236.2</v>
      </c>
      <c r="AB277" s="0" t="n">
        <f aca="false">IF(Z277&gt;360,Z277-360,Z277+0)</f>
        <v>236.2</v>
      </c>
    </row>
    <row r="278" customFormat="false" ht="15.8" hidden="false" customHeight="false" outlineLevel="0" collapsed="false">
      <c r="A278" s="1" t="n">
        <v>12</v>
      </c>
      <c r="B278" s="1" t="n">
        <v>14</v>
      </c>
      <c r="C278" s="1" t="n">
        <v>0.8</v>
      </c>
      <c r="D278" s="1" t="n">
        <v>1.2767</v>
      </c>
      <c r="E278" s="1" t="n">
        <v>0.0218379</v>
      </c>
      <c r="F278" s="1" t="n">
        <v>5.02156E-005</v>
      </c>
      <c r="G278" s="1" t="s">
        <v>27</v>
      </c>
      <c r="H278" s="1" t="n">
        <v>16.6</v>
      </c>
      <c r="I278" s="1" t="n">
        <v>308.3</v>
      </c>
      <c r="J278" s="1" t="n">
        <v>-41.2</v>
      </c>
      <c r="K278" s="1"/>
      <c r="L278" s="1" t="n">
        <v>0</v>
      </c>
      <c r="M278" s="1" t="n">
        <v>0</v>
      </c>
      <c r="N278" s="1" t="s">
        <v>240</v>
      </c>
      <c r="O278" s="1"/>
      <c r="P278" s="1"/>
      <c r="Q278" s="1"/>
      <c r="R278" s="1"/>
      <c r="Z278" s="0" t="n">
        <f aca="false">I278+0</f>
        <v>308.3</v>
      </c>
      <c r="AB278" s="0" t="n">
        <f aca="false">IF(Z278&gt;360,Z278-360,Z278+0)</f>
        <v>308.3</v>
      </c>
    </row>
    <row r="279" customFormat="false" ht="15.8" hidden="false" customHeight="false" outlineLevel="0" collapsed="false">
      <c r="A279" s="1" t="n">
        <v>12</v>
      </c>
      <c r="B279" s="1" t="n">
        <v>13</v>
      </c>
      <c r="C279" s="1" t="n">
        <v>0.9</v>
      </c>
      <c r="D279" s="1" t="n">
        <v>1.5191</v>
      </c>
      <c r="E279" s="1" t="n">
        <v>0.0248977</v>
      </c>
      <c r="F279" s="1" t="n">
        <v>5.72515E-005</v>
      </c>
      <c r="G279" s="1" t="s">
        <v>42</v>
      </c>
      <c r="H279" s="1" t="n">
        <v>47.1</v>
      </c>
      <c r="I279" s="1" t="n">
        <v>330.6</v>
      </c>
      <c r="J279" s="1" t="n">
        <v>-43.4</v>
      </c>
      <c r="K279" s="1" t="n">
        <v>53</v>
      </c>
      <c r="L279" s="1" t="n">
        <v>0</v>
      </c>
      <c r="M279" s="1" t="n">
        <v>0</v>
      </c>
      <c r="N279" s="1" t="s">
        <v>241</v>
      </c>
      <c r="O279" s="1"/>
      <c r="P279" s="1"/>
      <c r="Q279" s="1"/>
      <c r="R279" s="1"/>
      <c r="Z279" s="0" t="n">
        <f aca="false">I279+0</f>
        <v>330.6</v>
      </c>
      <c r="AB279" s="0" t="n">
        <f aca="false">IF(Z279&gt;360,Z279-360,Z279+0)</f>
        <v>330.6</v>
      </c>
    </row>
    <row r="280" customFormat="false" ht="15.8" hidden="false" customHeight="false" outlineLevel="0" collapsed="false">
      <c r="A280" s="1" t="n">
        <v>12</v>
      </c>
      <c r="B280" s="1" t="n">
        <v>13</v>
      </c>
      <c r="C280" s="1" t="n">
        <v>1.4</v>
      </c>
      <c r="D280" s="1" t="n">
        <v>1.127</v>
      </c>
      <c r="E280" s="1" t="n">
        <v>0.0399591</v>
      </c>
      <c r="F280" s="1" t="n">
        <v>9.18846E-005</v>
      </c>
      <c r="G280" s="1" t="s">
        <v>27</v>
      </c>
      <c r="H280" s="1" t="n">
        <v>46.7</v>
      </c>
      <c r="I280" s="1" t="n">
        <v>34.7</v>
      </c>
      <c r="J280" s="1" t="n">
        <v>-18.5</v>
      </c>
      <c r="K280" s="1"/>
      <c r="L280" s="1" t="n">
        <v>0</v>
      </c>
      <c r="M280" s="1" t="n">
        <v>0</v>
      </c>
      <c r="N280" s="1" t="s">
        <v>241</v>
      </c>
      <c r="O280" s="1"/>
      <c r="P280" s="1"/>
      <c r="Q280" s="1"/>
      <c r="R280" s="1"/>
      <c r="Z280" s="0" t="n">
        <f aca="false">I280+0</f>
        <v>34.7</v>
      </c>
      <c r="AB280" s="0" t="n">
        <f aca="false">IF(Z280&gt;360,Z280-360,Z280+0)</f>
        <v>34.7</v>
      </c>
    </row>
    <row r="281" customFormat="false" ht="15.8" hidden="false" customHeight="false" outlineLevel="0" collapsed="false">
      <c r="A281" s="1" t="n">
        <v>12</v>
      </c>
      <c r="B281" s="1" t="n">
        <v>12</v>
      </c>
      <c r="C281" s="1" t="n">
        <v>1.1</v>
      </c>
      <c r="D281" s="1" t="n">
        <v>1.0113</v>
      </c>
      <c r="E281" s="1" t="n">
        <v>0.0329201</v>
      </c>
      <c r="F281" s="1" t="n">
        <v>7.56987E-005</v>
      </c>
      <c r="G281" s="1" t="s">
        <v>42</v>
      </c>
      <c r="H281" s="1" t="n">
        <v>19.5</v>
      </c>
      <c r="I281" s="1" t="n">
        <v>351.1</v>
      </c>
      <c r="J281" s="1" t="n">
        <v>0</v>
      </c>
      <c r="K281" s="1" t="n">
        <v>47.1</v>
      </c>
      <c r="L281" s="1" t="n">
        <v>0</v>
      </c>
      <c r="M281" s="1" t="n">
        <v>0</v>
      </c>
      <c r="N281" s="1" t="s">
        <v>239</v>
      </c>
      <c r="O281" s="1"/>
      <c r="P281" s="1"/>
      <c r="Q281" s="1"/>
      <c r="R281" s="1"/>
      <c r="Z281" s="0" t="n">
        <f aca="false">I281+0</f>
        <v>351.1</v>
      </c>
      <c r="AB281" s="0" t="n">
        <f aca="false">IF(Z281&gt;360,Z281-360,Z281+0)</f>
        <v>351.1</v>
      </c>
    </row>
    <row r="282" customFormat="false" ht="15.8" hidden="false" customHeight="false" outlineLevel="0" collapsed="false">
      <c r="A282" s="1" t="n">
        <v>12</v>
      </c>
      <c r="B282" s="1" t="n">
        <v>11</v>
      </c>
      <c r="C282" s="1" t="n">
        <v>5.6</v>
      </c>
      <c r="D282" s="1" t="n">
        <v>1.1878</v>
      </c>
      <c r="E282" s="1" t="n">
        <v>0.160666</v>
      </c>
      <c r="F282" s="1" t="n">
        <v>0.000369445</v>
      </c>
      <c r="G282" s="1" t="s">
        <v>42</v>
      </c>
      <c r="H282" s="1" t="n">
        <v>38.1</v>
      </c>
      <c r="I282" s="1" t="n">
        <v>351.9</v>
      </c>
      <c r="J282" s="1" t="n">
        <v>19.5</v>
      </c>
      <c r="K282" s="1" t="n">
        <v>115.7</v>
      </c>
      <c r="L282" s="1" t="n">
        <v>0</v>
      </c>
      <c r="M282" s="1" t="n">
        <v>0</v>
      </c>
      <c r="N282" s="1" t="s">
        <v>242</v>
      </c>
      <c r="O282" s="1"/>
      <c r="P282" s="1"/>
      <c r="Q282" s="1"/>
      <c r="R282" s="1"/>
      <c r="Z282" s="0" t="n">
        <f aca="false">I282+0</f>
        <v>351.9</v>
      </c>
      <c r="AB282" s="0" t="n">
        <f aca="false">IF(Z282&gt;360,Z282-360,Z282+0)</f>
        <v>351.9</v>
      </c>
    </row>
    <row r="283" customFormat="false" ht="15.8" hidden="false" customHeight="false" outlineLevel="0" collapsed="false">
      <c r="A283" s="1" t="n">
        <v>12</v>
      </c>
      <c r="B283" s="1" t="n">
        <v>11</v>
      </c>
      <c r="C283" s="1" t="n">
        <v>0.8</v>
      </c>
      <c r="D283" s="1" t="n">
        <v>1.2179</v>
      </c>
      <c r="E283" s="1" t="n">
        <v>0.0240662</v>
      </c>
      <c r="F283" s="1" t="n">
        <v>5.53394E-005</v>
      </c>
      <c r="G283" s="1" t="s">
        <v>27</v>
      </c>
      <c r="H283" s="1" t="n">
        <v>74.4</v>
      </c>
      <c r="I283" s="1" t="n">
        <v>87.2</v>
      </c>
      <c r="J283" s="1" t="n">
        <v>-34.8</v>
      </c>
      <c r="K283" s="1"/>
      <c r="L283" s="1" t="n">
        <v>0</v>
      </c>
      <c r="M283" s="1" t="n">
        <v>0</v>
      </c>
      <c r="N283" s="1" t="s">
        <v>242</v>
      </c>
      <c r="O283" s="1"/>
      <c r="P283" s="1"/>
      <c r="Q283" s="1"/>
      <c r="R283" s="1"/>
      <c r="Z283" s="0" t="n">
        <f aca="false">I283+0</f>
        <v>87.2</v>
      </c>
      <c r="AB283" s="0" t="n">
        <f aca="false">IF(Z283&gt;360,Z283-360,Z283+0)</f>
        <v>87.2</v>
      </c>
    </row>
    <row r="284" customFormat="false" ht="15.8" hidden="false" customHeight="false" outlineLevel="0" collapsed="false">
      <c r="A284" s="1" t="n">
        <v>12</v>
      </c>
      <c r="B284" s="1" t="n">
        <v>10</v>
      </c>
      <c r="C284" s="1" t="n">
        <v>11.7</v>
      </c>
      <c r="D284" s="1" t="n">
        <v>1.1961</v>
      </c>
      <c r="E284" s="1" t="n">
        <v>0.353877</v>
      </c>
      <c r="F284" s="1" t="n">
        <v>0.0010167</v>
      </c>
      <c r="G284" s="1" t="s">
        <v>42</v>
      </c>
      <c r="H284" s="1" t="n">
        <v>124.6</v>
      </c>
      <c r="I284" s="1" t="n">
        <v>5.2</v>
      </c>
      <c r="J284" s="1" t="n">
        <v>-16.3</v>
      </c>
      <c r="K284" s="1" t="n">
        <v>74.4</v>
      </c>
      <c r="L284" s="1" t="n">
        <v>0.1</v>
      </c>
      <c r="M284" s="1" t="n">
        <v>0</v>
      </c>
      <c r="N284" s="1" t="s">
        <v>243</v>
      </c>
      <c r="O284" s="1"/>
      <c r="P284" s="1"/>
      <c r="Q284" s="1"/>
      <c r="R284" s="1"/>
      <c r="Z284" s="0" t="n">
        <f aca="false">I284+0</f>
        <v>5.2</v>
      </c>
      <c r="AB284" s="0" t="n">
        <f aca="false">IF(Z284&gt;360,Z284-360,Z284+0)</f>
        <v>5.2</v>
      </c>
    </row>
    <row r="285" customFormat="false" ht="15.8" hidden="false" customHeight="false" outlineLevel="0" collapsed="false">
      <c r="A285" s="1" t="n">
        <v>12</v>
      </c>
      <c r="B285" s="1" t="n">
        <v>10</v>
      </c>
      <c r="C285" s="1" t="n">
        <v>4.2</v>
      </c>
      <c r="D285" s="1" t="n">
        <v>1.2637</v>
      </c>
      <c r="E285" s="1" t="n">
        <v>0.920043</v>
      </c>
      <c r="F285" s="1" t="n">
        <v>0.0160415</v>
      </c>
      <c r="G285" s="1" t="s">
        <v>27</v>
      </c>
      <c r="H285" s="1" t="n">
        <v>19</v>
      </c>
      <c r="I285" s="1" t="n">
        <v>189.2</v>
      </c>
      <c r="J285" s="1" t="n">
        <v>-20.6</v>
      </c>
      <c r="K285" s="1"/>
      <c r="L285" s="1" t="n">
        <v>0.1</v>
      </c>
      <c r="M285" s="1" t="n">
        <v>0.1</v>
      </c>
      <c r="N285" s="1" t="s">
        <v>243</v>
      </c>
      <c r="O285" s="1"/>
      <c r="P285" s="1"/>
      <c r="Q285" s="1"/>
      <c r="R285" s="1"/>
      <c r="Z285" s="0" t="n">
        <f aca="false">I285+0</f>
        <v>189.2</v>
      </c>
      <c r="AB285" s="0" t="n">
        <f aca="false">IF(Z285&gt;360,Z285-360,Z285+0)</f>
        <v>189.2</v>
      </c>
    </row>
    <row r="286" customFormat="false" ht="15.8" hidden="false" customHeight="false" outlineLevel="0" collapsed="false">
      <c r="A286" s="1" t="n">
        <v>12</v>
      </c>
      <c r="B286" s="1" t="n">
        <v>9</v>
      </c>
      <c r="C286" s="1" t="n">
        <v>4</v>
      </c>
      <c r="D286" s="1" t="n">
        <v>1.2809</v>
      </c>
      <c r="E286" s="1" t="n">
        <v>0.867171</v>
      </c>
      <c r="F286" s="1" t="n">
        <v>0.0151196</v>
      </c>
      <c r="G286" s="1" t="s">
        <v>42</v>
      </c>
      <c r="H286" s="1" t="n">
        <v>26.2</v>
      </c>
      <c r="I286" s="1" t="n">
        <v>184.1</v>
      </c>
      <c r="J286" s="1" t="n">
        <v>-39.1</v>
      </c>
      <c r="K286" s="1" t="n">
        <v>124.6</v>
      </c>
      <c r="L286" s="1" t="n">
        <v>0.1</v>
      </c>
      <c r="M286" s="1" t="n">
        <v>0.1</v>
      </c>
      <c r="N286" s="1" t="s">
        <v>244</v>
      </c>
      <c r="O286" s="1"/>
      <c r="P286" s="1"/>
      <c r="Q286" s="1"/>
      <c r="R286" s="1"/>
      <c r="Z286" s="0" t="n">
        <f aca="false">I286+0</f>
        <v>184.1</v>
      </c>
      <c r="AB286" s="0" t="n">
        <f aca="false">IF(Z286&gt;360,Z286-360,Z286+0)</f>
        <v>184.1</v>
      </c>
    </row>
    <row r="287" customFormat="false" ht="15.8" hidden="false" customHeight="false" outlineLevel="0" collapsed="false">
      <c r="A287" s="1" t="n">
        <v>12</v>
      </c>
      <c r="B287" s="1" t="n">
        <v>10</v>
      </c>
      <c r="C287" s="1" t="n">
        <v>0.5</v>
      </c>
      <c r="D287" s="1" t="n">
        <v>1.0076</v>
      </c>
      <c r="E287" s="1" t="n">
        <v>0.110198</v>
      </c>
      <c r="F287" s="1" t="n">
        <v>0.00192137</v>
      </c>
      <c r="G287" s="1" t="s">
        <v>27</v>
      </c>
      <c r="H287" s="1" t="n">
        <v>33.6</v>
      </c>
      <c r="I287" s="1" t="n">
        <v>38.5</v>
      </c>
      <c r="J287" s="1" t="n">
        <v>0</v>
      </c>
      <c r="K287" s="1"/>
      <c r="L287" s="1" t="n">
        <v>0.1</v>
      </c>
      <c r="M287" s="1" t="n">
        <v>0.1</v>
      </c>
      <c r="N287" s="1" t="s">
        <v>245</v>
      </c>
      <c r="O287" s="1"/>
      <c r="P287" s="1"/>
      <c r="Q287" s="1"/>
      <c r="R287" s="1"/>
      <c r="Z287" s="0" t="n">
        <f aca="false">I287+0</f>
        <v>38.5</v>
      </c>
      <c r="AB287" s="0" t="n">
        <f aca="false">IF(Z287&gt;360,Z287-360,Z287+0)</f>
        <v>38.5</v>
      </c>
    </row>
    <row r="288" customFormat="false" ht="15.8" hidden="false" customHeight="false" outlineLevel="0" collapsed="false">
      <c r="A288" s="1" t="n">
        <v>12</v>
      </c>
      <c r="B288" s="1" t="n">
        <v>13</v>
      </c>
      <c r="C288" s="1" t="n">
        <v>0.7</v>
      </c>
      <c r="D288" s="1" t="n">
        <v>1.2054</v>
      </c>
      <c r="E288" s="1" t="n">
        <v>0.0254245</v>
      </c>
      <c r="F288" s="1" t="n">
        <v>7.30785E-005</v>
      </c>
      <c r="G288" s="1" t="s">
        <v>27</v>
      </c>
      <c r="H288" s="1" t="n">
        <v>32.5</v>
      </c>
      <c r="I288" s="1" t="n">
        <v>37.5</v>
      </c>
      <c r="J288" s="1" t="n">
        <v>-41.9</v>
      </c>
      <c r="K288" s="1"/>
      <c r="L288" s="1" t="n">
        <v>0</v>
      </c>
      <c r="M288" s="1" t="n">
        <v>0</v>
      </c>
      <c r="N288" s="1" t="s">
        <v>246</v>
      </c>
      <c r="O288" s="1"/>
      <c r="P288" s="1"/>
      <c r="Q288" s="1"/>
      <c r="R288" s="1"/>
      <c r="Z288" s="0" t="n">
        <f aca="false">I288+0</f>
        <v>37.5</v>
      </c>
      <c r="AB288" s="0" t="n">
        <f aca="false">IF(Z288&gt;360,Z288-360,Z288+0)</f>
        <v>37.5</v>
      </c>
    </row>
    <row r="289" customFormat="false" ht="15.8" hidden="false" customHeight="false" outlineLevel="0" collapsed="false">
      <c r="A289" s="1" t="n">
        <v>12</v>
      </c>
      <c r="B289" s="1" t="n">
        <v>13</v>
      </c>
      <c r="C289" s="1" t="n">
        <v>0.5</v>
      </c>
      <c r="D289" s="1" t="n">
        <v>1.0226</v>
      </c>
      <c r="E289" s="1" t="n">
        <v>0.0189402</v>
      </c>
      <c r="F289" s="1" t="n">
        <v>5.44403E-005</v>
      </c>
      <c r="G289" s="1" t="s">
        <v>27</v>
      </c>
      <c r="H289" s="1" t="n">
        <v>76.3</v>
      </c>
      <c r="I289" s="1" t="n">
        <v>317.7</v>
      </c>
      <c r="J289" s="1" t="n">
        <v>0</v>
      </c>
      <c r="K289" s="1"/>
      <c r="L289" s="1" t="n">
        <v>0</v>
      </c>
      <c r="M289" s="1" t="n">
        <v>0</v>
      </c>
      <c r="N289" s="1" t="s">
        <v>246</v>
      </c>
      <c r="O289" s="1"/>
      <c r="P289" s="1"/>
      <c r="Q289" s="1"/>
      <c r="R289" s="1"/>
      <c r="Z289" s="0" t="n">
        <f aca="false">I289+0</f>
        <v>317.7</v>
      </c>
      <c r="AB289" s="0" t="n">
        <f aca="false">IF(Z289&gt;360,Z289-360,Z289+0)</f>
        <v>317.7</v>
      </c>
    </row>
    <row r="290" customFormat="false" ht="15.8" hidden="false" customHeight="false" outlineLevel="0" collapsed="false">
      <c r="A290" s="1" t="n">
        <v>12</v>
      </c>
      <c r="B290" s="1" t="n">
        <v>12</v>
      </c>
      <c r="C290" s="1" t="n">
        <v>0.9</v>
      </c>
      <c r="D290" s="1" t="n">
        <v>1.0246</v>
      </c>
      <c r="E290" s="1" t="n">
        <v>0.0307764</v>
      </c>
      <c r="F290" s="1" t="n">
        <v>8.84616E-005</v>
      </c>
      <c r="G290" s="1" t="s">
        <v>42</v>
      </c>
      <c r="H290" s="1" t="n">
        <v>56.1</v>
      </c>
      <c r="I290" s="1" t="n">
        <v>4.6</v>
      </c>
      <c r="J290" s="1" t="n">
        <v>-69.7</v>
      </c>
      <c r="K290" s="1" t="n">
        <v>76.3</v>
      </c>
      <c r="L290" s="1" t="n">
        <v>0</v>
      </c>
      <c r="M290" s="1" t="n">
        <v>0</v>
      </c>
      <c r="N290" s="1" t="s">
        <v>247</v>
      </c>
      <c r="O290" s="1"/>
      <c r="P290" s="1"/>
      <c r="Q290" s="1"/>
      <c r="R290" s="1"/>
      <c r="Z290" s="0" t="n">
        <f aca="false">I290+0</f>
        <v>4.6</v>
      </c>
      <c r="AB290" s="0" t="n">
        <f aca="false">IF(Z290&gt;360,Z290-360,Z290+0)</f>
        <v>4.6</v>
      </c>
    </row>
    <row r="291" customFormat="false" ht="15.8" hidden="false" customHeight="false" outlineLevel="0" collapsed="false">
      <c r="A291" s="1" t="n">
        <v>12</v>
      </c>
      <c r="B291" s="1" t="n">
        <v>12</v>
      </c>
      <c r="C291" s="1" t="n">
        <v>2.9</v>
      </c>
      <c r="D291" s="1" t="n">
        <v>1.2388</v>
      </c>
      <c r="E291" s="1" t="n">
        <v>0.105706</v>
      </c>
      <c r="F291" s="1" t="n">
        <v>0.000303834</v>
      </c>
      <c r="G291" s="1" t="s">
        <v>27</v>
      </c>
      <c r="H291" s="1" t="n">
        <v>68.5</v>
      </c>
      <c r="I291" s="1" t="n">
        <v>176.1</v>
      </c>
      <c r="J291" s="1" t="n">
        <v>0</v>
      </c>
      <c r="K291" s="1"/>
      <c r="L291" s="1" t="n">
        <v>0</v>
      </c>
      <c r="M291" s="1" t="n">
        <v>0</v>
      </c>
      <c r="N291" s="1" t="s">
        <v>247</v>
      </c>
      <c r="O291" s="1"/>
      <c r="P291" s="1"/>
      <c r="Q291" s="1"/>
      <c r="R291" s="1"/>
      <c r="Z291" s="0" t="n">
        <f aca="false">I291+0</f>
        <v>176.1</v>
      </c>
      <c r="AB291" s="0" t="n">
        <f aca="false">IF(Z291&gt;360,Z291-360,Z291+0)</f>
        <v>176.1</v>
      </c>
    </row>
    <row r="292" customFormat="false" ht="15.8" hidden="false" customHeight="false" outlineLevel="0" collapsed="false">
      <c r="A292" s="1" t="n">
        <v>12</v>
      </c>
      <c r="B292" s="1" t="n">
        <v>11</v>
      </c>
      <c r="C292" s="1" t="n">
        <v>10.2</v>
      </c>
      <c r="D292" s="1" t="n">
        <v>1.3171</v>
      </c>
      <c r="E292" s="1" t="n">
        <v>0.883308</v>
      </c>
      <c r="F292" s="1" t="n">
        <v>0.0110876</v>
      </c>
      <c r="G292" s="1" t="s">
        <v>42</v>
      </c>
      <c r="H292" s="1" t="n">
        <v>64</v>
      </c>
      <c r="I292" s="1" t="n">
        <v>231.8</v>
      </c>
      <c r="J292" s="1" t="n">
        <v>-49.3</v>
      </c>
      <c r="K292" s="1" t="n">
        <v>68.5</v>
      </c>
      <c r="L292" s="1" t="n">
        <v>0.1</v>
      </c>
      <c r="M292" s="1" t="n">
        <v>0</v>
      </c>
      <c r="N292" s="1" t="s">
        <v>248</v>
      </c>
      <c r="O292" s="1"/>
      <c r="P292" s="1"/>
      <c r="Q292" s="1"/>
      <c r="R292" s="1"/>
      <c r="Z292" s="0" t="n">
        <f aca="false">I292+0</f>
        <v>231.8</v>
      </c>
      <c r="AB292" s="0" t="n">
        <f aca="false">IF(Z292&gt;360,Z292-360,Z292+0)</f>
        <v>231.8</v>
      </c>
    </row>
    <row r="293" customFormat="false" ht="15.8" hidden="false" customHeight="false" outlineLevel="0" collapsed="false">
      <c r="A293" s="1" t="n">
        <v>12</v>
      </c>
      <c r="B293" s="1" t="n">
        <v>12</v>
      </c>
      <c r="C293" s="1" t="n">
        <v>2</v>
      </c>
      <c r="D293" s="1" t="n">
        <v>1.3149</v>
      </c>
      <c r="E293" s="1" t="n">
        <v>0.433465</v>
      </c>
      <c r="F293" s="1" t="n">
        <v>0.00755769</v>
      </c>
      <c r="G293" s="1" t="s">
        <v>27</v>
      </c>
      <c r="H293" s="1" t="n">
        <v>55.9</v>
      </c>
      <c r="I293" s="1" t="n">
        <v>200.6</v>
      </c>
      <c r="J293" s="1" t="n">
        <v>-51</v>
      </c>
      <c r="K293" s="1"/>
      <c r="L293" s="1" t="n">
        <v>0.1</v>
      </c>
      <c r="M293" s="1" t="n">
        <v>0.1</v>
      </c>
      <c r="N293" s="1" t="s">
        <v>249</v>
      </c>
      <c r="O293" s="1"/>
      <c r="P293" s="1"/>
      <c r="Q293" s="1"/>
      <c r="R293" s="1"/>
      <c r="Z293" s="0" t="n">
        <f aca="false">I293+0</f>
        <v>200.6</v>
      </c>
      <c r="AB293" s="0" t="n">
        <f aca="false">IF(Z293&gt;360,Z293-360,Z293+0)</f>
        <v>200.6</v>
      </c>
    </row>
    <row r="294" customFormat="false" ht="15.8" hidden="false" customHeight="false" outlineLevel="0" collapsed="false">
      <c r="A294" s="1" t="n">
        <v>12</v>
      </c>
      <c r="B294" s="1" t="n">
        <v>14</v>
      </c>
      <c r="C294" s="1" t="n">
        <v>1</v>
      </c>
      <c r="D294" s="1" t="n">
        <v>1.2037</v>
      </c>
      <c r="E294" s="1" t="n">
        <v>0.212419</v>
      </c>
      <c r="F294" s="1" t="n">
        <v>0.00370364</v>
      </c>
      <c r="G294" s="1" t="s">
        <v>27</v>
      </c>
      <c r="H294" s="1" t="n">
        <v>46.3</v>
      </c>
      <c r="I294" s="1" t="n">
        <v>146.3</v>
      </c>
      <c r="J294" s="1" t="n">
        <v>29</v>
      </c>
      <c r="K294" s="1"/>
      <c r="L294" s="1" t="n">
        <v>0.1</v>
      </c>
      <c r="M294" s="1" t="n">
        <v>0.1</v>
      </c>
      <c r="N294" s="1" t="s">
        <v>250</v>
      </c>
      <c r="O294" s="1"/>
      <c r="P294" s="1"/>
      <c r="Q294" s="1"/>
      <c r="R294" s="1"/>
      <c r="Z294" s="0" t="n">
        <f aca="false">I294+0</f>
        <v>146.3</v>
      </c>
      <c r="AB294" s="0" t="n">
        <f aca="false">IF(Z294&gt;360,Z294-360,Z294+0)</f>
        <v>146.3</v>
      </c>
    </row>
    <row r="295" customFormat="false" ht="15.8" hidden="false" customHeight="false" outlineLevel="0" collapsed="false">
      <c r="A295" s="1" t="n">
        <v>12</v>
      </c>
      <c r="B295" s="1" t="n">
        <v>14</v>
      </c>
      <c r="C295" s="1" t="n">
        <v>1.3</v>
      </c>
      <c r="D295" s="1" t="n">
        <v>1.2588</v>
      </c>
      <c r="E295" s="1" t="n">
        <v>0.281613</v>
      </c>
      <c r="F295" s="1" t="n">
        <v>0.00491008</v>
      </c>
      <c r="G295" s="1" t="s">
        <v>27</v>
      </c>
      <c r="H295" s="1" t="n">
        <v>38.1</v>
      </c>
      <c r="I295" s="1" t="n">
        <v>29.2</v>
      </c>
      <c r="J295" s="1" t="n">
        <v>49.8</v>
      </c>
      <c r="K295" s="1"/>
      <c r="L295" s="1" t="n">
        <v>0.1</v>
      </c>
      <c r="M295" s="1" t="n">
        <v>0.1</v>
      </c>
      <c r="N295" s="1" t="s">
        <v>250</v>
      </c>
      <c r="O295" s="1"/>
      <c r="P295" s="1"/>
      <c r="Q295" s="1"/>
      <c r="R295" s="1"/>
      <c r="Z295" s="0" t="n">
        <f aca="false">I295+0</f>
        <v>29.2</v>
      </c>
      <c r="AB295" s="0" t="n">
        <f aca="false">IF(Z295&gt;360,Z295-360,Z295+0)</f>
        <v>29.2</v>
      </c>
    </row>
    <row r="296" customFormat="false" ht="15.8" hidden="false" customHeight="false" outlineLevel="0" collapsed="false">
      <c r="A296" s="1" t="n">
        <v>12</v>
      </c>
      <c r="B296" s="1" t="n">
        <v>13</v>
      </c>
      <c r="C296" s="1" t="n">
        <v>6.6</v>
      </c>
      <c r="D296" s="1" t="n">
        <v>1.389</v>
      </c>
      <c r="E296" s="1" t="n">
        <v>1.44664</v>
      </c>
      <c r="F296" s="1" t="n">
        <v>0.025223</v>
      </c>
      <c r="G296" s="1" t="s">
        <v>42</v>
      </c>
      <c r="H296" s="1" t="n">
        <v>115.1</v>
      </c>
      <c r="I296" s="1" t="n">
        <v>98.7</v>
      </c>
      <c r="J296" s="1" t="n">
        <v>64.5</v>
      </c>
      <c r="K296" s="1" t="n">
        <v>46.3</v>
      </c>
      <c r="L296" s="1" t="n">
        <v>0.1</v>
      </c>
      <c r="M296" s="1" t="n">
        <v>0.1</v>
      </c>
      <c r="N296" s="1" t="s">
        <v>251</v>
      </c>
      <c r="O296" s="1"/>
      <c r="P296" s="1"/>
      <c r="Q296" s="1"/>
      <c r="R296" s="1"/>
      <c r="Z296" s="0" t="n">
        <f aca="false">I296+0</f>
        <v>98.7</v>
      </c>
      <c r="AB296" s="0" t="n">
        <f aca="false">IF(Z296&gt;360,Z296-360,Z296+0)</f>
        <v>98.7</v>
      </c>
    </row>
    <row r="297" customFormat="false" ht="15.8" hidden="false" customHeight="false" outlineLevel="0" collapsed="false">
      <c r="A297" s="1" t="n">
        <v>12</v>
      </c>
      <c r="B297" s="1" t="n">
        <v>14</v>
      </c>
      <c r="C297" s="1" t="n">
        <v>10.2</v>
      </c>
      <c r="D297" s="1" t="n">
        <v>1.6622</v>
      </c>
      <c r="E297" s="1" t="n">
        <v>2.23638</v>
      </c>
      <c r="F297" s="1" t="n">
        <v>0.0389925</v>
      </c>
      <c r="G297" s="1" t="s">
        <v>27</v>
      </c>
      <c r="H297" s="1" t="n">
        <v>27.4</v>
      </c>
      <c r="I297" s="1" t="n">
        <v>154.9</v>
      </c>
      <c r="J297" s="1" t="n">
        <v>-72.3</v>
      </c>
      <c r="K297" s="1"/>
      <c r="L297" s="1" t="n">
        <v>0.1</v>
      </c>
      <c r="M297" s="1" t="n">
        <v>0.1</v>
      </c>
      <c r="N297" s="1" t="s">
        <v>252</v>
      </c>
      <c r="O297" s="1"/>
      <c r="P297" s="1"/>
      <c r="Q297" s="1"/>
      <c r="R297" s="1"/>
      <c r="Z297" s="0" t="n">
        <f aca="false">I297+0</f>
        <v>154.9</v>
      </c>
      <c r="AB297" s="0" t="n">
        <f aca="false">IF(Z297&gt;360,Z297-360,Z297+0)</f>
        <v>154.9</v>
      </c>
    </row>
    <row r="298" customFormat="false" ht="15.8" hidden="false" customHeight="false" outlineLevel="0" collapsed="false">
      <c r="A298" s="1" t="n">
        <v>12</v>
      </c>
      <c r="B298" s="1" t="n">
        <v>15</v>
      </c>
      <c r="C298" s="1" t="n">
        <v>0.9</v>
      </c>
      <c r="D298" s="1" t="n">
        <v>1.0304</v>
      </c>
      <c r="E298" s="1" t="n">
        <v>0.192648</v>
      </c>
      <c r="F298" s="1" t="n">
        <v>0.00335892</v>
      </c>
      <c r="G298" s="1" t="s">
        <v>27</v>
      </c>
      <c r="H298" s="1" t="n">
        <v>75.1</v>
      </c>
      <c r="I298" s="1" t="n">
        <v>256</v>
      </c>
      <c r="J298" s="1" t="n">
        <v>0</v>
      </c>
      <c r="K298" s="1"/>
      <c r="L298" s="1" t="n">
        <v>0.1</v>
      </c>
      <c r="M298" s="1" t="n">
        <v>0.1</v>
      </c>
      <c r="N298" s="1" t="s">
        <v>253</v>
      </c>
      <c r="O298" s="1"/>
      <c r="P298" s="1"/>
      <c r="Q298" s="1"/>
      <c r="R298" s="1"/>
      <c r="Z298" s="0" t="n">
        <f aca="false">I298+0</f>
        <v>256</v>
      </c>
      <c r="AB298" s="0" t="n">
        <f aca="false">IF(Z298&gt;360,Z298-360,Z298+0)</f>
        <v>256</v>
      </c>
    </row>
    <row r="299" customFormat="false" ht="15.8" hidden="false" customHeight="false" outlineLevel="0" collapsed="false">
      <c r="A299" s="1" t="n">
        <v>12</v>
      </c>
      <c r="B299" s="1" t="n">
        <v>16</v>
      </c>
      <c r="C299" s="1" t="n">
        <v>0.8</v>
      </c>
      <c r="D299" s="1" t="n">
        <v>1.0116</v>
      </c>
      <c r="E299" s="1" t="n">
        <v>0.172326</v>
      </c>
      <c r="F299" s="1" t="n">
        <v>0.0030046</v>
      </c>
      <c r="G299" s="1" t="s">
        <v>27</v>
      </c>
      <c r="H299" s="1" t="n">
        <v>45.3</v>
      </c>
      <c r="I299" s="1" t="n">
        <v>141.6</v>
      </c>
      <c r="J299" s="1" t="n">
        <v>0</v>
      </c>
      <c r="K299" s="1"/>
      <c r="L299" s="1" t="n">
        <v>0.1</v>
      </c>
      <c r="M299" s="1" t="n">
        <v>0.1</v>
      </c>
      <c r="N299" s="1" t="s">
        <v>254</v>
      </c>
      <c r="O299" s="1"/>
      <c r="P299" s="1"/>
      <c r="Q299" s="1"/>
      <c r="R299" s="1"/>
      <c r="Z299" s="0" t="n">
        <f aca="false">I299+0</f>
        <v>141.6</v>
      </c>
      <c r="AB299" s="0" t="n">
        <f aca="false">IF(Z299&gt;360,Z299-360,Z299+0)</f>
        <v>141.6</v>
      </c>
    </row>
    <row r="300" customFormat="false" ht="15.8" hidden="false" customHeight="false" outlineLevel="0" collapsed="false">
      <c r="A300" s="1" t="n">
        <v>12</v>
      </c>
      <c r="B300" s="1" t="n">
        <v>16</v>
      </c>
      <c r="C300" s="1" t="n">
        <v>2.7</v>
      </c>
      <c r="D300" s="1" t="n">
        <v>1.5183</v>
      </c>
      <c r="E300" s="1" t="n">
        <v>0.592333</v>
      </c>
      <c r="F300" s="1" t="n">
        <v>0.0103277</v>
      </c>
      <c r="G300" s="1" t="s">
        <v>27</v>
      </c>
      <c r="H300" s="1" t="n">
        <v>151</v>
      </c>
      <c r="I300" s="1" t="n">
        <v>338.4</v>
      </c>
      <c r="J300" s="1" t="n">
        <v>0</v>
      </c>
      <c r="K300" s="1"/>
      <c r="L300" s="1" t="n">
        <v>0.1</v>
      </c>
      <c r="M300" s="1" t="n">
        <v>0.1</v>
      </c>
      <c r="N300" s="1" t="s">
        <v>254</v>
      </c>
      <c r="O300" s="1"/>
      <c r="P300" s="1"/>
      <c r="Q300" s="1"/>
      <c r="R300" s="1"/>
      <c r="Z300" s="0" t="n">
        <f aca="false">I300+0</f>
        <v>338.4</v>
      </c>
      <c r="AB300" s="0" t="n">
        <f aca="false">IF(Z300&gt;360,Z300-360,Z300+0)</f>
        <v>338.4</v>
      </c>
    </row>
    <row r="301" customFormat="false" ht="15.8" hidden="false" customHeight="false" outlineLevel="0" collapsed="false">
      <c r="A301" s="1" t="n">
        <v>12</v>
      </c>
      <c r="B301" s="1" t="n">
        <v>15</v>
      </c>
      <c r="C301" s="1" t="n">
        <v>3.8</v>
      </c>
      <c r="D301" s="1" t="n">
        <v>1.311</v>
      </c>
      <c r="E301" s="1" t="n">
        <v>0.835041</v>
      </c>
      <c r="F301" s="1" t="n">
        <v>0.0145594</v>
      </c>
      <c r="G301" s="1" t="s">
        <v>42</v>
      </c>
      <c r="H301" s="1" t="n">
        <v>23.2</v>
      </c>
      <c r="I301" s="1" t="n">
        <v>186.4</v>
      </c>
      <c r="J301" s="1" t="n">
        <v>-7.7</v>
      </c>
      <c r="K301" s="1" t="n">
        <v>151</v>
      </c>
      <c r="L301" s="1" t="n">
        <v>0.1</v>
      </c>
      <c r="M301" s="1" t="n">
        <v>0.1</v>
      </c>
      <c r="N301" s="1" t="s">
        <v>253</v>
      </c>
      <c r="O301" s="1"/>
      <c r="P301" s="1"/>
      <c r="Q301" s="1"/>
      <c r="R301" s="1"/>
      <c r="Z301" s="0" t="n">
        <f aca="false">I301+0</f>
        <v>186.4</v>
      </c>
      <c r="AB301" s="0" t="n">
        <f aca="false">IF(Z301&gt;360,Z301-360,Z301+0)</f>
        <v>186.4</v>
      </c>
    </row>
    <row r="302" customFormat="false" ht="15.8" hidden="false" customHeight="false" outlineLevel="0" collapsed="false">
      <c r="A302" s="1" t="n">
        <v>12</v>
      </c>
      <c r="B302" s="1" t="n">
        <v>14</v>
      </c>
      <c r="C302" s="1" t="n">
        <v>2.9</v>
      </c>
      <c r="D302" s="1" t="n">
        <v>1.2749</v>
      </c>
      <c r="E302" s="1" t="n">
        <v>0.639908</v>
      </c>
      <c r="F302" s="1" t="n">
        <v>0.0111571</v>
      </c>
      <c r="G302" s="1" t="s">
        <v>42</v>
      </c>
      <c r="H302" s="1" t="n">
        <v>33.3</v>
      </c>
      <c r="I302" s="1" t="n">
        <v>183.3</v>
      </c>
      <c r="J302" s="1" t="n">
        <v>-30.7</v>
      </c>
      <c r="K302" s="1" t="n">
        <v>75.1</v>
      </c>
      <c r="L302" s="1" t="n">
        <v>0.1</v>
      </c>
      <c r="M302" s="1" t="n">
        <v>0.1</v>
      </c>
      <c r="N302" s="1" t="s">
        <v>252</v>
      </c>
      <c r="O302" s="1"/>
      <c r="P302" s="1"/>
      <c r="Q302" s="1"/>
      <c r="R302" s="1"/>
      <c r="Z302" s="0" t="n">
        <f aca="false">I302+0</f>
        <v>183.3</v>
      </c>
      <c r="AB302" s="0" t="n">
        <f aca="false">IF(Z302&gt;360,Z302-360,Z302+0)</f>
        <v>183.3</v>
      </c>
    </row>
    <row r="303" customFormat="false" ht="15.8" hidden="false" customHeight="false" outlineLevel="0" collapsed="false">
      <c r="A303" s="1" t="n">
        <v>12</v>
      </c>
      <c r="B303" s="1" t="n">
        <v>13</v>
      </c>
      <c r="C303" s="1" t="n">
        <v>8.5</v>
      </c>
      <c r="D303" s="1" t="n">
        <v>1.2939</v>
      </c>
      <c r="E303" s="1" t="n">
        <v>1.86737</v>
      </c>
      <c r="F303" s="1" t="n">
        <v>0.0325586</v>
      </c>
      <c r="G303" s="1" t="s">
        <v>42</v>
      </c>
      <c r="H303" s="1" t="n">
        <v>10.6</v>
      </c>
      <c r="I303" s="1" t="n">
        <v>144.7</v>
      </c>
      <c r="J303" s="1" t="n">
        <v>-45.3</v>
      </c>
      <c r="K303" s="1" t="n">
        <v>33.3</v>
      </c>
      <c r="L303" s="1" t="n">
        <v>0.1</v>
      </c>
      <c r="M303" s="1" t="n">
        <v>0.1</v>
      </c>
      <c r="N303" s="1" t="s">
        <v>251</v>
      </c>
      <c r="O303" s="1"/>
      <c r="P303" s="1"/>
      <c r="Q303" s="1"/>
      <c r="R303" s="1"/>
      <c r="Z303" s="0" t="n">
        <f aca="false">I303+0</f>
        <v>144.7</v>
      </c>
      <c r="AB303" s="0" t="n">
        <f aca="false">IF(Z303&gt;360,Z303-360,Z303+0)</f>
        <v>144.7</v>
      </c>
    </row>
    <row r="304" customFormat="false" ht="15.8" hidden="false" customHeight="false" outlineLevel="0" collapsed="false">
      <c r="A304" s="1" t="n">
        <v>12</v>
      </c>
      <c r="B304" s="1" t="n">
        <v>12</v>
      </c>
      <c r="C304" s="1" t="n">
        <v>2.8</v>
      </c>
      <c r="D304" s="1" t="n">
        <v>1.3327</v>
      </c>
      <c r="E304" s="1" t="n">
        <v>0.612887</v>
      </c>
      <c r="F304" s="1" t="n">
        <v>0.010686</v>
      </c>
      <c r="G304" s="1" t="s">
        <v>42</v>
      </c>
      <c r="H304" s="1" t="n">
        <v>32.3</v>
      </c>
      <c r="I304" s="1" t="n">
        <v>129.7</v>
      </c>
      <c r="J304" s="1" t="n">
        <v>-48</v>
      </c>
      <c r="K304" s="1" t="n">
        <v>115.1</v>
      </c>
      <c r="L304" s="1" t="n">
        <v>0.1</v>
      </c>
      <c r="M304" s="1" t="n">
        <v>0.1</v>
      </c>
      <c r="N304" s="1" t="s">
        <v>249</v>
      </c>
      <c r="O304" s="1"/>
      <c r="P304" s="1"/>
      <c r="Q304" s="1"/>
      <c r="R304" s="1"/>
      <c r="Z304" s="0" t="n">
        <f aca="false">I304+0</f>
        <v>129.7</v>
      </c>
      <c r="AB304" s="0" t="n">
        <f aca="false">IF(Z304&gt;360,Z304-360,Z304+0)</f>
        <v>129.7</v>
      </c>
    </row>
    <row r="305" customFormat="false" ht="15.8" hidden="false" customHeight="false" outlineLevel="0" collapsed="false">
      <c r="A305" s="1" t="n">
        <v>12</v>
      </c>
      <c r="B305" s="1" t="n">
        <v>11</v>
      </c>
      <c r="C305" s="1" t="n">
        <v>3.1</v>
      </c>
      <c r="D305" s="1" t="n">
        <v>1.189</v>
      </c>
      <c r="E305" s="1" t="n">
        <v>0.669597</v>
      </c>
      <c r="F305" s="1" t="n">
        <v>0.0116748</v>
      </c>
      <c r="G305" s="1" t="s">
        <v>42</v>
      </c>
      <c r="H305" s="1" t="n">
        <v>11.6</v>
      </c>
      <c r="I305" s="1" t="n">
        <v>143.4</v>
      </c>
      <c r="J305" s="1" t="n">
        <v>-17.7</v>
      </c>
      <c r="K305" s="1" t="n">
        <v>55.9</v>
      </c>
      <c r="L305" s="1" t="n">
        <v>0.1</v>
      </c>
      <c r="M305" s="1" t="n">
        <v>0.1</v>
      </c>
      <c r="N305" s="1" t="s">
        <v>248</v>
      </c>
      <c r="O305" s="1"/>
      <c r="P305" s="1"/>
      <c r="Q305" s="1"/>
      <c r="R305" s="1"/>
      <c r="Z305" s="0" t="n">
        <f aca="false">I305+0</f>
        <v>143.4</v>
      </c>
      <c r="AB305" s="0" t="n">
        <f aca="false">IF(Z305&gt;360,Z305-360,Z305+0)</f>
        <v>143.4</v>
      </c>
    </row>
    <row r="306" customFormat="false" ht="15.8" hidden="false" customHeight="false" outlineLevel="0" collapsed="false">
      <c r="A306" s="1" t="n">
        <v>12</v>
      </c>
      <c r="B306" s="1" t="n">
        <v>10</v>
      </c>
      <c r="C306" s="1" t="n">
        <v>6.8</v>
      </c>
      <c r="D306" s="1" t="n">
        <v>1.2743</v>
      </c>
      <c r="E306" s="1" t="n">
        <v>1.49052</v>
      </c>
      <c r="F306" s="1" t="n">
        <v>0.0259881</v>
      </c>
      <c r="G306" s="1" t="s">
        <v>42</v>
      </c>
      <c r="H306" s="1" t="n">
        <v>89.3</v>
      </c>
      <c r="I306" s="1" t="n">
        <v>152.1</v>
      </c>
      <c r="J306" s="1" t="n">
        <v>-26</v>
      </c>
      <c r="K306" s="1" t="n">
        <v>64</v>
      </c>
      <c r="L306" s="1" t="n">
        <v>0.1</v>
      </c>
      <c r="M306" s="1" t="n">
        <v>0.1</v>
      </c>
      <c r="N306" s="1" t="s">
        <v>245</v>
      </c>
      <c r="O306" s="1"/>
      <c r="P306" s="1"/>
      <c r="Q306" s="1"/>
      <c r="R306" s="1"/>
      <c r="Z306" s="0" t="n">
        <f aca="false">I306+0</f>
        <v>152.1</v>
      </c>
      <c r="AB306" s="0" t="n">
        <f aca="false">IF(Z306&gt;360,Z306-360,Z306+0)</f>
        <v>152.1</v>
      </c>
    </row>
    <row r="307" customFormat="false" ht="15.8" hidden="false" customHeight="false" outlineLevel="0" collapsed="false">
      <c r="A307" s="1" t="n">
        <v>12</v>
      </c>
      <c r="B307" s="1" t="n">
        <v>9</v>
      </c>
      <c r="C307" s="1" t="n">
        <v>1.8</v>
      </c>
      <c r="D307" s="1" t="n">
        <v>1.2448</v>
      </c>
      <c r="E307" s="1" t="n">
        <v>0.389228</v>
      </c>
      <c r="F307" s="1" t="n">
        <v>0.0067864</v>
      </c>
      <c r="G307" s="1" t="s">
        <v>42</v>
      </c>
      <c r="H307" s="1" t="n">
        <v>98.5</v>
      </c>
      <c r="I307" s="1" t="n">
        <v>44.6</v>
      </c>
      <c r="J307" s="1" t="n">
        <v>-33.1</v>
      </c>
      <c r="K307" s="1" t="n">
        <v>89.3</v>
      </c>
      <c r="L307" s="1" t="n">
        <v>0.1</v>
      </c>
      <c r="M307" s="1" t="n">
        <v>0.1</v>
      </c>
      <c r="N307" s="1" t="s">
        <v>244</v>
      </c>
      <c r="O307" s="1"/>
      <c r="P307" s="1"/>
      <c r="Q307" s="1"/>
      <c r="R307" s="1"/>
      <c r="Z307" s="0" t="n">
        <f aca="false">I307+0</f>
        <v>44.6</v>
      </c>
      <c r="AB307" s="0" t="n">
        <f aca="false">IF(Z307&gt;360,Z307-360,Z307+0)</f>
        <v>44.6</v>
      </c>
    </row>
    <row r="308" customFormat="false" ht="15.8" hidden="false" customHeight="false" outlineLevel="0" collapsed="false">
      <c r="A308" s="1" t="n">
        <v>12</v>
      </c>
      <c r="B308" s="1" t="n">
        <v>8</v>
      </c>
      <c r="C308" s="1" t="n">
        <v>2.5</v>
      </c>
      <c r="D308" s="1" t="n">
        <v>1.1874</v>
      </c>
      <c r="E308" s="1" t="n">
        <v>0.550512</v>
      </c>
      <c r="F308" s="1" t="n">
        <v>0.00959849</v>
      </c>
      <c r="G308" s="1" t="s">
        <v>42</v>
      </c>
      <c r="H308" s="1" t="n">
        <v>24.8</v>
      </c>
      <c r="I308" s="1" t="n">
        <v>161.2</v>
      </c>
      <c r="J308" s="1" t="n">
        <v>-21.6</v>
      </c>
      <c r="K308" s="1" t="n">
        <v>98.5</v>
      </c>
      <c r="L308" s="1" t="n">
        <v>0.1</v>
      </c>
      <c r="M308" s="1" t="n">
        <v>0.1</v>
      </c>
      <c r="N308" s="1" t="s">
        <v>238</v>
      </c>
      <c r="O308" s="1"/>
      <c r="P308" s="1"/>
      <c r="Q308" s="1"/>
      <c r="R308" s="1"/>
      <c r="Z308" s="0" t="n">
        <f aca="false">I308+0</f>
        <v>161.2</v>
      </c>
      <c r="AB308" s="0" t="n">
        <f aca="false">IF(Z308&gt;360,Z308-360,Z308+0)</f>
        <v>161.2</v>
      </c>
    </row>
    <row r="309" customFormat="false" ht="15.8" hidden="false" customHeight="false" outlineLevel="0" collapsed="false">
      <c r="A309" s="1" t="n">
        <v>12</v>
      </c>
      <c r="B309" s="1" t="n">
        <v>7</v>
      </c>
      <c r="C309" s="1" t="n">
        <v>2.8</v>
      </c>
      <c r="D309" s="1" t="n">
        <v>1.2152</v>
      </c>
      <c r="E309" s="1" t="n">
        <v>0.622036</v>
      </c>
      <c r="F309" s="1" t="n">
        <v>0.0108455</v>
      </c>
      <c r="G309" s="1" t="s">
        <v>42</v>
      </c>
      <c r="H309" s="1" t="n">
        <v>63.5</v>
      </c>
      <c r="I309" s="1" t="n">
        <v>173.8</v>
      </c>
      <c r="J309" s="1" t="n">
        <v>0</v>
      </c>
      <c r="K309" s="1" t="n">
        <v>24.8</v>
      </c>
      <c r="L309" s="1" t="n">
        <v>0.1</v>
      </c>
      <c r="M309" s="1" t="n">
        <v>0.1</v>
      </c>
      <c r="N309" s="1" t="s">
        <v>255</v>
      </c>
      <c r="O309" s="1"/>
      <c r="P309" s="1"/>
      <c r="Q309" s="1"/>
      <c r="R309" s="1"/>
      <c r="Z309" s="0" t="n">
        <f aca="false">I309+0</f>
        <v>173.8</v>
      </c>
      <c r="AB309" s="0" t="n">
        <f aca="false">IF(Z309&gt;360,Z309-360,Z309+0)</f>
        <v>173.8</v>
      </c>
    </row>
    <row r="310" customFormat="false" ht="15.8" hidden="false" customHeight="false" outlineLevel="0" collapsed="false">
      <c r="A310" s="1" t="n">
        <v>12</v>
      </c>
      <c r="B310" s="1" t="n">
        <v>8</v>
      </c>
      <c r="C310" s="1" t="n">
        <v>7.1</v>
      </c>
      <c r="D310" s="1" t="n">
        <v>1.4042</v>
      </c>
      <c r="E310" s="1" t="n">
        <v>1.5509</v>
      </c>
      <c r="F310" s="1" t="n">
        <v>0.0270408</v>
      </c>
      <c r="G310" s="1" t="s">
        <v>27</v>
      </c>
      <c r="H310" s="1" t="n">
        <v>108.6</v>
      </c>
      <c r="I310" s="1" t="n">
        <v>163.2</v>
      </c>
      <c r="J310" s="1" t="n">
        <v>-44.1</v>
      </c>
      <c r="K310" s="1"/>
      <c r="L310" s="1" t="n">
        <v>0.1</v>
      </c>
      <c r="M310" s="1" t="n">
        <v>0.1</v>
      </c>
      <c r="N310" s="1" t="s">
        <v>256</v>
      </c>
      <c r="O310" s="1"/>
      <c r="P310" s="1"/>
      <c r="Q310" s="1"/>
      <c r="R310" s="1"/>
      <c r="Z310" s="0" t="n">
        <f aca="false">I310+0</f>
        <v>163.2</v>
      </c>
      <c r="AB310" s="0" t="n">
        <f aca="false">IF(Z310&gt;360,Z310-360,Z310+0)</f>
        <v>163.2</v>
      </c>
    </row>
    <row r="311" customFormat="false" ht="15.8" hidden="false" customHeight="false" outlineLevel="0" collapsed="false">
      <c r="A311" s="1" t="n">
        <v>12</v>
      </c>
      <c r="B311" s="1" t="n">
        <v>8</v>
      </c>
      <c r="C311" s="1" t="n">
        <v>1.3</v>
      </c>
      <c r="D311" s="1" t="n">
        <v>1.0771</v>
      </c>
      <c r="E311" s="1" t="n">
        <v>0.286075</v>
      </c>
      <c r="F311" s="1" t="n">
        <v>0.00498788</v>
      </c>
      <c r="G311" s="1" t="s">
        <v>27</v>
      </c>
      <c r="H311" s="1" t="n">
        <v>7.7</v>
      </c>
      <c r="I311" s="1" t="n">
        <v>35.3</v>
      </c>
      <c r="J311" s="1" t="n">
        <v>0</v>
      </c>
      <c r="K311" s="1"/>
      <c r="L311" s="1" t="n">
        <v>0.1</v>
      </c>
      <c r="M311" s="1" t="n">
        <v>0.1</v>
      </c>
      <c r="N311" s="1" t="s">
        <v>256</v>
      </c>
      <c r="O311" s="1"/>
      <c r="P311" s="1"/>
      <c r="Q311" s="1"/>
      <c r="R311" s="1"/>
      <c r="Z311" s="0" t="n">
        <f aca="false">I311+0</f>
        <v>35.3</v>
      </c>
      <c r="AB311" s="0" t="n">
        <f aca="false">IF(Z311&gt;360,Z311-360,Z311+0)</f>
        <v>35.3</v>
      </c>
    </row>
    <row r="312" customFormat="false" ht="15.8" hidden="false" customHeight="false" outlineLevel="0" collapsed="false">
      <c r="A312" s="1" t="n">
        <v>12</v>
      </c>
      <c r="B312" s="1" t="n">
        <v>7</v>
      </c>
      <c r="C312" s="1" t="n">
        <v>5</v>
      </c>
      <c r="D312" s="1" t="n">
        <v>1.0791</v>
      </c>
      <c r="E312" s="1" t="n">
        <v>1.09455</v>
      </c>
      <c r="F312" s="1" t="n">
        <v>0.0190842</v>
      </c>
      <c r="G312" s="1" t="s">
        <v>42</v>
      </c>
      <c r="H312" s="1" t="n">
        <v>70.7</v>
      </c>
      <c r="I312" s="1" t="n">
        <v>41.3</v>
      </c>
      <c r="J312" s="1" t="n">
        <v>-4.8</v>
      </c>
      <c r="K312" s="1" t="n">
        <v>108.6</v>
      </c>
      <c r="L312" s="1" t="n">
        <v>0.1</v>
      </c>
      <c r="M312" s="1" t="n">
        <v>0.1</v>
      </c>
      <c r="N312" s="1" t="s">
        <v>255</v>
      </c>
      <c r="O312" s="1"/>
      <c r="P312" s="1"/>
      <c r="Q312" s="1"/>
      <c r="R312" s="1"/>
      <c r="Z312" s="0" t="n">
        <f aca="false">I312+0</f>
        <v>41.3</v>
      </c>
      <c r="AB312" s="0" t="n">
        <f aca="false">IF(Z312&gt;360,Z312-360,Z312+0)</f>
        <v>41.3</v>
      </c>
    </row>
    <row r="313" customFormat="false" ht="15.8" hidden="false" customHeight="false" outlineLevel="0" collapsed="false">
      <c r="A313" s="1" t="n">
        <v>12</v>
      </c>
      <c r="B313" s="1" t="n">
        <v>6</v>
      </c>
      <c r="C313" s="1" t="n">
        <v>2.5</v>
      </c>
      <c r="D313" s="1" t="n">
        <v>1.1375</v>
      </c>
      <c r="E313" s="1" t="n">
        <v>0.5543</v>
      </c>
      <c r="F313" s="1" t="n">
        <v>0.00966453</v>
      </c>
      <c r="G313" s="1" t="s">
        <v>42</v>
      </c>
      <c r="H313" s="1" t="n">
        <v>21.2</v>
      </c>
      <c r="I313" s="1" t="n">
        <v>110.7</v>
      </c>
      <c r="J313" s="1" t="n">
        <v>10.1</v>
      </c>
      <c r="K313" s="1" t="n">
        <v>70.7</v>
      </c>
      <c r="L313" s="1" t="n">
        <v>0.1</v>
      </c>
      <c r="M313" s="1" t="n">
        <v>0.1</v>
      </c>
      <c r="N313" s="1" t="s">
        <v>235</v>
      </c>
      <c r="O313" s="1"/>
      <c r="P313" s="1"/>
      <c r="Q313" s="1"/>
      <c r="R313" s="1"/>
      <c r="Z313" s="0" t="n">
        <f aca="false">I313+0</f>
        <v>110.7</v>
      </c>
      <c r="AB313" s="0" t="n">
        <f aca="false">IF(Z313&gt;360,Z313-360,Z313+0)</f>
        <v>110.7</v>
      </c>
    </row>
    <row r="314" customFormat="false" ht="15.8" hidden="false" customHeight="false" outlineLevel="0" collapsed="false">
      <c r="A314" s="1" t="n">
        <v>12</v>
      </c>
      <c r="B314" s="1" t="n">
        <v>5</v>
      </c>
      <c r="C314" s="1" t="n">
        <v>1.6</v>
      </c>
      <c r="D314" s="1" t="n">
        <v>1.5127</v>
      </c>
      <c r="E314" s="1" t="n">
        <v>0.0984336</v>
      </c>
      <c r="F314" s="1" t="n">
        <v>0.000785694</v>
      </c>
      <c r="G314" s="1" t="s">
        <v>42</v>
      </c>
      <c r="H314" s="1" t="n">
        <v>34.2</v>
      </c>
      <c r="I314" s="1" t="n">
        <v>129.5</v>
      </c>
      <c r="J314" s="1" t="n">
        <v>0</v>
      </c>
      <c r="K314" s="1" t="n">
        <v>76.2</v>
      </c>
      <c r="L314" s="1" t="n">
        <v>0</v>
      </c>
      <c r="M314" s="1" t="n">
        <v>0</v>
      </c>
      <c r="N314" s="1" t="s">
        <v>230</v>
      </c>
      <c r="O314" s="1"/>
      <c r="P314" s="1"/>
      <c r="Q314" s="1"/>
      <c r="R314" s="1"/>
      <c r="Z314" s="0" t="n">
        <f aca="false">I314+0</f>
        <v>129.5</v>
      </c>
      <c r="AB314" s="0" t="n">
        <f aca="false">IF(Z314&gt;360,Z314-360,Z314+0)</f>
        <v>129.5</v>
      </c>
    </row>
    <row r="315" customFormat="false" ht="15.8" hidden="false" customHeight="false" outlineLevel="0" collapsed="false">
      <c r="A315" s="1" t="n">
        <v>12</v>
      </c>
      <c r="B315" s="1" t="n">
        <v>4</v>
      </c>
      <c r="C315" s="1" t="n">
        <v>2</v>
      </c>
      <c r="D315" s="1" t="n">
        <v>1.1605</v>
      </c>
      <c r="E315" s="1" t="n">
        <v>0.070613</v>
      </c>
      <c r="F315" s="1" t="n">
        <v>0.000202965</v>
      </c>
      <c r="G315" s="1" t="s">
        <v>42</v>
      </c>
      <c r="H315" s="1" t="n">
        <v>95.6</v>
      </c>
      <c r="I315" s="1" t="n">
        <v>150.5</v>
      </c>
      <c r="J315" s="1" t="n">
        <v>27.6</v>
      </c>
      <c r="K315" s="1" t="n">
        <v>56.2</v>
      </c>
      <c r="L315" s="1" t="n">
        <v>0</v>
      </c>
      <c r="M315" s="1" t="n">
        <v>0</v>
      </c>
      <c r="N315" s="1" t="s">
        <v>200</v>
      </c>
      <c r="O315" s="1"/>
      <c r="P315" s="1"/>
      <c r="Q315" s="1"/>
      <c r="R315" s="1"/>
      <c r="Z315" s="0" t="n">
        <f aca="false">I315+0</f>
        <v>150.5</v>
      </c>
      <c r="AB315" s="0" t="n">
        <f aca="false">IF(Z315&gt;360,Z315-360,Z315+0)</f>
        <v>150.5</v>
      </c>
    </row>
    <row r="316" customFormat="false" ht="15.8" hidden="false" customHeight="false" outlineLevel="0" collapsed="false">
      <c r="A316" s="1" t="n">
        <v>12</v>
      </c>
      <c r="B316" s="1" t="n">
        <v>3</v>
      </c>
      <c r="C316" s="1" t="n">
        <v>2.5</v>
      </c>
      <c r="D316" s="1" t="n">
        <v>1.2024</v>
      </c>
      <c r="E316" s="1" t="n">
        <v>0.0893412</v>
      </c>
      <c r="F316" s="1" t="n">
        <v>0.000256796</v>
      </c>
      <c r="G316" s="1" t="s">
        <v>42</v>
      </c>
      <c r="H316" s="1" t="n">
        <v>19.6</v>
      </c>
      <c r="I316" s="1" t="n">
        <v>65.9</v>
      </c>
      <c r="J316" s="1" t="n">
        <v>-22.3</v>
      </c>
      <c r="K316" s="1" t="n">
        <v>95.6</v>
      </c>
      <c r="L316" s="1" t="n">
        <v>0</v>
      </c>
      <c r="M316" s="1" t="n">
        <v>0</v>
      </c>
      <c r="N316" s="1" t="s">
        <v>199</v>
      </c>
      <c r="O316" s="1"/>
      <c r="P316" s="1"/>
      <c r="Q316" s="1"/>
      <c r="R316" s="1"/>
      <c r="Z316" s="0" t="n">
        <f aca="false">I316+0</f>
        <v>65.9</v>
      </c>
      <c r="AB316" s="0" t="n">
        <f aca="false">IF(Z316&gt;360,Z316-360,Z316+0)</f>
        <v>65.9</v>
      </c>
    </row>
    <row r="317" customFormat="false" ht="15.8" hidden="false" customHeight="false" outlineLevel="0" collapsed="false">
      <c r="A317" s="1" t="n">
        <v>12</v>
      </c>
      <c r="B317" s="1" t="n">
        <v>6</v>
      </c>
      <c r="C317" s="1" t="n">
        <v>0.7</v>
      </c>
      <c r="D317" s="1" t="n">
        <v>1.1452</v>
      </c>
      <c r="E317" s="1" t="n">
        <v>0.024879</v>
      </c>
      <c r="F317" s="1" t="n">
        <v>7.15106E-005</v>
      </c>
      <c r="G317" s="1" t="s">
        <v>27</v>
      </c>
      <c r="H317" s="1" t="n">
        <v>58.3</v>
      </c>
      <c r="I317" s="1" t="n">
        <v>51.1</v>
      </c>
      <c r="J317" s="1" t="n">
        <v>40.4</v>
      </c>
      <c r="K317" s="1"/>
      <c r="L317" s="1" t="n">
        <v>0</v>
      </c>
      <c r="M317" s="1" t="n">
        <v>0</v>
      </c>
      <c r="N317" s="1" t="s">
        <v>257</v>
      </c>
      <c r="O317" s="1"/>
      <c r="P317" s="1"/>
      <c r="Q317" s="1"/>
      <c r="R317" s="1"/>
      <c r="Z317" s="0" t="n">
        <f aca="false">I317+0</f>
        <v>51.1</v>
      </c>
      <c r="AB317" s="0" t="n">
        <f aca="false">IF(Z317&gt;360,Z317-360,Z317+0)</f>
        <v>51.1</v>
      </c>
    </row>
    <row r="318" customFormat="false" ht="15.8" hidden="false" customHeight="false" outlineLevel="0" collapsed="false">
      <c r="A318" s="1" t="n">
        <v>12</v>
      </c>
      <c r="B318" s="1" t="n">
        <v>6</v>
      </c>
      <c r="C318" s="1" t="n">
        <v>0.4</v>
      </c>
      <c r="D318" s="1" t="n">
        <v>1.0187</v>
      </c>
      <c r="E318" s="1" t="n">
        <v>0.0143847</v>
      </c>
      <c r="F318" s="1" t="n">
        <v>4.13464E-005</v>
      </c>
      <c r="G318" s="1" t="s">
        <v>27</v>
      </c>
      <c r="H318" s="1" t="n">
        <v>71.2</v>
      </c>
      <c r="I318" s="1" t="n">
        <v>180</v>
      </c>
      <c r="J318" s="1" t="n">
        <v>0</v>
      </c>
      <c r="K318" s="1"/>
      <c r="L318" s="1" t="n">
        <v>0</v>
      </c>
      <c r="M318" s="1" t="n">
        <v>0</v>
      </c>
      <c r="N318" s="1" t="s">
        <v>257</v>
      </c>
      <c r="O318" s="1"/>
      <c r="P318" s="1"/>
      <c r="Q318" s="1"/>
      <c r="R318" s="1"/>
      <c r="Z318" s="0" t="n">
        <f aca="false">I318+0</f>
        <v>180</v>
      </c>
      <c r="AB318" s="0" t="n">
        <f aca="false">IF(Z318&gt;360,Z318-360,Z318+0)</f>
        <v>180</v>
      </c>
    </row>
    <row r="319" customFormat="false" ht="15.8" hidden="false" customHeight="false" outlineLevel="0" collapsed="false">
      <c r="A319" s="1" t="n">
        <v>12</v>
      </c>
      <c r="B319" s="1" t="n">
        <v>5</v>
      </c>
      <c r="C319" s="1" t="n">
        <v>1.3</v>
      </c>
      <c r="D319" s="1" t="n">
        <v>1.0708</v>
      </c>
      <c r="E319" s="1" t="n">
        <v>0.0482038</v>
      </c>
      <c r="F319" s="1" t="n">
        <v>0.000138554</v>
      </c>
      <c r="G319" s="1" t="s">
        <v>42</v>
      </c>
      <c r="H319" s="1" t="n">
        <v>70.9</v>
      </c>
      <c r="I319" s="1" t="n">
        <v>159.6</v>
      </c>
      <c r="J319" s="1" t="n">
        <v>69.9</v>
      </c>
      <c r="K319" s="1" t="n">
        <v>71.2</v>
      </c>
      <c r="L319" s="1" t="n">
        <v>0</v>
      </c>
      <c r="M319" s="1" t="n">
        <v>0</v>
      </c>
      <c r="N319" s="1" t="s">
        <v>258</v>
      </c>
      <c r="O319" s="1"/>
      <c r="P319" s="1"/>
      <c r="Q319" s="1"/>
      <c r="R319" s="1"/>
      <c r="Z319" s="0" t="n">
        <f aca="false">I319+0</f>
        <v>159.6</v>
      </c>
      <c r="AB319" s="0" t="n">
        <f aca="false">IF(Z319&gt;360,Z319-360,Z319+0)</f>
        <v>159.6</v>
      </c>
    </row>
    <row r="320" customFormat="false" ht="15.8" hidden="false" customHeight="false" outlineLevel="0" collapsed="false">
      <c r="A320" s="1" t="n">
        <v>12</v>
      </c>
      <c r="B320" s="1" t="n">
        <v>6</v>
      </c>
      <c r="C320" s="1" t="n">
        <v>3.1</v>
      </c>
      <c r="D320" s="1" t="n">
        <v>1.2386</v>
      </c>
      <c r="E320" s="1" t="n">
        <v>0.11022</v>
      </c>
      <c r="F320" s="1" t="n">
        <v>0.000316811</v>
      </c>
      <c r="G320" s="1" t="s">
        <v>27</v>
      </c>
      <c r="H320" s="1" t="n">
        <v>83.3</v>
      </c>
      <c r="I320" s="1" t="n">
        <v>20.1</v>
      </c>
      <c r="J320" s="1" t="n">
        <v>52.3</v>
      </c>
      <c r="K320" s="1"/>
      <c r="L320" s="1" t="n">
        <v>0</v>
      </c>
      <c r="M320" s="1" t="n">
        <v>0</v>
      </c>
      <c r="N320" s="1" t="s">
        <v>259</v>
      </c>
      <c r="O320" s="1"/>
      <c r="P320" s="1"/>
      <c r="Q320" s="1"/>
      <c r="R320" s="1"/>
      <c r="Z320" s="0" t="n">
        <f aca="false">I320+0</f>
        <v>20.1</v>
      </c>
      <c r="AB320" s="0" t="n">
        <f aca="false">IF(Z320&gt;360,Z320-360,Z320+0)</f>
        <v>20.1</v>
      </c>
    </row>
    <row r="321" customFormat="false" ht="15.8" hidden="false" customHeight="false" outlineLevel="0" collapsed="false">
      <c r="A321" s="1" t="n">
        <v>12</v>
      </c>
      <c r="B321" s="1" t="n">
        <v>7</v>
      </c>
      <c r="C321" s="1" t="n">
        <v>1.2</v>
      </c>
      <c r="D321" s="1" t="n">
        <v>1.3163</v>
      </c>
      <c r="E321" s="1" t="n">
        <v>0.0439101</v>
      </c>
      <c r="F321" s="1" t="n">
        <v>0.000126212</v>
      </c>
      <c r="G321" s="1" t="s">
        <v>27</v>
      </c>
      <c r="H321" s="1" t="n">
        <v>49.6</v>
      </c>
      <c r="I321" s="1" t="n">
        <v>35.5</v>
      </c>
      <c r="J321" s="1" t="n">
        <v>-57.6</v>
      </c>
      <c r="K321" s="1"/>
      <c r="L321" s="1" t="n">
        <v>0</v>
      </c>
      <c r="M321" s="1" t="n">
        <v>0</v>
      </c>
      <c r="N321" s="1" t="s">
        <v>260</v>
      </c>
      <c r="O321" s="1"/>
      <c r="P321" s="1"/>
      <c r="Q321" s="1"/>
      <c r="R321" s="1"/>
      <c r="Z321" s="0" t="n">
        <f aca="false">I321+0</f>
        <v>35.5</v>
      </c>
      <c r="AB321" s="0" t="n">
        <f aca="false">IF(Z321&gt;360,Z321-360,Z321+0)</f>
        <v>35.5</v>
      </c>
    </row>
    <row r="322" customFormat="false" ht="15.8" hidden="false" customHeight="false" outlineLevel="0" collapsed="false">
      <c r="A322" s="1" t="n">
        <v>12</v>
      </c>
      <c r="B322" s="1" t="n">
        <v>8</v>
      </c>
      <c r="C322" s="1" t="n">
        <v>4.5</v>
      </c>
      <c r="D322" s="1" t="n">
        <v>1.3454</v>
      </c>
      <c r="E322" s="1" t="n">
        <v>0.161345</v>
      </c>
      <c r="F322" s="1" t="n">
        <v>0.000463759</v>
      </c>
      <c r="G322" s="1" t="s">
        <v>27</v>
      </c>
      <c r="H322" s="1" t="n">
        <v>41.7</v>
      </c>
      <c r="I322" s="1" t="n">
        <v>39.7</v>
      </c>
      <c r="J322" s="1" t="n">
        <v>-70</v>
      </c>
      <c r="K322" s="1"/>
      <c r="L322" s="1" t="n">
        <v>0</v>
      </c>
      <c r="M322" s="1" t="n">
        <v>0</v>
      </c>
      <c r="N322" s="1" t="s">
        <v>261</v>
      </c>
      <c r="O322" s="1"/>
      <c r="P322" s="1"/>
      <c r="Q322" s="1"/>
      <c r="R322" s="1"/>
      <c r="Z322" s="0" t="n">
        <f aca="false">I322+0</f>
        <v>39.7</v>
      </c>
      <c r="AB322" s="0" t="n">
        <f aca="false">IF(Z322&gt;360,Z322-360,Z322+0)</f>
        <v>39.7</v>
      </c>
    </row>
    <row r="323" customFormat="false" ht="15.8" hidden="false" customHeight="false" outlineLevel="0" collapsed="false">
      <c r="A323" s="1" t="n">
        <v>12</v>
      </c>
      <c r="B323" s="1" t="n">
        <v>9</v>
      </c>
      <c r="C323" s="1" t="n">
        <v>1.6</v>
      </c>
      <c r="D323" s="1" t="n">
        <v>1.1902</v>
      </c>
      <c r="E323" s="1" t="n">
        <v>0.0589833</v>
      </c>
      <c r="F323" s="1" t="n">
        <v>0.000169538</v>
      </c>
      <c r="G323" s="1" t="s">
        <v>27</v>
      </c>
      <c r="H323" s="1" t="n">
        <v>103</v>
      </c>
      <c r="I323" s="1" t="n">
        <v>256.4</v>
      </c>
      <c r="J323" s="1" t="n">
        <v>0</v>
      </c>
      <c r="K323" s="1"/>
      <c r="L323" s="1" t="n">
        <v>0</v>
      </c>
      <c r="M323" s="1" t="n">
        <v>0</v>
      </c>
      <c r="N323" s="1" t="s">
        <v>262</v>
      </c>
      <c r="O323" s="1"/>
      <c r="P323" s="1"/>
      <c r="Q323" s="1"/>
      <c r="R323" s="1"/>
      <c r="Z323" s="0" t="n">
        <f aca="false">I323+0</f>
        <v>256.4</v>
      </c>
      <c r="AB323" s="0" t="n">
        <f aca="false">IF(Z323&gt;360,Z323-360,Z323+0)</f>
        <v>256.4</v>
      </c>
    </row>
    <row r="324" customFormat="false" ht="15.8" hidden="false" customHeight="false" outlineLevel="0" collapsed="false">
      <c r="A324" s="1" t="n">
        <v>12</v>
      </c>
      <c r="B324" s="1" t="n">
        <v>9</v>
      </c>
      <c r="C324" s="1" t="n">
        <v>1.4</v>
      </c>
      <c r="D324" s="1" t="n">
        <v>1.3031</v>
      </c>
      <c r="E324" s="1" t="n">
        <v>0.0518265</v>
      </c>
      <c r="F324" s="1" t="n">
        <v>0.000148967</v>
      </c>
      <c r="G324" s="1" t="s">
        <v>27</v>
      </c>
      <c r="H324" s="1" t="n">
        <v>83.8</v>
      </c>
      <c r="I324" s="1" t="n">
        <v>96.4</v>
      </c>
      <c r="J324" s="1" t="n">
        <v>20.7</v>
      </c>
      <c r="K324" s="1"/>
      <c r="L324" s="1" t="n">
        <v>0</v>
      </c>
      <c r="M324" s="1" t="n">
        <v>0</v>
      </c>
      <c r="N324" s="1" t="s">
        <v>262</v>
      </c>
      <c r="O324" s="1"/>
      <c r="P324" s="1"/>
      <c r="Q324" s="1"/>
      <c r="R324" s="1"/>
      <c r="Z324" s="0" t="n">
        <f aca="false">I324+0</f>
        <v>96.4</v>
      </c>
      <c r="AB324" s="0" t="n">
        <f aca="false">IF(Z324&gt;360,Z324-360,Z324+0)</f>
        <v>96.4</v>
      </c>
    </row>
    <row r="325" customFormat="false" ht="15.8" hidden="false" customHeight="false" outlineLevel="0" collapsed="false">
      <c r="A325" s="1" t="n">
        <v>12</v>
      </c>
      <c r="B325" s="1" t="n">
        <v>8</v>
      </c>
      <c r="C325" s="1" t="n">
        <v>1.3</v>
      </c>
      <c r="D325" s="1" t="n">
        <v>1.3019</v>
      </c>
      <c r="E325" s="1" t="n">
        <v>0.047098</v>
      </c>
      <c r="F325" s="1" t="n">
        <v>0.000135375</v>
      </c>
      <c r="G325" s="1" t="s">
        <v>42</v>
      </c>
      <c r="H325" s="1" t="n">
        <v>8.1</v>
      </c>
      <c r="I325" s="1" t="n">
        <v>145.4</v>
      </c>
      <c r="J325" s="1" t="n">
        <v>-51.1</v>
      </c>
      <c r="K325" s="1" t="n">
        <v>103</v>
      </c>
      <c r="L325" s="1" t="n">
        <v>0</v>
      </c>
      <c r="M325" s="1" t="n">
        <v>0</v>
      </c>
      <c r="N325" s="1" t="s">
        <v>261</v>
      </c>
      <c r="O325" s="1"/>
      <c r="P325" s="1"/>
      <c r="Q325" s="1"/>
      <c r="R325" s="1"/>
      <c r="Z325" s="0" t="n">
        <f aca="false">I325+0</f>
        <v>145.4</v>
      </c>
      <c r="AB325" s="0" t="n">
        <f aca="false">IF(Z325&gt;360,Z325-360,Z325+0)</f>
        <v>145.4</v>
      </c>
    </row>
    <row r="326" customFormat="false" ht="15.8" hidden="false" customHeight="false" outlineLevel="0" collapsed="false">
      <c r="A326" s="1" t="n">
        <v>12</v>
      </c>
      <c r="B326" s="1" t="n">
        <v>7</v>
      </c>
      <c r="C326" s="1" t="n">
        <v>1.2</v>
      </c>
      <c r="D326" s="1" t="n">
        <v>1.3166</v>
      </c>
      <c r="E326" s="1" t="n">
        <v>0.04329</v>
      </c>
      <c r="F326" s="1" t="n">
        <v>0.00012443</v>
      </c>
      <c r="G326" s="1" t="s">
        <v>42</v>
      </c>
      <c r="H326" s="1" t="n">
        <v>2.9</v>
      </c>
      <c r="I326" s="1" t="n">
        <v>149</v>
      </c>
      <c r="J326" s="1" t="n">
        <v>-59</v>
      </c>
      <c r="K326" s="1" t="n">
        <v>41.7</v>
      </c>
      <c r="L326" s="1" t="n">
        <v>0</v>
      </c>
      <c r="M326" s="1" t="n">
        <v>0</v>
      </c>
      <c r="N326" s="1" t="s">
        <v>260</v>
      </c>
      <c r="O326" s="1"/>
      <c r="P326" s="1"/>
      <c r="Q326" s="1"/>
      <c r="R326" s="1"/>
      <c r="Z326" s="0" t="n">
        <f aca="false">I326+0</f>
        <v>149</v>
      </c>
      <c r="AB326" s="0" t="n">
        <f aca="false">IF(Z326&gt;360,Z326-360,Z326+0)</f>
        <v>149</v>
      </c>
    </row>
    <row r="327" customFormat="false" ht="15.8" hidden="false" customHeight="false" outlineLevel="0" collapsed="false">
      <c r="A327" s="1" t="n">
        <v>12</v>
      </c>
      <c r="B327" s="1" t="n">
        <v>6</v>
      </c>
      <c r="C327" s="1" t="n">
        <v>3.1</v>
      </c>
      <c r="D327" s="1" t="n">
        <v>1.4231</v>
      </c>
      <c r="E327" s="1" t="n">
        <v>0.113675</v>
      </c>
      <c r="F327" s="1" t="n">
        <v>0.00032674</v>
      </c>
      <c r="G327" s="1" t="s">
        <v>42</v>
      </c>
      <c r="H327" s="1" t="n">
        <v>68.1</v>
      </c>
      <c r="I327" s="1" t="n">
        <v>148.1</v>
      </c>
      <c r="J327" s="1" t="n">
        <v>-61.9</v>
      </c>
      <c r="K327" s="1" t="n">
        <v>49.6</v>
      </c>
      <c r="L327" s="1" t="n">
        <v>0</v>
      </c>
      <c r="M327" s="1" t="n">
        <v>0</v>
      </c>
      <c r="N327" s="1" t="s">
        <v>259</v>
      </c>
      <c r="O327" s="1"/>
      <c r="P327" s="1"/>
      <c r="Q327" s="1"/>
      <c r="R327" s="1"/>
      <c r="Z327" s="0" t="n">
        <f aca="false">I327+0</f>
        <v>148.1</v>
      </c>
      <c r="AB327" s="0" t="n">
        <f aca="false">IF(Z327&gt;360,Z327-360,Z327+0)</f>
        <v>148.1</v>
      </c>
    </row>
    <row r="328" customFormat="false" ht="15.8" hidden="false" customHeight="false" outlineLevel="0" collapsed="false">
      <c r="A328" s="1" t="n">
        <v>12</v>
      </c>
      <c r="B328" s="1" t="n">
        <v>5</v>
      </c>
      <c r="C328" s="1" t="n">
        <v>2.4</v>
      </c>
      <c r="D328" s="1" t="n">
        <v>1.3608</v>
      </c>
      <c r="E328" s="1" t="n">
        <v>0.0868705</v>
      </c>
      <c r="F328" s="1" t="n">
        <v>0.000249695</v>
      </c>
      <c r="G328" s="1" t="s">
        <v>42</v>
      </c>
      <c r="H328" s="1" t="n">
        <v>61.5</v>
      </c>
      <c r="I328" s="1" t="n">
        <v>80.8</v>
      </c>
      <c r="J328" s="1" t="n">
        <v>-12.7</v>
      </c>
      <c r="K328" s="1" t="n">
        <v>83.3</v>
      </c>
      <c r="L328" s="1" t="n">
        <v>0</v>
      </c>
      <c r="M328" s="1" t="n">
        <v>0</v>
      </c>
      <c r="N328" s="1" t="s">
        <v>258</v>
      </c>
      <c r="O328" s="1"/>
      <c r="P328" s="1"/>
      <c r="Q328" s="1"/>
      <c r="R328" s="1"/>
      <c r="Z328" s="0" t="n">
        <f aca="false">I328+0</f>
        <v>80.8</v>
      </c>
      <c r="AB328" s="0" t="n">
        <f aca="false">IF(Z328&gt;360,Z328-360,Z328+0)</f>
        <v>80.8</v>
      </c>
    </row>
    <row r="329" customFormat="false" ht="15.8" hidden="false" customHeight="false" outlineLevel="0" collapsed="false">
      <c r="A329" s="1" t="n">
        <v>12</v>
      </c>
      <c r="B329" s="1" t="n">
        <v>4</v>
      </c>
      <c r="C329" s="1" t="n">
        <v>0.7</v>
      </c>
      <c r="D329" s="1" t="n">
        <v>1.0126</v>
      </c>
      <c r="E329" s="1" t="n">
        <v>0.0236432</v>
      </c>
      <c r="F329" s="1" t="n">
        <v>6.79583E-005</v>
      </c>
      <c r="G329" s="1" t="s">
        <v>42</v>
      </c>
      <c r="H329" s="1" t="n">
        <v>32</v>
      </c>
      <c r="I329" s="1" t="n">
        <v>141.5</v>
      </c>
      <c r="J329" s="1" t="n">
        <v>0</v>
      </c>
      <c r="K329" s="1" t="n">
        <v>70.9</v>
      </c>
      <c r="L329" s="1" t="n">
        <v>0</v>
      </c>
      <c r="M329" s="1" t="n">
        <v>0</v>
      </c>
      <c r="N329" s="1" t="s">
        <v>263</v>
      </c>
      <c r="O329" s="1"/>
      <c r="P329" s="1"/>
      <c r="Q329" s="1"/>
      <c r="R329" s="1"/>
      <c r="Z329" s="0" t="n">
        <f aca="false">I329+0</f>
        <v>141.5</v>
      </c>
      <c r="AB329" s="0" t="n">
        <f aca="false">IF(Z329&gt;360,Z329-360,Z329+0)</f>
        <v>141.5</v>
      </c>
    </row>
    <row r="330" customFormat="false" ht="15.8" hidden="false" customHeight="false" outlineLevel="0" collapsed="false">
      <c r="A330" s="1" t="n">
        <v>12</v>
      </c>
      <c r="B330" s="1" t="n">
        <v>5</v>
      </c>
      <c r="C330" s="1" t="n">
        <v>7.5</v>
      </c>
      <c r="D330" s="1" t="n">
        <v>1.4345</v>
      </c>
      <c r="E330" s="1" t="n">
        <v>0.271719</v>
      </c>
      <c r="F330" s="1" t="n">
        <v>0.00078101</v>
      </c>
      <c r="G330" s="1" t="s">
        <v>27</v>
      </c>
      <c r="H330" s="1" t="n">
        <v>28</v>
      </c>
      <c r="I330" s="1" t="n">
        <v>214.2</v>
      </c>
      <c r="J330" s="1" t="n">
        <v>-17.3</v>
      </c>
      <c r="K330" s="1"/>
      <c r="L330" s="1" t="n">
        <v>0</v>
      </c>
      <c r="M330" s="1" t="n">
        <v>0</v>
      </c>
      <c r="N330" s="1" t="s">
        <v>264</v>
      </c>
      <c r="O330" s="1"/>
      <c r="P330" s="1"/>
      <c r="Q330" s="1"/>
      <c r="R330" s="1"/>
      <c r="Z330" s="0" t="n">
        <f aca="false">I330+0</f>
        <v>214.2</v>
      </c>
      <c r="AB330" s="0" t="n">
        <f aca="false">IF(Z330&gt;360,Z330-360,Z330+0)</f>
        <v>214.2</v>
      </c>
    </row>
    <row r="331" customFormat="false" ht="15.8" hidden="false" customHeight="false" outlineLevel="0" collapsed="false">
      <c r="A331" s="1" t="n">
        <v>12</v>
      </c>
      <c r="B331" s="1" t="n">
        <v>6</v>
      </c>
      <c r="C331" s="1" t="n">
        <v>0.9</v>
      </c>
      <c r="D331" s="1" t="n">
        <v>1.2686</v>
      </c>
      <c r="E331" s="1" t="n">
        <v>0.0335667</v>
      </c>
      <c r="F331" s="1" t="n">
        <v>9.6482E-005</v>
      </c>
      <c r="G331" s="1" t="s">
        <v>27</v>
      </c>
      <c r="H331" s="1" t="n">
        <v>97.5</v>
      </c>
      <c r="I331" s="1" t="n">
        <v>280.7</v>
      </c>
      <c r="J331" s="1" t="n">
        <v>-32.2</v>
      </c>
      <c r="K331" s="1"/>
      <c r="L331" s="1" t="n">
        <v>0</v>
      </c>
      <c r="M331" s="1" t="n">
        <v>0</v>
      </c>
      <c r="N331" s="1" t="s">
        <v>265</v>
      </c>
      <c r="O331" s="1"/>
      <c r="P331" s="1"/>
      <c r="Q331" s="1"/>
      <c r="R331" s="1"/>
      <c r="Z331" s="0" t="n">
        <f aca="false">I331+0</f>
        <v>280.7</v>
      </c>
      <c r="AB331" s="0" t="n">
        <f aca="false">IF(Z331&gt;360,Z331-360,Z331+0)</f>
        <v>280.7</v>
      </c>
    </row>
    <row r="332" customFormat="false" ht="15.8" hidden="false" customHeight="false" outlineLevel="0" collapsed="false">
      <c r="A332" s="1" t="n">
        <v>12</v>
      </c>
      <c r="B332" s="1" t="n">
        <v>7</v>
      </c>
      <c r="C332" s="1" t="n">
        <v>1.4</v>
      </c>
      <c r="D332" s="1" t="n">
        <v>1.2321</v>
      </c>
      <c r="E332" s="1" t="n">
        <v>0.0501045</v>
      </c>
      <c r="F332" s="1" t="n">
        <v>0.000144017</v>
      </c>
      <c r="G332" s="1" t="s">
        <v>27</v>
      </c>
      <c r="H332" s="1" t="n">
        <v>53.3</v>
      </c>
      <c r="I332" s="1" t="n">
        <v>102.3</v>
      </c>
      <c r="J332" s="1" t="n">
        <v>-43.9</v>
      </c>
      <c r="K332" s="1"/>
      <c r="L332" s="1" t="n">
        <v>0</v>
      </c>
      <c r="M332" s="1" t="n">
        <v>0</v>
      </c>
      <c r="N332" s="1" t="s">
        <v>266</v>
      </c>
      <c r="O332" s="1"/>
      <c r="P332" s="1"/>
      <c r="Q332" s="1"/>
      <c r="R332" s="1"/>
      <c r="Z332" s="0" t="n">
        <f aca="false">I332+0</f>
        <v>102.3</v>
      </c>
      <c r="AB332" s="0" t="n">
        <f aca="false">IF(Z332&gt;360,Z332-360,Z332+0)</f>
        <v>102.3</v>
      </c>
    </row>
    <row r="333" customFormat="false" ht="15.8" hidden="false" customHeight="false" outlineLevel="0" collapsed="false">
      <c r="A333" s="1" t="n">
        <v>12</v>
      </c>
      <c r="B333" s="1" t="n">
        <v>7</v>
      </c>
      <c r="C333" s="1" t="n">
        <v>3.3</v>
      </c>
      <c r="D333" s="1" t="n">
        <v>1.3033</v>
      </c>
      <c r="E333" s="1" t="n">
        <v>0.118137</v>
      </c>
      <c r="F333" s="1" t="n">
        <v>0.000339565</v>
      </c>
      <c r="G333" s="1" t="s">
        <v>27</v>
      </c>
      <c r="H333" s="1" t="n">
        <v>39.9</v>
      </c>
      <c r="I333" s="1" t="n">
        <v>154.7</v>
      </c>
      <c r="J333" s="1" t="n">
        <v>8.9</v>
      </c>
      <c r="K333" s="1"/>
      <c r="L333" s="1" t="n">
        <v>0</v>
      </c>
      <c r="M333" s="1" t="n">
        <v>0</v>
      </c>
      <c r="N333" s="1" t="s">
        <v>266</v>
      </c>
      <c r="O333" s="1"/>
      <c r="P333" s="1"/>
      <c r="Q333" s="1"/>
      <c r="R333" s="1"/>
      <c r="Z333" s="0" t="n">
        <f aca="false">I333+0</f>
        <v>154.7</v>
      </c>
      <c r="AB333" s="0" t="n">
        <f aca="false">IF(Z333&gt;360,Z333-360,Z333+0)</f>
        <v>154.7</v>
      </c>
    </row>
    <row r="334" customFormat="false" ht="15.8" hidden="false" customHeight="false" outlineLevel="0" collapsed="false">
      <c r="A334" s="1" t="n">
        <v>12</v>
      </c>
      <c r="B334" s="1" t="n">
        <v>6</v>
      </c>
      <c r="C334" s="1" t="n">
        <v>6.2</v>
      </c>
      <c r="D334" s="1" t="n">
        <v>1.292</v>
      </c>
      <c r="E334" s="1" t="n">
        <v>0.225346</v>
      </c>
      <c r="F334" s="1" t="n">
        <v>0.000647719</v>
      </c>
      <c r="G334" s="1" t="s">
        <v>42</v>
      </c>
      <c r="H334" s="1" t="n">
        <v>31.9</v>
      </c>
      <c r="I334" s="1" t="n">
        <v>167.7</v>
      </c>
      <c r="J334" s="1" t="n">
        <v>-29</v>
      </c>
      <c r="K334" s="1" t="n">
        <v>53.3</v>
      </c>
      <c r="L334" s="1" t="n">
        <v>0</v>
      </c>
      <c r="M334" s="1" t="n">
        <v>0</v>
      </c>
      <c r="N334" s="1" t="s">
        <v>265</v>
      </c>
      <c r="O334" s="1"/>
      <c r="P334" s="1"/>
      <c r="Q334" s="1"/>
      <c r="R334" s="1"/>
      <c r="Z334" s="0" t="n">
        <f aca="false">I334+0</f>
        <v>167.7</v>
      </c>
      <c r="AB334" s="0" t="n">
        <f aca="false">IF(Z334&gt;360,Z334-360,Z334+0)</f>
        <v>167.7</v>
      </c>
    </row>
    <row r="335" customFormat="false" ht="15.8" hidden="false" customHeight="false" outlineLevel="0" collapsed="false">
      <c r="A335" s="1" t="n">
        <v>12</v>
      </c>
      <c r="B335" s="1" t="n">
        <v>5</v>
      </c>
      <c r="C335" s="1" t="n">
        <v>2.7</v>
      </c>
      <c r="D335" s="1" t="n">
        <v>1.0296</v>
      </c>
      <c r="E335" s="1" t="n">
        <v>0.0966778</v>
      </c>
      <c r="F335" s="1" t="n">
        <v>0.000277884</v>
      </c>
      <c r="G335" s="1" t="s">
        <v>42</v>
      </c>
      <c r="H335" s="1" t="n">
        <v>64.2</v>
      </c>
      <c r="I335" s="1" t="n">
        <v>181.8</v>
      </c>
      <c r="J335" s="1" t="n">
        <v>0</v>
      </c>
      <c r="K335" s="1" t="n">
        <v>97.5</v>
      </c>
      <c r="L335" s="1" t="n">
        <v>0</v>
      </c>
      <c r="M335" s="1" t="n">
        <v>0</v>
      </c>
      <c r="N335" s="1" t="s">
        <v>264</v>
      </c>
      <c r="O335" s="1"/>
      <c r="P335" s="1"/>
      <c r="Q335" s="1"/>
      <c r="R335" s="1"/>
      <c r="Z335" s="0" t="n">
        <f aca="false">I335+0</f>
        <v>181.8</v>
      </c>
      <c r="AB335" s="0" t="n">
        <f aca="false">IF(Z335&gt;360,Z335-360,Z335+0)</f>
        <v>181.8</v>
      </c>
    </row>
    <row r="336" customFormat="false" ht="15.8" hidden="false" customHeight="false" outlineLevel="0" collapsed="false">
      <c r="A336" s="1" t="n">
        <v>12</v>
      </c>
      <c r="B336" s="1" t="n">
        <v>4</v>
      </c>
      <c r="C336" s="1" t="n">
        <v>1</v>
      </c>
      <c r="D336" s="1" t="n">
        <v>1.2627</v>
      </c>
      <c r="E336" s="1" t="n">
        <v>0.0357137</v>
      </c>
      <c r="F336" s="1" t="n">
        <v>0.000102653</v>
      </c>
      <c r="G336" s="1" t="s">
        <v>42</v>
      </c>
      <c r="H336" s="1" t="n">
        <v>66.9</v>
      </c>
      <c r="I336" s="1" t="n">
        <v>241.7</v>
      </c>
      <c r="J336" s="1" t="n">
        <v>-29.9</v>
      </c>
      <c r="K336" s="1" t="n">
        <v>64.2</v>
      </c>
      <c r="L336" s="1" t="n">
        <v>0</v>
      </c>
      <c r="M336" s="1" t="n">
        <v>0</v>
      </c>
      <c r="N336" s="1" t="s">
        <v>263</v>
      </c>
      <c r="O336" s="1"/>
      <c r="P336" s="1"/>
      <c r="Q336" s="1"/>
      <c r="R336" s="1"/>
      <c r="Z336" s="0" t="n">
        <f aca="false">I336+0</f>
        <v>241.7</v>
      </c>
      <c r="AB336" s="0" t="n">
        <f aca="false">IF(Z336&gt;360,Z336-360,Z336+0)</f>
        <v>241.7</v>
      </c>
    </row>
    <row r="337" customFormat="false" ht="15.8" hidden="false" customHeight="false" outlineLevel="0" collapsed="false">
      <c r="A337" s="1" t="n">
        <v>12</v>
      </c>
      <c r="B337" s="1" t="n">
        <v>3</v>
      </c>
      <c r="C337" s="1" t="n">
        <v>5.9</v>
      </c>
      <c r="D337" s="1" t="n">
        <v>1.1688</v>
      </c>
      <c r="E337" s="1" t="n">
        <v>0.213747</v>
      </c>
      <c r="F337" s="1" t="n">
        <v>0.000614381</v>
      </c>
      <c r="G337" s="1" t="s">
        <v>42</v>
      </c>
      <c r="H337" s="1" t="n">
        <v>93.3</v>
      </c>
      <c r="I337" s="1" t="n">
        <v>170.9</v>
      </c>
      <c r="J337" s="1" t="n">
        <v>-13.4</v>
      </c>
      <c r="K337" s="1" t="n">
        <v>66.9</v>
      </c>
      <c r="L337" s="1" t="n">
        <v>0</v>
      </c>
      <c r="M337" s="1" t="n">
        <v>0</v>
      </c>
      <c r="N337" s="1" t="s">
        <v>199</v>
      </c>
      <c r="O337" s="1"/>
      <c r="P337" s="1"/>
      <c r="Q337" s="1"/>
      <c r="R337" s="1"/>
      <c r="Z337" s="0" t="n">
        <f aca="false">I337+0</f>
        <v>170.9</v>
      </c>
      <c r="AB337" s="0" t="n">
        <f aca="false">IF(Z337&gt;360,Z337-360,Z337+0)</f>
        <v>170.9</v>
      </c>
    </row>
    <row r="338" customFormat="false" ht="15.8" hidden="false" customHeight="false" outlineLevel="0" collapsed="false">
      <c r="A338" s="1" t="n">
        <v>12</v>
      </c>
      <c r="B338" s="1" t="n">
        <v>4</v>
      </c>
      <c r="C338" s="1" t="n">
        <v>0.9</v>
      </c>
      <c r="D338" s="1" t="n">
        <v>1.0281</v>
      </c>
      <c r="E338" s="1" t="n">
        <v>0.0311808</v>
      </c>
      <c r="F338" s="1" t="n">
        <v>8.9624E-005</v>
      </c>
      <c r="G338" s="1" t="s">
        <v>27</v>
      </c>
      <c r="H338" s="1" t="n">
        <v>74</v>
      </c>
      <c r="I338" s="1" t="n">
        <v>268.4</v>
      </c>
      <c r="J338" s="1" t="n">
        <v>0</v>
      </c>
      <c r="K338" s="1"/>
      <c r="L338" s="1" t="n">
        <v>0</v>
      </c>
      <c r="M338" s="1" t="n">
        <v>0</v>
      </c>
      <c r="N338" s="1" t="s">
        <v>267</v>
      </c>
      <c r="O338" s="1"/>
      <c r="P338" s="1"/>
      <c r="Q338" s="1"/>
      <c r="R338" s="1"/>
      <c r="Z338" s="0" t="n">
        <f aca="false">I338+0</f>
        <v>268.4</v>
      </c>
      <c r="AB338" s="0" t="n">
        <f aca="false">IF(Z338&gt;360,Z338-360,Z338+0)</f>
        <v>268.4</v>
      </c>
    </row>
    <row r="339" customFormat="false" ht="15.8" hidden="false" customHeight="false" outlineLevel="0" collapsed="false">
      <c r="A339" s="1" t="n">
        <v>12</v>
      </c>
      <c r="B339" s="1" t="n">
        <v>7</v>
      </c>
      <c r="C339" s="1" t="n">
        <v>1.9</v>
      </c>
      <c r="D339" s="1" t="n">
        <v>1.2681</v>
      </c>
      <c r="E339" s="1" t="n">
        <v>0.0685139</v>
      </c>
      <c r="F339" s="1" t="n">
        <v>0.000196932</v>
      </c>
      <c r="G339" s="1" t="s">
        <v>27</v>
      </c>
      <c r="H339" s="1" t="n">
        <v>108.6</v>
      </c>
      <c r="I339" s="1" t="n">
        <v>50.9</v>
      </c>
      <c r="J339" s="1" t="n">
        <v>0</v>
      </c>
      <c r="K339" s="1"/>
      <c r="L339" s="1" t="n">
        <v>0</v>
      </c>
      <c r="M339" s="1" t="n">
        <v>0</v>
      </c>
      <c r="N339" s="1" t="s">
        <v>268</v>
      </c>
      <c r="O339" s="1"/>
      <c r="P339" s="1"/>
      <c r="Q339" s="1"/>
      <c r="R339" s="1"/>
      <c r="Z339" s="0" t="n">
        <f aca="false">I339+0</f>
        <v>50.9</v>
      </c>
      <c r="AB339" s="0" t="n">
        <f aca="false">IF(Z339&gt;360,Z339-360,Z339+0)</f>
        <v>50.9</v>
      </c>
    </row>
    <row r="340" customFormat="false" ht="15.8" hidden="false" customHeight="false" outlineLevel="0" collapsed="false">
      <c r="A340" s="1" t="n">
        <v>12</v>
      </c>
      <c r="B340" s="1" t="n">
        <v>7</v>
      </c>
      <c r="C340" s="1" t="n">
        <v>2.3</v>
      </c>
      <c r="D340" s="1" t="n">
        <v>1.2536</v>
      </c>
      <c r="E340" s="1" t="n">
        <v>0.0844777</v>
      </c>
      <c r="F340" s="1" t="n">
        <v>0.000242817</v>
      </c>
      <c r="G340" s="1" t="s">
        <v>27</v>
      </c>
      <c r="H340" s="1" t="n">
        <v>51.2</v>
      </c>
      <c r="I340" s="1" t="n">
        <v>197</v>
      </c>
      <c r="J340" s="1" t="n">
        <v>-24.7</v>
      </c>
      <c r="K340" s="1"/>
      <c r="L340" s="1" t="n">
        <v>0</v>
      </c>
      <c r="M340" s="1" t="n">
        <v>0</v>
      </c>
      <c r="N340" s="1" t="s">
        <v>268</v>
      </c>
      <c r="O340" s="1"/>
      <c r="P340" s="1"/>
      <c r="Q340" s="1"/>
      <c r="R340" s="1"/>
      <c r="Z340" s="0" t="n">
        <f aca="false">I340+0</f>
        <v>197</v>
      </c>
      <c r="AB340" s="0" t="n">
        <f aca="false">IF(Z340&gt;360,Z340-360,Z340+0)</f>
        <v>197</v>
      </c>
    </row>
    <row r="341" customFormat="false" ht="15.8" hidden="false" customHeight="false" outlineLevel="0" collapsed="false">
      <c r="A341" s="1" t="n">
        <v>12</v>
      </c>
      <c r="B341" s="1" t="n">
        <v>6</v>
      </c>
      <c r="C341" s="1" t="n">
        <v>1.2</v>
      </c>
      <c r="D341" s="1" t="n">
        <v>1.01</v>
      </c>
      <c r="E341" s="1" t="n">
        <v>0.0450583</v>
      </c>
      <c r="F341" s="1" t="n">
        <v>0.000129513</v>
      </c>
      <c r="G341" s="1" t="s">
        <v>42</v>
      </c>
      <c r="H341" s="1" t="n">
        <v>66.3</v>
      </c>
      <c r="I341" s="1" t="n">
        <v>234.5</v>
      </c>
      <c r="J341" s="1" t="n">
        <v>-71.3</v>
      </c>
      <c r="K341" s="1" t="n">
        <v>108.6</v>
      </c>
      <c r="L341" s="1" t="n">
        <v>0</v>
      </c>
      <c r="M341" s="1" t="n">
        <v>0</v>
      </c>
      <c r="N341" s="1" t="s">
        <v>269</v>
      </c>
      <c r="O341" s="1"/>
      <c r="P341" s="1"/>
      <c r="Q341" s="1"/>
      <c r="R341" s="1"/>
      <c r="Z341" s="0" t="n">
        <f aca="false">I341+0</f>
        <v>234.5</v>
      </c>
      <c r="AB341" s="0" t="n">
        <f aca="false">IF(Z341&gt;360,Z341-360,Z341+0)</f>
        <v>234.5</v>
      </c>
    </row>
    <row r="342" customFormat="false" ht="15.8" hidden="false" customHeight="false" outlineLevel="0" collapsed="false">
      <c r="A342" s="1" t="n">
        <v>12</v>
      </c>
      <c r="B342" s="1" t="n">
        <v>7</v>
      </c>
      <c r="C342" s="1" t="n">
        <v>9.2</v>
      </c>
      <c r="D342" s="1" t="n">
        <v>1.3109</v>
      </c>
      <c r="E342" s="1" t="n">
        <v>0.331024</v>
      </c>
      <c r="F342" s="1" t="n">
        <v>0.000951473</v>
      </c>
      <c r="G342" s="1" t="s">
        <v>27</v>
      </c>
      <c r="H342" s="1" t="n">
        <v>21.5</v>
      </c>
      <c r="I342" s="1" t="n">
        <v>20.1</v>
      </c>
      <c r="J342" s="1" t="n">
        <v>3.2</v>
      </c>
      <c r="K342" s="1"/>
      <c r="L342" s="1" t="n">
        <v>0</v>
      </c>
      <c r="M342" s="1" t="n">
        <v>0</v>
      </c>
      <c r="N342" s="1" t="s">
        <v>270</v>
      </c>
      <c r="O342" s="1"/>
      <c r="P342" s="1"/>
      <c r="Q342" s="1"/>
      <c r="R342" s="1"/>
      <c r="Z342" s="0" t="n">
        <f aca="false">I342+0</f>
        <v>20.1</v>
      </c>
      <c r="AB342" s="0" t="n">
        <f aca="false">IF(Z342&gt;360,Z342-360,Z342+0)</f>
        <v>20.1</v>
      </c>
    </row>
    <row r="343" customFormat="false" ht="15.8" hidden="false" customHeight="false" outlineLevel="0" collapsed="false">
      <c r="A343" s="1" t="n">
        <v>12</v>
      </c>
      <c r="B343" s="1" t="n">
        <v>7</v>
      </c>
      <c r="C343" s="1" t="n">
        <v>0.6</v>
      </c>
      <c r="D343" s="1" t="n">
        <v>1.1032</v>
      </c>
      <c r="E343" s="1" t="n">
        <v>0.0230383</v>
      </c>
      <c r="F343" s="1" t="n">
        <v>6.62199E-005</v>
      </c>
      <c r="G343" s="1" t="s">
        <v>27</v>
      </c>
      <c r="H343" s="1" t="n">
        <v>108.9</v>
      </c>
      <c r="I343" s="1" t="n">
        <v>242.7</v>
      </c>
      <c r="J343" s="1" t="n">
        <v>-42.4</v>
      </c>
      <c r="K343" s="1"/>
      <c r="L343" s="1" t="n">
        <v>0</v>
      </c>
      <c r="M343" s="1" t="n">
        <v>0</v>
      </c>
      <c r="N343" s="1" t="s">
        <v>270</v>
      </c>
      <c r="O343" s="1"/>
      <c r="P343" s="1"/>
      <c r="Q343" s="1"/>
      <c r="R343" s="1"/>
      <c r="Z343" s="0" t="n">
        <f aca="false">I343+0</f>
        <v>242.7</v>
      </c>
      <c r="AB343" s="0" t="n">
        <f aca="false">IF(Z343&gt;360,Z343-360,Z343+0)</f>
        <v>242.7</v>
      </c>
    </row>
    <row r="344" customFormat="false" ht="15.8" hidden="false" customHeight="false" outlineLevel="0" collapsed="false">
      <c r="A344" s="1" t="n">
        <v>12</v>
      </c>
      <c r="B344" s="1" t="n">
        <v>6</v>
      </c>
      <c r="C344" s="1" t="n">
        <v>2.1</v>
      </c>
      <c r="D344" s="1" t="n">
        <v>1.8636</v>
      </c>
      <c r="E344" s="1" t="n">
        <v>0.0758631</v>
      </c>
      <c r="F344" s="1" t="n">
        <v>0.000218056</v>
      </c>
      <c r="G344" s="1" t="s">
        <v>42</v>
      </c>
      <c r="H344" s="1" t="n">
        <v>35.9</v>
      </c>
      <c r="I344" s="1" t="n">
        <v>358.8</v>
      </c>
      <c r="J344" s="1" t="n">
        <v>0</v>
      </c>
      <c r="K344" s="1" t="n">
        <v>108.9</v>
      </c>
      <c r="L344" s="1" t="n">
        <v>0</v>
      </c>
      <c r="M344" s="1" t="n">
        <v>0</v>
      </c>
      <c r="N344" s="1" t="s">
        <v>269</v>
      </c>
      <c r="O344" s="1"/>
      <c r="P344" s="1"/>
      <c r="Q344" s="1"/>
      <c r="R344" s="1"/>
      <c r="Z344" s="0" t="n">
        <f aca="false">I344+0</f>
        <v>358.8</v>
      </c>
      <c r="AB344" s="0" t="n">
        <f aca="false">IF(Z344&gt;360,Z344-360,Z344+0)</f>
        <v>358.8</v>
      </c>
    </row>
    <row r="345" customFormat="false" ht="15.8" hidden="false" customHeight="false" outlineLevel="0" collapsed="false">
      <c r="A345" s="1" t="n">
        <v>12</v>
      </c>
      <c r="B345" s="1" t="n">
        <v>5</v>
      </c>
      <c r="C345" s="1" t="n">
        <v>1.8</v>
      </c>
      <c r="D345" s="1" t="n">
        <v>1.3245</v>
      </c>
      <c r="E345" s="1" t="n">
        <v>0.0637644</v>
      </c>
      <c r="F345" s="1" t="n">
        <v>0.00018328</v>
      </c>
      <c r="G345" s="1" t="s">
        <v>42</v>
      </c>
      <c r="H345" s="1" t="n">
        <v>10.8</v>
      </c>
      <c r="I345" s="1" t="n">
        <v>0.6</v>
      </c>
      <c r="J345" s="1" t="n">
        <v>-35.8</v>
      </c>
      <c r="K345" s="1" t="n">
        <v>66.3</v>
      </c>
      <c r="L345" s="1" t="n">
        <v>0</v>
      </c>
      <c r="M345" s="1" t="n">
        <v>0</v>
      </c>
      <c r="N345" s="1" t="s">
        <v>271</v>
      </c>
      <c r="O345" s="1"/>
      <c r="P345" s="1"/>
      <c r="Q345" s="1"/>
      <c r="R345" s="1"/>
      <c r="Z345" s="0" t="n">
        <f aca="false">I345+0</f>
        <v>0.6</v>
      </c>
      <c r="AB345" s="0" t="n">
        <f aca="false">IF(Z345&gt;360,Z345-360,Z345+0)</f>
        <v>0.6</v>
      </c>
    </row>
    <row r="346" customFormat="false" ht="15.8" hidden="false" customHeight="false" outlineLevel="0" collapsed="false">
      <c r="A346" s="1" t="n">
        <v>12</v>
      </c>
      <c r="B346" s="1" t="n">
        <v>6</v>
      </c>
      <c r="C346" s="1" t="n">
        <v>0.5</v>
      </c>
      <c r="D346" s="1" t="n">
        <v>1.0035</v>
      </c>
      <c r="E346" s="1" t="n">
        <v>0.0171331</v>
      </c>
      <c r="F346" s="1" t="n">
        <v>4.92462E-005</v>
      </c>
      <c r="G346" s="1" t="s">
        <v>27</v>
      </c>
      <c r="H346" s="1" t="n">
        <v>90.4</v>
      </c>
      <c r="I346" s="1" t="n">
        <v>251.6</v>
      </c>
      <c r="J346" s="1" t="n">
        <v>0</v>
      </c>
      <c r="K346" s="1"/>
      <c r="L346" s="1" t="n">
        <v>0</v>
      </c>
      <c r="M346" s="1" t="n">
        <v>0</v>
      </c>
      <c r="N346" s="1" t="s">
        <v>272</v>
      </c>
      <c r="O346" s="1"/>
      <c r="P346" s="1"/>
      <c r="Q346" s="1"/>
      <c r="R346" s="1"/>
      <c r="Z346" s="0" t="n">
        <f aca="false">I346+0</f>
        <v>251.6</v>
      </c>
      <c r="AB346" s="0" t="n">
        <f aca="false">IF(Z346&gt;360,Z346-360,Z346+0)</f>
        <v>251.6</v>
      </c>
    </row>
    <row r="347" customFormat="false" ht="15.8" hidden="false" customHeight="false" outlineLevel="0" collapsed="false">
      <c r="A347" s="1" t="n">
        <v>12</v>
      </c>
      <c r="B347" s="1" t="n">
        <v>7</v>
      </c>
      <c r="C347" s="1" t="n">
        <v>6.4</v>
      </c>
      <c r="D347" s="1" t="n">
        <v>1.3538</v>
      </c>
      <c r="E347" s="1" t="n">
        <v>0.23</v>
      </c>
      <c r="F347" s="1" t="n">
        <v>0.000661096</v>
      </c>
      <c r="G347" s="1" t="s">
        <v>27</v>
      </c>
      <c r="H347" s="1" t="n">
        <v>40.6</v>
      </c>
      <c r="I347" s="1" t="n">
        <v>343.8</v>
      </c>
      <c r="J347" s="1" t="n">
        <v>9.5</v>
      </c>
      <c r="K347" s="1"/>
      <c r="L347" s="1" t="n">
        <v>0</v>
      </c>
      <c r="M347" s="1" t="n">
        <v>0</v>
      </c>
      <c r="N347" s="1" t="s">
        <v>273</v>
      </c>
      <c r="O347" s="1"/>
      <c r="P347" s="1"/>
      <c r="Q347" s="1"/>
      <c r="R347" s="1"/>
      <c r="Z347" s="0" t="n">
        <f aca="false">I347+0</f>
        <v>343.8</v>
      </c>
      <c r="AB347" s="0" t="n">
        <f aca="false">IF(Z347&gt;360,Z347-360,Z347+0)</f>
        <v>343.8</v>
      </c>
    </row>
    <row r="348" customFormat="false" ht="15.8" hidden="false" customHeight="false" outlineLevel="0" collapsed="false">
      <c r="A348" s="1" t="n">
        <v>12</v>
      </c>
      <c r="B348" s="1" t="n">
        <v>8</v>
      </c>
      <c r="C348" s="1" t="n">
        <v>6</v>
      </c>
      <c r="D348" s="1" t="n">
        <v>1.1811</v>
      </c>
      <c r="E348" s="1" t="n">
        <v>0.216314</v>
      </c>
      <c r="F348" s="1" t="n">
        <v>0.000621758</v>
      </c>
      <c r="G348" s="1" t="s">
        <v>27</v>
      </c>
      <c r="H348" s="1" t="n">
        <v>129.1</v>
      </c>
      <c r="I348" s="1" t="n">
        <v>181.3</v>
      </c>
      <c r="J348" s="1" t="n">
        <v>-13.3</v>
      </c>
      <c r="K348" s="1"/>
      <c r="L348" s="1" t="n">
        <v>0</v>
      </c>
      <c r="M348" s="1" t="n">
        <v>0</v>
      </c>
      <c r="N348" s="1" t="s">
        <v>274</v>
      </c>
      <c r="O348" s="1"/>
      <c r="P348" s="1"/>
      <c r="Q348" s="1"/>
      <c r="R348" s="1"/>
      <c r="Z348" s="0" t="n">
        <f aca="false">I348+0</f>
        <v>181.3</v>
      </c>
      <c r="AB348" s="0" t="n">
        <f aca="false">IF(Z348&gt;360,Z348-360,Z348+0)</f>
        <v>181.3</v>
      </c>
    </row>
    <row r="349" customFormat="false" ht="15.8" hidden="false" customHeight="false" outlineLevel="0" collapsed="false">
      <c r="A349" s="1" t="n">
        <v>12</v>
      </c>
      <c r="B349" s="1" t="n">
        <v>9</v>
      </c>
      <c r="C349" s="1" t="n">
        <v>1.4</v>
      </c>
      <c r="D349" s="1" t="n">
        <v>1.474</v>
      </c>
      <c r="E349" s="1" t="n">
        <v>0.0490138</v>
      </c>
      <c r="F349" s="1" t="n">
        <v>0.000140882</v>
      </c>
      <c r="G349" s="1" t="s">
        <v>27</v>
      </c>
      <c r="H349" s="1" t="n">
        <v>27.7</v>
      </c>
      <c r="I349" s="1" t="n">
        <v>344.8</v>
      </c>
      <c r="J349" s="1" t="n">
        <v>-25.1</v>
      </c>
      <c r="K349" s="1"/>
      <c r="L349" s="1" t="n">
        <v>0</v>
      </c>
      <c r="M349" s="1" t="n">
        <v>0</v>
      </c>
      <c r="N349" s="1" t="s">
        <v>275</v>
      </c>
      <c r="O349" s="1"/>
      <c r="P349" s="1"/>
      <c r="Q349" s="1"/>
      <c r="R349" s="1"/>
      <c r="Z349" s="0" t="n">
        <f aca="false">I349+0</f>
        <v>344.8</v>
      </c>
      <c r="AB349" s="0" t="n">
        <f aca="false">IF(Z349&gt;360,Z349-360,Z349+0)</f>
        <v>344.8</v>
      </c>
    </row>
    <row r="350" customFormat="false" ht="15.8" hidden="false" customHeight="false" outlineLevel="0" collapsed="false">
      <c r="A350" s="1" t="n">
        <v>12</v>
      </c>
      <c r="B350" s="1" t="n">
        <v>9</v>
      </c>
      <c r="C350" s="1" t="n">
        <v>11.3</v>
      </c>
      <c r="D350" s="1" t="n">
        <v>1.1506</v>
      </c>
      <c r="E350" s="1" t="n">
        <v>0.408474</v>
      </c>
      <c r="F350" s="1" t="n">
        <v>0.00117409</v>
      </c>
      <c r="G350" s="1" t="s">
        <v>27</v>
      </c>
      <c r="H350" s="1" t="n">
        <v>29</v>
      </c>
      <c r="I350" s="1" t="n">
        <v>1.2</v>
      </c>
      <c r="J350" s="1" t="n">
        <v>-4.6</v>
      </c>
      <c r="K350" s="1"/>
      <c r="L350" s="1" t="n">
        <v>0</v>
      </c>
      <c r="M350" s="1" t="n">
        <v>0</v>
      </c>
      <c r="N350" s="1" t="s">
        <v>275</v>
      </c>
      <c r="O350" s="1"/>
      <c r="P350" s="1"/>
      <c r="Q350" s="1"/>
      <c r="R350" s="1"/>
      <c r="Z350" s="0" t="n">
        <f aca="false">I350+0</f>
        <v>1.2</v>
      </c>
      <c r="AB350" s="0" t="n">
        <f aca="false">IF(Z350&gt;360,Z350-360,Z350+0)</f>
        <v>1.2</v>
      </c>
    </row>
    <row r="351" customFormat="false" ht="15.8" hidden="false" customHeight="false" outlineLevel="0" collapsed="false">
      <c r="A351" s="1" t="n">
        <v>12</v>
      </c>
      <c r="B351" s="1" t="n">
        <v>8</v>
      </c>
      <c r="C351" s="1" t="n">
        <v>0.3</v>
      </c>
      <c r="D351" s="1" t="n">
        <v>1.0552</v>
      </c>
      <c r="E351" s="1" t="n">
        <v>0.0123482</v>
      </c>
      <c r="F351" s="1" t="n">
        <v>3.54927E-005</v>
      </c>
      <c r="G351" s="1" t="s">
        <v>42</v>
      </c>
      <c r="H351" s="1" t="n">
        <v>82.4</v>
      </c>
      <c r="I351" s="1" t="n">
        <v>332.5</v>
      </c>
      <c r="J351" s="1" t="n">
        <v>0</v>
      </c>
      <c r="K351" s="1" t="n">
        <v>29</v>
      </c>
      <c r="L351" s="1" t="n">
        <v>0</v>
      </c>
      <c r="M351" s="1" t="n">
        <v>0</v>
      </c>
      <c r="N351" s="1" t="s">
        <v>274</v>
      </c>
      <c r="O351" s="1"/>
      <c r="P351" s="1"/>
      <c r="Q351" s="1"/>
      <c r="R351" s="1"/>
      <c r="Z351" s="0" t="n">
        <f aca="false">I351+0</f>
        <v>332.5</v>
      </c>
      <c r="AB351" s="0" t="n">
        <f aca="false">IF(Z351&gt;360,Z351-360,Z351+0)</f>
        <v>332.5</v>
      </c>
    </row>
    <row r="352" customFormat="false" ht="15.8" hidden="false" customHeight="false" outlineLevel="0" collapsed="false">
      <c r="A352" s="1" t="n">
        <v>12</v>
      </c>
      <c r="B352" s="1" t="n">
        <v>7</v>
      </c>
      <c r="C352" s="1" t="n">
        <v>2.1</v>
      </c>
      <c r="D352" s="1" t="n">
        <v>1.2564</v>
      </c>
      <c r="E352" s="1" t="n">
        <v>0.0753128</v>
      </c>
      <c r="F352" s="1" t="n">
        <v>0.000216474</v>
      </c>
      <c r="G352" s="1" t="s">
        <v>42</v>
      </c>
      <c r="H352" s="1" t="n">
        <v>27.5</v>
      </c>
      <c r="I352" s="1" t="n">
        <v>53.9</v>
      </c>
      <c r="J352" s="1" t="n">
        <v>28</v>
      </c>
      <c r="K352" s="1" t="n">
        <v>129.1</v>
      </c>
      <c r="L352" s="1" t="n">
        <v>0</v>
      </c>
      <c r="M352" s="1" t="n">
        <v>0</v>
      </c>
      <c r="N352" s="1" t="s">
        <v>273</v>
      </c>
      <c r="O352" s="1"/>
      <c r="P352" s="1"/>
      <c r="Q352" s="1"/>
      <c r="R352" s="1"/>
      <c r="Z352" s="0" t="n">
        <f aca="false">I352+0</f>
        <v>53.9</v>
      </c>
      <c r="AB352" s="0" t="n">
        <f aca="false">IF(Z352&gt;360,Z352-360,Z352+0)</f>
        <v>53.9</v>
      </c>
    </row>
    <row r="353" customFormat="false" ht="15.8" hidden="false" customHeight="false" outlineLevel="0" collapsed="false">
      <c r="A353" s="1" t="n">
        <v>12</v>
      </c>
      <c r="B353" s="1" t="n">
        <v>6</v>
      </c>
      <c r="C353" s="1" t="n">
        <v>4.7</v>
      </c>
      <c r="D353" s="1" t="n">
        <v>1.2369</v>
      </c>
      <c r="E353" s="1" t="n">
        <v>0.169376</v>
      </c>
      <c r="F353" s="1" t="n">
        <v>0.000486845</v>
      </c>
      <c r="G353" s="1" t="s">
        <v>42</v>
      </c>
      <c r="H353" s="1" t="n">
        <v>51.3</v>
      </c>
      <c r="I353" s="1" t="n">
        <v>23.5</v>
      </c>
      <c r="J353" s="1" t="n">
        <v>24.3</v>
      </c>
      <c r="K353" s="1" t="n">
        <v>40.6</v>
      </c>
      <c r="L353" s="1" t="n">
        <v>0</v>
      </c>
      <c r="M353" s="1" t="n">
        <v>0</v>
      </c>
      <c r="N353" s="1" t="s">
        <v>272</v>
      </c>
      <c r="O353" s="1"/>
      <c r="P353" s="1"/>
      <c r="Q353" s="1"/>
      <c r="R353" s="1"/>
      <c r="Z353" s="0" t="n">
        <f aca="false">I353+0</f>
        <v>23.5</v>
      </c>
      <c r="AB353" s="0" t="n">
        <f aca="false">IF(Z353&gt;360,Z353-360,Z353+0)</f>
        <v>23.5</v>
      </c>
    </row>
    <row r="354" customFormat="false" ht="15.8" hidden="false" customHeight="false" outlineLevel="0" collapsed="false">
      <c r="A354" s="1" t="n">
        <v>12</v>
      </c>
      <c r="B354" s="1" t="n">
        <v>5</v>
      </c>
      <c r="C354" s="1" t="n">
        <v>7.3</v>
      </c>
      <c r="D354" s="1" t="n">
        <v>1.1993</v>
      </c>
      <c r="E354" s="1" t="n">
        <v>0.265025</v>
      </c>
      <c r="F354" s="1" t="n">
        <v>0.000761771</v>
      </c>
      <c r="G354" s="1" t="s">
        <v>42</v>
      </c>
      <c r="H354" s="1" t="n">
        <v>23.8</v>
      </c>
      <c r="I354" s="1" t="n">
        <v>342</v>
      </c>
      <c r="J354" s="1" t="n">
        <v>-7.3</v>
      </c>
      <c r="K354" s="1" t="n">
        <v>90.4</v>
      </c>
      <c r="L354" s="1" t="n">
        <v>0</v>
      </c>
      <c r="M354" s="1" t="n">
        <v>0</v>
      </c>
      <c r="N354" s="1" t="s">
        <v>271</v>
      </c>
      <c r="O354" s="1"/>
      <c r="P354" s="1"/>
      <c r="Q354" s="1"/>
      <c r="R354" s="1"/>
      <c r="Z354" s="0" t="n">
        <f aca="false">I354+0</f>
        <v>342</v>
      </c>
      <c r="AB354" s="0" t="n">
        <f aca="false">IF(Z354&gt;360,Z354-360,Z354+0)</f>
        <v>342</v>
      </c>
    </row>
    <row r="355" customFormat="false" ht="15.8" hidden="false" customHeight="false" outlineLevel="0" collapsed="false">
      <c r="A355" s="1" t="n">
        <v>12</v>
      </c>
      <c r="B355" s="1" t="n">
        <v>4</v>
      </c>
      <c r="C355" s="1" t="n">
        <v>2.2</v>
      </c>
      <c r="D355" s="1" t="n">
        <v>1.1828</v>
      </c>
      <c r="E355" s="1" t="n">
        <v>0.078215</v>
      </c>
      <c r="F355" s="1" t="n">
        <v>0.000224816</v>
      </c>
      <c r="G355" s="1" t="s">
        <v>42</v>
      </c>
      <c r="H355" s="1" t="n">
        <v>67.4</v>
      </c>
      <c r="I355" s="1" t="n">
        <v>358.4</v>
      </c>
      <c r="J355" s="1" t="n">
        <v>-25.2</v>
      </c>
      <c r="K355" s="1" t="n">
        <v>23.8</v>
      </c>
      <c r="L355" s="1" t="n">
        <v>0</v>
      </c>
      <c r="M355" s="1" t="n">
        <v>0</v>
      </c>
      <c r="N355" s="1" t="s">
        <v>267</v>
      </c>
      <c r="O355" s="1"/>
      <c r="P355" s="1"/>
      <c r="Q355" s="1"/>
      <c r="R355" s="1"/>
      <c r="Z355" s="0" t="n">
        <f aca="false">I355+0</f>
        <v>358.4</v>
      </c>
      <c r="AB355" s="0" t="n">
        <f aca="false">IF(Z355&gt;360,Z355-360,Z355+0)</f>
        <v>358.4</v>
      </c>
    </row>
    <row r="356" customFormat="false" ht="15.8" hidden="false" customHeight="false" outlineLevel="0" collapsed="false">
      <c r="A356" s="1" t="n">
        <v>12</v>
      </c>
      <c r="B356" s="1" t="n">
        <v>3</v>
      </c>
      <c r="C356" s="1" t="n">
        <v>2.1</v>
      </c>
      <c r="D356" s="1" t="n">
        <v>1.1404</v>
      </c>
      <c r="E356" s="1" t="n">
        <v>0.0761682</v>
      </c>
      <c r="F356" s="1" t="n">
        <v>0.000218933</v>
      </c>
      <c r="G356" s="1" t="s">
        <v>42</v>
      </c>
      <c r="H356" s="1" t="n">
        <v>112.7</v>
      </c>
      <c r="I356" s="1" t="n">
        <v>337.5</v>
      </c>
      <c r="J356" s="1" t="n">
        <v>39.3</v>
      </c>
      <c r="K356" s="1" t="n">
        <v>74</v>
      </c>
      <c r="L356" s="1" t="n">
        <v>0</v>
      </c>
      <c r="M356" s="1" t="n">
        <v>0</v>
      </c>
      <c r="N356" s="1" t="s">
        <v>199</v>
      </c>
      <c r="O356" s="1"/>
      <c r="P356" s="1"/>
      <c r="Q356" s="1"/>
      <c r="R356" s="1"/>
      <c r="Z356" s="0" t="n">
        <f aca="false">I356+0</f>
        <v>337.5</v>
      </c>
      <c r="AB356" s="0" t="n">
        <f aca="false">IF(Z356&gt;360,Z356-360,Z356+0)</f>
        <v>337.5</v>
      </c>
    </row>
    <row r="357" customFormat="false" ht="15.8" hidden="false" customHeight="false" outlineLevel="0" collapsed="false">
      <c r="A357" s="1" t="n">
        <v>12</v>
      </c>
      <c r="B357" s="1" t="n">
        <v>2</v>
      </c>
      <c r="C357" s="1" t="n">
        <v>1.9</v>
      </c>
      <c r="D357" s="1" t="n">
        <v>1.1058</v>
      </c>
      <c r="E357" s="1" t="n">
        <v>0.0700335</v>
      </c>
      <c r="F357" s="1" t="n">
        <v>0.0002013</v>
      </c>
      <c r="G357" s="1" t="s">
        <v>42</v>
      </c>
      <c r="H357" s="1" t="n">
        <v>28.8</v>
      </c>
      <c r="I357" s="1" t="n">
        <v>63.9</v>
      </c>
      <c r="J357" s="1" t="n">
        <v>-41.9</v>
      </c>
      <c r="K357" s="1" t="n">
        <v>112.7</v>
      </c>
      <c r="L357" s="1" t="n">
        <v>0</v>
      </c>
      <c r="M357" s="1" t="n">
        <v>0</v>
      </c>
      <c r="N357" s="1" t="s">
        <v>190</v>
      </c>
      <c r="O357" s="1"/>
      <c r="P357" s="1"/>
      <c r="Q357" s="1"/>
      <c r="R357" s="1"/>
      <c r="Z357" s="0" t="n">
        <f aca="false">I357+0</f>
        <v>63.9</v>
      </c>
      <c r="AB357" s="0" t="n">
        <f aca="false">IF(Z357&gt;360,Z357-360,Z357+0)</f>
        <v>63.9</v>
      </c>
    </row>
    <row r="358" customFormat="false" ht="15.8" hidden="false" customHeight="false" outlineLevel="0" collapsed="false">
      <c r="A358" s="1" t="n">
        <v>12</v>
      </c>
      <c r="B358" s="1" t="n">
        <v>1</v>
      </c>
      <c r="C358" s="1" t="n">
        <v>1.6</v>
      </c>
      <c r="D358" s="1" t="n">
        <v>1.2335</v>
      </c>
      <c r="E358" s="1" t="n">
        <v>0.0575809</v>
      </c>
      <c r="F358" s="1" t="n">
        <v>0.000165507</v>
      </c>
      <c r="G358" s="1" t="s">
        <v>42</v>
      </c>
      <c r="H358" s="1"/>
      <c r="I358" s="1" t="n">
        <v>100.9</v>
      </c>
      <c r="J358" s="1" t="n">
        <v>-37.1</v>
      </c>
      <c r="K358" s="1" t="n">
        <v>96</v>
      </c>
      <c r="L358" s="1" t="n">
        <v>0</v>
      </c>
      <c r="M358" s="1" t="n">
        <v>0</v>
      </c>
      <c r="N358" s="1" t="s">
        <v>276</v>
      </c>
      <c r="O358" s="1"/>
      <c r="P358" s="1"/>
      <c r="Q358" s="1"/>
      <c r="R358" s="1"/>
      <c r="Z358" s="0" t="n">
        <f aca="false">I358+0</f>
        <v>100.9</v>
      </c>
      <c r="AB358" s="0" t="n">
        <f aca="false">IF(Z358&gt;360,Z358-360,Z358+0)</f>
        <v>100.9</v>
      </c>
    </row>
    <row r="359" customFormat="false" ht="15.8" hidden="false" customHeight="false" outlineLevel="0" collapsed="false">
      <c r="A359" s="1" t="n">
        <v>13</v>
      </c>
      <c r="B359" s="1" t="n">
        <v>6</v>
      </c>
      <c r="C359" s="1" t="n">
        <v>4.9</v>
      </c>
      <c r="D359" s="1" t="n">
        <v>1.3232</v>
      </c>
      <c r="E359" s="1" t="n">
        <v>0.177718</v>
      </c>
      <c r="F359" s="1" t="n">
        <v>0.000510821</v>
      </c>
      <c r="G359" s="1" t="s">
        <v>27</v>
      </c>
      <c r="H359" s="1" t="n">
        <v>15.8</v>
      </c>
      <c r="I359" s="1" t="n">
        <v>343.7</v>
      </c>
      <c r="J359" s="1" t="n">
        <v>-18.3</v>
      </c>
      <c r="K359" s="1"/>
      <c r="L359" s="1" t="n">
        <v>0</v>
      </c>
      <c r="M359" s="1" t="n">
        <v>0</v>
      </c>
      <c r="N359" s="1" t="s">
        <v>277</v>
      </c>
      <c r="O359" s="1"/>
      <c r="P359" s="1"/>
      <c r="Q359" s="1"/>
      <c r="R359" s="1"/>
      <c r="Z359" s="0" t="n">
        <f aca="false">I359+0</f>
        <v>343.7</v>
      </c>
      <c r="AB359" s="0" t="n">
        <f aca="false">IF(Z359&gt;360,Z359-360,Z359+0)</f>
        <v>343.7</v>
      </c>
    </row>
    <row r="360" customFormat="false" ht="15.8" hidden="false" customHeight="false" outlineLevel="0" collapsed="false">
      <c r="A360" s="1" t="n">
        <v>13</v>
      </c>
      <c r="B360" s="1" t="n">
        <v>11</v>
      </c>
      <c r="C360" s="1" t="n">
        <v>6.4</v>
      </c>
      <c r="D360" s="1" t="n">
        <v>1.176</v>
      </c>
      <c r="E360" s="1" t="n">
        <v>0.229871</v>
      </c>
      <c r="F360" s="1" t="n">
        <v>0.000660726</v>
      </c>
      <c r="G360" s="1" t="s">
        <v>27</v>
      </c>
      <c r="H360" s="1" t="n">
        <v>35.4</v>
      </c>
      <c r="I360" s="1" t="n">
        <v>156.7</v>
      </c>
      <c r="J360" s="1" t="n">
        <v>12.5</v>
      </c>
      <c r="K360" s="1"/>
      <c r="L360" s="1" t="n">
        <v>0</v>
      </c>
      <c r="M360" s="1" t="n">
        <v>0</v>
      </c>
      <c r="N360" s="1" t="s">
        <v>278</v>
      </c>
      <c r="O360" s="1"/>
      <c r="P360" s="1"/>
      <c r="Q360" s="1"/>
      <c r="R360" s="1"/>
      <c r="Z360" s="0" t="n">
        <f aca="false">I360+0</f>
        <v>156.7</v>
      </c>
      <c r="AB360" s="0" t="n">
        <f aca="false">IF(Z360&gt;360,Z360-360,Z360+0)</f>
        <v>156.7</v>
      </c>
    </row>
    <row r="361" customFormat="false" ht="15.8" hidden="false" customHeight="false" outlineLevel="0" collapsed="false">
      <c r="A361" s="1" t="n">
        <v>13</v>
      </c>
      <c r="B361" s="1" t="n">
        <v>11</v>
      </c>
      <c r="C361" s="1" t="n">
        <v>3.8</v>
      </c>
      <c r="D361" s="1" t="n">
        <v>1.1974</v>
      </c>
      <c r="E361" s="1" t="n">
        <v>0.136193</v>
      </c>
      <c r="F361" s="1" t="n">
        <v>0.000391463</v>
      </c>
      <c r="G361" s="1" t="s">
        <v>27</v>
      </c>
      <c r="H361" s="1" t="n">
        <v>13.2</v>
      </c>
      <c r="I361" s="1" t="n">
        <v>173.5</v>
      </c>
      <c r="J361" s="1" t="n">
        <v>-7.1</v>
      </c>
      <c r="K361" s="1"/>
      <c r="L361" s="1" t="n">
        <v>0</v>
      </c>
      <c r="M361" s="1" t="n">
        <v>0</v>
      </c>
      <c r="N361" s="1" t="s">
        <v>278</v>
      </c>
      <c r="O361" s="1"/>
      <c r="P361" s="1"/>
      <c r="Q361" s="1"/>
      <c r="R361" s="1"/>
      <c r="Z361" s="0" t="n">
        <f aca="false">I361+0</f>
        <v>173.5</v>
      </c>
      <c r="AB361" s="0" t="n">
        <f aca="false">IF(Z361&gt;360,Z361-360,Z361+0)</f>
        <v>173.5</v>
      </c>
    </row>
    <row r="362" customFormat="false" ht="15.8" hidden="false" customHeight="false" outlineLevel="0" collapsed="false">
      <c r="A362" s="1" t="n">
        <v>13</v>
      </c>
      <c r="B362" s="1" t="n">
        <v>10</v>
      </c>
      <c r="C362" s="1" t="n">
        <v>4</v>
      </c>
      <c r="D362" s="1" t="n">
        <v>1.1831</v>
      </c>
      <c r="E362" s="1" t="n">
        <v>0.145685</v>
      </c>
      <c r="F362" s="1" t="n">
        <v>0.000418747</v>
      </c>
      <c r="G362" s="1" t="s">
        <v>42</v>
      </c>
      <c r="H362" s="1" t="n">
        <v>26.5</v>
      </c>
      <c r="I362" s="1" t="n">
        <v>170.9</v>
      </c>
      <c r="J362" s="1" t="n">
        <v>-20.1</v>
      </c>
      <c r="K362" s="1" t="n">
        <v>35.4</v>
      </c>
      <c r="L362" s="1" t="n">
        <v>0</v>
      </c>
      <c r="M362" s="1" t="n">
        <v>0</v>
      </c>
      <c r="N362" s="1" t="s">
        <v>279</v>
      </c>
      <c r="O362" s="1"/>
      <c r="P362" s="1"/>
      <c r="Q362" s="1"/>
      <c r="R362" s="1"/>
      <c r="Z362" s="0" t="n">
        <f aca="false">I362+0</f>
        <v>170.9</v>
      </c>
      <c r="AB362" s="0" t="n">
        <f aca="false">IF(Z362&gt;360,Z362-360,Z362+0)</f>
        <v>170.9</v>
      </c>
    </row>
    <row r="363" customFormat="false" ht="15.8" hidden="false" customHeight="false" outlineLevel="0" collapsed="false">
      <c r="A363" s="1" t="n">
        <v>13</v>
      </c>
      <c r="B363" s="1" t="n">
        <v>10</v>
      </c>
      <c r="C363" s="1" t="n">
        <v>1.1</v>
      </c>
      <c r="D363" s="1" t="n">
        <v>1.2397</v>
      </c>
      <c r="E363" s="1" t="n">
        <v>0.0397271</v>
      </c>
      <c r="F363" s="1" t="n">
        <v>0.000114189</v>
      </c>
      <c r="G363" s="1" t="s">
        <v>27</v>
      </c>
      <c r="H363" s="1" t="n">
        <v>144.7</v>
      </c>
      <c r="I363" s="1" t="n">
        <v>316.2</v>
      </c>
      <c r="J363" s="1" t="n">
        <v>-26.1</v>
      </c>
      <c r="K363" s="1"/>
      <c r="L363" s="1" t="n">
        <v>0</v>
      </c>
      <c r="M363" s="1" t="n">
        <v>0</v>
      </c>
      <c r="N363" s="1" t="s">
        <v>279</v>
      </c>
      <c r="O363" s="1"/>
      <c r="P363" s="1"/>
      <c r="Q363" s="1"/>
      <c r="R363" s="1"/>
      <c r="Z363" s="0" t="n">
        <f aca="false">I363+0</f>
        <v>316.2</v>
      </c>
      <c r="AB363" s="0" t="n">
        <f aca="false">IF(Z363&gt;360,Z363-360,Z363+0)</f>
        <v>316.2</v>
      </c>
    </row>
    <row r="364" customFormat="false" ht="15.8" hidden="false" customHeight="false" outlineLevel="0" collapsed="false">
      <c r="A364" s="1" t="n">
        <v>13</v>
      </c>
      <c r="B364" s="1" t="n">
        <v>9</v>
      </c>
      <c r="C364" s="1" t="n">
        <v>4.2</v>
      </c>
      <c r="D364" s="1" t="n">
        <v>1.149</v>
      </c>
      <c r="E364" s="1" t="n">
        <v>0.153395</v>
      </c>
      <c r="F364" s="1" t="n">
        <v>0.000440909</v>
      </c>
      <c r="G364" s="1" t="s">
        <v>42</v>
      </c>
      <c r="H364" s="1" t="n">
        <v>19.2</v>
      </c>
      <c r="I364" s="1" t="n">
        <v>166.6</v>
      </c>
      <c r="J364" s="1" t="n">
        <v>6.1</v>
      </c>
      <c r="K364" s="1" t="n">
        <v>144.7</v>
      </c>
      <c r="L364" s="1" t="n">
        <v>0</v>
      </c>
      <c r="M364" s="1" t="n">
        <v>0</v>
      </c>
      <c r="N364" s="1" t="s">
        <v>280</v>
      </c>
      <c r="O364" s="1"/>
      <c r="P364" s="1"/>
      <c r="Q364" s="1"/>
      <c r="R364" s="1"/>
      <c r="Z364" s="0" t="n">
        <f aca="false">I364+0</f>
        <v>166.6</v>
      </c>
      <c r="AB364" s="0" t="n">
        <f aca="false">IF(Z364&gt;360,Z364-360,Z364+0)</f>
        <v>166.6</v>
      </c>
    </row>
    <row r="365" customFormat="false" ht="15.8" hidden="false" customHeight="false" outlineLevel="0" collapsed="false">
      <c r="A365" s="1" t="n">
        <v>13</v>
      </c>
      <c r="B365" s="1" t="n">
        <v>9</v>
      </c>
      <c r="C365" s="1" t="n">
        <v>2.8</v>
      </c>
      <c r="D365" s="1" t="n">
        <v>1.0971</v>
      </c>
      <c r="E365" s="1" t="n">
        <v>0.102575</v>
      </c>
      <c r="F365" s="1" t="n">
        <v>0.000294836</v>
      </c>
      <c r="G365" s="1" t="s">
        <v>27</v>
      </c>
      <c r="H365" s="1" t="n">
        <v>31.2</v>
      </c>
      <c r="I365" s="1" t="n">
        <v>187.9</v>
      </c>
      <c r="J365" s="1" t="n">
        <v>0</v>
      </c>
      <c r="K365" s="1"/>
      <c r="L365" s="1" t="n">
        <v>0</v>
      </c>
      <c r="M365" s="1" t="n">
        <v>0</v>
      </c>
      <c r="N365" s="1" t="s">
        <v>280</v>
      </c>
      <c r="O365" s="1"/>
      <c r="P365" s="1"/>
      <c r="Q365" s="1"/>
      <c r="R365" s="1"/>
      <c r="Z365" s="0" t="n">
        <f aca="false">I365+0</f>
        <v>187.9</v>
      </c>
      <c r="AB365" s="0" t="n">
        <f aca="false">IF(Z365&gt;360,Z365-360,Z365+0)</f>
        <v>187.9</v>
      </c>
    </row>
    <row r="366" customFormat="false" ht="15.8" hidden="false" customHeight="false" outlineLevel="0" collapsed="false">
      <c r="A366" s="1" t="n">
        <v>13</v>
      </c>
      <c r="B366" s="1" t="n">
        <v>8</v>
      </c>
      <c r="C366" s="1" t="n">
        <v>23.6</v>
      </c>
      <c r="D366" s="1" t="n">
        <v>1.3379</v>
      </c>
      <c r="E366" s="1" t="n">
        <v>0.854198</v>
      </c>
      <c r="F366" s="1" t="n">
        <v>0.00245525</v>
      </c>
      <c r="G366" s="1" t="s">
        <v>42</v>
      </c>
      <c r="H366" s="1" t="n">
        <v>26.5</v>
      </c>
      <c r="I366" s="1" t="n">
        <v>158.7</v>
      </c>
      <c r="J366" s="1" t="n">
        <v>-11.5</v>
      </c>
      <c r="K366" s="1" t="n">
        <v>31.2</v>
      </c>
      <c r="L366" s="1" t="n">
        <v>0</v>
      </c>
      <c r="M366" s="1" t="n">
        <v>0</v>
      </c>
      <c r="N366" s="1" t="s">
        <v>281</v>
      </c>
      <c r="O366" s="1"/>
      <c r="P366" s="1"/>
      <c r="Q366" s="1"/>
      <c r="R366" s="1"/>
      <c r="Z366" s="0" t="n">
        <f aca="false">I366+0</f>
        <v>158.7</v>
      </c>
      <c r="AB366" s="0" t="n">
        <f aca="false">IF(Z366&gt;360,Z366-360,Z366+0)</f>
        <v>158.7</v>
      </c>
    </row>
    <row r="367" customFormat="false" ht="15.8" hidden="false" customHeight="false" outlineLevel="0" collapsed="false">
      <c r="A367" s="1" t="n">
        <v>13</v>
      </c>
      <c r="B367" s="1" t="n">
        <v>9</v>
      </c>
      <c r="C367" s="1" t="n">
        <v>3.7</v>
      </c>
      <c r="D367" s="1" t="n">
        <v>1.2225</v>
      </c>
      <c r="E367" s="1" t="n">
        <v>0.134134</v>
      </c>
      <c r="F367" s="1" t="n">
        <v>0.000385545</v>
      </c>
      <c r="G367" s="1" t="s">
        <v>27</v>
      </c>
      <c r="H367" s="1" t="n">
        <v>2.8</v>
      </c>
      <c r="I367" s="1" t="n">
        <v>195.5</v>
      </c>
      <c r="J367" s="1" t="n">
        <v>22.7</v>
      </c>
      <c r="K367" s="1"/>
      <c r="L367" s="1" t="n">
        <v>0</v>
      </c>
      <c r="M367" s="1" t="n">
        <v>0</v>
      </c>
      <c r="N367" s="1" t="s">
        <v>282</v>
      </c>
      <c r="O367" s="1"/>
      <c r="P367" s="1"/>
      <c r="Q367" s="1"/>
      <c r="R367" s="1"/>
      <c r="Z367" s="0" t="n">
        <f aca="false">I367+0</f>
        <v>195.5</v>
      </c>
      <c r="AB367" s="0" t="n">
        <f aca="false">IF(Z367&gt;360,Z367-360,Z367+0)</f>
        <v>195.5</v>
      </c>
    </row>
    <row r="368" customFormat="false" ht="15.8" hidden="false" customHeight="false" outlineLevel="0" collapsed="false">
      <c r="A368" s="1" t="n">
        <v>13</v>
      </c>
      <c r="B368" s="1" t="n">
        <v>9</v>
      </c>
      <c r="C368" s="1" t="n">
        <v>1</v>
      </c>
      <c r="D368" s="1" t="n">
        <v>1.0291</v>
      </c>
      <c r="E368" s="1" t="n">
        <v>0.034457</v>
      </c>
      <c r="F368" s="1" t="n">
        <v>9.9041E-005</v>
      </c>
      <c r="G368" s="1" t="s">
        <v>27</v>
      </c>
      <c r="H368" s="1" t="n">
        <v>116.8</v>
      </c>
      <c r="I368" s="1" t="n">
        <v>316</v>
      </c>
      <c r="J368" s="1" t="n">
        <v>0</v>
      </c>
      <c r="K368" s="1"/>
      <c r="L368" s="1" t="n">
        <v>0</v>
      </c>
      <c r="M368" s="1" t="n">
        <v>0</v>
      </c>
      <c r="N368" s="1" t="s">
        <v>282</v>
      </c>
      <c r="O368" s="1"/>
      <c r="P368" s="1"/>
      <c r="Q368" s="1"/>
      <c r="R368" s="1"/>
      <c r="Z368" s="0" t="n">
        <f aca="false">I368+0</f>
        <v>316</v>
      </c>
      <c r="AB368" s="0" t="n">
        <f aca="false">IF(Z368&gt;360,Z368-360,Z368+0)</f>
        <v>316</v>
      </c>
    </row>
    <row r="369" customFormat="false" ht="15.8" hidden="false" customHeight="false" outlineLevel="0" collapsed="false">
      <c r="A369" s="1" t="n">
        <v>13</v>
      </c>
      <c r="B369" s="1" t="n">
        <v>8</v>
      </c>
      <c r="C369" s="1" t="n">
        <v>2.6</v>
      </c>
      <c r="D369" s="1" t="n">
        <v>1.1773</v>
      </c>
      <c r="E369" s="1" t="n">
        <v>0.0950488</v>
      </c>
      <c r="F369" s="1" t="n">
        <v>0.000273202</v>
      </c>
      <c r="G369" s="1" t="s">
        <v>42</v>
      </c>
      <c r="H369" s="1" t="n">
        <v>64.5</v>
      </c>
      <c r="I369" s="1" t="n">
        <v>197.2</v>
      </c>
      <c r="J369" s="1" t="n">
        <v>20.4</v>
      </c>
      <c r="K369" s="1" t="n">
        <v>116.8</v>
      </c>
      <c r="L369" s="1" t="n">
        <v>0</v>
      </c>
      <c r="M369" s="1" t="n">
        <v>0</v>
      </c>
      <c r="N369" s="1" t="s">
        <v>281</v>
      </c>
      <c r="O369" s="1"/>
      <c r="P369" s="1"/>
      <c r="Q369" s="1"/>
      <c r="R369" s="1"/>
      <c r="Z369" s="0" t="n">
        <f aca="false">I369+0</f>
        <v>197.2</v>
      </c>
      <c r="AB369" s="0" t="n">
        <f aca="false">IF(Z369&gt;360,Z369-360,Z369+0)</f>
        <v>197.2</v>
      </c>
    </row>
    <row r="370" customFormat="false" ht="15.8" hidden="false" customHeight="false" outlineLevel="0" collapsed="false">
      <c r="A370" s="1" t="n">
        <v>13</v>
      </c>
      <c r="B370" s="1" t="n">
        <v>7</v>
      </c>
      <c r="C370" s="1" t="n">
        <v>1.3</v>
      </c>
      <c r="D370" s="1" t="n">
        <v>1.015</v>
      </c>
      <c r="E370" s="1" t="n">
        <v>0.0479889</v>
      </c>
      <c r="F370" s="1" t="n">
        <v>0.000137936</v>
      </c>
      <c r="G370" s="1" t="s">
        <v>42</v>
      </c>
      <c r="H370" s="1" t="n">
        <v>46</v>
      </c>
      <c r="I370" s="1" t="n">
        <v>134.6</v>
      </c>
      <c r="J370" s="1" t="n">
        <v>0</v>
      </c>
      <c r="K370" s="1" t="n">
        <v>64.5</v>
      </c>
      <c r="L370" s="1" t="n">
        <v>0</v>
      </c>
      <c r="M370" s="1" t="n">
        <v>0</v>
      </c>
      <c r="N370" s="1" t="s">
        <v>283</v>
      </c>
      <c r="O370" s="1"/>
      <c r="P370" s="1"/>
      <c r="Q370" s="1"/>
      <c r="R370" s="1"/>
      <c r="Z370" s="0" t="n">
        <f aca="false">I370+0</f>
        <v>134.6</v>
      </c>
      <c r="AB370" s="0" t="n">
        <f aca="false">IF(Z370&gt;360,Z370-360,Z370+0)</f>
        <v>134.6</v>
      </c>
    </row>
    <row r="371" customFormat="false" ht="15.8" hidden="false" customHeight="false" outlineLevel="0" collapsed="false">
      <c r="A371" s="1" t="n">
        <v>13</v>
      </c>
      <c r="B371" s="1" t="n">
        <v>8</v>
      </c>
      <c r="C371" s="1" t="n">
        <v>7.1</v>
      </c>
      <c r="D371" s="1" t="n">
        <v>1.0925</v>
      </c>
      <c r="E371" s="1" t="n">
        <v>0.257187</v>
      </c>
      <c r="F371" s="1" t="n">
        <v>0.000739242</v>
      </c>
      <c r="G371" s="1" t="s">
        <v>27</v>
      </c>
      <c r="H371" s="1" t="n">
        <v>16</v>
      </c>
      <c r="I371" s="1" t="n">
        <v>169.9</v>
      </c>
      <c r="J371" s="1" t="n">
        <v>-6.9</v>
      </c>
      <c r="K371" s="1"/>
      <c r="L371" s="1" t="n">
        <v>0</v>
      </c>
      <c r="M371" s="1" t="n">
        <v>0</v>
      </c>
      <c r="N371" s="1" t="s">
        <v>284</v>
      </c>
      <c r="O371" s="1"/>
      <c r="P371" s="1"/>
      <c r="Q371" s="1"/>
      <c r="R371" s="1"/>
      <c r="Z371" s="0" t="n">
        <f aca="false">I371+0</f>
        <v>169.9</v>
      </c>
      <c r="AB371" s="0" t="n">
        <f aca="false">IF(Z371&gt;360,Z371-360,Z371+0)</f>
        <v>169.9</v>
      </c>
    </row>
    <row r="372" customFormat="false" ht="15.8" hidden="false" customHeight="false" outlineLevel="0" collapsed="false">
      <c r="A372" s="1" t="n">
        <v>13</v>
      </c>
      <c r="B372" s="1" t="n">
        <v>10</v>
      </c>
      <c r="C372" s="1" t="n">
        <v>9.6</v>
      </c>
      <c r="D372" s="1" t="n">
        <v>1.2456</v>
      </c>
      <c r="E372" s="1" t="n">
        <v>0.348382</v>
      </c>
      <c r="F372" s="1" t="n">
        <v>0.00100137</v>
      </c>
      <c r="G372" s="1" t="s">
        <v>27</v>
      </c>
      <c r="H372" s="1" t="n">
        <v>20.4</v>
      </c>
      <c r="I372" s="1" t="n">
        <v>169.3</v>
      </c>
      <c r="J372" s="1" t="n">
        <v>-27</v>
      </c>
      <c r="K372" s="1"/>
      <c r="L372" s="1" t="n">
        <v>0</v>
      </c>
      <c r="M372" s="1" t="n">
        <v>0</v>
      </c>
      <c r="N372" s="1" t="s">
        <v>285</v>
      </c>
      <c r="O372" s="1"/>
      <c r="P372" s="1"/>
      <c r="Q372" s="1"/>
      <c r="R372" s="1"/>
      <c r="Z372" s="0" t="n">
        <f aca="false">I372+0</f>
        <v>169.3</v>
      </c>
      <c r="AB372" s="0" t="n">
        <f aca="false">IF(Z372&gt;360,Z372-360,Z372+0)</f>
        <v>169.3</v>
      </c>
    </row>
    <row r="373" customFormat="false" ht="15.8" hidden="false" customHeight="false" outlineLevel="0" collapsed="false">
      <c r="A373" s="1" t="n">
        <v>13</v>
      </c>
      <c r="B373" s="1" t="n">
        <v>10</v>
      </c>
      <c r="C373" s="1" t="n">
        <v>3.1</v>
      </c>
      <c r="D373" s="1" t="n">
        <v>1.305</v>
      </c>
      <c r="E373" s="1" t="n">
        <v>0.112046</v>
      </c>
      <c r="F373" s="1" t="n">
        <v>0.000322057</v>
      </c>
      <c r="G373" s="1" t="s">
        <v>27</v>
      </c>
      <c r="H373" s="1" t="n">
        <v>34.8</v>
      </c>
      <c r="I373" s="1" t="n">
        <v>180</v>
      </c>
      <c r="J373" s="1" t="n">
        <v>-41</v>
      </c>
      <c r="K373" s="1"/>
      <c r="L373" s="1" t="n">
        <v>0</v>
      </c>
      <c r="M373" s="1" t="n">
        <v>0</v>
      </c>
      <c r="N373" s="1" t="s">
        <v>285</v>
      </c>
      <c r="O373" s="1"/>
      <c r="P373" s="1"/>
      <c r="Q373" s="1"/>
      <c r="R373" s="1"/>
      <c r="Z373" s="0" t="n">
        <f aca="false">I373+0</f>
        <v>180</v>
      </c>
      <c r="AB373" s="0" t="n">
        <f aca="false">IF(Z373&gt;360,Z373-360,Z373+0)</f>
        <v>180</v>
      </c>
    </row>
    <row r="374" customFormat="false" ht="15.8" hidden="false" customHeight="false" outlineLevel="0" collapsed="false">
      <c r="A374" s="1" t="n">
        <v>13</v>
      </c>
      <c r="B374" s="1" t="n">
        <v>9</v>
      </c>
      <c r="C374" s="1" t="n">
        <v>4.1</v>
      </c>
      <c r="D374" s="1" t="n">
        <v>1.2487</v>
      </c>
      <c r="E374" s="1" t="n">
        <v>0.147961</v>
      </c>
      <c r="F374" s="1" t="n">
        <v>0.000425289</v>
      </c>
      <c r="G374" s="1" t="s">
        <v>42</v>
      </c>
      <c r="H374" s="1" t="n">
        <v>75.7</v>
      </c>
      <c r="I374" s="1" t="n">
        <v>172.7</v>
      </c>
      <c r="J374" s="1" t="n">
        <v>-6.8</v>
      </c>
      <c r="K374" s="1" t="n">
        <v>34.8</v>
      </c>
      <c r="L374" s="1" t="n">
        <v>0</v>
      </c>
      <c r="M374" s="1" t="n">
        <v>0</v>
      </c>
      <c r="N374" s="1" t="s">
        <v>286</v>
      </c>
      <c r="O374" s="1"/>
      <c r="P374" s="1"/>
      <c r="Q374" s="1"/>
      <c r="R374" s="1"/>
      <c r="Z374" s="0" t="n">
        <f aca="false">I374+0</f>
        <v>172.7</v>
      </c>
      <c r="AB374" s="0" t="n">
        <f aca="false">IF(Z374&gt;360,Z374-360,Z374+0)</f>
        <v>172.7</v>
      </c>
    </row>
    <row r="375" customFormat="false" ht="15.8" hidden="false" customHeight="false" outlineLevel="0" collapsed="false">
      <c r="A375" s="1" t="n">
        <v>13</v>
      </c>
      <c r="B375" s="1" t="n">
        <v>11</v>
      </c>
      <c r="C375" s="1" t="n">
        <v>11.5</v>
      </c>
      <c r="D375" s="1" t="n">
        <v>1.2089</v>
      </c>
      <c r="E375" s="1" t="n">
        <v>0.414015</v>
      </c>
      <c r="F375" s="1" t="n">
        <v>0.00119002</v>
      </c>
      <c r="G375" s="1" t="s">
        <v>27</v>
      </c>
      <c r="H375" s="1" t="n">
        <v>43.2</v>
      </c>
      <c r="I375" s="1" t="n">
        <v>168.8</v>
      </c>
      <c r="J375" s="1" t="n">
        <v>-14.3</v>
      </c>
      <c r="K375" s="1"/>
      <c r="L375" s="1" t="n">
        <v>0</v>
      </c>
      <c r="M375" s="1" t="n">
        <v>0</v>
      </c>
      <c r="N375" s="1" t="s">
        <v>287</v>
      </c>
      <c r="O375" s="1"/>
      <c r="P375" s="1"/>
      <c r="Q375" s="1"/>
      <c r="R375" s="1"/>
      <c r="Z375" s="0" t="n">
        <f aca="false">I375+0</f>
        <v>168.8</v>
      </c>
      <c r="AB375" s="0" t="n">
        <f aca="false">IF(Z375&gt;360,Z375-360,Z375+0)</f>
        <v>168.8</v>
      </c>
    </row>
    <row r="376" customFormat="false" ht="15.8" hidden="false" customHeight="false" outlineLevel="0" collapsed="false">
      <c r="A376" s="1" t="n">
        <v>13</v>
      </c>
      <c r="B376" s="1" t="n">
        <v>11</v>
      </c>
      <c r="C376" s="1" t="n">
        <v>1.3</v>
      </c>
      <c r="D376" s="1" t="n">
        <v>1.2595</v>
      </c>
      <c r="E376" s="1" t="n">
        <v>0.0451629</v>
      </c>
      <c r="F376" s="1" t="n">
        <v>0.000129813</v>
      </c>
      <c r="G376" s="1" t="s">
        <v>27</v>
      </c>
      <c r="H376" s="1" t="n">
        <v>99.5</v>
      </c>
      <c r="I376" s="1" t="n">
        <v>354.2</v>
      </c>
      <c r="J376" s="1" t="n">
        <v>-23.1</v>
      </c>
      <c r="K376" s="1"/>
      <c r="L376" s="1" t="n">
        <v>0</v>
      </c>
      <c r="M376" s="1" t="n">
        <v>0</v>
      </c>
      <c r="N376" s="1" t="s">
        <v>287</v>
      </c>
      <c r="O376" s="1"/>
      <c r="P376" s="1"/>
      <c r="Q376" s="1"/>
      <c r="R376" s="1"/>
      <c r="Z376" s="0" t="n">
        <f aca="false">I376+0</f>
        <v>354.2</v>
      </c>
      <c r="AB376" s="0" t="n">
        <f aca="false">IF(Z376&gt;360,Z376-360,Z376+0)</f>
        <v>354.2</v>
      </c>
    </row>
    <row r="377" customFormat="false" ht="15.8" hidden="false" customHeight="false" outlineLevel="0" collapsed="false">
      <c r="A377" s="1" t="n">
        <v>13</v>
      </c>
      <c r="B377" s="1" t="n">
        <v>10</v>
      </c>
      <c r="C377" s="1" t="n">
        <v>3.4</v>
      </c>
      <c r="D377" s="1" t="n">
        <v>1.2126</v>
      </c>
      <c r="E377" s="1" t="n">
        <v>0.12168</v>
      </c>
      <c r="F377" s="1" t="n">
        <v>0.00034975</v>
      </c>
      <c r="G377" s="1" t="s">
        <v>42</v>
      </c>
      <c r="H377" s="1" t="n">
        <v>130.9</v>
      </c>
      <c r="I377" s="1" t="n">
        <v>172.1</v>
      </c>
      <c r="J377" s="1" t="n">
        <v>-57.4</v>
      </c>
      <c r="K377" s="1" t="n">
        <v>99.5</v>
      </c>
      <c r="L377" s="1" t="n">
        <v>0</v>
      </c>
      <c r="M377" s="1" t="n">
        <v>0</v>
      </c>
      <c r="N377" s="1" t="s">
        <v>288</v>
      </c>
      <c r="O377" s="1"/>
      <c r="P377" s="1"/>
      <c r="Q377" s="1"/>
      <c r="R377" s="1"/>
      <c r="Z377" s="0" t="n">
        <f aca="false">I377+0</f>
        <v>172.1</v>
      </c>
      <c r="AB377" s="0" t="n">
        <f aca="false">IF(Z377&gt;360,Z377-360,Z377+0)</f>
        <v>172.1</v>
      </c>
    </row>
    <row r="378" customFormat="false" ht="15.8" hidden="false" customHeight="false" outlineLevel="0" collapsed="false">
      <c r="A378" s="1" t="n">
        <v>13</v>
      </c>
      <c r="B378" s="1" t="n">
        <v>11</v>
      </c>
      <c r="C378" s="1" t="n">
        <v>1.5</v>
      </c>
      <c r="D378" s="1" t="n">
        <v>1.295</v>
      </c>
      <c r="E378" s="1" t="n">
        <v>0.0546854</v>
      </c>
      <c r="F378" s="1" t="n">
        <v>0.000157184</v>
      </c>
      <c r="G378" s="1" t="s">
        <v>27</v>
      </c>
      <c r="H378" s="1" t="n">
        <v>43.9</v>
      </c>
      <c r="I378" s="1" t="n">
        <v>312.3</v>
      </c>
      <c r="J378" s="1" t="n">
        <v>41.9</v>
      </c>
      <c r="K378" s="1"/>
      <c r="L378" s="1" t="n">
        <v>0</v>
      </c>
      <c r="M378" s="1" t="n">
        <v>0</v>
      </c>
      <c r="N378" s="1" t="s">
        <v>289</v>
      </c>
      <c r="O378" s="1"/>
      <c r="P378" s="1"/>
      <c r="Q378" s="1"/>
      <c r="R378" s="1"/>
      <c r="Z378" s="0" t="n">
        <f aca="false">I378+0</f>
        <v>312.3</v>
      </c>
      <c r="AB378" s="0" t="n">
        <f aca="false">IF(Z378&gt;360,Z378-360,Z378+0)</f>
        <v>312.3</v>
      </c>
    </row>
    <row r="379" customFormat="false" ht="15.8" hidden="false" customHeight="false" outlineLevel="0" collapsed="false">
      <c r="A379" s="1" t="n">
        <v>13</v>
      </c>
      <c r="B379" s="1" t="n">
        <v>11</v>
      </c>
      <c r="C379" s="1" t="n">
        <v>0.8</v>
      </c>
      <c r="D379" s="1" t="n">
        <v>1.1121</v>
      </c>
      <c r="E379" s="1" t="n">
        <v>0.0279988</v>
      </c>
      <c r="F379" s="1" t="n">
        <v>8.04779E-005</v>
      </c>
      <c r="G379" s="1" t="s">
        <v>27</v>
      </c>
      <c r="H379" s="1" t="n">
        <v>72.9</v>
      </c>
      <c r="I379" s="1" t="n">
        <v>47.4</v>
      </c>
      <c r="J379" s="1" t="n">
        <v>-34</v>
      </c>
      <c r="K379" s="1"/>
      <c r="L379" s="1" t="n">
        <v>0</v>
      </c>
      <c r="M379" s="1" t="n">
        <v>0</v>
      </c>
      <c r="N379" s="1" t="s">
        <v>289</v>
      </c>
      <c r="O379" s="1"/>
      <c r="P379" s="1"/>
      <c r="Q379" s="1"/>
      <c r="R379" s="1"/>
      <c r="Z379" s="0" t="n">
        <f aca="false">I379+0</f>
        <v>47.4</v>
      </c>
      <c r="AB379" s="0" t="n">
        <f aca="false">IF(Z379&gt;360,Z379-360,Z379+0)</f>
        <v>47.4</v>
      </c>
    </row>
    <row r="380" customFormat="false" ht="15.8" hidden="false" customHeight="false" outlineLevel="0" collapsed="false">
      <c r="A380" s="1" t="n">
        <v>13</v>
      </c>
      <c r="B380" s="1" t="n">
        <v>10</v>
      </c>
      <c r="C380" s="1" t="n">
        <v>2.8</v>
      </c>
      <c r="D380" s="1" t="n">
        <v>1.1106</v>
      </c>
      <c r="E380" s="1" t="n">
        <v>0.102894</v>
      </c>
      <c r="F380" s="1" t="n">
        <v>0.000295753</v>
      </c>
      <c r="G380" s="1" t="s">
        <v>42</v>
      </c>
      <c r="H380" s="1" t="n">
        <v>5.9</v>
      </c>
      <c r="I380" s="1" t="n">
        <v>345</v>
      </c>
      <c r="J380" s="1" t="n">
        <v>8.7</v>
      </c>
      <c r="K380" s="1" t="n">
        <v>72.9</v>
      </c>
      <c r="L380" s="1" t="n">
        <v>0</v>
      </c>
      <c r="M380" s="1" t="n">
        <v>0</v>
      </c>
      <c r="N380" s="1" t="s">
        <v>288</v>
      </c>
      <c r="O380" s="1"/>
      <c r="P380" s="1"/>
      <c r="Q380" s="1"/>
      <c r="R380" s="1"/>
      <c r="Z380" s="0" t="n">
        <f aca="false">I380+0</f>
        <v>345</v>
      </c>
      <c r="AB380" s="0" t="n">
        <f aca="false">IF(Z380&gt;360,Z380-360,Z380+0)</f>
        <v>345</v>
      </c>
    </row>
    <row r="381" customFormat="false" ht="15.8" hidden="false" customHeight="false" outlineLevel="0" collapsed="false">
      <c r="A381" s="1" t="n">
        <v>13</v>
      </c>
      <c r="B381" s="1" t="n">
        <v>9</v>
      </c>
      <c r="C381" s="1" t="n">
        <v>15.9</v>
      </c>
      <c r="D381" s="1" t="n">
        <v>1.1788</v>
      </c>
      <c r="E381" s="1" t="n">
        <v>0.57509</v>
      </c>
      <c r="F381" s="1" t="n">
        <v>0.001653</v>
      </c>
      <c r="G381" s="1" t="s">
        <v>42</v>
      </c>
      <c r="H381" s="1" t="n">
        <v>103.5</v>
      </c>
      <c r="I381" s="1" t="n">
        <v>350.9</v>
      </c>
      <c r="J381" s="1" t="n">
        <v>8.3</v>
      </c>
      <c r="K381" s="1" t="n">
        <v>130.9</v>
      </c>
      <c r="L381" s="1" t="n">
        <v>0</v>
      </c>
      <c r="M381" s="1" t="n">
        <v>0</v>
      </c>
      <c r="N381" s="1" t="s">
        <v>286</v>
      </c>
      <c r="O381" s="1"/>
      <c r="P381" s="1"/>
      <c r="Q381" s="1"/>
      <c r="R381" s="1"/>
      <c r="Z381" s="0" t="n">
        <f aca="false">I381+0</f>
        <v>350.9</v>
      </c>
      <c r="AB381" s="0" t="n">
        <f aca="false">IF(Z381&gt;360,Z381-360,Z381+0)</f>
        <v>350.9</v>
      </c>
    </row>
    <row r="382" customFormat="false" ht="15.8" hidden="false" customHeight="false" outlineLevel="0" collapsed="false">
      <c r="A382" s="1" t="n">
        <v>13</v>
      </c>
      <c r="B382" s="1" t="n">
        <v>8</v>
      </c>
      <c r="C382" s="1" t="n">
        <v>1</v>
      </c>
      <c r="D382" s="1" t="n">
        <v>1.2329</v>
      </c>
      <c r="E382" s="1" t="n">
        <v>0.0360446</v>
      </c>
      <c r="F382" s="1" t="n">
        <v>0.000103604</v>
      </c>
      <c r="G382" s="1" t="s">
        <v>42</v>
      </c>
      <c r="H382" s="1" t="n">
        <v>64.3</v>
      </c>
      <c r="I382" s="1" t="n">
        <v>250.1</v>
      </c>
      <c r="J382" s="1" t="n">
        <v>-28.8</v>
      </c>
      <c r="K382" s="1" t="n">
        <v>103.5</v>
      </c>
      <c r="L382" s="1" t="n">
        <v>0</v>
      </c>
      <c r="M382" s="1" t="n">
        <v>0</v>
      </c>
      <c r="N382" s="1" t="s">
        <v>284</v>
      </c>
      <c r="O382" s="1"/>
      <c r="P382" s="1"/>
      <c r="Q382" s="1"/>
      <c r="R382" s="1"/>
      <c r="Z382" s="0" t="n">
        <f aca="false">I382+0</f>
        <v>250.1</v>
      </c>
      <c r="AB382" s="0" t="n">
        <f aca="false">IF(Z382&gt;360,Z382-360,Z382+0)</f>
        <v>250.1</v>
      </c>
    </row>
    <row r="383" customFormat="false" ht="15.8" hidden="false" customHeight="false" outlineLevel="0" collapsed="false">
      <c r="A383" s="1" t="n">
        <v>13</v>
      </c>
      <c r="B383" s="1" t="n">
        <v>7</v>
      </c>
      <c r="C383" s="1" t="n">
        <v>6.8</v>
      </c>
      <c r="D383" s="1" t="n">
        <v>1.2075</v>
      </c>
      <c r="E383" s="1" t="n">
        <v>0.245885</v>
      </c>
      <c r="F383" s="1" t="n">
        <v>0.000706755</v>
      </c>
      <c r="G383" s="1" t="s">
        <v>42</v>
      </c>
      <c r="H383" s="1" t="n">
        <v>24.8</v>
      </c>
      <c r="I383" s="1" t="n">
        <v>179</v>
      </c>
      <c r="J383" s="1" t="n">
        <v>-20.2</v>
      </c>
      <c r="K383" s="1" t="n">
        <v>64.3</v>
      </c>
      <c r="L383" s="1" t="n">
        <v>0</v>
      </c>
      <c r="M383" s="1" t="n">
        <v>0</v>
      </c>
      <c r="N383" s="1" t="s">
        <v>283</v>
      </c>
      <c r="O383" s="1"/>
      <c r="P383" s="1"/>
      <c r="Q383" s="1"/>
      <c r="R383" s="1"/>
      <c r="Z383" s="0" t="n">
        <f aca="false">I383+0</f>
        <v>179</v>
      </c>
      <c r="AB383" s="0" t="n">
        <f aca="false">IF(Z383&gt;360,Z383-360,Z383+0)</f>
        <v>179</v>
      </c>
    </row>
    <row r="384" customFormat="false" ht="15.8" hidden="false" customHeight="false" outlineLevel="0" collapsed="false">
      <c r="A384" s="1" t="n">
        <v>13</v>
      </c>
      <c r="B384" s="1" t="n">
        <v>6</v>
      </c>
      <c r="C384" s="1" t="n">
        <v>2.3</v>
      </c>
      <c r="D384" s="1" t="n">
        <v>1.2671</v>
      </c>
      <c r="E384" s="1" t="n">
        <v>0.0844014</v>
      </c>
      <c r="F384" s="1" t="n">
        <v>0.000242598</v>
      </c>
      <c r="G384" s="1" t="s">
        <v>42</v>
      </c>
      <c r="H384" s="1" t="n">
        <v>106.7</v>
      </c>
      <c r="I384" s="1" t="n">
        <v>160.7</v>
      </c>
      <c r="J384" s="1" t="n">
        <v>-39.4</v>
      </c>
      <c r="K384" s="1" t="n">
        <v>46</v>
      </c>
      <c r="L384" s="1" t="n">
        <v>0</v>
      </c>
      <c r="M384" s="1" t="n">
        <v>0</v>
      </c>
      <c r="N384" s="1" t="s">
        <v>277</v>
      </c>
      <c r="O384" s="1"/>
      <c r="P384" s="1"/>
      <c r="Q384" s="1"/>
      <c r="R384" s="1"/>
      <c r="Z384" s="0" t="n">
        <f aca="false">I384+0</f>
        <v>160.7</v>
      </c>
      <c r="AB384" s="0" t="n">
        <f aca="false">IF(Z384&gt;360,Z384-360,Z384+0)</f>
        <v>160.7</v>
      </c>
    </row>
    <row r="385" customFormat="false" ht="15.8" hidden="false" customHeight="false" outlineLevel="0" collapsed="false">
      <c r="A385" s="1" t="n">
        <v>13</v>
      </c>
      <c r="B385" s="1" t="n">
        <v>7</v>
      </c>
      <c r="C385" s="1" t="n">
        <v>3.9</v>
      </c>
      <c r="D385" s="1" t="n">
        <v>1.1239</v>
      </c>
      <c r="E385" s="1" t="n">
        <v>0.141055</v>
      </c>
      <c r="F385" s="1" t="n">
        <v>0.00040544</v>
      </c>
      <c r="G385" s="1" t="s">
        <v>27</v>
      </c>
      <c r="H385" s="1" t="n">
        <v>50.5</v>
      </c>
      <c r="I385" s="1" t="n">
        <v>354.7</v>
      </c>
      <c r="J385" s="1" t="n">
        <v>6.4</v>
      </c>
      <c r="K385" s="1"/>
      <c r="L385" s="1" t="n">
        <v>0</v>
      </c>
      <c r="M385" s="1" t="n">
        <v>0</v>
      </c>
      <c r="N385" s="1" t="s">
        <v>290</v>
      </c>
      <c r="O385" s="1"/>
      <c r="P385" s="1"/>
      <c r="Q385" s="1"/>
      <c r="R385" s="1"/>
      <c r="Z385" s="0" t="n">
        <f aca="false">I385+0</f>
        <v>354.7</v>
      </c>
      <c r="AB385" s="0" t="n">
        <f aca="false">IF(Z385&gt;360,Z385-360,Z385+0)</f>
        <v>354.7</v>
      </c>
    </row>
    <row r="386" customFormat="false" ht="15.8" hidden="false" customHeight="false" outlineLevel="0" collapsed="false">
      <c r="A386" s="1" t="n">
        <v>13</v>
      </c>
      <c r="B386" s="1" t="n">
        <v>7</v>
      </c>
      <c r="C386" s="1" t="n">
        <v>1.8</v>
      </c>
      <c r="D386" s="1" t="n">
        <v>1.2705</v>
      </c>
      <c r="E386" s="1" t="n">
        <v>0.0658105</v>
      </c>
      <c r="F386" s="1" t="n">
        <v>0.000189161</v>
      </c>
      <c r="G386" s="1" t="s">
        <v>27</v>
      </c>
      <c r="H386" s="1" t="n">
        <v>28.5</v>
      </c>
      <c r="I386" s="1" t="n">
        <v>280.6</v>
      </c>
      <c r="J386" s="1" t="n">
        <v>15.8</v>
      </c>
      <c r="K386" s="1"/>
      <c r="L386" s="1" t="n">
        <v>0</v>
      </c>
      <c r="M386" s="1" t="n">
        <v>0</v>
      </c>
      <c r="N386" s="1" t="s">
        <v>290</v>
      </c>
      <c r="O386" s="1"/>
      <c r="P386" s="1"/>
      <c r="Q386" s="1"/>
      <c r="R386" s="1"/>
      <c r="Z386" s="0" t="n">
        <f aca="false">I386+0</f>
        <v>280.6</v>
      </c>
      <c r="AB386" s="0" t="n">
        <f aca="false">IF(Z386&gt;360,Z386-360,Z386+0)</f>
        <v>280.6</v>
      </c>
    </row>
    <row r="387" customFormat="false" ht="15.8" hidden="false" customHeight="false" outlineLevel="0" collapsed="false">
      <c r="A387" s="1" t="n">
        <v>13</v>
      </c>
      <c r="B387" s="1" t="n">
        <v>6</v>
      </c>
      <c r="C387" s="1" t="n">
        <v>3.7</v>
      </c>
      <c r="D387" s="1" t="n">
        <v>1.2046</v>
      </c>
      <c r="E387" s="1" t="n">
        <v>0.133504</v>
      </c>
      <c r="F387" s="1" t="n">
        <v>0.000383736</v>
      </c>
      <c r="G387" s="1" t="s">
        <v>42</v>
      </c>
      <c r="H387" s="1" t="n">
        <v>72</v>
      </c>
      <c r="I387" s="1" t="n">
        <v>307.2</v>
      </c>
      <c r="J387" s="1" t="n">
        <v>30.6</v>
      </c>
      <c r="K387" s="1" t="n">
        <v>50.5</v>
      </c>
      <c r="L387" s="1" t="n">
        <v>0</v>
      </c>
      <c r="M387" s="1" t="n">
        <v>0</v>
      </c>
      <c r="N387" s="1" t="s">
        <v>277</v>
      </c>
      <c r="O387" s="1"/>
      <c r="P387" s="1"/>
      <c r="Q387" s="1"/>
      <c r="R387" s="1"/>
      <c r="Z387" s="0" t="n">
        <f aca="false">I387+0</f>
        <v>307.2</v>
      </c>
      <c r="AB387" s="0" t="n">
        <f aca="false">IF(Z387&gt;360,Z387-360,Z387+0)</f>
        <v>307.2</v>
      </c>
    </row>
    <row r="388" customFormat="false" ht="15.8" hidden="false" customHeight="false" outlineLevel="0" collapsed="false">
      <c r="A388" s="1" t="n">
        <v>13</v>
      </c>
      <c r="B388" s="1" t="n">
        <v>6</v>
      </c>
      <c r="C388" s="1" t="n">
        <v>9.4</v>
      </c>
      <c r="D388" s="1" t="n">
        <v>1.4942</v>
      </c>
      <c r="E388" s="1" t="n">
        <v>0.339891</v>
      </c>
      <c r="F388" s="1" t="n">
        <v>0.00097696</v>
      </c>
      <c r="G388" s="1" t="s">
        <v>27</v>
      </c>
      <c r="H388" s="1" t="n">
        <v>97.8</v>
      </c>
      <c r="I388" s="1" t="n">
        <v>111.5</v>
      </c>
      <c r="J388" s="1" t="n">
        <v>-33.9</v>
      </c>
      <c r="K388" s="1"/>
      <c r="L388" s="1" t="n">
        <v>0</v>
      </c>
      <c r="M388" s="1" t="n">
        <v>0</v>
      </c>
      <c r="N388" s="1" t="s">
        <v>277</v>
      </c>
      <c r="O388" s="1"/>
      <c r="P388" s="1"/>
      <c r="Q388" s="1"/>
      <c r="R388" s="1"/>
      <c r="Z388" s="0" t="n">
        <f aca="false">I388+0</f>
        <v>111.5</v>
      </c>
      <c r="AB388" s="0" t="n">
        <f aca="false">IF(Z388&gt;360,Z388-360,Z388+0)</f>
        <v>111.5</v>
      </c>
    </row>
    <row r="389" customFormat="false" ht="15.8" hidden="false" customHeight="false" outlineLevel="0" collapsed="false">
      <c r="A389" s="1" t="n">
        <v>13</v>
      </c>
      <c r="B389" s="1" t="n">
        <v>5</v>
      </c>
      <c r="C389" s="1" t="n">
        <v>6.7</v>
      </c>
      <c r="D389" s="1" t="n">
        <v>1.1945</v>
      </c>
      <c r="E389" s="1" t="n">
        <v>0.240965</v>
      </c>
      <c r="F389" s="1" t="n">
        <v>0.000692614</v>
      </c>
      <c r="G389" s="1" t="s">
        <v>42</v>
      </c>
      <c r="H389" s="1" t="n">
        <v>24.6</v>
      </c>
      <c r="I389" s="1" t="n">
        <v>341</v>
      </c>
      <c r="J389" s="1" t="n">
        <v>-34</v>
      </c>
      <c r="K389" s="1" t="n">
        <v>106.7</v>
      </c>
      <c r="L389" s="1" t="n">
        <v>0</v>
      </c>
      <c r="M389" s="1" t="n">
        <v>0</v>
      </c>
      <c r="N389" s="1" t="s">
        <v>291</v>
      </c>
      <c r="O389" s="1"/>
      <c r="P389" s="1"/>
      <c r="Q389" s="1"/>
      <c r="R389" s="1"/>
      <c r="Z389" s="0" t="n">
        <f aca="false">I389+0</f>
        <v>341</v>
      </c>
      <c r="AB389" s="0" t="n">
        <f aca="false">IF(Z389&gt;360,Z389-360,Z389+0)</f>
        <v>341</v>
      </c>
    </row>
    <row r="390" customFormat="false" ht="15.8" hidden="false" customHeight="false" outlineLevel="0" collapsed="false">
      <c r="A390" s="1" t="n">
        <v>13</v>
      </c>
      <c r="B390" s="1" t="n">
        <v>6</v>
      </c>
      <c r="C390" s="1" t="n">
        <v>6.9</v>
      </c>
      <c r="D390" s="1" t="n">
        <v>1.5181</v>
      </c>
      <c r="E390" s="1" t="n">
        <v>0.248092</v>
      </c>
      <c r="F390" s="1" t="n">
        <v>0.0007131</v>
      </c>
      <c r="G390" s="1" t="s">
        <v>27</v>
      </c>
      <c r="H390" s="1" t="n">
        <v>35.1</v>
      </c>
      <c r="I390" s="1" t="n">
        <v>52.5</v>
      </c>
      <c r="J390" s="1" t="n">
        <v>-37.1</v>
      </c>
      <c r="K390" s="1"/>
      <c r="L390" s="1" t="n">
        <v>0</v>
      </c>
      <c r="M390" s="1" t="n">
        <v>0</v>
      </c>
      <c r="N390" s="1" t="s">
        <v>292</v>
      </c>
      <c r="O390" s="1"/>
      <c r="P390" s="1"/>
      <c r="Q390" s="1"/>
      <c r="R390" s="1"/>
      <c r="Z390" s="0" t="n">
        <f aca="false">I390+0</f>
        <v>52.5</v>
      </c>
      <c r="AB390" s="0" t="n">
        <f aca="false">IF(Z390&gt;360,Z390-360,Z390+0)</f>
        <v>52.5</v>
      </c>
    </row>
    <row r="391" customFormat="false" ht="15.8" hidden="false" customHeight="false" outlineLevel="0" collapsed="false">
      <c r="A391" s="1" t="n">
        <v>13</v>
      </c>
      <c r="B391" s="1" t="n">
        <v>7</v>
      </c>
      <c r="C391" s="1" t="n">
        <v>2.4</v>
      </c>
      <c r="D391" s="1" t="n">
        <v>1.191</v>
      </c>
      <c r="E391" s="1" t="n">
        <v>0.0850606</v>
      </c>
      <c r="F391" s="1" t="n">
        <v>0.000244493</v>
      </c>
      <c r="G391" s="1" t="s">
        <v>27</v>
      </c>
      <c r="H391" s="1" t="n">
        <v>85.6</v>
      </c>
      <c r="I391" s="1" t="n">
        <v>353.5</v>
      </c>
      <c r="J391" s="1" t="n">
        <v>-23.2</v>
      </c>
      <c r="K391" s="1"/>
      <c r="L391" s="1" t="n">
        <v>0</v>
      </c>
      <c r="M391" s="1" t="n">
        <v>0</v>
      </c>
      <c r="N391" s="1" t="s">
        <v>293</v>
      </c>
      <c r="O391" s="1"/>
      <c r="P391" s="1"/>
      <c r="Q391" s="1"/>
      <c r="R391" s="1"/>
      <c r="Z391" s="0" t="n">
        <f aca="false">I391+0</f>
        <v>353.5</v>
      </c>
      <c r="AB391" s="0" t="n">
        <f aca="false">IF(Z391&gt;360,Z391-360,Z391+0)</f>
        <v>353.5</v>
      </c>
    </row>
    <row r="392" customFormat="false" ht="15.8" hidden="false" customHeight="false" outlineLevel="0" collapsed="false">
      <c r="A392" s="1" t="n">
        <v>13</v>
      </c>
      <c r="B392" s="1" t="n">
        <v>7</v>
      </c>
      <c r="C392" s="1" t="n">
        <v>0.6</v>
      </c>
      <c r="D392" s="1" t="n">
        <v>1.001</v>
      </c>
      <c r="E392" s="1" t="n">
        <v>0.0211718</v>
      </c>
      <c r="F392" s="1" t="n">
        <v>6.08548E-005</v>
      </c>
      <c r="G392" s="1" t="s">
        <v>27</v>
      </c>
      <c r="H392" s="1" t="n">
        <v>77.1</v>
      </c>
      <c r="I392" s="1" t="n">
        <v>136.6</v>
      </c>
      <c r="J392" s="1" t="n">
        <v>0</v>
      </c>
      <c r="K392" s="1"/>
      <c r="L392" s="1" t="n">
        <v>0</v>
      </c>
      <c r="M392" s="1" t="n">
        <v>0</v>
      </c>
      <c r="N392" s="1" t="s">
        <v>293</v>
      </c>
      <c r="O392" s="1"/>
      <c r="P392" s="1"/>
      <c r="Q392" s="1"/>
      <c r="R392" s="1"/>
      <c r="Z392" s="0" t="n">
        <f aca="false">I392+0</f>
        <v>136.6</v>
      </c>
      <c r="AB392" s="0" t="n">
        <f aca="false">IF(Z392&gt;360,Z392-360,Z392+0)</f>
        <v>136.6</v>
      </c>
    </row>
    <row r="393" customFormat="false" ht="15.8" hidden="false" customHeight="false" outlineLevel="0" collapsed="false">
      <c r="A393" s="1" t="n">
        <v>13</v>
      </c>
      <c r="B393" s="1" t="n">
        <v>6</v>
      </c>
      <c r="C393" s="1" t="n">
        <v>3.8</v>
      </c>
      <c r="D393" s="1" t="n">
        <v>1.2781</v>
      </c>
      <c r="E393" s="1" t="n">
        <v>0.135625</v>
      </c>
      <c r="F393" s="1" t="n">
        <v>0.000389831</v>
      </c>
      <c r="G393" s="1" t="s">
        <v>42</v>
      </c>
      <c r="H393" s="1" t="n">
        <v>58.4</v>
      </c>
      <c r="I393" s="1" t="n">
        <v>61.9</v>
      </c>
      <c r="J393" s="1" t="n">
        <v>32.1</v>
      </c>
      <c r="K393" s="1" t="n">
        <v>85.6</v>
      </c>
      <c r="L393" s="1" t="n">
        <v>0</v>
      </c>
      <c r="M393" s="1" t="n">
        <v>0</v>
      </c>
      <c r="N393" s="1" t="s">
        <v>292</v>
      </c>
      <c r="O393" s="1"/>
      <c r="P393" s="1"/>
      <c r="Q393" s="1"/>
      <c r="R393" s="1"/>
      <c r="Z393" s="0" t="n">
        <f aca="false">I393+0</f>
        <v>61.9</v>
      </c>
      <c r="AB393" s="0" t="n">
        <f aca="false">IF(Z393&gt;360,Z393-360,Z393+0)</f>
        <v>61.9</v>
      </c>
    </row>
    <row r="394" customFormat="false" ht="15.8" hidden="false" customHeight="false" outlineLevel="0" collapsed="false">
      <c r="A394" s="1" t="n">
        <v>13</v>
      </c>
      <c r="B394" s="1" t="n">
        <v>5</v>
      </c>
      <c r="C394" s="1" t="n">
        <v>1.9</v>
      </c>
      <c r="D394" s="1" t="n">
        <v>1.152</v>
      </c>
      <c r="E394" s="1" t="n">
        <v>0.0702472</v>
      </c>
      <c r="F394" s="1" t="n">
        <v>0.000201914</v>
      </c>
      <c r="G394" s="1" t="s">
        <v>42</v>
      </c>
      <c r="H394" s="1" t="n">
        <v>31.3</v>
      </c>
      <c r="I394" s="1" t="n">
        <v>23.5</v>
      </c>
      <c r="J394" s="1" t="n">
        <v>-13.4</v>
      </c>
      <c r="K394" s="1" t="n">
        <v>58.4</v>
      </c>
      <c r="L394" s="1" t="n">
        <v>0</v>
      </c>
      <c r="M394" s="1" t="n">
        <v>0</v>
      </c>
      <c r="N394" s="1" t="s">
        <v>291</v>
      </c>
      <c r="O394" s="1"/>
      <c r="P394" s="1"/>
      <c r="Q394" s="1"/>
      <c r="R394" s="1"/>
      <c r="Z394" s="0" t="n">
        <f aca="false">I394+0</f>
        <v>23.5</v>
      </c>
      <c r="AB394" s="0" t="n">
        <f aca="false">IF(Z394&gt;360,Z394-360,Z394+0)</f>
        <v>23.5</v>
      </c>
    </row>
    <row r="395" customFormat="false" ht="15.8" hidden="false" customHeight="false" outlineLevel="0" collapsed="false">
      <c r="A395" s="1" t="n">
        <v>13</v>
      </c>
      <c r="B395" s="1" t="n">
        <v>4</v>
      </c>
      <c r="C395" s="1" t="n">
        <v>3.1</v>
      </c>
      <c r="D395" s="1" t="n">
        <v>1.3409</v>
      </c>
      <c r="E395" s="1" t="n">
        <v>0.111596</v>
      </c>
      <c r="F395" s="1" t="n">
        <v>0.000320763</v>
      </c>
      <c r="G395" s="1" t="s">
        <v>42</v>
      </c>
      <c r="H395" s="1" t="n">
        <v>61.8</v>
      </c>
      <c r="I395" s="1" t="n">
        <v>10.5</v>
      </c>
      <c r="J395" s="1" t="n">
        <v>-42.6</v>
      </c>
      <c r="K395" s="1" t="n">
        <v>31.3</v>
      </c>
      <c r="L395" s="1" t="n">
        <v>0</v>
      </c>
      <c r="M395" s="1" t="n">
        <v>0</v>
      </c>
      <c r="N395" s="1" t="s">
        <v>294</v>
      </c>
      <c r="O395" s="1"/>
      <c r="P395" s="1"/>
      <c r="Q395" s="1"/>
      <c r="R395" s="1"/>
      <c r="Z395" s="0" t="n">
        <f aca="false">I395+0</f>
        <v>10.5</v>
      </c>
      <c r="AB395" s="0" t="n">
        <f aca="false">IF(Z395&gt;360,Z395-360,Z395+0)</f>
        <v>10.5</v>
      </c>
    </row>
    <row r="396" customFormat="false" ht="15.8" hidden="false" customHeight="false" outlineLevel="0" collapsed="false">
      <c r="A396" s="1" t="n">
        <v>13</v>
      </c>
      <c r="B396" s="1" t="n">
        <v>7</v>
      </c>
      <c r="C396" s="1" t="n">
        <v>3.6</v>
      </c>
      <c r="D396" s="1" t="n">
        <v>1.1722</v>
      </c>
      <c r="E396" s="1" t="n">
        <v>0.129222</v>
      </c>
      <c r="F396" s="1" t="n">
        <v>0.000371428</v>
      </c>
      <c r="G396" s="1" t="s">
        <v>27</v>
      </c>
      <c r="H396" s="1" t="n">
        <v>29.5</v>
      </c>
      <c r="I396" s="1" t="n">
        <v>2.1</v>
      </c>
      <c r="J396" s="1" t="n">
        <v>-22.5</v>
      </c>
      <c r="K396" s="1"/>
      <c r="L396" s="1" t="n">
        <v>0</v>
      </c>
      <c r="M396" s="1" t="n">
        <v>0</v>
      </c>
      <c r="N396" s="1" t="s">
        <v>295</v>
      </c>
      <c r="O396" s="1"/>
      <c r="P396" s="1"/>
      <c r="Q396" s="1"/>
      <c r="R396" s="1"/>
      <c r="Z396" s="0" t="n">
        <f aca="false">I396+0</f>
        <v>2.1</v>
      </c>
      <c r="AB396" s="0" t="n">
        <f aca="false">IF(Z396&gt;360,Z396-360,Z396+0)</f>
        <v>2.1</v>
      </c>
    </row>
    <row r="397" customFormat="false" ht="15.8" hidden="false" customHeight="false" outlineLevel="0" collapsed="false">
      <c r="A397" s="1" t="n">
        <v>13</v>
      </c>
      <c r="B397" s="1" t="n">
        <v>7</v>
      </c>
      <c r="C397" s="1" t="n">
        <v>8.7</v>
      </c>
      <c r="D397" s="1" t="n">
        <v>1.2915</v>
      </c>
      <c r="E397" s="1" t="n">
        <v>0.315451</v>
      </c>
      <c r="F397" s="1" t="n">
        <v>0.000906711</v>
      </c>
      <c r="G397" s="1" t="s">
        <v>27</v>
      </c>
      <c r="H397" s="1" t="n">
        <v>24.1</v>
      </c>
      <c r="I397" s="1" t="n">
        <v>25.4</v>
      </c>
      <c r="J397" s="1" t="n">
        <v>-23.8</v>
      </c>
      <c r="K397" s="1"/>
      <c r="L397" s="1" t="n">
        <v>0</v>
      </c>
      <c r="M397" s="1" t="n">
        <v>0</v>
      </c>
      <c r="N397" s="1" t="s">
        <v>295</v>
      </c>
      <c r="O397" s="1"/>
      <c r="P397" s="1"/>
      <c r="Q397" s="1"/>
      <c r="R397" s="1"/>
      <c r="Z397" s="0" t="n">
        <f aca="false">I397+0</f>
        <v>25.4</v>
      </c>
      <c r="AB397" s="0" t="n">
        <f aca="false">IF(Z397&gt;360,Z397-360,Z397+0)</f>
        <v>25.4</v>
      </c>
    </row>
    <row r="398" customFormat="false" ht="15.8" hidden="false" customHeight="false" outlineLevel="0" collapsed="false">
      <c r="A398" s="1" t="n">
        <v>13</v>
      </c>
      <c r="B398" s="1" t="n">
        <v>6</v>
      </c>
      <c r="C398" s="1" t="n">
        <v>0.8</v>
      </c>
      <c r="D398" s="1" t="n">
        <v>1.0158</v>
      </c>
      <c r="E398" s="1" t="n">
        <v>0.0296661</v>
      </c>
      <c r="F398" s="1" t="n">
        <v>8.52704E-005</v>
      </c>
      <c r="G398" s="1" t="s">
        <v>42</v>
      </c>
      <c r="H398" s="1" t="n">
        <v>33.2</v>
      </c>
      <c r="I398" s="1" t="n">
        <v>21.6</v>
      </c>
      <c r="J398" s="1" t="n">
        <v>0</v>
      </c>
      <c r="K398" s="1" t="n">
        <v>29.5</v>
      </c>
      <c r="L398" s="1" t="n">
        <v>0</v>
      </c>
      <c r="M398" s="1" t="n">
        <v>0</v>
      </c>
      <c r="N398" s="1" t="s">
        <v>296</v>
      </c>
      <c r="O398" s="1"/>
      <c r="P398" s="1"/>
      <c r="Q398" s="1"/>
      <c r="R398" s="1"/>
      <c r="Z398" s="0" t="n">
        <f aca="false">I398+0</f>
        <v>21.6</v>
      </c>
      <c r="AB398" s="0" t="n">
        <f aca="false">IF(Z398&gt;360,Z398-360,Z398+0)</f>
        <v>21.6</v>
      </c>
    </row>
    <row r="399" customFormat="false" ht="15.8" hidden="false" customHeight="false" outlineLevel="0" collapsed="false">
      <c r="A399" s="1" t="n">
        <v>13</v>
      </c>
      <c r="B399" s="1" t="n">
        <v>11</v>
      </c>
      <c r="C399" s="1" t="n">
        <v>2.7</v>
      </c>
      <c r="D399" s="1" t="n">
        <v>1.1295</v>
      </c>
      <c r="E399" s="1" t="n">
        <v>0.0984005</v>
      </c>
      <c r="F399" s="1" t="n">
        <v>0.000282836</v>
      </c>
      <c r="G399" s="1" t="s">
        <v>27</v>
      </c>
      <c r="H399" s="1" t="n">
        <v>27.9</v>
      </c>
      <c r="I399" s="1" t="n">
        <v>328.2</v>
      </c>
      <c r="J399" s="1" t="n">
        <v>9.3</v>
      </c>
      <c r="K399" s="1"/>
      <c r="L399" s="1" t="n">
        <v>0</v>
      </c>
      <c r="M399" s="1" t="n">
        <v>0</v>
      </c>
      <c r="N399" s="1" t="s">
        <v>297</v>
      </c>
      <c r="O399" s="1"/>
      <c r="P399" s="1"/>
      <c r="Q399" s="1"/>
      <c r="R399" s="1"/>
      <c r="Z399" s="0" t="n">
        <f aca="false">I399+0</f>
        <v>328.2</v>
      </c>
      <c r="AB399" s="0" t="n">
        <f aca="false">IF(Z399&gt;360,Z399-360,Z399+0)</f>
        <v>328.2</v>
      </c>
    </row>
    <row r="400" customFormat="false" ht="15.8" hidden="false" customHeight="false" outlineLevel="0" collapsed="false">
      <c r="A400" s="1" t="n">
        <v>13</v>
      </c>
      <c r="B400" s="1" t="n">
        <v>11</v>
      </c>
      <c r="C400" s="1" t="n">
        <v>1.6</v>
      </c>
      <c r="D400" s="1" t="n">
        <v>1.206</v>
      </c>
      <c r="E400" s="1" t="n">
        <v>0.0565284</v>
      </c>
      <c r="F400" s="1" t="n">
        <v>0.000162482</v>
      </c>
      <c r="G400" s="1" t="s">
        <v>27</v>
      </c>
      <c r="H400" s="1" t="n">
        <v>17.8</v>
      </c>
      <c r="I400" s="1" t="n">
        <v>305.2</v>
      </c>
      <c r="J400" s="1" t="n">
        <v>-17.5</v>
      </c>
      <c r="K400" s="1"/>
      <c r="L400" s="1" t="n">
        <v>0</v>
      </c>
      <c r="M400" s="1" t="n">
        <v>0</v>
      </c>
      <c r="N400" s="1" t="s">
        <v>297</v>
      </c>
      <c r="O400" s="1"/>
      <c r="P400" s="1"/>
      <c r="Q400" s="1"/>
      <c r="R400" s="1"/>
      <c r="Z400" s="0" t="n">
        <f aca="false">I400+0</f>
        <v>305.2</v>
      </c>
      <c r="AB400" s="0" t="n">
        <f aca="false">IF(Z400&gt;360,Z400-360,Z400+0)</f>
        <v>305.2</v>
      </c>
    </row>
    <row r="401" customFormat="false" ht="15.8" hidden="false" customHeight="false" outlineLevel="0" collapsed="false">
      <c r="A401" s="1" t="n">
        <v>13</v>
      </c>
      <c r="B401" s="1" t="n">
        <v>10</v>
      </c>
      <c r="C401" s="1" t="n">
        <v>1.1</v>
      </c>
      <c r="D401" s="1" t="n">
        <v>1.015</v>
      </c>
      <c r="E401" s="1" t="n">
        <v>0.0391836</v>
      </c>
      <c r="F401" s="1" t="n">
        <v>0.000112627</v>
      </c>
      <c r="G401" s="1" t="s">
        <v>42</v>
      </c>
      <c r="H401" s="1" t="n">
        <v>34.5</v>
      </c>
      <c r="I401" s="1" t="n">
        <v>301.8</v>
      </c>
      <c r="J401" s="1" t="n">
        <v>0</v>
      </c>
      <c r="K401" s="1" t="n">
        <v>27.9</v>
      </c>
      <c r="L401" s="1" t="n">
        <v>0</v>
      </c>
      <c r="M401" s="1" t="n">
        <v>0</v>
      </c>
      <c r="N401" s="1" t="s">
        <v>298</v>
      </c>
      <c r="O401" s="1"/>
      <c r="P401" s="1"/>
      <c r="Q401" s="1"/>
      <c r="R401" s="1"/>
      <c r="Z401" s="0" t="n">
        <f aca="false">I401+0</f>
        <v>301.8</v>
      </c>
      <c r="AB401" s="0" t="n">
        <f aca="false">IF(Z401&gt;360,Z401-360,Z401+0)</f>
        <v>301.8</v>
      </c>
    </row>
    <row r="402" customFormat="false" ht="15.8" hidden="false" customHeight="false" outlineLevel="0" collapsed="false">
      <c r="A402" s="1" t="n">
        <v>13</v>
      </c>
      <c r="B402" s="1" t="n">
        <v>10</v>
      </c>
      <c r="C402" s="1" t="n">
        <v>2.4</v>
      </c>
      <c r="D402" s="1" t="n">
        <v>1.1671</v>
      </c>
      <c r="E402" s="1" t="n">
        <v>0.0857968</v>
      </c>
      <c r="F402" s="1" t="n">
        <v>0.000246609</v>
      </c>
      <c r="G402" s="1" t="s">
        <v>27</v>
      </c>
      <c r="H402" s="1" t="n">
        <v>38.7</v>
      </c>
      <c r="I402" s="1" t="n">
        <v>5.3</v>
      </c>
      <c r="J402" s="1" t="n">
        <v>-11</v>
      </c>
      <c r="K402" s="1"/>
      <c r="L402" s="1" t="n">
        <v>0</v>
      </c>
      <c r="M402" s="1" t="n">
        <v>0</v>
      </c>
      <c r="N402" s="1" t="s">
        <v>298</v>
      </c>
      <c r="O402" s="1"/>
      <c r="P402" s="1"/>
      <c r="Q402" s="1"/>
      <c r="R402" s="1"/>
      <c r="Z402" s="0" t="n">
        <f aca="false">I402+0</f>
        <v>5.3</v>
      </c>
      <c r="AB402" s="0" t="n">
        <f aca="false">IF(Z402&gt;360,Z402-360,Z402+0)</f>
        <v>5.3</v>
      </c>
    </row>
    <row r="403" customFormat="false" ht="15.8" hidden="false" customHeight="false" outlineLevel="0" collapsed="false">
      <c r="A403" s="1" t="n">
        <v>13</v>
      </c>
      <c r="B403" s="1" t="n">
        <v>9</v>
      </c>
      <c r="C403" s="1" t="n">
        <v>2</v>
      </c>
      <c r="D403" s="1" t="n">
        <v>1.11</v>
      </c>
      <c r="E403" s="1" t="n">
        <v>0.0728805</v>
      </c>
      <c r="F403" s="1" t="n">
        <v>0.000209483</v>
      </c>
      <c r="G403" s="1" t="s">
        <v>42</v>
      </c>
      <c r="H403" s="1" t="n">
        <v>62.8</v>
      </c>
      <c r="I403" s="1" t="n">
        <v>334.3</v>
      </c>
      <c r="J403" s="1" t="n">
        <v>12.4</v>
      </c>
      <c r="K403" s="1" t="n">
        <v>38.7</v>
      </c>
      <c r="L403" s="1" t="n">
        <v>0</v>
      </c>
      <c r="M403" s="1" t="n">
        <v>0</v>
      </c>
      <c r="N403" s="1" t="s">
        <v>299</v>
      </c>
      <c r="O403" s="1"/>
      <c r="P403" s="1"/>
      <c r="Q403" s="1"/>
      <c r="R403" s="1"/>
      <c r="Z403" s="0" t="n">
        <f aca="false">I403+0</f>
        <v>334.3</v>
      </c>
      <c r="AB403" s="0" t="n">
        <f aca="false">IF(Z403&gt;360,Z403-360,Z403+0)</f>
        <v>334.3</v>
      </c>
    </row>
    <row r="404" customFormat="false" ht="15.8" hidden="false" customHeight="false" outlineLevel="0" collapsed="false">
      <c r="A404" s="1" t="n">
        <v>13</v>
      </c>
      <c r="B404" s="1" t="n">
        <v>9</v>
      </c>
      <c r="C404" s="1" t="n">
        <v>5.6</v>
      </c>
      <c r="D404" s="1" t="n">
        <v>1.9482</v>
      </c>
      <c r="E404" s="1" t="n">
        <v>0.200785</v>
      </c>
      <c r="F404" s="1" t="n">
        <v>0.000577125</v>
      </c>
      <c r="G404" s="1" t="s">
        <v>27</v>
      </c>
      <c r="H404" s="1" t="n">
        <v>122.2</v>
      </c>
      <c r="I404" s="1" t="n">
        <v>70.7</v>
      </c>
      <c r="J404" s="1" t="n">
        <v>55.1</v>
      </c>
      <c r="K404" s="1"/>
      <c r="L404" s="1" t="n">
        <v>0</v>
      </c>
      <c r="M404" s="1" t="n">
        <v>0</v>
      </c>
      <c r="N404" s="1" t="s">
        <v>299</v>
      </c>
      <c r="O404" s="1"/>
      <c r="P404" s="1"/>
      <c r="Q404" s="1"/>
      <c r="R404" s="1"/>
      <c r="Z404" s="0" t="n">
        <f aca="false">I404+0</f>
        <v>70.7</v>
      </c>
      <c r="AB404" s="0" t="n">
        <f aca="false">IF(Z404&gt;360,Z404-360,Z404+0)</f>
        <v>70.7</v>
      </c>
    </row>
    <row r="405" customFormat="false" ht="15.8" hidden="false" customHeight="false" outlineLevel="0" collapsed="false">
      <c r="A405" s="1" t="n">
        <v>13</v>
      </c>
      <c r="B405" s="1" t="n">
        <v>8</v>
      </c>
      <c r="C405" s="1" t="n">
        <v>1.6</v>
      </c>
      <c r="D405" s="1" t="n">
        <v>1.0449</v>
      </c>
      <c r="E405" s="1" t="n">
        <v>0.0568753</v>
      </c>
      <c r="F405" s="1" t="n">
        <v>0.000163479</v>
      </c>
      <c r="G405" s="1" t="s">
        <v>42</v>
      </c>
      <c r="H405" s="1" t="n">
        <v>46.9</v>
      </c>
      <c r="I405" s="1" t="n">
        <v>272.1</v>
      </c>
      <c r="J405" s="1" t="n">
        <v>0</v>
      </c>
      <c r="K405" s="1" t="n">
        <v>122.2</v>
      </c>
      <c r="L405" s="1" t="n">
        <v>0</v>
      </c>
      <c r="M405" s="1" t="n">
        <v>0</v>
      </c>
      <c r="N405" s="1" t="s">
        <v>300</v>
      </c>
      <c r="O405" s="1"/>
      <c r="P405" s="1"/>
      <c r="Q405" s="1"/>
      <c r="R405" s="1"/>
      <c r="Z405" s="0" t="n">
        <f aca="false">I405+0</f>
        <v>272.1</v>
      </c>
      <c r="AB405" s="0" t="n">
        <f aca="false">IF(Z405&gt;360,Z405-360,Z405+0)</f>
        <v>272.1</v>
      </c>
    </row>
    <row r="406" customFormat="false" ht="15.8" hidden="false" customHeight="false" outlineLevel="0" collapsed="false">
      <c r="A406" s="1" t="n">
        <v>13</v>
      </c>
      <c r="B406" s="1" t="n">
        <v>8</v>
      </c>
      <c r="C406" s="1" t="n">
        <v>7.9</v>
      </c>
      <c r="D406" s="1" t="n">
        <v>1.2234</v>
      </c>
      <c r="E406" s="1" t="n">
        <v>0.286471</v>
      </c>
      <c r="F406" s="1" t="n">
        <v>0.000823414</v>
      </c>
      <c r="G406" s="1" t="s">
        <v>27</v>
      </c>
      <c r="H406" s="1" t="n">
        <v>77.6</v>
      </c>
      <c r="I406" s="1" t="n">
        <v>146.4</v>
      </c>
      <c r="J406" s="1" t="n">
        <v>-24.9</v>
      </c>
      <c r="K406" s="1"/>
      <c r="L406" s="1" t="n">
        <v>0</v>
      </c>
      <c r="M406" s="1" t="n">
        <v>0</v>
      </c>
      <c r="N406" s="1" t="s">
        <v>300</v>
      </c>
      <c r="O406" s="1"/>
      <c r="P406" s="1"/>
      <c r="Q406" s="1"/>
      <c r="R406" s="1"/>
      <c r="Z406" s="0" t="n">
        <f aca="false">I406+0</f>
        <v>146.4</v>
      </c>
      <c r="AB406" s="0" t="n">
        <f aca="false">IF(Z406&gt;360,Z406-360,Z406+0)</f>
        <v>146.4</v>
      </c>
    </row>
    <row r="407" customFormat="false" ht="15.8" hidden="false" customHeight="false" outlineLevel="0" collapsed="false">
      <c r="A407" s="1" t="n">
        <v>13</v>
      </c>
      <c r="B407" s="1" t="n">
        <v>7</v>
      </c>
      <c r="C407" s="1" t="n">
        <v>10</v>
      </c>
      <c r="D407" s="1" t="n">
        <v>1.3735</v>
      </c>
      <c r="E407" s="1" t="n">
        <v>0.360254</v>
      </c>
      <c r="F407" s="1" t="n">
        <v>0.00103549</v>
      </c>
      <c r="G407" s="1" t="s">
        <v>42</v>
      </c>
      <c r="H407" s="1" t="n">
        <v>15.4</v>
      </c>
      <c r="I407" s="1" t="n">
        <v>225.5</v>
      </c>
      <c r="J407" s="1" t="n">
        <v>-6.2</v>
      </c>
      <c r="K407" s="1" t="n">
        <v>77.6</v>
      </c>
      <c r="L407" s="1" t="n">
        <v>0</v>
      </c>
      <c r="M407" s="1" t="n">
        <v>0</v>
      </c>
      <c r="N407" s="1" t="s">
        <v>301</v>
      </c>
      <c r="O407" s="1"/>
      <c r="P407" s="1"/>
      <c r="Q407" s="1"/>
      <c r="R407" s="1"/>
      <c r="Z407" s="0" t="n">
        <f aca="false">I407+0</f>
        <v>225.5</v>
      </c>
      <c r="AB407" s="0" t="n">
        <f aca="false">IF(Z407&gt;360,Z407-360,Z407+0)</f>
        <v>225.5</v>
      </c>
    </row>
    <row r="408" customFormat="false" ht="15.8" hidden="false" customHeight="false" outlineLevel="0" collapsed="false">
      <c r="A408" s="1" t="n">
        <v>13</v>
      </c>
      <c r="B408" s="1" t="n">
        <v>8</v>
      </c>
      <c r="C408" s="1" t="n">
        <v>1.3</v>
      </c>
      <c r="D408" s="1" t="n">
        <v>1.1495</v>
      </c>
      <c r="E408" s="1" t="n">
        <v>0.0457459</v>
      </c>
      <c r="F408" s="1" t="n">
        <v>0.000131489</v>
      </c>
      <c r="G408" s="1" t="s">
        <v>27</v>
      </c>
      <c r="H408" s="1" t="n">
        <v>53.6</v>
      </c>
      <c r="I408" s="1" t="n">
        <v>280.9</v>
      </c>
      <c r="J408" s="1" t="n">
        <v>-20.7</v>
      </c>
      <c r="K408" s="1"/>
      <c r="L408" s="1" t="n">
        <v>0</v>
      </c>
      <c r="M408" s="1" t="n">
        <v>0</v>
      </c>
      <c r="N408" s="1" t="s">
        <v>302</v>
      </c>
      <c r="O408" s="1"/>
      <c r="P408" s="1"/>
      <c r="Q408" s="1"/>
      <c r="R408" s="1"/>
      <c r="Z408" s="0" t="n">
        <f aca="false">I408+0</f>
        <v>280.9</v>
      </c>
      <c r="AB408" s="0" t="n">
        <f aca="false">IF(Z408&gt;360,Z408-360,Z408+0)</f>
        <v>280.9</v>
      </c>
    </row>
    <row r="409" customFormat="false" ht="15.8" hidden="false" customHeight="false" outlineLevel="0" collapsed="false">
      <c r="A409" s="1" t="n">
        <v>13</v>
      </c>
      <c r="B409" s="1" t="n">
        <v>8</v>
      </c>
      <c r="C409" s="1" t="n">
        <v>1.7</v>
      </c>
      <c r="D409" s="1" t="n">
        <v>1.3012</v>
      </c>
      <c r="E409" s="1" t="n">
        <v>0.0604139</v>
      </c>
      <c r="F409" s="1" t="n">
        <v>0.00017365</v>
      </c>
      <c r="G409" s="1" t="s">
        <v>27</v>
      </c>
      <c r="H409" s="1" t="n">
        <v>69.4</v>
      </c>
      <c r="I409" s="1" t="n">
        <v>19</v>
      </c>
      <c r="J409" s="1" t="n">
        <v>37.4</v>
      </c>
      <c r="K409" s="1"/>
      <c r="L409" s="1" t="n">
        <v>0</v>
      </c>
      <c r="M409" s="1" t="n">
        <v>0</v>
      </c>
      <c r="N409" s="1" t="s">
        <v>302</v>
      </c>
      <c r="O409" s="1"/>
      <c r="P409" s="1"/>
      <c r="Q409" s="1"/>
      <c r="R409" s="1"/>
      <c r="Z409" s="0" t="n">
        <f aca="false">I409+0</f>
        <v>19</v>
      </c>
      <c r="AB409" s="0" t="n">
        <f aca="false">IF(Z409&gt;360,Z409-360,Z409+0)</f>
        <v>19</v>
      </c>
    </row>
    <row r="410" customFormat="false" ht="15.8" hidden="false" customHeight="false" outlineLevel="0" collapsed="false">
      <c r="A410" s="1" t="n">
        <v>13</v>
      </c>
      <c r="B410" s="1" t="n">
        <v>7</v>
      </c>
      <c r="C410" s="1" t="n">
        <v>1.3</v>
      </c>
      <c r="D410" s="1" t="n">
        <v>1.2021</v>
      </c>
      <c r="E410" s="1" t="n">
        <v>0.0481293</v>
      </c>
      <c r="F410" s="1" t="n">
        <v>0.00013834</v>
      </c>
      <c r="G410" s="1" t="s">
        <v>42</v>
      </c>
      <c r="H410" s="1" t="n">
        <v>123</v>
      </c>
      <c r="I410" s="1" t="n">
        <v>338.6</v>
      </c>
      <c r="J410" s="1" t="n">
        <v>-20.6</v>
      </c>
      <c r="K410" s="1" t="n">
        <v>69.4</v>
      </c>
      <c r="L410" s="1" t="n">
        <v>0</v>
      </c>
      <c r="M410" s="1" t="n">
        <v>0</v>
      </c>
      <c r="N410" s="1" t="s">
        <v>301</v>
      </c>
      <c r="O410" s="1"/>
      <c r="P410" s="1"/>
      <c r="Q410" s="1"/>
      <c r="R410" s="1"/>
      <c r="Z410" s="0" t="n">
        <f aca="false">I410+0</f>
        <v>338.6</v>
      </c>
      <c r="AB410" s="0" t="n">
        <f aca="false">IF(Z410&gt;360,Z410-360,Z410+0)</f>
        <v>338.6</v>
      </c>
    </row>
    <row r="411" customFormat="false" ht="15.8" hidden="false" customHeight="false" outlineLevel="0" collapsed="false">
      <c r="A411" s="1" t="n">
        <v>13</v>
      </c>
      <c r="B411" s="1" t="n">
        <v>6</v>
      </c>
      <c r="C411" s="1" t="n">
        <v>4.7</v>
      </c>
      <c r="D411" s="1" t="n">
        <v>1.1142</v>
      </c>
      <c r="E411" s="1" t="n">
        <v>0.170056</v>
      </c>
      <c r="F411" s="1" t="n">
        <v>0.000488798</v>
      </c>
      <c r="G411" s="1" t="s">
        <v>42</v>
      </c>
      <c r="H411" s="1" t="n">
        <v>136.1</v>
      </c>
      <c r="I411" s="1" t="n">
        <v>215.2</v>
      </c>
      <c r="J411" s="1" t="n">
        <v>5.3</v>
      </c>
      <c r="K411" s="1" t="n">
        <v>123</v>
      </c>
      <c r="L411" s="1" t="n">
        <v>0</v>
      </c>
      <c r="M411" s="1" t="n">
        <v>0</v>
      </c>
      <c r="N411" s="1" t="s">
        <v>296</v>
      </c>
      <c r="O411" s="1"/>
      <c r="P411" s="1"/>
      <c r="Q411" s="1"/>
      <c r="R411" s="1"/>
      <c r="Z411" s="0" t="n">
        <f aca="false">I411+0</f>
        <v>215.2</v>
      </c>
      <c r="AB411" s="0" t="n">
        <f aca="false">IF(Z411&gt;360,Z411-360,Z411+0)</f>
        <v>215.2</v>
      </c>
    </row>
    <row r="412" customFormat="false" ht="15.8" hidden="false" customHeight="false" outlineLevel="0" collapsed="false">
      <c r="A412" s="1" t="n">
        <v>13</v>
      </c>
      <c r="B412" s="1" t="n">
        <v>5</v>
      </c>
      <c r="C412" s="1" t="n">
        <v>4.2</v>
      </c>
      <c r="D412" s="1" t="n">
        <v>1.4065</v>
      </c>
      <c r="E412" s="1" t="n">
        <v>0.153393</v>
      </c>
      <c r="F412" s="1" t="n">
        <v>0.000440904</v>
      </c>
      <c r="G412" s="1" t="s">
        <v>42</v>
      </c>
      <c r="H412" s="1" t="n">
        <v>11.6</v>
      </c>
      <c r="I412" s="1" t="n">
        <v>351.6</v>
      </c>
      <c r="J412" s="1" t="n">
        <v>-15</v>
      </c>
      <c r="K412" s="1" t="n">
        <v>136.1</v>
      </c>
      <c r="L412" s="1" t="n">
        <v>0</v>
      </c>
      <c r="M412" s="1" t="n">
        <v>0</v>
      </c>
      <c r="N412" s="1" t="s">
        <v>303</v>
      </c>
      <c r="O412" s="1"/>
      <c r="P412" s="1"/>
      <c r="Q412" s="1"/>
      <c r="R412" s="1"/>
      <c r="Z412" s="0" t="n">
        <f aca="false">I412+0</f>
        <v>351.6</v>
      </c>
      <c r="AB412" s="0" t="n">
        <f aca="false">IF(Z412&gt;360,Z412-360,Z412+0)</f>
        <v>351.6</v>
      </c>
    </row>
    <row r="413" customFormat="false" ht="15.8" hidden="false" customHeight="false" outlineLevel="0" collapsed="false">
      <c r="A413" s="1" t="n">
        <v>13</v>
      </c>
      <c r="B413" s="1" t="n">
        <v>8</v>
      </c>
      <c r="C413" s="1" t="n">
        <v>4.6</v>
      </c>
      <c r="D413" s="1" t="n">
        <v>1.1859</v>
      </c>
      <c r="E413" s="1" t="n">
        <v>0.165067</v>
      </c>
      <c r="F413" s="1" t="n">
        <v>0.000474457</v>
      </c>
      <c r="G413" s="1" t="s">
        <v>27</v>
      </c>
      <c r="H413" s="1" t="n">
        <v>11.8</v>
      </c>
      <c r="I413" s="1" t="n">
        <v>201.9</v>
      </c>
      <c r="J413" s="1" t="n">
        <v>0</v>
      </c>
      <c r="K413" s="1"/>
      <c r="L413" s="1" t="n">
        <v>0</v>
      </c>
      <c r="M413" s="1" t="n">
        <v>0</v>
      </c>
      <c r="N413" s="1" t="s">
        <v>304</v>
      </c>
      <c r="O413" s="1"/>
      <c r="P413" s="1"/>
      <c r="Q413" s="1"/>
      <c r="R413" s="1"/>
      <c r="Z413" s="0" t="n">
        <f aca="false">I413+0</f>
        <v>201.9</v>
      </c>
      <c r="AB413" s="0" t="n">
        <f aca="false">IF(Z413&gt;360,Z413-360,Z413+0)</f>
        <v>201.9</v>
      </c>
    </row>
    <row r="414" customFormat="false" ht="15.8" hidden="false" customHeight="false" outlineLevel="0" collapsed="false">
      <c r="A414" s="1" t="n">
        <v>13</v>
      </c>
      <c r="B414" s="1" t="n">
        <v>8</v>
      </c>
      <c r="C414" s="1" t="n">
        <v>1.2</v>
      </c>
      <c r="D414" s="1" t="n">
        <v>1.2364</v>
      </c>
      <c r="E414" s="1" t="n">
        <v>0.042251</v>
      </c>
      <c r="F414" s="1" t="n">
        <v>0.000121443</v>
      </c>
      <c r="G414" s="1" t="s">
        <v>27</v>
      </c>
      <c r="H414" s="1" t="n">
        <v>100.2</v>
      </c>
      <c r="I414" s="1" t="n">
        <v>75.1</v>
      </c>
      <c r="J414" s="1" t="n">
        <v>55.5</v>
      </c>
      <c r="K414" s="1"/>
      <c r="L414" s="1" t="n">
        <v>0</v>
      </c>
      <c r="M414" s="1" t="n">
        <v>0</v>
      </c>
      <c r="N414" s="1" t="s">
        <v>304</v>
      </c>
      <c r="O414" s="1"/>
      <c r="P414" s="1"/>
      <c r="Q414" s="1"/>
      <c r="R414" s="1"/>
      <c r="Z414" s="0" t="n">
        <f aca="false">I414+0</f>
        <v>75.1</v>
      </c>
      <c r="AB414" s="0" t="n">
        <f aca="false">IF(Z414&gt;360,Z414-360,Z414+0)</f>
        <v>75.1</v>
      </c>
    </row>
    <row r="415" customFormat="false" ht="15.8" hidden="false" customHeight="false" outlineLevel="0" collapsed="false">
      <c r="A415" s="1" t="n">
        <v>13</v>
      </c>
      <c r="B415" s="1" t="n">
        <v>7</v>
      </c>
      <c r="C415" s="1" t="n">
        <v>2.1</v>
      </c>
      <c r="D415" s="1" t="n">
        <v>1.1176</v>
      </c>
      <c r="E415" s="1" t="n">
        <v>0.0774923</v>
      </c>
      <c r="F415" s="1" t="n">
        <v>0.000222739</v>
      </c>
      <c r="G415" s="1" t="s">
        <v>42</v>
      </c>
      <c r="H415" s="1" t="n">
        <v>0.4</v>
      </c>
      <c r="I415" s="1" t="n">
        <v>203.4</v>
      </c>
      <c r="J415" s="1" t="n">
        <v>11.7</v>
      </c>
      <c r="K415" s="1" t="n">
        <v>100.2</v>
      </c>
      <c r="L415" s="1" t="n">
        <v>0</v>
      </c>
      <c r="M415" s="1" t="n">
        <v>0</v>
      </c>
      <c r="N415" s="1" t="s">
        <v>305</v>
      </c>
      <c r="O415" s="1"/>
      <c r="P415" s="1"/>
      <c r="Q415" s="1"/>
      <c r="R415" s="1"/>
      <c r="Z415" s="0" t="n">
        <f aca="false">I415+0</f>
        <v>203.4</v>
      </c>
      <c r="AB415" s="0" t="n">
        <f aca="false">IF(Z415&gt;360,Z415-360,Z415+0)</f>
        <v>203.4</v>
      </c>
    </row>
    <row r="416" customFormat="false" ht="15.8" hidden="false" customHeight="false" outlineLevel="0" collapsed="false">
      <c r="A416" s="1" t="n">
        <v>13</v>
      </c>
      <c r="B416" s="1" t="n">
        <v>7</v>
      </c>
      <c r="C416" s="1" t="n">
        <v>1.2</v>
      </c>
      <c r="D416" s="1" t="n">
        <v>1.1688</v>
      </c>
      <c r="E416" s="1" t="n">
        <v>0.0432823</v>
      </c>
      <c r="F416" s="1" t="n">
        <v>0.000124408</v>
      </c>
      <c r="G416" s="1" t="s">
        <v>27</v>
      </c>
      <c r="H416" s="1" t="n">
        <v>90.3</v>
      </c>
      <c r="I416" s="1" t="n">
        <v>280</v>
      </c>
      <c r="J416" s="1" t="n">
        <v>-49.5</v>
      </c>
      <c r="K416" s="1"/>
      <c r="L416" s="1" t="n">
        <v>0</v>
      </c>
      <c r="M416" s="1" t="n">
        <v>0</v>
      </c>
      <c r="N416" s="1" t="s">
        <v>305</v>
      </c>
      <c r="O416" s="1"/>
      <c r="P416" s="1"/>
      <c r="Q416" s="1"/>
      <c r="R416" s="1"/>
      <c r="Z416" s="0" t="n">
        <f aca="false">I416+0</f>
        <v>280</v>
      </c>
      <c r="AB416" s="0" t="n">
        <f aca="false">IF(Z416&gt;360,Z416-360,Z416+0)</f>
        <v>280</v>
      </c>
    </row>
    <row r="417" customFormat="false" ht="15.8" hidden="false" customHeight="false" outlineLevel="0" collapsed="false">
      <c r="A417" s="1" t="n">
        <v>13</v>
      </c>
      <c r="B417" s="1" t="n">
        <v>6</v>
      </c>
      <c r="C417" s="1" t="n">
        <v>9.4</v>
      </c>
      <c r="D417" s="1" t="n">
        <v>1.1908</v>
      </c>
      <c r="E417" s="1" t="n">
        <v>0.339035</v>
      </c>
      <c r="F417" s="1" t="n">
        <v>0.000974499</v>
      </c>
      <c r="G417" s="1" t="s">
        <v>42</v>
      </c>
      <c r="H417" s="1" t="n">
        <v>58.6</v>
      </c>
      <c r="I417" s="1" t="n">
        <v>203.1</v>
      </c>
      <c r="J417" s="1" t="n">
        <v>11.4</v>
      </c>
      <c r="K417" s="1" t="n">
        <v>90.3</v>
      </c>
      <c r="L417" s="1" t="n">
        <v>0</v>
      </c>
      <c r="M417" s="1" t="n">
        <v>0</v>
      </c>
      <c r="N417" s="1" t="s">
        <v>306</v>
      </c>
      <c r="O417" s="1"/>
      <c r="P417" s="1"/>
      <c r="Q417" s="1"/>
      <c r="R417" s="1"/>
      <c r="Z417" s="0" t="n">
        <f aca="false">I417+0</f>
        <v>203.1</v>
      </c>
      <c r="AB417" s="0" t="n">
        <f aca="false">IF(Z417&gt;360,Z417-360,Z417+0)</f>
        <v>203.1</v>
      </c>
    </row>
    <row r="418" customFormat="false" ht="15.8" hidden="false" customHeight="false" outlineLevel="0" collapsed="false">
      <c r="A418" s="1" t="n">
        <v>13</v>
      </c>
      <c r="B418" s="1" t="n">
        <v>6</v>
      </c>
      <c r="C418" s="1" t="n">
        <v>2.1</v>
      </c>
      <c r="D418" s="1" t="n">
        <v>1.2388</v>
      </c>
      <c r="E418" s="1" t="n">
        <v>0.0749285</v>
      </c>
      <c r="F418" s="1" t="n">
        <v>0.00021537</v>
      </c>
      <c r="G418" s="1" t="s">
        <v>27</v>
      </c>
      <c r="H418" s="1" t="n">
        <v>99.8</v>
      </c>
      <c r="I418" s="1" t="n">
        <v>41.9</v>
      </c>
      <c r="J418" s="1" t="n">
        <v>27.8</v>
      </c>
      <c r="K418" s="1"/>
      <c r="L418" s="1" t="n">
        <v>0</v>
      </c>
      <c r="M418" s="1" t="n">
        <v>0</v>
      </c>
      <c r="N418" s="1" t="s">
        <v>306</v>
      </c>
      <c r="O418" s="1"/>
      <c r="P418" s="1"/>
      <c r="Q418" s="1"/>
      <c r="R418" s="1"/>
      <c r="Z418" s="0" t="n">
        <f aca="false">I418+0</f>
        <v>41.9</v>
      </c>
      <c r="AB418" s="0" t="n">
        <f aca="false">IF(Z418&gt;360,Z418-360,Z418+0)</f>
        <v>41.9</v>
      </c>
    </row>
    <row r="419" customFormat="false" ht="15.8" hidden="false" customHeight="false" outlineLevel="0" collapsed="false">
      <c r="A419" s="1" t="n">
        <v>13</v>
      </c>
      <c r="B419" s="1" t="n">
        <v>5</v>
      </c>
      <c r="C419" s="1" t="n">
        <v>1.3</v>
      </c>
      <c r="D419" s="1" t="n">
        <v>1.1928</v>
      </c>
      <c r="E419" s="1" t="n">
        <v>0.0479518</v>
      </c>
      <c r="F419" s="1" t="n">
        <v>0.000137829</v>
      </c>
      <c r="G419" s="1" t="s">
        <v>42</v>
      </c>
      <c r="H419" s="1" t="n">
        <v>102.6</v>
      </c>
      <c r="I419" s="1" t="n">
        <v>260</v>
      </c>
      <c r="J419" s="1" t="n">
        <v>44.5</v>
      </c>
      <c r="K419" s="1" t="n">
        <v>99.8</v>
      </c>
      <c r="L419" s="1" t="n">
        <v>0</v>
      </c>
      <c r="M419" s="1" t="n">
        <v>0</v>
      </c>
      <c r="N419" s="1" t="s">
        <v>303</v>
      </c>
      <c r="O419" s="1"/>
      <c r="P419" s="1"/>
      <c r="Q419" s="1"/>
      <c r="R419" s="1"/>
      <c r="Z419" s="0" t="n">
        <f aca="false">I419+0</f>
        <v>260</v>
      </c>
      <c r="AB419" s="0" t="n">
        <f aca="false">IF(Z419&gt;360,Z419-360,Z419+0)</f>
        <v>260</v>
      </c>
    </row>
    <row r="420" customFormat="false" ht="15.8" hidden="false" customHeight="false" outlineLevel="0" collapsed="false">
      <c r="A420" s="1" t="n">
        <v>13</v>
      </c>
      <c r="B420" s="1" t="n">
        <v>5</v>
      </c>
      <c r="C420" s="1" t="n">
        <v>1</v>
      </c>
      <c r="D420" s="1" t="n">
        <v>1.0857</v>
      </c>
      <c r="E420" s="1" t="n">
        <v>0.0361056</v>
      </c>
      <c r="F420" s="1" t="n">
        <v>0.00010378</v>
      </c>
      <c r="G420" s="1" t="s">
        <v>27</v>
      </c>
      <c r="H420" s="1" t="n">
        <v>118.9</v>
      </c>
      <c r="I420" s="1" t="n">
        <v>105.9</v>
      </c>
      <c r="J420" s="1" t="n">
        <v>0</v>
      </c>
      <c r="K420" s="1"/>
      <c r="L420" s="1" t="n">
        <v>0</v>
      </c>
      <c r="M420" s="1" t="n">
        <v>0</v>
      </c>
      <c r="N420" s="1" t="s">
        <v>303</v>
      </c>
      <c r="O420" s="1"/>
      <c r="P420" s="1"/>
      <c r="Q420" s="1"/>
      <c r="R420" s="1"/>
      <c r="Z420" s="0" t="n">
        <f aca="false">I420+0</f>
        <v>105.9</v>
      </c>
      <c r="AB420" s="0" t="n">
        <f aca="false">IF(Z420&gt;360,Z420-360,Z420+0)</f>
        <v>105.9</v>
      </c>
    </row>
    <row r="421" customFormat="false" ht="15.8" hidden="false" customHeight="false" outlineLevel="0" collapsed="false">
      <c r="A421" s="1" t="n">
        <v>13</v>
      </c>
      <c r="B421" s="1" t="n">
        <v>4</v>
      </c>
      <c r="C421" s="1" t="n">
        <v>4.3</v>
      </c>
      <c r="D421" s="1" t="n">
        <v>1.4956</v>
      </c>
      <c r="E421" s="1" t="n">
        <v>0.154778</v>
      </c>
      <c r="F421" s="1" t="n">
        <v>0.000444883</v>
      </c>
      <c r="G421" s="1" t="s">
        <v>42</v>
      </c>
      <c r="H421" s="1" t="n">
        <v>65.5</v>
      </c>
      <c r="I421" s="1" t="n">
        <v>344</v>
      </c>
      <c r="J421" s="1" t="n">
        <v>-24.1</v>
      </c>
      <c r="K421" s="1" t="n">
        <v>118.9</v>
      </c>
      <c r="L421" s="1" t="n">
        <v>0</v>
      </c>
      <c r="M421" s="1" t="n">
        <v>0</v>
      </c>
      <c r="N421" s="1" t="s">
        <v>294</v>
      </c>
      <c r="O421" s="1"/>
      <c r="P421" s="1"/>
      <c r="Q421" s="1"/>
      <c r="R421" s="1"/>
      <c r="Z421" s="0" t="n">
        <f aca="false">I421+0</f>
        <v>344</v>
      </c>
      <c r="AB421" s="0" t="n">
        <f aca="false">IF(Z421&gt;360,Z421-360,Z421+0)</f>
        <v>344</v>
      </c>
    </row>
    <row r="422" customFormat="false" ht="15.8" hidden="false" customHeight="false" outlineLevel="0" collapsed="false">
      <c r="A422" s="1" t="n">
        <v>13</v>
      </c>
      <c r="B422" s="1" t="n">
        <v>3</v>
      </c>
      <c r="C422" s="1" t="n">
        <v>3.9</v>
      </c>
      <c r="D422" s="1" t="n">
        <v>1.0863</v>
      </c>
      <c r="E422" s="1" t="n">
        <v>0.140269</v>
      </c>
      <c r="F422" s="1" t="n">
        <v>0.00040318</v>
      </c>
      <c r="G422" s="1" t="s">
        <v>42</v>
      </c>
      <c r="H422" s="1" t="n">
        <v>48.2</v>
      </c>
      <c r="I422" s="1" t="n">
        <v>261.4</v>
      </c>
      <c r="J422" s="1" t="n">
        <v>-60.8</v>
      </c>
      <c r="K422" s="1" t="n">
        <v>65.5</v>
      </c>
      <c r="L422" s="1" t="n">
        <v>0</v>
      </c>
      <c r="M422" s="1" t="n">
        <v>0</v>
      </c>
      <c r="N422" s="1" t="s">
        <v>307</v>
      </c>
      <c r="O422" s="1"/>
      <c r="P422" s="1"/>
      <c r="Q422" s="1"/>
      <c r="R422" s="1"/>
      <c r="Z422" s="0" t="n">
        <f aca="false">I422+0</f>
        <v>261.4</v>
      </c>
      <c r="AB422" s="0" t="n">
        <f aca="false">IF(Z422&gt;360,Z422-360,Z422+0)</f>
        <v>261.4</v>
      </c>
    </row>
    <row r="423" customFormat="false" ht="15.8" hidden="false" customHeight="false" outlineLevel="0" collapsed="false">
      <c r="A423" s="1" t="n">
        <v>13</v>
      </c>
      <c r="B423" s="1" t="n">
        <v>8</v>
      </c>
      <c r="C423" s="1" t="n">
        <v>9.2</v>
      </c>
      <c r="D423" s="1" t="n">
        <v>1.1637</v>
      </c>
      <c r="E423" s="1" t="n">
        <v>0.330691</v>
      </c>
      <c r="F423" s="1" t="n">
        <v>0.000950518</v>
      </c>
      <c r="G423" s="1" t="s">
        <v>27</v>
      </c>
      <c r="H423" s="1" t="n">
        <v>19.2</v>
      </c>
      <c r="I423" s="1" t="n">
        <v>184.8</v>
      </c>
      <c r="J423" s="1" t="n">
        <v>-17.3</v>
      </c>
      <c r="K423" s="1"/>
      <c r="L423" s="1" t="n">
        <v>0</v>
      </c>
      <c r="M423" s="1" t="n">
        <v>0</v>
      </c>
      <c r="N423" s="1" t="s">
        <v>308</v>
      </c>
      <c r="O423" s="1"/>
      <c r="P423" s="1"/>
      <c r="Q423" s="1"/>
      <c r="R423" s="1"/>
      <c r="Z423" s="0" t="n">
        <f aca="false">I423+0</f>
        <v>184.8</v>
      </c>
      <c r="AB423" s="0" t="n">
        <f aca="false">IF(Z423&gt;360,Z423-360,Z423+0)</f>
        <v>184.8</v>
      </c>
    </row>
    <row r="424" customFormat="false" ht="15.8" hidden="false" customHeight="false" outlineLevel="0" collapsed="false">
      <c r="A424" s="1" t="n">
        <v>13</v>
      </c>
      <c r="B424" s="1" t="n">
        <v>10</v>
      </c>
      <c r="C424" s="1" t="n">
        <v>3.2</v>
      </c>
      <c r="D424" s="1" t="n">
        <v>1.1443</v>
      </c>
      <c r="E424" s="1" t="n">
        <v>0.114765</v>
      </c>
      <c r="F424" s="1" t="n">
        <v>0.000329872</v>
      </c>
      <c r="G424" s="1" t="s">
        <v>27</v>
      </c>
      <c r="H424" s="1" t="n">
        <v>69.2</v>
      </c>
      <c r="I424" s="1" t="n">
        <v>354.5</v>
      </c>
      <c r="J424" s="1" t="n">
        <v>-8.1</v>
      </c>
      <c r="K424" s="1"/>
      <c r="L424" s="1" t="n">
        <v>0</v>
      </c>
      <c r="M424" s="1" t="n">
        <v>0</v>
      </c>
      <c r="N424" s="1" t="s">
        <v>309</v>
      </c>
      <c r="O424" s="1"/>
      <c r="P424" s="1"/>
      <c r="Q424" s="1"/>
      <c r="R424" s="1"/>
      <c r="Z424" s="0" t="n">
        <f aca="false">I424+0</f>
        <v>354.5</v>
      </c>
      <c r="AB424" s="0" t="n">
        <f aca="false">IF(Z424&gt;360,Z424-360,Z424+0)</f>
        <v>354.5</v>
      </c>
    </row>
    <row r="425" customFormat="false" ht="15.8" hidden="false" customHeight="false" outlineLevel="0" collapsed="false">
      <c r="A425" s="1" t="n">
        <v>13</v>
      </c>
      <c r="B425" s="1" t="n">
        <v>10</v>
      </c>
      <c r="C425" s="1" t="n">
        <v>0.6</v>
      </c>
      <c r="D425" s="1" t="n">
        <v>1.0247</v>
      </c>
      <c r="E425" s="1" t="n">
        <v>0.0210205</v>
      </c>
      <c r="F425" s="1" t="n">
        <v>6.04201E-005</v>
      </c>
      <c r="G425" s="1" t="s">
        <v>27</v>
      </c>
      <c r="H425" s="1" t="n">
        <v>83</v>
      </c>
      <c r="I425" s="1" t="n">
        <v>201.4</v>
      </c>
      <c r="J425" s="1" t="n">
        <v>0</v>
      </c>
      <c r="K425" s="1"/>
      <c r="L425" s="1" t="n">
        <v>0</v>
      </c>
      <c r="M425" s="1" t="n">
        <v>0</v>
      </c>
      <c r="N425" s="1" t="s">
        <v>309</v>
      </c>
      <c r="O425" s="1"/>
      <c r="P425" s="1"/>
      <c r="Q425" s="1"/>
      <c r="R425" s="1"/>
      <c r="Z425" s="0" t="n">
        <f aca="false">I425+0</f>
        <v>201.4</v>
      </c>
      <c r="AB425" s="0" t="n">
        <f aca="false">IF(Z425&gt;360,Z425-360,Z425+0)</f>
        <v>201.4</v>
      </c>
    </row>
    <row r="426" customFormat="false" ht="15.8" hidden="false" customHeight="false" outlineLevel="0" collapsed="false">
      <c r="A426" s="1" t="n">
        <v>13</v>
      </c>
      <c r="B426" s="1" t="n">
        <v>9</v>
      </c>
      <c r="C426" s="1" t="n">
        <v>1.2</v>
      </c>
      <c r="D426" s="1" t="n">
        <v>1.2258</v>
      </c>
      <c r="E426" s="1" t="n">
        <v>0.0424414</v>
      </c>
      <c r="F426" s="1" t="n">
        <v>0.000121991</v>
      </c>
      <c r="G426" s="1" t="s">
        <v>42</v>
      </c>
      <c r="H426" s="1" t="n">
        <v>74.8</v>
      </c>
      <c r="I426" s="1" t="n">
        <v>283.7</v>
      </c>
      <c r="J426" s="1" t="n">
        <v>-24</v>
      </c>
      <c r="K426" s="1" t="n">
        <v>83</v>
      </c>
      <c r="L426" s="1" t="n">
        <v>0</v>
      </c>
      <c r="M426" s="1" t="n">
        <v>0</v>
      </c>
      <c r="N426" s="1" t="s">
        <v>310</v>
      </c>
      <c r="O426" s="1"/>
      <c r="P426" s="1"/>
      <c r="Q426" s="1"/>
      <c r="R426" s="1"/>
      <c r="Z426" s="0" t="n">
        <f aca="false">I426+0</f>
        <v>283.7</v>
      </c>
      <c r="AB426" s="0" t="n">
        <f aca="false">IF(Z426&gt;360,Z426-360,Z426+0)</f>
        <v>283.7</v>
      </c>
    </row>
    <row r="427" customFormat="false" ht="15.8" hidden="false" customHeight="false" outlineLevel="0" collapsed="false">
      <c r="A427" s="1" t="n">
        <v>13</v>
      </c>
      <c r="B427" s="1" t="n">
        <v>9</v>
      </c>
      <c r="C427" s="1" t="n">
        <v>1</v>
      </c>
      <c r="D427" s="1" t="n">
        <v>1.1591</v>
      </c>
      <c r="E427" s="1" t="n">
        <v>0.0365406</v>
      </c>
      <c r="F427" s="1" t="n">
        <v>0.00010503</v>
      </c>
      <c r="G427" s="1" t="s">
        <v>27</v>
      </c>
      <c r="H427" s="1" t="n">
        <v>103.7</v>
      </c>
      <c r="I427" s="1" t="n">
        <v>103.6</v>
      </c>
      <c r="J427" s="1" t="n">
        <v>26.5</v>
      </c>
      <c r="K427" s="1"/>
      <c r="L427" s="1" t="n">
        <v>0</v>
      </c>
      <c r="M427" s="1" t="n">
        <v>0</v>
      </c>
      <c r="N427" s="1" t="s">
        <v>310</v>
      </c>
      <c r="O427" s="1"/>
      <c r="P427" s="1"/>
      <c r="Q427" s="1"/>
      <c r="R427" s="1"/>
      <c r="Z427" s="0" t="n">
        <f aca="false">I427+0</f>
        <v>103.6</v>
      </c>
      <c r="AB427" s="0" t="n">
        <f aca="false">IF(Z427&gt;360,Z427-360,Z427+0)</f>
        <v>103.6</v>
      </c>
    </row>
    <row r="428" customFormat="false" ht="15.8" hidden="false" customHeight="false" outlineLevel="0" collapsed="false">
      <c r="A428" s="1" t="n">
        <v>13</v>
      </c>
      <c r="B428" s="1" t="n">
        <v>8</v>
      </c>
      <c r="C428" s="1" t="n">
        <v>2.4</v>
      </c>
      <c r="D428" s="1" t="n">
        <v>1.2446</v>
      </c>
      <c r="E428" s="1" t="n">
        <v>0.0884004</v>
      </c>
      <c r="F428" s="1" t="n">
        <v>0.000254092</v>
      </c>
      <c r="G428" s="1" t="s">
        <v>42</v>
      </c>
      <c r="H428" s="1" t="n">
        <v>73.4</v>
      </c>
      <c r="I428" s="1" t="n">
        <v>224</v>
      </c>
      <c r="J428" s="1" t="n">
        <v>23.4</v>
      </c>
      <c r="K428" s="1" t="n">
        <v>103.7</v>
      </c>
      <c r="L428" s="1" t="n">
        <v>0</v>
      </c>
      <c r="M428" s="1" t="n">
        <v>0</v>
      </c>
      <c r="N428" s="1" t="s">
        <v>308</v>
      </c>
      <c r="O428" s="1"/>
      <c r="P428" s="1"/>
      <c r="Q428" s="1"/>
      <c r="R428" s="1"/>
      <c r="Z428" s="0" t="n">
        <f aca="false">I428+0</f>
        <v>224</v>
      </c>
      <c r="AB428" s="0" t="n">
        <f aca="false">IF(Z428&gt;360,Z428-360,Z428+0)</f>
        <v>224</v>
      </c>
    </row>
    <row r="429" customFormat="false" ht="15.8" hidden="false" customHeight="false" outlineLevel="0" collapsed="false">
      <c r="A429" s="1" t="n">
        <v>13</v>
      </c>
      <c r="B429" s="1" t="n">
        <v>7</v>
      </c>
      <c r="C429" s="1" t="n">
        <v>4.3</v>
      </c>
      <c r="D429" s="1" t="n">
        <v>1.4125</v>
      </c>
      <c r="E429" s="1" t="n">
        <v>0.155748</v>
      </c>
      <c r="F429" s="1" t="n">
        <v>0.000447671</v>
      </c>
      <c r="G429" s="1" t="s">
        <v>42</v>
      </c>
      <c r="H429" s="1" t="n">
        <v>45.5</v>
      </c>
      <c r="I429" s="1" t="n">
        <v>165.1</v>
      </c>
      <c r="J429" s="1" t="n">
        <v>-22.5</v>
      </c>
      <c r="K429" s="1" t="n">
        <v>73.4</v>
      </c>
      <c r="L429" s="1" t="n">
        <v>0</v>
      </c>
      <c r="M429" s="1" t="n">
        <v>0</v>
      </c>
      <c r="N429" s="1" t="s">
        <v>311</v>
      </c>
      <c r="O429" s="1"/>
      <c r="P429" s="1"/>
      <c r="Q429" s="1"/>
      <c r="R429" s="1"/>
      <c r="Z429" s="0" t="n">
        <f aca="false">I429+0</f>
        <v>165.1</v>
      </c>
      <c r="AB429" s="0" t="n">
        <f aca="false">IF(Z429&gt;360,Z429-360,Z429+0)</f>
        <v>165.1</v>
      </c>
    </row>
    <row r="430" customFormat="false" ht="15.8" hidden="false" customHeight="false" outlineLevel="0" collapsed="false">
      <c r="A430" s="1" t="n">
        <v>13</v>
      </c>
      <c r="B430" s="1" t="n">
        <v>9</v>
      </c>
      <c r="C430" s="1" t="n">
        <v>4.4</v>
      </c>
      <c r="D430" s="1" t="n">
        <v>1.1064</v>
      </c>
      <c r="E430" s="1" t="n">
        <v>0.157705</v>
      </c>
      <c r="F430" s="1" t="n">
        <v>0.000453296</v>
      </c>
      <c r="G430" s="1" t="s">
        <v>27</v>
      </c>
      <c r="H430" s="1" t="n">
        <v>23.1</v>
      </c>
      <c r="I430" s="1" t="n">
        <v>32.2</v>
      </c>
      <c r="J430" s="1" t="n">
        <v>-5.7</v>
      </c>
      <c r="K430" s="1"/>
      <c r="L430" s="1" t="n">
        <v>0</v>
      </c>
      <c r="M430" s="1" t="n">
        <v>0</v>
      </c>
      <c r="N430" s="1" t="s">
        <v>312</v>
      </c>
      <c r="O430" s="1"/>
      <c r="P430" s="1"/>
      <c r="Q430" s="1"/>
      <c r="R430" s="1"/>
      <c r="Z430" s="0" t="n">
        <f aca="false">I430+0</f>
        <v>32.2</v>
      </c>
      <c r="AB430" s="0" t="n">
        <f aca="false">IF(Z430&gt;360,Z430-360,Z430+0)</f>
        <v>32.2</v>
      </c>
    </row>
    <row r="431" customFormat="false" ht="15.8" hidden="false" customHeight="false" outlineLevel="0" collapsed="false">
      <c r="A431" s="1" t="n">
        <v>13</v>
      </c>
      <c r="B431" s="1" t="n">
        <v>9</v>
      </c>
      <c r="C431" s="1" t="n">
        <v>1.6</v>
      </c>
      <c r="D431" s="1" t="n">
        <v>1.1828</v>
      </c>
      <c r="E431" s="1" t="n">
        <v>0.0573983</v>
      </c>
      <c r="F431" s="1" t="n">
        <v>0.000164982</v>
      </c>
      <c r="G431" s="1" t="s">
        <v>27</v>
      </c>
      <c r="H431" s="1" t="n">
        <v>141.4</v>
      </c>
      <c r="I431" s="1" t="n">
        <v>165</v>
      </c>
      <c r="J431" s="1" t="n">
        <v>-16.9</v>
      </c>
      <c r="K431" s="1"/>
      <c r="L431" s="1" t="n">
        <v>0</v>
      </c>
      <c r="M431" s="1" t="n">
        <v>0</v>
      </c>
      <c r="N431" s="1" t="s">
        <v>312</v>
      </c>
      <c r="O431" s="1"/>
      <c r="P431" s="1"/>
      <c r="Q431" s="1"/>
      <c r="R431" s="1"/>
      <c r="Z431" s="0" t="n">
        <f aca="false">I431+0</f>
        <v>165</v>
      </c>
      <c r="AB431" s="0" t="n">
        <f aca="false">IF(Z431&gt;360,Z431-360,Z431+0)</f>
        <v>165</v>
      </c>
    </row>
    <row r="432" customFormat="false" ht="15.8" hidden="false" customHeight="false" outlineLevel="0" collapsed="false">
      <c r="A432" s="1" t="n">
        <v>13</v>
      </c>
      <c r="B432" s="1" t="n">
        <v>8</v>
      </c>
      <c r="C432" s="1" t="n">
        <v>9.6</v>
      </c>
      <c r="D432" s="1" t="n">
        <v>1.3761</v>
      </c>
      <c r="E432" s="1" t="n">
        <v>0.347545</v>
      </c>
      <c r="F432" s="1" t="n">
        <v>0.00099896</v>
      </c>
      <c r="G432" s="1" t="s">
        <v>42</v>
      </c>
      <c r="H432" s="1" t="n">
        <v>19.9</v>
      </c>
      <c r="I432" s="1" t="n">
        <v>9.9</v>
      </c>
      <c r="J432" s="1" t="n">
        <v>-12.9</v>
      </c>
      <c r="K432" s="1" t="n">
        <v>141.4</v>
      </c>
      <c r="L432" s="1" t="n">
        <v>0</v>
      </c>
      <c r="M432" s="1" t="n">
        <v>0</v>
      </c>
      <c r="N432" s="1" t="s">
        <v>313</v>
      </c>
      <c r="O432" s="1"/>
      <c r="P432" s="1"/>
      <c r="Q432" s="1"/>
      <c r="R432" s="1"/>
      <c r="Z432" s="0" t="n">
        <f aca="false">I432+0</f>
        <v>9.9</v>
      </c>
      <c r="AB432" s="0" t="n">
        <f aca="false">IF(Z432&gt;360,Z432-360,Z432+0)</f>
        <v>9.9</v>
      </c>
    </row>
    <row r="433" customFormat="false" ht="15.8" hidden="false" customHeight="false" outlineLevel="0" collapsed="false">
      <c r="A433" s="1" t="n">
        <v>13</v>
      </c>
      <c r="B433" s="1" t="n">
        <v>8</v>
      </c>
      <c r="C433" s="1" t="n">
        <v>6.3</v>
      </c>
      <c r="D433" s="1" t="n">
        <v>1.4042</v>
      </c>
      <c r="E433" s="1" t="n">
        <v>0.228955</v>
      </c>
      <c r="F433" s="1" t="n">
        <v>0.000658094</v>
      </c>
      <c r="G433" s="1" t="s">
        <v>27</v>
      </c>
      <c r="H433" s="1" t="n">
        <v>15.9</v>
      </c>
      <c r="I433" s="1" t="n">
        <v>30.4</v>
      </c>
      <c r="J433" s="1" t="n">
        <v>-15</v>
      </c>
      <c r="K433" s="1"/>
      <c r="L433" s="1" t="n">
        <v>0</v>
      </c>
      <c r="M433" s="1" t="n">
        <v>0</v>
      </c>
      <c r="N433" s="1" t="s">
        <v>313</v>
      </c>
      <c r="O433" s="1"/>
      <c r="P433" s="1"/>
      <c r="Q433" s="1"/>
      <c r="R433" s="1"/>
      <c r="Z433" s="0" t="n">
        <f aca="false">I433+0</f>
        <v>30.4</v>
      </c>
      <c r="AB433" s="0" t="n">
        <f aca="false">IF(Z433&gt;360,Z433-360,Z433+0)</f>
        <v>30.4</v>
      </c>
    </row>
    <row r="434" customFormat="false" ht="15.8" hidden="false" customHeight="false" outlineLevel="0" collapsed="false">
      <c r="A434" s="1" t="n">
        <v>13</v>
      </c>
      <c r="B434" s="1" t="n">
        <v>7</v>
      </c>
      <c r="C434" s="1" t="n">
        <v>5.8</v>
      </c>
      <c r="D434" s="1" t="n">
        <v>1.1941</v>
      </c>
      <c r="E434" s="1" t="n">
        <v>0.208303</v>
      </c>
      <c r="F434" s="1" t="n">
        <v>0.000598734</v>
      </c>
      <c r="G434" s="1" t="s">
        <v>42</v>
      </c>
      <c r="H434" s="1" t="n">
        <v>90.3</v>
      </c>
      <c r="I434" s="1" t="n">
        <v>25.2</v>
      </c>
      <c r="J434" s="1" t="n">
        <v>0</v>
      </c>
      <c r="K434" s="1" t="n">
        <v>19.9</v>
      </c>
      <c r="L434" s="1" t="n">
        <v>0</v>
      </c>
      <c r="M434" s="1" t="n">
        <v>0</v>
      </c>
      <c r="N434" s="1" t="s">
        <v>311</v>
      </c>
      <c r="O434" s="1"/>
      <c r="P434" s="1"/>
      <c r="Q434" s="1"/>
      <c r="R434" s="1"/>
      <c r="Z434" s="0" t="n">
        <f aca="false">I434+0</f>
        <v>25.2</v>
      </c>
      <c r="AB434" s="0" t="n">
        <f aca="false">IF(Z434&gt;360,Z434-360,Z434+0)</f>
        <v>25.2</v>
      </c>
    </row>
    <row r="435" customFormat="false" ht="15.8" hidden="false" customHeight="false" outlineLevel="0" collapsed="false">
      <c r="A435" s="1" t="n">
        <v>13</v>
      </c>
      <c r="B435" s="1" t="n">
        <v>6</v>
      </c>
      <c r="C435" s="1" t="n">
        <v>2.2</v>
      </c>
      <c r="D435" s="1" t="n">
        <v>1.2664</v>
      </c>
      <c r="E435" s="1" t="n">
        <v>0.0791692</v>
      </c>
      <c r="F435" s="1" t="n">
        <v>0.000227559</v>
      </c>
      <c r="G435" s="1" t="s">
        <v>42</v>
      </c>
      <c r="H435" s="1" t="n">
        <v>15</v>
      </c>
      <c r="I435" s="1" t="n">
        <v>115.6</v>
      </c>
      <c r="J435" s="1" t="n">
        <v>-42.5</v>
      </c>
      <c r="K435" s="1" t="n">
        <v>90.3</v>
      </c>
      <c r="L435" s="1" t="n">
        <v>0</v>
      </c>
      <c r="M435" s="1" t="n">
        <v>0</v>
      </c>
      <c r="N435" s="1" t="s">
        <v>314</v>
      </c>
      <c r="O435" s="1"/>
      <c r="P435" s="1"/>
      <c r="Q435" s="1"/>
      <c r="R435" s="1"/>
      <c r="Z435" s="0" t="n">
        <f aca="false">I435+0</f>
        <v>115.6</v>
      </c>
      <c r="AB435" s="0" t="n">
        <f aca="false">IF(Z435&gt;360,Z435-360,Z435+0)</f>
        <v>115.6</v>
      </c>
    </row>
    <row r="436" customFormat="false" ht="15.8" hidden="false" customHeight="false" outlineLevel="0" collapsed="false">
      <c r="A436" s="1" t="n">
        <v>13</v>
      </c>
      <c r="B436" s="1" t="n">
        <v>6</v>
      </c>
      <c r="C436" s="1" t="n">
        <v>2.4</v>
      </c>
      <c r="D436" s="1" t="n">
        <v>1.1878</v>
      </c>
      <c r="E436" s="1" t="n">
        <v>0.0874824</v>
      </c>
      <c r="F436" s="1" t="n">
        <v>0.000251454</v>
      </c>
      <c r="G436" s="1" t="s">
        <v>27</v>
      </c>
      <c r="H436" s="1" t="n">
        <v>54.2</v>
      </c>
      <c r="I436" s="1" t="n">
        <v>200.6</v>
      </c>
      <c r="J436" s="1" t="n">
        <v>-35</v>
      </c>
      <c r="K436" s="1"/>
      <c r="L436" s="1" t="n">
        <v>0</v>
      </c>
      <c r="M436" s="1" t="n">
        <v>0</v>
      </c>
      <c r="N436" s="1" t="s">
        <v>314</v>
      </c>
      <c r="O436" s="1"/>
      <c r="P436" s="1"/>
      <c r="Q436" s="1"/>
      <c r="R436" s="1"/>
      <c r="Z436" s="0" t="n">
        <f aca="false">I436+0</f>
        <v>200.6</v>
      </c>
      <c r="AB436" s="0" t="n">
        <f aca="false">IF(Z436&gt;360,Z436-360,Z436+0)</f>
        <v>200.6</v>
      </c>
    </row>
    <row r="437" customFormat="false" ht="15.8" hidden="false" customHeight="false" outlineLevel="0" collapsed="false">
      <c r="A437" s="1" t="n">
        <v>13</v>
      </c>
      <c r="B437" s="1" t="n">
        <v>5</v>
      </c>
      <c r="C437" s="1" t="n">
        <v>2.9</v>
      </c>
      <c r="D437" s="1" t="n">
        <v>1.2402</v>
      </c>
      <c r="E437" s="1" t="n">
        <v>0.104777</v>
      </c>
      <c r="F437" s="1" t="n">
        <v>0.000301164</v>
      </c>
      <c r="G437" s="1" t="s">
        <v>42</v>
      </c>
      <c r="H437" s="1" t="n">
        <v>45.6</v>
      </c>
      <c r="I437" s="1" t="n">
        <v>124.1</v>
      </c>
      <c r="J437" s="1" t="n">
        <v>-56.5</v>
      </c>
      <c r="K437" s="1" t="n">
        <v>54.2</v>
      </c>
      <c r="L437" s="1" t="n">
        <v>0</v>
      </c>
      <c r="M437" s="1" t="n">
        <v>0</v>
      </c>
      <c r="N437" s="1" t="s">
        <v>315</v>
      </c>
      <c r="O437" s="1"/>
      <c r="P437" s="1"/>
      <c r="Q437" s="1"/>
      <c r="R437" s="1"/>
      <c r="Z437" s="0" t="n">
        <f aca="false">I437+0</f>
        <v>124.1</v>
      </c>
      <c r="AB437" s="0" t="n">
        <f aca="false">IF(Z437&gt;360,Z437-360,Z437+0)</f>
        <v>124.1</v>
      </c>
    </row>
    <row r="438" customFormat="false" ht="15.8" hidden="false" customHeight="false" outlineLevel="0" collapsed="false">
      <c r="A438" s="1" t="n">
        <v>13</v>
      </c>
      <c r="B438" s="1" t="n">
        <v>5</v>
      </c>
      <c r="C438" s="1" t="n">
        <v>4.2</v>
      </c>
      <c r="D438" s="1" t="n">
        <v>1.2311</v>
      </c>
      <c r="E438" s="1" t="n">
        <v>0.150847</v>
      </c>
      <c r="F438" s="1" t="n">
        <v>0.000433584</v>
      </c>
      <c r="G438" s="1" t="s">
        <v>27</v>
      </c>
      <c r="H438" s="1" t="n">
        <v>80.8</v>
      </c>
      <c r="I438" s="1" t="n">
        <v>41.9</v>
      </c>
      <c r="J438" s="1" t="n">
        <v>-27.4</v>
      </c>
      <c r="K438" s="1"/>
      <c r="L438" s="1" t="n">
        <v>0</v>
      </c>
      <c r="M438" s="1" t="n">
        <v>0</v>
      </c>
      <c r="N438" s="1" t="s">
        <v>315</v>
      </c>
      <c r="O438" s="1"/>
      <c r="P438" s="1"/>
      <c r="Q438" s="1"/>
      <c r="R438" s="1"/>
      <c r="Z438" s="0" t="n">
        <f aca="false">I438+0</f>
        <v>41.9</v>
      </c>
      <c r="AB438" s="0" t="n">
        <f aca="false">IF(Z438&gt;360,Z438-360,Z438+0)</f>
        <v>41.9</v>
      </c>
    </row>
    <row r="439" customFormat="false" ht="15.8" hidden="false" customHeight="false" outlineLevel="0" collapsed="false">
      <c r="A439" s="1" t="n">
        <v>13</v>
      </c>
      <c r="B439" s="1" t="n">
        <v>4</v>
      </c>
      <c r="C439" s="1" t="n">
        <v>2.4</v>
      </c>
      <c r="D439" s="1" t="n">
        <v>1.1443</v>
      </c>
      <c r="E439" s="1" t="n">
        <v>0.0849928</v>
      </c>
      <c r="F439" s="1" t="n">
        <v>0.000244298</v>
      </c>
      <c r="G439" s="1" t="s">
        <v>42</v>
      </c>
      <c r="H439" s="1" t="n">
        <v>67.4</v>
      </c>
      <c r="I439" s="1" t="n">
        <v>127.1</v>
      </c>
      <c r="J439" s="1" t="n">
        <v>-10.9</v>
      </c>
      <c r="K439" s="1" t="n">
        <v>80.8</v>
      </c>
      <c r="L439" s="1" t="n">
        <v>0</v>
      </c>
      <c r="M439" s="1" t="n">
        <v>0</v>
      </c>
      <c r="N439" s="1" t="s">
        <v>316</v>
      </c>
      <c r="O439" s="1"/>
      <c r="P439" s="1"/>
      <c r="Q439" s="1"/>
      <c r="R439" s="1"/>
      <c r="Z439" s="0" t="n">
        <f aca="false">I439+0</f>
        <v>127.1</v>
      </c>
      <c r="AB439" s="0" t="n">
        <f aca="false">IF(Z439&gt;360,Z439-360,Z439+0)</f>
        <v>127.1</v>
      </c>
    </row>
    <row r="440" customFormat="false" ht="15.8" hidden="false" customHeight="false" outlineLevel="0" collapsed="false">
      <c r="A440" s="1" t="n">
        <v>13</v>
      </c>
      <c r="B440" s="1" t="n">
        <v>6</v>
      </c>
      <c r="C440" s="1" t="n">
        <v>0.9</v>
      </c>
      <c r="D440" s="1" t="n">
        <v>1.0181</v>
      </c>
      <c r="E440" s="1" t="n">
        <v>0.03163</v>
      </c>
      <c r="F440" s="1" t="n">
        <v>9.09153E-005</v>
      </c>
      <c r="G440" s="1" t="s">
        <v>27</v>
      </c>
      <c r="H440" s="1" t="n">
        <v>65.5</v>
      </c>
      <c r="I440" s="1" t="n">
        <v>8.5</v>
      </c>
      <c r="J440" s="1" t="n">
        <v>0</v>
      </c>
      <c r="K440" s="1"/>
      <c r="L440" s="1" t="n">
        <v>0</v>
      </c>
      <c r="M440" s="1" t="n">
        <v>0</v>
      </c>
      <c r="N440" s="1" t="s">
        <v>317</v>
      </c>
      <c r="O440" s="1"/>
      <c r="P440" s="1"/>
      <c r="Q440" s="1"/>
      <c r="R440" s="1"/>
      <c r="Z440" s="0" t="n">
        <f aca="false">I440+0</f>
        <v>8.5</v>
      </c>
      <c r="AB440" s="0" t="n">
        <f aca="false">IF(Z440&gt;360,Z440-360,Z440+0)</f>
        <v>8.5</v>
      </c>
    </row>
    <row r="441" customFormat="false" ht="15.8" hidden="false" customHeight="false" outlineLevel="0" collapsed="false">
      <c r="A441" s="1" t="n">
        <v>13</v>
      </c>
      <c r="B441" s="1" t="n">
        <v>7</v>
      </c>
      <c r="C441" s="1" t="n">
        <v>3.1</v>
      </c>
      <c r="D441" s="1" t="n">
        <v>1.1594</v>
      </c>
      <c r="E441" s="1" t="n">
        <v>0.11191</v>
      </c>
      <c r="F441" s="1" t="n">
        <v>0.000321666</v>
      </c>
      <c r="G441" s="1" t="s">
        <v>27</v>
      </c>
      <c r="H441" s="1" t="n">
        <v>65.1</v>
      </c>
      <c r="I441" s="1" t="n">
        <v>243</v>
      </c>
      <c r="J441" s="1" t="n">
        <v>-61.1</v>
      </c>
      <c r="K441" s="1"/>
      <c r="L441" s="1" t="n">
        <v>0</v>
      </c>
      <c r="M441" s="1" t="n">
        <v>0</v>
      </c>
      <c r="N441" s="1" t="s">
        <v>318</v>
      </c>
      <c r="O441" s="1"/>
      <c r="P441" s="1"/>
      <c r="Q441" s="1"/>
      <c r="R441" s="1"/>
      <c r="Z441" s="0" t="n">
        <f aca="false">I441+0</f>
        <v>243</v>
      </c>
      <c r="AB441" s="0" t="n">
        <f aca="false">IF(Z441&gt;360,Z441-360,Z441+0)</f>
        <v>243</v>
      </c>
    </row>
    <row r="442" customFormat="false" ht="15.8" hidden="false" customHeight="false" outlineLevel="0" collapsed="false">
      <c r="A442" s="1" t="n">
        <v>13</v>
      </c>
      <c r="B442" s="1" t="n">
        <v>8</v>
      </c>
      <c r="C442" s="1" t="n">
        <v>5</v>
      </c>
      <c r="D442" s="1" t="n">
        <v>1.2946</v>
      </c>
      <c r="E442" s="1" t="n">
        <v>0.179029</v>
      </c>
      <c r="F442" s="1" t="n">
        <v>0.000514589</v>
      </c>
      <c r="G442" s="1" t="s">
        <v>27</v>
      </c>
      <c r="H442" s="1" t="n">
        <v>86.5</v>
      </c>
      <c r="I442" s="1" t="n">
        <v>202.8</v>
      </c>
      <c r="J442" s="1" t="n">
        <v>0</v>
      </c>
      <c r="K442" s="1"/>
      <c r="L442" s="1" t="n">
        <v>0</v>
      </c>
      <c r="M442" s="1" t="n">
        <v>0</v>
      </c>
      <c r="N442" s="1" t="s">
        <v>319</v>
      </c>
      <c r="O442" s="1"/>
      <c r="P442" s="1"/>
      <c r="Q442" s="1"/>
      <c r="R442" s="1"/>
      <c r="Z442" s="0" t="n">
        <f aca="false">I442+0</f>
        <v>202.8</v>
      </c>
      <c r="AB442" s="0" t="n">
        <f aca="false">IF(Z442&gt;360,Z442-360,Z442+0)</f>
        <v>202.8</v>
      </c>
    </row>
    <row r="443" customFormat="false" ht="15.8" hidden="false" customHeight="false" outlineLevel="0" collapsed="false">
      <c r="A443" s="1" t="n">
        <v>13</v>
      </c>
      <c r="B443" s="1" t="n">
        <v>10</v>
      </c>
      <c r="C443" s="1" t="n">
        <v>2.2</v>
      </c>
      <c r="D443" s="1" t="n">
        <v>1.2191</v>
      </c>
      <c r="E443" s="1" t="n">
        <v>0.0801184</v>
      </c>
      <c r="F443" s="1" t="n">
        <v>0.000230287</v>
      </c>
      <c r="G443" s="1" t="s">
        <v>27</v>
      </c>
      <c r="H443" s="1" t="n">
        <v>10.8</v>
      </c>
      <c r="I443" s="1" t="n">
        <v>3.3</v>
      </c>
      <c r="J443" s="1" t="n">
        <v>0</v>
      </c>
      <c r="K443" s="1"/>
      <c r="L443" s="1" t="n">
        <v>0</v>
      </c>
      <c r="M443" s="1" t="n">
        <v>0</v>
      </c>
      <c r="N443" s="1" t="s">
        <v>320</v>
      </c>
      <c r="O443" s="1"/>
      <c r="P443" s="1"/>
      <c r="Q443" s="1"/>
      <c r="R443" s="1"/>
      <c r="Z443" s="0" t="n">
        <f aca="false">I443+0</f>
        <v>3.3</v>
      </c>
      <c r="AB443" s="0" t="n">
        <f aca="false">IF(Z443&gt;360,Z443-360,Z443+0)</f>
        <v>3.3</v>
      </c>
    </row>
    <row r="444" customFormat="false" ht="15.8" hidden="false" customHeight="false" outlineLevel="0" collapsed="false">
      <c r="A444" s="1" t="n">
        <v>13</v>
      </c>
      <c r="B444" s="1" t="n">
        <v>12</v>
      </c>
      <c r="C444" s="1" t="n">
        <v>1.5</v>
      </c>
      <c r="D444" s="1" t="n">
        <v>1.2221</v>
      </c>
      <c r="E444" s="1" t="n">
        <v>0.0542715</v>
      </c>
      <c r="F444" s="1" t="n">
        <v>0.000155994</v>
      </c>
      <c r="G444" s="1" t="s">
        <v>27</v>
      </c>
      <c r="H444" s="1" t="n">
        <v>125.4</v>
      </c>
      <c r="I444" s="1" t="n">
        <v>145.3</v>
      </c>
      <c r="J444" s="1" t="n">
        <v>-39.4</v>
      </c>
      <c r="K444" s="1"/>
      <c r="L444" s="1" t="n">
        <v>0</v>
      </c>
      <c r="M444" s="1" t="n">
        <v>0</v>
      </c>
      <c r="N444" s="1" t="s">
        <v>321</v>
      </c>
      <c r="O444" s="1"/>
      <c r="P444" s="1"/>
      <c r="Q444" s="1"/>
      <c r="R444" s="1"/>
      <c r="Z444" s="0" t="n">
        <f aca="false">I444+0</f>
        <v>145.3</v>
      </c>
      <c r="AB444" s="0" t="n">
        <f aca="false">IF(Z444&gt;360,Z444-360,Z444+0)</f>
        <v>145.3</v>
      </c>
    </row>
    <row r="445" customFormat="false" ht="15.8" hidden="false" customHeight="false" outlineLevel="0" collapsed="false">
      <c r="A445" s="1" t="n">
        <v>13</v>
      </c>
      <c r="B445" s="1" t="n">
        <v>13</v>
      </c>
      <c r="C445" s="1" t="n">
        <v>0.8</v>
      </c>
      <c r="D445" s="1" t="n">
        <v>1.0011</v>
      </c>
      <c r="E445" s="1" t="n">
        <v>0.0303525</v>
      </c>
      <c r="F445" s="1" t="n">
        <v>8.72433E-005</v>
      </c>
      <c r="G445" s="1" t="s">
        <v>27</v>
      </c>
      <c r="H445" s="1" t="n">
        <v>91.7</v>
      </c>
      <c r="I445" s="1" t="n">
        <v>270.8</v>
      </c>
      <c r="J445" s="1" t="n">
        <v>0</v>
      </c>
      <c r="K445" s="1"/>
      <c r="L445" s="1" t="n">
        <v>0</v>
      </c>
      <c r="M445" s="1" t="n">
        <v>0</v>
      </c>
      <c r="N445" s="1" t="s">
        <v>322</v>
      </c>
      <c r="O445" s="1"/>
      <c r="P445" s="1"/>
      <c r="Q445" s="1"/>
      <c r="R445" s="1"/>
      <c r="Z445" s="0" t="n">
        <f aca="false">I445+0</f>
        <v>270.8</v>
      </c>
      <c r="AB445" s="0" t="n">
        <f aca="false">IF(Z445&gt;360,Z445-360,Z445+0)</f>
        <v>270.8</v>
      </c>
    </row>
    <row r="446" customFormat="false" ht="15.8" hidden="false" customHeight="false" outlineLevel="0" collapsed="false">
      <c r="A446" s="1" t="n">
        <v>13</v>
      </c>
      <c r="B446" s="1" t="n">
        <v>13</v>
      </c>
      <c r="C446" s="1" t="n">
        <v>1.7</v>
      </c>
      <c r="D446" s="1" t="n">
        <v>1.0174</v>
      </c>
      <c r="E446" s="1" t="n">
        <v>0.062942</v>
      </c>
      <c r="F446" s="1" t="n">
        <v>0.000180916</v>
      </c>
      <c r="G446" s="1" t="s">
        <v>27</v>
      </c>
      <c r="H446" s="1" t="n">
        <v>21.9</v>
      </c>
      <c r="I446" s="1" t="n">
        <v>353.4</v>
      </c>
      <c r="J446" s="1" t="n">
        <v>0</v>
      </c>
      <c r="K446" s="1"/>
      <c r="L446" s="1" t="n">
        <v>0</v>
      </c>
      <c r="M446" s="1" t="n">
        <v>0</v>
      </c>
      <c r="N446" s="1" t="s">
        <v>322</v>
      </c>
      <c r="O446" s="1"/>
      <c r="P446" s="1"/>
      <c r="Q446" s="1"/>
      <c r="R446" s="1"/>
      <c r="Z446" s="0" t="n">
        <f aca="false">I446+0</f>
        <v>353.4</v>
      </c>
      <c r="AB446" s="0" t="n">
        <f aca="false">IF(Z446&gt;360,Z446-360,Z446+0)</f>
        <v>353.4</v>
      </c>
    </row>
    <row r="447" customFormat="false" ht="15.8" hidden="false" customHeight="false" outlineLevel="0" collapsed="false">
      <c r="A447" s="1" t="n">
        <v>13</v>
      </c>
      <c r="B447" s="1" t="n">
        <v>12</v>
      </c>
      <c r="C447" s="1" t="n">
        <v>5.3</v>
      </c>
      <c r="D447" s="1" t="n">
        <v>1.1709</v>
      </c>
      <c r="E447" s="1" t="n">
        <v>0.19318</v>
      </c>
      <c r="F447" s="1" t="n">
        <v>0.000555265</v>
      </c>
      <c r="G447" s="1" t="s">
        <v>42</v>
      </c>
      <c r="H447" s="1" t="n">
        <v>20.4</v>
      </c>
      <c r="I447" s="1" t="n">
        <v>2.6</v>
      </c>
      <c r="J447" s="1" t="n">
        <v>20</v>
      </c>
      <c r="K447" s="1" t="n">
        <v>91.7</v>
      </c>
      <c r="L447" s="1" t="n">
        <v>0</v>
      </c>
      <c r="M447" s="1" t="n">
        <v>0</v>
      </c>
      <c r="N447" s="1" t="s">
        <v>321</v>
      </c>
      <c r="O447" s="1"/>
      <c r="P447" s="1"/>
      <c r="Q447" s="1"/>
      <c r="R447" s="1"/>
      <c r="Z447" s="0" t="n">
        <f aca="false">I447+0</f>
        <v>2.6</v>
      </c>
      <c r="AB447" s="0" t="n">
        <f aca="false">IF(Z447&gt;360,Z447-360,Z447+0)</f>
        <v>2.6</v>
      </c>
    </row>
    <row r="448" customFormat="false" ht="15.8" hidden="false" customHeight="false" outlineLevel="0" collapsed="false">
      <c r="A448" s="1" t="n">
        <v>13</v>
      </c>
      <c r="B448" s="1" t="n">
        <v>11</v>
      </c>
      <c r="C448" s="1" t="n">
        <v>2.6</v>
      </c>
      <c r="D448" s="1" t="n">
        <v>1.0858</v>
      </c>
      <c r="E448" s="1" t="n">
        <v>0.0921715</v>
      </c>
      <c r="F448" s="1" t="n">
        <v>0.000264932</v>
      </c>
      <c r="G448" s="1" t="s">
        <v>42</v>
      </c>
      <c r="H448" s="1" t="n">
        <v>150.7</v>
      </c>
      <c r="I448" s="1" t="n">
        <v>6.7</v>
      </c>
      <c r="J448" s="1" t="n">
        <v>0</v>
      </c>
      <c r="K448" s="1" t="n">
        <v>125.4</v>
      </c>
      <c r="L448" s="1" t="n">
        <v>0</v>
      </c>
      <c r="M448" s="1" t="n">
        <v>0</v>
      </c>
      <c r="N448" s="1" t="s">
        <v>323</v>
      </c>
      <c r="O448" s="1"/>
      <c r="P448" s="1"/>
      <c r="Q448" s="1"/>
      <c r="R448" s="1"/>
      <c r="Z448" s="0" t="n">
        <f aca="false">I448+0</f>
        <v>6.7</v>
      </c>
      <c r="AB448" s="0" t="n">
        <f aca="false">IF(Z448&gt;360,Z448-360,Z448+0)</f>
        <v>6.7</v>
      </c>
    </row>
    <row r="449" customFormat="false" ht="15.8" hidden="false" customHeight="false" outlineLevel="0" collapsed="false">
      <c r="A449" s="1" t="n">
        <v>13</v>
      </c>
      <c r="B449" s="1" t="n">
        <v>11</v>
      </c>
      <c r="C449" s="1" t="n">
        <v>11.2</v>
      </c>
      <c r="D449" s="1" t="n">
        <v>1.2181</v>
      </c>
      <c r="E449" s="1" t="n">
        <v>0.403967</v>
      </c>
      <c r="F449" s="1" t="n">
        <v>0.00116114</v>
      </c>
      <c r="G449" s="1" t="s">
        <v>27</v>
      </c>
      <c r="H449" s="1" t="n">
        <v>55.4</v>
      </c>
      <c r="I449" s="1" t="n">
        <v>176.9</v>
      </c>
      <c r="J449" s="1" t="n">
        <v>-27.9</v>
      </c>
      <c r="K449" s="1"/>
      <c r="L449" s="1" t="n">
        <v>0</v>
      </c>
      <c r="M449" s="1" t="n">
        <v>0</v>
      </c>
      <c r="N449" s="1" t="s">
        <v>323</v>
      </c>
      <c r="O449" s="1"/>
      <c r="P449" s="1"/>
      <c r="Q449" s="1"/>
      <c r="R449" s="1"/>
      <c r="Z449" s="0" t="n">
        <f aca="false">I449+0</f>
        <v>176.9</v>
      </c>
      <c r="AB449" s="0" t="n">
        <f aca="false">IF(Z449&gt;360,Z449-360,Z449+0)</f>
        <v>176.9</v>
      </c>
    </row>
    <row r="450" customFormat="false" ht="15.8" hidden="false" customHeight="false" outlineLevel="0" collapsed="false">
      <c r="A450" s="1" t="n">
        <v>13</v>
      </c>
      <c r="B450" s="1" t="n">
        <v>10</v>
      </c>
      <c r="C450" s="1" t="n">
        <v>7.5</v>
      </c>
      <c r="D450" s="1" t="n">
        <v>1.2705</v>
      </c>
      <c r="E450" s="1" t="n">
        <v>0.270759</v>
      </c>
      <c r="F450" s="1" t="n">
        <v>0.000778252</v>
      </c>
      <c r="G450" s="1" t="s">
        <v>42</v>
      </c>
      <c r="H450" s="1" t="n">
        <v>141.3</v>
      </c>
      <c r="I450" s="1" t="n">
        <v>176.3</v>
      </c>
      <c r="J450" s="1" t="n">
        <v>27.6</v>
      </c>
      <c r="K450" s="1" t="n">
        <v>150.7</v>
      </c>
      <c r="L450" s="1" t="n">
        <v>0</v>
      </c>
      <c r="M450" s="1" t="n">
        <v>0</v>
      </c>
      <c r="N450" s="1" t="s">
        <v>320</v>
      </c>
      <c r="O450" s="1"/>
      <c r="P450" s="1"/>
      <c r="Q450" s="1"/>
      <c r="R450" s="1"/>
      <c r="Z450" s="0" t="n">
        <f aca="false">I450+0</f>
        <v>176.3</v>
      </c>
      <c r="AB450" s="0" t="n">
        <f aca="false">IF(Z450&gt;360,Z450-360,Z450+0)</f>
        <v>176.3</v>
      </c>
    </row>
    <row r="451" customFormat="false" ht="15.8" hidden="false" customHeight="false" outlineLevel="0" collapsed="false">
      <c r="A451" s="1" t="n">
        <v>13</v>
      </c>
      <c r="B451" s="1" t="n">
        <v>9</v>
      </c>
      <c r="C451" s="1" t="n">
        <v>10.3</v>
      </c>
      <c r="D451" s="1" t="n">
        <v>1.2286</v>
      </c>
      <c r="E451" s="1" t="n">
        <v>0.371074</v>
      </c>
      <c r="F451" s="1" t="n">
        <v>0.00106659</v>
      </c>
      <c r="G451" s="1" t="s">
        <v>42</v>
      </c>
      <c r="H451" s="1" t="n">
        <v>85.6</v>
      </c>
      <c r="I451" s="1" t="n">
        <v>2.2</v>
      </c>
      <c r="J451" s="1" t="n">
        <v>10.8</v>
      </c>
      <c r="K451" s="1" t="n">
        <v>141.3</v>
      </c>
      <c r="L451" s="1" t="n">
        <v>0</v>
      </c>
      <c r="M451" s="1" t="n">
        <v>0</v>
      </c>
      <c r="N451" s="1" t="s">
        <v>324</v>
      </c>
      <c r="O451" s="1"/>
      <c r="P451" s="1"/>
      <c r="Q451" s="1"/>
      <c r="R451" s="1"/>
      <c r="Z451" s="0" t="n">
        <f aca="false">I451+0</f>
        <v>2.2</v>
      </c>
      <c r="AB451" s="0" t="n">
        <f aca="false">IF(Z451&gt;360,Z451-360,Z451+0)</f>
        <v>2.2</v>
      </c>
    </row>
    <row r="452" customFormat="false" ht="15.8" hidden="false" customHeight="false" outlineLevel="0" collapsed="false">
      <c r="A452" s="1" t="n">
        <v>13</v>
      </c>
      <c r="B452" s="1" t="n">
        <v>10</v>
      </c>
      <c r="C452" s="1" t="n">
        <v>1</v>
      </c>
      <c r="D452" s="1" t="n">
        <v>1.1181</v>
      </c>
      <c r="E452" s="1" t="n">
        <v>0.0358937</v>
      </c>
      <c r="F452" s="1" t="n">
        <v>0.00010317</v>
      </c>
      <c r="G452" s="1" t="s">
        <v>27</v>
      </c>
      <c r="H452" s="1" t="n">
        <v>64.8</v>
      </c>
      <c r="I452" s="1" t="n">
        <v>337.1</v>
      </c>
      <c r="J452" s="1" t="n">
        <v>26</v>
      </c>
      <c r="K452" s="1"/>
      <c r="L452" s="1" t="n">
        <v>0</v>
      </c>
      <c r="M452" s="1" t="n">
        <v>0</v>
      </c>
      <c r="N452" s="1" t="s">
        <v>325</v>
      </c>
      <c r="O452" s="1"/>
      <c r="P452" s="1"/>
      <c r="Q452" s="1"/>
      <c r="R452" s="1"/>
      <c r="Z452" s="0" t="n">
        <f aca="false">I452+0</f>
        <v>337.1</v>
      </c>
      <c r="AB452" s="0" t="n">
        <f aca="false">IF(Z452&gt;360,Z452-360,Z452+0)</f>
        <v>337.1</v>
      </c>
    </row>
    <row r="453" customFormat="false" ht="15.8" hidden="false" customHeight="false" outlineLevel="0" collapsed="false">
      <c r="A453" s="1" t="n">
        <v>13</v>
      </c>
      <c r="B453" s="1" t="n">
        <v>10</v>
      </c>
      <c r="C453" s="1" t="n">
        <v>3.1</v>
      </c>
      <c r="D453" s="1" t="n">
        <v>1.2481</v>
      </c>
      <c r="E453" s="1" t="n">
        <v>0.11331</v>
      </c>
      <c r="F453" s="1" t="n">
        <v>0.000325691</v>
      </c>
      <c r="G453" s="1" t="s">
        <v>27</v>
      </c>
      <c r="H453" s="1" t="n">
        <v>17.1</v>
      </c>
      <c r="I453" s="1" t="n">
        <v>232.1</v>
      </c>
      <c r="J453" s="1" t="n">
        <v>68.6</v>
      </c>
      <c r="K453" s="1"/>
      <c r="L453" s="1" t="n">
        <v>0</v>
      </c>
      <c r="M453" s="1" t="n">
        <v>0</v>
      </c>
      <c r="N453" s="1" t="s">
        <v>325</v>
      </c>
      <c r="O453" s="1"/>
      <c r="P453" s="1"/>
      <c r="Q453" s="1"/>
      <c r="R453" s="1"/>
      <c r="Z453" s="0" t="n">
        <f aca="false">I453+0</f>
        <v>232.1</v>
      </c>
      <c r="AB453" s="0" t="n">
        <f aca="false">IF(Z453&gt;360,Z453-360,Z453+0)</f>
        <v>232.1</v>
      </c>
    </row>
    <row r="454" customFormat="false" ht="15.8" hidden="false" customHeight="false" outlineLevel="0" collapsed="false">
      <c r="A454" s="1" t="n">
        <v>13</v>
      </c>
      <c r="B454" s="1" t="n">
        <v>11</v>
      </c>
      <c r="C454" s="1" t="n">
        <v>2</v>
      </c>
      <c r="D454" s="1" t="n">
        <v>1.3416</v>
      </c>
      <c r="E454" s="1" t="n">
        <v>0.0728135</v>
      </c>
      <c r="F454" s="1" t="n">
        <v>0.00020929</v>
      </c>
      <c r="G454" s="1" t="s">
        <v>27</v>
      </c>
      <c r="H454" s="1" t="n">
        <v>149.5</v>
      </c>
      <c r="I454" s="1" t="n">
        <v>307.6</v>
      </c>
      <c r="J454" s="1" t="n">
        <v>-15</v>
      </c>
      <c r="K454" s="1"/>
      <c r="L454" s="1" t="n">
        <v>0</v>
      </c>
      <c r="M454" s="1" t="n">
        <v>0</v>
      </c>
      <c r="N454" s="1" t="s">
        <v>326</v>
      </c>
      <c r="O454" s="1"/>
      <c r="P454" s="1"/>
      <c r="Q454" s="1"/>
      <c r="R454" s="1"/>
      <c r="Z454" s="0" t="n">
        <f aca="false">I454+0</f>
        <v>307.6</v>
      </c>
      <c r="AB454" s="0" t="n">
        <f aca="false">IF(Z454&gt;360,Z454-360,Z454+0)</f>
        <v>307.6</v>
      </c>
    </row>
    <row r="455" customFormat="false" ht="15.8" hidden="false" customHeight="false" outlineLevel="0" collapsed="false">
      <c r="A455" s="1" t="n">
        <v>13</v>
      </c>
      <c r="B455" s="1" t="n">
        <v>11</v>
      </c>
      <c r="C455" s="1" t="n">
        <v>12.4</v>
      </c>
      <c r="D455" s="1" t="n">
        <v>1.3994</v>
      </c>
      <c r="E455" s="1" t="n">
        <v>0.447609</v>
      </c>
      <c r="F455" s="1" t="n">
        <v>0.00128658</v>
      </c>
      <c r="G455" s="1" t="s">
        <v>27</v>
      </c>
      <c r="H455" s="1" t="n">
        <v>70.7</v>
      </c>
      <c r="I455" s="1" t="n">
        <v>196.2</v>
      </c>
      <c r="J455" s="1" t="n">
        <v>-31.9</v>
      </c>
      <c r="K455" s="1"/>
      <c r="L455" s="1" t="n">
        <v>0</v>
      </c>
      <c r="M455" s="1" t="n">
        <v>0</v>
      </c>
      <c r="N455" s="1" t="s">
        <v>326</v>
      </c>
      <c r="O455" s="1"/>
      <c r="P455" s="1"/>
      <c r="Q455" s="1"/>
      <c r="R455" s="1"/>
      <c r="Z455" s="0" t="n">
        <f aca="false">I455+0</f>
        <v>196.2</v>
      </c>
      <c r="AB455" s="0" t="n">
        <f aca="false">IF(Z455&gt;360,Z455-360,Z455+0)</f>
        <v>196.2</v>
      </c>
    </row>
    <row r="456" customFormat="false" ht="15.8" hidden="false" customHeight="false" outlineLevel="0" collapsed="false">
      <c r="A456" s="1" t="n">
        <v>13</v>
      </c>
      <c r="B456" s="1" t="n">
        <v>11</v>
      </c>
      <c r="C456" s="1" t="n">
        <v>3.1</v>
      </c>
      <c r="D456" s="1" t="n">
        <v>1.9615</v>
      </c>
      <c r="E456" s="1" t="n">
        <v>0.111866</v>
      </c>
      <c r="F456" s="1" t="n">
        <v>0.000321541</v>
      </c>
      <c r="G456" s="1" t="s">
        <v>27</v>
      </c>
      <c r="H456" s="1" t="n">
        <v>153.1</v>
      </c>
      <c r="I456" s="1" t="n">
        <v>306.5</v>
      </c>
      <c r="J456" s="1" t="n">
        <v>-29.6</v>
      </c>
      <c r="K456" s="1"/>
      <c r="L456" s="1" t="n">
        <v>0</v>
      </c>
      <c r="M456" s="1" t="n">
        <v>0</v>
      </c>
      <c r="N456" s="1" t="s">
        <v>326</v>
      </c>
      <c r="O456" s="1"/>
      <c r="P456" s="1"/>
      <c r="Q456" s="1"/>
      <c r="R456" s="1"/>
      <c r="Z456" s="0" t="n">
        <f aca="false">I456+0</f>
        <v>306.5</v>
      </c>
      <c r="AB456" s="0" t="n">
        <f aca="false">IF(Z456&gt;360,Z456-360,Z456+0)</f>
        <v>306.5</v>
      </c>
    </row>
    <row r="457" customFormat="false" ht="15.8" hidden="false" customHeight="false" outlineLevel="0" collapsed="false">
      <c r="A457" s="1" t="n">
        <v>13</v>
      </c>
      <c r="B457" s="1" t="n">
        <v>10</v>
      </c>
      <c r="C457" s="1" t="n">
        <v>3.2</v>
      </c>
      <c r="D457" s="1" t="n">
        <v>1.2833</v>
      </c>
      <c r="E457" s="1" t="n">
        <v>0.114251</v>
      </c>
      <c r="F457" s="1" t="n">
        <v>0.000328396</v>
      </c>
      <c r="G457" s="1" t="s">
        <v>42</v>
      </c>
      <c r="H457" s="1" t="n">
        <v>71.1</v>
      </c>
      <c r="I457" s="1" t="n">
        <v>157.2</v>
      </c>
      <c r="J457" s="1" t="n">
        <v>28.3</v>
      </c>
      <c r="K457" s="1" t="n">
        <v>153.1</v>
      </c>
      <c r="L457" s="1" t="n">
        <v>0</v>
      </c>
      <c r="M457" s="1" t="n">
        <v>0</v>
      </c>
      <c r="N457" s="1" t="s">
        <v>325</v>
      </c>
      <c r="O457" s="1"/>
      <c r="P457" s="1"/>
      <c r="Q457" s="1"/>
      <c r="R457" s="1"/>
      <c r="Z457" s="0" t="n">
        <f aca="false">I457+0</f>
        <v>157.2</v>
      </c>
      <c r="AB457" s="0" t="n">
        <f aca="false">IF(Z457&gt;360,Z457-360,Z457+0)</f>
        <v>157.2</v>
      </c>
    </row>
    <row r="458" customFormat="false" ht="15.8" hidden="false" customHeight="false" outlineLevel="0" collapsed="false">
      <c r="A458" s="1" t="n">
        <v>13</v>
      </c>
      <c r="B458" s="1" t="n">
        <v>9</v>
      </c>
      <c r="C458" s="1" t="n">
        <v>1.8</v>
      </c>
      <c r="D458" s="1" t="n">
        <v>1.2496</v>
      </c>
      <c r="E458" s="1" t="n">
        <v>0.0645625</v>
      </c>
      <c r="F458" s="1" t="n">
        <v>0.000185574</v>
      </c>
      <c r="G458" s="1" t="s">
        <v>42</v>
      </c>
      <c r="H458" s="1" t="n">
        <v>37.6</v>
      </c>
      <c r="I458" s="1" t="n">
        <v>254.6</v>
      </c>
      <c r="J458" s="1" t="n">
        <v>54.9</v>
      </c>
      <c r="K458" s="1" t="n">
        <v>71.1</v>
      </c>
      <c r="L458" s="1" t="n">
        <v>0</v>
      </c>
      <c r="M458" s="1" t="n">
        <v>0</v>
      </c>
      <c r="N458" s="1" t="s">
        <v>324</v>
      </c>
      <c r="O458" s="1"/>
      <c r="P458" s="1"/>
      <c r="Q458" s="1"/>
      <c r="R458" s="1"/>
      <c r="Z458" s="0" t="n">
        <f aca="false">I458+0</f>
        <v>254.6</v>
      </c>
      <c r="AB458" s="0" t="n">
        <f aca="false">IF(Z458&gt;360,Z458-360,Z458+0)</f>
        <v>254.6</v>
      </c>
    </row>
    <row r="459" customFormat="false" ht="15.8" hidden="false" customHeight="false" outlineLevel="0" collapsed="false">
      <c r="A459" s="1" t="n">
        <v>13</v>
      </c>
      <c r="B459" s="1" t="n">
        <v>8</v>
      </c>
      <c r="C459" s="1" t="n">
        <v>1.3</v>
      </c>
      <c r="D459" s="1" t="n">
        <v>1.1703</v>
      </c>
      <c r="E459" s="1" t="n">
        <v>0.0481716</v>
      </c>
      <c r="F459" s="1" t="n">
        <v>0.000138461</v>
      </c>
      <c r="G459" s="1" t="s">
        <v>42</v>
      </c>
      <c r="H459" s="1" t="n">
        <v>29.4</v>
      </c>
      <c r="I459" s="1" t="n">
        <v>273.1</v>
      </c>
      <c r="J459" s="1" t="n">
        <v>20</v>
      </c>
      <c r="K459" s="1" t="n">
        <v>85.6</v>
      </c>
      <c r="L459" s="1" t="n">
        <v>0</v>
      </c>
      <c r="M459" s="1" t="n">
        <v>0</v>
      </c>
      <c r="N459" s="1" t="s">
        <v>319</v>
      </c>
      <c r="O459" s="1"/>
      <c r="P459" s="1"/>
      <c r="Q459" s="1"/>
      <c r="R459" s="1"/>
      <c r="Z459" s="0" t="n">
        <f aca="false">I459+0</f>
        <v>273.1</v>
      </c>
      <c r="AB459" s="0" t="n">
        <f aca="false">IF(Z459&gt;360,Z459-360,Z459+0)</f>
        <v>273.1</v>
      </c>
    </row>
    <row r="460" customFormat="false" ht="15.8" hidden="false" customHeight="false" outlineLevel="0" collapsed="false">
      <c r="A460" s="1" t="n">
        <v>13</v>
      </c>
      <c r="B460" s="1" t="n">
        <v>7</v>
      </c>
      <c r="C460" s="1" t="n">
        <v>5.7</v>
      </c>
      <c r="D460" s="1" t="n">
        <v>1.3385</v>
      </c>
      <c r="E460" s="1" t="n">
        <v>0.206587</v>
      </c>
      <c r="F460" s="1" t="n">
        <v>0.000593799</v>
      </c>
      <c r="G460" s="1" t="s">
        <v>42</v>
      </c>
      <c r="H460" s="1" t="n">
        <v>48.8</v>
      </c>
      <c r="I460" s="1" t="n">
        <v>287.7</v>
      </c>
      <c r="J460" s="1" t="n">
        <v>46.9</v>
      </c>
      <c r="K460" s="1" t="n">
        <v>86.5</v>
      </c>
      <c r="L460" s="1" t="n">
        <v>0</v>
      </c>
      <c r="M460" s="1" t="n">
        <v>0</v>
      </c>
      <c r="N460" s="1" t="s">
        <v>318</v>
      </c>
      <c r="O460" s="1"/>
      <c r="P460" s="1"/>
      <c r="Q460" s="1"/>
      <c r="R460" s="1"/>
      <c r="Z460" s="0" t="n">
        <f aca="false">I460+0</f>
        <v>287.7</v>
      </c>
      <c r="AB460" s="0" t="n">
        <f aca="false">IF(Z460&gt;360,Z460-360,Z460+0)</f>
        <v>287.7</v>
      </c>
    </row>
    <row r="461" customFormat="false" ht="15.8" hidden="false" customHeight="false" outlineLevel="0" collapsed="false">
      <c r="A461" s="1" t="n">
        <v>13</v>
      </c>
      <c r="B461" s="1" t="n">
        <v>6</v>
      </c>
      <c r="C461" s="1" t="n">
        <v>0.9</v>
      </c>
      <c r="D461" s="1" t="n">
        <v>1.0092</v>
      </c>
      <c r="E461" s="1" t="n">
        <v>0.0339699</v>
      </c>
      <c r="F461" s="1" t="n">
        <v>9.76409E-005</v>
      </c>
      <c r="G461" s="1" t="s">
        <v>42</v>
      </c>
      <c r="H461" s="1" t="n">
        <v>33</v>
      </c>
      <c r="I461" s="1" t="n">
        <v>272.1</v>
      </c>
      <c r="J461" s="1" t="n">
        <v>0</v>
      </c>
      <c r="K461" s="1" t="n">
        <v>65.1</v>
      </c>
      <c r="L461" s="1" t="n">
        <v>0</v>
      </c>
      <c r="M461" s="1" t="n">
        <v>0</v>
      </c>
      <c r="N461" s="1" t="s">
        <v>317</v>
      </c>
      <c r="O461" s="1"/>
      <c r="P461" s="1"/>
      <c r="Q461" s="1"/>
      <c r="R461" s="1"/>
      <c r="Z461" s="0" t="n">
        <f aca="false">I461+0</f>
        <v>272.1</v>
      </c>
      <c r="AB461" s="0" t="n">
        <f aca="false">IF(Z461&gt;360,Z461-360,Z461+0)</f>
        <v>272.1</v>
      </c>
    </row>
    <row r="462" customFormat="false" ht="15.8" hidden="false" customHeight="false" outlineLevel="0" collapsed="false">
      <c r="A462" s="1" t="n">
        <v>13</v>
      </c>
      <c r="B462" s="1" t="n">
        <v>5</v>
      </c>
      <c r="C462" s="1" t="n">
        <v>2.3</v>
      </c>
      <c r="D462" s="1" t="n">
        <v>1.156</v>
      </c>
      <c r="E462" s="1" t="n">
        <v>0.0844063</v>
      </c>
      <c r="F462" s="1" t="n">
        <v>0.000242612</v>
      </c>
      <c r="G462" s="1" t="s">
        <v>42</v>
      </c>
      <c r="H462" s="1" t="n">
        <v>138.3</v>
      </c>
      <c r="I462" s="1" t="n">
        <v>303.4</v>
      </c>
      <c r="J462" s="1" t="n">
        <v>-11.1</v>
      </c>
      <c r="K462" s="1" t="n">
        <v>65.5</v>
      </c>
      <c r="L462" s="1" t="n">
        <v>0</v>
      </c>
      <c r="M462" s="1" t="n">
        <v>0</v>
      </c>
      <c r="N462" s="1" t="s">
        <v>327</v>
      </c>
      <c r="O462" s="1"/>
      <c r="P462" s="1"/>
      <c r="Q462" s="1"/>
      <c r="R462" s="1"/>
      <c r="Z462" s="0" t="n">
        <f aca="false">I462+0</f>
        <v>303.4</v>
      </c>
      <c r="AB462" s="0" t="n">
        <f aca="false">IF(Z462&gt;360,Z462-360,Z462+0)</f>
        <v>303.4</v>
      </c>
    </row>
    <row r="463" customFormat="false" ht="15.8" hidden="false" customHeight="false" outlineLevel="0" collapsed="false">
      <c r="A463" s="1" t="n">
        <v>13</v>
      </c>
      <c r="B463" s="1" t="n">
        <v>6</v>
      </c>
      <c r="C463" s="1" t="n">
        <v>1.4</v>
      </c>
      <c r="D463" s="1" t="n">
        <v>1.2377</v>
      </c>
      <c r="E463" s="1" t="n">
        <v>0.0510221</v>
      </c>
      <c r="F463" s="1" t="n">
        <v>0.000146655</v>
      </c>
      <c r="G463" s="1" t="s">
        <v>27</v>
      </c>
      <c r="H463" s="1" t="n">
        <v>71.7</v>
      </c>
      <c r="I463" s="1" t="n">
        <v>219.4</v>
      </c>
      <c r="J463" s="1" t="n">
        <v>-43.1</v>
      </c>
      <c r="K463" s="1"/>
      <c r="L463" s="1" t="n">
        <v>0</v>
      </c>
      <c r="M463" s="1" t="n">
        <v>0</v>
      </c>
      <c r="N463" s="1" t="s">
        <v>328</v>
      </c>
      <c r="O463" s="1"/>
      <c r="P463" s="1"/>
      <c r="Q463" s="1"/>
      <c r="R463" s="1"/>
      <c r="Z463" s="0" t="n">
        <f aca="false">I463+0</f>
        <v>219.4</v>
      </c>
      <c r="AB463" s="0" t="n">
        <f aca="false">IF(Z463&gt;360,Z463-360,Z463+0)</f>
        <v>219.4</v>
      </c>
    </row>
    <row r="464" customFormat="false" ht="15.8" hidden="false" customHeight="false" outlineLevel="0" collapsed="false">
      <c r="A464" s="1" t="n">
        <v>13</v>
      </c>
      <c r="B464" s="1" t="n">
        <v>6</v>
      </c>
      <c r="C464" s="1" t="n">
        <v>3.3</v>
      </c>
      <c r="D464" s="1" t="n">
        <v>1.3243</v>
      </c>
      <c r="E464" s="1" t="n">
        <v>0.12057</v>
      </c>
      <c r="F464" s="1" t="n">
        <v>0.000346559</v>
      </c>
      <c r="G464" s="1" t="s">
        <v>27</v>
      </c>
      <c r="H464" s="1" t="n">
        <v>74.4</v>
      </c>
      <c r="I464" s="1" t="n">
        <v>83.7</v>
      </c>
      <c r="J464" s="1" t="n">
        <v>68.2</v>
      </c>
      <c r="K464" s="1"/>
      <c r="L464" s="1" t="n">
        <v>0</v>
      </c>
      <c r="M464" s="1" t="n">
        <v>0</v>
      </c>
      <c r="N464" s="1" t="s">
        <v>328</v>
      </c>
      <c r="O464" s="1"/>
      <c r="P464" s="1"/>
      <c r="Q464" s="1"/>
      <c r="R464" s="1"/>
      <c r="Z464" s="0" t="n">
        <f aca="false">I464+0</f>
        <v>83.7</v>
      </c>
      <c r="AB464" s="0" t="n">
        <f aca="false">IF(Z464&gt;360,Z464-360,Z464+0)</f>
        <v>83.7</v>
      </c>
    </row>
    <row r="465" customFormat="false" ht="15.8" hidden="false" customHeight="false" outlineLevel="0" collapsed="false">
      <c r="A465" s="1" t="n">
        <v>13</v>
      </c>
      <c r="B465" s="1" t="n">
        <v>5</v>
      </c>
      <c r="C465" s="1" t="n">
        <v>4.1</v>
      </c>
      <c r="D465" s="1" t="n">
        <v>1.2895</v>
      </c>
      <c r="E465" s="1" t="n">
        <v>0.148627</v>
      </c>
      <c r="F465" s="1" t="n">
        <v>0.000427203</v>
      </c>
      <c r="G465" s="1" t="s">
        <v>42</v>
      </c>
      <c r="H465" s="1" t="n">
        <v>20.7</v>
      </c>
      <c r="I465" s="1" t="n">
        <v>185.6</v>
      </c>
      <c r="J465" s="1" t="n">
        <v>21.5</v>
      </c>
      <c r="K465" s="1" t="n">
        <v>74.4</v>
      </c>
      <c r="L465" s="1" t="n">
        <v>0</v>
      </c>
      <c r="M465" s="1" t="n">
        <v>0</v>
      </c>
      <c r="N465" s="1" t="s">
        <v>327</v>
      </c>
      <c r="O465" s="1"/>
      <c r="P465" s="1"/>
      <c r="Q465" s="1"/>
      <c r="R465" s="1"/>
      <c r="Z465" s="0" t="n">
        <f aca="false">I465+0</f>
        <v>185.6</v>
      </c>
      <c r="AB465" s="0" t="n">
        <f aca="false">IF(Z465&gt;360,Z465-360,Z465+0)</f>
        <v>185.6</v>
      </c>
    </row>
    <row r="466" customFormat="false" ht="15.8" hidden="false" customHeight="false" outlineLevel="0" collapsed="false">
      <c r="A466" s="1" t="n">
        <v>13</v>
      </c>
      <c r="B466" s="1" t="n">
        <v>4</v>
      </c>
      <c r="C466" s="1" t="n">
        <v>7.4</v>
      </c>
      <c r="D466" s="1" t="n">
        <v>1.2957</v>
      </c>
      <c r="E466" s="1" t="n">
        <v>0.267508</v>
      </c>
      <c r="F466" s="1" t="n">
        <v>0.000768906</v>
      </c>
      <c r="G466" s="1" t="s">
        <v>42</v>
      </c>
      <c r="H466" s="1" t="n">
        <v>58.7</v>
      </c>
      <c r="I466" s="1" t="n">
        <v>164.1</v>
      </c>
      <c r="J466" s="1" t="n">
        <v>28.5</v>
      </c>
      <c r="K466" s="1" t="n">
        <v>138.3</v>
      </c>
      <c r="L466" s="1" t="n">
        <v>0</v>
      </c>
      <c r="M466" s="1" t="n">
        <v>0</v>
      </c>
      <c r="N466" s="1" t="s">
        <v>316</v>
      </c>
      <c r="O466" s="1"/>
      <c r="P466" s="1"/>
      <c r="Q466" s="1"/>
      <c r="R466" s="1"/>
      <c r="Z466" s="0" t="n">
        <f aca="false">I466+0</f>
        <v>164.1</v>
      </c>
      <c r="AB466" s="0" t="n">
        <f aca="false">IF(Z466&gt;360,Z466-360,Z466+0)</f>
        <v>164.1</v>
      </c>
    </row>
    <row r="467" customFormat="false" ht="15.8" hidden="false" customHeight="false" outlineLevel="0" collapsed="false">
      <c r="A467" s="1" t="n">
        <v>13</v>
      </c>
      <c r="B467" s="1" t="n">
        <v>9</v>
      </c>
      <c r="C467" s="1" t="n">
        <v>4.1</v>
      </c>
      <c r="D467" s="1" t="n">
        <v>1.26</v>
      </c>
      <c r="E467" s="1" t="n">
        <v>0.148386</v>
      </c>
      <c r="F467" s="1" t="n">
        <v>0.00042651</v>
      </c>
      <c r="G467" s="1" t="s">
        <v>27</v>
      </c>
      <c r="H467" s="1" t="n">
        <v>58.6</v>
      </c>
      <c r="I467" s="1" t="n">
        <v>179.3</v>
      </c>
      <c r="J467" s="1" t="n">
        <v>-28.6</v>
      </c>
      <c r="K467" s="1"/>
      <c r="L467" s="1" t="n">
        <v>0</v>
      </c>
      <c r="M467" s="1" t="n">
        <v>0</v>
      </c>
      <c r="N467" s="1" t="s">
        <v>329</v>
      </c>
      <c r="O467" s="1"/>
      <c r="P467" s="1"/>
      <c r="Q467" s="1"/>
      <c r="R467" s="1"/>
      <c r="Z467" s="0" t="n">
        <f aca="false">I467+0</f>
        <v>179.3</v>
      </c>
      <c r="AB467" s="0" t="n">
        <f aca="false">IF(Z467&gt;360,Z467-360,Z467+0)</f>
        <v>179.3</v>
      </c>
    </row>
    <row r="468" customFormat="false" ht="15.8" hidden="false" customHeight="false" outlineLevel="0" collapsed="false">
      <c r="A468" s="1" t="n">
        <v>13</v>
      </c>
      <c r="B468" s="1" t="n">
        <v>9</v>
      </c>
      <c r="C468" s="1" t="n">
        <v>1.5</v>
      </c>
      <c r="D468" s="1" t="n">
        <v>1.0166</v>
      </c>
      <c r="E468" s="1" t="n">
        <v>0.0548811</v>
      </c>
      <c r="F468" s="1" t="n">
        <v>0.000157747</v>
      </c>
      <c r="G468" s="1" t="s">
        <v>27</v>
      </c>
      <c r="H468" s="1" t="n">
        <v>76.5</v>
      </c>
      <c r="I468" s="1" t="n">
        <v>323.1</v>
      </c>
      <c r="J468" s="1" t="n">
        <v>0</v>
      </c>
      <c r="K468" s="1"/>
      <c r="L468" s="1" t="n">
        <v>0</v>
      </c>
      <c r="M468" s="1" t="n">
        <v>0</v>
      </c>
      <c r="N468" s="1" t="s">
        <v>329</v>
      </c>
      <c r="O468" s="1"/>
      <c r="P468" s="1"/>
      <c r="Q468" s="1"/>
      <c r="R468" s="1"/>
      <c r="Z468" s="0" t="n">
        <f aca="false">I468+0</f>
        <v>323.1</v>
      </c>
      <c r="AB468" s="0" t="n">
        <f aca="false">IF(Z468&gt;360,Z468-360,Z468+0)</f>
        <v>323.1</v>
      </c>
    </row>
    <row r="469" customFormat="false" ht="15.8" hidden="false" customHeight="false" outlineLevel="0" collapsed="false">
      <c r="A469" s="1" t="n">
        <v>13</v>
      </c>
      <c r="B469" s="1" t="n">
        <v>8</v>
      </c>
      <c r="C469" s="1" t="n">
        <v>2.6</v>
      </c>
      <c r="D469" s="1" t="n">
        <v>1.5011</v>
      </c>
      <c r="E469" s="1" t="n">
        <v>0.0937288</v>
      </c>
      <c r="F469" s="1" t="n">
        <v>0.000269408</v>
      </c>
      <c r="G469" s="1" t="s">
        <v>42</v>
      </c>
      <c r="H469" s="1" t="n">
        <v>42.3</v>
      </c>
      <c r="I469" s="1" t="n">
        <v>251.6</v>
      </c>
      <c r="J469" s="1" t="n">
        <v>-42.6</v>
      </c>
      <c r="K469" s="1" t="n">
        <v>76.5</v>
      </c>
      <c r="L469" s="1" t="n">
        <v>0</v>
      </c>
      <c r="M469" s="1" t="n">
        <v>0</v>
      </c>
      <c r="N469" s="1" t="s">
        <v>330</v>
      </c>
      <c r="O469" s="1"/>
      <c r="P469" s="1"/>
      <c r="Q469" s="1"/>
      <c r="R469" s="1"/>
      <c r="Z469" s="0" t="n">
        <f aca="false">I469+0</f>
        <v>251.6</v>
      </c>
      <c r="AB469" s="0" t="n">
        <f aca="false">IF(Z469&gt;360,Z469-360,Z469+0)</f>
        <v>251.6</v>
      </c>
    </row>
    <row r="470" customFormat="false" ht="15.8" hidden="false" customHeight="false" outlineLevel="0" collapsed="false">
      <c r="A470" s="1" t="n">
        <v>13</v>
      </c>
      <c r="B470" s="1" t="n">
        <v>8</v>
      </c>
      <c r="C470" s="1" t="n">
        <v>1.3</v>
      </c>
      <c r="D470" s="1" t="n">
        <v>1.3235</v>
      </c>
      <c r="E470" s="1" t="n">
        <v>0.0487269</v>
      </c>
      <c r="F470" s="1" t="n">
        <v>0.000140057</v>
      </c>
      <c r="G470" s="1" t="s">
        <v>27</v>
      </c>
      <c r="H470" s="1" t="n">
        <v>82.5</v>
      </c>
      <c r="I470" s="1" t="n">
        <v>287.8</v>
      </c>
      <c r="J470" s="1" t="n">
        <v>22.5</v>
      </c>
      <c r="K470" s="1"/>
      <c r="L470" s="1" t="n">
        <v>0</v>
      </c>
      <c r="M470" s="1" t="n">
        <v>0</v>
      </c>
      <c r="N470" s="1" t="s">
        <v>330</v>
      </c>
      <c r="O470" s="1"/>
      <c r="P470" s="1"/>
      <c r="Q470" s="1"/>
      <c r="R470" s="1"/>
      <c r="Z470" s="0" t="n">
        <f aca="false">I470+0</f>
        <v>287.8</v>
      </c>
      <c r="AB470" s="0" t="n">
        <f aca="false">IF(Z470&gt;360,Z470-360,Z470+0)</f>
        <v>287.8</v>
      </c>
    </row>
    <row r="471" customFormat="false" ht="15.8" hidden="false" customHeight="false" outlineLevel="0" collapsed="false">
      <c r="A471" s="1" t="n">
        <v>13</v>
      </c>
      <c r="B471" s="1" t="n">
        <v>7</v>
      </c>
      <c r="C471" s="1" t="n">
        <v>11.9</v>
      </c>
      <c r="D471" s="1" t="n">
        <v>1.1917</v>
      </c>
      <c r="E471" s="1" t="n">
        <v>0.430362</v>
      </c>
      <c r="F471" s="1" t="n">
        <v>0.001237</v>
      </c>
      <c r="G471" s="1" t="s">
        <v>42</v>
      </c>
      <c r="H471" s="1" t="n">
        <v>34</v>
      </c>
      <c r="I471" s="1" t="n">
        <v>213.1</v>
      </c>
      <c r="J471" s="1" t="n">
        <v>-15.8</v>
      </c>
      <c r="K471" s="1" t="n">
        <v>82.5</v>
      </c>
      <c r="L471" s="1" t="n">
        <v>0</v>
      </c>
      <c r="M471" s="1" t="n">
        <v>0</v>
      </c>
      <c r="N471" s="1" t="s">
        <v>331</v>
      </c>
      <c r="O471" s="1"/>
      <c r="P471" s="1"/>
      <c r="Q471" s="1"/>
      <c r="R471" s="1"/>
      <c r="Z471" s="0" t="n">
        <f aca="false">I471+0</f>
        <v>213.1</v>
      </c>
      <c r="AB471" s="0" t="n">
        <f aca="false">IF(Z471&gt;360,Z471-360,Z471+0)</f>
        <v>213.1</v>
      </c>
    </row>
    <row r="472" customFormat="false" ht="15.8" hidden="false" customHeight="false" outlineLevel="0" collapsed="false">
      <c r="A472" s="1" t="n">
        <v>13</v>
      </c>
      <c r="B472" s="1" t="n">
        <v>15</v>
      </c>
      <c r="C472" s="1" t="n">
        <v>5.4</v>
      </c>
      <c r="D472" s="1" t="n">
        <v>1.2126</v>
      </c>
      <c r="E472" s="1" t="n">
        <v>0.195366</v>
      </c>
      <c r="F472" s="1" t="n">
        <v>0.000561546</v>
      </c>
      <c r="G472" s="1" t="s">
        <v>27</v>
      </c>
      <c r="H472" s="1" t="n">
        <v>95</v>
      </c>
      <c r="I472" s="1" t="n">
        <v>22.8</v>
      </c>
      <c r="J472" s="1" t="n">
        <v>20.5</v>
      </c>
      <c r="K472" s="1"/>
      <c r="L472" s="1" t="n">
        <v>0</v>
      </c>
      <c r="M472" s="1" t="n">
        <v>0</v>
      </c>
      <c r="N472" s="1" t="s">
        <v>332</v>
      </c>
      <c r="O472" s="1"/>
      <c r="P472" s="1"/>
      <c r="Q472" s="1"/>
      <c r="R472" s="1"/>
      <c r="Z472" s="0" t="n">
        <f aca="false">I472+0</f>
        <v>22.8</v>
      </c>
      <c r="AB472" s="0" t="n">
        <f aca="false">IF(Z472&gt;360,Z472-360,Z472+0)</f>
        <v>22.8</v>
      </c>
    </row>
    <row r="473" customFormat="false" ht="15.8" hidden="false" customHeight="false" outlineLevel="0" collapsed="false">
      <c r="A473" s="1" t="n">
        <v>13</v>
      </c>
      <c r="B473" s="1" t="n">
        <v>15</v>
      </c>
      <c r="C473" s="1" t="n">
        <v>1.5</v>
      </c>
      <c r="D473" s="1" t="n">
        <v>1.2216</v>
      </c>
      <c r="E473" s="1" t="n">
        <v>0.0527852</v>
      </c>
      <c r="F473" s="1" t="n">
        <v>0.000151722</v>
      </c>
      <c r="G473" s="1" t="s">
        <v>27</v>
      </c>
      <c r="H473" s="1" t="n">
        <v>17.9</v>
      </c>
      <c r="I473" s="1" t="n">
        <v>149.5</v>
      </c>
      <c r="J473" s="1" t="n">
        <v>40.7</v>
      </c>
      <c r="K473" s="1"/>
      <c r="L473" s="1" t="n">
        <v>0</v>
      </c>
      <c r="M473" s="1" t="n">
        <v>0</v>
      </c>
      <c r="N473" s="1" t="s">
        <v>332</v>
      </c>
      <c r="O473" s="1"/>
      <c r="P473" s="1"/>
      <c r="Q473" s="1"/>
      <c r="R473" s="1"/>
      <c r="Z473" s="0" t="n">
        <f aca="false">I473+0</f>
        <v>149.5</v>
      </c>
      <c r="AB473" s="0" t="n">
        <f aca="false">IF(Z473&gt;360,Z473-360,Z473+0)</f>
        <v>149.5</v>
      </c>
    </row>
    <row r="474" customFormat="false" ht="15.8" hidden="false" customHeight="false" outlineLevel="0" collapsed="false">
      <c r="A474" s="1" t="n">
        <v>13</v>
      </c>
      <c r="B474" s="1" t="n">
        <v>14</v>
      </c>
      <c r="C474" s="1" t="n">
        <v>4.8</v>
      </c>
      <c r="D474" s="1" t="n">
        <v>2.0732</v>
      </c>
      <c r="E474" s="1" t="n">
        <v>0.174767</v>
      </c>
      <c r="F474" s="1" t="n">
        <v>0.00050234</v>
      </c>
      <c r="G474" s="1" t="s">
        <v>42</v>
      </c>
      <c r="H474" s="1" t="n">
        <v>49.2</v>
      </c>
      <c r="I474" s="1" t="n">
        <v>131.8</v>
      </c>
      <c r="J474" s="1" t="n">
        <v>30.1</v>
      </c>
      <c r="K474" s="1" t="n">
        <v>95</v>
      </c>
      <c r="L474" s="1" t="n">
        <v>0</v>
      </c>
      <c r="M474" s="1" t="n">
        <v>0</v>
      </c>
      <c r="N474" s="1" t="s">
        <v>333</v>
      </c>
      <c r="O474" s="1"/>
      <c r="P474" s="1"/>
      <c r="Q474" s="1"/>
      <c r="R474" s="1"/>
      <c r="Z474" s="0" t="n">
        <f aca="false">I474+0</f>
        <v>131.8</v>
      </c>
      <c r="AB474" s="0" t="n">
        <f aca="false">IF(Z474&gt;360,Z474-360,Z474+0)</f>
        <v>131.8</v>
      </c>
    </row>
    <row r="475" customFormat="false" ht="15.8" hidden="false" customHeight="false" outlineLevel="0" collapsed="false">
      <c r="A475" s="1" t="n">
        <v>13</v>
      </c>
      <c r="B475" s="1" t="n">
        <v>14</v>
      </c>
      <c r="C475" s="1" t="n">
        <v>1.1</v>
      </c>
      <c r="D475" s="1" t="n">
        <v>1.0078</v>
      </c>
      <c r="E475" s="1" t="n">
        <v>0.0385616</v>
      </c>
      <c r="F475" s="1" t="n">
        <v>0.000110839</v>
      </c>
      <c r="G475" s="1" t="s">
        <v>27</v>
      </c>
      <c r="H475" s="1" t="n">
        <v>85.9</v>
      </c>
      <c r="I475" s="1" t="n">
        <v>86.9</v>
      </c>
      <c r="J475" s="1" t="n">
        <v>0</v>
      </c>
      <c r="K475" s="1"/>
      <c r="L475" s="1" t="n">
        <v>0</v>
      </c>
      <c r="M475" s="1" t="n">
        <v>0</v>
      </c>
      <c r="N475" s="1" t="s">
        <v>333</v>
      </c>
      <c r="O475" s="1"/>
      <c r="P475" s="1"/>
      <c r="Q475" s="1"/>
      <c r="R475" s="1"/>
      <c r="Z475" s="0" t="n">
        <f aca="false">I475+0</f>
        <v>86.9</v>
      </c>
      <c r="AB475" s="0" t="n">
        <f aca="false">IF(Z475&gt;360,Z475-360,Z475+0)</f>
        <v>86.9</v>
      </c>
    </row>
    <row r="476" customFormat="false" ht="15.8" hidden="false" customHeight="false" outlineLevel="0" collapsed="false">
      <c r="A476" s="1" t="n">
        <v>13</v>
      </c>
      <c r="B476" s="1" t="n">
        <v>13</v>
      </c>
      <c r="C476" s="1" t="n">
        <v>1.3</v>
      </c>
      <c r="D476" s="1" t="n">
        <v>1.0147</v>
      </c>
      <c r="E476" s="1" t="n">
        <v>0.046724</v>
      </c>
      <c r="F476" s="1" t="n">
        <v>0.0001343</v>
      </c>
      <c r="G476" s="1" t="s">
        <v>42</v>
      </c>
      <c r="H476" s="1" t="n">
        <v>30.8</v>
      </c>
      <c r="I476" s="1" t="n">
        <v>172.7</v>
      </c>
      <c r="J476" s="1" t="n">
        <v>0</v>
      </c>
      <c r="K476" s="1" t="n">
        <v>85.9</v>
      </c>
      <c r="L476" s="1" t="n">
        <v>0</v>
      </c>
      <c r="M476" s="1" t="n">
        <v>0</v>
      </c>
      <c r="N476" s="1" t="s">
        <v>334</v>
      </c>
      <c r="O476" s="1"/>
      <c r="P476" s="1"/>
      <c r="Q476" s="1"/>
      <c r="R476" s="1"/>
      <c r="Z476" s="0" t="n">
        <f aca="false">I476+0</f>
        <v>172.7</v>
      </c>
      <c r="AB476" s="0" t="n">
        <f aca="false">IF(Z476&gt;360,Z476-360,Z476+0)</f>
        <v>172.7</v>
      </c>
    </row>
    <row r="477" customFormat="false" ht="15.8" hidden="false" customHeight="false" outlineLevel="0" collapsed="false">
      <c r="A477" s="1" t="n">
        <v>13</v>
      </c>
      <c r="B477" s="1" t="n">
        <v>15</v>
      </c>
      <c r="C477" s="1" t="n">
        <v>7.1</v>
      </c>
      <c r="D477" s="1" t="n">
        <v>1.244</v>
      </c>
      <c r="E477" s="1" t="n">
        <v>0.257631</v>
      </c>
      <c r="F477" s="1" t="n">
        <v>0.000740517</v>
      </c>
      <c r="G477" s="1" t="s">
        <v>27</v>
      </c>
      <c r="H477" s="1" t="n">
        <v>65.7</v>
      </c>
      <c r="I477" s="1" t="n">
        <v>148.9</v>
      </c>
      <c r="J477" s="1" t="n">
        <v>-3.9</v>
      </c>
      <c r="K477" s="1"/>
      <c r="L477" s="1" t="n">
        <v>0</v>
      </c>
      <c r="M477" s="1" t="n">
        <v>0</v>
      </c>
      <c r="N477" s="1" t="s">
        <v>335</v>
      </c>
      <c r="O477" s="1"/>
      <c r="P477" s="1"/>
      <c r="Q477" s="1"/>
      <c r="R477" s="1"/>
      <c r="Z477" s="0" t="n">
        <f aca="false">I477+0</f>
        <v>148.9</v>
      </c>
      <c r="AB477" s="0" t="n">
        <f aca="false">IF(Z477&gt;360,Z477-360,Z477+0)</f>
        <v>148.9</v>
      </c>
    </row>
    <row r="478" customFormat="false" ht="15.8" hidden="false" customHeight="false" outlineLevel="0" collapsed="false">
      <c r="A478" s="1" t="n">
        <v>13</v>
      </c>
      <c r="B478" s="1" t="n">
        <v>15</v>
      </c>
      <c r="C478" s="1" t="n">
        <v>1.2</v>
      </c>
      <c r="D478" s="1" t="n">
        <v>1.1921</v>
      </c>
      <c r="E478" s="1" t="n">
        <v>0.0423684</v>
      </c>
      <c r="F478" s="1" t="n">
        <v>0.000121781</v>
      </c>
      <c r="G478" s="1" t="s">
        <v>27</v>
      </c>
      <c r="H478" s="1" t="n">
        <v>69.7</v>
      </c>
      <c r="I478" s="1" t="n">
        <v>12.2</v>
      </c>
      <c r="J478" s="1" t="n">
        <v>52.4</v>
      </c>
      <c r="K478" s="1"/>
      <c r="L478" s="1" t="n">
        <v>0</v>
      </c>
      <c r="M478" s="1" t="n">
        <v>0</v>
      </c>
      <c r="N478" s="1" t="s">
        <v>335</v>
      </c>
      <c r="O478" s="1"/>
      <c r="P478" s="1"/>
      <c r="Q478" s="1"/>
      <c r="R478" s="1"/>
      <c r="Z478" s="0" t="n">
        <f aca="false">I478+0</f>
        <v>12.2</v>
      </c>
      <c r="AB478" s="0" t="n">
        <f aca="false">IF(Z478&gt;360,Z478-360,Z478+0)</f>
        <v>12.2</v>
      </c>
    </row>
    <row r="479" customFormat="false" ht="15.8" hidden="false" customHeight="false" outlineLevel="0" collapsed="false">
      <c r="A479" s="1" t="n">
        <v>13</v>
      </c>
      <c r="B479" s="1" t="n">
        <v>15</v>
      </c>
      <c r="C479" s="1" t="n">
        <v>1.3</v>
      </c>
      <c r="D479" s="1" t="n">
        <v>1.3395</v>
      </c>
      <c r="E479" s="1" t="n">
        <v>0.048439</v>
      </c>
      <c r="F479" s="1" t="n">
        <v>0.00013923</v>
      </c>
      <c r="G479" s="1" t="s">
        <v>27</v>
      </c>
      <c r="H479" s="1" t="n">
        <v>47.5</v>
      </c>
      <c r="I479" s="1" t="n">
        <v>118.4</v>
      </c>
      <c r="J479" s="1" t="n">
        <v>51.2</v>
      </c>
      <c r="K479" s="1"/>
      <c r="L479" s="1" t="n">
        <v>0</v>
      </c>
      <c r="M479" s="1" t="n">
        <v>0</v>
      </c>
      <c r="N479" s="1" t="s">
        <v>335</v>
      </c>
      <c r="O479" s="1"/>
      <c r="P479" s="1"/>
      <c r="Q479" s="1"/>
      <c r="R479" s="1"/>
      <c r="Z479" s="0" t="n">
        <f aca="false">I479+0</f>
        <v>118.4</v>
      </c>
      <c r="AB479" s="0" t="n">
        <f aca="false">IF(Z479&gt;360,Z479-360,Z479+0)</f>
        <v>118.4</v>
      </c>
    </row>
    <row r="480" customFormat="false" ht="15.8" hidden="false" customHeight="false" outlineLevel="0" collapsed="false">
      <c r="A480" s="1" t="n">
        <v>13</v>
      </c>
      <c r="B480" s="1" t="n">
        <v>14</v>
      </c>
      <c r="C480" s="1" t="n">
        <v>2.1</v>
      </c>
      <c r="D480" s="1" t="n">
        <v>1.1497</v>
      </c>
      <c r="E480" s="1" t="n">
        <v>0.076053</v>
      </c>
      <c r="F480" s="1" t="n">
        <v>0.000218602</v>
      </c>
      <c r="G480" s="1" t="s">
        <v>42</v>
      </c>
      <c r="H480" s="1" t="n">
        <v>57.4</v>
      </c>
      <c r="I480" s="1" t="n">
        <v>84.8</v>
      </c>
      <c r="J480" s="1" t="n">
        <v>12.3</v>
      </c>
      <c r="K480" s="1" t="n">
        <v>69.7</v>
      </c>
      <c r="L480" s="1" t="n">
        <v>0</v>
      </c>
      <c r="M480" s="1" t="n">
        <v>0</v>
      </c>
      <c r="N480" s="1" t="s">
        <v>336</v>
      </c>
      <c r="O480" s="1"/>
      <c r="P480" s="1"/>
      <c r="Q480" s="1"/>
      <c r="R480" s="1"/>
      <c r="Z480" s="0" t="n">
        <f aca="false">I480+0</f>
        <v>84.8</v>
      </c>
      <c r="AB480" s="0" t="n">
        <f aca="false">IF(Z480&gt;360,Z480-360,Z480+0)</f>
        <v>84.8</v>
      </c>
    </row>
    <row r="481" customFormat="false" ht="15.8" hidden="false" customHeight="false" outlineLevel="0" collapsed="false">
      <c r="A481" s="1" t="n">
        <v>13</v>
      </c>
      <c r="B481" s="1" t="n">
        <v>14</v>
      </c>
      <c r="C481" s="1" t="n">
        <v>0.9</v>
      </c>
      <c r="D481" s="1" t="n">
        <v>1.0157</v>
      </c>
      <c r="E481" s="1" t="n">
        <v>0.0330005</v>
      </c>
      <c r="F481" s="1" t="n">
        <v>9.48545E-005</v>
      </c>
      <c r="G481" s="1" t="s">
        <v>27</v>
      </c>
      <c r="H481" s="1" t="n">
        <v>63.5</v>
      </c>
      <c r="I481" s="1" t="n">
        <v>324.9</v>
      </c>
      <c r="J481" s="1" t="n">
        <v>0</v>
      </c>
      <c r="K481" s="1"/>
      <c r="L481" s="1" t="n">
        <v>0</v>
      </c>
      <c r="M481" s="1" t="n">
        <v>0</v>
      </c>
      <c r="N481" s="1" t="s">
        <v>336</v>
      </c>
      <c r="O481" s="1"/>
      <c r="P481" s="1"/>
      <c r="Q481" s="1"/>
      <c r="R481" s="1"/>
      <c r="Z481" s="0" t="n">
        <f aca="false">I481+0</f>
        <v>324.9</v>
      </c>
      <c r="AB481" s="0" t="n">
        <f aca="false">IF(Z481&gt;360,Z481-360,Z481+0)</f>
        <v>324.9</v>
      </c>
    </row>
    <row r="482" customFormat="false" ht="15.8" hidden="false" customHeight="false" outlineLevel="0" collapsed="false">
      <c r="A482" s="1" t="n">
        <v>13</v>
      </c>
      <c r="B482" s="1" t="n">
        <v>13</v>
      </c>
      <c r="C482" s="1" t="n">
        <v>1</v>
      </c>
      <c r="D482" s="1" t="n">
        <v>1.0353</v>
      </c>
      <c r="E482" s="1" t="n">
        <v>0.037129</v>
      </c>
      <c r="F482" s="1" t="n">
        <v>0.000106721</v>
      </c>
      <c r="G482" s="1" t="s">
        <v>42</v>
      </c>
      <c r="H482" s="1" t="n">
        <v>113.6</v>
      </c>
      <c r="I482" s="1" t="n">
        <v>28.3</v>
      </c>
      <c r="J482" s="1" t="n">
        <v>0</v>
      </c>
      <c r="K482" s="1" t="n">
        <v>63.5</v>
      </c>
      <c r="L482" s="1" t="n">
        <v>0</v>
      </c>
      <c r="M482" s="1" t="n">
        <v>0</v>
      </c>
      <c r="N482" s="1" t="s">
        <v>334</v>
      </c>
      <c r="O482" s="1"/>
      <c r="P482" s="1"/>
      <c r="Q482" s="1"/>
      <c r="R482" s="1"/>
      <c r="Z482" s="0" t="n">
        <f aca="false">I482+0</f>
        <v>28.3</v>
      </c>
      <c r="AB482" s="0" t="n">
        <f aca="false">IF(Z482&gt;360,Z482-360,Z482+0)</f>
        <v>28.3</v>
      </c>
    </row>
    <row r="483" customFormat="false" ht="15.8" hidden="false" customHeight="false" outlineLevel="0" collapsed="false">
      <c r="A483" s="1" t="n">
        <v>13</v>
      </c>
      <c r="B483" s="1" t="n">
        <v>12</v>
      </c>
      <c r="C483" s="1" t="n">
        <v>1.3</v>
      </c>
      <c r="D483" s="1" t="n">
        <v>1.0383</v>
      </c>
      <c r="E483" s="1" t="n">
        <v>0.0482206</v>
      </c>
      <c r="F483" s="1" t="n">
        <v>0.000138602</v>
      </c>
      <c r="G483" s="1" t="s">
        <v>42</v>
      </c>
      <c r="H483" s="1" t="n">
        <v>34.8</v>
      </c>
      <c r="I483" s="1" t="n">
        <v>141.9</v>
      </c>
      <c r="J483" s="1" t="n">
        <v>0</v>
      </c>
      <c r="K483" s="1" t="n">
        <v>113.6</v>
      </c>
      <c r="L483" s="1" t="n">
        <v>0</v>
      </c>
      <c r="M483" s="1" t="n">
        <v>0</v>
      </c>
      <c r="N483" s="1" t="s">
        <v>337</v>
      </c>
      <c r="O483" s="1"/>
      <c r="P483" s="1"/>
      <c r="Q483" s="1"/>
      <c r="R483" s="1"/>
      <c r="Z483" s="0" t="n">
        <f aca="false">I483+0</f>
        <v>141.9</v>
      </c>
      <c r="AB483" s="0" t="n">
        <f aca="false">IF(Z483&gt;360,Z483-360,Z483+0)</f>
        <v>141.9</v>
      </c>
    </row>
    <row r="484" customFormat="false" ht="15.8" hidden="false" customHeight="false" outlineLevel="0" collapsed="false">
      <c r="A484" s="1" t="n">
        <v>13</v>
      </c>
      <c r="B484" s="1" t="n">
        <v>12</v>
      </c>
      <c r="C484" s="1" t="n">
        <v>5.8</v>
      </c>
      <c r="D484" s="1" t="n">
        <v>1.5297</v>
      </c>
      <c r="E484" s="1" t="n">
        <v>0.209594</v>
      </c>
      <c r="F484" s="1" t="n">
        <v>0.000602443</v>
      </c>
      <c r="G484" s="1" t="s">
        <v>27</v>
      </c>
      <c r="H484" s="1" t="n">
        <v>104.2</v>
      </c>
      <c r="I484" s="1" t="n">
        <v>284.4</v>
      </c>
      <c r="J484" s="1" t="n">
        <v>-18</v>
      </c>
      <c r="K484" s="1"/>
      <c r="L484" s="1" t="n">
        <v>0</v>
      </c>
      <c r="M484" s="1" t="n">
        <v>0</v>
      </c>
      <c r="N484" s="1" t="s">
        <v>337</v>
      </c>
      <c r="O484" s="1"/>
      <c r="P484" s="1"/>
      <c r="Q484" s="1"/>
      <c r="R484" s="1"/>
      <c r="Z484" s="0" t="n">
        <f aca="false">I484+0</f>
        <v>284.4</v>
      </c>
      <c r="AB484" s="0" t="n">
        <f aca="false">IF(Z484&gt;360,Z484-360,Z484+0)</f>
        <v>284.4</v>
      </c>
    </row>
    <row r="485" customFormat="false" ht="15.8" hidden="false" customHeight="false" outlineLevel="0" collapsed="false">
      <c r="A485" s="1" t="n">
        <v>13</v>
      </c>
      <c r="B485" s="1" t="n">
        <v>11</v>
      </c>
      <c r="C485" s="1" t="n">
        <v>1.7</v>
      </c>
      <c r="D485" s="1" t="n">
        <v>1.2815</v>
      </c>
      <c r="E485" s="1" t="n">
        <v>0.0627231</v>
      </c>
      <c r="F485" s="1" t="n">
        <v>0.000180287</v>
      </c>
      <c r="G485" s="1" t="s">
        <v>42</v>
      </c>
      <c r="H485" s="1" t="n">
        <v>27</v>
      </c>
      <c r="I485" s="1" t="n">
        <v>172.9</v>
      </c>
      <c r="J485" s="1" t="n">
        <v>-16.7</v>
      </c>
      <c r="K485" s="1" t="n">
        <v>104.2</v>
      </c>
      <c r="L485" s="1" t="n">
        <v>0</v>
      </c>
      <c r="M485" s="1" t="n">
        <v>0</v>
      </c>
      <c r="N485" s="1" t="s">
        <v>338</v>
      </c>
      <c r="O485" s="1"/>
      <c r="P485" s="1"/>
      <c r="Q485" s="1"/>
      <c r="R485" s="1"/>
      <c r="Z485" s="0" t="n">
        <f aca="false">I485+0</f>
        <v>172.9</v>
      </c>
      <c r="AB485" s="0" t="n">
        <f aca="false">IF(Z485&gt;360,Z485-360,Z485+0)</f>
        <v>172.9</v>
      </c>
    </row>
    <row r="486" customFormat="false" ht="15.8" hidden="false" customHeight="false" outlineLevel="0" collapsed="false">
      <c r="A486" s="1" t="n">
        <v>13</v>
      </c>
      <c r="B486" s="1" t="n">
        <v>11</v>
      </c>
      <c r="C486" s="1" t="n">
        <v>1.4</v>
      </c>
      <c r="D486" s="1" t="n">
        <v>1.2153</v>
      </c>
      <c r="E486" s="1" t="n">
        <v>0.0504273</v>
      </c>
      <c r="F486" s="1" t="n">
        <v>0.000144945</v>
      </c>
      <c r="G486" s="1" t="s">
        <v>27</v>
      </c>
      <c r="H486" s="1" t="n">
        <v>44.7</v>
      </c>
      <c r="I486" s="1" t="n">
        <v>110.6</v>
      </c>
      <c r="J486" s="1" t="n">
        <v>-19.8</v>
      </c>
      <c r="K486" s="1"/>
      <c r="L486" s="1" t="n">
        <v>0</v>
      </c>
      <c r="M486" s="1" t="n">
        <v>0</v>
      </c>
      <c r="N486" s="1" t="s">
        <v>338</v>
      </c>
      <c r="O486" s="1"/>
      <c r="P486" s="1"/>
      <c r="Q486" s="1"/>
      <c r="R486" s="1"/>
      <c r="Z486" s="0" t="n">
        <f aca="false">I486+0</f>
        <v>110.6</v>
      </c>
      <c r="AB486" s="0" t="n">
        <f aca="false">IF(Z486&gt;360,Z486-360,Z486+0)</f>
        <v>110.6</v>
      </c>
    </row>
    <row r="487" customFormat="false" ht="15.8" hidden="false" customHeight="false" outlineLevel="0" collapsed="false">
      <c r="A487" s="1" t="n">
        <v>13</v>
      </c>
      <c r="B487" s="1" t="n">
        <v>10</v>
      </c>
      <c r="C487" s="1" t="n">
        <v>2.4</v>
      </c>
      <c r="D487" s="1" t="n">
        <v>1.423</v>
      </c>
      <c r="E487" s="1" t="n">
        <v>0.0864749</v>
      </c>
      <c r="F487" s="1" t="n">
        <v>0.000248558</v>
      </c>
      <c r="G487" s="1" t="s">
        <v>42</v>
      </c>
      <c r="H487" s="1" t="n">
        <v>28.2</v>
      </c>
      <c r="I487" s="1" t="n">
        <v>151.4</v>
      </c>
      <c r="J487" s="1" t="n">
        <v>0</v>
      </c>
      <c r="K487" s="1" t="n">
        <v>44.7</v>
      </c>
      <c r="L487" s="1" t="n">
        <v>0</v>
      </c>
      <c r="M487" s="1" t="n">
        <v>0</v>
      </c>
      <c r="N487" s="1" t="s">
        <v>339</v>
      </c>
      <c r="O487" s="1"/>
      <c r="P487" s="1"/>
      <c r="Q487" s="1"/>
      <c r="R487" s="1"/>
      <c r="Z487" s="0" t="n">
        <f aca="false">I487+0</f>
        <v>151.4</v>
      </c>
      <c r="AB487" s="0" t="n">
        <f aca="false">IF(Z487&gt;360,Z487-360,Z487+0)</f>
        <v>151.4</v>
      </c>
    </row>
    <row r="488" customFormat="false" ht="15.8" hidden="false" customHeight="false" outlineLevel="0" collapsed="false">
      <c r="A488" s="1" t="n">
        <v>13</v>
      </c>
      <c r="B488" s="1" t="n">
        <v>13</v>
      </c>
      <c r="C488" s="1" t="n">
        <v>1.5</v>
      </c>
      <c r="D488" s="1" t="n">
        <v>1.0452</v>
      </c>
      <c r="E488" s="1" t="n">
        <v>0.0538318</v>
      </c>
      <c r="F488" s="1" t="n">
        <v>0.000154731</v>
      </c>
      <c r="G488" s="1" t="s">
        <v>27</v>
      </c>
      <c r="H488" s="1" t="n">
        <v>108.2</v>
      </c>
      <c r="I488" s="1" t="n">
        <v>179.1</v>
      </c>
      <c r="J488" s="1" t="n">
        <v>0</v>
      </c>
      <c r="K488" s="1"/>
      <c r="L488" s="1" t="n">
        <v>0</v>
      </c>
      <c r="M488" s="1" t="n">
        <v>0</v>
      </c>
      <c r="N488" s="1" t="s">
        <v>340</v>
      </c>
      <c r="O488" s="1"/>
      <c r="P488" s="1"/>
      <c r="Q488" s="1"/>
      <c r="R488" s="1"/>
      <c r="Z488" s="0" t="n">
        <f aca="false">I488+0</f>
        <v>179.1</v>
      </c>
      <c r="AB488" s="0" t="n">
        <f aca="false">IF(Z488&gt;360,Z488-360,Z488+0)</f>
        <v>179.1</v>
      </c>
    </row>
    <row r="489" customFormat="false" ht="15.8" hidden="false" customHeight="false" outlineLevel="0" collapsed="false">
      <c r="A489" s="1" t="n">
        <v>13</v>
      </c>
      <c r="B489" s="1" t="n">
        <v>17</v>
      </c>
      <c r="C489" s="1" t="n">
        <v>1.1</v>
      </c>
      <c r="D489" s="1" t="n">
        <v>1.1361</v>
      </c>
      <c r="E489" s="1" t="n">
        <v>0.0389831</v>
      </c>
      <c r="F489" s="1" t="n">
        <v>0.00011205</v>
      </c>
      <c r="G489" s="1" t="s">
        <v>27</v>
      </c>
      <c r="H489" s="1" t="n">
        <v>67.5</v>
      </c>
      <c r="I489" s="1" t="n">
        <v>21.1</v>
      </c>
      <c r="J489" s="1" t="n">
        <v>55.2</v>
      </c>
      <c r="K489" s="1"/>
      <c r="L489" s="1" t="n">
        <v>0</v>
      </c>
      <c r="M489" s="1" t="n">
        <v>0</v>
      </c>
      <c r="N489" s="1" t="s">
        <v>341</v>
      </c>
      <c r="O489" s="1"/>
      <c r="P489" s="1"/>
      <c r="Q489" s="1"/>
      <c r="R489" s="1"/>
      <c r="Z489" s="0" t="n">
        <f aca="false">I489+0</f>
        <v>21.1</v>
      </c>
      <c r="AB489" s="0" t="n">
        <f aca="false">IF(Z489&gt;360,Z489-360,Z489+0)</f>
        <v>21.1</v>
      </c>
    </row>
    <row r="490" customFormat="false" ht="15.8" hidden="false" customHeight="false" outlineLevel="0" collapsed="false">
      <c r="A490" s="1" t="n">
        <v>13</v>
      </c>
      <c r="B490" s="1" t="n">
        <v>17</v>
      </c>
      <c r="C490" s="1" t="n">
        <v>0.8</v>
      </c>
      <c r="D490" s="1" t="n">
        <v>1.0029</v>
      </c>
      <c r="E490" s="1" t="n">
        <v>0.0276541</v>
      </c>
      <c r="F490" s="1" t="n">
        <v>7.94871E-005</v>
      </c>
      <c r="G490" s="1" t="s">
        <v>27</v>
      </c>
      <c r="H490" s="1" t="n">
        <v>26.1</v>
      </c>
      <c r="I490" s="1" t="n">
        <v>307</v>
      </c>
      <c r="J490" s="1" t="n">
        <v>0</v>
      </c>
      <c r="K490" s="1"/>
      <c r="L490" s="1" t="n">
        <v>0</v>
      </c>
      <c r="M490" s="1" t="n">
        <v>0</v>
      </c>
      <c r="N490" s="1" t="s">
        <v>341</v>
      </c>
      <c r="O490" s="1"/>
      <c r="P490" s="1"/>
      <c r="Q490" s="1"/>
      <c r="R490" s="1"/>
      <c r="Z490" s="0" t="n">
        <f aca="false">I490+0</f>
        <v>307</v>
      </c>
      <c r="AB490" s="0" t="n">
        <f aca="false">IF(Z490&gt;360,Z490-360,Z490+0)</f>
        <v>307</v>
      </c>
    </row>
    <row r="491" customFormat="false" ht="15.8" hidden="false" customHeight="false" outlineLevel="0" collapsed="false">
      <c r="A491" s="1" t="n">
        <v>13</v>
      </c>
      <c r="B491" s="1" t="n">
        <v>16</v>
      </c>
      <c r="C491" s="1" t="n">
        <v>3</v>
      </c>
      <c r="D491" s="1" t="n">
        <v>1.6292</v>
      </c>
      <c r="E491" s="1" t="n">
        <v>0.109236</v>
      </c>
      <c r="F491" s="1" t="n">
        <v>0.00031398</v>
      </c>
      <c r="G491" s="1" t="s">
        <v>42</v>
      </c>
      <c r="H491" s="1" t="n">
        <v>36.3</v>
      </c>
      <c r="I491" s="1" t="n">
        <v>333.1</v>
      </c>
      <c r="J491" s="1" t="n">
        <v>0</v>
      </c>
      <c r="K491" s="1" t="n">
        <v>67.5</v>
      </c>
      <c r="L491" s="1" t="n">
        <v>0</v>
      </c>
      <c r="M491" s="1" t="n">
        <v>0</v>
      </c>
      <c r="N491" s="1" t="s">
        <v>342</v>
      </c>
      <c r="O491" s="1"/>
      <c r="P491" s="1"/>
      <c r="Q491" s="1"/>
      <c r="R491" s="1"/>
      <c r="Z491" s="0" t="n">
        <f aca="false">I491+0</f>
        <v>333.1</v>
      </c>
      <c r="AB491" s="0" t="n">
        <f aca="false">IF(Z491&gt;360,Z491-360,Z491+0)</f>
        <v>333.1</v>
      </c>
    </row>
    <row r="492" customFormat="false" ht="15.8" hidden="false" customHeight="false" outlineLevel="0" collapsed="false">
      <c r="A492" s="1" t="n">
        <v>13</v>
      </c>
      <c r="B492" s="1" t="n">
        <v>16</v>
      </c>
      <c r="C492" s="1" t="n">
        <v>0.7</v>
      </c>
      <c r="D492" s="1" t="n">
        <v>1.2712</v>
      </c>
      <c r="E492" s="1" t="n">
        <v>0.0257027</v>
      </c>
      <c r="F492" s="1" t="n">
        <v>7.38783E-005</v>
      </c>
      <c r="G492" s="1" t="s">
        <v>27</v>
      </c>
      <c r="H492" s="1" t="n">
        <v>64.3</v>
      </c>
      <c r="I492" s="1" t="n">
        <v>76.8</v>
      </c>
      <c r="J492" s="1" t="n">
        <v>44.2</v>
      </c>
      <c r="K492" s="1"/>
      <c r="L492" s="1" t="n">
        <v>0</v>
      </c>
      <c r="M492" s="1" t="n">
        <v>0</v>
      </c>
      <c r="N492" s="1" t="s">
        <v>342</v>
      </c>
      <c r="O492" s="1"/>
      <c r="P492" s="1"/>
      <c r="Q492" s="1"/>
      <c r="R492" s="1"/>
      <c r="Z492" s="0" t="n">
        <f aca="false">I492+0</f>
        <v>76.8</v>
      </c>
      <c r="AB492" s="0" t="n">
        <f aca="false">IF(Z492&gt;360,Z492-360,Z492+0)</f>
        <v>76.8</v>
      </c>
    </row>
    <row r="493" customFormat="false" ht="15.8" hidden="false" customHeight="false" outlineLevel="0" collapsed="false">
      <c r="A493" s="1" t="n">
        <v>13</v>
      </c>
      <c r="B493" s="1" t="n">
        <v>15</v>
      </c>
      <c r="C493" s="1" t="n">
        <v>1.8</v>
      </c>
      <c r="D493" s="1" t="n">
        <v>1.1756</v>
      </c>
      <c r="E493" s="1" t="n">
        <v>0.0662475</v>
      </c>
      <c r="F493" s="1" t="n">
        <v>0.000190417</v>
      </c>
      <c r="G493" s="1" t="s">
        <v>42</v>
      </c>
      <c r="H493" s="1" t="n">
        <v>60.9</v>
      </c>
      <c r="I493" s="1" t="n">
        <v>354.6</v>
      </c>
      <c r="J493" s="1" t="n">
        <v>30</v>
      </c>
      <c r="K493" s="1" t="n">
        <v>64.3</v>
      </c>
      <c r="L493" s="1" t="n">
        <v>0</v>
      </c>
      <c r="M493" s="1" t="n">
        <v>0</v>
      </c>
      <c r="N493" s="1" t="s">
        <v>343</v>
      </c>
      <c r="O493" s="1"/>
      <c r="P493" s="1"/>
      <c r="Q493" s="1"/>
      <c r="R493" s="1"/>
      <c r="Z493" s="0" t="n">
        <f aca="false">I493+0</f>
        <v>354.6</v>
      </c>
      <c r="AB493" s="0" t="n">
        <f aca="false">IF(Z493&gt;360,Z493-360,Z493+0)</f>
        <v>354.6</v>
      </c>
    </row>
    <row r="494" customFormat="false" ht="15.8" hidden="false" customHeight="false" outlineLevel="0" collapsed="false">
      <c r="A494" s="1" t="n">
        <v>13</v>
      </c>
      <c r="B494" s="1" t="n">
        <v>16</v>
      </c>
      <c r="C494" s="1" t="n">
        <v>6.3</v>
      </c>
      <c r="D494" s="1" t="n">
        <v>1.2439</v>
      </c>
      <c r="E494" s="1" t="n">
        <v>0.227482</v>
      </c>
      <c r="F494" s="1" t="n">
        <v>0.000653859</v>
      </c>
      <c r="G494" s="1" t="s">
        <v>27</v>
      </c>
      <c r="H494" s="1" t="n">
        <v>18.4</v>
      </c>
      <c r="I494" s="1" t="n">
        <v>330.8</v>
      </c>
      <c r="J494" s="1" t="n">
        <v>-13.4</v>
      </c>
      <c r="K494" s="1"/>
      <c r="L494" s="1" t="n">
        <v>0</v>
      </c>
      <c r="M494" s="1" t="n">
        <v>0</v>
      </c>
      <c r="N494" s="1" t="s">
        <v>344</v>
      </c>
      <c r="O494" s="1"/>
      <c r="P494" s="1"/>
      <c r="Q494" s="1"/>
      <c r="R494" s="1"/>
      <c r="Z494" s="0" t="n">
        <f aca="false">I494+0</f>
        <v>330.8</v>
      </c>
      <c r="AB494" s="0" t="n">
        <f aca="false">IF(Z494&gt;360,Z494-360,Z494+0)</f>
        <v>330.8</v>
      </c>
    </row>
    <row r="495" customFormat="false" ht="15.8" hidden="false" customHeight="false" outlineLevel="0" collapsed="false">
      <c r="A495" s="1" t="n">
        <v>13</v>
      </c>
      <c r="B495" s="1" t="n">
        <v>16</v>
      </c>
      <c r="C495" s="1" t="n">
        <v>3.9</v>
      </c>
      <c r="D495" s="1" t="n">
        <v>1.2193</v>
      </c>
      <c r="E495" s="1" t="n">
        <v>0.139104</v>
      </c>
      <c r="F495" s="1" t="n">
        <v>0.000399831</v>
      </c>
      <c r="G495" s="1" t="s">
        <v>27</v>
      </c>
      <c r="H495" s="1" t="n">
        <v>97.7</v>
      </c>
      <c r="I495" s="1" t="n">
        <v>191.2</v>
      </c>
      <c r="J495" s="1" t="n">
        <v>-38.1</v>
      </c>
      <c r="K495" s="1"/>
      <c r="L495" s="1" t="n">
        <v>0</v>
      </c>
      <c r="M495" s="1" t="n">
        <v>0</v>
      </c>
      <c r="N495" s="1" t="s">
        <v>344</v>
      </c>
      <c r="O495" s="1"/>
      <c r="P495" s="1"/>
      <c r="Q495" s="1"/>
      <c r="R495" s="1"/>
      <c r="Z495" s="0" t="n">
        <f aca="false">I495+0</f>
        <v>191.2</v>
      </c>
      <c r="AB495" s="0" t="n">
        <f aca="false">IF(Z495&gt;360,Z495-360,Z495+0)</f>
        <v>191.2</v>
      </c>
    </row>
    <row r="496" customFormat="false" ht="15.8" hidden="false" customHeight="false" outlineLevel="0" collapsed="false">
      <c r="A496" s="1" t="n">
        <v>13</v>
      </c>
      <c r="B496" s="1" t="n">
        <v>15</v>
      </c>
      <c r="C496" s="1" t="n">
        <v>2</v>
      </c>
      <c r="D496" s="1" t="n">
        <v>1.2037</v>
      </c>
      <c r="E496" s="1" t="n">
        <v>0.0722189</v>
      </c>
      <c r="F496" s="1" t="n">
        <v>0.000207581</v>
      </c>
      <c r="G496" s="1" t="s">
        <v>42</v>
      </c>
      <c r="H496" s="1" t="n">
        <v>15.9</v>
      </c>
      <c r="I496" s="1" t="n">
        <v>318.8</v>
      </c>
      <c r="J496" s="1" t="n">
        <v>-28</v>
      </c>
      <c r="K496" s="1" t="n">
        <v>97.7</v>
      </c>
      <c r="L496" s="1" t="n">
        <v>0</v>
      </c>
      <c r="M496" s="1" t="n">
        <v>0</v>
      </c>
      <c r="N496" s="1" t="s">
        <v>343</v>
      </c>
      <c r="O496" s="1"/>
      <c r="P496" s="1"/>
      <c r="Q496" s="1"/>
      <c r="R496" s="1"/>
      <c r="Z496" s="0" t="n">
        <f aca="false">I496+0</f>
        <v>318.8</v>
      </c>
      <c r="AB496" s="0" t="n">
        <f aca="false">IF(Z496&gt;360,Z496-360,Z496+0)</f>
        <v>318.8</v>
      </c>
    </row>
    <row r="497" customFormat="false" ht="15.8" hidden="false" customHeight="false" outlineLevel="0" collapsed="false">
      <c r="A497" s="1" t="n">
        <v>13</v>
      </c>
      <c r="B497" s="1" t="n">
        <v>14</v>
      </c>
      <c r="C497" s="1" t="n">
        <v>2</v>
      </c>
      <c r="D497" s="1" t="n">
        <v>1.222</v>
      </c>
      <c r="E497" s="1" t="n">
        <v>0.0711925</v>
      </c>
      <c r="F497" s="1" t="n">
        <v>0.000204631</v>
      </c>
      <c r="G497" s="1" t="s">
        <v>42</v>
      </c>
      <c r="H497" s="1" t="n">
        <v>14</v>
      </c>
      <c r="I497" s="1" t="n">
        <v>310.8</v>
      </c>
      <c r="J497" s="1" t="n">
        <v>-14</v>
      </c>
      <c r="K497" s="1" t="n">
        <v>60.9</v>
      </c>
      <c r="L497" s="1" t="n">
        <v>0</v>
      </c>
      <c r="M497" s="1" t="n">
        <v>0</v>
      </c>
      <c r="N497" s="1" t="s">
        <v>345</v>
      </c>
      <c r="O497" s="1"/>
      <c r="P497" s="1"/>
      <c r="Q497" s="1"/>
      <c r="R497" s="1"/>
      <c r="Z497" s="0" t="n">
        <f aca="false">I497+0</f>
        <v>310.8</v>
      </c>
      <c r="AB497" s="0" t="n">
        <f aca="false">IF(Z497&gt;360,Z497-360,Z497+0)</f>
        <v>310.8</v>
      </c>
    </row>
    <row r="498" customFormat="false" ht="15.8" hidden="false" customHeight="false" outlineLevel="0" collapsed="false">
      <c r="A498" s="1" t="n">
        <v>13</v>
      </c>
      <c r="B498" s="1" t="n">
        <v>14</v>
      </c>
      <c r="C498" s="1" t="n">
        <v>1.1</v>
      </c>
      <c r="D498" s="1" t="n">
        <v>1.1908</v>
      </c>
      <c r="E498" s="1" t="n">
        <v>0.0381895</v>
      </c>
      <c r="F498" s="1" t="n">
        <v>0.000109769</v>
      </c>
      <c r="G498" s="1" t="s">
        <v>27</v>
      </c>
      <c r="H498" s="1" t="n">
        <v>137.5</v>
      </c>
      <c r="I498" s="1" t="n">
        <v>165</v>
      </c>
      <c r="J498" s="1" t="n">
        <v>-26.1</v>
      </c>
      <c r="K498" s="1"/>
      <c r="L498" s="1" t="n">
        <v>0</v>
      </c>
      <c r="M498" s="1" t="n">
        <v>0</v>
      </c>
      <c r="N498" s="1" t="s">
        <v>345</v>
      </c>
      <c r="O498" s="1"/>
      <c r="P498" s="1"/>
      <c r="Q498" s="1"/>
      <c r="R498" s="1"/>
      <c r="Z498" s="0" t="n">
        <f aca="false">I498+0</f>
        <v>165</v>
      </c>
      <c r="AB498" s="0" t="n">
        <f aca="false">IF(Z498&gt;360,Z498-360,Z498+0)</f>
        <v>165</v>
      </c>
    </row>
    <row r="499" customFormat="false" ht="15.8" hidden="false" customHeight="false" outlineLevel="0" collapsed="false">
      <c r="A499" s="1" t="n">
        <v>13</v>
      </c>
      <c r="B499" s="1" t="n">
        <v>13</v>
      </c>
      <c r="C499" s="1" t="n">
        <v>1.9</v>
      </c>
      <c r="D499" s="1" t="n">
        <v>1.1697</v>
      </c>
      <c r="E499" s="1" t="n">
        <v>0.0692846</v>
      </c>
      <c r="F499" s="1" t="n">
        <v>0.000199147</v>
      </c>
      <c r="G499" s="1" t="s">
        <v>42</v>
      </c>
      <c r="H499" s="1" t="n">
        <v>48.8</v>
      </c>
      <c r="I499" s="1" t="n">
        <v>310.2</v>
      </c>
      <c r="J499" s="1" t="n">
        <v>0</v>
      </c>
      <c r="K499" s="1" t="n">
        <v>137.5</v>
      </c>
      <c r="L499" s="1" t="n">
        <v>0</v>
      </c>
      <c r="M499" s="1" t="n">
        <v>0</v>
      </c>
      <c r="N499" s="1" t="s">
        <v>340</v>
      </c>
      <c r="O499" s="1"/>
      <c r="P499" s="1"/>
      <c r="Q499" s="1"/>
      <c r="R499" s="1"/>
      <c r="Z499" s="0" t="n">
        <f aca="false">I499+0</f>
        <v>310.2</v>
      </c>
      <c r="AB499" s="0" t="n">
        <f aca="false">IF(Z499&gt;360,Z499-360,Z499+0)</f>
        <v>310.2</v>
      </c>
    </row>
    <row r="500" customFormat="false" ht="15.8" hidden="false" customHeight="false" outlineLevel="0" collapsed="false">
      <c r="A500" s="1" t="n">
        <v>13</v>
      </c>
      <c r="B500" s="1" t="n">
        <v>12</v>
      </c>
      <c r="C500" s="1" t="n">
        <v>0.7</v>
      </c>
      <c r="D500" s="1" t="n">
        <v>1.3076</v>
      </c>
      <c r="E500" s="1" t="n">
        <v>0.0250656</v>
      </c>
      <c r="F500" s="1" t="n">
        <v>7.20469E-005</v>
      </c>
      <c r="G500" s="1" t="s">
        <v>42</v>
      </c>
      <c r="H500" s="1" t="n">
        <v>27.4</v>
      </c>
      <c r="I500" s="1" t="n">
        <v>296.6</v>
      </c>
      <c r="J500" s="1" t="n">
        <v>-47.3</v>
      </c>
      <c r="K500" s="1" t="n">
        <v>108.2</v>
      </c>
      <c r="L500" s="1" t="n">
        <v>0</v>
      </c>
      <c r="M500" s="1" t="n">
        <v>0</v>
      </c>
      <c r="N500" s="1" t="s">
        <v>346</v>
      </c>
      <c r="O500" s="1"/>
      <c r="P500" s="1"/>
      <c r="Q500" s="1"/>
      <c r="R500" s="1"/>
      <c r="Z500" s="0" t="n">
        <f aca="false">I500+0</f>
        <v>296.6</v>
      </c>
      <c r="AB500" s="0" t="n">
        <f aca="false">IF(Z500&gt;360,Z500-360,Z500+0)</f>
        <v>296.6</v>
      </c>
    </row>
    <row r="501" customFormat="false" ht="15.8" hidden="false" customHeight="false" outlineLevel="0" collapsed="false">
      <c r="A501" s="1" t="n">
        <v>13</v>
      </c>
      <c r="B501" s="1" t="n">
        <v>12</v>
      </c>
      <c r="C501" s="1" t="n">
        <v>1.2</v>
      </c>
      <c r="D501" s="1" t="n">
        <v>1.2289</v>
      </c>
      <c r="E501" s="1" t="n">
        <v>0.0429527</v>
      </c>
      <c r="F501" s="1" t="n">
        <v>0.00012346</v>
      </c>
      <c r="G501" s="1" t="s">
        <v>27</v>
      </c>
      <c r="H501" s="1" t="n">
        <v>117.2</v>
      </c>
      <c r="I501" s="1" t="n">
        <v>29.6</v>
      </c>
      <c r="J501" s="1" t="n">
        <v>23.8</v>
      </c>
      <c r="K501" s="1"/>
      <c r="L501" s="1" t="n">
        <v>0</v>
      </c>
      <c r="M501" s="1" t="n">
        <v>0</v>
      </c>
      <c r="N501" s="1" t="s">
        <v>346</v>
      </c>
      <c r="O501" s="1"/>
      <c r="P501" s="1"/>
      <c r="Q501" s="1"/>
      <c r="R501" s="1"/>
      <c r="Z501" s="0" t="n">
        <f aca="false">I501+0</f>
        <v>29.6</v>
      </c>
      <c r="AB501" s="0" t="n">
        <f aca="false">IF(Z501&gt;360,Z501-360,Z501+0)</f>
        <v>29.6</v>
      </c>
    </row>
    <row r="502" customFormat="false" ht="15.8" hidden="false" customHeight="false" outlineLevel="0" collapsed="false">
      <c r="A502" s="1" t="n">
        <v>13</v>
      </c>
      <c r="B502" s="1" t="n">
        <v>11</v>
      </c>
      <c r="C502" s="1" t="n">
        <v>1.2</v>
      </c>
      <c r="D502" s="1" t="n">
        <v>1.2583</v>
      </c>
      <c r="E502" s="1" t="n">
        <v>0.04394</v>
      </c>
      <c r="F502" s="1" t="n">
        <v>0.000126298</v>
      </c>
      <c r="G502" s="1" t="s">
        <v>42</v>
      </c>
      <c r="H502" s="1" t="n">
        <v>67.5</v>
      </c>
      <c r="I502" s="1" t="n">
        <v>279</v>
      </c>
      <c r="J502" s="1" t="n">
        <v>-23.8</v>
      </c>
      <c r="K502" s="1" t="n">
        <v>117.2</v>
      </c>
      <c r="L502" s="1" t="n">
        <v>0</v>
      </c>
      <c r="M502" s="1" t="n">
        <v>0</v>
      </c>
      <c r="N502" s="1" t="s">
        <v>347</v>
      </c>
      <c r="O502" s="1"/>
      <c r="P502" s="1"/>
      <c r="Q502" s="1"/>
      <c r="R502" s="1"/>
      <c r="Z502" s="0" t="n">
        <f aca="false">I502+0</f>
        <v>279</v>
      </c>
      <c r="AB502" s="0" t="n">
        <f aca="false">IF(Z502&gt;360,Z502-360,Z502+0)</f>
        <v>279</v>
      </c>
    </row>
    <row r="503" customFormat="false" ht="15.8" hidden="false" customHeight="false" outlineLevel="0" collapsed="false">
      <c r="A503" s="1" t="n">
        <v>13</v>
      </c>
      <c r="B503" s="1" t="n">
        <v>11</v>
      </c>
      <c r="C503" s="1" t="n">
        <v>0.9</v>
      </c>
      <c r="D503" s="1" t="n">
        <v>1.208</v>
      </c>
      <c r="E503" s="1" t="n">
        <v>0.0315468</v>
      </c>
      <c r="F503" s="1" t="n">
        <v>9.0676E-005</v>
      </c>
      <c r="G503" s="1" t="s">
        <v>27</v>
      </c>
      <c r="H503" s="1" t="n">
        <v>53.1</v>
      </c>
      <c r="I503" s="1" t="n">
        <v>169.1</v>
      </c>
      <c r="J503" s="1" t="n">
        <v>-32.6</v>
      </c>
      <c r="K503" s="1"/>
      <c r="L503" s="1" t="n">
        <v>0</v>
      </c>
      <c r="M503" s="1" t="n">
        <v>0</v>
      </c>
      <c r="N503" s="1" t="s">
        <v>347</v>
      </c>
      <c r="O503" s="1"/>
      <c r="P503" s="1"/>
      <c r="Q503" s="1"/>
      <c r="R503" s="1"/>
      <c r="Z503" s="0" t="n">
        <f aca="false">I503+0</f>
        <v>169.1</v>
      </c>
      <c r="AB503" s="0" t="n">
        <f aca="false">IF(Z503&gt;360,Z503-360,Z503+0)</f>
        <v>169.1</v>
      </c>
    </row>
    <row r="504" customFormat="false" ht="15.8" hidden="false" customHeight="false" outlineLevel="0" collapsed="false">
      <c r="A504" s="1" t="n">
        <v>13</v>
      </c>
      <c r="B504" s="1" t="n">
        <v>10</v>
      </c>
      <c r="C504" s="1" t="n">
        <v>0.9</v>
      </c>
      <c r="D504" s="1" t="n">
        <v>1.0863</v>
      </c>
      <c r="E504" s="1" t="n">
        <v>0.0309053</v>
      </c>
      <c r="F504" s="1" t="n">
        <v>8.88322E-005</v>
      </c>
      <c r="G504" s="1" t="s">
        <v>42</v>
      </c>
      <c r="H504" s="1" t="n">
        <v>46.5</v>
      </c>
      <c r="I504" s="1" t="n">
        <v>213.7</v>
      </c>
      <c r="J504" s="1" t="n">
        <v>0</v>
      </c>
      <c r="K504" s="1" t="n">
        <v>67.5</v>
      </c>
      <c r="L504" s="1" t="n">
        <v>0</v>
      </c>
      <c r="M504" s="1" t="n">
        <v>0</v>
      </c>
      <c r="N504" s="1" t="s">
        <v>339</v>
      </c>
      <c r="O504" s="1"/>
      <c r="P504" s="1"/>
      <c r="Q504" s="1"/>
      <c r="R504" s="1"/>
      <c r="Z504" s="0" t="n">
        <f aca="false">I504+0</f>
        <v>213.7</v>
      </c>
      <c r="AB504" s="0" t="n">
        <f aca="false">IF(Z504&gt;360,Z504-360,Z504+0)</f>
        <v>213.7</v>
      </c>
    </row>
    <row r="505" customFormat="false" ht="15.8" hidden="false" customHeight="false" outlineLevel="0" collapsed="false">
      <c r="A505" s="1" t="n">
        <v>13</v>
      </c>
      <c r="B505" s="1" t="n">
        <v>10</v>
      </c>
      <c r="C505" s="1" t="n">
        <v>1.3</v>
      </c>
      <c r="D505" s="1" t="n">
        <v>1.1916</v>
      </c>
      <c r="E505" s="1" t="n">
        <v>0.0465448</v>
      </c>
      <c r="F505" s="1" t="n">
        <v>0.000133785</v>
      </c>
      <c r="G505" s="1" t="s">
        <v>27</v>
      </c>
      <c r="H505" s="1" t="n">
        <v>131.6</v>
      </c>
      <c r="I505" s="1" t="n">
        <v>43.2</v>
      </c>
      <c r="J505" s="1" t="n">
        <v>21.1</v>
      </c>
      <c r="K505" s="1"/>
      <c r="L505" s="1" t="n">
        <v>0</v>
      </c>
      <c r="M505" s="1" t="n">
        <v>0</v>
      </c>
      <c r="N505" s="1" t="s">
        <v>339</v>
      </c>
      <c r="O505" s="1"/>
      <c r="P505" s="1"/>
      <c r="Q505" s="1"/>
      <c r="R505" s="1"/>
      <c r="Z505" s="0" t="n">
        <f aca="false">I505+0</f>
        <v>43.2</v>
      </c>
      <c r="AB505" s="0" t="n">
        <f aca="false">IF(Z505&gt;360,Z505-360,Z505+0)</f>
        <v>43.2</v>
      </c>
    </row>
    <row r="506" customFormat="false" ht="15.8" hidden="false" customHeight="false" outlineLevel="0" collapsed="false">
      <c r="A506" s="1" t="n">
        <v>13</v>
      </c>
      <c r="B506" s="1" t="n">
        <v>9</v>
      </c>
      <c r="C506" s="1" t="n">
        <v>2.8</v>
      </c>
      <c r="D506" s="1" t="n">
        <v>1.2729</v>
      </c>
      <c r="E506" s="1" t="n">
        <v>0.101779</v>
      </c>
      <c r="F506" s="1" t="n">
        <v>0.000292546</v>
      </c>
      <c r="G506" s="1" t="s">
        <v>42</v>
      </c>
      <c r="H506" s="1" t="n">
        <v>22.2</v>
      </c>
      <c r="I506" s="1" t="n">
        <v>171.1</v>
      </c>
      <c r="J506" s="1" t="n">
        <v>-20.6</v>
      </c>
      <c r="K506" s="1" t="n">
        <v>131.6</v>
      </c>
      <c r="L506" s="1" t="n">
        <v>0</v>
      </c>
      <c r="M506" s="1" t="n">
        <v>0</v>
      </c>
      <c r="N506" s="1" t="s">
        <v>348</v>
      </c>
      <c r="O506" s="1"/>
      <c r="P506" s="1"/>
      <c r="Q506" s="1"/>
      <c r="R506" s="1"/>
      <c r="Z506" s="0" t="n">
        <f aca="false">I506+0</f>
        <v>171.1</v>
      </c>
      <c r="AB506" s="0" t="n">
        <f aca="false">IF(Z506&gt;360,Z506-360,Z506+0)</f>
        <v>171.1</v>
      </c>
    </row>
    <row r="507" customFormat="false" ht="15.8" hidden="false" customHeight="false" outlineLevel="0" collapsed="false">
      <c r="A507" s="1" t="n">
        <v>13</v>
      </c>
      <c r="B507" s="1" t="n">
        <v>9</v>
      </c>
      <c r="C507" s="1" t="n">
        <v>4.7</v>
      </c>
      <c r="D507" s="1" t="n">
        <v>1.5589</v>
      </c>
      <c r="E507" s="1" t="n">
        <v>0.170556</v>
      </c>
      <c r="F507" s="1" t="n">
        <v>0.000490234</v>
      </c>
      <c r="G507" s="1" t="s">
        <v>27</v>
      </c>
      <c r="H507" s="1" t="n">
        <v>73.9</v>
      </c>
      <c r="I507" s="1" t="n">
        <v>108.1</v>
      </c>
      <c r="J507" s="1" t="n">
        <v>-14.9</v>
      </c>
      <c r="K507" s="1"/>
      <c r="L507" s="1" t="n">
        <v>0</v>
      </c>
      <c r="M507" s="1" t="n">
        <v>0</v>
      </c>
      <c r="N507" s="1" t="s">
        <v>348</v>
      </c>
      <c r="O507" s="1"/>
      <c r="P507" s="1"/>
      <c r="Q507" s="1"/>
      <c r="R507" s="1"/>
      <c r="Z507" s="0" t="n">
        <f aca="false">I507+0</f>
        <v>108.1</v>
      </c>
      <c r="AB507" s="0" t="n">
        <f aca="false">IF(Z507&gt;360,Z507-360,Z507+0)</f>
        <v>108.1</v>
      </c>
    </row>
    <row r="508" customFormat="false" ht="15.8" hidden="false" customHeight="false" outlineLevel="0" collapsed="false">
      <c r="A508" s="1" t="n">
        <v>13</v>
      </c>
      <c r="B508" s="1" t="n">
        <v>8</v>
      </c>
      <c r="C508" s="1" t="n">
        <v>2.5</v>
      </c>
      <c r="D508" s="1" t="n">
        <v>1.2552</v>
      </c>
      <c r="E508" s="1" t="n">
        <v>0.089062</v>
      </c>
      <c r="F508" s="1" t="n">
        <v>0.000255994</v>
      </c>
      <c r="G508" s="1" t="s">
        <v>42</v>
      </c>
      <c r="H508" s="1" t="n">
        <v>19.3</v>
      </c>
      <c r="I508" s="1" t="n">
        <v>188.9</v>
      </c>
      <c r="J508" s="1" t="n">
        <v>-36.6</v>
      </c>
      <c r="K508" s="1" t="n">
        <v>73.9</v>
      </c>
      <c r="L508" s="1" t="n">
        <v>0</v>
      </c>
      <c r="M508" s="1" t="n">
        <v>0</v>
      </c>
      <c r="N508" s="1" t="s">
        <v>349</v>
      </c>
      <c r="O508" s="1"/>
      <c r="P508" s="1"/>
      <c r="Q508" s="1"/>
      <c r="R508" s="1"/>
      <c r="Z508" s="0" t="n">
        <f aca="false">I508+0</f>
        <v>188.9</v>
      </c>
      <c r="AB508" s="0" t="n">
        <f aca="false">IF(Z508&gt;360,Z508-360,Z508+0)</f>
        <v>188.9</v>
      </c>
    </row>
    <row r="509" customFormat="false" ht="15.8" hidden="false" customHeight="false" outlineLevel="0" collapsed="false">
      <c r="A509" s="1" t="n">
        <v>13</v>
      </c>
      <c r="B509" s="1" t="n">
        <v>10</v>
      </c>
      <c r="C509" s="1" t="n">
        <v>1.8</v>
      </c>
      <c r="D509" s="1" t="n">
        <v>1.2171</v>
      </c>
      <c r="E509" s="1" t="n">
        <v>0.06532</v>
      </c>
      <c r="F509" s="1" t="n">
        <v>0.000187752</v>
      </c>
      <c r="G509" s="1" t="s">
        <v>27</v>
      </c>
      <c r="H509" s="1" t="n">
        <v>5.7</v>
      </c>
      <c r="I509" s="1" t="n">
        <v>177.8</v>
      </c>
      <c r="J509" s="1" t="n">
        <v>-15.2</v>
      </c>
      <c r="K509" s="1"/>
      <c r="L509" s="1" t="n">
        <v>0</v>
      </c>
      <c r="M509" s="1" t="n">
        <v>0</v>
      </c>
      <c r="N509" s="1" t="s">
        <v>350</v>
      </c>
      <c r="O509" s="1"/>
      <c r="P509" s="1"/>
      <c r="Q509" s="1"/>
      <c r="R509" s="1"/>
      <c r="Z509" s="0" t="n">
        <f aca="false">I509+0</f>
        <v>177.8</v>
      </c>
      <c r="AB509" s="0" t="n">
        <f aca="false">IF(Z509&gt;360,Z509-360,Z509+0)</f>
        <v>177.8</v>
      </c>
    </row>
    <row r="510" customFormat="false" ht="15.8" hidden="false" customHeight="false" outlineLevel="0" collapsed="false">
      <c r="A510" s="1" t="n">
        <v>13</v>
      </c>
      <c r="B510" s="1" t="n">
        <v>19</v>
      </c>
      <c r="C510" s="1" t="n">
        <v>2.2</v>
      </c>
      <c r="D510" s="1" t="n">
        <v>1.2093</v>
      </c>
      <c r="E510" s="1" t="n">
        <v>0.0811657</v>
      </c>
      <c r="F510" s="1" t="n">
        <v>0.000233297</v>
      </c>
      <c r="G510" s="1" t="s">
        <v>27</v>
      </c>
      <c r="H510" s="1" t="n">
        <v>71.7</v>
      </c>
      <c r="I510" s="1" t="n">
        <v>179.3</v>
      </c>
      <c r="J510" s="1" t="n">
        <v>-12.1</v>
      </c>
      <c r="K510" s="1"/>
      <c r="L510" s="1" t="n">
        <v>0</v>
      </c>
      <c r="M510" s="1" t="n">
        <v>0</v>
      </c>
      <c r="N510" s="1" t="s">
        <v>351</v>
      </c>
      <c r="O510" s="1"/>
      <c r="P510" s="1"/>
      <c r="Q510" s="1"/>
      <c r="R510" s="1"/>
      <c r="Z510" s="0" t="n">
        <f aca="false">I510+0</f>
        <v>179.3</v>
      </c>
      <c r="AB510" s="0" t="n">
        <f aca="false">IF(Z510&gt;360,Z510-360,Z510+0)</f>
        <v>179.3</v>
      </c>
    </row>
    <row r="511" customFormat="false" ht="15.8" hidden="false" customHeight="false" outlineLevel="0" collapsed="false">
      <c r="A511" s="1" t="n">
        <v>13</v>
      </c>
      <c r="B511" s="1" t="n">
        <v>19</v>
      </c>
      <c r="C511" s="1" t="n">
        <v>1</v>
      </c>
      <c r="D511" s="1" t="n">
        <v>1.012</v>
      </c>
      <c r="E511" s="1" t="n">
        <v>0.0344139</v>
      </c>
      <c r="F511" s="1" t="n">
        <v>9.89172E-005</v>
      </c>
      <c r="G511" s="1" t="s">
        <v>27</v>
      </c>
      <c r="H511" s="1" t="n">
        <v>97.4</v>
      </c>
      <c r="I511" s="1" t="n">
        <v>8.4</v>
      </c>
      <c r="J511" s="1" t="n">
        <v>0</v>
      </c>
      <c r="K511" s="1"/>
      <c r="L511" s="1" t="n">
        <v>0</v>
      </c>
      <c r="M511" s="1" t="n">
        <v>0</v>
      </c>
      <c r="N511" s="1" t="s">
        <v>351</v>
      </c>
      <c r="O511" s="1"/>
      <c r="P511" s="1"/>
      <c r="Q511" s="1"/>
      <c r="R511" s="1"/>
      <c r="Z511" s="0" t="n">
        <f aca="false">I511+0</f>
        <v>8.4</v>
      </c>
      <c r="AB511" s="0" t="n">
        <f aca="false">IF(Z511&gt;360,Z511-360,Z511+0)</f>
        <v>8.4</v>
      </c>
    </row>
    <row r="512" customFormat="false" ht="15.8" hidden="false" customHeight="false" outlineLevel="0" collapsed="false">
      <c r="A512" s="1" t="n">
        <v>13</v>
      </c>
      <c r="B512" s="1" t="n">
        <v>18</v>
      </c>
      <c r="C512" s="1" t="n">
        <v>2.6</v>
      </c>
      <c r="D512" s="1" t="n">
        <v>1.1433</v>
      </c>
      <c r="E512" s="1" t="n">
        <v>0.0927769</v>
      </c>
      <c r="F512" s="1" t="n">
        <v>0.000266672</v>
      </c>
      <c r="G512" s="1" t="s">
        <v>42</v>
      </c>
      <c r="H512" s="1" t="n">
        <v>76.9</v>
      </c>
      <c r="I512" s="1" t="n">
        <v>106</v>
      </c>
      <c r="J512" s="1" t="n">
        <v>-10</v>
      </c>
      <c r="K512" s="1" t="n">
        <v>97.4</v>
      </c>
      <c r="L512" s="1" t="n">
        <v>0</v>
      </c>
      <c r="M512" s="1" t="n">
        <v>0</v>
      </c>
      <c r="N512" s="1" t="s">
        <v>352</v>
      </c>
      <c r="O512" s="1"/>
      <c r="P512" s="1"/>
      <c r="Q512" s="1"/>
      <c r="R512" s="1"/>
      <c r="Z512" s="0" t="n">
        <f aca="false">I512+0</f>
        <v>106</v>
      </c>
      <c r="AB512" s="0" t="n">
        <f aca="false">IF(Z512&gt;360,Z512-360,Z512+0)</f>
        <v>106</v>
      </c>
    </row>
    <row r="513" customFormat="false" ht="15.8" hidden="false" customHeight="false" outlineLevel="0" collapsed="false">
      <c r="A513" s="1" t="n">
        <v>13</v>
      </c>
      <c r="B513" s="1" t="n">
        <v>18</v>
      </c>
      <c r="C513" s="1" t="n">
        <v>1.9</v>
      </c>
      <c r="D513" s="1" t="n">
        <v>1.4447</v>
      </c>
      <c r="E513" s="1" t="n">
        <v>0.0680717</v>
      </c>
      <c r="F513" s="1" t="n">
        <v>0.000195661</v>
      </c>
      <c r="G513" s="1" t="s">
        <v>27</v>
      </c>
      <c r="H513" s="1" t="n">
        <v>66.3</v>
      </c>
      <c r="I513" s="1" t="n">
        <v>248.9</v>
      </c>
      <c r="J513" s="1" t="n">
        <v>17.4</v>
      </c>
      <c r="K513" s="1"/>
      <c r="L513" s="1" t="n">
        <v>0</v>
      </c>
      <c r="M513" s="1" t="n">
        <v>0</v>
      </c>
      <c r="N513" s="1" t="s">
        <v>352</v>
      </c>
      <c r="O513" s="1"/>
      <c r="P513" s="1"/>
      <c r="Q513" s="1"/>
      <c r="R513" s="1"/>
      <c r="Z513" s="0" t="n">
        <f aca="false">I513+0</f>
        <v>248.9</v>
      </c>
      <c r="AB513" s="0" t="n">
        <f aca="false">IF(Z513&gt;360,Z513-360,Z513+0)</f>
        <v>248.9</v>
      </c>
    </row>
    <row r="514" customFormat="false" ht="15.8" hidden="false" customHeight="false" outlineLevel="0" collapsed="false">
      <c r="A514" s="1" t="n">
        <v>13</v>
      </c>
      <c r="B514" s="1" t="n">
        <v>17</v>
      </c>
      <c r="C514" s="1" t="n">
        <v>2.1</v>
      </c>
      <c r="D514" s="1" t="n">
        <v>1.2107</v>
      </c>
      <c r="E514" s="1" t="n">
        <v>0.0773214</v>
      </c>
      <c r="F514" s="1" t="n">
        <v>0.000222248</v>
      </c>
      <c r="G514" s="1" t="s">
        <v>42</v>
      </c>
      <c r="H514" s="1" t="n">
        <v>15.1</v>
      </c>
      <c r="I514" s="1" t="n">
        <v>180</v>
      </c>
      <c r="J514" s="1" t="n">
        <v>12.7</v>
      </c>
      <c r="K514" s="1" t="n">
        <v>76.9</v>
      </c>
      <c r="L514" s="1" t="n">
        <v>0</v>
      </c>
      <c r="M514" s="1" t="n">
        <v>0</v>
      </c>
      <c r="N514" s="1" t="s">
        <v>353</v>
      </c>
      <c r="O514" s="1"/>
      <c r="P514" s="1"/>
      <c r="Q514" s="1"/>
      <c r="R514" s="1"/>
      <c r="Z514" s="0" t="n">
        <f aca="false">I514+0</f>
        <v>180</v>
      </c>
      <c r="AB514" s="0" t="n">
        <f aca="false">IF(Z514&gt;360,Z514-360,Z514+0)</f>
        <v>180</v>
      </c>
    </row>
    <row r="515" customFormat="false" ht="15.8" hidden="false" customHeight="false" outlineLevel="0" collapsed="false">
      <c r="A515" s="1" t="n">
        <v>13</v>
      </c>
      <c r="B515" s="1" t="n">
        <v>17</v>
      </c>
      <c r="C515" s="1" t="n">
        <v>0.8</v>
      </c>
      <c r="D515" s="1" t="n">
        <v>1.2021</v>
      </c>
      <c r="E515" s="1" t="n">
        <v>0.0282037</v>
      </c>
      <c r="F515" s="1" t="n">
        <v>8.10667E-005</v>
      </c>
      <c r="G515" s="1" t="s">
        <v>27</v>
      </c>
      <c r="H515" s="1" t="n">
        <v>87.5</v>
      </c>
      <c r="I515" s="1" t="n">
        <v>84.9</v>
      </c>
      <c r="J515" s="1" t="n">
        <v>-36.9</v>
      </c>
      <c r="K515" s="1"/>
      <c r="L515" s="1" t="n">
        <v>0</v>
      </c>
      <c r="M515" s="1" t="n">
        <v>0</v>
      </c>
      <c r="N515" s="1" t="s">
        <v>353</v>
      </c>
      <c r="O515" s="1"/>
      <c r="P515" s="1"/>
      <c r="Q515" s="1"/>
      <c r="R515" s="1"/>
      <c r="Z515" s="0" t="n">
        <f aca="false">I515+0</f>
        <v>84.9</v>
      </c>
      <c r="AB515" s="0" t="n">
        <f aca="false">IF(Z515&gt;360,Z515-360,Z515+0)</f>
        <v>84.9</v>
      </c>
    </row>
    <row r="516" customFormat="false" ht="15.8" hidden="false" customHeight="false" outlineLevel="0" collapsed="false">
      <c r="A516" s="1" t="n">
        <v>13</v>
      </c>
      <c r="B516" s="1" t="n">
        <v>16</v>
      </c>
      <c r="C516" s="1" t="n">
        <v>3</v>
      </c>
      <c r="D516" s="1" t="n">
        <v>1.2655</v>
      </c>
      <c r="E516" s="1" t="n">
        <v>0.106725</v>
      </c>
      <c r="F516" s="1" t="n">
        <v>0.000306763</v>
      </c>
      <c r="G516" s="1" t="s">
        <v>42</v>
      </c>
      <c r="H516" s="1" t="n">
        <v>38.6</v>
      </c>
      <c r="I516" s="1" t="n">
        <v>171.8</v>
      </c>
      <c r="J516" s="1" t="n">
        <v>0</v>
      </c>
      <c r="K516" s="1" t="n">
        <v>87.5</v>
      </c>
      <c r="L516" s="1" t="n">
        <v>0</v>
      </c>
      <c r="M516" s="1" t="n">
        <v>0</v>
      </c>
      <c r="N516" s="1" t="s">
        <v>354</v>
      </c>
      <c r="O516" s="1"/>
      <c r="P516" s="1"/>
      <c r="Q516" s="1"/>
      <c r="R516" s="1"/>
      <c r="Z516" s="0" t="n">
        <f aca="false">I516+0</f>
        <v>171.8</v>
      </c>
      <c r="AB516" s="0" t="n">
        <f aca="false">IF(Z516&gt;360,Z516-360,Z516+0)</f>
        <v>171.8</v>
      </c>
    </row>
    <row r="517" customFormat="false" ht="15.8" hidden="false" customHeight="false" outlineLevel="0" collapsed="false">
      <c r="A517" s="1" t="n">
        <v>13</v>
      </c>
      <c r="B517" s="1" t="n">
        <v>16</v>
      </c>
      <c r="C517" s="1" t="n">
        <v>0.6</v>
      </c>
      <c r="D517" s="1" t="n">
        <v>1.1163</v>
      </c>
      <c r="E517" s="1" t="n">
        <v>0.0231914</v>
      </c>
      <c r="F517" s="1" t="n">
        <v>6.66597E-005</v>
      </c>
      <c r="G517" s="1" t="s">
        <v>27</v>
      </c>
      <c r="H517" s="1" t="n">
        <v>77.7</v>
      </c>
      <c r="I517" s="1" t="n">
        <v>45</v>
      </c>
      <c r="J517" s="1" t="n">
        <v>-42.7</v>
      </c>
      <c r="K517" s="1"/>
      <c r="L517" s="1" t="n">
        <v>0</v>
      </c>
      <c r="M517" s="1" t="n">
        <v>0</v>
      </c>
      <c r="N517" s="1" t="s">
        <v>354</v>
      </c>
      <c r="O517" s="1"/>
      <c r="P517" s="1"/>
      <c r="Q517" s="1"/>
      <c r="R517" s="1"/>
      <c r="Z517" s="0" t="n">
        <f aca="false">I517+0</f>
        <v>45</v>
      </c>
      <c r="AB517" s="0" t="n">
        <f aca="false">IF(Z517&gt;360,Z517-360,Z517+0)</f>
        <v>45</v>
      </c>
    </row>
    <row r="518" customFormat="false" ht="15.8" hidden="false" customHeight="false" outlineLevel="0" collapsed="false">
      <c r="A518" s="1" t="n">
        <v>13</v>
      </c>
      <c r="B518" s="1" t="n">
        <v>15</v>
      </c>
      <c r="C518" s="1" t="n">
        <v>1.1</v>
      </c>
      <c r="D518" s="1" t="n">
        <v>1.4276</v>
      </c>
      <c r="E518" s="1" t="n">
        <v>0.0393962</v>
      </c>
      <c r="F518" s="1" t="n">
        <v>0.000113238</v>
      </c>
      <c r="G518" s="1" t="s">
        <v>42</v>
      </c>
      <c r="H518" s="1" t="n">
        <v>44.4</v>
      </c>
      <c r="I518" s="1" t="n">
        <v>147.1</v>
      </c>
      <c r="J518" s="1" t="n">
        <v>-30.7</v>
      </c>
      <c r="K518" s="1" t="n">
        <v>77.7</v>
      </c>
      <c r="L518" s="1" t="n">
        <v>0</v>
      </c>
      <c r="M518" s="1" t="n">
        <v>0</v>
      </c>
      <c r="N518" s="1" t="s">
        <v>355</v>
      </c>
      <c r="O518" s="1"/>
      <c r="P518" s="1"/>
      <c r="Q518" s="1"/>
      <c r="R518" s="1"/>
      <c r="Z518" s="0" t="n">
        <f aca="false">I518+0</f>
        <v>147.1</v>
      </c>
      <c r="AB518" s="0" t="n">
        <f aca="false">IF(Z518&gt;360,Z518-360,Z518+0)</f>
        <v>147.1</v>
      </c>
    </row>
    <row r="519" customFormat="false" ht="15.8" hidden="false" customHeight="false" outlineLevel="0" collapsed="false">
      <c r="A519" s="1" t="n">
        <v>13</v>
      </c>
      <c r="B519" s="1" t="n">
        <v>15</v>
      </c>
      <c r="C519" s="1" t="n">
        <v>1.9</v>
      </c>
      <c r="D519" s="1" t="n">
        <v>1.7867</v>
      </c>
      <c r="E519" s="1" t="n">
        <v>0.069746</v>
      </c>
      <c r="F519" s="1" t="n">
        <v>0.000200473</v>
      </c>
      <c r="G519" s="1" t="s">
        <v>27</v>
      </c>
      <c r="H519" s="1" t="n">
        <v>56.6</v>
      </c>
      <c r="I519" s="1" t="n">
        <v>154.3</v>
      </c>
      <c r="J519" s="1" t="n">
        <v>21.2</v>
      </c>
      <c r="K519" s="1"/>
      <c r="L519" s="1" t="n">
        <v>0</v>
      </c>
      <c r="M519" s="1" t="n">
        <v>0</v>
      </c>
      <c r="N519" s="1" t="s">
        <v>355</v>
      </c>
      <c r="O519" s="1"/>
      <c r="P519" s="1"/>
      <c r="Q519" s="1"/>
      <c r="R519" s="1"/>
      <c r="Z519" s="0" t="n">
        <f aca="false">I519+0</f>
        <v>154.3</v>
      </c>
      <c r="AB519" s="0" t="n">
        <f aca="false">IF(Z519&gt;360,Z519-360,Z519+0)</f>
        <v>154.3</v>
      </c>
    </row>
    <row r="520" customFormat="false" ht="15.8" hidden="false" customHeight="false" outlineLevel="0" collapsed="false">
      <c r="A520" s="1" t="n">
        <v>13</v>
      </c>
      <c r="B520" s="1" t="n">
        <v>14</v>
      </c>
      <c r="C520" s="1" t="n">
        <v>1.4</v>
      </c>
      <c r="D520" s="1" t="n">
        <v>1.212</v>
      </c>
      <c r="E520" s="1" t="n">
        <v>0.0518515</v>
      </c>
      <c r="F520" s="1" t="n">
        <v>0.000149039</v>
      </c>
      <c r="G520" s="1" t="s">
        <v>42</v>
      </c>
      <c r="H520" s="1" t="n">
        <v>25</v>
      </c>
      <c r="I520" s="1" t="n">
        <v>194.9</v>
      </c>
      <c r="J520" s="1" t="n">
        <v>-19.2</v>
      </c>
      <c r="K520" s="1" t="n">
        <v>56.6</v>
      </c>
      <c r="L520" s="1" t="n">
        <v>0</v>
      </c>
      <c r="M520" s="1" t="n">
        <v>0</v>
      </c>
      <c r="N520" s="1" t="s">
        <v>356</v>
      </c>
      <c r="O520" s="1"/>
      <c r="P520" s="1"/>
      <c r="Q520" s="1"/>
      <c r="R520" s="1"/>
      <c r="Z520" s="0" t="n">
        <f aca="false">I520+0</f>
        <v>194.9</v>
      </c>
      <c r="AB520" s="0" t="n">
        <f aca="false">IF(Z520&gt;360,Z520-360,Z520+0)</f>
        <v>194.9</v>
      </c>
    </row>
    <row r="521" customFormat="false" ht="15.8" hidden="false" customHeight="false" outlineLevel="0" collapsed="false">
      <c r="A521" s="1" t="n">
        <v>13</v>
      </c>
      <c r="B521" s="1" t="n">
        <v>14</v>
      </c>
      <c r="C521" s="1" t="n">
        <v>0.5</v>
      </c>
      <c r="D521" s="1" t="n">
        <v>1.0055</v>
      </c>
      <c r="E521" s="1" t="n">
        <v>0.0179307</v>
      </c>
      <c r="F521" s="1" t="n">
        <v>5.15388E-005</v>
      </c>
      <c r="G521" s="1" t="s">
        <v>27</v>
      </c>
      <c r="H521" s="1" t="n">
        <v>86.5</v>
      </c>
      <c r="I521" s="1" t="n">
        <v>297.8</v>
      </c>
      <c r="J521" s="1" t="n">
        <v>0</v>
      </c>
      <c r="K521" s="1"/>
      <c r="L521" s="1" t="n">
        <v>0</v>
      </c>
      <c r="M521" s="1" t="n">
        <v>0</v>
      </c>
      <c r="N521" s="1" t="s">
        <v>356</v>
      </c>
      <c r="O521" s="1"/>
      <c r="P521" s="1"/>
      <c r="Q521" s="1"/>
      <c r="R521" s="1"/>
      <c r="Z521" s="0" t="n">
        <f aca="false">I521+0</f>
        <v>297.8</v>
      </c>
      <c r="AB521" s="0" t="n">
        <f aca="false">IF(Z521&gt;360,Z521-360,Z521+0)</f>
        <v>297.8</v>
      </c>
    </row>
    <row r="522" customFormat="false" ht="15.8" hidden="false" customHeight="false" outlineLevel="0" collapsed="false">
      <c r="A522" s="1" t="n">
        <v>13</v>
      </c>
      <c r="B522" s="1" t="n">
        <v>13</v>
      </c>
      <c r="C522" s="1" t="n">
        <v>0.4</v>
      </c>
      <c r="D522" s="1" t="n">
        <v>1.0226</v>
      </c>
      <c r="E522" s="1" t="n">
        <v>0.013911</v>
      </c>
      <c r="F522" s="1" t="n">
        <v>3.9985E-005</v>
      </c>
      <c r="G522" s="1" t="s">
        <v>42</v>
      </c>
      <c r="H522" s="1" t="n">
        <v>23.1</v>
      </c>
      <c r="I522" s="1" t="n">
        <v>211.3</v>
      </c>
      <c r="J522" s="1" t="n">
        <v>0</v>
      </c>
      <c r="K522" s="1" t="n">
        <v>86.5</v>
      </c>
      <c r="L522" s="1" t="n">
        <v>0</v>
      </c>
      <c r="M522" s="1" t="n">
        <v>0</v>
      </c>
      <c r="N522" s="1" t="s">
        <v>357</v>
      </c>
      <c r="O522" s="1"/>
      <c r="P522" s="1"/>
      <c r="Q522" s="1"/>
      <c r="R522" s="1"/>
      <c r="Z522" s="0" t="n">
        <f aca="false">I522+0</f>
        <v>211.3</v>
      </c>
      <c r="AB522" s="0" t="n">
        <f aca="false">IF(Z522&gt;360,Z522-360,Z522+0)</f>
        <v>211.3</v>
      </c>
    </row>
    <row r="523" customFormat="false" ht="15.8" hidden="false" customHeight="false" outlineLevel="0" collapsed="false">
      <c r="A523" s="1" t="n">
        <v>13</v>
      </c>
      <c r="B523" s="1" t="n">
        <v>13</v>
      </c>
      <c r="C523" s="1" t="n">
        <v>3.1</v>
      </c>
      <c r="D523" s="1" t="n">
        <v>1.5806</v>
      </c>
      <c r="E523" s="1" t="n">
        <v>0.113577</v>
      </c>
      <c r="F523" s="1" t="n">
        <v>0.000326457</v>
      </c>
      <c r="G523" s="1" t="s">
        <v>27</v>
      </c>
      <c r="H523" s="1" t="n">
        <v>99.8</v>
      </c>
      <c r="I523" s="1" t="n">
        <v>110.6</v>
      </c>
      <c r="J523" s="1" t="n">
        <v>23.1</v>
      </c>
      <c r="K523" s="1"/>
      <c r="L523" s="1" t="n">
        <v>0</v>
      </c>
      <c r="M523" s="1" t="n">
        <v>0</v>
      </c>
      <c r="N523" s="1" t="s">
        <v>357</v>
      </c>
      <c r="O523" s="1"/>
      <c r="P523" s="1"/>
      <c r="Q523" s="1"/>
      <c r="R523" s="1"/>
      <c r="Z523" s="0" t="n">
        <f aca="false">I523+0</f>
        <v>110.6</v>
      </c>
      <c r="AB523" s="0" t="n">
        <f aca="false">IF(Z523&gt;360,Z523-360,Z523+0)</f>
        <v>110.6</v>
      </c>
    </row>
    <row r="524" customFormat="false" ht="15.8" hidden="false" customHeight="false" outlineLevel="0" collapsed="false">
      <c r="A524" s="1" t="n">
        <v>13</v>
      </c>
      <c r="B524" s="1" t="n">
        <v>12</v>
      </c>
      <c r="C524" s="1" t="n">
        <v>1.4</v>
      </c>
      <c r="D524" s="1" t="n">
        <v>1.2681</v>
      </c>
      <c r="E524" s="1" t="n">
        <v>0.0489509</v>
      </c>
      <c r="F524" s="1" t="n">
        <v>0.000140701</v>
      </c>
      <c r="G524" s="1" t="s">
        <v>42</v>
      </c>
      <c r="H524" s="1" t="n">
        <v>65.9</v>
      </c>
      <c r="I524" s="1" t="n">
        <v>202.4</v>
      </c>
      <c r="J524" s="1" t="n">
        <v>-21.4</v>
      </c>
      <c r="K524" s="1" t="n">
        <v>99.8</v>
      </c>
      <c r="L524" s="1" t="n">
        <v>0</v>
      </c>
      <c r="M524" s="1" t="n">
        <v>0</v>
      </c>
      <c r="N524" s="1" t="s">
        <v>358</v>
      </c>
      <c r="O524" s="1"/>
      <c r="P524" s="1"/>
      <c r="Q524" s="1"/>
      <c r="R524" s="1"/>
      <c r="Z524" s="0" t="n">
        <f aca="false">I524+0</f>
        <v>202.4</v>
      </c>
      <c r="AB524" s="0" t="n">
        <f aca="false">IF(Z524&gt;360,Z524-360,Z524+0)</f>
        <v>202.4</v>
      </c>
    </row>
    <row r="525" customFormat="false" ht="15.8" hidden="false" customHeight="false" outlineLevel="0" collapsed="false">
      <c r="A525" s="1" t="n">
        <v>13</v>
      </c>
      <c r="B525" s="1" t="n">
        <v>14</v>
      </c>
      <c r="C525" s="1" t="n">
        <v>4.7</v>
      </c>
      <c r="D525" s="1" t="n">
        <v>1.4059</v>
      </c>
      <c r="E525" s="1" t="n">
        <v>0.168694</v>
      </c>
      <c r="F525" s="1" t="n">
        <v>0.000484883</v>
      </c>
      <c r="G525" s="1" t="s">
        <v>27</v>
      </c>
      <c r="H525" s="1" t="n">
        <v>70.8</v>
      </c>
      <c r="I525" s="1" t="n">
        <v>203.3</v>
      </c>
      <c r="J525" s="1" t="n">
        <v>13.6</v>
      </c>
      <c r="K525" s="1"/>
      <c r="L525" s="1" t="n">
        <v>0</v>
      </c>
      <c r="M525" s="1" t="n">
        <v>0</v>
      </c>
      <c r="N525" s="1" t="s">
        <v>359</v>
      </c>
      <c r="O525" s="1"/>
      <c r="P525" s="1"/>
      <c r="Q525" s="1"/>
      <c r="R525" s="1"/>
      <c r="Z525" s="0" t="n">
        <f aca="false">I525+0</f>
        <v>203.3</v>
      </c>
      <c r="AB525" s="0" t="n">
        <f aca="false">IF(Z525&gt;360,Z525-360,Z525+0)</f>
        <v>203.3</v>
      </c>
    </row>
    <row r="526" customFormat="false" ht="15.8" hidden="false" customHeight="false" outlineLevel="0" collapsed="false">
      <c r="A526" s="1" t="n">
        <v>13</v>
      </c>
      <c r="B526" s="1" t="n">
        <v>14</v>
      </c>
      <c r="C526" s="1" t="n">
        <v>1.4</v>
      </c>
      <c r="D526" s="1" t="n">
        <v>1.3305</v>
      </c>
      <c r="E526" s="1" t="n">
        <v>0.049752</v>
      </c>
      <c r="F526" s="1" t="n">
        <v>0.000143004</v>
      </c>
      <c r="G526" s="1" t="s">
        <v>27</v>
      </c>
      <c r="H526" s="1" t="n">
        <v>55.5</v>
      </c>
      <c r="I526" s="1" t="n">
        <v>4.8</v>
      </c>
      <c r="J526" s="1" t="n">
        <v>48.9</v>
      </c>
      <c r="K526" s="1"/>
      <c r="L526" s="1" t="n">
        <v>0</v>
      </c>
      <c r="M526" s="1" t="n">
        <v>0</v>
      </c>
      <c r="N526" s="1" t="s">
        <v>359</v>
      </c>
      <c r="O526" s="1"/>
      <c r="P526" s="1"/>
      <c r="Q526" s="1"/>
      <c r="R526" s="1"/>
      <c r="Z526" s="0" t="n">
        <f aca="false">I526+0</f>
        <v>4.8</v>
      </c>
      <c r="AB526" s="0" t="n">
        <f aca="false">IF(Z526&gt;360,Z526-360,Z526+0)</f>
        <v>4.8</v>
      </c>
    </row>
    <row r="527" customFormat="false" ht="15.8" hidden="false" customHeight="false" outlineLevel="0" collapsed="false">
      <c r="A527" s="1" t="n">
        <v>13</v>
      </c>
      <c r="B527" s="1" t="n">
        <v>13</v>
      </c>
      <c r="C527" s="1" t="n">
        <v>0.8</v>
      </c>
      <c r="D527" s="1" t="n">
        <v>1.0062</v>
      </c>
      <c r="E527" s="1" t="n">
        <v>0.0302835</v>
      </c>
      <c r="F527" s="1" t="n">
        <v>8.7045E-005</v>
      </c>
      <c r="G527" s="1" t="s">
        <v>42</v>
      </c>
      <c r="H527" s="1" t="n">
        <v>24.6</v>
      </c>
      <c r="I527" s="1" t="n">
        <v>131.8</v>
      </c>
      <c r="J527" s="1" t="n">
        <v>69.4</v>
      </c>
      <c r="K527" s="1" t="n">
        <v>70.8</v>
      </c>
      <c r="L527" s="1" t="n">
        <v>0</v>
      </c>
      <c r="M527" s="1" t="n">
        <v>0</v>
      </c>
      <c r="N527" s="1" t="s">
        <v>360</v>
      </c>
      <c r="O527" s="1"/>
      <c r="P527" s="1"/>
      <c r="Q527" s="1"/>
      <c r="R527" s="1"/>
      <c r="Z527" s="0" t="n">
        <f aca="false">I527+0</f>
        <v>131.8</v>
      </c>
      <c r="AB527" s="0" t="n">
        <f aca="false">IF(Z527&gt;360,Z527-360,Z527+0)</f>
        <v>131.8</v>
      </c>
    </row>
    <row r="528" customFormat="false" ht="15.8" hidden="false" customHeight="false" outlineLevel="0" collapsed="false">
      <c r="A528" s="1" t="n">
        <v>13</v>
      </c>
      <c r="B528" s="1" t="n">
        <v>13</v>
      </c>
      <c r="C528" s="1" t="n">
        <v>0.8</v>
      </c>
      <c r="D528" s="1" t="n">
        <v>1.028</v>
      </c>
      <c r="E528" s="1" t="n">
        <v>0.029505</v>
      </c>
      <c r="F528" s="1" t="n">
        <v>8.48073E-005</v>
      </c>
      <c r="G528" s="1" t="s">
        <v>27</v>
      </c>
      <c r="H528" s="1" t="n">
        <v>104.8</v>
      </c>
      <c r="I528" s="1" t="n">
        <v>238.6</v>
      </c>
      <c r="J528" s="1" t="n">
        <v>0</v>
      </c>
      <c r="K528" s="1"/>
      <c r="L528" s="1" t="n">
        <v>0</v>
      </c>
      <c r="M528" s="1" t="n">
        <v>0</v>
      </c>
      <c r="N528" s="1" t="s">
        <v>360</v>
      </c>
      <c r="O528" s="1"/>
      <c r="P528" s="1"/>
      <c r="Q528" s="1"/>
      <c r="R528" s="1"/>
      <c r="Z528" s="0" t="n">
        <f aca="false">I528+0</f>
        <v>238.6</v>
      </c>
      <c r="AB528" s="0" t="n">
        <f aca="false">IF(Z528&gt;360,Z528-360,Z528+0)</f>
        <v>238.6</v>
      </c>
    </row>
    <row r="529" customFormat="false" ht="15.8" hidden="false" customHeight="false" outlineLevel="0" collapsed="false">
      <c r="A529" s="1" t="n">
        <v>13</v>
      </c>
      <c r="B529" s="1" t="n">
        <v>12</v>
      </c>
      <c r="C529" s="1" t="n">
        <v>2</v>
      </c>
      <c r="D529" s="1" t="n">
        <v>1.1965</v>
      </c>
      <c r="E529" s="1" t="n">
        <v>0.0715952</v>
      </c>
      <c r="F529" s="1" t="n">
        <v>0.000205788</v>
      </c>
      <c r="G529" s="1" t="s">
        <v>42</v>
      </c>
      <c r="H529" s="1" t="n">
        <v>29.5</v>
      </c>
      <c r="I529" s="1" t="n">
        <v>127.4</v>
      </c>
      <c r="J529" s="1" t="n">
        <v>44.9</v>
      </c>
      <c r="K529" s="1" t="n">
        <v>104.8</v>
      </c>
      <c r="L529" s="1" t="n">
        <v>0</v>
      </c>
      <c r="M529" s="1" t="n">
        <v>0</v>
      </c>
      <c r="N529" s="1" t="s">
        <v>358</v>
      </c>
      <c r="O529" s="1"/>
      <c r="P529" s="1"/>
      <c r="Q529" s="1"/>
      <c r="R529" s="1"/>
      <c r="Z529" s="0" t="n">
        <f aca="false">I529+0</f>
        <v>127.4</v>
      </c>
      <c r="AB529" s="0" t="n">
        <f aca="false">IF(Z529&gt;360,Z529-360,Z529+0)</f>
        <v>127.4</v>
      </c>
    </row>
    <row r="530" customFormat="false" ht="15.8" hidden="false" customHeight="false" outlineLevel="0" collapsed="false">
      <c r="A530" s="1" t="n">
        <v>13</v>
      </c>
      <c r="B530" s="1" t="n">
        <v>11</v>
      </c>
      <c r="C530" s="1" t="n">
        <v>3.9</v>
      </c>
      <c r="D530" s="1" t="n">
        <v>1.2823</v>
      </c>
      <c r="E530" s="1" t="n">
        <v>0.139556</v>
      </c>
      <c r="F530" s="1" t="n">
        <v>0.00040113</v>
      </c>
      <c r="G530" s="1" t="s">
        <v>42</v>
      </c>
      <c r="H530" s="1" t="n">
        <v>18.5</v>
      </c>
      <c r="I530" s="1" t="n">
        <v>161</v>
      </c>
      <c r="J530" s="1" t="n">
        <v>31.2</v>
      </c>
      <c r="K530" s="1" t="n">
        <v>65.9</v>
      </c>
      <c r="L530" s="1" t="n">
        <v>0</v>
      </c>
      <c r="M530" s="1" t="n">
        <v>0</v>
      </c>
      <c r="N530" s="1" t="s">
        <v>361</v>
      </c>
      <c r="O530" s="1"/>
      <c r="P530" s="1"/>
      <c r="Q530" s="1"/>
      <c r="R530" s="1"/>
      <c r="Z530" s="0" t="n">
        <f aca="false">I530+0</f>
        <v>161</v>
      </c>
      <c r="AB530" s="0" t="n">
        <f aca="false">IF(Z530&gt;360,Z530-360,Z530+0)</f>
        <v>161</v>
      </c>
    </row>
    <row r="531" customFormat="false" ht="15.8" hidden="false" customHeight="false" outlineLevel="0" collapsed="false">
      <c r="A531" s="1" t="n">
        <v>13</v>
      </c>
      <c r="B531" s="1" t="n">
        <v>11</v>
      </c>
      <c r="C531" s="1" t="n">
        <v>1.9</v>
      </c>
      <c r="D531" s="1" t="n">
        <v>1.343</v>
      </c>
      <c r="E531" s="1" t="n">
        <v>0.0679118</v>
      </c>
      <c r="F531" s="1" t="n">
        <v>0.000195201</v>
      </c>
      <c r="G531" s="1" t="s">
        <v>27</v>
      </c>
      <c r="H531" s="1" t="n">
        <v>160.5</v>
      </c>
      <c r="I531" s="1" t="n">
        <v>351.5</v>
      </c>
      <c r="J531" s="1" t="n">
        <v>-33.9</v>
      </c>
      <c r="K531" s="1"/>
      <c r="L531" s="1" t="n">
        <v>0</v>
      </c>
      <c r="M531" s="1" t="n">
        <v>0</v>
      </c>
      <c r="N531" s="1" t="s">
        <v>361</v>
      </c>
      <c r="O531" s="1"/>
      <c r="P531" s="1"/>
      <c r="Q531" s="1"/>
      <c r="R531" s="1"/>
      <c r="Z531" s="0" t="n">
        <f aca="false">I531+0</f>
        <v>351.5</v>
      </c>
      <c r="AB531" s="0" t="n">
        <f aca="false">IF(Z531&gt;360,Z531-360,Z531+0)</f>
        <v>351.5</v>
      </c>
    </row>
    <row r="532" customFormat="false" ht="15.8" hidden="false" customHeight="false" outlineLevel="0" collapsed="false">
      <c r="A532" s="1" t="n">
        <v>13</v>
      </c>
      <c r="B532" s="1" t="n">
        <v>10</v>
      </c>
      <c r="C532" s="1" t="n">
        <v>3.3</v>
      </c>
      <c r="D532" s="1" t="n">
        <v>1.2675</v>
      </c>
      <c r="E532" s="1" t="n">
        <v>0.118052</v>
      </c>
      <c r="F532" s="1" t="n">
        <v>0.000339322</v>
      </c>
      <c r="G532" s="1" t="s">
        <v>42</v>
      </c>
      <c r="H532" s="1" t="n">
        <v>62</v>
      </c>
      <c r="I532" s="1" t="n">
        <v>155</v>
      </c>
      <c r="J532" s="1" t="n">
        <v>49.1</v>
      </c>
      <c r="K532" s="1" t="n">
        <v>160.5</v>
      </c>
      <c r="L532" s="1" t="n">
        <v>0</v>
      </c>
      <c r="M532" s="1" t="n">
        <v>0</v>
      </c>
      <c r="N532" s="1" t="s">
        <v>350</v>
      </c>
      <c r="O532" s="1"/>
      <c r="P532" s="1"/>
      <c r="Q532" s="1"/>
      <c r="R532" s="1"/>
      <c r="Z532" s="0" t="n">
        <f aca="false">I532+0</f>
        <v>155</v>
      </c>
      <c r="AB532" s="0" t="n">
        <f aca="false">IF(Z532&gt;360,Z532-360,Z532+0)</f>
        <v>155</v>
      </c>
    </row>
    <row r="533" customFormat="false" ht="15.8" hidden="false" customHeight="false" outlineLevel="0" collapsed="false">
      <c r="A533" s="1" t="n">
        <v>13</v>
      </c>
      <c r="B533" s="1" t="n">
        <v>9</v>
      </c>
      <c r="C533" s="1" t="n">
        <v>2.8</v>
      </c>
      <c r="D533" s="1" t="n">
        <v>1.1768</v>
      </c>
      <c r="E533" s="1" t="n">
        <v>0.100162</v>
      </c>
      <c r="F533" s="1" t="n">
        <v>0.000287898</v>
      </c>
      <c r="G533" s="1" t="s">
        <v>42</v>
      </c>
      <c r="H533" s="1" t="n">
        <v>70</v>
      </c>
      <c r="I533" s="1" t="n">
        <v>178</v>
      </c>
      <c r="J533" s="1" t="n">
        <v>-9.5</v>
      </c>
      <c r="K533" s="1" t="n">
        <v>62</v>
      </c>
      <c r="L533" s="1" t="n">
        <v>0</v>
      </c>
      <c r="M533" s="1" t="n">
        <v>0</v>
      </c>
      <c r="N533" s="1" t="s">
        <v>362</v>
      </c>
      <c r="O533" s="1"/>
      <c r="P533" s="1"/>
      <c r="Q533" s="1"/>
      <c r="R533" s="1"/>
      <c r="Z533" s="0" t="n">
        <f aca="false">I533+0</f>
        <v>178</v>
      </c>
      <c r="AB533" s="0" t="n">
        <f aca="false">IF(Z533&gt;360,Z533-360,Z533+0)</f>
        <v>178</v>
      </c>
    </row>
    <row r="534" customFormat="false" ht="15.8" hidden="false" customHeight="false" outlineLevel="0" collapsed="false">
      <c r="A534" s="1" t="n">
        <v>13</v>
      </c>
      <c r="B534" s="1" t="n">
        <v>9</v>
      </c>
      <c r="C534" s="1" t="n">
        <v>4.4</v>
      </c>
      <c r="D534" s="1" t="n">
        <v>1.4153</v>
      </c>
      <c r="E534" s="1" t="n">
        <v>0.157687</v>
      </c>
      <c r="F534" s="1" t="n">
        <v>0.000453246</v>
      </c>
      <c r="G534" s="1" t="s">
        <v>27</v>
      </c>
      <c r="H534" s="1" t="n">
        <v>44.5</v>
      </c>
      <c r="I534" s="1" t="n">
        <v>142.7</v>
      </c>
      <c r="J534" s="1" t="n">
        <v>49.3</v>
      </c>
      <c r="K534" s="1"/>
      <c r="L534" s="1" t="n">
        <v>0</v>
      </c>
      <c r="M534" s="1" t="n">
        <v>0</v>
      </c>
      <c r="N534" s="1" t="s">
        <v>362</v>
      </c>
      <c r="O534" s="1"/>
      <c r="P534" s="1"/>
      <c r="Q534" s="1"/>
      <c r="R534" s="1"/>
      <c r="Z534" s="0" t="n">
        <f aca="false">I534+0</f>
        <v>142.7</v>
      </c>
      <c r="AB534" s="0" t="n">
        <f aca="false">IF(Z534&gt;360,Z534-360,Z534+0)</f>
        <v>142.7</v>
      </c>
    </row>
    <row r="535" customFormat="false" ht="15.8" hidden="false" customHeight="false" outlineLevel="0" collapsed="false">
      <c r="A535" s="1" t="n">
        <v>13</v>
      </c>
      <c r="B535" s="1" t="n">
        <v>8</v>
      </c>
      <c r="C535" s="1" t="n">
        <v>2.1</v>
      </c>
      <c r="D535" s="1" t="n">
        <v>1.218</v>
      </c>
      <c r="E535" s="1" t="n">
        <v>0.0757998</v>
      </c>
      <c r="F535" s="1" t="n">
        <v>0.000217874</v>
      </c>
      <c r="G535" s="1" t="s">
        <v>42</v>
      </c>
      <c r="H535" s="1" t="n">
        <v>69.2</v>
      </c>
      <c r="I535" s="1" t="n">
        <v>111.3</v>
      </c>
      <c r="J535" s="1" t="n">
        <v>13.1</v>
      </c>
      <c r="K535" s="1" t="n">
        <v>70</v>
      </c>
      <c r="L535" s="1" t="n">
        <v>0</v>
      </c>
      <c r="M535" s="1" t="n">
        <v>0</v>
      </c>
      <c r="N535" s="1" t="s">
        <v>349</v>
      </c>
      <c r="O535" s="1"/>
      <c r="P535" s="1"/>
      <c r="Q535" s="1"/>
      <c r="R535" s="1"/>
      <c r="Z535" s="0" t="n">
        <f aca="false">I535+0</f>
        <v>111.3</v>
      </c>
      <c r="AB535" s="0" t="n">
        <f aca="false">IF(Z535&gt;360,Z535-360,Z535+0)</f>
        <v>111.3</v>
      </c>
    </row>
    <row r="536" customFormat="false" ht="15.8" hidden="false" customHeight="false" outlineLevel="0" collapsed="false">
      <c r="A536" s="1" t="n">
        <v>13</v>
      </c>
      <c r="B536" s="1" t="n">
        <v>7</v>
      </c>
      <c r="C536" s="1" t="n">
        <v>7</v>
      </c>
      <c r="D536" s="1" t="n">
        <v>1.2836</v>
      </c>
      <c r="E536" s="1" t="n">
        <v>0.252686</v>
      </c>
      <c r="F536" s="1" t="n">
        <v>0.000726304</v>
      </c>
      <c r="G536" s="1" t="s">
        <v>42</v>
      </c>
      <c r="H536" s="1" t="n">
        <v>13.5</v>
      </c>
      <c r="I536" s="1" t="n">
        <v>170.3</v>
      </c>
      <c r="J536" s="1" t="n">
        <v>-25.4</v>
      </c>
      <c r="K536" s="1" t="n">
        <v>69.2</v>
      </c>
      <c r="L536" s="1" t="n">
        <v>0</v>
      </c>
      <c r="M536" s="1" t="n">
        <v>0</v>
      </c>
      <c r="N536" s="1" t="s">
        <v>331</v>
      </c>
      <c r="O536" s="1"/>
      <c r="P536" s="1"/>
      <c r="Q536" s="1"/>
      <c r="R536" s="1"/>
      <c r="Z536" s="0" t="n">
        <f aca="false">I536+0</f>
        <v>170.3</v>
      </c>
      <c r="AB536" s="0" t="n">
        <f aca="false">IF(Z536&gt;360,Z536-360,Z536+0)</f>
        <v>170.3</v>
      </c>
    </row>
    <row r="537" customFormat="false" ht="15.8" hidden="false" customHeight="false" outlineLevel="0" collapsed="false">
      <c r="A537" s="1" t="n">
        <v>13</v>
      </c>
      <c r="B537" s="1" t="n">
        <v>6</v>
      </c>
      <c r="C537" s="1" t="n">
        <v>2.8</v>
      </c>
      <c r="D537" s="1" t="n">
        <v>1.3628</v>
      </c>
      <c r="E537" s="1" t="n">
        <v>0.100747</v>
      </c>
      <c r="F537" s="1" t="n">
        <v>0.000289579</v>
      </c>
      <c r="G537" s="1" t="s">
        <v>42</v>
      </c>
      <c r="H537" s="1" t="n">
        <v>20.8</v>
      </c>
      <c r="I537" s="1" t="n">
        <v>181.6</v>
      </c>
      <c r="J537" s="1" t="n">
        <v>-34.9</v>
      </c>
      <c r="K537" s="1" t="n">
        <v>34</v>
      </c>
      <c r="L537" s="1" t="n">
        <v>0</v>
      </c>
      <c r="M537" s="1" t="n">
        <v>0</v>
      </c>
      <c r="N537" s="1" t="s">
        <v>363</v>
      </c>
      <c r="O537" s="1"/>
      <c r="P537" s="1"/>
      <c r="Q537" s="1"/>
      <c r="R537" s="1"/>
      <c r="Z537" s="0" t="n">
        <f aca="false">I537+0</f>
        <v>181.6</v>
      </c>
      <c r="AB537" s="0" t="n">
        <f aca="false">IF(Z537&gt;360,Z537-360,Z537+0)</f>
        <v>181.6</v>
      </c>
    </row>
    <row r="538" customFormat="false" ht="15.8" hidden="false" customHeight="false" outlineLevel="0" collapsed="false">
      <c r="A538" s="1" t="n">
        <v>13</v>
      </c>
      <c r="B538" s="1" t="n">
        <v>7</v>
      </c>
      <c r="C538" s="1" t="n">
        <v>1.3</v>
      </c>
      <c r="D538" s="1" t="n">
        <v>1.2072</v>
      </c>
      <c r="E538" s="1" t="n">
        <v>0.0459453</v>
      </c>
      <c r="F538" s="1" t="n">
        <v>0.000132062</v>
      </c>
      <c r="G538" s="1" t="s">
        <v>27</v>
      </c>
      <c r="H538" s="1" t="n">
        <v>58.1</v>
      </c>
      <c r="I538" s="1" t="n">
        <v>193.1</v>
      </c>
      <c r="J538" s="1" t="n">
        <v>-47.8</v>
      </c>
      <c r="K538" s="1"/>
      <c r="L538" s="1" t="n">
        <v>0</v>
      </c>
      <c r="M538" s="1" t="n">
        <v>0</v>
      </c>
      <c r="N538" s="1" t="s">
        <v>364</v>
      </c>
      <c r="O538" s="1"/>
      <c r="P538" s="1"/>
      <c r="Q538" s="1"/>
      <c r="R538" s="1"/>
      <c r="Z538" s="0" t="n">
        <f aca="false">I538+0</f>
        <v>193.1</v>
      </c>
      <c r="AB538" s="0" t="n">
        <f aca="false">IF(Z538&gt;360,Z538-360,Z538+0)</f>
        <v>193.1</v>
      </c>
    </row>
    <row r="539" customFormat="false" ht="15.8" hidden="false" customHeight="false" outlineLevel="0" collapsed="false">
      <c r="A539" s="1" t="n">
        <v>13</v>
      </c>
      <c r="B539" s="1" t="n">
        <v>7</v>
      </c>
      <c r="C539" s="1" t="n">
        <v>1.1</v>
      </c>
      <c r="D539" s="1" t="n">
        <v>1.2404</v>
      </c>
      <c r="E539" s="1" t="n">
        <v>0.0397492</v>
      </c>
      <c r="F539" s="1" t="n">
        <v>0.000114252</v>
      </c>
      <c r="G539" s="1" t="s">
        <v>27</v>
      </c>
      <c r="H539" s="1" t="n">
        <v>87</v>
      </c>
      <c r="I539" s="1" t="n">
        <v>315</v>
      </c>
      <c r="J539" s="1" t="n">
        <v>-61.5</v>
      </c>
      <c r="K539" s="1"/>
      <c r="L539" s="1" t="n">
        <v>0</v>
      </c>
      <c r="M539" s="1" t="n">
        <v>0</v>
      </c>
      <c r="N539" s="1" t="s">
        <v>364</v>
      </c>
      <c r="O539" s="1"/>
      <c r="P539" s="1"/>
      <c r="Q539" s="1"/>
      <c r="R539" s="1"/>
      <c r="Z539" s="0" t="n">
        <f aca="false">I539+0</f>
        <v>315</v>
      </c>
      <c r="AB539" s="0" t="n">
        <f aca="false">IF(Z539&gt;360,Z539-360,Z539+0)</f>
        <v>315</v>
      </c>
    </row>
    <row r="540" customFormat="false" ht="15.8" hidden="false" customHeight="false" outlineLevel="0" collapsed="false">
      <c r="A540" s="1" t="n">
        <v>13</v>
      </c>
      <c r="B540" s="1" t="n">
        <v>6</v>
      </c>
      <c r="C540" s="1" t="n">
        <v>2</v>
      </c>
      <c r="D540" s="1" t="n">
        <v>1.1419</v>
      </c>
      <c r="E540" s="1" t="n">
        <v>0.0735428</v>
      </c>
      <c r="F540" s="1" t="n">
        <v>0.000211387</v>
      </c>
      <c r="G540" s="1" t="s">
        <v>42</v>
      </c>
      <c r="H540" s="1" t="n">
        <v>76.5</v>
      </c>
      <c r="I540" s="1" t="n">
        <v>231.3</v>
      </c>
      <c r="J540" s="1" t="n">
        <v>0</v>
      </c>
      <c r="K540" s="1" t="n">
        <v>87</v>
      </c>
      <c r="L540" s="1" t="n">
        <v>0</v>
      </c>
      <c r="M540" s="1" t="n">
        <v>0</v>
      </c>
      <c r="N540" s="1" t="s">
        <v>363</v>
      </c>
      <c r="O540" s="1"/>
      <c r="P540" s="1"/>
      <c r="Q540" s="1"/>
      <c r="R540" s="1"/>
      <c r="Z540" s="0" t="n">
        <f aca="false">I540+0</f>
        <v>231.3</v>
      </c>
      <c r="AB540" s="0" t="n">
        <f aca="false">IF(Z540&gt;360,Z540-360,Z540+0)</f>
        <v>231.3</v>
      </c>
    </row>
    <row r="541" customFormat="false" ht="15.8" hidden="false" customHeight="false" outlineLevel="0" collapsed="false">
      <c r="A541" s="1" t="n">
        <v>13</v>
      </c>
      <c r="B541" s="1" t="n">
        <v>5</v>
      </c>
      <c r="C541" s="1" t="n">
        <v>6.2</v>
      </c>
      <c r="D541" s="1" t="n">
        <v>1.3594</v>
      </c>
      <c r="E541" s="1" t="n">
        <v>0.222472</v>
      </c>
      <c r="F541" s="1" t="n">
        <v>0.000639458</v>
      </c>
      <c r="G541" s="1" t="s">
        <v>42</v>
      </c>
      <c r="H541" s="1" t="n">
        <v>57.2</v>
      </c>
      <c r="I541" s="1" t="n">
        <v>157.2</v>
      </c>
      <c r="J541" s="1" t="n">
        <v>-31.1</v>
      </c>
      <c r="K541" s="1" t="n">
        <v>76.5</v>
      </c>
      <c r="L541" s="1" t="n">
        <v>0</v>
      </c>
      <c r="M541" s="1" t="n">
        <v>0</v>
      </c>
      <c r="N541" s="1" t="s">
        <v>365</v>
      </c>
      <c r="O541" s="1"/>
      <c r="P541" s="1"/>
      <c r="Q541" s="1"/>
      <c r="R541" s="1"/>
      <c r="Z541" s="0" t="n">
        <f aca="false">I541+0</f>
        <v>157.2</v>
      </c>
      <c r="AB541" s="0" t="n">
        <f aca="false">IF(Z541&gt;360,Z541-360,Z541+0)</f>
        <v>157.2</v>
      </c>
    </row>
    <row r="542" customFormat="false" ht="15.8" hidden="false" customHeight="false" outlineLevel="0" collapsed="false">
      <c r="A542" s="1" t="n">
        <v>13</v>
      </c>
      <c r="B542" s="1" t="n">
        <v>11</v>
      </c>
      <c r="C542" s="1" t="n">
        <v>2.8</v>
      </c>
      <c r="D542" s="1" t="n">
        <v>1.179</v>
      </c>
      <c r="E542" s="1" t="n">
        <v>0.100308</v>
      </c>
      <c r="F542" s="1" t="n">
        <v>0.000288319</v>
      </c>
      <c r="G542" s="1" t="s">
        <v>27</v>
      </c>
      <c r="H542" s="1" t="n">
        <v>58.6</v>
      </c>
      <c r="I542" s="1" t="n">
        <v>219.8</v>
      </c>
      <c r="J542" s="1" t="n">
        <v>83.4</v>
      </c>
      <c r="K542" s="1"/>
      <c r="L542" s="1" t="n">
        <v>0</v>
      </c>
      <c r="M542" s="1" t="n">
        <v>0</v>
      </c>
      <c r="N542" s="1" t="s">
        <v>366</v>
      </c>
      <c r="O542" s="1"/>
      <c r="P542" s="1"/>
      <c r="Q542" s="1"/>
      <c r="R542" s="1"/>
      <c r="Z542" s="0" t="n">
        <f aca="false">I542+0</f>
        <v>219.8</v>
      </c>
      <c r="AB542" s="0" t="n">
        <f aca="false">IF(Z542&gt;360,Z542-360,Z542+0)</f>
        <v>219.8</v>
      </c>
    </row>
    <row r="543" customFormat="false" ht="15.8" hidden="false" customHeight="false" outlineLevel="0" collapsed="false">
      <c r="A543" s="1" t="n">
        <v>13</v>
      </c>
      <c r="B543" s="1" t="n">
        <v>11</v>
      </c>
      <c r="C543" s="1" t="n">
        <v>2.9</v>
      </c>
      <c r="D543" s="1" t="n">
        <v>1.3373</v>
      </c>
      <c r="E543" s="1" t="n">
        <v>0.105036</v>
      </c>
      <c r="F543" s="1" t="n">
        <v>0.000301908</v>
      </c>
      <c r="G543" s="1" t="s">
        <v>27</v>
      </c>
      <c r="H543" s="1" t="n">
        <v>33.9</v>
      </c>
      <c r="I543" s="1" t="n">
        <v>160.2</v>
      </c>
      <c r="J543" s="1" t="n">
        <v>32.6</v>
      </c>
      <c r="K543" s="1"/>
      <c r="L543" s="1" t="n">
        <v>0</v>
      </c>
      <c r="M543" s="1" t="n">
        <v>0</v>
      </c>
      <c r="N543" s="1" t="s">
        <v>366</v>
      </c>
      <c r="O543" s="1"/>
      <c r="P543" s="1"/>
      <c r="Q543" s="1"/>
      <c r="R543" s="1"/>
      <c r="Z543" s="0" t="n">
        <f aca="false">I543+0</f>
        <v>160.2</v>
      </c>
      <c r="AB543" s="0" t="n">
        <f aca="false">IF(Z543&gt;360,Z543-360,Z543+0)</f>
        <v>160.2</v>
      </c>
    </row>
    <row r="544" customFormat="false" ht="15.8" hidden="false" customHeight="false" outlineLevel="0" collapsed="false">
      <c r="A544" s="1" t="n">
        <v>13</v>
      </c>
      <c r="B544" s="1" t="n">
        <v>10</v>
      </c>
      <c r="C544" s="1" t="n">
        <v>4.5</v>
      </c>
      <c r="D544" s="1" t="n">
        <v>1.2371</v>
      </c>
      <c r="E544" s="1" t="n">
        <v>0.162863</v>
      </c>
      <c r="F544" s="1" t="n">
        <v>0.000468124</v>
      </c>
      <c r="G544" s="1" t="s">
        <v>42</v>
      </c>
      <c r="H544" s="1" t="n">
        <v>15</v>
      </c>
      <c r="I544" s="1" t="n">
        <v>198.3</v>
      </c>
      <c r="J544" s="1" t="n">
        <v>25.3</v>
      </c>
      <c r="K544" s="1" t="n">
        <v>58.6</v>
      </c>
      <c r="L544" s="1" t="n">
        <v>0</v>
      </c>
      <c r="M544" s="1" t="n">
        <v>0</v>
      </c>
      <c r="N544" s="1" t="s">
        <v>367</v>
      </c>
      <c r="O544" s="1"/>
      <c r="P544" s="1"/>
      <c r="Q544" s="1"/>
      <c r="R544" s="1"/>
      <c r="Z544" s="0" t="n">
        <f aca="false">I544+0</f>
        <v>198.3</v>
      </c>
      <c r="AB544" s="0" t="n">
        <f aca="false">IF(Z544&gt;360,Z544-360,Z544+0)</f>
        <v>198.3</v>
      </c>
    </row>
    <row r="545" customFormat="false" ht="15.8" hidden="false" customHeight="false" outlineLevel="0" collapsed="false">
      <c r="A545" s="1" t="n">
        <v>13</v>
      </c>
      <c r="B545" s="1" t="n">
        <v>10</v>
      </c>
      <c r="C545" s="1" t="n">
        <v>4</v>
      </c>
      <c r="D545" s="1" t="n">
        <v>2.1042</v>
      </c>
      <c r="E545" s="1" t="n">
        <v>0.146063</v>
      </c>
      <c r="F545" s="1" t="n">
        <v>0.000419835</v>
      </c>
      <c r="G545" s="1" t="s">
        <v>27</v>
      </c>
      <c r="H545" s="1" t="n">
        <v>48.6</v>
      </c>
      <c r="I545" s="1" t="n">
        <v>160.5</v>
      </c>
      <c r="J545" s="1" t="n">
        <v>-23.9</v>
      </c>
      <c r="K545" s="1"/>
      <c r="L545" s="1" t="n">
        <v>0</v>
      </c>
      <c r="M545" s="1" t="n">
        <v>0</v>
      </c>
      <c r="N545" s="1" t="s">
        <v>367</v>
      </c>
      <c r="O545" s="1"/>
      <c r="P545" s="1"/>
      <c r="Q545" s="1"/>
      <c r="R545" s="1"/>
      <c r="Z545" s="0" t="n">
        <f aca="false">I545+0</f>
        <v>160.5</v>
      </c>
      <c r="AB545" s="0" t="n">
        <f aca="false">IF(Z545&gt;360,Z545-360,Z545+0)</f>
        <v>160.5</v>
      </c>
    </row>
    <row r="546" customFormat="false" ht="15.8" hidden="false" customHeight="false" outlineLevel="0" collapsed="false">
      <c r="A546" s="1" t="n">
        <v>13</v>
      </c>
      <c r="B546" s="1" t="n">
        <v>9</v>
      </c>
      <c r="C546" s="1" t="n">
        <v>8</v>
      </c>
      <c r="D546" s="1" t="n">
        <v>1.2556</v>
      </c>
      <c r="E546" s="1" t="n">
        <v>0.288907</v>
      </c>
      <c r="F546" s="1" t="n">
        <v>0.000830416</v>
      </c>
      <c r="G546" s="1" t="s">
        <v>42</v>
      </c>
      <c r="H546" s="1" t="n">
        <v>26.8</v>
      </c>
      <c r="I546" s="1" t="n">
        <v>195.4</v>
      </c>
      <c r="J546" s="1" t="n">
        <v>10.6</v>
      </c>
      <c r="K546" s="1" t="n">
        <v>48.6</v>
      </c>
      <c r="L546" s="1" t="n">
        <v>0</v>
      </c>
      <c r="M546" s="1" t="n">
        <v>0</v>
      </c>
      <c r="N546" s="1" t="s">
        <v>368</v>
      </c>
      <c r="O546" s="1"/>
      <c r="P546" s="1"/>
      <c r="Q546" s="1"/>
      <c r="R546" s="1"/>
      <c r="Z546" s="0" t="n">
        <f aca="false">I546+0</f>
        <v>195.4</v>
      </c>
      <c r="AB546" s="0" t="n">
        <f aca="false">IF(Z546&gt;360,Z546-360,Z546+0)</f>
        <v>195.4</v>
      </c>
    </row>
    <row r="547" customFormat="false" ht="15.8" hidden="false" customHeight="false" outlineLevel="0" collapsed="false">
      <c r="A547" s="1" t="n">
        <v>13</v>
      </c>
      <c r="B547" s="1" t="n">
        <v>11</v>
      </c>
      <c r="C547" s="1" t="n">
        <v>8.9</v>
      </c>
      <c r="D547" s="1" t="n">
        <v>1.4237</v>
      </c>
      <c r="E547" s="1" t="n">
        <v>0.32078</v>
      </c>
      <c r="F547" s="1" t="n">
        <v>0.000922029</v>
      </c>
      <c r="G547" s="1" t="s">
        <v>27</v>
      </c>
      <c r="H547" s="1" t="n">
        <v>59.9</v>
      </c>
      <c r="I547" s="1" t="n">
        <v>266.3</v>
      </c>
      <c r="J547" s="1" t="n">
        <v>-48.6</v>
      </c>
      <c r="K547" s="1"/>
      <c r="L547" s="1" t="n">
        <v>0</v>
      </c>
      <c r="M547" s="1" t="n">
        <v>0</v>
      </c>
      <c r="N547" s="1" t="s">
        <v>369</v>
      </c>
      <c r="O547" s="1"/>
      <c r="P547" s="1"/>
      <c r="Q547" s="1"/>
      <c r="R547" s="1"/>
      <c r="Z547" s="0" t="n">
        <f aca="false">I547+0</f>
        <v>266.3</v>
      </c>
      <c r="AB547" s="0" t="n">
        <f aca="false">IF(Z547&gt;360,Z547-360,Z547+0)</f>
        <v>266.3</v>
      </c>
    </row>
    <row r="548" customFormat="false" ht="15.8" hidden="false" customHeight="false" outlineLevel="0" collapsed="false">
      <c r="A548" s="1" t="n">
        <v>13</v>
      </c>
      <c r="B548" s="1" t="n">
        <v>11</v>
      </c>
      <c r="C548" s="1" t="n">
        <v>1.2</v>
      </c>
      <c r="D548" s="1" t="n">
        <v>1.1728</v>
      </c>
      <c r="E548" s="1" t="n">
        <v>0.0426191</v>
      </c>
      <c r="F548" s="1" t="n">
        <v>0.000122501</v>
      </c>
      <c r="G548" s="1" t="s">
        <v>27</v>
      </c>
      <c r="H548" s="1" t="n">
        <v>92.4</v>
      </c>
      <c r="I548" s="1" t="n">
        <v>133</v>
      </c>
      <c r="J548" s="1" t="n">
        <v>22.8</v>
      </c>
      <c r="K548" s="1"/>
      <c r="L548" s="1" t="n">
        <v>0</v>
      </c>
      <c r="M548" s="1" t="n">
        <v>0</v>
      </c>
      <c r="N548" s="1" t="s">
        <v>369</v>
      </c>
      <c r="O548" s="1"/>
      <c r="P548" s="1"/>
      <c r="Q548" s="1"/>
      <c r="R548" s="1"/>
      <c r="Z548" s="0" t="n">
        <f aca="false">I548+0</f>
        <v>133</v>
      </c>
      <c r="AB548" s="0" t="n">
        <f aca="false">IF(Z548&gt;360,Z548-360,Z548+0)</f>
        <v>133</v>
      </c>
    </row>
    <row r="549" customFormat="false" ht="15.8" hidden="false" customHeight="false" outlineLevel="0" collapsed="false">
      <c r="A549" s="1" t="n">
        <v>13</v>
      </c>
      <c r="B549" s="1" t="n">
        <v>10</v>
      </c>
      <c r="C549" s="1" t="n">
        <v>1.9</v>
      </c>
      <c r="D549" s="1" t="n">
        <v>1.1469</v>
      </c>
      <c r="E549" s="1" t="n">
        <v>0.0687089</v>
      </c>
      <c r="F549" s="1" t="n">
        <v>0.000197492</v>
      </c>
      <c r="G549" s="1" t="s">
        <v>42</v>
      </c>
      <c r="H549" s="1" t="n">
        <v>45.8</v>
      </c>
      <c r="I549" s="1" t="n">
        <v>225.6</v>
      </c>
      <c r="J549" s="1" t="n">
        <v>0</v>
      </c>
      <c r="K549" s="1" t="n">
        <v>92.4</v>
      </c>
      <c r="L549" s="1" t="n">
        <v>0</v>
      </c>
      <c r="M549" s="1" t="n">
        <v>0</v>
      </c>
      <c r="N549" s="1" t="s">
        <v>370</v>
      </c>
      <c r="O549" s="1"/>
      <c r="P549" s="1"/>
      <c r="Q549" s="1"/>
      <c r="R549" s="1"/>
      <c r="Z549" s="0" t="n">
        <f aca="false">I549+0</f>
        <v>225.6</v>
      </c>
      <c r="AB549" s="0" t="n">
        <f aca="false">IF(Z549&gt;360,Z549-360,Z549+0)</f>
        <v>225.6</v>
      </c>
    </row>
    <row r="550" customFormat="false" ht="15.8" hidden="false" customHeight="false" outlineLevel="0" collapsed="false">
      <c r="A550" s="1" t="n">
        <v>13</v>
      </c>
      <c r="B550" s="1" t="n">
        <v>10</v>
      </c>
      <c r="C550" s="1" t="n">
        <v>1.4</v>
      </c>
      <c r="D550" s="1" t="n">
        <v>1.0798</v>
      </c>
      <c r="E550" s="1" t="n">
        <v>0.050868</v>
      </c>
      <c r="F550" s="1" t="n">
        <v>0.000146212</v>
      </c>
      <c r="G550" s="1" t="s">
        <v>27</v>
      </c>
      <c r="H550" s="1" t="n">
        <v>67.1</v>
      </c>
      <c r="I550" s="1" t="n">
        <v>151.4</v>
      </c>
      <c r="J550" s="1" t="n">
        <v>-63.8</v>
      </c>
      <c r="K550" s="1"/>
      <c r="L550" s="1" t="n">
        <v>0</v>
      </c>
      <c r="M550" s="1" t="n">
        <v>0</v>
      </c>
      <c r="N550" s="1" t="s">
        <v>370</v>
      </c>
      <c r="O550" s="1"/>
      <c r="P550" s="1"/>
      <c r="Q550" s="1"/>
      <c r="R550" s="1"/>
      <c r="Z550" s="0" t="n">
        <f aca="false">I550+0</f>
        <v>151.4</v>
      </c>
      <c r="AB550" s="0" t="n">
        <f aca="false">IF(Z550&gt;360,Z550-360,Z550+0)</f>
        <v>151.4</v>
      </c>
    </row>
    <row r="551" customFormat="false" ht="15.8" hidden="false" customHeight="false" outlineLevel="0" collapsed="false">
      <c r="A551" s="1" t="n">
        <v>13</v>
      </c>
      <c r="B551" s="1" t="n">
        <v>9</v>
      </c>
      <c r="C551" s="1" t="n">
        <v>3.8</v>
      </c>
      <c r="D551" s="1" t="n">
        <v>1.209</v>
      </c>
      <c r="E551" s="1" t="n">
        <v>0.138572</v>
      </c>
      <c r="F551" s="1" t="n">
        <v>0.000398301</v>
      </c>
      <c r="G551" s="1" t="s">
        <v>42</v>
      </c>
      <c r="H551" s="1" t="n">
        <v>33.5</v>
      </c>
      <c r="I551" s="1" t="n">
        <v>179.8</v>
      </c>
      <c r="J551" s="1" t="n">
        <v>0</v>
      </c>
      <c r="K551" s="1" t="n">
        <v>67.1</v>
      </c>
      <c r="L551" s="1" t="n">
        <v>0</v>
      </c>
      <c r="M551" s="1" t="n">
        <v>0</v>
      </c>
      <c r="N551" s="1" t="s">
        <v>368</v>
      </c>
      <c r="O551" s="1"/>
      <c r="P551" s="1"/>
      <c r="Q551" s="1"/>
      <c r="R551" s="1"/>
      <c r="Z551" s="0" t="n">
        <f aca="false">I551+0</f>
        <v>179.8</v>
      </c>
      <c r="AB551" s="0" t="n">
        <f aca="false">IF(Z551&gt;360,Z551-360,Z551+0)</f>
        <v>179.8</v>
      </c>
    </row>
    <row r="552" customFormat="false" ht="15.8" hidden="false" customHeight="false" outlineLevel="0" collapsed="false">
      <c r="A552" s="1" t="n">
        <v>13</v>
      </c>
      <c r="B552" s="1" t="n">
        <v>8</v>
      </c>
      <c r="C552" s="1" t="n">
        <v>2.4</v>
      </c>
      <c r="D552" s="1" t="n">
        <v>1.1269</v>
      </c>
      <c r="E552" s="1" t="n">
        <v>0.0851315</v>
      </c>
      <c r="F552" s="1" t="n">
        <v>0.000244696</v>
      </c>
      <c r="G552" s="1" t="s">
        <v>42</v>
      </c>
      <c r="H552" s="1" t="n">
        <v>63.1</v>
      </c>
      <c r="I552" s="1" t="n">
        <v>211.7</v>
      </c>
      <c r="J552" s="1" t="n">
        <v>-10.7</v>
      </c>
      <c r="K552" s="1" t="n">
        <v>33.5</v>
      </c>
      <c r="L552" s="1" t="n">
        <v>0</v>
      </c>
      <c r="M552" s="1" t="n">
        <v>0</v>
      </c>
      <c r="N552" s="1" t="s">
        <v>371</v>
      </c>
      <c r="O552" s="1"/>
      <c r="P552" s="1"/>
      <c r="Q552" s="1"/>
      <c r="R552" s="1"/>
      <c r="Z552" s="0" t="n">
        <f aca="false">I552+0</f>
        <v>211.7</v>
      </c>
      <c r="AB552" s="0" t="n">
        <f aca="false">IF(Z552&gt;360,Z552-360,Z552+0)</f>
        <v>211.7</v>
      </c>
    </row>
    <row r="553" customFormat="false" ht="15.8" hidden="false" customHeight="false" outlineLevel="0" collapsed="false">
      <c r="A553" s="1" t="n">
        <v>13</v>
      </c>
      <c r="B553" s="1" t="n">
        <v>12</v>
      </c>
      <c r="C553" s="1" t="n">
        <v>1.5</v>
      </c>
      <c r="D553" s="1" t="n">
        <v>1.2439</v>
      </c>
      <c r="E553" s="1" t="n">
        <v>0.0543584</v>
      </c>
      <c r="F553" s="1" t="n">
        <v>0.000156244</v>
      </c>
      <c r="G553" s="1" t="s">
        <v>27</v>
      </c>
      <c r="H553" s="1" t="n">
        <v>19.7</v>
      </c>
      <c r="I553" s="1" t="n">
        <v>173.7</v>
      </c>
      <c r="J553" s="1" t="n">
        <v>-18.8</v>
      </c>
      <c r="K553" s="1"/>
      <c r="L553" s="1" t="n">
        <v>0</v>
      </c>
      <c r="M553" s="1" t="n">
        <v>0</v>
      </c>
      <c r="N553" s="1" t="s">
        <v>372</v>
      </c>
      <c r="O553" s="1"/>
      <c r="P553" s="1"/>
      <c r="Q553" s="1"/>
      <c r="R553" s="1"/>
      <c r="Z553" s="0" t="n">
        <f aca="false">I553+0</f>
        <v>173.7</v>
      </c>
      <c r="AB553" s="0" t="n">
        <f aca="false">IF(Z553&gt;360,Z553-360,Z553+0)</f>
        <v>173.7</v>
      </c>
    </row>
    <row r="554" customFormat="false" ht="15.8" hidden="false" customHeight="false" outlineLevel="0" collapsed="false">
      <c r="A554" s="1" t="n">
        <v>13</v>
      </c>
      <c r="B554" s="1" t="n">
        <v>12</v>
      </c>
      <c r="C554" s="1" t="n">
        <v>1.9</v>
      </c>
      <c r="D554" s="1" t="n">
        <v>1.1621</v>
      </c>
      <c r="E554" s="1" t="n">
        <v>0.0703239</v>
      </c>
      <c r="F554" s="1" t="n">
        <v>0.000202134</v>
      </c>
      <c r="G554" s="1" t="s">
        <v>27</v>
      </c>
      <c r="H554" s="1" t="n">
        <v>51.7</v>
      </c>
      <c r="I554" s="1" t="n">
        <v>131.2</v>
      </c>
      <c r="J554" s="1" t="n">
        <v>-68.6</v>
      </c>
      <c r="K554" s="1"/>
      <c r="L554" s="1" t="n">
        <v>0</v>
      </c>
      <c r="M554" s="1" t="n">
        <v>0</v>
      </c>
      <c r="N554" s="1" t="s">
        <v>372</v>
      </c>
      <c r="O554" s="1"/>
      <c r="P554" s="1"/>
      <c r="Q554" s="1"/>
      <c r="R554" s="1"/>
      <c r="Z554" s="0" t="n">
        <f aca="false">I554+0</f>
        <v>131.2</v>
      </c>
      <c r="AB554" s="0" t="n">
        <f aca="false">IF(Z554&gt;360,Z554-360,Z554+0)</f>
        <v>131.2</v>
      </c>
    </row>
    <row r="555" customFormat="false" ht="15.8" hidden="false" customHeight="false" outlineLevel="0" collapsed="false">
      <c r="A555" s="1" t="n">
        <v>13</v>
      </c>
      <c r="B555" s="1" t="n">
        <v>11</v>
      </c>
      <c r="C555" s="1" t="n">
        <v>11.1</v>
      </c>
      <c r="D555" s="1" t="n">
        <v>1.4128</v>
      </c>
      <c r="E555" s="1" t="n">
        <v>0.399346</v>
      </c>
      <c r="F555" s="1" t="n">
        <v>0.00114785</v>
      </c>
      <c r="G555" s="1" t="s">
        <v>42</v>
      </c>
      <c r="H555" s="1" t="n">
        <v>12.7</v>
      </c>
      <c r="I555" s="1" t="n">
        <v>191.6</v>
      </c>
      <c r="J555" s="1" t="n">
        <v>-29.9</v>
      </c>
      <c r="K555" s="1" t="n">
        <v>51.7</v>
      </c>
      <c r="L555" s="1" t="n">
        <v>0</v>
      </c>
      <c r="M555" s="1" t="n">
        <v>0</v>
      </c>
      <c r="N555" s="1" t="s">
        <v>373</v>
      </c>
      <c r="O555" s="1"/>
      <c r="P555" s="1"/>
      <c r="Q555" s="1"/>
      <c r="R555" s="1"/>
      <c r="Z555" s="0" t="n">
        <f aca="false">I555+0</f>
        <v>191.6</v>
      </c>
      <c r="AB555" s="0" t="n">
        <f aca="false">IF(Z555&gt;360,Z555-360,Z555+0)</f>
        <v>191.6</v>
      </c>
    </row>
    <row r="556" customFormat="false" ht="15.8" hidden="false" customHeight="false" outlineLevel="0" collapsed="false">
      <c r="A556" s="1" t="n">
        <v>13</v>
      </c>
      <c r="B556" s="1" t="n">
        <v>11</v>
      </c>
      <c r="C556" s="1" t="n">
        <v>0.9</v>
      </c>
      <c r="D556" s="1" t="n">
        <v>1.1826</v>
      </c>
      <c r="E556" s="1" t="n">
        <v>0.0311793</v>
      </c>
      <c r="F556" s="1" t="n">
        <v>8.96196E-005</v>
      </c>
      <c r="G556" s="1" t="s">
        <v>27</v>
      </c>
      <c r="H556" s="1" t="n">
        <v>82.7</v>
      </c>
      <c r="I556" s="1" t="n">
        <v>296.6</v>
      </c>
      <c r="J556" s="1" t="n">
        <v>-32.3</v>
      </c>
      <c r="K556" s="1"/>
      <c r="L556" s="1" t="n">
        <v>0</v>
      </c>
      <c r="M556" s="1" t="n">
        <v>0</v>
      </c>
      <c r="N556" s="1" t="s">
        <v>373</v>
      </c>
      <c r="O556" s="1"/>
      <c r="P556" s="1"/>
      <c r="Q556" s="1"/>
      <c r="R556" s="1"/>
      <c r="Z556" s="0" t="n">
        <f aca="false">I556+0</f>
        <v>296.6</v>
      </c>
      <c r="AB556" s="0" t="n">
        <f aca="false">IF(Z556&gt;360,Z556-360,Z556+0)</f>
        <v>296.6</v>
      </c>
    </row>
    <row r="557" customFormat="false" ht="15.8" hidden="false" customHeight="false" outlineLevel="0" collapsed="false">
      <c r="A557" s="1" t="n">
        <v>13</v>
      </c>
      <c r="B557" s="1" t="n">
        <v>10</v>
      </c>
      <c r="C557" s="1" t="n">
        <v>4.3</v>
      </c>
      <c r="D557" s="1" t="n">
        <v>1.2283</v>
      </c>
      <c r="E557" s="1" t="n">
        <v>0.156306</v>
      </c>
      <c r="F557" s="1" t="n">
        <v>0.000449276</v>
      </c>
      <c r="G557" s="1" t="s">
        <v>42</v>
      </c>
      <c r="H557" s="1" t="n">
        <v>44</v>
      </c>
      <c r="I557" s="1" t="n">
        <v>185.5</v>
      </c>
      <c r="J557" s="1" t="n">
        <v>-41.6</v>
      </c>
      <c r="K557" s="1" t="n">
        <v>82.7</v>
      </c>
      <c r="L557" s="1" t="n">
        <v>0</v>
      </c>
      <c r="M557" s="1" t="n">
        <v>0</v>
      </c>
      <c r="N557" s="1" t="s">
        <v>374</v>
      </c>
      <c r="O557" s="1"/>
      <c r="P557" s="1"/>
      <c r="Q557" s="1"/>
      <c r="R557" s="1"/>
      <c r="Z557" s="0" t="n">
        <f aca="false">I557+0</f>
        <v>185.5</v>
      </c>
      <c r="AB557" s="0" t="n">
        <f aca="false">IF(Z557&gt;360,Z557-360,Z557+0)</f>
        <v>185.5</v>
      </c>
    </row>
    <row r="558" customFormat="false" ht="15.8" hidden="false" customHeight="false" outlineLevel="0" collapsed="false">
      <c r="A558" s="1" t="n">
        <v>13</v>
      </c>
      <c r="B558" s="1" t="n">
        <v>10</v>
      </c>
      <c r="C558" s="1" t="n">
        <v>3.2</v>
      </c>
      <c r="D558" s="1" t="n">
        <v>1.1881</v>
      </c>
      <c r="E558" s="1" t="n">
        <v>0.114162</v>
      </c>
      <c r="F558" s="1" t="n">
        <v>0.000328139</v>
      </c>
      <c r="G558" s="1" t="s">
        <v>27</v>
      </c>
      <c r="H558" s="1" t="n">
        <v>86.1</v>
      </c>
      <c r="I558" s="1" t="n">
        <v>87.9</v>
      </c>
      <c r="J558" s="1" t="n">
        <v>61.6</v>
      </c>
      <c r="K558" s="1"/>
      <c r="L558" s="1" t="n">
        <v>0</v>
      </c>
      <c r="M558" s="1" t="n">
        <v>0</v>
      </c>
      <c r="N558" s="1" t="s">
        <v>374</v>
      </c>
      <c r="O558" s="1"/>
      <c r="P558" s="1"/>
      <c r="Q558" s="1"/>
      <c r="R558" s="1"/>
      <c r="Z558" s="0" t="n">
        <f aca="false">I558+0</f>
        <v>87.9</v>
      </c>
      <c r="AB558" s="0" t="n">
        <f aca="false">IF(Z558&gt;360,Z558-360,Z558+0)</f>
        <v>87.9</v>
      </c>
    </row>
    <row r="559" customFormat="false" ht="15.8" hidden="false" customHeight="false" outlineLevel="0" collapsed="false">
      <c r="A559" s="1" t="n">
        <v>13</v>
      </c>
      <c r="B559" s="1" t="n">
        <v>9</v>
      </c>
      <c r="C559" s="1" t="n">
        <v>2.8</v>
      </c>
      <c r="D559" s="1" t="n">
        <v>1.0611</v>
      </c>
      <c r="E559" s="1" t="n">
        <v>0.0993991</v>
      </c>
      <c r="F559" s="1" t="n">
        <v>0.000285706</v>
      </c>
      <c r="G559" s="1" t="s">
        <v>42</v>
      </c>
      <c r="H559" s="1" t="n">
        <v>61.1</v>
      </c>
      <c r="I559" s="1" t="n">
        <v>169.8</v>
      </c>
      <c r="J559" s="1" t="n">
        <v>0</v>
      </c>
      <c r="K559" s="1" t="n">
        <v>86.1</v>
      </c>
      <c r="L559" s="1" t="n">
        <v>0</v>
      </c>
      <c r="M559" s="1" t="n">
        <v>0</v>
      </c>
      <c r="N559" s="1" t="s">
        <v>375</v>
      </c>
      <c r="O559" s="1"/>
      <c r="P559" s="1"/>
      <c r="Q559" s="1"/>
      <c r="R559" s="1"/>
      <c r="Z559" s="0" t="n">
        <f aca="false">I559+0</f>
        <v>169.8</v>
      </c>
      <c r="AB559" s="0" t="n">
        <f aca="false">IF(Z559&gt;360,Z559-360,Z559+0)</f>
        <v>169.8</v>
      </c>
    </row>
    <row r="560" customFormat="false" ht="15.8" hidden="false" customHeight="false" outlineLevel="0" collapsed="false">
      <c r="A560" s="1" t="n">
        <v>13</v>
      </c>
      <c r="B560" s="1" t="n">
        <v>10</v>
      </c>
      <c r="C560" s="1" t="n">
        <v>5.6</v>
      </c>
      <c r="D560" s="1" t="n">
        <v>1.3306</v>
      </c>
      <c r="E560" s="1" t="n">
        <v>0.203254</v>
      </c>
      <c r="F560" s="1" t="n">
        <v>0.000584219</v>
      </c>
      <c r="G560" s="1" t="s">
        <v>27</v>
      </c>
      <c r="H560" s="1" t="n">
        <v>36.5</v>
      </c>
      <c r="I560" s="1" t="n">
        <v>160</v>
      </c>
      <c r="J560" s="1" t="n">
        <v>40.2</v>
      </c>
      <c r="K560" s="1"/>
      <c r="L560" s="1" t="n">
        <v>0</v>
      </c>
      <c r="M560" s="1" t="n">
        <v>0</v>
      </c>
      <c r="N560" s="1" t="s">
        <v>376</v>
      </c>
      <c r="O560" s="1"/>
      <c r="P560" s="1"/>
      <c r="Q560" s="1"/>
      <c r="R560" s="1"/>
      <c r="Z560" s="0" t="n">
        <f aca="false">I560+0</f>
        <v>160</v>
      </c>
      <c r="AB560" s="0" t="n">
        <f aca="false">IF(Z560&gt;360,Z560-360,Z560+0)</f>
        <v>160</v>
      </c>
    </row>
    <row r="561" customFormat="false" ht="15.8" hidden="false" customHeight="false" outlineLevel="0" collapsed="false">
      <c r="A561" s="1" t="n">
        <v>13</v>
      </c>
      <c r="B561" s="1" t="n">
        <v>10</v>
      </c>
      <c r="C561" s="1" t="n">
        <v>1.6</v>
      </c>
      <c r="D561" s="1" t="n">
        <v>1.169</v>
      </c>
      <c r="E561" s="1" t="n">
        <v>0.0583274</v>
      </c>
      <c r="F561" s="1" t="n">
        <v>0.000167653</v>
      </c>
      <c r="G561" s="1" t="s">
        <v>27</v>
      </c>
      <c r="H561" s="1" t="n">
        <v>64.2</v>
      </c>
      <c r="I561" s="1" t="n">
        <v>45.4</v>
      </c>
      <c r="J561" s="1" t="n">
        <v>16.4</v>
      </c>
      <c r="K561" s="1"/>
      <c r="L561" s="1" t="n">
        <v>0</v>
      </c>
      <c r="M561" s="1" t="n">
        <v>0</v>
      </c>
      <c r="N561" s="1" t="s">
        <v>376</v>
      </c>
      <c r="O561" s="1"/>
      <c r="P561" s="1"/>
      <c r="Q561" s="1"/>
      <c r="R561" s="1"/>
      <c r="Z561" s="0" t="n">
        <f aca="false">I561+0</f>
        <v>45.4</v>
      </c>
      <c r="AB561" s="0" t="n">
        <f aca="false">IF(Z561&gt;360,Z561-360,Z561+0)</f>
        <v>45.4</v>
      </c>
    </row>
    <row r="562" customFormat="false" ht="15.8" hidden="false" customHeight="false" outlineLevel="0" collapsed="false">
      <c r="A562" s="1" t="n">
        <v>13</v>
      </c>
      <c r="B562" s="1" t="n">
        <v>9</v>
      </c>
      <c r="C562" s="1" t="n">
        <v>1.5</v>
      </c>
      <c r="D562" s="1" t="n">
        <v>1.1069</v>
      </c>
      <c r="E562" s="1" t="n">
        <v>0.0528445</v>
      </c>
      <c r="F562" s="1" t="n">
        <v>0.000151893</v>
      </c>
      <c r="G562" s="1" t="s">
        <v>42</v>
      </c>
      <c r="H562" s="1" t="n">
        <v>24.2</v>
      </c>
      <c r="I562" s="1" t="n">
        <v>110.8</v>
      </c>
      <c r="J562" s="1" t="n">
        <v>62.3</v>
      </c>
      <c r="K562" s="1" t="n">
        <v>64.2</v>
      </c>
      <c r="L562" s="1" t="n">
        <v>0</v>
      </c>
      <c r="M562" s="1" t="n">
        <v>0</v>
      </c>
      <c r="N562" s="1" t="s">
        <v>375</v>
      </c>
      <c r="O562" s="1"/>
      <c r="P562" s="1"/>
      <c r="Q562" s="1"/>
      <c r="R562" s="1"/>
      <c r="Z562" s="0" t="n">
        <f aca="false">I562+0</f>
        <v>110.8</v>
      </c>
      <c r="AB562" s="0" t="n">
        <f aca="false">IF(Z562&gt;360,Z562-360,Z562+0)</f>
        <v>110.8</v>
      </c>
    </row>
    <row r="563" customFormat="false" ht="15.8" hidden="false" customHeight="false" outlineLevel="0" collapsed="false">
      <c r="A563" s="1" t="n">
        <v>13</v>
      </c>
      <c r="B563" s="1" t="n">
        <v>8</v>
      </c>
      <c r="C563" s="1" t="n">
        <v>2.2</v>
      </c>
      <c r="D563" s="1" t="n">
        <v>1.1898</v>
      </c>
      <c r="E563" s="1" t="n">
        <v>0.0807766</v>
      </c>
      <c r="F563" s="1" t="n">
        <v>0.000232179</v>
      </c>
      <c r="G563" s="1" t="s">
        <v>42</v>
      </c>
      <c r="H563" s="1" t="n">
        <v>41</v>
      </c>
      <c r="I563" s="1" t="n">
        <v>118</v>
      </c>
      <c r="J563" s="1" t="n">
        <v>38.5</v>
      </c>
      <c r="K563" s="1" t="n">
        <v>61.1</v>
      </c>
      <c r="L563" s="1" t="n">
        <v>0</v>
      </c>
      <c r="M563" s="1" t="n">
        <v>0</v>
      </c>
      <c r="N563" s="1" t="s">
        <v>371</v>
      </c>
      <c r="O563" s="1"/>
      <c r="P563" s="1"/>
      <c r="Q563" s="1"/>
      <c r="R563" s="1"/>
      <c r="Z563" s="0" t="n">
        <f aca="false">I563+0</f>
        <v>118</v>
      </c>
      <c r="AB563" s="0" t="n">
        <f aca="false">IF(Z563&gt;360,Z563-360,Z563+0)</f>
        <v>118</v>
      </c>
    </row>
    <row r="564" customFormat="false" ht="15.8" hidden="false" customHeight="false" outlineLevel="0" collapsed="false">
      <c r="A564" s="1" t="n">
        <v>13</v>
      </c>
      <c r="B564" s="1" t="n">
        <v>7</v>
      </c>
      <c r="C564" s="1" t="n">
        <v>2.4</v>
      </c>
      <c r="D564" s="1" t="n">
        <v>1.175</v>
      </c>
      <c r="E564" s="1" t="n">
        <v>0.0869582</v>
      </c>
      <c r="F564" s="1" t="n">
        <v>0.000249947</v>
      </c>
      <c r="G564" s="1" t="s">
        <v>42</v>
      </c>
      <c r="H564" s="1" t="n">
        <v>35.2</v>
      </c>
      <c r="I564" s="1" t="n">
        <v>152.1</v>
      </c>
      <c r="J564" s="1" t="n">
        <v>11</v>
      </c>
      <c r="K564" s="1" t="n">
        <v>63.1</v>
      </c>
      <c r="L564" s="1" t="n">
        <v>0</v>
      </c>
      <c r="M564" s="1" t="n">
        <v>0</v>
      </c>
      <c r="N564" s="1" t="s">
        <v>377</v>
      </c>
      <c r="O564" s="1"/>
      <c r="P564" s="1"/>
      <c r="Q564" s="1"/>
      <c r="R564" s="1"/>
      <c r="Z564" s="0" t="n">
        <f aca="false">I564+0</f>
        <v>152.1</v>
      </c>
      <c r="AB564" s="0" t="n">
        <f aca="false">IF(Z564&gt;360,Z564-360,Z564+0)</f>
        <v>152.1</v>
      </c>
    </row>
    <row r="565" customFormat="false" ht="15.8" hidden="false" customHeight="false" outlineLevel="0" collapsed="false">
      <c r="A565" s="1" t="n">
        <v>13</v>
      </c>
      <c r="B565" s="1" t="n">
        <v>11</v>
      </c>
      <c r="C565" s="1" t="n">
        <v>1.1</v>
      </c>
      <c r="D565" s="1" t="n">
        <v>1.2608</v>
      </c>
      <c r="E565" s="1" t="n">
        <v>0.0406517</v>
      </c>
      <c r="F565" s="1" t="n">
        <v>0.000116847</v>
      </c>
      <c r="G565" s="1" t="s">
        <v>27</v>
      </c>
      <c r="H565" s="1" t="n">
        <v>154.6</v>
      </c>
      <c r="I565" s="1" t="n">
        <v>29.1</v>
      </c>
      <c r="J565" s="1" t="n">
        <v>-25.9</v>
      </c>
      <c r="K565" s="1"/>
      <c r="L565" s="1" t="n">
        <v>0</v>
      </c>
      <c r="M565" s="1" t="n">
        <v>0</v>
      </c>
      <c r="N565" s="1" t="s">
        <v>378</v>
      </c>
      <c r="O565" s="1"/>
      <c r="P565" s="1"/>
      <c r="Q565" s="1"/>
      <c r="R565" s="1"/>
      <c r="Z565" s="0" t="n">
        <f aca="false">I565+0</f>
        <v>29.1</v>
      </c>
      <c r="AB565" s="0" t="n">
        <f aca="false">IF(Z565&gt;360,Z565-360,Z565+0)</f>
        <v>29.1</v>
      </c>
    </row>
    <row r="566" customFormat="false" ht="15.8" hidden="false" customHeight="false" outlineLevel="0" collapsed="false">
      <c r="A566" s="1" t="n">
        <v>13</v>
      </c>
      <c r="B566" s="1" t="n">
        <v>11</v>
      </c>
      <c r="C566" s="1" t="n">
        <v>4.7</v>
      </c>
      <c r="D566" s="1" t="n">
        <v>1.2538</v>
      </c>
      <c r="E566" s="1" t="n">
        <v>0.170546</v>
      </c>
      <c r="F566" s="1" t="n">
        <v>0.000490205</v>
      </c>
      <c r="G566" s="1" t="s">
        <v>27</v>
      </c>
      <c r="H566" s="1" t="n">
        <v>33.1</v>
      </c>
      <c r="I566" s="1" t="n">
        <v>200.7</v>
      </c>
      <c r="J566" s="1" t="n">
        <v>68.8</v>
      </c>
      <c r="K566" s="1"/>
      <c r="L566" s="1" t="n">
        <v>0</v>
      </c>
      <c r="M566" s="1" t="n">
        <v>0</v>
      </c>
      <c r="N566" s="1" t="s">
        <v>378</v>
      </c>
      <c r="O566" s="1"/>
      <c r="P566" s="1"/>
      <c r="Q566" s="1"/>
      <c r="R566" s="1"/>
      <c r="Z566" s="0" t="n">
        <f aca="false">I566+0</f>
        <v>200.7</v>
      </c>
      <c r="AB566" s="0" t="n">
        <f aca="false">IF(Z566&gt;360,Z566-360,Z566+0)</f>
        <v>200.7</v>
      </c>
    </row>
    <row r="567" customFormat="false" ht="15.8" hidden="false" customHeight="false" outlineLevel="0" collapsed="false">
      <c r="A567" s="1" t="n">
        <v>13</v>
      </c>
      <c r="B567" s="1" t="n">
        <v>11</v>
      </c>
      <c r="C567" s="1" t="n">
        <v>7.6</v>
      </c>
      <c r="D567" s="1" t="n">
        <v>1.3852</v>
      </c>
      <c r="E567" s="1" t="n">
        <v>0.274349</v>
      </c>
      <c r="F567" s="1" t="n">
        <v>0.000788572</v>
      </c>
      <c r="G567" s="1" t="s">
        <v>27</v>
      </c>
      <c r="H567" s="1" t="n">
        <v>67.6</v>
      </c>
      <c r="I567" s="1" t="n">
        <v>191</v>
      </c>
      <c r="J567" s="1" t="n">
        <v>-29.9</v>
      </c>
      <c r="K567" s="1"/>
      <c r="L567" s="1" t="n">
        <v>0</v>
      </c>
      <c r="M567" s="1" t="n">
        <v>0</v>
      </c>
      <c r="N567" s="1" t="s">
        <v>378</v>
      </c>
      <c r="O567" s="1"/>
      <c r="P567" s="1"/>
      <c r="Q567" s="1"/>
      <c r="R567" s="1"/>
      <c r="Z567" s="0" t="n">
        <f aca="false">I567+0</f>
        <v>191</v>
      </c>
      <c r="AB567" s="0" t="n">
        <f aca="false">IF(Z567&gt;360,Z567-360,Z567+0)</f>
        <v>191</v>
      </c>
    </row>
    <row r="568" customFormat="false" ht="15.8" hidden="false" customHeight="false" outlineLevel="0" collapsed="false">
      <c r="A568" s="1" t="n">
        <v>13</v>
      </c>
      <c r="B568" s="1" t="n">
        <v>10</v>
      </c>
      <c r="C568" s="1" t="n">
        <v>10.7</v>
      </c>
      <c r="D568" s="1" t="n">
        <v>1.2715</v>
      </c>
      <c r="E568" s="1" t="n">
        <v>0.384916</v>
      </c>
      <c r="F568" s="1" t="n">
        <v>0.00110638</v>
      </c>
      <c r="G568" s="1" t="s">
        <v>42</v>
      </c>
      <c r="H568" s="1" t="n">
        <v>21.7</v>
      </c>
      <c r="I568" s="1" t="n">
        <v>182.3</v>
      </c>
      <c r="J568" s="1" t="n">
        <v>37.2</v>
      </c>
      <c r="K568" s="1" t="n">
        <v>154.6</v>
      </c>
      <c r="L568" s="1" t="n">
        <v>0</v>
      </c>
      <c r="M568" s="1" t="n">
        <v>0</v>
      </c>
      <c r="N568" s="1" t="s">
        <v>379</v>
      </c>
      <c r="O568" s="1"/>
      <c r="P568" s="1"/>
      <c r="Q568" s="1"/>
      <c r="R568" s="1"/>
      <c r="Z568" s="0" t="n">
        <f aca="false">I568+0</f>
        <v>182.3</v>
      </c>
      <c r="AB568" s="0" t="n">
        <f aca="false">IF(Z568&gt;360,Z568-360,Z568+0)</f>
        <v>182.3</v>
      </c>
    </row>
    <row r="569" customFormat="false" ht="15.8" hidden="false" customHeight="false" outlineLevel="0" collapsed="false">
      <c r="A569" s="1" t="n">
        <v>13</v>
      </c>
      <c r="B569" s="1" t="n">
        <v>10</v>
      </c>
      <c r="C569" s="1" t="n">
        <v>0.9</v>
      </c>
      <c r="D569" s="1" t="n">
        <v>1.1377</v>
      </c>
      <c r="E569" s="1" t="n">
        <v>0.030937</v>
      </c>
      <c r="F569" s="1" t="n">
        <v>8.89232E-005</v>
      </c>
      <c r="G569" s="1" t="s">
        <v>27</v>
      </c>
      <c r="H569" s="1" t="n">
        <v>93</v>
      </c>
      <c r="I569" s="1" t="n">
        <v>91</v>
      </c>
      <c r="J569" s="1" t="n">
        <v>31.2</v>
      </c>
      <c r="K569" s="1"/>
      <c r="L569" s="1" t="n">
        <v>0</v>
      </c>
      <c r="M569" s="1" t="n">
        <v>0</v>
      </c>
      <c r="N569" s="1" t="s">
        <v>379</v>
      </c>
      <c r="O569" s="1"/>
      <c r="P569" s="1"/>
      <c r="Q569" s="1"/>
      <c r="R569" s="1"/>
      <c r="Z569" s="0" t="n">
        <f aca="false">I569+0</f>
        <v>91</v>
      </c>
      <c r="AB569" s="0" t="n">
        <f aca="false">IF(Z569&gt;360,Z569-360,Z569+0)</f>
        <v>91</v>
      </c>
    </row>
    <row r="570" customFormat="false" ht="15.8" hidden="false" customHeight="false" outlineLevel="0" collapsed="false">
      <c r="A570" s="1" t="n">
        <v>13</v>
      </c>
      <c r="B570" s="1" t="n">
        <v>9</v>
      </c>
      <c r="C570" s="1" t="n">
        <v>6.9</v>
      </c>
      <c r="D570" s="1" t="n">
        <v>1.2177</v>
      </c>
      <c r="E570" s="1" t="n">
        <v>0.24798</v>
      </c>
      <c r="F570" s="1" t="n">
        <v>0.000712778</v>
      </c>
      <c r="G570" s="1" t="s">
        <v>42</v>
      </c>
      <c r="H570" s="1" t="n">
        <v>33.9</v>
      </c>
      <c r="I570" s="1" t="n">
        <v>197.8</v>
      </c>
      <c r="J570" s="1" t="n">
        <v>20.2</v>
      </c>
      <c r="K570" s="1" t="n">
        <v>93</v>
      </c>
      <c r="L570" s="1" t="n">
        <v>0</v>
      </c>
      <c r="M570" s="1" t="n">
        <v>0</v>
      </c>
      <c r="N570" s="1" t="s">
        <v>380</v>
      </c>
      <c r="O570" s="1"/>
      <c r="P570" s="1"/>
      <c r="Q570" s="1"/>
      <c r="R570" s="1"/>
      <c r="Z570" s="0" t="n">
        <f aca="false">I570+0</f>
        <v>197.8</v>
      </c>
      <c r="AB570" s="0" t="n">
        <f aca="false">IF(Z570&gt;360,Z570-360,Z570+0)</f>
        <v>197.8</v>
      </c>
    </row>
    <row r="571" customFormat="false" ht="15.8" hidden="false" customHeight="false" outlineLevel="0" collapsed="false">
      <c r="A571" s="1" t="n">
        <v>13</v>
      </c>
      <c r="B571" s="1" t="n">
        <v>10</v>
      </c>
      <c r="C571" s="1" t="n">
        <v>3.7</v>
      </c>
      <c r="D571" s="1" t="n">
        <v>1.4796</v>
      </c>
      <c r="E571" s="1" t="n">
        <v>0.108417</v>
      </c>
      <c r="F571" s="1" t="n">
        <v>0.000253504</v>
      </c>
      <c r="G571" s="1" t="s">
        <v>27</v>
      </c>
      <c r="H571" s="1" t="n">
        <v>71.4</v>
      </c>
      <c r="I571" s="1" t="n">
        <v>16.9</v>
      </c>
      <c r="J571" s="1" t="n">
        <v>-18.2</v>
      </c>
      <c r="K571" s="1"/>
      <c r="L571" s="1" t="n">
        <v>0</v>
      </c>
      <c r="M571" s="1" t="n">
        <v>0</v>
      </c>
      <c r="N571" s="1" t="s">
        <v>381</v>
      </c>
      <c r="O571" s="1"/>
      <c r="P571" s="1"/>
      <c r="Q571" s="1"/>
      <c r="R571" s="1"/>
      <c r="Z571" s="0" t="n">
        <f aca="false">I571+0</f>
        <v>16.9</v>
      </c>
      <c r="AB571" s="0" t="n">
        <f aca="false">IF(Z571&gt;360,Z571-360,Z571+0)</f>
        <v>16.9</v>
      </c>
    </row>
    <row r="572" customFormat="false" ht="15.8" hidden="false" customHeight="false" outlineLevel="0" collapsed="false">
      <c r="A572" s="1" t="n">
        <v>13</v>
      </c>
      <c r="B572" s="1" t="n">
        <v>11</v>
      </c>
      <c r="C572" s="1" t="n">
        <v>1.9</v>
      </c>
      <c r="D572" s="1" t="n">
        <v>1.2412</v>
      </c>
      <c r="E572" s="1" t="n">
        <v>0.069088</v>
      </c>
      <c r="F572" s="1" t="n">
        <v>0.000198582</v>
      </c>
      <c r="G572" s="1" t="s">
        <v>27</v>
      </c>
      <c r="H572" s="1" t="n">
        <v>24.3</v>
      </c>
      <c r="I572" s="1" t="n">
        <v>334.9</v>
      </c>
      <c r="J572" s="1" t="n">
        <v>-49.4</v>
      </c>
      <c r="K572" s="1"/>
      <c r="L572" s="1" t="n">
        <v>0</v>
      </c>
      <c r="M572" s="1" t="n">
        <v>0</v>
      </c>
      <c r="N572" s="1" t="s">
        <v>382</v>
      </c>
      <c r="O572" s="1"/>
      <c r="P572" s="1"/>
      <c r="Q572" s="1"/>
      <c r="R572" s="1"/>
      <c r="Z572" s="0" t="n">
        <f aca="false">I572+0</f>
        <v>334.9</v>
      </c>
      <c r="AB572" s="0" t="n">
        <f aca="false">IF(Z572&gt;360,Z572-360,Z572+0)</f>
        <v>334.9</v>
      </c>
    </row>
    <row r="573" customFormat="false" ht="15.8" hidden="false" customHeight="false" outlineLevel="0" collapsed="false">
      <c r="A573" s="1" t="n">
        <v>13</v>
      </c>
      <c r="B573" s="1" t="n">
        <v>11</v>
      </c>
      <c r="C573" s="1" t="n">
        <v>1</v>
      </c>
      <c r="D573" s="1" t="n">
        <v>1.0624</v>
      </c>
      <c r="E573" s="1" t="n">
        <v>0.037816</v>
      </c>
      <c r="F573" s="1" t="n">
        <v>0.000108696</v>
      </c>
      <c r="G573" s="1" t="s">
        <v>27</v>
      </c>
      <c r="H573" s="1" t="n">
        <v>80.5</v>
      </c>
      <c r="I573" s="1" t="n">
        <v>7.4</v>
      </c>
      <c r="J573" s="1" t="n">
        <v>0</v>
      </c>
      <c r="K573" s="1"/>
      <c r="L573" s="1" t="n">
        <v>0</v>
      </c>
      <c r="M573" s="1" t="n">
        <v>0</v>
      </c>
      <c r="N573" s="1" t="s">
        <v>382</v>
      </c>
      <c r="O573" s="1"/>
      <c r="P573" s="1"/>
      <c r="Q573" s="1"/>
      <c r="R573" s="1"/>
      <c r="Z573" s="0" t="n">
        <f aca="false">I573+0</f>
        <v>7.4</v>
      </c>
      <c r="AB573" s="0" t="n">
        <f aca="false">IF(Z573&gt;360,Z573-360,Z573+0)</f>
        <v>7.4</v>
      </c>
    </row>
    <row r="574" customFormat="false" ht="15.8" hidden="false" customHeight="false" outlineLevel="0" collapsed="false">
      <c r="A574" s="1" t="n">
        <v>13</v>
      </c>
      <c r="B574" s="1" t="n">
        <v>10</v>
      </c>
      <c r="C574" s="1" t="n">
        <v>0.9</v>
      </c>
      <c r="D574" s="1" t="n">
        <v>1.0343</v>
      </c>
      <c r="E574" s="1" t="n">
        <v>0.0312766</v>
      </c>
      <c r="F574" s="1" t="n">
        <v>8.98995E-005</v>
      </c>
      <c r="G574" s="1" t="s">
        <v>42</v>
      </c>
      <c r="H574" s="1" t="n">
        <v>21.7</v>
      </c>
      <c r="I574" s="1" t="n">
        <v>304.5</v>
      </c>
      <c r="J574" s="1" t="n">
        <v>-68.7</v>
      </c>
      <c r="K574" s="1" t="n">
        <v>80.5</v>
      </c>
      <c r="L574" s="1" t="n">
        <v>0</v>
      </c>
      <c r="M574" s="1" t="n">
        <v>0</v>
      </c>
      <c r="N574" s="1" t="s">
        <v>381</v>
      </c>
      <c r="O574" s="1"/>
      <c r="P574" s="1"/>
      <c r="Q574" s="1"/>
      <c r="R574" s="1"/>
      <c r="Z574" s="0" t="n">
        <f aca="false">I574+0</f>
        <v>304.5</v>
      </c>
      <c r="AB574" s="0" t="n">
        <f aca="false">IF(Z574&gt;360,Z574-360,Z574+0)</f>
        <v>304.5</v>
      </c>
    </row>
    <row r="575" customFormat="false" ht="15.8" hidden="false" customHeight="false" outlineLevel="0" collapsed="false">
      <c r="A575" s="1" t="n">
        <v>13</v>
      </c>
      <c r="B575" s="1" t="n">
        <v>9</v>
      </c>
      <c r="C575" s="1" t="n">
        <v>0.6</v>
      </c>
      <c r="D575" s="1" t="n">
        <v>1.1477</v>
      </c>
      <c r="E575" s="1" t="n">
        <v>0.0219192</v>
      </c>
      <c r="F575" s="1" t="n">
        <v>6.3003E-005</v>
      </c>
      <c r="G575" s="1" t="s">
        <v>42</v>
      </c>
      <c r="H575" s="1" t="n">
        <v>77.8</v>
      </c>
      <c r="I575" s="1" t="n">
        <v>294.8</v>
      </c>
      <c r="J575" s="1" t="n">
        <v>-47.5</v>
      </c>
      <c r="K575" s="1" t="n">
        <v>71.4</v>
      </c>
      <c r="L575" s="1" t="n">
        <v>0</v>
      </c>
      <c r="M575" s="1" t="n">
        <v>0</v>
      </c>
      <c r="N575" s="1" t="s">
        <v>380</v>
      </c>
      <c r="O575" s="1"/>
      <c r="P575" s="1"/>
      <c r="Q575" s="1"/>
      <c r="R575" s="1"/>
      <c r="Z575" s="0" t="n">
        <f aca="false">I575+0</f>
        <v>294.8</v>
      </c>
      <c r="AB575" s="0" t="n">
        <f aca="false">IF(Z575&gt;360,Z575-360,Z575+0)</f>
        <v>294.8</v>
      </c>
    </row>
    <row r="576" customFormat="false" ht="15.8" hidden="false" customHeight="false" outlineLevel="0" collapsed="false">
      <c r="A576" s="1" t="n">
        <v>13</v>
      </c>
      <c r="B576" s="1" t="n">
        <v>8</v>
      </c>
      <c r="C576" s="1" t="n">
        <v>2.3</v>
      </c>
      <c r="D576" s="1" t="n">
        <v>1.1571</v>
      </c>
      <c r="E576" s="1" t="n">
        <v>0.0836848</v>
      </c>
      <c r="F576" s="1" t="n">
        <v>0.000240538</v>
      </c>
      <c r="G576" s="1" t="s">
        <v>42</v>
      </c>
      <c r="H576" s="1" t="n">
        <v>24.9</v>
      </c>
      <c r="I576" s="1" t="n">
        <v>210.6</v>
      </c>
      <c r="J576" s="1" t="n">
        <v>-11.2</v>
      </c>
      <c r="K576" s="1" t="n">
        <v>77.8</v>
      </c>
      <c r="L576" s="1" t="n">
        <v>0</v>
      </c>
      <c r="M576" s="1" t="n">
        <v>0</v>
      </c>
      <c r="N576" s="1" t="s">
        <v>383</v>
      </c>
      <c r="O576" s="1"/>
      <c r="P576" s="1"/>
      <c r="Q576" s="1"/>
      <c r="R576" s="1"/>
      <c r="Z576" s="0" t="n">
        <f aca="false">I576+0</f>
        <v>210.6</v>
      </c>
      <c r="AB576" s="0" t="n">
        <f aca="false">IF(Z576&gt;360,Z576-360,Z576+0)</f>
        <v>210.6</v>
      </c>
    </row>
    <row r="577" customFormat="false" ht="15.8" hidden="false" customHeight="false" outlineLevel="0" collapsed="false">
      <c r="A577" s="1" t="n">
        <v>13</v>
      </c>
      <c r="B577" s="1" t="n">
        <v>8</v>
      </c>
      <c r="C577" s="1" t="n">
        <v>1.3</v>
      </c>
      <c r="D577" s="1" t="n">
        <v>1.2384</v>
      </c>
      <c r="E577" s="1" t="n">
        <v>0.0484645</v>
      </c>
      <c r="F577" s="1" t="n">
        <v>0.000139303</v>
      </c>
      <c r="G577" s="1" t="s">
        <v>27</v>
      </c>
      <c r="H577" s="1" t="n">
        <v>72.2</v>
      </c>
      <c r="I577" s="1" t="n">
        <v>303.9</v>
      </c>
      <c r="J577" s="1" t="n">
        <v>21.1</v>
      </c>
      <c r="K577" s="1"/>
      <c r="L577" s="1" t="n">
        <v>0</v>
      </c>
      <c r="M577" s="1" t="n">
        <v>0</v>
      </c>
      <c r="N577" s="1" t="s">
        <v>383</v>
      </c>
      <c r="O577" s="1"/>
      <c r="P577" s="1"/>
      <c r="Q577" s="1"/>
      <c r="R577" s="1"/>
      <c r="Z577" s="0" t="n">
        <f aca="false">I577+0</f>
        <v>303.9</v>
      </c>
      <c r="AB577" s="0" t="n">
        <f aca="false">IF(Z577&gt;360,Z577-360,Z577+0)</f>
        <v>303.9</v>
      </c>
    </row>
    <row r="578" customFormat="false" ht="15.8" hidden="false" customHeight="false" outlineLevel="0" collapsed="false">
      <c r="A578" s="1" t="n">
        <v>13</v>
      </c>
      <c r="B578" s="1" t="n">
        <v>7</v>
      </c>
      <c r="C578" s="1" t="n">
        <v>0.7</v>
      </c>
      <c r="D578" s="1" t="n">
        <v>1.0191</v>
      </c>
      <c r="E578" s="1" t="n">
        <v>0.0259872</v>
      </c>
      <c r="F578" s="1" t="n">
        <v>7.46959E-005</v>
      </c>
      <c r="G578" s="1" t="s">
        <v>42</v>
      </c>
      <c r="H578" s="1" t="n">
        <v>45.9</v>
      </c>
      <c r="I578" s="1" t="n">
        <v>232.9</v>
      </c>
      <c r="J578" s="1" t="n">
        <v>0</v>
      </c>
      <c r="K578" s="1" t="n">
        <v>72.2</v>
      </c>
      <c r="L578" s="1" t="n">
        <v>0</v>
      </c>
      <c r="M578" s="1" t="n">
        <v>0</v>
      </c>
      <c r="N578" s="1" t="s">
        <v>377</v>
      </c>
      <c r="O578" s="1"/>
      <c r="P578" s="1"/>
      <c r="Q578" s="1"/>
      <c r="R578" s="1"/>
      <c r="Z578" s="0" t="n">
        <f aca="false">I578+0</f>
        <v>232.9</v>
      </c>
      <c r="AB578" s="0" t="n">
        <f aca="false">IF(Z578&gt;360,Z578-360,Z578+0)</f>
        <v>232.9</v>
      </c>
    </row>
    <row r="579" customFormat="false" ht="15.8" hidden="false" customHeight="false" outlineLevel="0" collapsed="false">
      <c r="A579" s="1" t="n">
        <v>13</v>
      </c>
      <c r="B579" s="1" t="n">
        <v>6</v>
      </c>
      <c r="C579" s="1" t="n">
        <v>2.6</v>
      </c>
      <c r="D579" s="1" t="n">
        <v>1.1183</v>
      </c>
      <c r="E579" s="1" t="n">
        <v>0.0927752</v>
      </c>
      <c r="F579" s="1" t="n">
        <v>0.000266667</v>
      </c>
      <c r="G579" s="1" t="s">
        <v>42</v>
      </c>
      <c r="H579" s="1" t="n">
        <v>15.2</v>
      </c>
      <c r="I579" s="1" t="n">
        <v>187.9</v>
      </c>
      <c r="J579" s="1" t="n">
        <v>9.8</v>
      </c>
      <c r="K579" s="1" t="n">
        <v>45.9</v>
      </c>
      <c r="L579" s="1" t="n">
        <v>0</v>
      </c>
      <c r="M579" s="1" t="n">
        <v>0</v>
      </c>
      <c r="N579" s="1" t="s">
        <v>384</v>
      </c>
      <c r="O579" s="1"/>
      <c r="P579" s="1"/>
      <c r="Q579" s="1"/>
      <c r="R579" s="1"/>
      <c r="Z579" s="0" t="n">
        <f aca="false">I579+0</f>
        <v>187.9</v>
      </c>
      <c r="AB579" s="0" t="n">
        <f aca="false">IF(Z579&gt;360,Z579-360,Z579+0)</f>
        <v>187.9</v>
      </c>
    </row>
    <row r="580" customFormat="false" ht="15.8" hidden="false" customHeight="false" outlineLevel="0" collapsed="false">
      <c r="A580" s="1" t="n">
        <v>13</v>
      </c>
      <c r="B580" s="1" t="n">
        <v>10</v>
      </c>
      <c r="C580" s="1" t="n">
        <v>4</v>
      </c>
      <c r="D580" s="1" t="n">
        <v>1.27</v>
      </c>
      <c r="E580" s="1" t="n">
        <v>0.144055</v>
      </c>
      <c r="F580" s="1" t="n">
        <v>0.000414062</v>
      </c>
      <c r="G580" s="1" t="s">
        <v>27</v>
      </c>
      <c r="H580" s="1" t="n">
        <v>36.6</v>
      </c>
      <c r="I580" s="1" t="n">
        <v>180.6</v>
      </c>
      <c r="J580" s="1" t="n">
        <v>7.1</v>
      </c>
      <c r="K580" s="1"/>
      <c r="L580" s="1" t="n">
        <v>0</v>
      </c>
      <c r="M580" s="1" t="n">
        <v>0</v>
      </c>
      <c r="N580" s="1" t="s">
        <v>385</v>
      </c>
      <c r="O580" s="1"/>
      <c r="P580" s="1"/>
      <c r="Q580" s="1"/>
      <c r="R580" s="1"/>
      <c r="Z580" s="0" t="n">
        <f aca="false">I580+0</f>
        <v>180.6</v>
      </c>
      <c r="AB580" s="0" t="n">
        <f aca="false">IF(Z580&gt;360,Z580-360,Z580+0)</f>
        <v>180.6</v>
      </c>
    </row>
    <row r="581" customFormat="false" ht="15.8" hidden="false" customHeight="false" outlineLevel="0" collapsed="false">
      <c r="A581" s="1" t="n">
        <v>13</v>
      </c>
      <c r="B581" s="1" t="n">
        <v>10</v>
      </c>
      <c r="C581" s="1" t="n">
        <v>1</v>
      </c>
      <c r="D581" s="1" t="n">
        <v>1.1808</v>
      </c>
      <c r="E581" s="1" t="n">
        <v>0.0374176</v>
      </c>
      <c r="F581" s="1" t="n">
        <v>0.000107551</v>
      </c>
      <c r="G581" s="1" t="s">
        <v>27</v>
      </c>
      <c r="H581" s="1" t="n">
        <v>74.6</v>
      </c>
      <c r="I581" s="1" t="n">
        <v>290.6</v>
      </c>
      <c r="J581" s="1" t="n">
        <v>-26.4</v>
      </c>
      <c r="K581" s="1"/>
      <c r="L581" s="1" t="n">
        <v>0</v>
      </c>
      <c r="M581" s="1" t="n">
        <v>0</v>
      </c>
      <c r="N581" s="1" t="s">
        <v>385</v>
      </c>
      <c r="O581" s="1"/>
      <c r="P581" s="1"/>
      <c r="Q581" s="1"/>
      <c r="R581" s="1"/>
      <c r="Z581" s="0" t="n">
        <f aca="false">I581+0</f>
        <v>290.6</v>
      </c>
      <c r="AB581" s="0" t="n">
        <f aca="false">IF(Z581&gt;360,Z581-360,Z581+0)</f>
        <v>290.6</v>
      </c>
    </row>
    <row r="582" customFormat="false" ht="15.8" hidden="false" customHeight="false" outlineLevel="0" collapsed="false">
      <c r="A582" s="1" t="n">
        <v>13</v>
      </c>
      <c r="B582" s="1" t="n">
        <v>9</v>
      </c>
      <c r="C582" s="1" t="n">
        <v>2.1</v>
      </c>
      <c r="D582" s="1" t="n">
        <v>1.198</v>
      </c>
      <c r="E582" s="1" t="n">
        <v>0.0760483</v>
      </c>
      <c r="F582" s="1" t="n">
        <v>0.000218588</v>
      </c>
      <c r="G582" s="1" t="s">
        <v>42</v>
      </c>
      <c r="H582" s="1" t="n">
        <v>62.9</v>
      </c>
      <c r="I582" s="1" t="n">
        <v>211.6</v>
      </c>
      <c r="J582" s="1" t="n">
        <v>-12.8</v>
      </c>
      <c r="K582" s="1" t="n">
        <v>74.6</v>
      </c>
      <c r="L582" s="1" t="n">
        <v>0</v>
      </c>
      <c r="M582" s="1" t="n">
        <v>0</v>
      </c>
      <c r="N582" s="1" t="s">
        <v>386</v>
      </c>
      <c r="O582" s="1"/>
      <c r="P582" s="1"/>
      <c r="Q582" s="1"/>
      <c r="R582" s="1"/>
      <c r="Z582" s="0" t="n">
        <f aca="false">I582+0</f>
        <v>211.6</v>
      </c>
      <c r="AB582" s="0" t="n">
        <f aca="false">IF(Z582&gt;360,Z582-360,Z582+0)</f>
        <v>211.6</v>
      </c>
    </row>
    <row r="583" customFormat="false" ht="15.8" hidden="false" customHeight="false" outlineLevel="0" collapsed="false">
      <c r="A583" s="1" t="n">
        <v>13</v>
      </c>
      <c r="B583" s="1" t="n">
        <v>9</v>
      </c>
      <c r="C583" s="1" t="n">
        <v>0.7</v>
      </c>
      <c r="D583" s="1" t="n">
        <v>1.1926</v>
      </c>
      <c r="E583" s="1" t="n">
        <v>0.0266505</v>
      </c>
      <c r="F583" s="1" t="n">
        <v>7.66023E-005</v>
      </c>
      <c r="G583" s="1" t="s">
        <v>27</v>
      </c>
      <c r="H583" s="1" t="n">
        <v>87.7</v>
      </c>
      <c r="I583" s="1" t="n">
        <v>312.1</v>
      </c>
      <c r="J583" s="1" t="n">
        <v>39.1</v>
      </c>
      <c r="K583" s="1"/>
      <c r="L583" s="1" t="n">
        <v>0</v>
      </c>
      <c r="M583" s="1" t="n">
        <v>0</v>
      </c>
      <c r="N583" s="1" t="s">
        <v>386</v>
      </c>
      <c r="O583" s="1"/>
      <c r="P583" s="1"/>
      <c r="Q583" s="1"/>
      <c r="R583" s="1"/>
      <c r="Z583" s="0" t="n">
        <f aca="false">I583+0</f>
        <v>312.1</v>
      </c>
      <c r="AB583" s="0" t="n">
        <f aca="false">IF(Z583&gt;360,Z583-360,Z583+0)</f>
        <v>312.1</v>
      </c>
    </row>
    <row r="584" customFormat="false" ht="15.8" hidden="false" customHeight="false" outlineLevel="0" collapsed="false">
      <c r="A584" s="1" t="n">
        <v>13</v>
      </c>
      <c r="B584" s="1" t="n">
        <v>8</v>
      </c>
      <c r="C584" s="1" t="n">
        <v>2.8</v>
      </c>
      <c r="D584" s="1" t="n">
        <v>1.2021</v>
      </c>
      <c r="E584" s="1" t="n">
        <v>0.0998686</v>
      </c>
      <c r="F584" s="1" t="n">
        <v>0.000287056</v>
      </c>
      <c r="G584" s="1" t="s">
        <v>42</v>
      </c>
      <c r="H584" s="1" t="n">
        <v>45.7</v>
      </c>
      <c r="I584" s="1" t="n">
        <v>179.2</v>
      </c>
      <c r="J584" s="1" t="n">
        <v>42.7</v>
      </c>
      <c r="K584" s="1" t="n">
        <v>87.7</v>
      </c>
      <c r="L584" s="1" t="n">
        <v>0</v>
      </c>
      <c r="M584" s="1" t="n">
        <v>0</v>
      </c>
      <c r="N584" s="1" t="s">
        <v>387</v>
      </c>
      <c r="O584" s="1"/>
      <c r="P584" s="1"/>
      <c r="Q584" s="1"/>
      <c r="R584" s="1"/>
      <c r="Z584" s="0" t="n">
        <f aca="false">I584+0</f>
        <v>179.2</v>
      </c>
      <c r="AB584" s="0" t="n">
        <f aca="false">IF(Z584&gt;360,Z584-360,Z584+0)</f>
        <v>179.2</v>
      </c>
    </row>
    <row r="585" customFormat="false" ht="15.8" hidden="false" customHeight="false" outlineLevel="0" collapsed="false">
      <c r="A585" s="1" t="n">
        <v>13</v>
      </c>
      <c r="B585" s="1" t="n">
        <v>8</v>
      </c>
      <c r="C585" s="1" t="n">
        <v>3.5</v>
      </c>
      <c r="D585" s="1" t="n">
        <v>1.3408</v>
      </c>
      <c r="E585" s="1" t="n">
        <v>0.127108</v>
      </c>
      <c r="F585" s="1" t="n">
        <v>0.00036535</v>
      </c>
      <c r="G585" s="1" t="s">
        <v>27</v>
      </c>
      <c r="H585" s="1" t="n">
        <v>38.1</v>
      </c>
      <c r="I585" s="1" t="n">
        <v>209.4</v>
      </c>
      <c r="J585" s="1" t="n">
        <v>-36.5</v>
      </c>
      <c r="K585" s="1"/>
      <c r="L585" s="1" t="n">
        <v>0</v>
      </c>
      <c r="M585" s="1" t="n">
        <v>0</v>
      </c>
      <c r="N585" s="1" t="s">
        <v>387</v>
      </c>
      <c r="O585" s="1"/>
      <c r="P585" s="1"/>
      <c r="Q585" s="1"/>
      <c r="R585" s="1"/>
      <c r="Z585" s="0" t="n">
        <f aca="false">I585+0</f>
        <v>209.4</v>
      </c>
      <c r="AB585" s="0" t="n">
        <f aca="false">IF(Z585&gt;360,Z585-360,Z585+0)</f>
        <v>209.4</v>
      </c>
    </row>
    <row r="586" customFormat="false" ht="15.8" hidden="false" customHeight="false" outlineLevel="0" collapsed="false">
      <c r="A586" s="1" t="n">
        <v>13</v>
      </c>
      <c r="B586" s="1" t="n">
        <v>7</v>
      </c>
      <c r="C586" s="1" t="n">
        <v>2.7</v>
      </c>
      <c r="D586" s="1" t="n">
        <v>1.0285</v>
      </c>
      <c r="E586" s="1" t="n">
        <v>0.0980671</v>
      </c>
      <c r="F586" s="1" t="n">
        <v>0.000281878</v>
      </c>
      <c r="G586" s="1" t="s">
        <v>42</v>
      </c>
      <c r="H586" s="1" t="n">
        <v>40.8</v>
      </c>
      <c r="I586" s="1" t="n">
        <v>197.5</v>
      </c>
      <c r="J586" s="1" t="n">
        <v>0</v>
      </c>
      <c r="K586" s="1" t="n">
        <v>45.7</v>
      </c>
      <c r="L586" s="1" t="n">
        <v>0</v>
      </c>
      <c r="M586" s="1" t="n">
        <v>0</v>
      </c>
      <c r="N586" s="1" t="s">
        <v>388</v>
      </c>
      <c r="O586" s="1"/>
      <c r="P586" s="1"/>
      <c r="Q586" s="1"/>
      <c r="R586" s="1"/>
      <c r="Z586" s="0" t="n">
        <f aca="false">I586+0</f>
        <v>197.5</v>
      </c>
      <c r="AB586" s="0" t="n">
        <f aca="false">IF(Z586&gt;360,Z586-360,Z586+0)</f>
        <v>197.5</v>
      </c>
    </row>
    <row r="587" customFormat="false" ht="15.8" hidden="false" customHeight="false" outlineLevel="0" collapsed="false">
      <c r="A587" s="1" t="n">
        <v>13</v>
      </c>
      <c r="B587" s="1" t="n">
        <v>9</v>
      </c>
      <c r="C587" s="1" t="n">
        <v>2.8</v>
      </c>
      <c r="D587" s="1" t="n">
        <v>1.2143</v>
      </c>
      <c r="E587" s="1" t="n">
        <v>0.0994834</v>
      </c>
      <c r="F587" s="1" t="n">
        <v>0.000285949</v>
      </c>
      <c r="G587" s="1" t="s">
        <v>27</v>
      </c>
      <c r="H587" s="1" t="n">
        <v>31.3</v>
      </c>
      <c r="I587" s="1" t="n">
        <v>0.7</v>
      </c>
      <c r="J587" s="1" t="n">
        <v>31.1</v>
      </c>
      <c r="K587" s="1"/>
      <c r="L587" s="1" t="n">
        <v>0</v>
      </c>
      <c r="M587" s="1" t="n">
        <v>0</v>
      </c>
      <c r="N587" s="1" t="s">
        <v>389</v>
      </c>
      <c r="O587" s="1"/>
      <c r="P587" s="1"/>
      <c r="Q587" s="1"/>
      <c r="R587" s="1"/>
      <c r="Z587" s="0" t="n">
        <f aca="false">I587+0</f>
        <v>0.7</v>
      </c>
      <c r="AB587" s="0" t="n">
        <f aca="false">IF(Z587&gt;360,Z587-360,Z587+0)</f>
        <v>0.7</v>
      </c>
    </row>
    <row r="588" customFormat="false" ht="15.8" hidden="false" customHeight="false" outlineLevel="0" collapsed="false">
      <c r="A588" s="1" t="n">
        <v>13</v>
      </c>
      <c r="B588" s="1" t="n">
        <v>9</v>
      </c>
      <c r="C588" s="1" t="n">
        <v>1.6</v>
      </c>
      <c r="D588" s="1" t="n">
        <v>1.1301</v>
      </c>
      <c r="E588" s="1" t="n">
        <v>0.0589483</v>
      </c>
      <c r="F588" s="1" t="n">
        <v>0.000169437</v>
      </c>
      <c r="G588" s="1" t="s">
        <v>27</v>
      </c>
      <c r="H588" s="1" t="n">
        <v>50.4</v>
      </c>
      <c r="I588" s="1" t="n">
        <v>307.7</v>
      </c>
      <c r="J588" s="1" t="n">
        <v>-15.7</v>
      </c>
      <c r="K588" s="1"/>
      <c r="L588" s="1" t="n">
        <v>0</v>
      </c>
      <c r="M588" s="1" t="n">
        <v>0</v>
      </c>
      <c r="N588" s="1" t="s">
        <v>389</v>
      </c>
      <c r="O588" s="1"/>
      <c r="P588" s="1"/>
      <c r="Q588" s="1"/>
      <c r="R588" s="1"/>
      <c r="Z588" s="0" t="n">
        <f aca="false">I588+0</f>
        <v>307.7</v>
      </c>
      <c r="AB588" s="0" t="n">
        <f aca="false">IF(Z588&gt;360,Z588-360,Z588+0)</f>
        <v>307.7</v>
      </c>
    </row>
    <row r="589" customFormat="false" ht="15.8" hidden="false" customHeight="false" outlineLevel="0" collapsed="false">
      <c r="A589" s="1" t="n">
        <v>13</v>
      </c>
      <c r="B589" s="1" t="n">
        <v>8</v>
      </c>
      <c r="C589" s="1" t="n">
        <v>2.3</v>
      </c>
      <c r="D589" s="1" t="n">
        <v>1.0319</v>
      </c>
      <c r="E589" s="1" t="n">
        <v>0.0846088</v>
      </c>
      <c r="F589" s="1" t="n">
        <v>0.000243194</v>
      </c>
      <c r="G589" s="1" t="s">
        <v>42</v>
      </c>
      <c r="H589" s="1" t="n">
        <v>88.4</v>
      </c>
      <c r="I589" s="1" t="n">
        <v>356.2</v>
      </c>
      <c r="J589" s="1" t="n">
        <v>0</v>
      </c>
      <c r="K589" s="1" t="n">
        <v>50.4</v>
      </c>
      <c r="L589" s="1" t="n">
        <v>0</v>
      </c>
      <c r="M589" s="1" t="n">
        <v>0</v>
      </c>
      <c r="N589" s="1" t="s">
        <v>390</v>
      </c>
      <c r="O589" s="1"/>
      <c r="P589" s="1"/>
      <c r="Q589" s="1"/>
      <c r="R589" s="1"/>
      <c r="Z589" s="0" t="n">
        <f aca="false">I589+0</f>
        <v>356.2</v>
      </c>
      <c r="AB589" s="0" t="n">
        <f aca="false">IF(Z589&gt;360,Z589-360,Z589+0)</f>
        <v>356.2</v>
      </c>
    </row>
    <row r="590" customFormat="false" ht="15.8" hidden="false" customHeight="false" outlineLevel="0" collapsed="false">
      <c r="A590" s="1" t="n">
        <v>13</v>
      </c>
      <c r="B590" s="1" t="n">
        <v>10</v>
      </c>
      <c r="C590" s="1" t="n">
        <v>1.8</v>
      </c>
      <c r="D590" s="1" t="n">
        <v>1.007</v>
      </c>
      <c r="E590" s="1" t="n">
        <v>0.0647169</v>
      </c>
      <c r="F590" s="1" t="n">
        <v>0.000186018</v>
      </c>
      <c r="G590" s="1" t="s">
        <v>27</v>
      </c>
      <c r="H590" s="1" t="n">
        <v>20.6</v>
      </c>
      <c r="I590" s="1" t="n">
        <v>329.3</v>
      </c>
      <c r="J590" s="1" t="n">
        <v>-61.3</v>
      </c>
      <c r="K590" s="1"/>
      <c r="L590" s="1" t="n">
        <v>0</v>
      </c>
      <c r="M590" s="1" t="n">
        <v>0</v>
      </c>
      <c r="N590" s="1" t="s">
        <v>391</v>
      </c>
      <c r="O590" s="1"/>
      <c r="P590" s="1"/>
      <c r="Q590" s="1"/>
      <c r="R590" s="1"/>
      <c r="Z590" s="0" t="n">
        <f aca="false">I590+0</f>
        <v>329.3</v>
      </c>
      <c r="AB590" s="0" t="n">
        <f aca="false">IF(Z590&gt;360,Z590-360,Z590+0)</f>
        <v>329.3</v>
      </c>
    </row>
    <row r="591" customFormat="false" ht="15.8" hidden="false" customHeight="false" outlineLevel="0" collapsed="false">
      <c r="A591" s="1" t="n">
        <v>13</v>
      </c>
      <c r="B591" s="1" t="n">
        <v>10</v>
      </c>
      <c r="C591" s="1" t="n">
        <v>0.9</v>
      </c>
      <c r="D591" s="1" t="n">
        <v>1.0527</v>
      </c>
      <c r="E591" s="1" t="n">
        <v>0.0312965</v>
      </c>
      <c r="F591" s="1" t="n">
        <v>8.99566E-005</v>
      </c>
      <c r="G591" s="1" t="s">
        <v>27</v>
      </c>
      <c r="H591" s="1" t="n">
        <v>50.3</v>
      </c>
      <c r="I591" s="1" t="n">
        <v>282.1</v>
      </c>
      <c r="J591" s="1" t="n">
        <v>0</v>
      </c>
      <c r="K591" s="1"/>
      <c r="L591" s="1" t="n">
        <v>0</v>
      </c>
      <c r="M591" s="1" t="n">
        <v>0</v>
      </c>
      <c r="N591" s="1" t="s">
        <v>391</v>
      </c>
      <c r="O591" s="1"/>
      <c r="P591" s="1"/>
      <c r="Q591" s="1"/>
      <c r="R591" s="1"/>
      <c r="Z591" s="0" t="n">
        <f aca="false">I591+0</f>
        <v>282.1</v>
      </c>
      <c r="AB591" s="0" t="n">
        <f aca="false">IF(Z591&gt;360,Z591-360,Z591+0)</f>
        <v>282.1</v>
      </c>
    </row>
    <row r="592" customFormat="false" ht="15.8" hidden="false" customHeight="false" outlineLevel="0" collapsed="false">
      <c r="A592" s="1" t="n">
        <v>13</v>
      </c>
      <c r="B592" s="1" t="n">
        <v>9</v>
      </c>
      <c r="C592" s="1" t="n">
        <v>4.4</v>
      </c>
      <c r="D592" s="1" t="n">
        <v>1.1703</v>
      </c>
      <c r="E592" s="1" t="n">
        <v>0.160288</v>
      </c>
      <c r="F592" s="1" t="n">
        <v>0.000460721</v>
      </c>
      <c r="G592" s="1" t="s">
        <v>42</v>
      </c>
      <c r="H592" s="1" t="n">
        <v>73.9</v>
      </c>
      <c r="I592" s="1" t="n">
        <v>305.2</v>
      </c>
      <c r="J592" s="1" t="n">
        <v>-46.1</v>
      </c>
      <c r="K592" s="1" t="n">
        <v>50.3</v>
      </c>
      <c r="L592" s="1" t="n">
        <v>0</v>
      </c>
      <c r="M592" s="1" t="n">
        <v>0</v>
      </c>
      <c r="N592" s="1" t="s">
        <v>392</v>
      </c>
      <c r="O592" s="1"/>
      <c r="P592" s="1"/>
      <c r="Q592" s="1"/>
      <c r="R592" s="1"/>
      <c r="Z592" s="0" t="n">
        <f aca="false">I592+0</f>
        <v>305.2</v>
      </c>
      <c r="AB592" s="0" t="n">
        <f aca="false">IF(Z592&gt;360,Z592-360,Z592+0)</f>
        <v>305.2</v>
      </c>
    </row>
    <row r="593" customFormat="false" ht="15.8" hidden="false" customHeight="false" outlineLevel="0" collapsed="false">
      <c r="A593" s="1" t="n">
        <v>13</v>
      </c>
      <c r="B593" s="1" t="n">
        <v>11</v>
      </c>
      <c r="C593" s="1" t="n">
        <v>2.6</v>
      </c>
      <c r="D593" s="1" t="n">
        <v>1.4277</v>
      </c>
      <c r="E593" s="1" t="n">
        <v>0.0953317</v>
      </c>
      <c r="F593" s="1" t="n">
        <v>0.000274015</v>
      </c>
      <c r="G593" s="1" t="s">
        <v>27</v>
      </c>
      <c r="H593" s="1" t="n">
        <v>35.7</v>
      </c>
      <c r="I593" s="1" t="n">
        <v>185.1</v>
      </c>
      <c r="J593" s="1" t="n">
        <v>-39.3</v>
      </c>
      <c r="K593" s="1"/>
      <c r="L593" s="1" t="n">
        <v>0</v>
      </c>
      <c r="M593" s="1" t="n">
        <v>0</v>
      </c>
      <c r="N593" s="1" t="s">
        <v>393</v>
      </c>
      <c r="O593" s="1"/>
      <c r="P593" s="1"/>
      <c r="Q593" s="1"/>
      <c r="R593" s="1"/>
      <c r="Z593" s="0" t="n">
        <f aca="false">I593+0</f>
        <v>185.1</v>
      </c>
      <c r="AB593" s="0" t="n">
        <f aca="false">IF(Z593&gt;360,Z593-360,Z593+0)</f>
        <v>185.1</v>
      </c>
    </row>
    <row r="594" customFormat="false" ht="15.8" hidden="false" customHeight="false" outlineLevel="0" collapsed="false">
      <c r="A594" s="1" t="n">
        <v>13</v>
      </c>
      <c r="B594" s="1" t="n">
        <v>11</v>
      </c>
      <c r="C594" s="1" t="n">
        <v>0.9</v>
      </c>
      <c r="D594" s="1" t="n">
        <v>1.016</v>
      </c>
      <c r="E594" s="1" t="n">
        <v>0.0341436</v>
      </c>
      <c r="F594" s="1" t="n">
        <v>9.81401E-005</v>
      </c>
      <c r="G594" s="1" t="s">
        <v>27</v>
      </c>
      <c r="H594" s="1" t="n">
        <v>67.4</v>
      </c>
      <c r="I594" s="1" t="n">
        <v>230</v>
      </c>
      <c r="J594" s="1" t="n">
        <v>0</v>
      </c>
      <c r="K594" s="1"/>
      <c r="L594" s="1" t="n">
        <v>0</v>
      </c>
      <c r="M594" s="1" t="n">
        <v>0</v>
      </c>
      <c r="N594" s="1" t="s">
        <v>393</v>
      </c>
      <c r="O594" s="1"/>
      <c r="P594" s="1"/>
      <c r="Q594" s="1"/>
      <c r="R594" s="1"/>
      <c r="Z594" s="0" t="n">
        <f aca="false">I594+0</f>
        <v>230</v>
      </c>
      <c r="AB594" s="0" t="n">
        <f aca="false">IF(Z594&gt;360,Z594-360,Z594+0)</f>
        <v>230</v>
      </c>
    </row>
    <row r="595" customFormat="false" ht="15.8" hidden="false" customHeight="false" outlineLevel="0" collapsed="false">
      <c r="A595" s="1" t="n">
        <v>13</v>
      </c>
      <c r="B595" s="1" t="n">
        <v>10</v>
      </c>
      <c r="C595" s="1" t="n">
        <v>5.4</v>
      </c>
      <c r="D595" s="1" t="n">
        <v>1.1457</v>
      </c>
      <c r="E595" s="1" t="n">
        <v>0.194286</v>
      </c>
      <c r="F595" s="1" t="n">
        <v>0.000558443</v>
      </c>
      <c r="G595" s="1" t="s">
        <v>42</v>
      </c>
      <c r="H595" s="1" t="n">
        <v>24.6</v>
      </c>
      <c r="I595" s="1" t="n">
        <v>163</v>
      </c>
      <c r="J595" s="1" t="n">
        <v>-9.6</v>
      </c>
      <c r="K595" s="1" t="n">
        <v>67.4</v>
      </c>
      <c r="L595" s="1" t="n">
        <v>0</v>
      </c>
      <c r="M595" s="1" t="n">
        <v>0</v>
      </c>
      <c r="N595" s="1" t="s">
        <v>394</v>
      </c>
      <c r="O595" s="1"/>
      <c r="P595" s="1"/>
      <c r="Q595" s="1"/>
      <c r="R595" s="1"/>
      <c r="Z595" s="0" t="n">
        <f aca="false">I595+0</f>
        <v>163</v>
      </c>
      <c r="AB595" s="0" t="n">
        <f aca="false">IF(Z595&gt;360,Z595-360,Z595+0)</f>
        <v>163</v>
      </c>
    </row>
    <row r="596" customFormat="false" ht="15.8" hidden="false" customHeight="false" outlineLevel="0" collapsed="false">
      <c r="A596" s="1" t="n">
        <v>13</v>
      </c>
      <c r="B596" s="1" t="n">
        <v>12</v>
      </c>
      <c r="C596" s="1" t="n">
        <v>5.9</v>
      </c>
      <c r="D596" s="1" t="n">
        <v>3.2954</v>
      </c>
      <c r="E596" s="1" t="n">
        <v>0.212353</v>
      </c>
      <c r="F596" s="1" t="n">
        <v>0.000610374</v>
      </c>
      <c r="G596" s="1" t="s">
        <v>27</v>
      </c>
      <c r="H596" s="1" t="n">
        <v>81.1</v>
      </c>
      <c r="I596" s="1" t="n">
        <v>211.4</v>
      </c>
      <c r="J596" s="1" t="n">
        <v>41</v>
      </c>
      <c r="K596" s="1"/>
      <c r="L596" s="1" t="n">
        <v>0</v>
      </c>
      <c r="M596" s="1" t="n">
        <v>0</v>
      </c>
      <c r="N596" s="1" t="s">
        <v>395</v>
      </c>
      <c r="O596" s="1"/>
      <c r="P596" s="1"/>
      <c r="Q596" s="1"/>
      <c r="R596" s="1"/>
      <c r="Z596" s="0" t="n">
        <f aca="false">I596+0</f>
        <v>211.4</v>
      </c>
      <c r="AB596" s="0" t="n">
        <f aca="false">IF(Z596&gt;360,Z596-360,Z596+0)</f>
        <v>211.4</v>
      </c>
    </row>
    <row r="597" customFormat="false" ht="15.8" hidden="false" customHeight="false" outlineLevel="0" collapsed="false">
      <c r="A597" s="1" t="n">
        <v>13</v>
      </c>
      <c r="B597" s="1" t="n">
        <v>12</v>
      </c>
      <c r="C597" s="1" t="n">
        <v>1.3</v>
      </c>
      <c r="D597" s="1" t="n">
        <v>1.2562</v>
      </c>
      <c r="E597" s="1" t="n">
        <v>0.0462605</v>
      </c>
      <c r="F597" s="1" t="n">
        <v>0.000132968</v>
      </c>
      <c r="G597" s="1" t="s">
        <v>27</v>
      </c>
      <c r="H597" s="1" t="n">
        <v>89.6</v>
      </c>
      <c r="I597" s="1" t="n">
        <v>200</v>
      </c>
      <c r="J597" s="1" t="n">
        <v>22.5</v>
      </c>
      <c r="K597" s="1"/>
      <c r="L597" s="1" t="n">
        <v>0</v>
      </c>
      <c r="M597" s="1" t="n">
        <v>0</v>
      </c>
      <c r="N597" s="1" t="s">
        <v>395</v>
      </c>
      <c r="O597" s="1"/>
      <c r="P597" s="1"/>
      <c r="Q597" s="1"/>
      <c r="R597" s="1"/>
      <c r="Z597" s="0" t="n">
        <f aca="false">I597+0</f>
        <v>200</v>
      </c>
      <c r="AB597" s="0" t="n">
        <f aca="false">IF(Z597&gt;360,Z597-360,Z597+0)</f>
        <v>200</v>
      </c>
    </row>
    <row r="598" customFormat="false" ht="15.8" hidden="false" customHeight="false" outlineLevel="0" collapsed="false">
      <c r="A598" s="1" t="n">
        <v>13</v>
      </c>
      <c r="B598" s="1" t="n">
        <v>11</v>
      </c>
      <c r="C598" s="1" t="n">
        <v>1.8</v>
      </c>
      <c r="D598" s="1" t="n">
        <v>1.0198</v>
      </c>
      <c r="E598" s="1" t="n">
        <v>0.0646931</v>
      </c>
      <c r="F598" s="1" t="n">
        <v>0.00018595</v>
      </c>
      <c r="G598" s="1" t="s">
        <v>42</v>
      </c>
      <c r="H598" s="1" t="n">
        <v>57.1</v>
      </c>
      <c r="I598" s="1" t="n">
        <v>289.5</v>
      </c>
      <c r="J598" s="1" t="n">
        <v>0</v>
      </c>
      <c r="K598" s="1" t="n">
        <v>89.6</v>
      </c>
      <c r="L598" s="1" t="n">
        <v>0</v>
      </c>
      <c r="M598" s="1" t="n">
        <v>0</v>
      </c>
      <c r="N598" s="1" t="s">
        <v>396</v>
      </c>
      <c r="O598" s="1"/>
      <c r="P598" s="1"/>
      <c r="Q598" s="1"/>
      <c r="R598" s="1"/>
      <c r="Z598" s="0" t="n">
        <f aca="false">I598+0</f>
        <v>289.5</v>
      </c>
      <c r="AB598" s="0" t="n">
        <f aca="false">IF(Z598&gt;360,Z598-360,Z598+0)</f>
        <v>289.5</v>
      </c>
    </row>
    <row r="599" customFormat="false" ht="15.8" hidden="false" customHeight="false" outlineLevel="0" collapsed="false">
      <c r="A599" s="1" t="n">
        <v>13</v>
      </c>
      <c r="B599" s="1" t="n">
        <v>12</v>
      </c>
      <c r="C599" s="1" t="n">
        <v>1.9</v>
      </c>
      <c r="D599" s="1" t="n">
        <v>1.3408</v>
      </c>
      <c r="E599" s="1" t="n">
        <v>0.0699607</v>
      </c>
      <c r="F599" s="1" t="n">
        <v>0.00020109</v>
      </c>
      <c r="G599" s="1" t="s">
        <v>27</v>
      </c>
      <c r="H599" s="1" t="n">
        <v>28.9</v>
      </c>
      <c r="I599" s="1" t="n">
        <v>213.3</v>
      </c>
      <c r="J599" s="1" t="n">
        <v>0</v>
      </c>
      <c r="K599" s="1"/>
      <c r="L599" s="1" t="n">
        <v>0</v>
      </c>
      <c r="M599" s="1" t="n">
        <v>0</v>
      </c>
      <c r="N599" s="1" t="s">
        <v>397</v>
      </c>
      <c r="O599" s="1"/>
      <c r="P599" s="1"/>
      <c r="Q599" s="1"/>
      <c r="R599" s="1"/>
      <c r="Z599" s="0" t="n">
        <f aca="false">I599+0</f>
        <v>213.3</v>
      </c>
      <c r="AB599" s="0" t="n">
        <f aca="false">IF(Z599&gt;360,Z599-360,Z599+0)</f>
        <v>213.3</v>
      </c>
    </row>
    <row r="600" customFormat="false" ht="15.8" hidden="false" customHeight="false" outlineLevel="0" collapsed="false">
      <c r="A600" s="1" t="n">
        <v>13</v>
      </c>
      <c r="B600" s="1" t="n">
        <v>14</v>
      </c>
      <c r="C600" s="1" t="n">
        <v>3.4</v>
      </c>
      <c r="D600" s="1" t="n">
        <v>1.1038</v>
      </c>
      <c r="E600" s="1" t="n">
        <v>0.12407</v>
      </c>
      <c r="F600" s="1" t="n">
        <v>0.000356618</v>
      </c>
      <c r="G600" s="1" t="s">
        <v>27</v>
      </c>
      <c r="H600" s="1" t="n">
        <v>7.2</v>
      </c>
      <c r="I600" s="1" t="n">
        <v>237.3</v>
      </c>
      <c r="J600" s="1" t="n">
        <v>-7.2</v>
      </c>
      <c r="K600" s="1"/>
      <c r="L600" s="1" t="n">
        <v>0</v>
      </c>
      <c r="M600" s="1" t="n">
        <v>0</v>
      </c>
      <c r="N600" s="1" t="s">
        <v>398</v>
      </c>
      <c r="O600" s="1"/>
      <c r="P600" s="1"/>
      <c r="Q600" s="1"/>
      <c r="R600" s="1"/>
      <c r="Z600" s="0" t="n">
        <f aca="false">I600+0</f>
        <v>237.3</v>
      </c>
      <c r="AB600" s="0" t="n">
        <f aca="false">IF(Z600&gt;360,Z600-360,Z600+0)</f>
        <v>237.3</v>
      </c>
    </row>
    <row r="601" customFormat="false" ht="15.8" hidden="false" customHeight="false" outlineLevel="0" collapsed="false">
      <c r="A601" s="1" t="n">
        <v>13</v>
      </c>
      <c r="B601" s="1" t="n">
        <v>14</v>
      </c>
      <c r="C601" s="1" t="n">
        <v>1.6</v>
      </c>
      <c r="D601" s="1" t="n">
        <v>1.1661</v>
      </c>
      <c r="E601" s="1" t="n">
        <v>0.0589634</v>
      </c>
      <c r="F601" s="1" t="n">
        <v>0.00016948</v>
      </c>
      <c r="G601" s="1" t="s">
        <v>27</v>
      </c>
      <c r="H601" s="1" t="n">
        <v>123.3</v>
      </c>
      <c r="I601" s="1" t="n">
        <v>55.4</v>
      </c>
      <c r="J601" s="1" t="n">
        <v>56.7</v>
      </c>
      <c r="K601" s="1"/>
      <c r="L601" s="1" t="n">
        <v>0</v>
      </c>
      <c r="M601" s="1" t="n">
        <v>0</v>
      </c>
      <c r="N601" s="1" t="s">
        <v>398</v>
      </c>
      <c r="O601" s="1"/>
      <c r="P601" s="1"/>
      <c r="Q601" s="1"/>
      <c r="R601" s="1"/>
      <c r="Z601" s="0" t="n">
        <f aca="false">I601+0</f>
        <v>55.4</v>
      </c>
      <c r="AB601" s="0" t="n">
        <f aca="false">IF(Z601&gt;360,Z601-360,Z601+0)</f>
        <v>55.4</v>
      </c>
    </row>
    <row r="602" customFormat="false" ht="15.8" hidden="false" customHeight="false" outlineLevel="0" collapsed="false">
      <c r="A602" s="1" t="n">
        <v>13</v>
      </c>
      <c r="B602" s="1" t="n">
        <v>13</v>
      </c>
      <c r="C602" s="1" t="n">
        <v>2.5</v>
      </c>
      <c r="D602" s="1" t="n">
        <v>1.0808</v>
      </c>
      <c r="E602" s="1" t="n">
        <v>0.0901271</v>
      </c>
      <c r="F602" s="1" t="n">
        <v>0.000259056</v>
      </c>
      <c r="G602" s="1" t="s">
        <v>42</v>
      </c>
      <c r="H602" s="1" t="n">
        <v>13.9</v>
      </c>
      <c r="I602" s="1" t="n">
        <v>236.8</v>
      </c>
      <c r="J602" s="1" t="n">
        <v>0</v>
      </c>
      <c r="K602" s="1" t="n">
        <v>123.3</v>
      </c>
      <c r="L602" s="1" t="n">
        <v>0</v>
      </c>
      <c r="M602" s="1" t="n">
        <v>0</v>
      </c>
      <c r="N602" s="1" t="s">
        <v>399</v>
      </c>
      <c r="O602" s="1"/>
      <c r="P602" s="1"/>
      <c r="Q602" s="1"/>
      <c r="R602" s="1"/>
      <c r="Z602" s="0" t="n">
        <f aca="false">I602+0</f>
        <v>236.8</v>
      </c>
      <c r="AB602" s="0" t="n">
        <f aca="false">IF(Z602&gt;360,Z602-360,Z602+0)</f>
        <v>236.8</v>
      </c>
    </row>
    <row r="603" customFormat="false" ht="15.8" hidden="false" customHeight="false" outlineLevel="0" collapsed="false">
      <c r="A603" s="1" t="n">
        <v>13</v>
      </c>
      <c r="B603" s="1" t="n">
        <v>14</v>
      </c>
      <c r="C603" s="1" t="n">
        <v>1.7</v>
      </c>
      <c r="D603" s="1" t="n">
        <v>1.2404</v>
      </c>
      <c r="E603" s="1" t="n">
        <v>0.0623376</v>
      </c>
      <c r="F603" s="1" t="n">
        <v>0.000179179</v>
      </c>
      <c r="G603" s="1" t="s">
        <v>27</v>
      </c>
      <c r="H603" s="1" t="n">
        <v>54.2</v>
      </c>
      <c r="I603" s="1" t="n">
        <v>100.5</v>
      </c>
      <c r="J603" s="1" t="n">
        <v>0</v>
      </c>
      <c r="K603" s="1"/>
      <c r="L603" s="1" t="n">
        <v>0</v>
      </c>
      <c r="M603" s="1" t="n">
        <v>0</v>
      </c>
      <c r="N603" s="1" t="s">
        <v>400</v>
      </c>
      <c r="O603" s="1"/>
      <c r="P603" s="1"/>
      <c r="Q603" s="1"/>
      <c r="R603" s="1"/>
      <c r="Z603" s="0" t="n">
        <f aca="false">I603+0</f>
        <v>100.5</v>
      </c>
      <c r="AB603" s="0" t="n">
        <f aca="false">IF(Z603&gt;360,Z603-360,Z603+0)</f>
        <v>100.5</v>
      </c>
    </row>
    <row r="604" customFormat="false" ht="15.8" hidden="false" customHeight="false" outlineLevel="0" collapsed="false">
      <c r="A604" s="1" t="n">
        <v>13</v>
      </c>
      <c r="B604" s="1" t="n">
        <v>15</v>
      </c>
      <c r="C604" s="1" t="n">
        <v>1.2</v>
      </c>
      <c r="D604" s="1" t="n">
        <v>1.0099</v>
      </c>
      <c r="E604" s="1" t="n">
        <v>0.0420345</v>
      </c>
      <c r="F604" s="1" t="n">
        <v>0.000120821</v>
      </c>
      <c r="G604" s="1" t="s">
        <v>27</v>
      </c>
      <c r="H604" s="1" t="n">
        <v>69</v>
      </c>
      <c r="I604" s="1" t="n">
        <v>257.9</v>
      </c>
      <c r="J604" s="1" t="n">
        <v>0</v>
      </c>
      <c r="K604" s="1"/>
      <c r="L604" s="1" t="n">
        <v>0</v>
      </c>
      <c r="M604" s="1" t="n">
        <v>0</v>
      </c>
      <c r="N604" s="1" t="s">
        <v>401</v>
      </c>
      <c r="O604" s="1"/>
      <c r="P604" s="1"/>
      <c r="Q604" s="1"/>
      <c r="R604" s="1"/>
      <c r="Z604" s="0" t="n">
        <f aca="false">I604+0</f>
        <v>257.9</v>
      </c>
      <c r="AB604" s="0" t="n">
        <f aca="false">IF(Z604&gt;360,Z604-360,Z604+0)</f>
        <v>257.9</v>
      </c>
    </row>
    <row r="605" customFormat="false" ht="15.8" hidden="false" customHeight="false" outlineLevel="0" collapsed="false">
      <c r="A605" s="1" t="n">
        <v>13</v>
      </c>
      <c r="B605" s="1" t="n">
        <v>20</v>
      </c>
      <c r="C605" s="1" t="n">
        <v>3.2</v>
      </c>
      <c r="D605" s="1" t="n">
        <v>1.7106</v>
      </c>
      <c r="E605" s="1" t="n">
        <v>0.116928</v>
      </c>
      <c r="F605" s="1" t="n">
        <v>0.000336091</v>
      </c>
      <c r="G605" s="1" t="s">
        <v>27</v>
      </c>
      <c r="H605" s="1" t="n">
        <v>92.4</v>
      </c>
      <c r="I605" s="1" t="n">
        <v>119.1</v>
      </c>
      <c r="J605" s="1" t="n">
        <v>38.2</v>
      </c>
      <c r="K605" s="1"/>
      <c r="L605" s="1" t="n">
        <v>0</v>
      </c>
      <c r="M605" s="1" t="n">
        <v>0</v>
      </c>
      <c r="N605" s="1" t="s">
        <v>402</v>
      </c>
      <c r="O605" s="1"/>
      <c r="P605" s="1"/>
      <c r="Q605" s="1"/>
      <c r="R605" s="1"/>
      <c r="Z605" s="0" t="n">
        <f aca="false">I605+0</f>
        <v>119.1</v>
      </c>
      <c r="AB605" s="0" t="n">
        <f aca="false">IF(Z605&gt;360,Z605-360,Z605+0)</f>
        <v>119.1</v>
      </c>
    </row>
    <row r="606" customFormat="false" ht="15.8" hidden="false" customHeight="false" outlineLevel="0" collapsed="false">
      <c r="A606" s="1" t="n">
        <v>13</v>
      </c>
      <c r="B606" s="1" t="n">
        <v>21</v>
      </c>
      <c r="C606" s="1" t="n">
        <v>3.5</v>
      </c>
      <c r="D606" s="1" t="n">
        <v>1.3516</v>
      </c>
      <c r="E606" s="1" t="n">
        <v>0.125476</v>
      </c>
      <c r="F606" s="1" t="n">
        <v>0.000360659</v>
      </c>
      <c r="G606" s="1" t="s">
        <v>27</v>
      </c>
      <c r="H606" s="1" t="n">
        <v>79.2</v>
      </c>
      <c r="I606" s="1" t="n">
        <v>56.7</v>
      </c>
      <c r="J606" s="1" t="n">
        <v>-17.7</v>
      </c>
      <c r="K606" s="1"/>
      <c r="L606" s="1" t="n">
        <v>0</v>
      </c>
      <c r="M606" s="1" t="n">
        <v>0</v>
      </c>
      <c r="N606" s="1" t="s">
        <v>403</v>
      </c>
      <c r="O606" s="1"/>
      <c r="P606" s="1"/>
      <c r="Q606" s="1"/>
      <c r="R606" s="1"/>
      <c r="Z606" s="0" t="n">
        <f aca="false">I606+0</f>
        <v>56.7</v>
      </c>
      <c r="AB606" s="0" t="n">
        <f aca="false">IF(Z606&gt;360,Z606-360,Z606+0)</f>
        <v>56.7</v>
      </c>
    </row>
    <row r="607" customFormat="false" ht="15.8" hidden="false" customHeight="false" outlineLevel="0" collapsed="false">
      <c r="A607" s="1" t="n">
        <v>13</v>
      </c>
      <c r="B607" s="1" t="n">
        <v>21</v>
      </c>
      <c r="C607" s="1" t="n">
        <v>1</v>
      </c>
      <c r="D607" s="1" t="n">
        <v>1.1923</v>
      </c>
      <c r="E607" s="1" t="n">
        <v>0.0377078</v>
      </c>
      <c r="F607" s="1" t="n">
        <v>0.000108385</v>
      </c>
      <c r="G607" s="1" t="s">
        <v>27</v>
      </c>
      <c r="H607" s="1" t="n">
        <v>83.2</v>
      </c>
      <c r="I607" s="1" t="n">
        <v>240.1</v>
      </c>
      <c r="J607" s="1" t="n">
        <v>0</v>
      </c>
      <c r="K607" s="1"/>
      <c r="L607" s="1" t="n">
        <v>0</v>
      </c>
      <c r="M607" s="1" t="n">
        <v>0</v>
      </c>
      <c r="N607" s="1" t="s">
        <v>403</v>
      </c>
      <c r="O607" s="1"/>
      <c r="P607" s="1"/>
      <c r="Q607" s="1"/>
      <c r="R607" s="1"/>
      <c r="Z607" s="0" t="n">
        <f aca="false">I607+0</f>
        <v>240.1</v>
      </c>
      <c r="AB607" s="0" t="n">
        <f aca="false">IF(Z607&gt;360,Z607-360,Z607+0)</f>
        <v>240.1</v>
      </c>
    </row>
    <row r="608" customFormat="false" ht="15.8" hidden="false" customHeight="false" outlineLevel="0" collapsed="false">
      <c r="A608" s="1" t="n">
        <v>13</v>
      </c>
      <c r="B608" s="1" t="n">
        <v>20</v>
      </c>
      <c r="C608" s="1" t="n">
        <v>1.3</v>
      </c>
      <c r="D608" s="1" t="n">
        <v>1.005</v>
      </c>
      <c r="E608" s="1" t="n">
        <v>0.0464866</v>
      </c>
      <c r="F608" s="1" t="n">
        <v>0.000133618</v>
      </c>
      <c r="G608" s="1" t="s">
        <v>42</v>
      </c>
      <c r="H608" s="1" t="n">
        <v>88.2</v>
      </c>
      <c r="I608" s="1" t="n">
        <v>313.2</v>
      </c>
      <c r="J608" s="1" t="n">
        <v>-66</v>
      </c>
      <c r="K608" s="1" t="n">
        <v>83.2</v>
      </c>
      <c r="L608" s="1" t="n">
        <v>0</v>
      </c>
      <c r="M608" s="1" t="n">
        <v>0</v>
      </c>
      <c r="N608" s="1" t="s">
        <v>402</v>
      </c>
      <c r="O608" s="1"/>
      <c r="P608" s="1"/>
      <c r="Q608" s="1"/>
      <c r="R608" s="1"/>
      <c r="Z608" s="0" t="n">
        <f aca="false">I608+0</f>
        <v>313.2</v>
      </c>
      <c r="AB608" s="0" t="n">
        <f aca="false">IF(Z608&gt;360,Z608-360,Z608+0)</f>
        <v>313.2</v>
      </c>
    </row>
    <row r="609" customFormat="false" ht="15.8" hidden="false" customHeight="false" outlineLevel="0" collapsed="false">
      <c r="A609" s="1" t="n">
        <v>13</v>
      </c>
      <c r="B609" s="1" t="n">
        <v>19</v>
      </c>
      <c r="C609" s="1" t="n">
        <v>2.5</v>
      </c>
      <c r="D609" s="1" t="n">
        <v>1.145</v>
      </c>
      <c r="E609" s="1" t="n">
        <v>0.0910452</v>
      </c>
      <c r="F609" s="1" t="n">
        <v>0.000261694</v>
      </c>
      <c r="G609" s="1" t="s">
        <v>42</v>
      </c>
      <c r="H609" s="1" t="n">
        <v>92.8</v>
      </c>
      <c r="I609" s="1" t="n">
        <v>204.1</v>
      </c>
      <c r="J609" s="1" t="n">
        <v>-10.2</v>
      </c>
      <c r="K609" s="1" t="n">
        <v>92.4</v>
      </c>
      <c r="L609" s="1" t="n">
        <v>0</v>
      </c>
      <c r="M609" s="1" t="n">
        <v>0</v>
      </c>
      <c r="N609" s="1" t="s">
        <v>404</v>
      </c>
      <c r="O609" s="1"/>
      <c r="P609" s="1"/>
      <c r="Q609" s="1"/>
      <c r="R609" s="1"/>
      <c r="Z609" s="0" t="n">
        <f aca="false">I609+0</f>
        <v>204.1</v>
      </c>
      <c r="AB609" s="0" t="n">
        <f aca="false">IF(Z609&gt;360,Z609-360,Z609+0)</f>
        <v>204.1</v>
      </c>
    </row>
    <row r="610" customFormat="false" ht="15.8" hidden="false" customHeight="false" outlineLevel="0" collapsed="false">
      <c r="A610" s="1" t="n">
        <v>13</v>
      </c>
      <c r="B610" s="1" t="n">
        <v>19</v>
      </c>
      <c r="C610" s="1" t="n">
        <v>0.9</v>
      </c>
      <c r="D610" s="1" t="n">
        <v>1.0093</v>
      </c>
      <c r="E610" s="1" t="n">
        <v>0.0338045</v>
      </c>
      <c r="F610" s="1" t="n">
        <v>9.71654E-005</v>
      </c>
      <c r="G610" s="1" t="s">
        <v>27</v>
      </c>
      <c r="H610" s="1" t="n">
        <v>91.7</v>
      </c>
      <c r="I610" s="1" t="n">
        <v>19.6</v>
      </c>
      <c r="J610" s="1" t="n">
        <v>0</v>
      </c>
      <c r="K610" s="1"/>
      <c r="L610" s="1" t="n">
        <v>0</v>
      </c>
      <c r="M610" s="1" t="n">
        <v>0</v>
      </c>
      <c r="N610" s="1" t="s">
        <v>404</v>
      </c>
      <c r="O610" s="1"/>
      <c r="P610" s="1"/>
      <c r="Q610" s="1"/>
      <c r="R610" s="1"/>
      <c r="Z610" s="0" t="n">
        <f aca="false">I610+0</f>
        <v>19.6</v>
      </c>
      <c r="AB610" s="0" t="n">
        <f aca="false">IF(Z610&gt;360,Z610-360,Z610+0)</f>
        <v>19.6</v>
      </c>
    </row>
    <row r="611" customFormat="false" ht="15.8" hidden="false" customHeight="false" outlineLevel="0" collapsed="false">
      <c r="A611" s="1" t="n">
        <v>13</v>
      </c>
      <c r="B611" s="1" t="n">
        <v>18</v>
      </c>
      <c r="C611" s="1" t="n">
        <v>0.7</v>
      </c>
      <c r="D611" s="1" t="n">
        <v>1.0202</v>
      </c>
      <c r="E611" s="1" t="n">
        <v>0.0245481</v>
      </c>
      <c r="F611" s="1" t="n">
        <v>7.05593E-005</v>
      </c>
      <c r="G611" s="1" t="s">
        <v>42</v>
      </c>
      <c r="H611" s="1" t="n">
        <v>28.7</v>
      </c>
      <c r="I611" s="1" t="n">
        <v>111.2</v>
      </c>
      <c r="J611" s="1" t="n">
        <v>0</v>
      </c>
      <c r="K611" s="1" t="n">
        <v>92.8</v>
      </c>
      <c r="L611" s="1" t="n">
        <v>0</v>
      </c>
      <c r="M611" s="1" t="n">
        <v>0</v>
      </c>
      <c r="N611" s="1" t="s">
        <v>405</v>
      </c>
      <c r="O611" s="1"/>
      <c r="P611" s="1"/>
      <c r="Q611" s="1"/>
      <c r="R611" s="1"/>
      <c r="Z611" s="0" t="n">
        <f aca="false">I611+0</f>
        <v>111.2</v>
      </c>
      <c r="AB611" s="0" t="n">
        <f aca="false">IF(Z611&gt;360,Z611-360,Z611+0)</f>
        <v>111.2</v>
      </c>
    </row>
    <row r="612" customFormat="false" ht="15.8" hidden="false" customHeight="false" outlineLevel="0" collapsed="false">
      <c r="A612" s="1" t="n">
        <v>13</v>
      </c>
      <c r="B612" s="1" t="n">
        <v>18</v>
      </c>
      <c r="C612" s="1" t="n">
        <v>1.4</v>
      </c>
      <c r="D612" s="1" t="n">
        <v>1.1844</v>
      </c>
      <c r="E612" s="1" t="n">
        <v>0.0513184</v>
      </c>
      <c r="F612" s="1" t="n">
        <v>0.000147506</v>
      </c>
      <c r="G612" s="1" t="s">
        <v>27</v>
      </c>
      <c r="H612" s="1" t="n">
        <v>98.8</v>
      </c>
      <c r="I612" s="1" t="n">
        <v>342.3</v>
      </c>
      <c r="J612" s="1" t="n">
        <v>-19</v>
      </c>
      <c r="K612" s="1"/>
      <c r="L612" s="1" t="n">
        <v>0</v>
      </c>
      <c r="M612" s="1" t="n">
        <v>0</v>
      </c>
      <c r="N612" s="1" t="s">
        <v>405</v>
      </c>
      <c r="O612" s="1"/>
      <c r="P612" s="1"/>
      <c r="Q612" s="1"/>
      <c r="R612" s="1"/>
      <c r="Z612" s="0" t="n">
        <f aca="false">I612+0</f>
        <v>342.3</v>
      </c>
      <c r="AB612" s="0" t="n">
        <f aca="false">IF(Z612&gt;360,Z612-360,Z612+0)</f>
        <v>342.3</v>
      </c>
    </row>
    <row r="613" customFormat="false" ht="15.8" hidden="false" customHeight="false" outlineLevel="0" collapsed="false">
      <c r="A613" s="1" t="n">
        <v>13</v>
      </c>
      <c r="B613" s="1" t="n">
        <v>17</v>
      </c>
      <c r="C613" s="1" t="n">
        <v>1.7</v>
      </c>
      <c r="D613" s="1" t="n">
        <v>1.4128</v>
      </c>
      <c r="E613" s="1" t="n">
        <v>0.0630796</v>
      </c>
      <c r="F613" s="1" t="n">
        <v>0.000181312</v>
      </c>
      <c r="G613" s="1" t="s">
        <v>42</v>
      </c>
      <c r="H613" s="1" t="n">
        <v>84.2</v>
      </c>
      <c r="I613" s="1" t="n">
        <v>88.9</v>
      </c>
      <c r="J613" s="1" t="n">
        <v>-18.4</v>
      </c>
      <c r="K613" s="1" t="n">
        <v>98.8</v>
      </c>
      <c r="L613" s="1" t="n">
        <v>0</v>
      </c>
      <c r="M613" s="1" t="n">
        <v>0</v>
      </c>
      <c r="N613" s="1" t="s">
        <v>406</v>
      </c>
      <c r="O613" s="1"/>
      <c r="P613" s="1"/>
      <c r="Q613" s="1"/>
      <c r="R613" s="1"/>
      <c r="Z613" s="0" t="n">
        <f aca="false">I613+0</f>
        <v>88.9</v>
      </c>
      <c r="AB613" s="0" t="n">
        <f aca="false">IF(Z613&gt;360,Z613-360,Z613+0)</f>
        <v>88.9</v>
      </c>
    </row>
    <row r="614" customFormat="false" ht="15.8" hidden="false" customHeight="false" outlineLevel="0" collapsed="false">
      <c r="A614" s="1" t="n">
        <v>13</v>
      </c>
      <c r="B614" s="1" t="n">
        <v>18</v>
      </c>
      <c r="C614" s="1" t="n">
        <v>3.3</v>
      </c>
      <c r="D614" s="1" t="n">
        <v>1.298</v>
      </c>
      <c r="E614" s="1" t="n">
        <v>0.120795</v>
      </c>
      <c r="F614" s="1" t="n">
        <v>0.000347206</v>
      </c>
      <c r="G614" s="1" t="s">
        <v>27</v>
      </c>
      <c r="H614" s="1" t="n">
        <v>29.3</v>
      </c>
      <c r="I614" s="1" t="n">
        <v>125</v>
      </c>
      <c r="J614" s="1" t="n">
        <v>49.2</v>
      </c>
      <c r="K614" s="1"/>
      <c r="L614" s="1" t="n">
        <v>0</v>
      </c>
      <c r="M614" s="1" t="n">
        <v>0</v>
      </c>
      <c r="N614" s="1" t="s">
        <v>407</v>
      </c>
      <c r="O614" s="1"/>
      <c r="P614" s="1"/>
      <c r="Q614" s="1"/>
      <c r="R614" s="1"/>
      <c r="Z614" s="0" t="n">
        <f aca="false">I614+0</f>
        <v>125</v>
      </c>
      <c r="AB614" s="0" t="n">
        <f aca="false">IF(Z614&gt;360,Z614-360,Z614+0)</f>
        <v>125</v>
      </c>
    </row>
    <row r="615" customFormat="false" ht="15.8" hidden="false" customHeight="false" outlineLevel="0" collapsed="false">
      <c r="A615" s="1" t="n">
        <v>13</v>
      </c>
      <c r="B615" s="1" t="n">
        <v>19</v>
      </c>
      <c r="C615" s="1" t="n">
        <v>0.8</v>
      </c>
      <c r="D615" s="1" t="n">
        <v>1.2209</v>
      </c>
      <c r="E615" s="1" t="n">
        <v>0.027391</v>
      </c>
      <c r="F615" s="1" t="n">
        <v>7.8731E-005</v>
      </c>
      <c r="G615" s="1" t="s">
        <v>27</v>
      </c>
      <c r="H615" s="1" t="n">
        <v>37.5</v>
      </c>
      <c r="I615" s="1" t="n">
        <v>177.3</v>
      </c>
      <c r="J615" s="1" t="n">
        <v>38.9</v>
      </c>
      <c r="K615" s="1"/>
      <c r="L615" s="1" t="n">
        <v>0</v>
      </c>
      <c r="M615" s="1" t="n">
        <v>0</v>
      </c>
      <c r="N615" s="1" t="s">
        <v>408</v>
      </c>
      <c r="O615" s="1"/>
      <c r="P615" s="1"/>
      <c r="Q615" s="1"/>
      <c r="R615" s="1"/>
      <c r="Z615" s="0" t="n">
        <f aca="false">I615+0</f>
        <v>177.3</v>
      </c>
      <c r="AB615" s="0" t="n">
        <f aca="false">IF(Z615&gt;360,Z615-360,Z615+0)</f>
        <v>177.3</v>
      </c>
    </row>
    <row r="616" customFormat="false" ht="15.8" hidden="false" customHeight="false" outlineLevel="0" collapsed="false">
      <c r="A616" s="1" t="n">
        <v>13</v>
      </c>
      <c r="B616" s="1" t="n">
        <v>19</v>
      </c>
      <c r="C616" s="1" t="n">
        <v>0.6</v>
      </c>
      <c r="D616" s="1" t="n">
        <v>1.0157</v>
      </c>
      <c r="E616" s="1" t="n">
        <v>0.0228744</v>
      </c>
      <c r="F616" s="1" t="n">
        <v>6.57486E-005</v>
      </c>
      <c r="G616" s="1" t="s">
        <v>27</v>
      </c>
      <c r="H616" s="1" t="n">
        <v>111.9</v>
      </c>
      <c r="I616" s="1" t="n">
        <v>84.7</v>
      </c>
      <c r="J616" s="1" t="n">
        <v>0</v>
      </c>
      <c r="K616" s="1"/>
      <c r="L616" s="1" t="n">
        <v>0</v>
      </c>
      <c r="M616" s="1" t="n">
        <v>0</v>
      </c>
      <c r="N616" s="1" t="s">
        <v>408</v>
      </c>
      <c r="O616" s="1"/>
      <c r="P616" s="1"/>
      <c r="Q616" s="1"/>
      <c r="R616" s="1"/>
      <c r="Z616" s="0" t="n">
        <f aca="false">I616+0</f>
        <v>84.7</v>
      </c>
      <c r="AB616" s="0" t="n">
        <f aca="false">IF(Z616&gt;360,Z616-360,Z616+0)</f>
        <v>84.7</v>
      </c>
    </row>
    <row r="617" customFormat="false" ht="15.8" hidden="false" customHeight="false" outlineLevel="0" collapsed="false">
      <c r="A617" s="1" t="n">
        <v>13</v>
      </c>
      <c r="B617" s="1" t="n">
        <v>18</v>
      </c>
      <c r="C617" s="1" t="n">
        <v>4.9</v>
      </c>
      <c r="D617" s="1" t="n">
        <v>1.2652</v>
      </c>
      <c r="E617" s="1" t="n">
        <v>0.178096</v>
      </c>
      <c r="F617" s="1" t="n">
        <v>0.000511908</v>
      </c>
      <c r="G617" s="1" t="s">
        <v>42</v>
      </c>
      <c r="H617" s="1" t="n">
        <v>45.3</v>
      </c>
      <c r="I617" s="1" t="n">
        <v>196.7</v>
      </c>
      <c r="J617" s="1" t="n">
        <v>5.7</v>
      </c>
      <c r="K617" s="1" t="n">
        <v>111.9</v>
      </c>
      <c r="L617" s="1" t="n">
        <v>0</v>
      </c>
      <c r="M617" s="1" t="n">
        <v>0</v>
      </c>
      <c r="N617" s="1" t="s">
        <v>407</v>
      </c>
      <c r="O617" s="1"/>
      <c r="P617" s="1"/>
      <c r="Q617" s="1"/>
      <c r="R617" s="1"/>
      <c r="Z617" s="0" t="n">
        <f aca="false">I617+0</f>
        <v>196.7</v>
      </c>
      <c r="AB617" s="0" t="n">
        <f aca="false">IF(Z617&gt;360,Z617-360,Z617+0)</f>
        <v>196.7</v>
      </c>
    </row>
    <row r="618" customFormat="false" ht="15.8" hidden="false" customHeight="false" outlineLevel="0" collapsed="false">
      <c r="A618" s="1" t="n">
        <v>13</v>
      </c>
      <c r="B618" s="1" t="n">
        <v>17</v>
      </c>
      <c r="C618" s="1" t="n">
        <v>1.4</v>
      </c>
      <c r="D618" s="1" t="n">
        <v>1.1651</v>
      </c>
      <c r="E618" s="1" t="n">
        <v>0.0489988</v>
      </c>
      <c r="F618" s="1" t="n">
        <v>0.000140839</v>
      </c>
      <c r="G618" s="1" t="s">
        <v>42</v>
      </c>
      <c r="H618" s="1" t="n">
        <v>9</v>
      </c>
      <c r="I618" s="1" t="n">
        <v>166.1</v>
      </c>
      <c r="J618" s="1" t="n">
        <v>42.1</v>
      </c>
      <c r="K618" s="1" t="n">
        <v>45.3</v>
      </c>
      <c r="L618" s="1" t="n">
        <v>0</v>
      </c>
      <c r="M618" s="1" t="n">
        <v>0</v>
      </c>
      <c r="N618" s="1" t="s">
        <v>406</v>
      </c>
      <c r="O618" s="1"/>
      <c r="P618" s="1"/>
      <c r="Q618" s="1"/>
      <c r="R618" s="1"/>
      <c r="Z618" s="0" t="n">
        <f aca="false">I618+0</f>
        <v>166.1</v>
      </c>
      <c r="AB618" s="0" t="n">
        <f aca="false">IF(Z618&gt;360,Z618-360,Z618+0)</f>
        <v>166.1</v>
      </c>
    </row>
    <row r="619" customFormat="false" ht="15.8" hidden="false" customHeight="false" outlineLevel="0" collapsed="false">
      <c r="A619" s="1" t="n">
        <v>13</v>
      </c>
      <c r="B619" s="1" t="n">
        <v>16</v>
      </c>
      <c r="C619" s="1" t="n">
        <v>2.4</v>
      </c>
      <c r="D619" s="1" t="n">
        <v>1.2443</v>
      </c>
      <c r="E619" s="1" t="n">
        <v>0.0863341</v>
      </c>
      <c r="F619" s="1" t="n">
        <v>0.000248153</v>
      </c>
      <c r="G619" s="1" t="s">
        <v>42</v>
      </c>
      <c r="H619" s="1" t="n">
        <v>38.6</v>
      </c>
      <c r="I619" s="1" t="n">
        <v>156</v>
      </c>
      <c r="J619" s="1" t="n">
        <v>37.5</v>
      </c>
      <c r="K619" s="1" t="n">
        <v>84.2</v>
      </c>
      <c r="L619" s="1" t="n">
        <v>0</v>
      </c>
      <c r="M619" s="1" t="n">
        <v>0</v>
      </c>
      <c r="N619" s="1" t="s">
        <v>409</v>
      </c>
      <c r="O619" s="1"/>
      <c r="P619" s="1"/>
      <c r="Q619" s="1"/>
      <c r="R619" s="1"/>
      <c r="Z619" s="0" t="n">
        <f aca="false">I619+0</f>
        <v>156</v>
      </c>
      <c r="AB619" s="0" t="n">
        <f aca="false">IF(Z619&gt;360,Z619-360,Z619+0)</f>
        <v>156</v>
      </c>
    </row>
    <row r="620" customFormat="false" ht="15.8" hidden="false" customHeight="false" outlineLevel="0" collapsed="false">
      <c r="A620" s="1" t="n">
        <v>13</v>
      </c>
      <c r="B620" s="1" t="n">
        <v>16</v>
      </c>
      <c r="C620" s="1" t="n">
        <v>3.6</v>
      </c>
      <c r="D620" s="1" t="n">
        <v>1.1291</v>
      </c>
      <c r="E620" s="1" t="n">
        <v>0.128586</v>
      </c>
      <c r="F620" s="1" t="n">
        <v>0.0003696</v>
      </c>
      <c r="G620" s="1" t="s">
        <v>27</v>
      </c>
      <c r="H620" s="1" t="n">
        <v>33.9</v>
      </c>
      <c r="I620" s="1" t="n">
        <v>197.1</v>
      </c>
      <c r="J620" s="1" t="n">
        <v>-14.3</v>
      </c>
      <c r="K620" s="1"/>
      <c r="L620" s="1" t="n">
        <v>0</v>
      </c>
      <c r="M620" s="1" t="n">
        <v>0</v>
      </c>
      <c r="N620" s="1" t="s">
        <v>409</v>
      </c>
      <c r="O620" s="1"/>
      <c r="P620" s="1"/>
      <c r="Q620" s="1"/>
      <c r="R620" s="1"/>
      <c r="Z620" s="0" t="n">
        <f aca="false">I620+0</f>
        <v>197.1</v>
      </c>
      <c r="AB620" s="0" t="n">
        <f aca="false">IF(Z620&gt;360,Z620-360,Z620+0)</f>
        <v>197.1</v>
      </c>
    </row>
    <row r="621" customFormat="false" ht="15.8" hidden="false" customHeight="false" outlineLevel="0" collapsed="false">
      <c r="A621" s="1" t="n">
        <v>13</v>
      </c>
      <c r="B621" s="1" t="n">
        <v>15</v>
      </c>
      <c r="C621" s="1" t="n">
        <v>2.3</v>
      </c>
      <c r="D621" s="1" t="n">
        <v>1.3753</v>
      </c>
      <c r="E621" s="1" t="n">
        <v>0.0824212</v>
      </c>
      <c r="F621" s="1" t="n">
        <v>0.000236906</v>
      </c>
      <c r="G621" s="1" t="s">
        <v>42</v>
      </c>
      <c r="H621" s="1" t="n">
        <v>22.9</v>
      </c>
      <c r="I621" s="1" t="n">
        <v>166</v>
      </c>
      <c r="J621" s="1" t="n">
        <v>0</v>
      </c>
      <c r="K621" s="1" t="n">
        <v>38.6</v>
      </c>
      <c r="L621" s="1" t="n">
        <v>0</v>
      </c>
      <c r="M621" s="1" t="n">
        <v>0</v>
      </c>
      <c r="N621" s="1" t="s">
        <v>401</v>
      </c>
      <c r="O621" s="1"/>
      <c r="P621" s="1"/>
      <c r="Q621" s="1"/>
      <c r="R621" s="1"/>
      <c r="Z621" s="0" t="n">
        <f aca="false">I621+0</f>
        <v>166</v>
      </c>
      <c r="AB621" s="0" t="n">
        <f aca="false">IF(Z621&gt;360,Z621-360,Z621+0)</f>
        <v>166</v>
      </c>
    </row>
    <row r="622" customFormat="false" ht="15.8" hidden="false" customHeight="false" outlineLevel="0" collapsed="false">
      <c r="A622" s="1" t="n">
        <v>13</v>
      </c>
      <c r="B622" s="1" t="n">
        <v>14</v>
      </c>
      <c r="C622" s="1" t="n">
        <v>0.9</v>
      </c>
      <c r="D622" s="1" t="n">
        <v>1.0128</v>
      </c>
      <c r="E622" s="1" t="n">
        <v>0.0327756</v>
      </c>
      <c r="F622" s="1" t="n">
        <v>9.4208E-005</v>
      </c>
      <c r="G622" s="1" t="s">
        <v>42</v>
      </c>
      <c r="H622" s="1" t="n">
        <v>36</v>
      </c>
      <c r="I622" s="1" t="n">
        <v>188.9</v>
      </c>
      <c r="J622" s="1" t="n">
        <v>0</v>
      </c>
      <c r="K622" s="1" t="n">
        <v>69</v>
      </c>
      <c r="L622" s="1" t="n">
        <v>0</v>
      </c>
      <c r="M622" s="1" t="n">
        <v>0</v>
      </c>
      <c r="N622" s="1" t="s">
        <v>400</v>
      </c>
      <c r="O622" s="1"/>
      <c r="P622" s="1"/>
      <c r="Q622" s="1"/>
      <c r="R622" s="1"/>
      <c r="Z622" s="0" t="n">
        <f aca="false">I622+0</f>
        <v>188.9</v>
      </c>
      <c r="AB622" s="0" t="n">
        <f aca="false">IF(Z622&gt;360,Z622-360,Z622+0)</f>
        <v>188.9</v>
      </c>
    </row>
    <row r="623" customFormat="false" ht="15.8" hidden="false" customHeight="false" outlineLevel="0" collapsed="false">
      <c r="A623" s="1" t="n">
        <v>13</v>
      </c>
      <c r="B623" s="1" t="n">
        <v>13</v>
      </c>
      <c r="C623" s="1" t="n">
        <v>2.7</v>
      </c>
      <c r="D623" s="1" t="n">
        <v>1.2057</v>
      </c>
      <c r="E623" s="1" t="n">
        <v>0.0988818</v>
      </c>
      <c r="F623" s="1" t="n">
        <v>0.000284219</v>
      </c>
      <c r="G623" s="1" t="s">
        <v>42</v>
      </c>
      <c r="H623" s="1" t="n">
        <v>87.3</v>
      </c>
      <c r="I623" s="1" t="n">
        <v>154.1</v>
      </c>
      <c r="J623" s="1" t="n">
        <v>9.9</v>
      </c>
      <c r="K623" s="1" t="n">
        <v>54.2</v>
      </c>
      <c r="L623" s="1" t="n">
        <v>0</v>
      </c>
      <c r="M623" s="1" t="n">
        <v>0</v>
      </c>
      <c r="N623" s="1" t="s">
        <v>399</v>
      </c>
      <c r="O623" s="1"/>
      <c r="P623" s="1"/>
      <c r="Q623" s="1"/>
      <c r="R623" s="1"/>
      <c r="Z623" s="0" t="n">
        <f aca="false">I623+0</f>
        <v>154.1</v>
      </c>
      <c r="AB623" s="0" t="n">
        <f aca="false">IF(Z623&gt;360,Z623-360,Z623+0)</f>
        <v>154.1</v>
      </c>
    </row>
    <row r="624" customFormat="false" ht="15.8" hidden="false" customHeight="false" outlineLevel="0" collapsed="false">
      <c r="A624" s="1" t="n">
        <v>13</v>
      </c>
      <c r="B624" s="1" t="n">
        <v>12</v>
      </c>
      <c r="C624" s="1" t="n">
        <v>2.1</v>
      </c>
      <c r="D624" s="1" t="n">
        <v>1.2863</v>
      </c>
      <c r="E624" s="1" t="n">
        <v>0.0764764</v>
      </c>
      <c r="F624" s="1" t="n">
        <v>0.000219819</v>
      </c>
      <c r="G624" s="1" t="s">
        <v>42</v>
      </c>
      <c r="H624" s="1" t="n">
        <v>30.1</v>
      </c>
      <c r="I624" s="1" t="n">
        <v>238.8</v>
      </c>
      <c r="J624" s="1" t="n">
        <v>-13.7</v>
      </c>
      <c r="K624" s="1" t="n">
        <v>87.3</v>
      </c>
      <c r="L624" s="1" t="n">
        <v>0</v>
      </c>
      <c r="M624" s="1" t="n">
        <v>0</v>
      </c>
      <c r="N624" s="1" t="s">
        <v>397</v>
      </c>
      <c r="O624" s="1"/>
      <c r="P624" s="1"/>
      <c r="Q624" s="1"/>
      <c r="R624" s="1"/>
      <c r="Z624" s="0" t="n">
        <f aca="false">I624+0</f>
        <v>238.8</v>
      </c>
      <c r="AB624" s="0" t="n">
        <f aca="false">IF(Z624&gt;360,Z624-360,Z624+0)</f>
        <v>238.8</v>
      </c>
    </row>
    <row r="625" customFormat="false" ht="15.8" hidden="false" customHeight="false" outlineLevel="0" collapsed="false">
      <c r="A625" s="1" t="n">
        <v>13</v>
      </c>
      <c r="B625" s="1" t="n">
        <v>11</v>
      </c>
      <c r="C625" s="1" t="n">
        <v>1.9</v>
      </c>
      <c r="D625" s="1" t="n">
        <v>1.1966</v>
      </c>
      <c r="E625" s="1" t="n">
        <v>0.0699393</v>
      </c>
      <c r="F625" s="1" t="n">
        <v>0.000201029</v>
      </c>
      <c r="G625" s="1" t="s">
        <v>42</v>
      </c>
      <c r="H625" s="1" t="n">
        <v>34.4</v>
      </c>
      <c r="I625" s="1" t="n">
        <v>210.7</v>
      </c>
      <c r="J625" s="1" t="n">
        <v>-28.8</v>
      </c>
      <c r="K625" s="1" t="n">
        <v>30.1</v>
      </c>
      <c r="L625" s="1" t="n">
        <v>0</v>
      </c>
      <c r="M625" s="1" t="n">
        <v>0</v>
      </c>
      <c r="N625" s="1" t="s">
        <v>396</v>
      </c>
      <c r="O625" s="1"/>
      <c r="P625" s="1"/>
      <c r="Q625" s="1"/>
      <c r="R625" s="1"/>
      <c r="Z625" s="0" t="n">
        <f aca="false">I625+0</f>
        <v>210.7</v>
      </c>
      <c r="AB625" s="0" t="n">
        <f aca="false">IF(Z625&gt;360,Z625-360,Z625+0)</f>
        <v>210.7</v>
      </c>
    </row>
    <row r="626" customFormat="false" ht="15.8" hidden="false" customHeight="false" outlineLevel="0" collapsed="false">
      <c r="A626" s="1" t="n">
        <v>13</v>
      </c>
      <c r="B626" s="1" t="n">
        <v>10</v>
      </c>
      <c r="C626" s="1" t="n">
        <v>2</v>
      </c>
      <c r="D626" s="1" t="n">
        <v>1.1912</v>
      </c>
      <c r="E626" s="1" t="n">
        <v>0.0714594</v>
      </c>
      <c r="F626" s="1" t="n">
        <v>0.000205398</v>
      </c>
      <c r="G626" s="1" t="s">
        <v>42</v>
      </c>
      <c r="H626" s="1" t="n">
        <v>71.7</v>
      </c>
      <c r="I626" s="1" t="n">
        <v>249.4</v>
      </c>
      <c r="J626" s="1" t="n">
        <v>-44.8</v>
      </c>
      <c r="K626" s="1" t="n">
        <v>57.1</v>
      </c>
      <c r="L626" s="1" t="n">
        <v>0</v>
      </c>
      <c r="M626" s="1" t="n">
        <v>0</v>
      </c>
      <c r="N626" s="1" t="s">
        <v>394</v>
      </c>
      <c r="O626" s="1"/>
      <c r="P626" s="1"/>
      <c r="Q626" s="1"/>
      <c r="R626" s="1"/>
      <c r="Z626" s="0" t="n">
        <f aca="false">I626+0</f>
        <v>249.4</v>
      </c>
      <c r="AB626" s="0" t="n">
        <f aca="false">IF(Z626&gt;360,Z626-360,Z626+0)</f>
        <v>249.4</v>
      </c>
    </row>
    <row r="627" customFormat="false" ht="15.8" hidden="false" customHeight="false" outlineLevel="0" collapsed="false">
      <c r="A627" s="1" t="n">
        <v>13</v>
      </c>
      <c r="B627" s="1" t="n">
        <v>9</v>
      </c>
      <c r="C627" s="1" t="n">
        <v>3.5</v>
      </c>
      <c r="D627" s="1" t="n">
        <v>1.1727</v>
      </c>
      <c r="E627" s="1" t="n">
        <v>0.126766</v>
      </c>
      <c r="F627" s="1" t="n">
        <v>0.000364367</v>
      </c>
      <c r="G627" s="1" t="s">
        <v>42</v>
      </c>
      <c r="H627" s="1" t="n">
        <v>36.1</v>
      </c>
      <c r="I627" s="1" t="n">
        <v>185.7</v>
      </c>
      <c r="J627" s="1" t="n">
        <v>0</v>
      </c>
      <c r="K627" s="1" t="n">
        <v>71.7</v>
      </c>
      <c r="L627" s="1" t="n">
        <v>0</v>
      </c>
      <c r="M627" s="1" t="n">
        <v>0</v>
      </c>
      <c r="N627" s="1" t="s">
        <v>392</v>
      </c>
      <c r="O627" s="1"/>
      <c r="P627" s="1"/>
      <c r="Q627" s="1"/>
      <c r="R627" s="1"/>
      <c r="Z627" s="0" t="n">
        <f aca="false">I627+0</f>
        <v>185.7</v>
      </c>
      <c r="AB627" s="0" t="n">
        <f aca="false">IF(Z627&gt;360,Z627-360,Z627+0)</f>
        <v>185.7</v>
      </c>
    </row>
    <row r="628" customFormat="false" ht="15.8" hidden="false" customHeight="false" outlineLevel="0" collapsed="false">
      <c r="A628" s="1" t="n">
        <v>13</v>
      </c>
      <c r="B628" s="1" t="n">
        <v>8</v>
      </c>
      <c r="C628" s="1" t="n">
        <v>1.7</v>
      </c>
      <c r="D628" s="1" t="n">
        <v>1.8343</v>
      </c>
      <c r="E628" s="1" t="n">
        <v>0.0609057</v>
      </c>
      <c r="F628" s="1" t="n">
        <v>0.000175063</v>
      </c>
      <c r="G628" s="1" t="s">
        <v>42</v>
      </c>
      <c r="H628" s="1" t="n">
        <v>55.9</v>
      </c>
      <c r="I628" s="1" t="n">
        <v>212.6</v>
      </c>
      <c r="J628" s="1" t="n">
        <v>-25.1</v>
      </c>
      <c r="K628" s="1" t="n">
        <v>73.9</v>
      </c>
      <c r="L628" s="1" t="n">
        <v>0</v>
      </c>
      <c r="M628" s="1" t="n">
        <v>0</v>
      </c>
      <c r="N628" s="1" t="s">
        <v>390</v>
      </c>
      <c r="O628" s="1"/>
      <c r="P628" s="1"/>
      <c r="Q628" s="1"/>
      <c r="R628" s="1"/>
      <c r="Z628" s="0" t="n">
        <f aca="false">I628+0</f>
        <v>212.6</v>
      </c>
      <c r="AB628" s="0" t="n">
        <f aca="false">IF(Z628&gt;360,Z628-360,Z628+0)</f>
        <v>212.6</v>
      </c>
    </row>
    <row r="629" customFormat="false" ht="15.8" hidden="false" customHeight="false" outlineLevel="0" collapsed="false">
      <c r="A629" s="1" t="n">
        <v>13</v>
      </c>
      <c r="B629" s="1" t="n">
        <v>7</v>
      </c>
      <c r="C629" s="1" t="n">
        <v>2.1</v>
      </c>
      <c r="D629" s="1" t="n">
        <v>1.0269</v>
      </c>
      <c r="E629" s="1" t="n">
        <v>0.0768661</v>
      </c>
      <c r="F629" s="1" t="n">
        <v>0.000220939</v>
      </c>
      <c r="G629" s="1" t="s">
        <v>42</v>
      </c>
      <c r="H629" s="1" t="n">
        <v>62.4</v>
      </c>
      <c r="I629" s="1" t="n">
        <v>270.9</v>
      </c>
      <c r="J629" s="1" t="n">
        <v>-70.2</v>
      </c>
      <c r="K629" s="1" t="n">
        <v>88.4</v>
      </c>
      <c r="L629" s="1" t="n">
        <v>0</v>
      </c>
      <c r="M629" s="1" t="n">
        <v>0</v>
      </c>
      <c r="N629" s="1" t="s">
        <v>388</v>
      </c>
      <c r="O629" s="1"/>
      <c r="P629" s="1"/>
      <c r="Q629" s="1"/>
      <c r="R629" s="1"/>
      <c r="Z629" s="0" t="n">
        <f aca="false">I629+0</f>
        <v>270.9</v>
      </c>
      <c r="AB629" s="0" t="n">
        <f aca="false">IF(Z629&gt;360,Z629-360,Z629+0)</f>
        <v>270.9</v>
      </c>
    </row>
    <row r="630" customFormat="false" ht="15.8" hidden="false" customHeight="false" outlineLevel="0" collapsed="false">
      <c r="A630" s="1" t="n">
        <v>13</v>
      </c>
      <c r="B630" s="1" t="n">
        <v>6</v>
      </c>
      <c r="C630" s="1" t="n">
        <v>5</v>
      </c>
      <c r="D630" s="1" t="n">
        <v>1.2925</v>
      </c>
      <c r="E630" s="1" t="n">
        <v>0.181969</v>
      </c>
      <c r="F630" s="1" t="n">
        <v>0.000523039</v>
      </c>
      <c r="G630" s="1" t="s">
        <v>42</v>
      </c>
      <c r="H630" s="1" t="n">
        <v>38.8</v>
      </c>
      <c r="I630" s="1" t="n">
        <v>236.9</v>
      </c>
      <c r="J630" s="1" t="n">
        <v>-11.5</v>
      </c>
      <c r="K630" s="1" t="n">
        <v>62.4</v>
      </c>
      <c r="L630" s="1" t="n">
        <v>0</v>
      </c>
      <c r="M630" s="1" t="n">
        <v>0</v>
      </c>
      <c r="N630" s="1" t="s">
        <v>384</v>
      </c>
      <c r="O630" s="1"/>
      <c r="P630" s="1"/>
      <c r="Q630" s="1"/>
      <c r="R630" s="1"/>
      <c r="Z630" s="0" t="n">
        <f aca="false">I630+0</f>
        <v>236.9</v>
      </c>
      <c r="AB630" s="0" t="n">
        <f aca="false">IF(Z630&gt;360,Z630-360,Z630+0)</f>
        <v>236.9</v>
      </c>
    </row>
    <row r="631" customFormat="false" ht="15.8" hidden="false" customHeight="false" outlineLevel="0" collapsed="false">
      <c r="A631" s="1" t="n">
        <v>13</v>
      </c>
      <c r="B631" s="1" t="n">
        <v>5</v>
      </c>
      <c r="C631" s="1" t="n">
        <v>1.3</v>
      </c>
      <c r="D631" s="1" t="n">
        <v>1.0498</v>
      </c>
      <c r="E631" s="1" t="n">
        <v>0.047012</v>
      </c>
      <c r="F631" s="1" t="n">
        <v>0.000135128</v>
      </c>
      <c r="G631" s="1" t="s">
        <v>42</v>
      </c>
      <c r="H631" s="1" t="n">
        <v>24.9</v>
      </c>
      <c r="I631" s="1" t="n">
        <v>199.6</v>
      </c>
      <c r="J631" s="1" t="n">
        <v>0</v>
      </c>
      <c r="K631" s="1" t="n">
        <v>38.8</v>
      </c>
      <c r="L631" s="1" t="n">
        <v>0</v>
      </c>
      <c r="M631" s="1" t="n">
        <v>0</v>
      </c>
      <c r="N631" s="1" t="s">
        <v>365</v>
      </c>
      <c r="O631" s="1"/>
      <c r="P631" s="1"/>
      <c r="Q631" s="1"/>
      <c r="R631" s="1"/>
      <c r="Z631" s="0" t="n">
        <f aca="false">I631+0</f>
        <v>199.6</v>
      </c>
      <c r="AB631" s="0" t="n">
        <f aca="false">IF(Z631&gt;360,Z631-360,Z631+0)</f>
        <v>199.6</v>
      </c>
    </row>
    <row r="632" customFormat="false" ht="15.8" hidden="false" customHeight="false" outlineLevel="0" collapsed="false">
      <c r="A632" s="1" t="n">
        <v>13</v>
      </c>
      <c r="B632" s="1" t="n">
        <v>4</v>
      </c>
      <c r="C632" s="1" t="n">
        <v>5</v>
      </c>
      <c r="D632" s="1" t="n">
        <v>1.2315</v>
      </c>
      <c r="E632" s="1" t="n">
        <v>0.182227</v>
      </c>
      <c r="F632" s="1" t="n">
        <v>0.000523781</v>
      </c>
      <c r="G632" s="1" t="s">
        <v>42</v>
      </c>
      <c r="H632" s="1" t="n">
        <v>20.8</v>
      </c>
      <c r="I632" s="1" t="n">
        <v>218.4</v>
      </c>
      <c r="J632" s="1" t="n">
        <v>-16.6</v>
      </c>
      <c r="K632" s="1" t="n">
        <v>57.2</v>
      </c>
      <c r="L632" s="1" t="n">
        <v>0</v>
      </c>
      <c r="M632" s="1" t="n">
        <v>0</v>
      </c>
      <c r="N632" s="1" t="s">
        <v>316</v>
      </c>
      <c r="O632" s="1"/>
      <c r="P632" s="1"/>
      <c r="Q632" s="1"/>
      <c r="R632" s="1"/>
      <c r="Z632" s="0" t="n">
        <f aca="false">I632+0</f>
        <v>218.4</v>
      </c>
      <c r="AB632" s="0" t="n">
        <f aca="false">IF(Z632&gt;360,Z632-360,Z632+0)</f>
        <v>218.4</v>
      </c>
    </row>
    <row r="633" customFormat="false" ht="15.8" hidden="false" customHeight="false" outlineLevel="0" collapsed="false">
      <c r="A633" s="1" t="n">
        <v>13</v>
      </c>
      <c r="B633" s="1" t="n">
        <v>3</v>
      </c>
      <c r="C633" s="1" t="n">
        <v>3.8</v>
      </c>
      <c r="D633" s="1" t="n">
        <v>1.1566</v>
      </c>
      <c r="E633" s="1" t="n">
        <v>0.137122</v>
      </c>
      <c r="F633" s="1" t="n">
        <v>0.000394134</v>
      </c>
      <c r="G633" s="1" t="s">
        <v>42</v>
      </c>
      <c r="H633" s="1" t="n">
        <v>13.3</v>
      </c>
      <c r="I633" s="1" t="n">
        <v>196.9</v>
      </c>
      <c r="J633" s="1" t="n">
        <v>-20.9</v>
      </c>
      <c r="K633" s="1" t="n">
        <v>67.4</v>
      </c>
      <c r="L633" s="1" t="n">
        <v>0</v>
      </c>
      <c r="M633" s="1" t="n">
        <v>0</v>
      </c>
      <c r="N633" s="1" t="s">
        <v>307</v>
      </c>
      <c r="O633" s="1"/>
      <c r="P633" s="1"/>
      <c r="Q633" s="1"/>
      <c r="R633" s="1"/>
      <c r="Z633" s="0" t="n">
        <f aca="false">I633+0</f>
        <v>196.9</v>
      </c>
      <c r="AB633" s="0" t="n">
        <f aca="false">IF(Z633&gt;360,Z633-360,Z633+0)</f>
        <v>196.9</v>
      </c>
    </row>
    <row r="634" customFormat="false" ht="15.8" hidden="false" customHeight="false" outlineLevel="0" collapsed="false">
      <c r="A634" s="1" t="n">
        <v>13</v>
      </c>
      <c r="B634" s="1" t="n">
        <v>2</v>
      </c>
      <c r="C634" s="1" t="n">
        <v>1.9</v>
      </c>
      <c r="D634" s="1" t="n">
        <v>1.0925</v>
      </c>
      <c r="E634" s="1" t="n">
        <v>0.0677146</v>
      </c>
      <c r="F634" s="1" t="n">
        <v>0.000194634</v>
      </c>
      <c r="G634" s="1" t="s">
        <v>42</v>
      </c>
      <c r="H634" s="1" t="n">
        <v>8.6</v>
      </c>
      <c r="I634" s="1" t="n">
        <v>209.8</v>
      </c>
      <c r="J634" s="1" t="n">
        <v>-27</v>
      </c>
      <c r="K634" s="1" t="n">
        <v>48.2</v>
      </c>
      <c r="L634" s="1" t="n">
        <v>0</v>
      </c>
      <c r="M634" s="1" t="n">
        <v>0</v>
      </c>
      <c r="N634" s="1" t="s">
        <v>410</v>
      </c>
      <c r="O634" s="1"/>
      <c r="P634" s="1"/>
      <c r="Q634" s="1"/>
      <c r="R634" s="1"/>
      <c r="Z634" s="0" t="n">
        <f aca="false">I634+0</f>
        <v>209.8</v>
      </c>
      <c r="AB634" s="0" t="n">
        <f aca="false">IF(Z634&gt;360,Z634-360,Z634+0)</f>
        <v>209.8</v>
      </c>
    </row>
    <row r="635" customFormat="false" ht="15.8" hidden="false" customHeight="false" outlineLevel="0" collapsed="false">
      <c r="A635" s="1" t="n">
        <v>13</v>
      </c>
      <c r="B635" s="1" t="n">
        <v>2</v>
      </c>
      <c r="C635" s="1" t="n">
        <v>7.7</v>
      </c>
      <c r="D635" s="1" t="n">
        <v>1.223</v>
      </c>
      <c r="E635" s="1" t="n">
        <v>0.276767</v>
      </c>
      <c r="F635" s="1" t="n">
        <v>0.00079552</v>
      </c>
      <c r="G635" s="1" t="s">
        <v>27</v>
      </c>
      <c r="H635" s="1" t="n">
        <v>55.6</v>
      </c>
      <c r="I635" s="1" t="n">
        <v>114.9</v>
      </c>
      <c r="J635" s="1" t="n">
        <v>-84.9</v>
      </c>
      <c r="K635" s="1"/>
      <c r="L635" s="1" t="n">
        <v>0</v>
      </c>
      <c r="M635" s="1" t="n">
        <v>0</v>
      </c>
      <c r="N635" s="1" t="s">
        <v>410</v>
      </c>
      <c r="O635" s="1"/>
      <c r="P635" s="1"/>
      <c r="Q635" s="1"/>
      <c r="R635" s="1"/>
      <c r="Z635" s="0" t="n">
        <f aca="false">I635+0</f>
        <v>114.9</v>
      </c>
      <c r="AB635" s="0" t="n">
        <f aca="false">IF(Z635&gt;360,Z635-360,Z635+0)</f>
        <v>114.9</v>
      </c>
    </row>
    <row r="636" customFormat="false" ht="15.8" hidden="false" customHeight="false" outlineLevel="0" collapsed="false">
      <c r="A636" s="1" t="n">
        <v>13</v>
      </c>
      <c r="B636" s="1" t="n">
        <v>1</v>
      </c>
      <c r="C636" s="1" t="n">
        <v>2.3</v>
      </c>
      <c r="D636" s="1" t="n">
        <v>1.1386</v>
      </c>
      <c r="E636" s="1" t="n">
        <v>0.0833582</v>
      </c>
      <c r="F636" s="1" t="n">
        <v>0.000239599</v>
      </c>
      <c r="G636" s="1" t="s">
        <v>42</v>
      </c>
      <c r="H636" s="1"/>
      <c r="I636" s="1" t="n">
        <v>212.8</v>
      </c>
      <c r="J636" s="1" t="n">
        <v>-35.3</v>
      </c>
      <c r="K636" s="1" t="n">
        <v>55.6</v>
      </c>
      <c r="L636" s="1" t="n">
        <v>0</v>
      </c>
      <c r="M636" s="1" t="n">
        <v>0</v>
      </c>
      <c r="N636" s="1" t="s">
        <v>411</v>
      </c>
      <c r="O636" s="1"/>
      <c r="P636" s="1"/>
      <c r="Q636" s="1"/>
      <c r="R636" s="1"/>
      <c r="Z636" s="0" t="n">
        <f aca="false">I636+0</f>
        <v>212.8</v>
      </c>
      <c r="AB636" s="0" t="n">
        <f aca="false">IF(Z636&gt;360,Z636-360,Z636+0)</f>
        <v>212.8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3230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2017-05-19T15:43:34Z</dcterms:created>
  <dc:language>en-US</dc:language>
  <dcterms:modified xsi:type="dcterms:W3CDTF">2017-09-27T21:50:03Z</dcterms:modified>
  <cp:revision>4</cp:revision>
</cp:coreProperties>
</file>